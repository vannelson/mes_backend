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604" documentId="13_ncr:1_{3097F5BA-CB8D-4294-8049-74C4221B0A4C}" xr6:coauthVersionLast="47" xr6:coauthVersionMax="47" xr10:uidLastSave="{D3206B30-7AA6-4C7A-952D-DBCD2DB1AE5B}"/>
  <bookViews>
    <workbookView xWindow="-110" yWindow="-110" windowWidth="19420" windowHeight="11620" firstSheet="23" activeTab="26" xr2:uid="{AAE5B9B8-F671-4F2C-8500-CDD73B0F6063}"/>
  </bookViews>
  <sheets>
    <sheet name="1-Mar" sheetId="2" r:id="rId1"/>
    <sheet name="3_Mar" sheetId="1" r:id="rId2"/>
    <sheet name="4-Mar" sheetId="3" r:id="rId3"/>
    <sheet name="5-Mar" sheetId="4" r:id="rId4"/>
    <sheet name="6-Mar" sheetId="5" r:id="rId5"/>
    <sheet name="07-Mar" sheetId="6" r:id="rId6"/>
    <sheet name="8-Mar" sheetId="7" r:id="rId7"/>
    <sheet name="10-Mar" sheetId="8" r:id="rId8"/>
    <sheet name="11-Mar" sheetId="9" r:id="rId9"/>
    <sheet name="12-Mar" sheetId="10" r:id="rId10"/>
    <sheet name="13-Mar" sheetId="11" r:id="rId11"/>
    <sheet name="14-Mar" sheetId="12" r:id="rId12"/>
    <sheet name="15-Mar" sheetId="13" r:id="rId13"/>
    <sheet name="16-Mar" sheetId="14" r:id="rId14"/>
    <sheet name="17-Mar" sheetId="15" r:id="rId15"/>
    <sheet name="18-Mar" sheetId="16" r:id="rId16"/>
    <sheet name="19-Mar" sheetId="17" r:id="rId17"/>
    <sheet name="20-Mar" sheetId="18" r:id="rId18"/>
    <sheet name="21-Mar" sheetId="19" r:id="rId19"/>
    <sheet name="22-Mar" sheetId="20" r:id="rId20"/>
    <sheet name="24-Mar" sheetId="21" r:id="rId21"/>
    <sheet name="27-Mar" sheetId="24" r:id="rId22"/>
    <sheet name="28-Mar" sheetId="25" r:id="rId23"/>
    <sheet name="29-Mar" sheetId="26" r:id="rId24"/>
    <sheet name="25-Mar" sheetId="22" r:id="rId25"/>
    <sheet name="26-Mar" sheetId="23" r:id="rId26"/>
    <sheet name="Pivot-Machines" sheetId="41" r:id="rId27"/>
    <sheet name="Summary" sheetId="27" r:id="rId28"/>
    <sheet name="Staff" sheetId="30" r:id="rId29"/>
  </sheets>
  <definedNames>
    <definedName name="_xlnm._FilterDatabase" localSheetId="1" hidden="1">'3_Mar'!$A$4:$BF$94</definedName>
    <definedName name="_xlnm._FilterDatabase" localSheetId="28" hidden="1">Staff!$A$1:$E$317</definedName>
    <definedName name="_xlnm._FilterDatabase" localSheetId="27" hidden="1">Summary!$A$1:$BJ$1918</definedName>
  </definedNames>
  <calcPr calcId="191029"/>
  <pivotCaches>
    <pivotCache cacheId="44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20" i="27" l="1"/>
  <c r="V1921" i="27" s="1"/>
  <c r="W1921" i="27" s="1"/>
  <c r="Q1894" i="27"/>
  <c r="R1894" i="27" s="1"/>
  <c r="Q1882" i="27"/>
  <c r="R1882" i="27" s="1"/>
  <c r="Q1832" i="27"/>
  <c r="R1832" i="27" s="1"/>
  <c r="Q1831" i="27"/>
  <c r="R1831" i="27" s="1"/>
  <c r="Q1818" i="27"/>
  <c r="R1818" i="27" s="1"/>
  <c r="Q1790" i="27"/>
  <c r="R1790" i="27" s="1"/>
  <c r="Q1789" i="27"/>
  <c r="R1789" i="27" s="1"/>
  <c r="Q1771" i="27"/>
  <c r="R1771" i="27" s="1"/>
  <c r="Q1764" i="27"/>
  <c r="R1764" i="27" s="1"/>
  <c r="Q1763" i="27"/>
  <c r="R1763" i="27" s="1"/>
  <c r="Q1762" i="27"/>
  <c r="R1762" i="27" s="1"/>
  <c r="Q1759" i="27"/>
  <c r="R1759" i="27" s="1"/>
  <c r="Q1747" i="27"/>
  <c r="R1747" i="27" s="1"/>
  <c r="Q1746" i="27"/>
  <c r="R1746" i="27" s="1"/>
  <c r="Q1745" i="27"/>
  <c r="R1745" i="27" s="1"/>
  <c r="Q1738" i="27"/>
  <c r="R1738" i="27" s="1"/>
  <c r="Q1717" i="27"/>
  <c r="R1717" i="27" s="1"/>
  <c r="Q1716" i="27"/>
  <c r="R1716" i="27" s="1"/>
  <c r="Q1715" i="27"/>
  <c r="R1715" i="27" s="1"/>
  <c r="Q1714" i="27"/>
  <c r="R1714" i="27" s="1"/>
  <c r="Q1713" i="27"/>
  <c r="R1713" i="27" s="1"/>
  <c r="Q1706" i="27"/>
  <c r="R1706" i="27" s="1"/>
  <c r="Q1705" i="27"/>
  <c r="R1705" i="27" s="1"/>
  <c r="Q1704" i="27"/>
  <c r="R1704" i="27" s="1"/>
  <c r="Q1703" i="27"/>
  <c r="R1703" i="27" s="1"/>
  <c r="Q1700" i="27"/>
  <c r="R1700" i="27" s="1"/>
  <c r="Q1692" i="27"/>
  <c r="R1692" i="27" s="1"/>
  <c r="Q1691" i="27"/>
  <c r="R1691" i="27" s="1"/>
  <c r="Q1690" i="27"/>
  <c r="R1690" i="27" s="1"/>
  <c r="Q1684" i="27"/>
  <c r="R1684" i="27" s="1"/>
  <c r="Q1669" i="27"/>
  <c r="R1669" i="27" s="1"/>
  <c r="Q1656" i="27"/>
  <c r="R1656" i="27" s="1"/>
  <c r="Q1655" i="27"/>
  <c r="R1655" i="27" s="1"/>
  <c r="Q1639" i="27"/>
  <c r="R1639" i="27" s="1"/>
  <c r="Q1632" i="27"/>
  <c r="R1632" i="27" s="1"/>
  <c r="Q1631" i="27"/>
  <c r="R1631" i="27" s="1"/>
  <c r="Q1626" i="27"/>
  <c r="R1626" i="27" s="1"/>
  <c r="Q1625" i="27"/>
  <c r="R1625" i="27" s="1"/>
  <c r="Q1622" i="27"/>
  <c r="R1622" i="27" s="1"/>
  <c r="Q1616" i="27"/>
  <c r="R1616" i="27" s="1"/>
  <c r="Q1614" i="27"/>
  <c r="R1614" i="27" s="1"/>
  <c r="Q1613" i="27"/>
  <c r="R1613" i="27" s="1"/>
  <c r="Q1612" i="27"/>
  <c r="R1612" i="27" s="1"/>
  <c r="Q1611" i="27"/>
  <c r="R1611" i="27" s="1"/>
  <c r="Q1610" i="27"/>
  <c r="R1610" i="27" s="1"/>
  <c r="Q1609" i="27"/>
  <c r="R1609" i="27" s="1"/>
  <c r="Q1608" i="27"/>
  <c r="R1608" i="27" s="1"/>
  <c r="Q1600" i="27"/>
  <c r="R1600" i="27" s="1"/>
  <c r="Q1599" i="27"/>
  <c r="R1599" i="27" s="1"/>
  <c r="Q1598" i="27"/>
  <c r="R1598" i="27" s="1"/>
  <c r="Q1597" i="27"/>
  <c r="R1597" i="27" s="1"/>
  <c r="Q1596" i="27"/>
  <c r="R1596" i="27" s="1"/>
  <c r="Q1591" i="27"/>
  <c r="R1591" i="27" s="1"/>
  <c r="Q1590" i="27"/>
  <c r="R1590" i="27" s="1"/>
  <c r="Q1589" i="27"/>
  <c r="R1589" i="27" s="1"/>
  <c r="Q1581" i="27"/>
  <c r="R1581" i="27" s="1"/>
  <c r="Q1579" i="27"/>
  <c r="R1579" i="27" s="1"/>
  <c r="Q1578" i="27"/>
  <c r="R1578" i="27" s="1"/>
  <c r="Q1576" i="27"/>
  <c r="R1576" i="27" s="1"/>
  <c r="Q1575" i="27"/>
  <c r="R1575" i="27" s="1"/>
  <c r="Q1573" i="27"/>
  <c r="R1573" i="27" s="1"/>
  <c r="Q1569" i="27"/>
  <c r="R1569" i="27" s="1"/>
  <c r="Q1568" i="27"/>
  <c r="R1568" i="27" s="1"/>
  <c r="Q1567" i="27"/>
  <c r="R1567" i="27" s="1"/>
  <c r="Q1566" i="27"/>
  <c r="R1566" i="27" s="1"/>
  <c r="Q1565" i="27"/>
  <c r="R1565" i="27" s="1"/>
  <c r="Q1564" i="27"/>
  <c r="R1564" i="27" s="1"/>
  <c r="Q1563" i="27"/>
  <c r="R1563" i="27" s="1"/>
  <c r="Q1562" i="27"/>
  <c r="R1562" i="27" s="1"/>
  <c r="Q1559" i="27"/>
  <c r="R1559" i="27" s="1"/>
  <c r="Q1558" i="27"/>
  <c r="R1558" i="27" s="1"/>
  <c r="Q1557" i="27"/>
  <c r="R1557" i="27" s="1"/>
  <c r="Q1556" i="27"/>
  <c r="R1556" i="27" s="1"/>
  <c r="Q1550" i="27"/>
  <c r="R1550" i="27" s="1"/>
  <c r="Q1549" i="27"/>
  <c r="R1549" i="27" s="1"/>
  <c r="Q1548" i="27"/>
  <c r="R1548" i="27" s="1"/>
  <c r="Q1547" i="27"/>
  <c r="R1547" i="27" s="1"/>
  <c r="Q1546" i="27"/>
  <c r="R1546" i="27" s="1"/>
  <c r="Q1545" i="27"/>
  <c r="R1545" i="27" s="1"/>
  <c r="Q1544" i="27"/>
  <c r="R1544" i="27" s="1"/>
  <c r="Q1543" i="27"/>
  <c r="R1543" i="27" s="1"/>
  <c r="Q1534" i="27"/>
  <c r="R1534" i="27" s="1"/>
  <c r="Q1533" i="27"/>
  <c r="R1533" i="27" s="1"/>
  <c r="Q1528" i="27"/>
  <c r="R1528" i="27" s="1"/>
  <c r="Q1524" i="27"/>
  <c r="R1524" i="27" s="1"/>
  <c r="Q1523" i="27"/>
  <c r="R1523" i="27" s="1"/>
  <c r="Q1522" i="27"/>
  <c r="R1522" i="27" s="1"/>
  <c r="Q1521" i="27"/>
  <c r="R1521" i="27" s="1"/>
  <c r="Q1520" i="27"/>
  <c r="R1520" i="27" s="1"/>
  <c r="Q1519" i="27"/>
  <c r="R1519" i="27" s="1"/>
  <c r="Q1509" i="27"/>
  <c r="R1509" i="27" s="1"/>
  <c r="Q1508" i="27"/>
  <c r="R1508" i="27" s="1"/>
  <c r="Q1502" i="27"/>
  <c r="R1502" i="27" s="1"/>
  <c r="Q1501" i="27"/>
  <c r="R1501" i="27" s="1"/>
  <c r="Q1491" i="27"/>
  <c r="R1491" i="27" s="1"/>
  <c r="Q1490" i="27"/>
  <c r="R1490" i="27" s="1"/>
  <c r="Q1479" i="27"/>
  <c r="R1479" i="27" s="1"/>
  <c r="Q1478" i="27"/>
  <c r="R1478" i="27" s="1"/>
  <c r="Q1477" i="27"/>
  <c r="R1477" i="27" s="1"/>
  <c r="Q1476" i="27"/>
  <c r="R1476" i="27" s="1"/>
  <c r="Q1458" i="27"/>
  <c r="R1458" i="27" s="1"/>
  <c r="Q1457" i="27"/>
  <c r="R1457" i="27" s="1"/>
  <c r="Q1456" i="27"/>
  <c r="R1456" i="27" s="1"/>
  <c r="Q1453" i="27"/>
  <c r="R1453" i="27" s="1"/>
  <c r="Q1452" i="27"/>
  <c r="R1452" i="27" s="1"/>
  <c r="Q1451" i="27"/>
  <c r="R1451" i="27" s="1"/>
  <c r="Q1450" i="27"/>
  <c r="R1450" i="27" s="1"/>
  <c r="Q1449" i="27"/>
  <c r="R1449" i="27" s="1"/>
  <c r="Q1433" i="27"/>
  <c r="R1433" i="27" s="1"/>
  <c r="Q1432" i="27"/>
  <c r="R1432" i="27" s="1"/>
  <c r="Q1431" i="27"/>
  <c r="R1431" i="27" s="1"/>
  <c r="Q1430" i="27"/>
  <c r="R1430" i="27" s="1"/>
  <c r="Q1429" i="27"/>
  <c r="R1429" i="27" s="1"/>
  <c r="Q1425" i="27"/>
  <c r="R1425" i="27" s="1"/>
  <c r="Q1424" i="27"/>
  <c r="R1424" i="27" s="1"/>
  <c r="Q1422" i="27"/>
  <c r="R1422" i="27" s="1"/>
  <c r="Q1421" i="27"/>
  <c r="R1421" i="27" s="1"/>
  <c r="Q1420" i="27"/>
  <c r="R1420" i="27" s="1"/>
  <c r="Q1419" i="27"/>
  <c r="R1419" i="27" s="1"/>
  <c r="Q1402" i="27"/>
  <c r="R1402" i="27" s="1"/>
  <c r="Q1392" i="27"/>
  <c r="R1392" i="27" s="1"/>
  <c r="Q1390" i="27"/>
  <c r="R1390" i="27" s="1"/>
  <c r="Q1389" i="27"/>
  <c r="R1389" i="27" s="1"/>
  <c r="Q1388" i="27"/>
  <c r="R1388" i="27" s="1"/>
  <c r="Q1385" i="27"/>
  <c r="R1385" i="27" s="1"/>
  <c r="Q1384" i="27"/>
  <c r="R1384" i="27" s="1"/>
  <c r="Q1383" i="27"/>
  <c r="R1383" i="27" s="1"/>
  <c r="Q1381" i="27"/>
  <c r="R1381" i="27" s="1"/>
  <c r="Q1380" i="27"/>
  <c r="R1380" i="27" s="1"/>
  <c r="Q1379" i="27"/>
  <c r="R1379" i="27" s="1"/>
  <c r="Q1376" i="27"/>
  <c r="R1376" i="27" s="1"/>
  <c r="Q1375" i="27"/>
  <c r="R1375" i="27" s="1"/>
  <c r="Q1374" i="27"/>
  <c r="R1374" i="27" s="1"/>
  <c r="Q1373" i="27"/>
  <c r="R1373" i="27" s="1"/>
  <c r="Q1372" i="27"/>
  <c r="R1372" i="27" s="1"/>
  <c r="Q1369" i="27"/>
  <c r="R1369" i="27" s="1"/>
  <c r="Q1353" i="27"/>
  <c r="R1353" i="27" s="1"/>
  <c r="Q1352" i="27"/>
  <c r="R1352" i="27" s="1"/>
  <c r="Q1351" i="27"/>
  <c r="R1351" i="27" s="1"/>
  <c r="Q1350" i="27"/>
  <c r="R1350" i="27" s="1"/>
  <c r="Q1349" i="27"/>
  <c r="R1349" i="27" s="1"/>
  <c r="Q1348" i="27"/>
  <c r="R1348" i="27" s="1"/>
  <c r="Q1347" i="27"/>
  <c r="R1347" i="27" s="1"/>
  <c r="Q1346" i="27"/>
  <c r="R1346" i="27" s="1"/>
  <c r="Q1345" i="27"/>
  <c r="R1345" i="27" s="1"/>
  <c r="Q1344" i="27"/>
  <c r="R1344" i="27" s="1"/>
  <c r="Q1343" i="27"/>
  <c r="R1343" i="27" s="1"/>
  <c r="Q1342" i="27"/>
  <c r="R1342" i="27" s="1"/>
  <c r="Q1323" i="27"/>
  <c r="R1323" i="27" s="1"/>
  <c r="Q1322" i="27"/>
  <c r="R1322" i="27" s="1"/>
  <c r="Q1318" i="27"/>
  <c r="R1318" i="27" s="1"/>
  <c r="Q1313" i="27"/>
  <c r="R1313" i="27" s="1"/>
  <c r="Q1294" i="27"/>
  <c r="R1294" i="27" s="1"/>
  <c r="Q1293" i="27"/>
  <c r="R1293" i="27" s="1"/>
  <c r="Q1291" i="27"/>
  <c r="R1291" i="27" s="1"/>
  <c r="Q1290" i="27"/>
  <c r="R1290" i="27" s="1"/>
  <c r="Q1289" i="27"/>
  <c r="R1289" i="27" s="1"/>
  <c r="Q1284" i="27"/>
  <c r="R1284" i="27" s="1"/>
  <c r="Q1283" i="27"/>
  <c r="R1283" i="27" s="1"/>
  <c r="Q1278" i="27"/>
  <c r="R1278" i="27" s="1"/>
  <c r="Q1277" i="27"/>
  <c r="R1277" i="27" s="1"/>
  <c r="Q1276" i="27"/>
  <c r="R1276" i="27" s="1"/>
  <c r="Q1255" i="27"/>
  <c r="R1255" i="27" s="1"/>
  <c r="Q1254" i="27"/>
  <c r="R1254" i="27" s="1"/>
  <c r="Q1253" i="27"/>
  <c r="R1253" i="27" s="1"/>
  <c r="Q1237" i="27"/>
  <c r="R1237" i="27" s="1"/>
  <c r="Q1211" i="27"/>
  <c r="R1211" i="27" s="1"/>
  <c r="Q1196" i="27"/>
  <c r="R1196" i="27" s="1"/>
  <c r="Q1195" i="27"/>
  <c r="R1195" i="27" s="1"/>
  <c r="Q1178" i="27"/>
  <c r="R1178" i="27" s="1"/>
  <c r="Q1177" i="27"/>
  <c r="R1177" i="27" s="1"/>
  <c r="Q1174" i="27"/>
  <c r="R1174" i="27" s="1"/>
  <c r="Q1171" i="27"/>
  <c r="R1171" i="27" s="1"/>
  <c r="Q1170" i="27"/>
  <c r="R1170" i="27" s="1"/>
  <c r="Q1169" i="27"/>
  <c r="R1169" i="27" s="1"/>
  <c r="Q1168" i="27"/>
  <c r="R1168" i="27" s="1"/>
  <c r="Q1166" i="27"/>
  <c r="R1166" i="27" s="1"/>
  <c r="Q1162" i="27"/>
  <c r="R1162" i="27" s="1"/>
  <c r="Q1161" i="27"/>
  <c r="R1161" i="27" s="1"/>
  <c r="Q1153" i="27"/>
  <c r="R1153" i="27" s="1"/>
  <c r="Q1152" i="27"/>
  <c r="R1152" i="27" s="1"/>
  <c r="Q1151" i="27"/>
  <c r="R1151" i="27" s="1"/>
  <c r="Q1150" i="27"/>
  <c r="R1150" i="27" s="1"/>
  <c r="Q1149" i="27"/>
  <c r="R1149" i="27" s="1"/>
  <c r="Q1116" i="27"/>
  <c r="R1116" i="27" s="1"/>
  <c r="Q1096" i="27"/>
  <c r="R1096" i="27" s="1"/>
  <c r="Q1093" i="27"/>
  <c r="R1093" i="27" s="1"/>
  <c r="Q1085" i="27"/>
  <c r="R1085" i="27" s="1"/>
  <c r="Q1084" i="27"/>
  <c r="R1084" i="27" s="1"/>
  <c r="Q1082" i="27"/>
  <c r="R1082" i="27" s="1"/>
  <c r="Q1081" i="27"/>
  <c r="R1081" i="27" s="1"/>
  <c r="Q1079" i="27"/>
  <c r="R1079" i="27" s="1"/>
  <c r="Q1078" i="27"/>
  <c r="R1078" i="27" s="1"/>
  <c r="Q1077" i="27"/>
  <c r="R1077" i="27" s="1"/>
  <c r="Q1076" i="27"/>
  <c r="R1076" i="27" s="1"/>
  <c r="Q1060" i="27"/>
  <c r="R1060" i="27" s="1"/>
  <c r="Q1046" i="27"/>
  <c r="R1046" i="27" s="1"/>
  <c r="Q1045" i="27"/>
  <c r="R1045" i="27" s="1"/>
  <c r="Q1044" i="27"/>
  <c r="R1044" i="27" s="1"/>
  <c r="Q1040" i="27"/>
  <c r="R1040" i="27" s="1"/>
  <c r="Q1029" i="27"/>
  <c r="R1029" i="27" s="1"/>
  <c r="Q1020" i="27"/>
  <c r="R1020" i="27" s="1"/>
  <c r="Q1019" i="27"/>
  <c r="R1019" i="27" s="1"/>
  <c r="Q1018" i="27"/>
  <c r="R1018" i="27" s="1"/>
  <c r="Q1017" i="27"/>
  <c r="R1017" i="27" s="1"/>
  <c r="Q1015" i="27"/>
  <c r="R1015" i="27" s="1"/>
  <c r="Q1013" i="27"/>
  <c r="R1013" i="27" s="1"/>
  <c r="Q1011" i="27"/>
  <c r="R1011" i="27" s="1"/>
  <c r="Q1010" i="27"/>
  <c r="R1010" i="27" s="1"/>
  <c r="Q1009" i="27"/>
  <c r="R1009" i="27" s="1"/>
  <c r="Q1008" i="27"/>
  <c r="R1008" i="27" s="1"/>
  <c r="Q1007" i="27"/>
  <c r="R1007" i="27" s="1"/>
  <c r="Q1006" i="27"/>
  <c r="R1006" i="27" s="1"/>
  <c r="Q1003" i="27"/>
  <c r="R1003" i="27" s="1"/>
  <c r="Q1000" i="27"/>
  <c r="R1000" i="27" s="1"/>
  <c r="Q999" i="27"/>
  <c r="R999" i="27" s="1"/>
  <c r="Q998" i="27"/>
  <c r="R998" i="27" s="1"/>
  <c r="Q980" i="27"/>
  <c r="R980" i="27" s="1"/>
  <c r="Q979" i="27"/>
  <c r="R979" i="27" s="1"/>
  <c r="Q975" i="27"/>
  <c r="R975" i="27" s="1"/>
  <c r="Q974" i="27"/>
  <c r="R974" i="27" s="1"/>
  <c r="Q967" i="27"/>
  <c r="R967" i="27" s="1"/>
  <c r="Q966" i="27"/>
  <c r="R966" i="27" s="1"/>
  <c r="Q965" i="27"/>
  <c r="R965" i="27" s="1"/>
  <c r="Q964" i="27"/>
  <c r="R964" i="27" s="1"/>
  <c r="Q963" i="27"/>
  <c r="R963" i="27" s="1"/>
  <c r="Q962" i="27"/>
  <c r="R962" i="27" s="1"/>
  <c r="Q959" i="27"/>
  <c r="R959" i="27" s="1"/>
  <c r="Q958" i="27"/>
  <c r="R958" i="27" s="1"/>
  <c r="Q957" i="27"/>
  <c r="R957" i="27" s="1"/>
  <c r="Q956" i="27"/>
  <c r="R956" i="27" s="1"/>
  <c r="Q954" i="27"/>
  <c r="R954" i="27" s="1"/>
  <c r="Q948" i="27"/>
  <c r="R948" i="27" s="1"/>
  <c r="Q946" i="27"/>
  <c r="R946" i="27" s="1"/>
  <c r="Q945" i="27"/>
  <c r="R945" i="27" s="1"/>
  <c r="Q944" i="27"/>
  <c r="R944" i="27" s="1"/>
  <c r="Q935" i="27"/>
  <c r="R935" i="27" s="1"/>
  <c r="Q931" i="27"/>
  <c r="R931" i="27" s="1"/>
  <c r="Q930" i="27"/>
  <c r="R930" i="27" s="1"/>
  <c r="Q917" i="27"/>
  <c r="R917" i="27" s="1"/>
  <c r="Q916" i="27"/>
  <c r="R916" i="27" s="1"/>
  <c r="Q915" i="27"/>
  <c r="R915" i="27" s="1"/>
  <c r="Q914" i="27"/>
  <c r="R914" i="27" s="1"/>
  <c r="Q913" i="27"/>
  <c r="R913" i="27" s="1"/>
  <c r="Q908" i="27"/>
  <c r="R908" i="27" s="1"/>
  <c r="Q904" i="27"/>
  <c r="R904" i="27" s="1"/>
  <c r="Q903" i="27"/>
  <c r="R903" i="27" s="1"/>
  <c r="Q902" i="27"/>
  <c r="R902" i="27" s="1"/>
  <c r="Q898" i="27"/>
  <c r="R898" i="27" s="1"/>
  <c r="Q897" i="27"/>
  <c r="R897" i="27" s="1"/>
  <c r="Q891" i="27"/>
  <c r="R891" i="27" s="1"/>
  <c r="Q889" i="27"/>
  <c r="R889" i="27" s="1"/>
  <c r="Q885" i="27"/>
  <c r="R885" i="27" s="1"/>
  <c r="Q884" i="27"/>
  <c r="R884" i="27" s="1"/>
  <c r="Q849" i="27"/>
  <c r="R849" i="27" s="1"/>
  <c r="Q848" i="27"/>
  <c r="R848" i="27" s="1"/>
  <c r="Q846" i="27"/>
  <c r="R846" i="27" s="1"/>
  <c r="Q845" i="27"/>
  <c r="R845" i="27" s="1"/>
  <c r="Q844" i="27"/>
  <c r="R844" i="27" s="1"/>
  <c r="Q843" i="27"/>
  <c r="R843" i="27" s="1"/>
  <c r="Q840" i="27"/>
  <c r="R840" i="27" s="1"/>
  <c r="Q839" i="27"/>
  <c r="R839" i="27" s="1"/>
  <c r="Q838" i="27"/>
  <c r="R838" i="27" s="1"/>
  <c r="Q837" i="27"/>
  <c r="R837" i="27" s="1"/>
  <c r="Q836" i="27"/>
  <c r="R836" i="27" s="1"/>
  <c r="Q833" i="27"/>
  <c r="R833" i="27" s="1"/>
  <c r="Q831" i="27"/>
  <c r="R831" i="27" s="1"/>
  <c r="Q830" i="27"/>
  <c r="R830" i="27" s="1"/>
  <c r="Q829" i="27"/>
  <c r="R829" i="27" s="1"/>
  <c r="Q827" i="27"/>
  <c r="R827" i="27" s="1"/>
  <c r="Q826" i="27"/>
  <c r="R826" i="27" s="1"/>
  <c r="Q825" i="27"/>
  <c r="R825" i="27" s="1"/>
  <c r="Q824" i="27"/>
  <c r="R824" i="27" s="1"/>
  <c r="Q812" i="27"/>
  <c r="R812" i="27" s="1"/>
  <c r="Q810" i="27"/>
  <c r="R810" i="27" s="1"/>
  <c r="Q809" i="27"/>
  <c r="R809" i="27" s="1"/>
  <c r="Q808" i="27"/>
  <c r="R808" i="27" s="1"/>
  <c r="Q807" i="27"/>
  <c r="R807" i="27" s="1"/>
  <c r="Q806" i="27"/>
  <c r="R806" i="27" s="1"/>
  <c r="Q805" i="27"/>
  <c r="R805" i="27" s="1"/>
  <c r="Q800" i="27"/>
  <c r="R800" i="27" s="1"/>
  <c r="Q799" i="27"/>
  <c r="R799" i="27" s="1"/>
  <c r="Q795" i="27"/>
  <c r="R795" i="27" s="1"/>
  <c r="Q789" i="27"/>
  <c r="R789" i="27" s="1"/>
  <c r="Q773" i="27"/>
  <c r="R773" i="27" s="1"/>
  <c r="Q762" i="27"/>
  <c r="R762" i="27" s="1"/>
  <c r="Q761" i="27"/>
  <c r="R761" i="27" s="1"/>
  <c r="Q760" i="27"/>
  <c r="R760" i="27" s="1"/>
  <c r="Q758" i="27"/>
  <c r="R758" i="27" s="1"/>
  <c r="Q757" i="27"/>
  <c r="R757" i="27" s="1"/>
  <c r="Q754" i="27"/>
  <c r="R754" i="27" s="1"/>
  <c r="Q753" i="27"/>
  <c r="R753" i="27" s="1"/>
  <c r="Q744" i="27"/>
  <c r="R744" i="27" s="1"/>
  <c r="Q743" i="27"/>
  <c r="R743" i="27" s="1"/>
  <c r="Q741" i="27"/>
  <c r="R741" i="27" s="1"/>
  <c r="Q740" i="27"/>
  <c r="R740" i="27" s="1"/>
  <c r="Q738" i="27"/>
  <c r="R738" i="27" s="1"/>
  <c r="Q737" i="27"/>
  <c r="R737" i="27" s="1"/>
  <c r="Q736" i="27"/>
  <c r="R736" i="27" s="1"/>
  <c r="Q735" i="27"/>
  <c r="R735" i="27" s="1"/>
  <c r="Q734" i="27"/>
  <c r="R734" i="27" s="1"/>
  <c r="Q730" i="27"/>
  <c r="R730" i="27" s="1"/>
  <c r="Q726" i="27"/>
  <c r="R726" i="27" s="1"/>
  <c r="Q719" i="27"/>
  <c r="R719" i="27" s="1"/>
  <c r="Q718" i="27"/>
  <c r="R718" i="27" s="1"/>
  <c r="Q708" i="27"/>
  <c r="R708" i="27" s="1"/>
  <c r="Q705" i="27"/>
  <c r="R705" i="27" s="1"/>
  <c r="Q704" i="27"/>
  <c r="R704" i="27" s="1"/>
  <c r="Q699" i="27"/>
  <c r="R699" i="27" s="1"/>
  <c r="Q685" i="27"/>
  <c r="R685" i="27" s="1"/>
  <c r="Q679" i="27"/>
  <c r="R679" i="27" s="1"/>
  <c r="Q678" i="27"/>
  <c r="R678" i="27" s="1"/>
  <c r="Q677" i="27"/>
  <c r="R677" i="27" s="1"/>
  <c r="Q676" i="27"/>
  <c r="R676" i="27" s="1"/>
  <c r="Q675" i="27"/>
  <c r="R675" i="27" s="1"/>
  <c r="Q674" i="27"/>
  <c r="R674" i="27" s="1"/>
  <c r="Q673" i="27"/>
  <c r="R673" i="27" s="1"/>
  <c r="Q672" i="27"/>
  <c r="R672" i="27" s="1"/>
  <c r="Q668" i="27"/>
  <c r="R668" i="27" s="1"/>
  <c r="Q667" i="27"/>
  <c r="R667" i="27" s="1"/>
  <c r="Q666" i="27"/>
  <c r="R666" i="27" s="1"/>
  <c r="Q664" i="27"/>
  <c r="R664" i="27" s="1"/>
  <c r="Q663" i="27"/>
  <c r="R663" i="27" s="1"/>
  <c r="Q662" i="27"/>
  <c r="R662" i="27" s="1"/>
  <c r="Q661" i="27"/>
  <c r="R661" i="27" s="1"/>
  <c r="Q660" i="27"/>
  <c r="R660" i="27" s="1"/>
  <c r="Q659" i="27"/>
  <c r="R659" i="27" s="1"/>
  <c r="Q658" i="27"/>
  <c r="R658" i="27" s="1"/>
  <c r="Q657" i="27"/>
  <c r="R657" i="27" s="1"/>
  <c r="Q651" i="27"/>
  <c r="R651" i="27" s="1"/>
  <c r="Q650" i="27"/>
  <c r="R650" i="27" s="1"/>
  <c r="Q627" i="27"/>
  <c r="R627" i="27" s="1"/>
  <c r="Q626" i="27"/>
  <c r="R626" i="27" s="1"/>
  <c r="Q620" i="27"/>
  <c r="R620" i="27" s="1"/>
  <c r="Q615" i="27"/>
  <c r="R615" i="27" s="1"/>
  <c r="Q614" i="27"/>
  <c r="R614" i="27" s="1"/>
  <c r="Q613" i="27"/>
  <c r="R613" i="27" s="1"/>
  <c r="Q612" i="27"/>
  <c r="R612" i="27" s="1"/>
  <c r="Q611" i="27"/>
  <c r="R611" i="27" s="1"/>
  <c r="Q610" i="27"/>
  <c r="R610" i="27" s="1"/>
  <c r="Q605" i="27"/>
  <c r="R605" i="27" s="1"/>
  <c r="Q582" i="27"/>
  <c r="R582" i="27" s="1"/>
  <c r="Q581" i="27"/>
  <c r="R581" i="27" s="1"/>
  <c r="Q580" i="27"/>
  <c r="R580" i="27" s="1"/>
  <c r="Q579" i="27"/>
  <c r="R579" i="27" s="1"/>
  <c r="Q578" i="27"/>
  <c r="R578" i="27" s="1"/>
  <c r="Q577" i="27"/>
  <c r="R577" i="27" s="1"/>
  <c r="Q544" i="27"/>
  <c r="R544" i="27" s="1"/>
  <c r="Q543" i="27"/>
  <c r="R543" i="27" s="1"/>
  <c r="Q542" i="27"/>
  <c r="R542" i="27" s="1"/>
  <c r="Q541" i="27"/>
  <c r="R541" i="27" s="1"/>
  <c r="Q537" i="27"/>
  <c r="R537" i="27" s="1"/>
  <c r="Q536" i="27"/>
  <c r="R536" i="27" s="1"/>
  <c r="Q526" i="27"/>
  <c r="R526" i="27" s="1"/>
  <c r="Q523" i="27"/>
  <c r="R523" i="27" s="1"/>
  <c r="Q522" i="27"/>
  <c r="R522" i="27" s="1"/>
  <c r="Q521" i="27"/>
  <c r="R521" i="27" s="1"/>
  <c r="Q519" i="27"/>
  <c r="R519" i="27" s="1"/>
  <c r="Q518" i="27"/>
  <c r="R518" i="27" s="1"/>
  <c r="Q506" i="27"/>
  <c r="R506" i="27" s="1"/>
  <c r="Q505" i="27"/>
  <c r="R505" i="27" s="1"/>
  <c r="Q504" i="27"/>
  <c r="R504" i="27" s="1"/>
  <c r="Q494" i="27"/>
  <c r="R494" i="27" s="1"/>
  <c r="Q466" i="27"/>
  <c r="R466" i="27" s="1"/>
  <c r="Q456" i="27"/>
  <c r="R456" i="27" s="1"/>
  <c r="Q455" i="27"/>
  <c r="R455" i="27" s="1"/>
  <c r="Q454" i="27"/>
  <c r="R454" i="27" s="1"/>
  <c r="Q453" i="27"/>
  <c r="R453" i="27" s="1"/>
  <c r="Q437" i="27"/>
  <c r="R437" i="27" s="1"/>
  <c r="Q421" i="27"/>
  <c r="R421" i="27" s="1"/>
  <c r="Q400" i="27"/>
  <c r="R400" i="27" s="1"/>
  <c r="Q393" i="27"/>
  <c r="R393" i="27" s="1"/>
  <c r="Q389" i="27"/>
  <c r="R389" i="27" s="1"/>
  <c r="Q388" i="27"/>
  <c r="R388" i="27" s="1"/>
  <c r="Q387" i="27"/>
  <c r="R387" i="27" s="1"/>
  <c r="Q386" i="27"/>
  <c r="R386" i="27" s="1"/>
  <c r="Q364" i="27"/>
  <c r="R364" i="27" s="1"/>
  <c r="Q345" i="27"/>
  <c r="R345" i="27" s="1"/>
  <c r="Q344" i="27"/>
  <c r="R344" i="27" s="1"/>
  <c r="Q343" i="27"/>
  <c r="R343" i="27" s="1"/>
  <c r="Q333" i="27"/>
  <c r="R333" i="27" s="1"/>
  <c r="Q329" i="27"/>
  <c r="R329" i="27" s="1"/>
  <c r="Q315" i="27"/>
  <c r="R315" i="27" s="1"/>
  <c r="Q312" i="27"/>
  <c r="R312" i="27" s="1"/>
  <c r="Q292" i="27"/>
  <c r="R292" i="27" s="1"/>
  <c r="Q284" i="27"/>
  <c r="R284" i="27" s="1"/>
  <c r="Q280" i="27"/>
  <c r="R280" i="27" s="1"/>
  <c r="Q278" i="27"/>
  <c r="R278" i="27" s="1"/>
  <c r="Q277" i="27"/>
  <c r="R277" i="27" s="1"/>
  <c r="Q276" i="27"/>
  <c r="R276" i="27" s="1"/>
  <c r="Q275" i="27"/>
  <c r="R275" i="27" s="1"/>
  <c r="Q271" i="27"/>
  <c r="R271" i="27" s="1"/>
  <c r="Q247" i="27"/>
  <c r="R247" i="27" s="1"/>
  <c r="Q246" i="27"/>
  <c r="R246" i="27" s="1"/>
  <c r="Q245" i="27"/>
  <c r="R245" i="27" s="1"/>
  <c r="Q244" i="27"/>
  <c r="R244" i="27" s="1"/>
  <c r="Q231" i="27"/>
  <c r="R231" i="27" s="1"/>
  <c r="Q230" i="27"/>
  <c r="R230" i="27" s="1"/>
  <c r="Q229" i="27"/>
  <c r="R229" i="27" s="1"/>
  <c r="Q228" i="27"/>
  <c r="R228" i="27" s="1"/>
  <c r="Q226" i="27"/>
  <c r="R226" i="27" s="1"/>
  <c r="Q208" i="27"/>
  <c r="R208" i="27" s="1"/>
  <c r="Q195" i="27"/>
  <c r="R195" i="27" s="1"/>
  <c r="Q194" i="27"/>
  <c r="R194" i="27" s="1"/>
  <c r="Q193" i="27"/>
  <c r="R193" i="27" s="1"/>
  <c r="Q190" i="27"/>
  <c r="R190" i="27" s="1"/>
  <c r="Q188" i="27"/>
  <c r="R188" i="27" s="1"/>
  <c r="Q187" i="27"/>
  <c r="R187" i="27" s="1"/>
  <c r="Q175" i="27"/>
  <c r="R175" i="27" s="1"/>
  <c r="Q172" i="27"/>
  <c r="R172" i="27" s="1"/>
  <c r="Q162" i="27"/>
  <c r="R162" i="27" s="1"/>
  <c r="Q161" i="27"/>
  <c r="R161" i="27" s="1"/>
  <c r="Q160" i="27"/>
  <c r="R160" i="27" s="1"/>
  <c r="Q159" i="27"/>
  <c r="R159" i="27" s="1"/>
  <c r="Q158" i="27"/>
  <c r="R158" i="27" s="1"/>
  <c r="Q157" i="27"/>
  <c r="R157" i="27" s="1"/>
  <c r="Q153" i="27"/>
  <c r="R153" i="27" s="1"/>
  <c r="Q152" i="27"/>
  <c r="R152" i="27" s="1"/>
  <c r="Q151" i="27"/>
  <c r="R151" i="27" s="1"/>
  <c r="Q131" i="27"/>
  <c r="R131" i="27" s="1"/>
  <c r="Q130" i="27"/>
  <c r="R130" i="27" s="1"/>
  <c r="Q129" i="27"/>
  <c r="R129" i="27" s="1"/>
  <c r="Q126" i="27"/>
  <c r="R126" i="27" s="1"/>
  <c r="Q125" i="27"/>
  <c r="R125" i="27" s="1"/>
  <c r="Q124" i="27"/>
  <c r="R124" i="27" s="1"/>
  <c r="Q114" i="27"/>
  <c r="R114" i="27" s="1"/>
  <c r="Q112" i="27"/>
  <c r="R112" i="27" s="1"/>
  <c r="Q104" i="27"/>
  <c r="R104" i="27" s="1"/>
  <c r="Q103" i="27"/>
  <c r="R103" i="27" s="1"/>
  <c r="Q71" i="27"/>
  <c r="R71" i="27" s="1"/>
  <c r="Q70" i="27"/>
  <c r="R70" i="27" s="1"/>
  <c r="Q66" i="27"/>
  <c r="R66" i="27" s="1"/>
  <c r="Q65" i="27"/>
  <c r="R65" i="27" s="1"/>
  <c r="Q64" i="27"/>
  <c r="R64" i="27" s="1"/>
  <c r="Q63" i="27"/>
  <c r="R63" i="27" s="1"/>
  <c r="Q57" i="27"/>
  <c r="R57" i="27" s="1"/>
  <c r="Q56" i="27"/>
  <c r="R56" i="27" s="1"/>
  <c r="Q55" i="27"/>
  <c r="R55" i="27" s="1"/>
  <c r="Q54" i="27"/>
  <c r="R54" i="27" s="1"/>
  <c r="Q53" i="27"/>
  <c r="R53" i="27" s="1"/>
  <c r="Q52" i="27"/>
  <c r="R52" i="27" s="1"/>
  <c r="Q46" i="27"/>
  <c r="R46" i="27" s="1"/>
  <c r="Q42" i="27"/>
  <c r="R42" i="27" s="1"/>
  <c r="Q41" i="27"/>
  <c r="R41" i="27" s="1"/>
  <c r="Q38" i="27"/>
  <c r="R38" i="27" s="1"/>
  <c r="Q32" i="27"/>
  <c r="R32" i="27" s="1"/>
  <c r="Q30" i="27"/>
  <c r="R30" i="27" s="1"/>
  <c r="Q29" i="27"/>
  <c r="R29" i="27" s="1"/>
  <c r="Q24" i="27"/>
  <c r="R24" i="27" s="1"/>
  <c r="Q21" i="27"/>
  <c r="R21" i="27" s="1"/>
  <c r="Q19" i="27"/>
  <c r="R19" i="27" s="1"/>
  <c r="Q18" i="27"/>
  <c r="R18" i="27" s="1"/>
  <c r="Q9" i="27"/>
  <c r="R9" i="27" s="1"/>
  <c r="Q8" i="27"/>
  <c r="R8" i="27" s="1"/>
  <c r="T1929" i="27"/>
  <c r="T1928" i="27"/>
  <c r="T1927" i="27"/>
  <c r="T1926" i="27"/>
  <c r="T1925" i="27"/>
  <c r="T1924" i="27"/>
  <c r="V1924" i="27" s="1"/>
  <c r="Q1827" i="27"/>
  <c r="R1827" i="27" s="1"/>
  <c r="Q1822" i="27"/>
  <c r="R1822" i="27" s="1"/>
  <c r="Q1820" i="27"/>
  <c r="R1820" i="27" s="1"/>
  <c r="Q1819" i="27"/>
  <c r="R1819" i="27" s="1"/>
  <c r="Q1807" i="27"/>
  <c r="R1807" i="27" s="1"/>
  <c r="Q1806" i="27"/>
  <c r="R1806" i="27" s="1"/>
  <c r="Q1805" i="27"/>
  <c r="R1805" i="27" s="1"/>
  <c r="Q1804" i="27"/>
  <c r="R1804" i="27" s="1"/>
  <c r="Q1803" i="27"/>
  <c r="R1803" i="27" s="1"/>
  <c r="Q1802" i="27"/>
  <c r="R1802" i="27" s="1"/>
  <c r="Q1801" i="27"/>
  <c r="R1801" i="27" s="1"/>
  <c r="Q1800" i="27"/>
  <c r="R1800" i="27" s="1"/>
  <c r="Q1793" i="27"/>
  <c r="R1793" i="27" s="1"/>
  <c r="Q1792" i="27"/>
  <c r="R1792" i="27" s="1"/>
  <c r="Q1791" i="27"/>
  <c r="R1791" i="27" s="1"/>
  <c r="Q1671" i="27"/>
  <c r="R1671" i="27" s="1"/>
  <c r="Q1658" i="27"/>
  <c r="R1658" i="27" s="1"/>
  <c r="Q1657" i="27"/>
  <c r="R1657" i="27" s="1"/>
  <c r="Q1577" i="27"/>
  <c r="R1577" i="27" s="1"/>
  <c r="Q1480" i="27"/>
  <c r="R1480" i="27" s="1"/>
  <c r="Q1423" i="27"/>
  <c r="R1423" i="27" s="1"/>
  <c r="Q1382" i="27"/>
  <c r="R1382" i="27" s="1"/>
  <c r="Q1362" i="27"/>
  <c r="R1362" i="27" s="1"/>
  <c r="Q1361" i="27"/>
  <c r="R1361" i="27" s="1"/>
  <c r="Q1360" i="27"/>
  <c r="R1360" i="27" s="1"/>
  <c r="Q1359" i="27"/>
  <c r="R1359" i="27" s="1"/>
  <c r="Q1358" i="27"/>
  <c r="R1358" i="27" s="1"/>
  <c r="Q1307" i="27"/>
  <c r="R1307" i="27" s="1"/>
  <c r="Q1269" i="27"/>
  <c r="R1269" i="27" s="1"/>
  <c r="Q1268" i="27"/>
  <c r="R1268" i="27" s="1"/>
  <c r="Q1266" i="27"/>
  <c r="R1266" i="27" s="1"/>
  <c r="Q1261" i="27"/>
  <c r="R1261" i="27" s="1"/>
  <c r="Q1260" i="27"/>
  <c r="R1260" i="27" s="1"/>
  <c r="Q1259" i="27"/>
  <c r="R1259" i="27" s="1"/>
  <c r="Q1258" i="27"/>
  <c r="R1258" i="27" s="1"/>
  <c r="Q1252" i="27"/>
  <c r="R1252" i="27" s="1"/>
  <c r="Q1251" i="27"/>
  <c r="R1251" i="27" s="1"/>
  <c r="Q1250" i="27"/>
  <c r="R1250" i="27" s="1"/>
  <c r="Q1249" i="27"/>
  <c r="R1249" i="27" s="1"/>
  <c r="Q1248" i="27"/>
  <c r="R1248" i="27" s="1"/>
  <c r="Q1247" i="27"/>
  <c r="R1247" i="27" s="1"/>
  <c r="Q1246" i="27"/>
  <c r="R1246" i="27" s="1"/>
  <c r="Q1204" i="27"/>
  <c r="R1204" i="27" s="1"/>
  <c r="Q1203" i="27"/>
  <c r="R1203" i="27" s="1"/>
  <c r="Q1199" i="27"/>
  <c r="R1199" i="27" s="1"/>
  <c r="Q1194" i="27"/>
  <c r="R1194" i="27" s="1"/>
  <c r="Q1193" i="27"/>
  <c r="R1193" i="27" s="1"/>
  <c r="Q1192" i="27"/>
  <c r="R1192" i="27" s="1"/>
  <c r="Q1191" i="27"/>
  <c r="R1191" i="27" s="1"/>
  <c r="Q1167" i="27"/>
  <c r="R1167" i="27" s="1"/>
  <c r="Q1165" i="27"/>
  <c r="R1165" i="27" s="1"/>
  <c r="Q1159" i="27"/>
  <c r="R1159" i="27" s="1"/>
  <c r="Q1158" i="27"/>
  <c r="R1158" i="27" s="1"/>
  <c r="Q1156" i="27"/>
  <c r="R1156" i="27" s="1"/>
  <c r="Q1144" i="27"/>
  <c r="R1144" i="27" s="1"/>
  <c r="Q1143" i="27"/>
  <c r="R1143" i="27" s="1"/>
  <c r="Q1142" i="27"/>
  <c r="R1142" i="27" s="1"/>
  <c r="Q1141" i="27"/>
  <c r="R1141" i="27" s="1"/>
  <c r="Q1115" i="27"/>
  <c r="R1115" i="27" s="1"/>
  <c r="Q1108" i="27"/>
  <c r="R1108" i="27" s="1"/>
  <c r="Q1107" i="27"/>
  <c r="R1107" i="27" s="1"/>
  <c r="Q1105" i="27"/>
  <c r="R1105" i="27" s="1"/>
  <c r="Q1104" i="27"/>
  <c r="R1104" i="27" s="1"/>
  <c r="Q950" i="27"/>
  <c r="R950" i="27" s="1"/>
  <c r="Q934" i="27"/>
  <c r="R934" i="27" s="1"/>
  <c r="Q929" i="27"/>
  <c r="R929" i="27" s="1"/>
  <c r="Q928" i="27"/>
  <c r="R928" i="27" s="1"/>
  <c r="Q876" i="27"/>
  <c r="R876" i="27" s="1"/>
  <c r="Q867" i="27"/>
  <c r="R867" i="27" s="1"/>
  <c r="Q863" i="27"/>
  <c r="R863" i="27" s="1"/>
  <c r="Q814" i="27"/>
  <c r="R814" i="27" s="1"/>
  <c r="Q798" i="27"/>
  <c r="R798" i="27" s="1"/>
  <c r="Q782" i="27"/>
  <c r="R782" i="27" s="1"/>
  <c r="Q781" i="27"/>
  <c r="R781" i="27" s="1"/>
  <c r="Q780" i="27"/>
  <c r="R780" i="27" s="1"/>
  <c r="Q771" i="27"/>
  <c r="R771" i="27" s="1"/>
  <c r="Q694" i="27"/>
  <c r="R694" i="27" s="1"/>
  <c r="Q692" i="27"/>
  <c r="R692" i="27" s="1"/>
  <c r="Q684" i="27"/>
  <c r="R684" i="27" s="1"/>
  <c r="Q683" i="27"/>
  <c r="R683" i="27" s="1"/>
  <c r="Q682" i="27"/>
  <c r="R682" i="27" s="1"/>
  <c r="Q681" i="27"/>
  <c r="R681" i="27" s="1"/>
  <c r="Q680" i="27"/>
  <c r="R680" i="27" s="1"/>
  <c r="Q653" i="27"/>
  <c r="R653" i="27" s="1"/>
  <c r="Q598" i="27"/>
  <c r="R598" i="27" s="1"/>
  <c r="Q597" i="27"/>
  <c r="R597" i="27" s="1"/>
  <c r="Q596" i="27"/>
  <c r="R596" i="27" s="1"/>
  <c r="Q595" i="27"/>
  <c r="R595" i="27" s="1"/>
  <c r="Q594" i="27"/>
  <c r="R594" i="27" s="1"/>
  <c r="Q593" i="27"/>
  <c r="R593" i="27" s="1"/>
  <c r="Q591" i="27"/>
  <c r="R591" i="27" s="1"/>
  <c r="Q560" i="27"/>
  <c r="R560" i="27" s="1"/>
  <c r="Q549" i="27"/>
  <c r="R549" i="27" s="1"/>
  <c r="Q548" i="27"/>
  <c r="R548" i="27" s="1"/>
  <c r="Q547" i="27"/>
  <c r="R547" i="27" s="1"/>
  <c r="Q414" i="27"/>
  <c r="R414" i="27" s="1"/>
  <c r="Q409" i="27"/>
  <c r="R409" i="27" s="1"/>
  <c r="Q407" i="27"/>
  <c r="R407" i="27" s="1"/>
  <c r="Q405" i="27"/>
  <c r="R405" i="27" s="1"/>
  <c r="Q403" i="27"/>
  <c r="R403" i="27" s="1"/>
  <c r="Q401" i="27"/>
  <c r="R401" i="27" s="1"/>
  <c r="Q394" i="27"/>
  <c r="R394" i="27" s="1"/>
  <c r="Q371" i="27"/>
  <c r="R371" i="27" s="1"/>
  <c r="Q341" i="27"/>
  <c r="R341" i="27" s="1"/>
  <c r="Q335" i="27"/>
  <c r="R335" i="27" s="1"/>
  <c r="Q334" i="27"/>
  <c r="R334" i="27" s="1"/>
  <c r="Q305" i="27"/>
  <c r="R305" i="27" s="1"/>
  <c r="Q300" i="27"/>
  <c r="R300" i="27" s="1"/>
  <c r="Q299" i="27"/>
  <c r="R299" i="27" s="1"/>
  <c r="Q298" i="27"/>
  <c r="R298" i="27" s="1"/>
  <c r="Q297" i="27"/>
  <c r="R297" i="27" s="1"/>
  <c r="Q296" i="27"/>
  <c r="R296" i="27" s="1"/>
  <c r="Q295" i="27"/>
  <c r="R295" i="27" s="1"/>
  <c r="Q274" i="27"/>
  <c r="R274" i="27" s="1"/>
  <c r="Q273" i="27"/>
  <c r="R273" i="27" s="1"/>
  <c r="Q272" i="27"/>
  <c r="R272" i="27" s="1"/>
  <c r="Q262" i="27"/>
  <c r="R262" i="27" s="1"/>
  <c r="Q261" i="27"/>
  <c r="R261" i="27" s="1"/>
  <c r="Q260" i="27"/>
  <c r="R260" i="27" s="1"/>
  <c r="Q258" i="27"/>
  <c r="R258" i="27" s="1"/>
  <c r="Q257" i="27"/>
  <c r="R257" i="27" s="1"/>
  <c r="Q253" i="27"/>
  <c r="R253" i="27" s="1"/>
  <c r="Q250" i="27"/>
  <c r="R250" i="27" s="1"/>
  <c r="Q248" i="27"/>
  <c r="R248" i="27" s="1"/>
  <c r="Q225" i="27"/>
  <c r="R225" i="27" s="1"/>
  <c r="Q224" i="27"/>
  <c r="R224" i="27" s="1"/>
  <c r="Q223" i="27"/>
  <c r="R223" i="27" s="1"/>
  <c r="Q222" i="27"/>
  <c r="R222" i="27" s="1"/>
  <c r="Q179" i="27"/>
  <c r="R179" i="27" s="1"/>
  <c r="Q165" i="27"/>
  <c r="R165" i="27" s="1"/>
  <c r="Q154" i="27"/>
  <c r="R154" i="27" s="1"/>
  <c r="Q148" i="27"/>
  <c r="R148" i="27" s="1"/>
  <c r="Q147" i="27"/>
  <c r="R147" i="27" s="1"/>
  <c r="Q146" i="27"/>
  <c r="R146" i="27" s="1"/>
  <c r="Q145" i="27"/>
  <c r="R145" i="27" s="1"/>
  <c r="Q144" i="27"/>
  <c r="R144" i="27" s="1"/>
  <c r="Q143" i="27"/>
  <c r="R143" i="27" s="1"/>
  <c r="Q142" i="27"/>
  <c r="R142" i="27" s="1"/>
  <c r="Q134" i="27"/>
  <c r="R134" i="27" s="1"/>
  <c r="Q118" i="27"/>
  <c r="R118" i="27" s="1"/>
  <c r="Q116" i="27"/>
  <c r="R116" i="27" s="1"/>
  <c r="Q96" i="27"/>
  <c r="R96" i="27" s="1"/>
  <c r="Q95" i="27"/>
  <c r="R95" i="27" s="1"/>
  <c r="Q94" i="27"/>
  <c r="R94" i="27" s="1"/>
  <c r="Q93" i="27"/>
  <c r="R93" i="27" s="1"/>
  <c r="Q92" i="27"/>
  <c r="R92" i="27" s="1"/>
  <c r="Q91" i="27"/>
  <c r="R91" i="27" s="1"/>
  <c r="Q87" i="27"/>
  <c r="R87" i="27" s="1"/>
  <c r="Q86" i="27"/>
  <c r="R86" i="27" s="1"/>
  <c r="Q85" i="27"/>
  <c r="R85" i="27" s="1"/>
  <c r="Q84" i="27"/>
  <c r="R84" i="27" s="1"/>
  <c r="Q83" i="27"/>
  <c r="R83" i="27" s="1"/>
  <c r="Q81" i="27"/>
  <c r="R81" i="27" s="1"/>
  <c r="Q80" i="27"/>
  <c r="R80" i="27" s="1"/>
  <c r="Q79" i="27"/>
  <c r="R79" i="27" s="1"/>
  <c r="Q75" i="27"/>
  <c r="R75" i="27" s="1"/>
  <c r="Q73" i="27"/>
  <c r="R73" i="27" s="1"/>
  <c r="Q69" i="27"/>
  <c r="R69" i="27" s="1"/>
  <c r="Q1815" i="27"/>
  <c r="R1815" i="27" s="1"/>
  <c r="Q1708" i="27"/>
  <c r="R1708" i="27" s="1"/>
  <c r="Q1699" i="27"/>
  <c r="R1699" i="27" s="1"/>
  <c r="Q1620" i="27"/>
  <c r="R1620" i="27" s="1"/>
  <c r="Q1554" i="27"/>
  <c r="R1554" i="27" s="1"/>
  <c r="Q1553" i="27"/>
  <c r="R1553" i="27" s="1"/>
  <c r="Q1506" i="27"/>
  <c r="R1506" i="27" s="1"/>
  <c r="Q1492" i="27"/>
  <c r="R1492" i="27" s="1"/>
  <c r="Q1473" i="27"/>
  <c r="R1473" i="27" s="1"/>
  <c r="Q1440" i="27"/>
  <c r="R1440" i="27" s="1"/>
  <c r="Q1426" i="27"/>
  <c r="R1426" i="27" s="1"/>
  <c r="Q1370" i="27"/>
  <c r="R1370" i="27" s="1"/>
  <c r="Q1367" i="27"/>
  <c r="R1367" i="27" s="1"/>
  <c r="Q1366" i="27"/>
  <c r="R1366" i="27" s="1"/>
  <c r="Q1357" i="27"/>
  <c r="R1357" i="27" s="1"/>
  <c r="Q1356" i="27"/>
  <c r="R1356" i="27" s="1"/>
  <c r="Q1355" i="27"/>
  <c r="R1355" i="27" s="1"/>
  <c r="Q1354" i="27"/>
  <c r="R1354" i="27" s="1"/>
  <c r="Q1275" i="27"/>
  <c r="R1275" i="27" s="1"/>
  <c r="Q1273" i="27"/>
  <c r="R1273" i="27" s="1"/>
  <c r="Q1245" i="27"/>
  <c r="R1245" i="27" s="1"/>
  <c r="Q1244" i="27"/>
  <c r="R1244" i="27" s="1"/>
  <c r="Q1147" i="27"/>
  <c r="R1147" i="27" s="1"/>
  <c r="Q1145" i="27"/>
  <c r="R1145" i="27" s="1"/>
  <c r="Q1136" i="27"/>
  <c r="R1136" i="27" s="1"/>
  <c r="Q1135" i="27"/>
  <c r="R1135" i="27" s="1"/>
  <c r="Q1134" i="27"/>
  <c r="R1134" i="27" s="1"/>
  <c r="Q1056" i="27"/>
  <c r="R1056" i="27" s="1"/>
  <c r="Q1054" i="27"/>
  <c r="R1054" i="27" s="1"/>
  <c r="Q1053" i="27"/>
  <c r="R1053" i="27" s="1"/>
  <c r="Q1052" i="27"/>
  <c r="R1052" i="27" s="1"/>
  <c r="Q1051" i="27"/>
  <c r="R1051" i="27" s="1"/>
  <c r="Q1050" i="27"/>
  <c r="R1050" i="27" s="1"/>
  <c r="Q1031" i="27"/>
  <c r="R1031" i="27" s="1"/>
  <c r="Q937" i="27"/>
  <c r="R937" i="27" s="1"/>
  <c r="Q906" i="27"/>
  <c r="R906" i="27" s="1"/>
  <c r="Q905" i="27"/>
  <c r="R905" i="27" s="1"/>
  <c r="Q894" i="27"/>
  <c r="R894" i="27" s="1"/>
  <c r="Q882" i="27"/>
  <c r="R882" i="27" s="1"/>
  <c r="Q717" i="27"/>
  <c r="R717" i="27" s="1"/>
  <c r="Q687" i="27"/>
  <c r="R687" i="27" s="1"/>
  <c r="Q467" i="27"/>
  <c r="R467" i="27" s="1"/>
  <c r="Q426" i="27"/>
  <c r="R426" i="27" s="1"/>
  <c r="Q370" i="27"/>
  <c r="R370" i="27" s="1"/>
  <c r="Q331" i="27"/>
  <c r="R331" i="27" s="1"/>
  <c r="Q219" i="27"/>
  <c r="R219" i="27" s="1"/>
  <c r="Q155" i="27"/>
  <c r="R155" i="27" s="1"/>
  <c r="Q106" i="27"/>
  <c r="R106" i="27" s="1"/>
  <c r="Q72" i="27"/>
  <c r="R72" i="27" s="1"/>
  <c r="Q58" i="27"/>
  <c r="R58" i="27" s="1"/>
  <c r="Q50" i="27"/>
  <c r="R50" i="27" s="1"/>
  <c r="Q49" i="27"/>
  <c r="R49" i="27" s="1"/>
  <c r="Q15" i="27"/>
  <c r="R15" i="27" s="1"/>
  <c r="Q1496" i="27"/>
  <c r="R1496" i="27" s="1"/>
  <c r="Q1495" i="27"/>
  <c r="R1495" i="27" s="1"/>
  <c r="Q1154" i="27"/>
  <c r="R1154" i="27" s="1"/>
  <c r="Q1062" i="27"/>
  <c r="R1062" i="27" s="1"/>
  <c r="Q802" i="27"/>
  <c r="R802" i="27" s="1"/>
  <c r="Q801" i="27"/>
  <c r="R801" i="27" s="1"/>
  <c r="Q618" i="27"/>
  <c r="R618" i="27" s="1"/>
  <c r="Q419" i="27"/>
  <c r="R419" i="27" s="1"/>
  <c r="Q100" i="27"/>
  <c r="R100" i="27" s="1"/>
  <c r="Q99" i="27"/>
  <c r="R99" i="27" s="1"/>
  <c r="Q1900" i="27"/>
  <c r="R1900" i="27" s="1"/>
  <c r="Q1899" i="27"/>
  <c r="R1899" i="27" s="1"/>
  <c r="Q1898" i="27"/>
  <c r="R1898" i="27" s="1"/>
  <c r="Q1897" i="27"/>
  <c r="R1897" i="27" s="1"/>
  <c r="Q1896" i="27"/>
  <c r="R1896" i="27" s="1"/>
  <c r="Q1895" i="27"/>
  <c r="R1895" i="27" s="1"/>
  <c r="Q1883" i="27"/>
  <c r="R1883" i="27" s="1"/>
  <c r="Q1866" i="27"/>
  <c r="R1866" i="27" s="1"/>
  <c r="Q1848" i="27"/>
  <c r="R1848" i="27" s="1"/>
  <c r="Q1847" i="27"/>
  <c r="R1847" i="27" s="1"/>
  <c r="Q1846" i="27"/>
  <c r="R1846" i="27" s="1"/>
  <c r="Q1835" i="27"/>
  <c r="R1835" i="27" s="1"/>
  <c r="Q1833" i="27"/>
  <c r="R1833" i="27" s="1"/>
  <c r="Q1830" i="27"/>
  <c r="R1830" i="27" s="1"/>
  <c r="Q1829" i="27"/>
  <c r="R1829" i="27" s="1"/>
  <c r="Q1828" i="27"/>
  <c r="R1828" i="27" s="1"/>
  <c r="Q1821" i="27"/>
  <c r="R1821" i="27" s="1"/>
  <c r="Q1785" i="27"/>
  <c r="R1785" i="27" s="1"/>
  <c r="Q1773" i="27"/>
  <c r="R1773" i="27" s="1"/>
  <c r="Q1767" i="27"/>
  <c r="R1767" i="27" s="1"/>
  <c r="Q1766" i="27"/>
  <c r="R1766" i="27" s="1"/>
  <c r="Q1765" i="27"/>
  <c r="R1765" i="27" s="1"/>
  <c r="Q1758" i="27"/>
  <c r="R1758" i="27" s="1"/>
  <c r="Q1754" i="27"/>
  <c r="R1754" i="27" s="1"/>
  <c r="Q1712" i="27"/>
  <c r="R1712" i="27" s="1"/>
  <c r="Q1711" i="27"/>
  <c r="R1711" i="27" s="1"/>
  <c r="Q1710" i="27"/>
  <c r="R1710" i="27" s="1"/>
  <c r="Q1709" i="27"/>
  <c r="R1709" i="27" s="1"/>
  <c r="Q1694" i="27"/>
  <c r="R1694" i="27" s="1"/>
  <c r="Q1693" i="27"/>
  <c r="R1693" i="27" s="1"/>
  <c r="Q1689" i="27"/>
  <c r="R1689" i="27" s="1"/>
  <c r="Q1683" i="27"/>
  <c r="R1683" i="27" s="1"/>
  <c r="Q1682" i="27"/>
  <c r="R1682" i="27" s="1"/>
  <c r="Q1621" i="27"/>
  <c r="R1621" i="27" s="1"/>
  <c r="Q1619" i="27"/>
  <c r="R1619" i="27" s="1"/>
  <c r="Q1595" i="27"/>
  <c r="R1595" i="27" s="1"/>
  <c r="Q1594" i="27"/>
  <c r="R1594" i="27" s="1"/>
  <c r="Q1593" i="27"/>
  <c r="R1593" i="27" s="1"/>
  <c r="Q1592" i="27"/>
  <c r="R1592" i="27" s="1"/>
  <c r="Q1587" i="27"/>
  <c r="R1587" i="27" s="1"/>
  <c r="Q1529" i="27"/>
  <c r="R1529" i="27" s="1"/>
  <c r="Q1527" i="27"/>
  <c r="R1527" i="27" s="1"/>
  <c r="Q1526" i="27"/>
  <c r="R1526" i="27" s="1"/>
  <c r="Q1518" i="27"/>
  <c r="R1518" i="27" s="1"/>
  <c r="Q1514" i="27"/>
  <c r="R1514" i="27" s="1"/>
  <c r="Q1513" i="27"/>
  <c r="R1513" i="27" s="1"/>
  <c r="Q1512" i="27"/>
  <c r="R1512" i="27" s="1"/>
  <c r="Q1511" i="27"/>
  <c r="R1511" i="27" s="1"/>
  <c r="Q1510" i="27"/>
  <c r="R1510" i="27" s="1"/>
  <c r="Q1486" i="27"/>
  <c r="R1486" i="27" s="1"/>
  <c r="Q1485" i="27"/>
  <c r="R1485" i="27" s="1"/>
  <c r="Q1482" i="27"/>
  <c r="R1482" i="27" s="1"/>
  <c r="Q1472" i="27"/>
  <c r="R1472" i="27" s="1"/>
  <c r="Q1463" i="27"/>
  <c r="R1463" i="27" s="1"/>
  <c r="Q1462" i="27"/>
  <c r="R1462" i="27" s="1"/>
  <c r="Q1461" i="27"/>
  <c r="R1461" i="27" s="1"/>
  <c r="Q1460" i="27"/>
  <c r="R1460" i="27" s="1"/>
  <c r="Q1459" i="27"/>
  <c r="R1459" i="27" s="1"/>
  <c r="Q1455" i="27"/>
  <c r="R1455" i="27" s="1"/>
  <c r="Q1454" i="27"/>
  <c r="R1454" i="27" s="1"/>
  <c r="Q1436" i="27"/>
  <c r="R1436" i="27" s="1"/>
  <c r="Q1405" i="27"/>
  <c r="R1405" i="27" s="1"/>
  <c r="Q1404" i="27"/>
  <c r="R1404" i="27" s="1"/>
  <c r="Q1397" i="27"/>
  <c r="R1397" i="27" s="1"/>
  <c r="Q1396" i="27"/>
  <c r="R1396" i="27" s="1"/>
  <c r="Q1395" i="27"/>
  <c r="R1395" i="27" s="1"/>
  <c r="Q1391" i="27"/>
  <c r="R1391" i="27" s="1"/>
  <c r="Q1368" i="27"/>
  <c r="R1368" i="27" s="1"/>
  <c r="Q1365" i="27"/>
  <c r="R1365" i="27" s="1"/>
  <c r="Q1315" i="27"/>
  <c r="R1315" i="27" s="1"/>
  <c r="Q1314" i="27"/>
  <c r="R1314" i="27" s="1"/>
  <c r="Q1312" i="27"/>
  <c r="R1312" i="27" s="1"/>
  <c r="Q1311" i="27"/>
  <c r="R1311" i="27" s="1"/>
  <c r="Q1301" i="27"/>
  <c r="R1301" i="27" s="1"/>
  <c r="Q1300" i="27"/>
  <c r="R1300" i="27" s="1"/>
  <c r="Q1299" i="27"/>
  <c r="R1299" i="27" s="1"/>
  <c r="Q1298" i="27"/>
  <c r="R1298" i="27" s="1"/>
  <c r="Q1295" i="27"/>
  <c r="R1295" i="27" s="1"/>
  <c r="Q1267" i="27"/>
  <c r="R1267" i="27" s="1"/>
  <c r="Q1186" i="27"/>
  <c r="R1186" i="27" s="1"/>
  <c r="Q1185" i="27"/>
  <c r="R1185" i="27" s="1"/>
  <c r="Q1184" i="27"/>
  <c r="R1184" i="27" s="1"/>
  <c r="Q1183" i="27"/>
  <c r="R1183" i="27" s="1"/>
  <c r="Q1180" i="27"/>
  <c r="R1180" i="27" s="1"/>
  <c r="Q1176" i="27"/>
  <c r="R1176" i="27" s="1"/>
  <c r="Q1175" i="27"/>
  <c r="R1175" i="27" s="1"/>
  <c r="Q1173" i="27"/>
  <c r="R1173" i="27" s="1"/>
  <c r="Q1172" i="27"/>
  <c r="R1172" i="27" s="1"/>
  <c r="Q1146" i="27"/>
  <c r="R1146" i="27" s="1"/>
  <c r="Q1095" i="27"/>
  <c r="R1095" i="27" s="1"/>
  <c r="Q1094" i="27"/>
  <c r="R1094" i="27" s="1"/>
  <c r="Q1092" i="27"/>
  <c r="R1092" i="27" s="1"/>
  <c r="Q1091" i="27"/>
  <c r="R1091" i="27" s="1"/>
  <c r="Q1090" i="27"/>
  <c r="R1090" i="27" s="1"/>
  <c r="Q1089" i="27"/>
  <c r="R1089" i="27" s="1"/>
  <c r="Q1083" i="27"/>
  <c r="R1083" i="27" s="1"/>
  <c r="Q1069" i="27"/>
  <c r="R1069" i="27" s="1"/>
  <c r="Q1041" i="27"/>
  <c r="R1041" i="27" s="1"/>
  <c r="Q1028" i="27"/>
  <c r="R1028" i="27" s="1"/>
  <c r="Q1027" i="27"/>
  <c r="R1027" i="27" s="1"/>
  <c r="Q1026" i="27"/>
  <c r="R1026" i="27" s="1"/>
  <c r="Q1025" i="27"/>
  <c r="R1025" i="27" s="1"/>
  <c r="Q1024" i="27"/>
  <c r="R1024" i="27" s="1"/>
  <c r="Q1023" i="27"/>
  <c r="R1023" i="27" s="1"/>
  <c r="Q1022" i="27"/>
  <c r="R1022" i="27" s="1"/>
  <c r="Q1021" i="27"/>
  <c r="R1021" i="27" s="1"/>
  <c r="Q1014" i="27"/>
  <c r="R1014" i="27" s="1"/>
  <c r="Q1012" i="27"/>
  <c r="R1012" i="27" s="1"/>
  <c r="Q983" i="27"/>
  <c r="R983" i="27" s="1"/>
  <c r="Q977" i="27"/>
  <c r="R977" i="27" s="1"/>
  <c r="Q976" i="27"/>
  <c r="R976" i="27" s="1"/>
  <c r="Q973" i="27"/>
  <c r="R973" i="27" s="1"/>
  <c r="Q960" i="27"/>
  <c r="R960" i="27" s="1"/>
  <c r="Q955" i="27"/>
  <c r="R955" i="27" s="1"/>
  <c r="Q952" i="27"/>
  <c r="R952" i="27" s="1"/>
  <c r="Q926" i="27"/>
  <c r="R926" i="27" s="1"/>
  <c r="Q925" i="27"/>
  <c r="R925" i="27" s="1"/>
  <c r="Q912" i="27"/>
  <c r="R912" i="27" s="1"/>
  <c r="Q909" i="27"/>
  <c r="R909" i="27" s="1"/>
  <c r="Q907" i="27"/>
  <c r="R907" i="27" s="1"/>
  <c r="Q900" i="27"/>
  <c r="R900" i="27" s="1"/>
  <c r="Q893" i="27"/>
  <c r="R893" i="27" s="1"/>
  <c r="Q892" i="27"/>
  <c r="R892" i="27" s="1"/>
  <c r="Q890" i="27"/>
  <c r="R890" i="27" s="1"/>
  <c r="Q879" i="27"/>
  <c r="R879" i="27" s="1"/>
  <c r="Q862" i="27"/>
  <c r="R862" i="27" s="1"/>
  <c r="Q861" i="27"/>
  <c r="R861" i="27" s="1"/>
  <c r="Q860" i="27"/>
  <c r="R860" i="27" s="1"/>
  <c r="Q859" i="27"/>
  <c r="R859" i="27" s="1"/>
  <c r="Q858" i="27"/>
  <c r="R858" i="27" s="1"/>
  <c r="Q854" i="27"/>
  <c r="R854" i="27" s="1"/>
  <c r="Q832" i="27"/>
  <c r="R832" i="27" s="1"/>
  <c r="Q828" i="27"/>
  <c r="R828" i="27" s="1"/>
  <c r="Q819" i="27"/>
  <c r="R819" i="27" s="1"/>
  <c r="Q818" i="27"/>
  <c r="R818" i="27" s="1"/>
  <c r="Q817" i="27"/>
  <c r="R817" i="27" s="1"/>
  <c r="Q816" i="27"/>
  <c r="R816" i="27" s="1"/>
  <c r="Q815" i="27"/>
  <c r="R815" i="27" s="1"/>
  <c r="Q790" i="27"/>
  <c r="R790" i="27" s="1"/>
  <c r="Q779" i="27"/>
  <c r="R779" i="27" s="1"/>
  <c r="Q777" i="27"/>
  <c r="R777" i="27" s="1"/>
  <c r="Q772" i="27"/>
  <c r="R772" i="27" s="1"/>
  <c r="Q765" i="27"/>
  <c r="R765" i="27" s="1"/>
  <c r="Q739" i="27"/>
  <c r="R739" i="27" s="1"/>
  <c r="Q728" i="27"/>
  <c r="R728" i="27" s="1"/>
  <c r="Q727" i="27"/>
  <c r="R727" i="27" s="1"/>
  <c r="Q723" i="27"/>
  <c r="R723" i="27" s="1"/>
  <c r="Q722" i="27"/>
  <c r="R722" i="27" s="1"/>
  <c r="Q721" i="27"/>
  <c r="R721" i="27" s="1"/>
  <c r="Q703" i="27"/>
  <c r="R703" i="27" s="1"/>
  <c r="Q702" i="27"/>
  <c r="R702" i="27" s="1"/>
  <c r="Q669" i="27"/>
  <c r="R669" i="27" s="1"/>
  <c r="Q646" i="27"/>
  <c r="R646" i="27" s="1"/>
  <c r="Q645" i="27"/>
  <c r="R645" i="27" s="1"/>
  <c r="Q644" i="27"/>
  <c r="R644" i="27" s="1"/>
  <c r="Q643" i="27"/>
  <c r="R643" i="27" s="1"/>
  <c r="Q642" i="27"/>
  <c r="R642" i="27" s="1"/>
  <c r="Q603" i="27"/>
  <c r="R603" i="27" s="1"/>
  <c r="Q588" i="27"/>
  <c r="R588" i="27" s="1"/>
  <c r="Q587" i="27"/>
  <c r="R587" i="27" s="1"/>
  <c r="Q585" i="27"/>
  <c r="R585" i="27" s="1"/>
  <c r="Q583" i="27"/>
  <c r="R583" i="27" s="1"/>
  <c r="Q559" i="27"/>
  <c r="R559" i="27" s="1"/>
  <c r="Q558" i="27"/>
  <c r="R558" i="27" s="1"/>
  <c r="Q557" i="27"/>
  <c r="R557" i="27" s="1"/>
  <c r="Q556" i="27"/>
  <c r="R556" i="27" s="1"/>
  <c r="Q553" i="27"/>
  <c r="R553" i="27" s="1"/>
  <c r="Q552" i="27"/>
  <c r="R552" i="27" s="1"/>
  <c r="Q551" i="27"/>
  <c r="R551" i="27" s="1"/>
  <c r="Q550" i="27"/>
  <c r="R550" i="27" s="1"/>
  <c r="Q546" i="27"/>
  <c r="R546" i="27" s="1"/>
  <c r="Q533" i="27"/>
  <c r="R533" i="27" s="1"/>
  <c r="Q532" i="27"/>
  <c r="R532" i="27" s="1"/>
  <c r="Q525" i="27"/>
  <c r="R525" i="27" s="1"/>
  <c r="Q508" i="27"/>
  <c r="R508" i="27" s="1"/>
  <c r="Q497" i="27"/>
  <c r="R497" i="27" s="1"/>
  <c r="Q496" i="27"/>
  <c r="R496" i="27" s="1"/>
  <c r="Q495" i="27"/>
  <c r="R495" i="27" s="1"/>
  <c r="Q493" i="27"/>
  <c r="R493" i="27" s="1"/>
  <c r="Q476" i="27"/>
  <c r="R476" i="27" s="1"/>
  <c r="Q475" i="27"/>
  <c r="R475" i="27" s="1"/>
  <c r="Q474" i="27"/>
  <c r="R474" i="27" s="1"/>
  <c r="Q471" i="27"/>
  <c r="R471" i="27" s="1"/>
  <c r="Q468" i="27"/>
  <c r="R468" i="27" s="1"/>
  <c r="Q465" i="27"/>
  <c r="R465" i="27" s="1"/>
  <c r="Q464" i="27"/>
  <c r="R464" i="27" s="1"/>
  <c r="Q463" i="27"/>
  <c r="R463" i="27" s="1"/>
  <c r="Q462" i="27"/>
  <c r="R462" i="27" s="1"/>
  <c r="Q461" i="27"/>
  <c r="R461" i="27" s="1"/>
  <c r="Q458" i="27"/>
  <c r="R458" i="27" s="1"/>
  <c r="Q457" i="27"/>
  <c r="R457" i="27" s="1"/>
  <c r="Q436" i="27"/>
  <c r="R436" i="27" s="1"/>
  <c r="Q428" i="27"/>
  <c r="R428" i="27" s="1"/>
  <c r="Q427" i="27"/>
  <c r="R427" i="27" s="1"/>
  <c r="Q418" i="27"/>
  <c r="R418" i="27" s="1"/>
  <c r="Q410" i="27"/>
  <c r="R410" i="27" s="1"/>
  <c r="Q399" i="27"/>
  <c r="R399" i="27" s="1"/>
  <c r="Q398" i="27"/>
  <c r="R398" i="27" s="1"/>
  <c r="Q397" i="27"/>
  <c r="R397" i="27" s="1"/>
  <c r="Q396" i="27"/>
  <c r="R396" i="27" s="1"/>
  <c r="Q383" i="27"/>
  <c r="R383" i="27" s="1"/>
  <c r="Q363" i="27"/>
  <c r="R363" i="27" s="1"/>
  <c r="Q362" i="27"/>
  <c r="R362" i="27" s="1"/>
  <c r="Q358" i="27"/>
  <c r="R358" i="27" s="1"/>
  <c r="Q350" i="27"/>
  <c r="R350" i="27" s="1"/>
  <c r="Q346" i="27"/>
  <c r="R346" i="27" s="1"/>
  <c r="Q340" i="27"/>
  <c r="R340" i="27" s="1"/>
  <c r="Q339" i="27"/>
  <c r="R339" i="27" s="1"/>
  <c r="Q338" i="27"/>
  <c r="R338" i="27" s="1"/>
  <c r="Q332" i="27"/>
  <c r="R332" i="27" s="1"/>
  <c r="Q318" i="27"/>
  <c r="R318" i="27" s="1"/>
  <c r="Q317" i="27"/>
  <c r="R317" i="27" s="1"/>
  <c r="Q316" i="27"/>
  <c r="R316" i="27" s="1"/>
  <c r="Q291" i="27"/>
  <c r="R291" i="27" s="1"/>
  <c r="Q279" i="27"/>
  <c r="R279" i="27" s="1"/>
  <c r="Q269" i="27"/>
  <c r="R269" i="27" s="1"/>
  <c r="Q259" i="27"/>
  <c r="R259" i="27" s="1"/>
  <c r="Q243" i="27"/>
  <c r="R243" i="27" s="1"/>
  <c r="Q227" i="27"/>
  <c r="R227" i="27" s="1"/>
  <c r="Q220" i="27"/>
  <c r="R220" i="27" s="1"/>
  <c r="Q210" i="27"/>
  <c r="R210" i="27" s="1"/>
  <c r="Q206" i="27"/>
  <c r="R206" i="27" s="1"/>
  <c r="Q197" i="27"/>
  <c r="R197" i="27" s="1"/>
  <c r="Q196" i="27"/>
  <c r="R196" i="27" s="1"/>
  <c r="Q192" i="27"/>
  <c r="R192" i="27" s="1"/>
  <c r="Q191" i="27"/>
  <c r="R191" i="27" s="1"/>
  <c r="Q186" i="27"/>
  <c r="R186" i="27" s="1"/>
  <c r="Q123" i="27"/>
  <c r="R123" i="27" s="1"/>
  <c r="Q122" i="27"/>
  <c r="R122" i="27" s="1"/>
  <c r="Q121" i="27"/>
  <c r="R121" i="27" s="1"/>
  <c r="Q120" i="27"/>
  <c r="R120" i="27" s="1"/>
  <c r="Q113" i="27"/>
  <c r="R113" i="27" s="1"/>
  <c r="Q102" i="27"/>
  <c r="R102" i="27" s="1"/>
  <c r="Q74" i="27"/>
  <c r="R74" i="27" s="1"/>
  <c r="Q62" i="27"/>
  <c r="R62" i="27" s="1"/>
  <c r="Q61" i="27"/>
  <c r="R61" i="27" s="1"/>
  <c r="Q60" i="27"/>
  <c r="R60" i="27" s="1"/>
  <c r="Q59" i="27"/>
  <c r="R59" i="27" s="1"/>
  <c r="Q48" i="27"/>
  <c r="R48" i="27" s="1"/>
  <c r="Q47" i="27"/>
  <c r="R47" i="27" s="1"/>
  <c r="Q45" i="27"/>
  <c r="R45" i="27" s="1"/>
  <c r="Q33" i="27"/>
  <c r="R33" i="27" s="1"/>
  <c r="Q23" i="27"/>
  <c r="R23" i="27" s="1"/>
  <c r="Q20" i="27"/>
  <c r="R20" i="27" s="1"/>
  <c r="Q16" i="27"/>
  <c r="R16" i="27" s="1"/>
  <c r="S1929" i="27"/>
  <c r="V1929" i="27" s="1"/>
  <c r="S1928" i="27"/>
  <c r="S1927" i="27"/>
  <c r="V1927" i="27" s="1"/>
  <c r="S1926" i="27"/>
  <c r="V1926" i="27" s="1"/>
  <c r="S1925" i="27"/>
  <c r="S1924" i="27"/>
  <c r="Q1881" i="27"/>
  <c r="R1881" i="27" s="1"/>
  <c r="Q1880" i="27"/>
  <c r="R1880" i="27" s="1"/>
  <c r="Q1877" i="27"/>
  <c r="R1877" i="27" s="1"/>
  <c r="Q1876" i="27"/>
  <c r="R1876" i="27" s="1"/>
  <c r="Q1865" i="27"/>
  <c r="R1865" i="27" s="1"/>
  <c r="Q1864" i="27"/>
  <c r="R1864" i="27" s="1"/>
  <c r="Q1863" i="27"/>
  <c r="R1863" i="27" s="1"/>
  <c r="Q1862" i="27"/>
  <c r="R1862" i="27" s="1"/>
  <c r="Q1861" i="27"/>
  <c r="R1861" i="27" s="1"/>
  <c r="Q1860" i="27"/>
  <c r="R1860" i="27" s="1"/>
  <c r="Q1859" i="27"/>
  <c r="R1859" i="27" s="1"/>
  <c r="Q1858" i="27"/>
  <c r="R1858" i="27" s="1"/>
  <c r="Q1852" i="27"/>
  <c r="R1852" i="27" s="1"/>
  <c r="Q1851" i="27"/>
  <c r="R1851" i="27" s="1"/>
  <c r="Q1850" i="27"/>
  <c r="R1850" i="27" s="1"/>
  <c r="Q1756" i="27"/>
  <c r="R1756" i="27" s="1"/>
  <c r="Q1755" i="27"/>
  <c r="R1755" i="27" s="1"/>
  <c r="Q1753" i="27"/>
  <c r="R1753" i="27" s="1"/>
  <c r="Q1742" i="27"/>
  <c r="R1742" i="27" s="1"/>
  <c r="Q1741" i="27"/>
  <c r="R1741" i="27" s="1"/>
  <c r="Q1740" i="27"/>
  <c r="R1740" i="27" s="1"/>
  <c r="Q1739" i="27"/>
  <c r="R1739" i="27" s="1"/>
  <c r="Q1707" i="27"/>
  <c r="R1707" i="27" s="1"/>
  <c r="Q1681" i="27"/>
  <c r="R1681" i="27" s="1"/>
  <c r="Q1680" i="27"/>
  <c r="R1680" i="27" s="1"/>
  <c r="Q1679" i="27"/>
  <c r="R1679" i="27" s="1"/>
  <c r="Q1677" i="27"/>
  <c r="R1677" i="27" s="1"/>
  <c r="Q1676" i="27"/>
  <c r="R1676" i="27" s="1"/>
  <c r="Q1663" i="27"/>
  <c r="R1663" i="27" s="1"/>
  <c r="Q1662" i="27"/>
  <c r="R1662" i="27" s="1"/>
  <c r="Q1659" i="27"/>
  <c r="R1659" i="27" s="1"/>
  <c r="Q1623" i="27"/>
  <c r="R1623" i="27" s="1"/>
  <c r="Q1617" i="27"/>
  <c r="R1617" i="27" s="1"/>
  <c r="Q1604" i="27"/>
  <c r="R1604" i="27" s="1"/>
  <c r="Q1580" i="27"/>
  <c r="R1580" i="27" s="1"/>
  <c r="Q1571" i="27"/>
  <c r="R1571" i="27" s="1"/>
  <c r="Q1555" i="27"/>
  <c r="R1555" i="27" s="1"/>
  <c r="Q1517" i="27"/>
  <c r="R1517" i="27" s="1"/>
  <c r="Q1515" i="27"/>
  <c r="R1515" i="27" s="1"/>
  <c r="Q1504" i="27"/>
  <c r="R1504" i="27" s="1"/>
  <c r="Q1488" i="27"/>
  <c r="R1488" i="27" s="1"/>
  <c r="Q1483" i="27"/>
  <c r="R1483" i="27" s="1"/>
  <c r="Q1481" i="27"/>
  <c r="R1481" i="27" s="1"/>
  <c r="Q1427" i="27"/>
  <c r="R1427" i="27" s="1"/>
  <c r="Q1417" i="27"/>
  <c r="R1417" i="27" s="1"/>
  <c r="Q1403" i="27"/>
  <c r="R1403" i="27" s="1"/>
  <c r="Q1363" i="27"/>
  <c r="R1363" i="27" s="1"/>
  <c r="Q1340" i="27"/>
  <c r="R1340" i="27" s="1"/>
  <c r="Q1339" i="27"/>
  <c r="R1339" i="27" s="1"/>
  <c r="Q1338" i="27"/>
  <c r="R1338" i="27" s="1"/>
  <c r="Q1337" i="27"/>
  <c r="R1337" i="27" s="1"/>
  <c r="Q1336" i="27"/>
  <c r="R1336" i="27" s="1"/>
  <c r="Q1335" i="27"/>
  <c r="R1335" i="27" s="1"/>
  <c r="Q1317" i="27"/>
  <c r="R1317" i="27" s="1"/>
  <c r="Q1316" i="27"/>
  <c r="R1316" i="27" s="1"/>
  <c r="Q1308" i="27"/>
  <c r="R1308" i="27" s="1"/>
  <c r="Q1305" i="27"/>
  <c r="R1305" i="27" s="1"/>
  <c r="Q1304" i="27"/>
  <c r="R1304" i="27" s="1"/>
  <c r="Q1303" i="27"/>
  <c r="R1303" i="27" s="1"/>
  <c r="Q1302" i="27"/>
  <c r="R1302" i="27" s="1"/>
  <c r="Q1288" i="27"/>
  <c r="R1288" i="27" s="1"/>
  <c r="Q1287" i="27"/>
  <c r="R1287" i="27" s="1"/>
  <c r="Q1286" i="27"/>
  <c r="R1286" i="27" s="1"/>
  <c r="Q1285" i="27"/>
  <c r="R1285" i="27" s="1"/>
  <c r="Q1282" i="27"/>
  <c r="R1282" i="27" s="1"/>
  <c r="Q1281" i="27"/>
  <c r="R1281" i="27" s="1"/>
  <c r="Q1279" i="27"/>
  <c r="R1279" i="27" s="1"/>
  <c r="Q1272" i="27"/>
  <c r="R1272" i="27" s="1"/>
  <c r="Q1262" i="27"/>
  <c r="R1262" i="27" s="1"/>
  <c r="Q1256" i="27"/>
  <c r="R1256" i="27" s="1"/>
  <c r="Q1207" i="27"/>
  <c r="R1207" i="27" s="1"/>
  <c r="Q1206" i="27"/>
  <c r="R1206" i="27" s="1"/>
  <c r="Q1189" i="27"/>
  <c r="R1189" i="27" s="1"/>
  <c r="Q1188" i="27"/>
  <c r="R1188" i="27" s="1"/>
  <c r="Q1187" i="27"/>
  <c r="R1187" i="27" s="1"/>
  <c r="Q1179" i="27"/>
  <c r="R1179" i="27" s="1"/>
  <c r="Q1148" i="27"/>
  <c r="R1148" i="27" s="1"/>
  <c r="Q1137" i="27"/>
  <c r="R1137" i="27" s="1"/>
  <c r="Q1061" i="27"/>
  <c r="R1061" i="27" s="1"/>
  <c r="Q1058" i="27"/>
  <c r="R1058" i="27" s="1"/>
  <c r="Q1057" i="27"/>
  <c r="R1057" i="27" s="1"/>
  <c r="Q1055" i="27"/>
  <c r="R1055" i="27" s="1"/>
  <c r="Q1047" i="27"/>
  <c r="R1047" i="27" s="1"/>
  <c r="Q990" i="27"/>
  <c r="R990" i="27" s="1"/>
  <c r="Q989" i="27"/>
  <c r="R989" i="27" s="1"/>
  <c r="Q987" i="27"/>
  <c r="R987" i="27" s="1"/>
  <c r="Q986" i="27"/>
  <c r="R986" i="27" s="1"/>
  <c r="Q982" i="27"/>
  <c r="R982" i="27" s="1"/>
  <c r="Q978" i="27"/>
  <c r="R978" i="27" s="1"/>
  <c r="Q953" i="27"/>
  <c r="R953" i="27" s="1"/>
  <c r="Q888" i="27"/>
  <c r="R888" i="27" s="1"/>
  <c r="Q886" i="27"/>
  <c r="R886" i="27" s="1"/>
  <c r="Q883" i="27"/>
  <c r="R883" i="27" s="1"/>
  <c r="Q878" i="27"/>
  <c r="R878" i="27" s="1"/>
  <c r="Q877" i="27"/>
  <c r="R877" i="27" s="1"/>
  <c r="Q875" i="27"/>
  <c r="R875" i="27" s="1"/>
  <c r="Q874" i="27"/>
  <c r="R874" i="27" s="1"/>
  <c r="Q873" i="27"/>
  <c r="R873" i="27" s="1"/>
  <c r="Q850" i="27"/>
  <c r="R850" i="27" s="1"/>
  <c r="Q794" i="27"/>
  <c r="R794" i="27" s="1"/>
  <c r="Q792" i="27"/>
  <c r="R792" i="27" s="1"/>
  <c r="Q791" i="27"/>
  <c r="R791" i="27" s="1"/>
  <c r="Q785" i="27"/>
  <c r="R785" i="27" s="1"/>
  <c r="Q770" i="27"/>
  <c r="R770" i="27" s="1"/>
  <c r="Q767" i="27"/>
  <c r="R767" i="27" s="1"/>
  <c r="Q766" i="27"/>
  <c r="R766" i="27" s="1"/>
  <c r="Q764" i="27"/>
  <c r="R764" i="27" s="1"/>
  <c r="Q763" i="27"/>
  <c r="R763" i="27" s="1"/>
  <c r="Q747" i="27"/>
  <c r="R747" i="27" s="1"/>
  <c r="Q746" i="27"/>
  <c r="R746" i="27" s="1"/>
  <c r="Q713" i="27"/>
  <c r="R713" i="27" s="1"/>
  <c r="Q712" i="27"/>
  <c r="R712" i="27" s="1"/>
  <c r="Q710" i="27"/>
  <c r="R710" i="27" s="1"/>
  <c r="Q709" i="27"/>
  <c r="R709" i="27" s="1"/>
  <c r="Q700" i="27"/>
  <c r="R700" i="27" s="1"/>
  <c r="Q696" i="27"/>
  <c r="R696" i="27" s="1"/>
  <c r="Q695" i="27"/>
  <c r="R695" i="27" s="1"/>
  <c r="Q691" i="27"/>
  <c r="R691" i="27" s="1"/>
  <c r="Q690" i="27"/>
  <c r="R690" i="27" s="1"/>
  <c r="Q648" i="27"/>
  <c r="R648" i="27" s="1"/>
  <c r="Q647" i="27"/>
  <c r="R647" i="27" s="1"/>
  <c r="Q641" i="27"/>
  <c r="R641" i="27" s="1"/>
  <c r="Q640" i="27"/>
  <c r="R640" i="27" s="1"/>
  <c r="Q635" i="27"/>
  <c r="R635" i="27" s="1"/>
  <c r="Q629" i="27"/>
  <c r="R629" i="27" s="1"/>
  <c r="Q624" i="27"/>
  <c r="R624" i="27" s="1"/>
  <c r="Q622" i="27"/>
  <c r="R622" i="27" s="1"/>
  <c r="Q592" i="27"/>
  <c r="R592" i="27" s="1"/>
  <c r="Q568" i="27"/>
  <c r="R568" i="27" s="1"/>
  <c r="Q565" i="27"/>
  <c r="R565" i="27" s="1"/>
  <c r="Q564" i="27"/>
  <c r="R564" i="27" s="1"/>
  <c r="Q563" i="27"/>
  <c r="R563" i="27" s="1"/>
  <c r="Q562" i="27"/>
  <c r="R562" i="27" s="1"/>
  <c r="Q561" i="27"/>
  <c r="R561" i="27" s="1"/>
  <c r="Q540" i="27"/>
  <c r="R540" i="27" s="1"/>
  <c r="Q538" i="27"/>
  <c r="R538" i="27" s="1"/>
  <c r="Q531" i="27"/>
  <c r="R531" i="27" s="1"/>
  <c r="Q530" i="27"/>
  <c r="R530" i="27" s="1"/>
  <c r="Q527" i="27"/>
  <c r="R527" i="27" s="1"/>
  <c r="Q498" i="27"/>
  <c r="R498" i="27" s="1"/>
  <c r="Q490" i="27"/>
  <c r="R490" i="27" s="1"/>
  <c r="Q489" i="27"/>
  <c r="R489" i="27" s="1"/>
  <c r="Q488" i="27"/>
  <c r="R488" i="27" s="1"/>
  <c r="Q487" i="27"/>
  <c r="R487" i="27" s="1"/>
  <c r="Q486" i="27"/>
  <c r="R486" i="27" s="1"/>
  <c r="Q485" i="27"/>
  <c r="R485" i="27" s="1"/>
  <c r="Q483" i="27"/>
  <c r="R483" i="27" s="1"/>
  <c r="Q477" i="27"/>
  <c r="R477" i="27" s="1"/>
  <c r="Q473" i="27"/>
  <c r="R473" i="27" s="1"/>
  <c r="Q472" i="27"/>
  <c r="R472" i="27" s="1"/>
  <c r="Q452" i="27"/>
  <c r="R452" i="27" s="1"/>
  <c r="Q443" i="27"/>
  <c r="R443" i="27" s="1"/>
  <c r="Q442" i="27"/>
  <c r="R442" i="27" s="1"/>
  <c r="Q441" i="27"/>
  <c r="R441" i="27" s="1"/>
  <c r="Q434" i="27"/>
  <c r="R434" i="27" s="1"/>
  <c r="Q433" i="27"/>
  <c r="R433" i="27" s="1"/>
  <c r="Q432" i="27"/>
  <c r="R432" i="27" s="1"/>
  <c r="Q431" i="27"/>
  <c r="R431" i="27" s="1"/>
  <c r="Q423" i="27"/>
  <c r="R423" i="27" s="1"/>
  <c r="Q420" i="27"/>
  <c r="R420" i="27" s="1"/>
  <c r="Q417" i="27"/>
  <c r="R417" i="27" s="1"/>
  <c r="Q415" i="27"/>
  <c r="R415" i="27" s="1"/>
  <c r="Q408" i="27"/>
  <c r="R408" i="27" s="1"/>
  <c r="Q406" i="27"/>
  <c r="R406" i="27" s="1"/>
  <c r="Q404" i="27"/>
  <c r="R404" i="27" s="1"/>
  <c r="Q402" i="27"/>
  <c r="R402" i="27" s="1"/>
  <c r="Q395" i="27"/>
  <c r="R395" i="27" s="1"/>
  <c r="Q382" i="27"/>
  <c r="R382" i="27" s="1"/>
  <c r="Q380" i="27"/>
  <c r="R380" i="27" s="1"/>
  <c r="Q379" i="27"/>
  <c r="R379" i="27" s="1"/>
  <c r="Q378" i="27"/>
  <c r="R378" i="27" s="1"/>
  <c r="Q377" i="27"/>
  <c r="R377" i="27" s="1"/>
  <c r="Q376" i="27"/>
  <c r="R376" i="27" s="1"/>
  <c r="Q373" i="27"/>
  <c r="R373" i="27" s="1"/>
  <c r="Q372" i="27"/>
  <c r="R372" i="27" s="1"/>
  <c r="Q361" i="27"/>
  <c r="R361" i="27" s="1"/>
  <c r="Q360" i="27"/>
  <c r="R360" i="27" s="1"/>
  <c r="Q314" i="27"/>
  <c r="R314" i="27" s="1"/>
  <c r="Q313" i="27"/>
  <c r="R313" i="27" s="1"/>
  <c r="Q307" i="27"/>
  <c r="R307" i="27" s="1"/>
  <c r="Q306" i="27"/>
  <c r="R306" i="27" s="1"/>
  <c r="Q304" i="27"/>
  <c r="R304" i="27" s="1"/>
  <c r="Q301" i="27"/>
  <c r="R301" i="27" s="1"/>
  <c r="Q268" i="27"/>
  <c r="R268" i="27" s="1"/>
  <c r="Q266" i="27"/>
  <c r="R266" i="27" s="1"/>
  <c r="Q254" i="27"/>
  <c r="R254" i="27" s="1"/>
  <c r="Q252" i="27"/>
  <c r="R252" i="27" s="1"/>
  <c r="Q251" i="27"/>
  <c r="R251" i="27" s="1"/>
  <c r="Q249" i="27"/>
  <c r="R249" i="27" s="1"/>
  <c r="Q218" i="27"/>
  <c r="R218" i="27" s="1"/>
  <c r="Q217" i="27"/>
  <c r="R217" i="27" s="1"/>
  <c r="Q216" i="27"/>
  <c r="R216" i="27" s="1"/>
  <c r="Q215" i="27"/>
  <c r="R215" i="27" s="1"/>
  <c r="Q214" i="27"/>
  <c r="R214" i="27" s="1"/>
  <c r="Q213" i="27"/>
  <c r="R213" i="27" s="1"/>
  <c r="Q212" i="27"/>
  <c r="R212" i="27" s="1"/>
  <c r="Q211" i="27"/>
  <c r="R211" i="27" s="1"/>
  <c r="Q189" i="27"/>
  <c r="R189" i="27" s="1"/>
  <c r="Q181" i="27"/>
  <c r="R181" i="27" s="1"/>
  <c r="Q180" i="27"/>
  <c r="R180" i="27" s="1"/>
  <c r="Q177" i="27"/>
  <c r="R177" i="27" s="1"/>
  <c r="Q176" i="27"/>
  <c r="R176" i="27" s="1"/>
  <c r="Q174" i="27"/>
  <c r="R174" i="27" s="1"/>
  <c r="Q173" i="27"/>
  <c r="R173" i="27" s="1"/>
  <c r="Q150" i="27"/>
  <c r="R150" i="27" s="1"/>
  <c r="Q149" i="27"/>
  <c r="R149" i="27" s="1"/>
  <c r="Q141" i="27"/>
  <c r="R141" i="27" s="1"/>
  <c r="Q140" i="27"/>
  <c r="R140" i="27" s="1"/>
  <c r="Q139" i="27"/>
  <c r="R139" i="27" s="1"/>
  <c r="Q138" i="27"/>
  <c r="R138" i="27" s="1"/>
  <c r="Q137" i="27"/>
  <c r="R137" i="27" s="1"/>
  <c r="Q136" i="27"/>
  <c r="R136" i="27" s="1"/>
  <c r="Q111" i="27"/>
  <c r="R111" i="27" s="1"/>
  <c r="Q110" i="27"/>
  <c r="R110" i="27" s="1"/>
  <c r="Q109" i="27"/>
  <c r="R109" i="27" s="1"/>
  <c r="Q108" i="27"/>
  <c r="R108" i="27" s="1"/>
  <c r="Q97" i="27"/>
  <c r="R97" i="27" s="1"/>
  <c r="Q37" i="27"/>
  <c r="R37" i="27" s="1"/>
  <c r="Q36" i="27"/>
  <c r="R36" i="27" s="1"/>
  <c r="Q34" i="27"/>
  <c r="R34" i="27" s="1"/>
  <c r="Q31" i="27"/>
  <c r="R31" i="27" s="1"/>
  <c r="Q28" i="27"/>
  <c r="R28" i="27" s="1"/>
  <c r="Q25" i="27"/>
  <c r="R25" i="27" s="1"/>
  <c r="Q14" i="27"/>
  <c r="R14" i="27" s="1"/>
  <c r="Q10" i="27"/>
  <c r="R10" i="27" s="1"/>
  <c r="Q5" i="27"/>
  <c r="R5" i="27" s="1"/>
  <c r="Q4" i="27"/>
  <c r="R4" i="27" s="1"/>
  <c r="Q2" i="27"/>
  <c r="R2" i="27" s="1"/>
  <c r="R1920" i="27" l="1"/>
  <c r="V1928" i="27" s="1"/>
  <c r="V1925" i="27"/>
  <c r="A60" i="26"/>
  <c r="A70" i="25"/>
  <c r="A90" i="24"/>
  <c r="A90" i="23"/>
  <c r="A100" i="22"/>
  <c r="A105" i="21"/>
  <c r="A60" i="20"/>
  <c r="A90" i="19"/>
  <c r="A115" i="18"/>
  <c r="A130" i="17"/>
  <c r="A100" i="16"/>
  <c r="A80" i="15"/>
  <c r="A20" i="14"/>
  <c r="A50" i="13"/>
  <c r="A100" i="12"/>
  <c r="A100" i="11"/>
  <c r="A110" i="10"/>
  <c r="A105" i="9"/>
  <c r="A100" i="8"/>
  <c r="A50" i="7"/>
  <c r="A70" i="6"/>
  <c r="A130" i="5"/>
  <c r="A135" i="4"/>
  <c r="A100" i="3"/>
  <c r="A100" i="1"/>
  <c r="A36" i="2"/>
  <c r="B100" i="1" s="1"/>
  <c r="B100" i="3" s="1"/>
  <c r="B135" i="4" s="1"/>
  <c r="B130" i="5" s="1"/>
  <c r="B70" i="6" s="1"/>
  <c r="B50" i="7" s="1"/>
  <c r="B100" i="8" s="1"/>
  <c r="B105" i="9" s="1"/>
  <c r="B110" i="10" s="1"/>
  <c r="B100" i="11" s="1"/>
  <c r="B100" i="12" s="1"/>
  <c r="B50" i="13" s="1"/>
  <c r="B20" i="14" s="1"/>
  <c r="B80" i="15" s="1"/>
  <c r="B100" i="16" s="1"/>
  <c r="B130" i="17" s="1"/>
  <c r="B115" i="18" s="1"/>
  <c r="B90" i="19" s="1"/>
  <c r="B60" i="20" s="1"/>
  <c r="B105" i="21" s="1"/>
  <c r="B100" i="22" s="1"/>
  <c r="B90" i="23" s="1"/>
  <c r="B90" i="24" s="1"/>
  <c r="B70" i="25" s="1"/>
  <c r="B60" i="26" s="1"/>
</calcChain>
</file>

<file path=xl/sharedStrings.xml><?xml version="1.0" encoding="utf-8"?>
<sst xmlns="http://schemas.openxmlformats.org/spreadsheetml/2006/main" count="61818" uniqueCount="6753">
  <si>
    <t>Production Output</t>
  </si>
  <si>
    <t>Filter: Date Completed: 01/03/25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</si>
  <si>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</si>
  <si>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</si>
  <si>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</si>
  <si>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</si>
  <si>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</si>
  <si>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</si>
  <si>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</si>
  <si>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</si>
  <si>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</si>
  <si>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</si>
  <si>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</si>
  <si>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</si>
  <si>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</si>
  <si>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</si>
  <si>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</si>
  <si>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</si>
  <si>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</si>
  <si>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</si>
  <si>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</si>
  <si>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</si>
  <si>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</si>
  <si>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</si>
  <si>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</si>
  <si>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</si>
  <si>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</si>
  <si>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</si>
  <si>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</si>
  <si>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</si>
  <si>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</si>
  <si>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</si>
  <si>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</si>
  <si>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</si>
  <si>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</si>
  <si>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</si>
  <si>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</si>
  <si>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</si>
  <si>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</si>
  <si>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</si>
  <si>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</si>
  <si>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</si>
  <si>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</si>
  <si>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</si>
  <si>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</si>
  <si>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</si>
  <si>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</si>
  <si>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</si>
  <si>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</si>
  <si>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</si>
  <si>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</si>
  <si>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</si>
  <si>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</si>
  <si>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</si>
  <si>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</si>
  <si>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</si>
  <si>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</si>
  <si>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</si>
  <si>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</si>
  <si>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</si>
  <si>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W0672678</t>
  </si>
  <si>
    <t>502LAUGH</t>
  </si>
  <si>
    <t>10639931017/10639931014</t>
  </si>
  <si>
    <t>Yes</t>
  </si>
  <si>
    <t>PM45</t>
  </si>
  <si>
    <t>PE</t>
  </si>
  <si>
    <t>5180-0100-BH2120001</t>
  </si>
  <si>
    <t>5180-0100-BH212</t>
  </si>
  <si>
    <t>H08031-JIM</t>
  </si>
  <si>
    <t>No</t>
  </si>
  <si>
    <t>W662404</t>
  </si>
  <si>
    <t>S0350610</t>
  </si>
  <si>
    <t>W0675375</t>
  </si>
  <si>
    <t xml:space="preserve"> 4:49:47 pm</t>
  </si>
  <si>
    <t>10584752088/10584752089/10584752090/10584752091/10584752092</t>
  </si>
  <si>
    <t>QM87</t>
  </si>
  <si>
    <t>5180-0103-BH2120001</t>
  </si>
  <si>
    <t>5180-0103-BH212</t>
  </si>
  <si>
    <t>W662929</t>
  </si>
  <si>
    <t>S0353172</t>
  </si>
  <si>
    <t>W0675403</t>
  </si>
  <si>
    <t xml:space="preserve"> 8:37:26 am</t>
  </si>
  <si>
    <t>10639931087/10639931085/10620258096/10620258095/10620258094</t>
  </si>
  <si>
    <t>5180-0102-BH2120001</t>
  </si>
  <si>
    <t>5180-0102-BH212</t>
  </si>
  <si>
    <t>W662931</t>
  </si>
  <si>
    <t>S0353204</t>
  </si>
  <si>
    <t>W0678396</t>
  </si>
  <si>
    <t xml:space="preserve"> 9:00:27 am</t>
  </si>
  <si>
    <t>SG-564141001</t>
  </si>
  <si>
    <t>PM59</t>
  </si>
  <si>
    <t>B02083</t>
  </si>
  <si>
    <t>W662946</t>
  </si>
  <si>
    <t>S0357120</t>
  </si>
  <si>
    <t>W0678397</t>
  </si>
  <si>
    <t>505KANGHS</t>
  </si>
  <si>
    <t xml:space="preserve"> 8:39:41 am</t>
  </si>
  <si>
    <t>73N</t>
  </si>
  <si>
    <t>PM18</t>
  </si>
  <si>
    <t>W663294</t>
  </si>
  <si>
    <t>S0357121</t>
  </si>
  <si>
    <t>W0678636</t>
  </si>
  <si>
    <t xml:space="preserve"> 8:54:11 am</t>
  </si>
  <si>
    <t>D007Y0190/D006A5780/D007Y0190</t>
  </si>
  <si>
    <t>QM54</t>
  </si>
  <si>
    <t>1VU26-80043-FT0001</t>
  </si>
  <si>
    <t>1VU26-80043-FT</t>
  </si>
  <si>
    <t>H08031-JIM-M</t>
  </si>
  <si>
    <t>W661939</t>
  </si>
  <si>
    <t>S0357400</t>
  </si>
  <si>
    <t>W0679261</t>
  </si>
  <si>
    <t xml:space="preserve"> 8:40:28 am</t>
  </si>
  <si>
    <t>4103018U5A</t>
  </si>
  <si>
    <t>PS66</t>
  </si>
  <si>
    <t>260-6403-000001</t>
  </si>
  <si>
    <t>260-6403-00</t>
  </si>
  <si>
    <t>J10025</t>
  </si>
  <si>
    <t>W662152</t>
  </si>
  <si>
    <t>S0357888</t>
  </si>
  <si>
    <t>W0679265</t>
  </si>
  <si>
    <t xml:space="preserve"> 2:58:25 pm</t>
  </si>
  <si>
    <t>260-6482-000001</t>
  </si>
  <si>
    <t>260-6482-00</t>
  </si>
  <si>
    <t>W662205</t>
  </si>
  <si>
    <t>W0679360</t>
  </si>
  <si>
    <t xml:space="preserve"> 8:37:07 am</t>
  </si>
  <si>
    <t>D005I8320/D00676710</t>
  </si>
  <si>
    <t>PM74</t>
  </si>
  <si>
    <t>6ZE06-80002-FT0001</t>
  </si>
  <si>
    <t>6ZE06-80002-FT</t>
  </si>
  <si>
    <t>W662154</t>
  </si>
  <si>
    <t>S0358096</t>
  </si>
  <si>
    <t>W0679476</t>
  </si>
  <si>
    <t xml:space="preserve"> 8:45:36 am</t>
  </si>
  <si>
    <t>J00T59660</t>
  </si>
  <si>
    <t>PS95</t>
  </si>
  <si>
    <t>W661986</t>
  </si>
  <si>
    <t>S0358239</t>
  </si>
  <si>
    <t>W0679477</t>
  </si>
  <si>
    <t xml:space="preserve"> 8:47:06 am</t>
  </si>
  <si>
    <t>W661987</t>
  </si>
  <si>
    <t>W0679478</t>
  </si>
  <si>
    <t xml:space="preserve"> 8:46:22 am</t>
  </si>
  <si>
    <t>W661988</t>
  </si>
  <si>
    <t>W0679521</t>
  </si>
  <si>
    <t xml:space="preserve"> 3:36:54 pm</t>
  </si>
  <si>
    <t>D00676710/D005I8320</t>
  </si>
  <si>
    <t>6ZE04-80002-FT0001</t>
  </si>
  <si>
    <t>6ZE04-80002-FT</t>
  </si>
  <si>
    <t>W662155</t>
  </si>
  <si>
    <t>S0358297</t>
  </si>
  <si>
    <t>W0679579</t>
  </si>
  <si>
    <t xml:space="preserve"> 9:12:20 am</t>
  </si>
  <si>
    <t>5305412-04-02-06/5305412-04-03-01/5305412-04-03-03</t>
  </si>
  <si>
    <t>QC04</t>
  </si>
  <si>
    <t>723852900-PROTO 0001</t>
  </si>
  <si>
    <t>723852900-PROTO D</t>
  </si>
  <si>
    <t>S19314</t>
  </si>
  <si>
    <t>W662206</t>
  </si>
  <si>
    <t>H0064583</t>
  </si>
  <si>
    <t>W0679612</t>
  </si>
  <si>
    <t xml:space="preserve"> 8:50:40 am</t>
  </si>
  <si>
    <t>40085H051</t>
  </si>
  <si>
    <t>PM17</t>
  </si>
  <si>
    <t>FRAGILE LABEL0004</t>
  </si>
  <si>
    <t>FRAGILE LABEL</t>
  </si>
  <si>
    <t>M13367</t>
  </si>
  <si>
    <t>W662011</t>
  </si>
  <si>
    <t>S0358328</t>
  </si>
  <si>
    <t>W0679666</t>
  </si>
  <si>
    <t xml:space="preserve"> 4:03:05 pm</t>
  </si>
  <si>
    <t>E0801904/M0BSO4480</t>
  </si>
  <si>
    <t>PM14</t>
  </si>
  <si>
    <t>762070100 REVA0001</t>
  </si>
  <si>
    <t>762070100 REVA</t>
  </si>
  <si>
    <t>S19081-TH</t>
  </si>
  <si>
    <t>W662136</t>
  </si>
  <si>
    <t>H0064623</t>
  </si>
  <si>
    <t>W0679688</t>
  </si>
  <si>
    <t xml:space="preserve"> 8:57:51 am</t>
  </si>
  <si>
    <t>SG-5630465</t>
  </si>
  <si>
    <t>PM09</t>
  </si>
  <si>
    <t>I09180</t>
  </si>
  <si>
    <t>W662016</t>
  </si>
  <si>
    <t>S0358363</t>
  </si>
  <si>
    <t>W0679753</t>
  </si>
  <si>
    <t xml:space="preserve"> 8:59:11 am</t>
  </si>
  <si>
    <t>G2329005</t>
  </si>
  <si>
    <t>PM84</t>
  </si>
  <si>
    <t>0098-85000001</t>
  </si>
  <si>
    <t>C02-0098-8500</t>
  </si>
  <si>
    <t>G07042-M</t>
  </si>
  <si>
    <t>W662023</t>
  </si>
  <si>
    <t>S0358422</t>
  </si>
  <si>
    <t>W0679913</t>
  </si>
  <si>
    <t xml:space="preserve"> 5:19:21 pm</t>
  </si>
  <si>
    <t>4111523U5A/4111522U5A/4111521U5A</t>
  </si>
  <si>
    <t>PM61</t>
  </si>
  <si>
    <t>260-6012-000001</t>
  </si>
  <si>
    <t>260-6012-00</t>
  </si>
  <si>
    <t>W662213</t>
  </si>
  <si>
    <t>S0358486</t>
  </si>
  <si>
    <t>W0680071</t>
  </si>
  <si>
    <t>4071802U5</t>
  </si>
  <si>
    <t>807192 REV 4000001</t>
  </si>
  <si>
    <t>807192 REV 400</t>
  </si>
  <si>
    <t>V22000</t>
  </si>
  <si>
    <t>W662037</t>
  </si>
  <si>
    <t>S0358750</t>
  </si>
  <si>
    <t>W0680094</t>
  </si>
  <si>
    <t xml:space="preserve"> 8:44:51 am</t>
  </si>
  <si>
    <t>W662040</t>
  </si>
  <si>
    <t>S0358764</t>
  </si>
  <si>
    <t>W0680240</t>
  </si>
  <si>
    <t xml:space="preserve"> 8:36:45 am</t>
  </si>
  <si>
    <t>U3B12S049</t>
  </si>
  <si>
    <t>PM68</t>
  </si>
  <si>
    <t>039714 REV5000001</t>
  </si>
  <si>
    <t>039714 REV500</t>
  </si>
  <si>
    <t>W662051</t>
  </si>
  <si>
    <t>S0359014</t>
  </si>
  <si>
    <t>W0680267</t>
  </si>
  <si>
    <t xml:space="preserve"> 8:56:30 am</t>
  </si>
  <si>
    <t>W662053</t>
  </si>
  <si>
    <t>S0359039</t>
  </si>
  <si>
    <t>W0680274</t>
  </si>
  <si>
    <t xml:space="preserve"> 8:34:26 am</t>
  </si>
  <si>
    <t>SG-5641511-01</t>
  </si>
  <si>
    <t>PS96</t>
  </si>
  <si>
    <t>W662218</t>
  </si>
  <si>
    <t>S0359046</t>
  </si>
  <si>
    <t>W0680344</t>
  </si>
  <si>
    <t xml:space="preserve"> 8:49:12 am</t>
  </si>
  <si>
    <t>W662063</t>
  </si>
  <si>
    <t>S0359167</t>
  </si>
  <si>
    <t>W0680345</t>
  </si>
  <si>
    <t xml:space="preserve"> 8:48:34 am</t>
  </si>
  <si>
    <t>W662064</t>
  </si>
  <si>
    <t>W0680450</t>
  </si>
  <si>
    <t xml:space="preserve"> 8:33:33 am</t>
  </si>
  <si>
    <t>SG-5642459-01</t>
  </si>
  <si>
    <t>P4U01160001</t>
  </si>
  <si>
    <t>P4U0116</t>
  </si>
  <si>
    <t>H08220</t>
  </si>
  <si>
    <t>W662177</t>
  </si>
  <si>
    <t>S0359243</t>
  </si>
  <si>
    <t>W0680593</t>
  </si>
  <si>
    <t xml:space="preserve"> 5:36:36 pm</t>
  </si>
  <si>
    <t>M0BTH2381</t>
  </si>
  <si>
    <t>PS70</t>
  </si>
  <si>
    <t>100823881-75367 0001</t>
  </si>
  <si>
    <t>100823881-75367 A</t>
  </si>
  <si>
    <t>W663026</t>
  </si>
  <si>
    <t>H0064686</t>
  </si>
  <si>
    <t>W0680743</t>
  </si>
  <si>
    <t>W662078</t>
  </si>
  <si>
    <t>S0359857</t>
  </si>
  <si>
    <t>Filter: Date Completed: 03/03/25</t>
  </si>
  <si>
    <t>W0667474</t>
  </si>
  <si>
    <t xml:space="preserve"> 5:20:26 pm</t>
  </si>
  <si>
    <t>E04H968101524</t>
  </si>
  <si>
    <t>10051353053 REVF0001</t>
  </si>
  <si>
    <t>10051353053 REVF</t>
  </si>
  <si>
    <t>E05166</t>
  </si>
  <si>
    <t>W661922</t>
  </si>
  <si>
    <t>S0345943</t>
  </si>
  <si>
    <t>W0673664</t>
  </si>
  <si>
    <t>D00636982</t>
  </si>
  <si>
    <t>PMJ7</t>
  </si>
  <si>
    <t>R630-401 REV2.00001</t>
  </si>
  <si>
    <t>R630-401 REV2.0</t>
  </si>
  <si>
    <t>R18131</t>
  </si>
  <si>
    <t>W662196</t>
  </si>
  <si>
    <t>S0351464</t>
  </si>
  <si>
    <t>W0674490</t>
  </si>
  <si>
    <t xml:space="preserve"> 3:06:08 pm</t>
  </si>
  <si>
    <t>PO2512640</t>
  </si>
  <si>
    <t>PM30</t>
  </si>
  <si>
    <t>G11-4600-040001</t>
  </si>
  <si>
    <t>G11-4600-04</t>
  </si>
  <si>
    <t>Z26005</t>
  </si>
  <si>
    <t>W662138</t>
  </si>
  <si>
    <t>S0352625</t>
  </si>
  <si>
    <t>W0674926</t>
  </si>
  <si>
    <t xml:space="preserve"> 5:16:19 pm</t>
  </si>
  <si>
    <t>J00T40250/J00U09620</t>
  </si>
  <si>
    <t>PM46</t>
  </si>
  <si>
    <t>Z512-M0001</t>
  </si>
  <si>
    <t>Z512-M</t>
  </si>
  <si>
    <t>R18131-MEIBAN MICRO</t>
  </si>
  <si>
    <t>W662407</t>
  </si>
  <si>
    <t>S0352982</t>
  </si>
  <si>
    <t>W0675399</t>
  </si>
  <si>
    <t xml:space="preserve"> 2:18:31 pm</t>
  </si>
  <si>
    <t>10639931053/10639931059/10639931056/10639931055</t>
  </si>
  <si>
    <t>79N</t>
  </si>
  <si>
    <t>PM21</t>
  </si>
  <si>
    <t>W664068</t>
  </si>
  <si>
    <t>S0353202</t>
  </si>
  <si>
    <t>W0676465</t>
  </si>
  <si>
    <t>J00T59660/J00V80140/J00U09620/J00T40250</t>
  </si>
  <si>
    <t>W662488</t>
  </si>
  <si>
    <t>S0354833</t>
  </si>
  <si>
    <t>W0676697</t>
  </si>
  <si>
    <t>J00T40070</t>
  </si>
  <si>
    <t>R001-41074 REV1.0001</t>
  </si>
  <si>
    <t>R001-41074 REV1.0</t>
  </si>
  <si>
    <t>W661927</t>
  </si>
  <si>
    <t>S0354948</t>
  </si>
  <si>
    <t>W0676972</t>
  </si>
  <si>
    <t xml:space="preserve"> 8:35:45 am</t>
  </si>
  <si>
    <t>I09180-US</t>
  </si>
  <si>
    <t>W661929</t>
  </si>
  <si>
    <t>S0355330</t>
  </si>
  <si>
    <t>W0677057</t>
  </si>
  <si>
    <t xml:space="preserve"> 8:47:17 am</t>
  </si>
  <si>
    <t>1000221/1000219/80116793/1012643/XHX24A13A0809/XHX2412190201</t>
  </si>
  <si>
    <t>103N</t>
  </si>
  <si>
    <t>PM41</t>
  </si>
  <si>
    <t>MT273730001</t>
  </si>
  <si>
    <t>MT27373</t>
  </si>
  <si>
    <t>Z26002</t>
  </si>
  <si>
    <t>W662937</t>
  </si>
  <si>
    <t>S0355389</t>
  </si>
  <si>
    <t>W0678631</t>
  </si>
  <si>
    <t xml:space="preserve"> 1:07:37 pm</t>
  </si>
  <si>
    <t>10639931080/10639931079</t>
  </si>
  <si>
    <t>QM78</t>
  </si>
  <si>
    <t>3YM56-80009-FT0001</t>
  </si>
  <si>
    <t>3YM56-80009-FT</t>
  </si>
  <si>
    <t>W662413</t>
  </si>
  <si>
    <t>S0357398</t>
  </si>
  <si>
    <t>W0678841</t>
  </si>
  <si>
    <t>D007Y0330</t>
  </si>
  <si>
    <t>1VV05-80009-FT0001</t>
  </si>
  <si>
    <t>1VV05-80009-FT</t>
  </si>
  <si>
    <t>W661960</t>
  </si>
  <si>
    <t>S0357549</t>
  </si>
  <si>
    <t>W0679142</t>
  </si>
  <si>
    <t xml:space="preserve"> 5:16:47 pm</t>
  </si>
  <si>
    <t>SG-5637720-01</t>
  </si>
  <si>
    <t>PM11</t>
  </si>
  <si>
    <t>BL-63.5X30MM0001</t>
  </si>
  <si>
    <t>M10009SGT</t>
  </si>
  <si>
    <t>W662148</t>
  </si>
  <si>
    <t>S0357815</t>
  </si>
  <si>
    <t>W0679255</t>
  </si>
  <si>
    <t xml:space="preserve"> 8:53:37 am</t>
  </si>
  <si>
    <t>4103023U5</t>
  </si>
  <si>
    <t>250-6174-000001</t>
  </si>
  <si>
    <t>250-6174-00</t>
  </si>
  <si>
    <t>W662149</t>
  </si>
  <si>
    <t>S0357887</t>
  </si>
  <si>
    <t>W0679262</t>
  </si>
  <si>
    <t xml:space="preserve"> 5:18:29 pm</t>
  </si>
  <si>
    <t>260-6407-000001</t>
  </si>
  <si>
    <t>260-6407-00</t>
  </si>
  <si>
    <t>W662153</t>
  </si>
  <si>
    <t>W0679320</t>
  </si>
  <si>
    <t xml:space="preserve"> 8:34:54 am</t>
  </si>
  <si>
    <t>4103001U5/4103002U5</t>
  </si>
  <si>
    <t>PS19</t>
  </si>
  <si>
    <t>0B49100 REVAA0001</t>
  </si>
  <si>
    <t>0B49100 REVAA</t>
  </si>
  <si>
    <t>W23041-TH</t>
  </si>
  <si>
    <t>W662434</t>
  </si>
  <si>
    <t>H0064549</t>
  </si>
  <si>
    <t>W0679327</t>
  </si>
  <si>
    <t>1VV04-80009-FT0001</t>
  </si>
  <si>
    <t>1VV04-80009-FT</t>
  </si>
  <si>
    <t>W661974</t>
  </si>
  <si>
    <t>S0358004</t>
  </si>
  <si>
    <t>W0679373</t>
  </si>
  <si>
    <t>B7RT9-80001-FT0001</t>
  </si>
  <si>
    <t>B7RT9-80001-FT</t>
  </si>
  <si>
    <t>W662500</t>
  </si>
  <si>
    <t>S0358100</t>
  </si>
  <si>
    <t>W0679577</t>
  </si>
  <si>
    <t xml:space="preserve"> 3:57:09 pm</t>
  </si>
  <si>
    <t>M4B4603BGJAJ123-S248100296/E0531904</t>
  </si>
  <si>
    <t>PM42</t>
  </si>
  <si>
    <t>716626800 REVC0001</t>
  </si>
  <si>
    <t>716626800 REVC</t>
  </si>
  <si>
    <t>W662440</t>
  </si>
  <si>
    <t>H0064581</t>
  </si>
  <si>
    <t>PMJ0</t>
  </si>
  <si>
    <t>W0679615</t>
  </si>
  <si>
    <t>4067S1</t>
  </si>
  <si>
    <t>712730 REV1000001</t>
  </si>
  <si>
    <t>712730 REV402</t>
  </si>
  <si>
    <t>W662156</t>
  </si>
  <si>
    <t>S0358336</t>
  </si>
  <si>
    <t>W0679648</t>
  </si>
  <si>
    <t xml:space="preserve"> 4:00:35 pm</t>
  </si>
  <si>
    <t>M4B4603BGJAJ119-S248100138/E0531904</t>
  </si>
  <si>
    <t>W662013</t>
  </si>
  <si>
    <t>H0064608</t>
  </si>
  <si>
    <t>W0679649</t>
  </si>
  <si>
    <t xml:space="preserve"> 1:40:04 pm</t>
  </si>
  <si>
    <t>67N</t>
  </si>
  <si>
    <t>W662445</t>
  </si>
  <si>
    <t>H0064609</t>
  </si>
  <si>
    <t>W0679651</t>
  </si>
  <si>
    <t xml:space="preserve"> 4:02:10 pm</t>
  </si>
  <si>
    <t>5304412-01-02-01/5304412-01-05-06/5304412-01-05-04</t>
  </si>
  <si>
    <t>PM35</t>
  </si>
  <si>
    <t>W662207</t>
  </si>
  <si>
    <t>H0064611</t>
  </si>
  <si>
    <t>W0679667</t>
  </si>
  <si>
    <t xml:space="preserve"> 8:57:08 am</t>
  </si>
  <si>
    <t>E0801904/M0BSO4470</t>
  </si>
  <si>
    <t>W662448</t>
  </si>
  <si>
    <t>H0064624</t>
  </si>
  <si>
    <t>W0679682</t>
  </si>
  <si>
    <t>W662015</t>
  </si>
  <si>
    <t>S0358357</t>
  </si>
  <si>
    <t>W0679689</t>
  </si>
  <si>
    <t xml:space="preserve"> 1:06:29 pm</t>
  </si>
  <si>
    <t>SG-5622228 01</t>
  </si>
  <si>
    <t>W662017</t>
  </si>
  <si>
    <t>S0358364</t>
  </si>
  <si>
    <t>W0679709</t>
  </si>
  <si>
    <t xml:space="preserve"> 8:32:17 am</t>
  </si>
  <si>
    <t>L4015U8016</t>
  </si>
  <si>
    <t>PM87</t>
  </si>
  <si>
    <t>150-015580001</t>
  </si>
  <si>
    <t>150-01558</t>
  </si>
  <si>
    <t>I09146</t>
  </si>
  <si>
    <t>W662208</t>
  </si>
  <si>
    <t>S0358386</t>
  </si>
  <si>
    <t>W0679822</t>
  </si>
  <si>
    <t xml:space="preserve"> 8:38:39 am</t>
  </si>
  <si>
    <t>10620258086/10620258088</t>
  </si>
  <si>
    <t>7FP43-80004-FT0001</t>
  </si>
  <si>
    <t>7FP43-80004-FT</t>
  </si>
  <si>
    <t>W662159</t>
  </si>
  <si>
    <t>S0358453</t>
  </si>
  <si>
    <t>W0679830</t>
  </si>
  <si>
    <t xml:space="preserve"> 4:37:49 pm</t>
  </si>
  <si>
    <t>D007Y0330/D006A5780</t>
  </si>
  <si>
    <t>6ZE08-80002-FT0001</t>
  </si>
  <si>
    <t>6ZE08-80002-FT</t>
  </si>
  <si>
    <t>W662210</t>
  </si>
  <si>
    <t>S0358461</t>
  </si>
  <si>
    <t>W0679833</t>
  </si>
  <si>
    <t xml:space="preserve"> 3:38:07 pm</t>
  </si>
  <si>
    <t>M0BG16901</t>
  </si>
  <si>
    <t>86.E8260001</t>
  </si>
  <si>
    <t>86.E826</t>
  </si>
  <si>
    <t>T20390-PMI</t>
  </si>
  <si>
    <t>W662160</t>
  </si>
  <si>
    <t>S0358470</t>
  </si>
  <si>
    <t>W0679841</t>
  </si>
  <si>
    <t xml:space="preserve"> 3:38:08 pm</t>
  </si>
  <si>
    <t>W662027</t>
  </si>
  <si>
    <t>ZSA101740</t>
  </si>
  <si>
    <t>W0679872</t>
  </si>
  <si>
    <t xml:space="preserve"> 3:55:26 pm</t>
  </si>
  <si>
    <t>M4B4603BGJAJ115-S248100140/E0926912</t>
  </si>
  <si>
    <t>PM75</t>
  </si>
  <si>
    <t>723009600 REVA0001</t>
  </si>
  <si>
    <t>723009600 REVA</t>
  </si>
  <si>
    <t>W662029</t>
  </si>
  <si>
    <t>H0064640</t>
  </si>
  <si>
    <t>W0679907</t>
  </si>
  <si>
    <t>4090405U5</t>
  </si>
  <si>
    <t>PS13</t>
  </si>
  <si>
    <t>260-6163-000001</t>
  </si>
  <si>
    <t>260-6163-00</t>
  </si>
  <si>
    <t>W662212</t>
  </si>
  <si>
    <t>S0358484</t>
  </si>
  <si>
    <t>W0679915</t>
  </si>
  <si>
    <t>4111521U5A</t>
  </si>
  <si>
    <t>W662554</t>
  </si>
  <si>
    <t>S0358488</t>
  </si>
  <si>
    <t>W0679934</t>
  </si>
  <si>
    <t xml:space="preserve"> 8:37:04 am</t>
  </si>
  <si>
    <t>I3B055H050/I492555H088/U2B09S001</t>
  </si>
  <si>
    <t>PP05</t>
  </si>
  <si>
    <t>068893 REV4000001</t>
  </si>
  <si>
    <t>068893 REV400</t>
  </si>
  <si>
    <t>V22000-DE</t>
  </si>
  <si>
    <t>W662036</t>
  </si>
  <si>
    <t>S0358499</t>
  </si>
  <si>
    <t>W0680065</t>
  </si>
  <si>
    <t xml:space="preserve"> 5:17:34 pm</t>
  </si>
  <si>
    <t>J00LU70911000/3082509U9</t>
  </si>
  <si>
    <t>I09109</t>
  </si>
  <si>
    <t>W662166</t>
  </si>
  <si>
    <t>S0358739</t>
  </si>
  <si>
    <t>W0680072</t>
  </si>
  <si>
    <t xml:space="preserve"> 1:28:45 pm</t>
  </si>
  <si>
    <t>MOBCR8371</t>
  </si>
  <si>
    <t>810333 REV4000001</t>
  </si>
  <si>
    <t>810333 REV400</t>
  </si>
  <si>
    <t>W662168</t>
  </si>
  <si>
    <t>W0680082</t>
  </si>
  <si>
    <t xml:space="preserve"> 8:37:58 am</t>
  </si>
  <si>
    <t>3082510U9</t>
  </si>
  <si>
    <t>W662038</t>
  </si>
  <si>
    <t>S0358756</t>
  </si>
  <si>
    <t>W0680083</t>
  </si>
  <si>
    <t>W662039</t>
  </si>
  <si>
    <t>ZSA101744</t>
  </si>
  <si>
    <t>W0680122</t>
  </si>
  <si>
    <t>24222F05004001003</t>
  </si>
  <si>
    <t>TSMB00532010001</t>
  </si>
  <si>
    <t>TSMB0053201</t>
  </si>
  <si>
    <t>T20104</t>
  </si>
  <si>
    <t>W662215</t>
  </si>
  <si>
    <t>S0358767</t>
  </si>
  <si>
    <t>W0680189</t>
  </si>
  <si>
    <t xml:space="preserve"> 9:21:08 am</t>
  </si>
  <si>
    <t>F0L30-800010001</t>
  </si>
  <si>
    <t>F0L30-80001</t>
  </si>
  <si>
    <t>W662171</t>
  </si>
  <si>
    <t>S0359010</t>
  </si>
  <si>
    <t>W0680239</t>
  </si>
  <si>
    <t>E053912079</t>
  </si>
  <si>
    <t>PM80</t>
  </si>
  <si>
    <t>709898813-3M66900001</t>
  </si>
  <si>
    <t>709898813-3M6690SP</t>
  </si>
  <si>
    <t>S19743</t>
  </si>
  <si>
    <t>W662172</t>
  </si>
  <si>
    <t>S0359012</t>
  </si>
  <si>
    <t>W0680243</t>
  </si>
  <si>
    <t xml:space="preserve"> 8:35:36 am</t>
  </si>
  <si>
    <t>U462452089/SG-5553119</t>
  </si>
  <si>
    <t>PMJ4</t>
  </si>
  <si>
    <t>R370-4910001</t>
  </si>
  <si>
    <t>R370-491</t>
  </si>
  <si>
    <t>W662588</t>
  </si>
  <si>
    <t>S0359016</t>
  </si>
  <si>
    <t>PS07</t>
  </si>
  <si>
    <t>W0680331</t>
  </si>
  <si>
    <t xml:space="preserve"> 3:38:53 pm</t>
  </si>
  <si>
    <t>W662058</t>
  </si>
  <si>
    <t>S0359162</t>
  </si>
  <si>
    <t>W0680343</t>
  </si>
  <si>
    <t xml:space="preserve"> 3:40:48 pm</t>
  </si>
  <si>
    <t>W662062</t>
  </si>
  <si>
    <t>S0359166</t>
  </si>
  <si>
    <t>W0680385</t>
  </si>
  <si>
    <t xml:space="preserve"> 3:39:49 pm</t>
  </si>
  <si>
    <t>W662068</t>
  </si>
  <si>
    <t>S0359206</t>
  </si>
  <si>
    <t>W0680403</t>
  </si>
  <si>
    <t>401180925/3060210U9</t>
  </si>
  <si>
    <t>W662176</t>
  </si>
  <si>
    <t>S0359215</t>
  </si>
  <si>
    <t>W0680412</t>
  </si>
  <si>
    <t xml:space="preserve"> 8:41:34 am</t>
  </si>
  <si>
    <t>U511452038/405111326</t>
  </si>
  <si>
    <t>PM26</t>
  </si>
  <si>
    <t>250-5313-000001</t>
  </si>
  <si>
    <t>250-5313-00</t>
  </si>
  <si>
    <t>W662990</t>
  </si>
  <si>
    <t>S0359222</t>
  </si>
  <si>
    <t>W0680469</t>
  </si>
  <si>
    <t>M0BR27133</t>
  </si>
  <si>
    <t>O-175X820001</t>
  </si>
  <si>
    <t>O-175X82</t>
  </si>
  <si>
    <t>G07076</t>
  </si>
  <si>
    <t>W662178</t>
  </si>
  <si>
    <t>S0359264</t>
  </si>
  <si>
    <t>W0680497</t>
  </si>
  <si>
    <t xml:space="preserve"> 8:36:29 am</t>
  </si>
  <si>
    <t>D007Y0330/D007Y0280</t>
  </si>
  <si>
    <t>W663583</t>
  </si>
  <si>
    <t>S0359292</t>
  </si>
  <si>
    <t>W0680501</t>
  </si>
  <si>
    <t xml:space="preserve"> 1:18:06 pm</t>
  </si>
  <si>
    <t>10639931001/10639931060</t>
  </si>
  <si>
    <t>PM16</t>
  </si>
  <si>
    <t>3YM51-80004-FT0001</t>
  </si>
  <si>
    <t>3YM51-80004-FT</t>
  </si>
  <si>
    <t>W663584</t>
  </si>
  <si>
    <t>S0359296</t>
  </si>
  <si>
    <t>W0680549</t>
  </si>
  <si>
    <t xml:space="preserve"> 1:04:06 pm</t>
  </si>
  <si>
    <t>L4820U8019/M0B7C2220</t>
  </si>
  <si>
    <t>86.B9480001</t>
  </si>
  <si>
    <t>86.B948</t>
  </si>
  <si>
    <t>W662071</t>
  </si>
  <si>
    <t>S0359328</t>
  </si>
  <si>
    <t>W0680602</t>
  </si>
  <si>
    <t>E169912121</t>
  </si>
  <si>
    <t>739709802 REVA0001</t>
  </si>
  <si>
    <t>739709802 REVA</t>
  </si>
  <si>
    <t>W662179</t>
  </si>
  <si>
    <t>H0064695</t>
  </si>
  <si>
    <t>W0680603</t>
  </si>
  <si>
    <t>W662227</t>
  </si>
  <si>
    <t>H0064696</t>
  </si>
  <si>
    <t>W0680608</t>
  </si>
  <si>
    <t xml:space="preserve"> 5:45:36 pm</t>
  </si>
  <si>
    <t>4063565121746/XHX24922A1401/XHX241228030/BYK066-02</t>
  </si>
  <si>
    <t>PM40</t>
  </si>
  <si>
    <t>W662625</t>
  </si>
  <si>
    <t>S0359343</t>
  </si>
  <si>
    <t>W0680681</t>
  </si>
  <si>
    <t xml:space="preserve"> 1:05:37 pm</t>
  </si>
  <si>
    <t>W662076</t>
  </si>
  <si>
    <t>S0359811</t>
  </si>
  <si>
    <t>W0680687</t>
  </si>
  <si>
    <t xml:space="preserve"> 1:04:51 pm</t>
  </si>
  <si>
    <t>C03423</t>
  </si>
  <si>
    <t>W662077</t>
  </si>
  <si>
    <t>S0359813</t>
  </si>
  <si>
    <t>W0680693</t>
  </si>
  <si>
    <t xml:space="preserve"> 8:33:43 am</t>
  </si>
  <si>
    <t>6ZD21-800010001</t>
  </si>
  <si>
    <t>6ZD21-80001</t>
  </si>
  <si>
    <t>W663036</t>
  </si>
  <si>
    <t>S0359821</t>
  </si>
  <si>
    <t>W0680699</t>
  </si>
  <si>
    <t xml:space="preserve"> 8:32:11 am</t>
  </si>
  <si>
    <t>2908220-001/3050503U9</t>
  </si>
  <si>
    <t>FMMB00725010001</t>
  </si>
  <si>
    <t>FMMB0072501</t>
  </si>
  <si>
    <t>W662229</t>
  </si>
  <si>
    <t>S0359823</t>
  </si>
  <si>
    <t>W0680716</t>
  </si>
  <si>
    <t>CH561-80140-FT0001</t>
  </si>
  <si>
    <t>CH561-80140-FT</t>
  </si>
  <si>
    <t>W663604</t>
  </si>
  <si>
    <t>S0359840</t>
  </si>
  <si>
    <t>W0680719</t>
  </si>
  <si>
    <t xml:space="preserve"> 8:35:08 am</t>
  </si>
  <si>
    <t>4275S1/BYL015-01</t>
  </si>
  <si>
    <t>PP24</t>
  </si>
  <si>
    <t>ASSET TAG-76X34M0001</t>
  </si>
  <si>
    <t>ASSET TAG-76X34MM</t>
  </si>
  <si>
    <t>N14199</t>
  </si>
  <si>
    <t>W662238</t>
  </si>
  <si>
    <t>S0359841</t>
  </si>
  <si>
    <t>W0680720</t>
  </si>
  <si>
    <t xml:space="preserve"> 5:24:01 pm</t>
  </si>
  <si>
    <t>11191427/BWG015-06</t>
  </si>
  <si>
    <t>FOR I-NET-BLUE0001</t>
  </si>
  <si>
    <t>FOR I-NET-BLUE</t>
  </si>
  <si>
    <t>W662239</t>
  </si>
  <si>
    <t>W0680723</t>
  </si>
  <si>
    <t xml:space="preserve"> 8:35:43 am</t>
  </si>
  <si>
    <t>W662241</t>
  </si>
  <si>
    <t>S0359843</t>
  </si>
  <si>
    <t>W0680740</t>
  </si>
  <si>
    <t xml:space="preserve"> 1:27:12 pm</t>
  </si>
  <si>
    <t>SG-5630465 03</t>
  </si>
  <si>
    <t>W662244</t>
  </si>
  <si>
    <t>S0359854</t>
  </si>
  <si>
    <t>W0680741</t>
  </si>
  <si>
    <t xml:space="preserve"> 1:25:55 pm</t>
  </si>
  <si>
    <t>W662245</t>
  </si>
  <si>
    <t>S0359855</t>
  </si>
  <si>
    <t>W0680744</t>
  </si>
  <si>
    <t xml:space="preserve"> 8:52:24 am</t>
  </si>
  <si>
    <t>490833/M0BMT08711372</t>
  </si>
  <si>
    <t>PM12</t>
  </si>
  <si>
    <t>755800100-ADS1380001</t>
  </si>
  <si>
    <t>755800100-ADS1381 P2</t>
  </si>
  <si>
    <t>S19081</t>
  </si>
  <si>
    <t>W662079</t>
  </si>
  <si>
    <t>ZSA101752</t>
  </si>
  <si>
    <t>W0680745</t>
  </si>
  <si>
    <t xml:space="preserve"> 9:57:59 am</t>
  </si>
  <si>
    <t>7FP13-80001-FT0001</t>
  </si>
  <si>
    <t>7FP13-80001-FT</t>
  </si>
  <si>
    <t>W663037</t>
  </si>
  <si>
    <t>S0359858</t>
  </si>
  <si>
    <t>W0680746</t>
  </si>
  <si>
    <t xml:space="preserve"> 1:34:03 pm</t>
  </si>
  <si>
    <t>7FP37-80003-FT0001</t>
  </si>
  <si>
    <t>7FP37-80003-FT</t>
  </si>
  <si>
    <t>W662780</t>
  </si>
  <si>
    <t>S0359859</t>
  </si>
  <si>
    <t>W0680748</t>
  </si>
  <si>
    <t xml:space="preserve"> 2:57:25 pm</t>
  </si>
  <si>
    <t>7FP45-80001-FT0001</t>
  </si>
  <si>
    <t>7FP45-80001-FT</t>
  </si>
  <si>
    <t>W663038</t>
  </si>
  <si>
    <t>S0359860</t>
  </si>
  <si>
    <t>W0680750</t>
  </si>
  <si>
    <t xml:space="preserve"> 4:09:26 pm</t>
  </si>
  <si>
    <t>7FP21-80008-FT0001</t>
  </si>
  <si>
    <t>7FP21-80008-FT</t>
  </si>
  <si>
    <t>W663039</t>
  </si>
  <si>
    <t>S0359861</t>
  </si>
  <si>
    <t>W0680752</t>
  </si>
  <si>
    <t xml:space="preserve"> 3:58:04 pm</t>
  </si>
  <si>
    <t>7FP05-80003-FT0001</t>
  </si>
  <si>
    <t>7FP05-80003-FT</t>
  </si>
  <si>
    <t>W663040</t>
  </si>
  <si>
    <t>S0359862</t>
  </si>
  <si>
    <t>W0680755</t>
  </si>
  <si>
    <t>SG-5629365 01</t>
  </si>
  <si>
    <t>W662080</t>
  </si>
  <si>
    <t>S0359868</t>
  </si>
  <si>
    <t>W0680768</t>
  </si>
  <si>
    <t>SG-562754701</t>
  </si>
  <si>
    <t>W662247</t>
  </si>
  <si>
    <t>S0359881</t>
  </si>
  <si>
    <t>W0680769</t>
  </si>
  <si>
    <t xml:space="preserve"> 9:23:18 am</t>
  </si>
  <si>
    <t>W662248</t>
  </si>
  <si>
    <t>S0359882</t>
  </si>
  <si>
    <t>W0680771</t>
  </si>
  <si>
    <t xml:space="preserve"> 9:22:28 am</t>
  </si>
  <si>
    <t>W662249</t>
  </si>
  <si>
    <t>S0359884</t>
  </si>
  <si>
    <t>W0680772</t>
  </si>
  <si>
    <t>U4B1258025</t>
  </si>
  <si>
    <t>S19156</t>
  </si>
  <si>
    <t>W662081</t>
  </si>
  <si>
    <t>S0359969</t>
  </si>
  <si>
    <t>W0680867</t>
  </si>
  <si>
    <t xml:space="preserve"> 2:08:34 pm</t>
  </si>
  <si>
    <t>W663041</t>
  </si>
  <si>
    <t>S0360721</t>
  </si>
  <si>
    <t>W0680887</t>
  </si>
  <si>
    <t xml:space="preserve"> 9:24:11 am</t>
  </si>
  <si>
    <t>I09180-SUNNINGDALE</t>
  </si>
  <si>
    <t>W662250</t>
  </si>
  <si>
    <t>S0360735</t>
  </si>
  <si>
    <t>Filter: Date Completed: 04/03/25</t>
  </si>
  <si>
    <t>W0675393</t>
  </si>
  <si>
    <t xml:space="preserve"> 8:40:59 am</t>
  </si>
  <si>
    <t>10639931075/10639931076/10639931074/10639931073/10639931072</t>
  </si>
  <si>
    <t>5180-0101-BH2120001</t>
  </si>
  <si>
    <t>5180-0101-BH212</t>
  </si>
  <si>
    <t>W662930</t>
  </si>
  <si>
    <t>S0353198</t>
  </si>
  <si>
    <t>PM55</t>
  </si>
  <si>
    <t>PM47</t>
  </si>
  <si>
    <t>W0678411</t>
  </si>
  <si>
    <t xml:space="preserve"> 8:38:10 am</t>
  </si>
  <si>
    <t>W663295</t>
  </si>
  <si>
    <t>S0357132</t>
  </si>
  <si>
    <t>W0678680</t>
  </si>
  <si>
    <t>710922 INDEX1020001</t>
  </si>
  <si>
    <t>710922 INDEX404</t>
  </si>
  <si>
    <t>W662142</t>
  </si>
  <si>
    <t>S0357443</t>
  </si>
  <si>
    <t>W0678697</t>
  </si>
  <si>
    <t xml:space="preserve"> 5:39:52 pm</t>
  </si>
  <si>
    <t>PS74</t>
  </si>
  <si>
    <t>15058365 REVB0001</t>
  </si>
  <si>
    <t>15058365 REVB</t>
  </si>
  <si>
    <t>W662143</t>
  </si>
  <si>
    <t>S0357462</t>
  </si>
  <si>
    <t>W0678767</t>
  </si>
  <si>
    <t>J10025-PHL-SG</t>
  </si>
  <si>
    <t>W662420</t>
  </si>
  <si>
    <t>S0357505</t>
  </si>
  <si>
    <t>W0679218</t>
  </si>
  <si>
    <t xml:space="preserve"> 2:06:32 pm</t>
  </si>
  <si>
    <t>10639931058/10639931057</t>
  </si>
  <si>
    <t>1F3Y1-400110001</t>
  </si>
  <si>
    <t>1F3Y1-40011</t>
  </si>
  <si>
    <t>H08031-NKG THAI-HPP</t>
  </si>
  <si>
    <t>W662492</t>
  </si>
  <si>
    <t>S0357872</t>
  </si>
  <si>
    <t>W0679220</t>
  </si>
  <si>
    <t xml:space="preserve"> 5:25:12 pm</t>
  </si>
  <si>
    <t>BXB022-02</t>
  </si>
  <si>
    <t>Y00-0000928-000001</t>
  </si>
  <si>
    <t>300-0000396-00</t>
  </si>
  <si>
    <t>F06170-JIANGSU</t>
  </si>
  <si>
    <t>W662433</t>
  </si>
  <si>
    <t>S0357841</t>
  </si>
  <si>
    <t>90N</t>
  </si>
  <si>
    <t>W0679330</t>
  </si>
  <si>
    <t xml:space="preserve"> 2:04:01 pm</t>
  </si>
  <si>
    <t>6ZD61-800010001</t>
  </si>
  <si>
    <t>6ZD61-80001</t>
  </si>
  <si>
    <t>W662494</t>
  </si>
  <si>
    <t>S0358007</t>
  </si>
  <si>
    <t>W0679332</t>
  </si>
  <si>
    <t>10639931094/10639931096</t>
  </si>
  <si>
    <t>W662496</t>
  </si>
  <si>
    <t>S0358010</t>
  </si>
  <si>
    <t>W0679350</t>
  </si>
  <si>
    <t xml:space="preserve"> 8:34:27 am</t>
  </si>
  <si>
    <t>10639931012/10639931010</t>
  </si>
  <si>
    <t>N9K05-80021-FT0001</t>
  </si>
  <si>
    <t>N9K05-80021-FT</t>
  </si>
  <si>
    <t>W662437</t>
  </si>
  <si>
    <t>S0358090</t>
  </si>
  <si>
    <t>W0679522</t>
  </si>
  <si>
    <t xml:space="preserve"> 8:35:19 am</t>
  </si>
  <si>
    <t>W662501</t>
  </si>
  <si>
    <t>S0358298</t>
  </si>
  <si>
    <t>W0679640</t>
  </si>
  <si>
    <t xml:space="preserve"> 8:56:01 am</t>
  </si>
  <si>
    <t>M0BUE5340/M0BTD2082</t>
  </si>
  <si>
    <t>PS84</t>
  </si>
  <si>
    <t>100595138 REVB0001</t>
  </si>
  <si>
    <t>100595138 REVB</t>
  </si>
  <si>
    <t>W662443</t>
  </si>
  <si>
    <t>H0064600</t>
  </si>
  <si>
    <t>PM48</t>
  </si>
  <si>
    <t>W0679650</t>
  </si>
  <si>
    <t xml:space="preserve"> 1:42:08 pm</t>
  </si>
  <si>
    <t>719007600 REVA0001</t>
  </si>
  <si>
    <t>719007600 REVA</t>
  </si>
  <si>
    <t>W662446</t>
  </si>
  <si>
    <t>H0064610</t>
  </si>
  <si>
    <t>W0679668</t>
  </si>
  <si>
    <t xml:space="preserve"> 1:42:36 pm</t>
  </si>
  <si>
    <t>E0801904/M0BSO4460</t>
  </si>
  <si>
    <t>W662449</t>
  </si>
  <si>
    <t>H0064625</t>
  </si>
  <si>
    <t>W0679829</t>
  </si>
  <si>
    <t xml:space="preserve"> 5:02:00 pm</t>
  </si>
  <si>
    <t>F6U65-80033-FT0001</t>
  </si>
  <si>
    <t>F6U65-80033-FT</t>
  </si>
  <si>
    <t>W662974</t>
  </si>
  <si>
    <t>S0358460</t>
  </si>
  <si>
    <t>W0679839</t>
  </si>
  <si>
    <t xml:space="preserve"> 5:03:33 pm</t>
  </si>
  <si>
    <t>F6U61-80027-FT0001</t>
  </si>
  <si>
    <t>F6U61-80027-FT</t>
  </si>
  <si>
    <t>W662975</t>
  </si>
  <si>
    <t>S0358468</t>
  </si>
  <si>
    <t>W0679849</t>
  </si>
  <si>
    <t xml:space="preserve"> 2:07:15 pm</t>
  </si>
  <si>
    <t>4103001U5</t>
  </si>
  <si>
    <t>0B49230 EC C73490001</t>
  </si>
  <si>
    <t>0B49230 EC C73494</t>
  </si>
  <si>
    <t>I09082-TL</t>
  </si>
  <si>
    <t>W662545</t>
  </si>
  <si>
    <t>H0064636</t>
  </si>
  <si>
    <t>W0679898</t>
  </si>
  <si>
    <t xml:space="preserve"> 3:56:44 pm</t>
  </si>
  <si>
    <t>411517U5/411520U5</t>
  </si>
  <si>
    <t>250-6253-000001</t>
  </si>
  <si>
    <t>250-6253-00</t>
  </si>
  <si>
    <t>W662548</t>
  </si>
  <si>
    <t>S0358481</t>
  </si>
  <si>
    <t>W0679902</t>
  </si>
  <si>
    <t xml:space="preserve"> 4:42:12 pm</t>
  </si>
  <si>
    <t>260-6011-000001</t>
  </si>
  <si>
    <t>260-6011-00</t>
  </si>
  <si>
    <t>W662161</t>
  </si>
  <si>
    <t>W0679917</t>
  </si>
  <si>
    <t xml:space="preserve"> 4:39:39 pm</t>
  </si>
  <si>
    <t>W662556</t>
  </si>
  <si>
    <t>S0358489</t>
  </si>
  <si>
    <t>W0680064</t>
  </si>
  <si>
    <t xml:space="preserve"> 4:40:51 pm</t>
  </si>
  <si>
    <t>W662165</t>
  </si>
  <si>
    <t>S0358738</t>
  </si>
  <si>
    <t>W0680070</t>
  </si>
  <si>
    <t xml:space="preserve"> 3:42:17 pm</t>
  </si>
  <si>
    <t>E041G0470</t>
  </si>
  <si>
    <t>707385 REV1000001</t>
  </si>
  <si>
    <t>707385 REV401</t>
  </si>
  <si>
    <t>W662167</t>
  </si>
  <si>
    <t>W0680106</t>
  </si>
  <si>
    <t xml:space="preserve"> 4:40:53 pm</t>
  </si>
  <si>
    <t>M0BUF4311</t>
  </si>
  <si>
    <t>202659400 REVA0001</t>
  </si>
  <si>
    <t>202659400 REVA</t>
  </si>
  <si>
    <t>W662214</t>
  </si>
  <si>
    <t>H0064649</t>
  </si>
  <si>
    <t>W0680123</t>
  </si>
  <si>
    <t>W662216</t>
  </si>
  <si>
    <t>PR006402</t>
  </si>
  <si>
    <t>W0680190</t>
  </si>
  <si>
    <t xml:space="preserve"> 9:18:38 am</t>
  </si>
  <si>
    <t>0B49096 REVAA0001</t>
  </si>
  <si>
    <t>0B49096 REVAA</t>
  </si>
  <si>
    <t>W662587</t>
  </si>
  <si>
    <t>H0064660</t>
  </si>
  <si>
    <t>W0680247</t>
  </si>
  <si>
    <t xml:space="preserve"> 8:42:30 am</t>
  </si>
  <si>
    <t>Q.C. ACCEPTED LA0001</t>
  </si>
  <si>
    <t>Q.C. ACCEPTED LABEL</t>
  </si>
  <si>
    <t>S19254</t>
  </si>
  <si>
    <t>W662217</t>
  </si>
  <si>
    <t>S0359019</t>
  </si>
  <si>
    <t>W0680265</t>
  </si>
  <si>
    <t>W662173</t>
  </si>
  <si>
    <t>S0359037</t>
  </si>
  <si>
    <t>W0680379</t>
  </si>
  <si>
    <t>SG-5627551-01</t>
  </si>
  <si>
    <t>15056431 REVB0001</t>
  </si>
  <si>
    <t>15056431 REVB</t>
  </si>
  <si>
    <t>W662219</t>
  </si>
  <si>
    <t>S0359202</t>
  </si>
  <si>
    <t>W0680386</t>
  </si>
  <si>
    <t>J00Q865011525</t>
  </si>
  <si>
    <t>W662174</t>
  </si>
  <si>
    <t>S0359207</t>
  </si>
  <si>
    <t>W0680390</t>
  </si>
  <si>
    <t>J00K66020</t>
  </si>
  <si>
    <t>W662175</t>
  </si>
  <si>
    <t>W0680400</t>
  </si>
  <si>
    <t xml:space="preserve"> 2:52:08 pm</t>
  </si>
  <si>
    <t>M0BVD0511</t>
  </si>
  <si>
    <t>PM29</t>
  </si>
  <si>
    <t>107-54006900001</t>
  </si>
  <si>
    <t>107-5400690</t>
  </si>
  <si>
    <t>K11180</t>
  </si>
  <si>
    <t>W662601</t>
  </si>
  <si>
    <t>S0359211</t>
  </si>
  <si>
    <t>W0680430</t>
  </si>
  <si>
    <t>SQUEEZED LEMON0001</t>
  </si>
  <si>
    <t>SQUEEZED LEMON</t>
  </si>
  <si>
    <t>H08138</t>
  </si>
  <si>
    <t>W662220</t>
  </si>
  <si>
    <t>S0359231</t>
  </si>
  <si>
    <t>W0680475</t>
  </si>
  <si>
    <t xml:space="preserve"> 3:53:43 pm</t>
  </si>
  <si>
    <t>M0BRZ2280</t>
  </si>
  <si>
    <t>3UB50-80003-FT0001</t>
  </si>
  <si>
    <t>3UB50-80003-FT</t>
  </si>
  <si>
    <t>W663005</t>
  </si>
  <si>
    <t>S0359269</t>
  </si>
  <si>
    <t>W0680476</t>
  </si>
  <si>
    <t xml:space="preserve"> 3:52:03 pm</t>
  </si>
  <si>
    <t>3UB76-80001-FT0001</t>
  </si>
  <si>
    <t>3UB76-80001-FT</t>
  </si>
  <si>
    <t>W663574</t>
  </si>
  <si>
    <t>S0359270</t>
  </si>
  <si>
    <t>W0680477</t>
  </si>
  <si>
    <t xml:space="preserve"> 3:52:55 pm</t>
  </si>
  <si>
    <t>5180-23990001</t>
  </si>
  <si>
    <t>5180-2399</t>
  </si>
  <si>
    <t>W663575</t>
  </si>
  <si>
    <t>S0359271</t>
  </si>
  <si>
    <t>W0680478</t>
  </si>
  <si>
    <t xml:space="preserve"> 3:55:12 pm</t>
  </si>
  <si>
    <t>5180-22950001</t>
  </si>
  <si>
    <t>5180-2295</t>
  </si>
  <si>
    <t>W663576</t>
  </si>
  <si>
    <t>S0359272</t>
  </si>
  <si>
    <t>W0680479</t>
  </si>
  <si>
    <t xml:space="preserve"> 3:54:31 pm</t>
  </si>
  <si>
    <t>5180-2204-INDIGO0001</t>
  </si>
  <si>
    <t>5180-2204</t>
  </si>
  <si>
    <t>W663577</t>
  </si>
  <si>
    <t>S0359273</t>
  </si>
  <si>
    <t>W0680483</t>
  </si>
  <si>
    <t xml:space="preserve"> 3:56:10 pm</t>
  </si>
  <si>
    <t>M0H50-80022-FT0001</t>
  </si>
  <si>
    <t>M0H50-80022-FT</t>
  </si>
  <si>
    <t>W663579</t>
  </si>
  <si>
    <t>S0359277</t>
  </si>
  <si>
    <t>W0680486</t>
  </si>
  <si>
    <t xml:space="preserve"> 1:37:12 pm</t>
  </si>
  <si>
    <t>T0A86-80005-FT0001</t>
  </si>
  <si>
    <t>T0A86-80005-FT</t>
  </si>
  <si>
    <t>W663007</t>
  </si>
  <si>
    <t>S0359280</t>
  </si>
  <si>
    <t>W0680491</t>
  </si>
  <si>
    <t xml:space="preserve"> 8:32:47 am</t>
  </si>
  <si>
    <t>6ZD36-800010001</t>
  </si>
  <si>
    <t>6ZD36-80001</t>
  </si>
  <si>
    <t>W663010</t>
  </si>
  <si>
    <t>S0359285</t>
  </si>
  <si>
    <t>W0680494</t>
  </si>
  <si>
    <t xml:space="preserve"> 8:35:01 am</t>
  </si>
  <si>
    <t>10639931049/10639931051</t>
  </si>
  <si>
    <t>C2P09-80007-FT0001</t>
  </si>
  <si>
    <t>C2P09-80007-FT</t>
  </si>
  <si>
    <t>W663012</t>
  </si>
  <si>
    <t>S0359288</t>
  </si>
  <si>
    <t>W0680504</t>
  </si>
  <si>
    <t xml:space="preserve"> 2:34:49 pm</t>
  </si>
  <si>
    <t>3YM63-80017-FT0001</t>
  </si>
  <si>
    <t>3YM63-80017-FT</t>
  </si>
  <si>
    <t>W663586</t>
  </si>
  <si>
    <t>S0359299</t>
  </si>
  <si>
    <t>W0680541</t>
  </si>
  <si>
    <t xml:space="preserve"> 1:38:36 pm</t>
  </si>
  <si>
    <t>W663020</t>
  </si>
  <si>
    <t>S0359323</t>
  </si>
  <si>
    <t>W0680542</t>
  </si>
  <si>
    <t xml:space="preserve"> 1:35:33 pm</t>
  </si>
  <si>
    <t>10639931050/10639931049</t>
  </si>
  <si>
    <t>3YM55-80009-FT0001</t>
  </si>
  <si>
    <t>3YM55-80009-FT</t>
  </si>
  <si>
    <t>W663591</t>
  </si>
  <si>
    <t>S0359324</t>
  </si>
  <si>
    <t>W0680568</t>
  </si>
  <si>
    <t>4100514U5A</t>
  </si>
  <si>
    <t>PE-LABB00300001</t>
  </si>
  <si>
    <t>PE-LABB0030</t>
  </si>
  <si>
    <t>S19652</t>
  </si>
  <si>
    <t>W662619</t>
  </si>
  <si>
    <t>S0359331</t>
  </si>
  <si>
    <t>W0680577</t>
  </si>
  <si>
    <t>MT-1000173-00REV0003</t>
  </si>
  <si>
    <t>MT-1000173-00REV008</t>
  </si>
  <si>
    <t>W662222</t>
  </si>
  <si>
    <t>ZSA101749</t>
  </si>
  <si>
    <t>W0680578</t>
  </si>
  <si>
    <t xml:space="preserve"> 2:16:59 pm</t>
  </si>
  <si>
    <t>MT-1000241-910RE0002</t>
  </si>
  <si>
    <t>MT-1000241-910REV005</t>
  </si>
  <si>
    <t>W662223</t>
  </si>
  <si>
    <t>W0680595</t>
  </si>
  <si>
    <t>202659300 REVA0001</t>
  </si>
  <si>
    <t>202659300 REVA</t>
  </si>
  <si>
    <t>W662226</t>
  </si>
  <si>
    <t>H0064688</t>
  </si>
  <si>
    <t>W0680604</t>
  </si>
  <si>
    <t xml:space="preserve"> 8:58:51 am</t>
  </si>
  <si>
    <t>W662228</t>
  </si>
  <si>
    <t>H0064697</t>
  </si>
  <si>
    <t>W0680605</t>
  </si>
  <si>
    <t>W662624</t>
  </si>
  <si>
    <t>H0064698</t>
  </si>
  <si>
    <t>W0680669</t>
  </si>
  <si>
    <t xml:space="preserve"> 2:12:59 pm</t>
  </si>
  <si>
    <t>M13755</t>
  </si>
  <si>
    <t>W662627</t>
  </si>
  <si>
    <t>S0359807</t>
  </si>
  <si>
    <t>W0680682</t>
  </si>
  <si>
    <t xml:space="preserve"> 5:13:56 pm</t>
  </si>
  <si>
    <t>4063565121746/XHX241228030/BYK066-02/XHX24922A1401</t>
  </si>
  <si>
    <t>W662630</t>
  </si>
  <si>
    <t>W0680692</t>
  </si>
  <si>
    <t xml:space="preserve"> 4:17:13 pm</t>
  </si>
  <si>
    <t>JOOV80140</t>
  </si>
  <si>
    <t>5185-07330001</t>
  </si>
  <si>
    <t>5185-0733</t>
  </si>
  <si>
    <t>W663035</t>
  </si>
  <si>
    <t>S0359820</t>
  </si>
  <si>
    <t>W0680700</t>
  </si>
  <si>
    <t xml:space="preserve"> 8:34:21 am</t>
  </si>
  <si>
    <t>3170S1</t>
  </si>
  <si>
    <t>FMQC00230010001</t>
  </si>
  <si>
    <t>FMQC0023001</t>
  </si>
  <si>
    <t>W662230</t>
  </si>
  <si>
    <t>W0680702</t>
  </si>
  <si>
    <t xml:space="preserve"> 8:34:22 am</t>
  </si>
  <si>
    <t>TSMB00488030001</t>
  </si>
  <si>
    <t>TSMB0048803</t>
  </si>
  <si>
    <t>W662231</t>
  </si>
  <si>
    <t>W0680704</t>
  </si>
  <si>
    <t>TSMB00661020001</t>
  </si>
  <si>
    <t>TSMB0066102</t>
  </si>
  <si>
    <t>W662232</t>
  </si>
  <si>
    <t>W0680705</t>
  </si>
  <si>
    <t>W662233</t>
  </si>
  <si>
    <t>PR006403</t>
  </si>
  <si>
    <t>W0680707</t>
  </si>
  <si>
    <t>W662234</t>
  </si>
  <si>
    <t>W0680709</t>
  </si>
  <si>
    <t>W662235</t>
  </si>
  <si>
    <t>W0680712</t>
  </si>
  <si>
    <t xml:space="preserve"> 8:37:28 am</t>
  </si>
  <si>
    <t>W662236</t>
  </si>
  <si>
    <t>S0359825</t>
  </si>
  <si>
    <t>W0680717</t>
  </si>
  <si>
    <t>CH562-80153-FT0001</t>
  </si>
  <si>
    <t>CH562-80153-FT</t>
  </si>
  <si>
    <t>W663605</t>
  </si>
  <si>
    <t>W0680721</t>
  </si>
  <si>
    <t xml:space="preserve"> 9:19:27 am</t>
  </si>
  <si>
    <t>U4116S103/L4820U8017</t>
  </si>
  <si>
    <t>INET-42X45 GREEN0001</t>
  </si>
  <si>
    <t>INET-42X45 GREEN</t>
  </si>
  <si>
    <t>W662240</t>
  </si>
  <si>
    <t>W0680725</t>
  </si>
  <si>
    <t xml:space="preserve"> 2:07:19 pm</t>
  </si>
  <si>
    <t>4092S1/BYL015-01</t>
  </si>
  <si>
    <t>SECRET-NET0002</t>
  </si>
  <si>
    <t>SECRET-NET</t>
  </si>
  <si>
    <t>W662242</t>
  </si>
  <si>
    <t>W0680733</t>
  </si>
  <si>
    <t>MDRLR4W220228</t>
  </si>
  <si>
    <t>805679 REV4010001</t>
  </si>
  <si>
    <t>805679 REV401</t>
  </si>
  <si>
    <t>W662243</t>
  </si>
  <si>
    <t>S0359848</t>
  </si>
  <si>
    <t>W0680759</t>
  </si>
  <si>
    <t>W662246</t>
  </si>
  <si>
    <t>S0359872</t>
  </si>
  <si>
    <t>W0680858</t>
  </si>
  <si>
    <t xml:space="preserve"> 9:45:53 am</t>
  </si>
  <si>
    <t>BYM039-02</t>
  </si>
  <si>
    <t>GR-0880001</t>
  </si>
  <si>
    <t>GR-088</t>
  </si>
  <si>
    <t>W662641</t>
  </si>
  <si>
    <t>S0360714</t>
  </si>
  <si>
    <t>W0680896</t>
  </si>
  <si>
    <t xml:space="preserve"> 5:32:48 pm</t>
  </si>
  <si>
    <t>401180925/3082510U9</t>
  </si>
  <si>
    <t>W662648</t>
  </si>
  <si>
    <t>S0360742</t>
  </si>
  <si>
    <t>W0680899</t>
  </si>
  <si>
    <t>W662651</t>
  </si>
  <si>
    <t>ZSA101754</t>
  </si>
  <si>
    <t>W0681111</t>
  </si>
  <si>
    <t>4057S1</t>
  </si>
  <si>
    <t>CONFIDENTIAL QR 0001</t>
  </si>
  <si>
    <t>CONFIDENTIAL QR CODE</t>
  </si>
  <si>
    <t>W662694</t>
  </si>
  <si>
    <t>Filter: Date Completed: 05/03/25</t>
  </si>
  <si>
    <t>W0676833</t>
  </si>
  <si>
    <t xml:space="preserve"> 8:43:47 am</t>
  </si>
  <si>
    <t>TPK-847994-00100001</t>
  </si>
  <si>
    <t>TPK-847994-0010</t>
  </si>
  <si>
    <t>W662410</t>
  </si>
  <si>
    <t>S0355033</t>
  </si>
  <si>
    <t>W0676970</t>
  </si>
  <si>
    <t xml:space="preserve"> 4:11:12 pm</t>
  </si>
  <si>
    <t>W662197</t>
  </si>
  <si>
    <t>W0676973</t>
  </si>
  <si>
    <t xml:space="preserve"> 8:37:30 am</t>
  </si>
  <si>
    <t>W662198</t>
  </si>
  <si>
    <t>W0677293</t>
  </si>
  <si>
    <t xml:space="preserve"> 8:34:20 am</t>
  </si>
  <si>
    <t>JOOTP98411525/J00WA6862</t>
  </si>
  <si>
    <t>Z980 REV11.00001</t>
  </si>
  <si>
    <t>Z980 REV11.0</t>
  </si>
  <si>
    <t>W662939</t>
  </si>
  <si>
    <t>S0355673</t>
  </si>
  <si>
    <t>W0678764</t>
  </si>
  <si>
    <t>250-6168-000001</t>
  </si>
  <si>
    <t>250-6168-00</t>
  </si>
  <si>
    <t>W662417</t>
  </si>
  <si>
    <t>W0678765</t>
  </si>
  <si>
    <t>4111520U5</t>
  </si>
  <si>
    <t>250-6171-000001</t>
  </si>
  <si>
    <t>250-6171-00</t>
  </si>
  <si>
    <t>W662418</t>
  </si>
  <si>
    <t>W0678766</t>
  </si>
  <si>
    <t xml:space="preserve"> 4:40:04 pm</t>
  </si>
  <si>
    <t>250-6172-000001</t>
  </si>
  <si>
    <t>250-6172-00</t>
  </si>
  <si>
    <t>W662419</t>
  </si>
  <si>
    <t>W0678981</t>
  </si>
  <si>
    <t>W662202</t>
  </si>
  <si>
    <t>S0357744</t>
  </si>
  <si>
    <t>W0679026</t>
  </si>
  <si>
    <t>P16186</t>
  </si>
  <si>
    <t>W662203</t>
  </si>
  <si>
    <t>S0357788</t>
  </si>
  <si>
    <t>W0679251</t>
  </si>
  <si>
    <t>M0BA89700</t>
  </si>
  <si>
    <t>250-0121-000001</t>
  </si>
  <si>
    <t>250-0121-00</t>
  </si>
  <si>
    <t>W662204</t>
  </si>
  <si>
    <t>W0679480</t>
  </si>
  <si>
    <t xml:space="preserve"> 8:32:38 am</t>
  </si>
  <si>
    <t>BYJ032-04</t>
  </si>
  <si>
    <t>W662960</t>
  </si>
  <si>
    <t>S0358240</t>
  </si>
  <si>
    <t>W0679481</t>
  </si>
  <si>
    <t>W662961</t>
  </si>
  <si>
    <t>S0358241</t>
  </si>
  <si>
    <t>W0679482</t>
  </si>
  <si>
    <t>W662962</t>
  </si>
  <si>
    <t>S0358242</t>
  </si>
  <si>
    <t>W0679483</t>
  </si>
  <si>
    <t xml:space="preserve"> 8:33:15 am</t>
  </si>
  <si>
    <t>W662963</t>
  </si>
  <si>
    <t>S0358243</t>
  </si>
  <si>
    <t>W0679614</t>
  </si>
  <si>
    <t xml:space="preserve"> 2:04:33 pm</t>
  </si>
  <si>
    <t>806778 REV4010001</t>
  </si>
  <si>
    <t>806778 REV401</t>
  </si>
  <si>
    <t>W662442</t>
  </si>
  <si>
    <t>S0358335</t>
  </si>
  <si>
    <t>W0679669</t>
  </si>
  <si>
    <t xml:space="preserve"> 5:22:54 pm</t>
  </si>
  <si>
    <t>W662529</t>
  </si>
  <si>
    <t>H0064626</t>
  </si>
  <si>
    <t>W0679750</t>
  </si>
  <si>
    <t>4100S1</t>
  </si>
  <si>
    <t>711417 INDEX1000001</t>
  </si>
  <si>
    <t>711417 INDEX400</t>
  </si>
  <si>
    <t>V22000-RO</t>
  </si>
  <si>
    <t>W662451</t>
  </si>
  <si>
    <t>S0358419</t>
  </si>
  <si>
    <t>W0679823</t>
  </si>
  <si>
    <t xml:space="preserve"> 8:36:04 am</t>
  </si>
  <si>
    <t>10567308043/10567308044/10567308039</t>
  </si>
  <si>
    <t>F6V31-80022-FT0001</t>
  </si>
  <si>
    <t>F6V31-80022-FT</t>
  </si>
  <si>
    <t>W662972</t>
  </si>
  <si>
    <t>S0358454</t>
  </si>
  <si>
    <t>W0679824</t>
  </si>
  <si>
    <t xml:space="preserve"> 8:36:59 am</t>
  </si>
  <si>
    <t>F6V29-80022-FT0001</t>
  </si>
  <si>
    <t>F6V29-80022-FT</t>
  </si>
  <si>
    <t>W662770</t>
  </si>
  <si>
    <t>S0358455</t>
  </si>
  <si>
    <t>W0679825</t>
  </si>
  <si>
    <t xml:space="preserve"> 8:38:14 am</t>
  </si>
  <si>
    <t>N9K04-80019-FT0001</t>
  </si>
  <si>
    <t>N9K04-80019-FT</t>
  </si>
  <si>
    <t>W662541</t>
  </si>
  <si>
    <t>S0358456</t>
  </si>
  <si>
    <t>W0679827</t>
  </si>
  <si>
    <t xml:space="preserve"> 8:40:08 am</t>
  </si>
  <si>
    <t>3YM73-80008-FT0001</t>
  </si>
  <si>
    <t>3YM73-80008-FT</t>
  </si>
  <si>
    <t>W662973</t>
  </si>
  <si>
    <t>S0358458</t>
  </si>
  <si>
    <t>W0679828</t>
  </si>
  <si>
    <t xml:space="preserve"> 8:39:07 am</t>
  </si>
  <si>
    <t>F6U62-80030-FT0001</t>
  </si>
  <si>
    <t>F6U62-80030-FT</t>
  </si>
  <si>
    <t>W662771</t>
  </si>
  <si>
    <t>S0358459</t>
  </si>
  <si>
    <t>W0679834</t>
  </si>
  <si>
    <t xml:space="preserve"> 8:42:11 am</t>
  </si>
  <si>
    <t>F6U66-80033-FT0001</t>
  </si>
  <si>
    <t>F6U66-80033-FT</t>
  </si>
  <si>
    <t>W662773</t>
  </si>
  <si>
    <t>S0358463</t>
  </si>
  <si>
    <t>W0679837</t>
  </si>
  <si>
    <t xml:space="preserve"> 8:43:01 am</t>
  </si>
  <si>
    <t>N9K06-80021-FT0001</t>
  </si>
  <si>
    <t>N9K06-80021-FT</t>
  </si>
  <si>
    <t>W662774</t>
  </si>
  <si>
    <t>S0358466</t>
  </si>
  <si>
    <t>W0679838</t>
  </si>
  <si>
    <t xml:space="preserve"> 8:41:23 am</t>
  </si>
  <si>
    <t>CH561-80123-FT0001</t>
  </si>
  <si>
    <t>CH561-80123-FT</t>
  </si>
  <si>
    <t>W662775</t>
  </si>
  <si>
    <t>S0358467</t>
  </si>
  <si>
    <t>W0679874</t>
  </si>
  <si>
    <t xml:space="preserve"> 1:36:34 pm</t>
  </si>
  <si>
    <t>W662546</t>
  </si>
  <si>
    <t>H0064642</t>
  </si>
  <si>
    <t>W0679910</t>
  </si>
  <si>
    <t>260-6604-000001</t>
  </si>
  <si>
    <t>260-6604-00</t>
  </si>
  <si>
    <t>W662550</t>
  </si>
  <si>
    <t>W0679922</t>
  </si>
  <si>
    <t xml:space="preserve"> 4:19:43 pm</t>
  </si>
  <si>
    <t>3101S1</t>
  </si>
  <si>
    <t>1581-07-030001</t>
  </si>
  <si>
    <t>1581-07-03</t>
  </si>
  <si>
    <t>R18068</t>
  </si>
  <si>
    <t>W662564</t>
  </si>
  <si>
    <t>S0358491</t>
  </si>
  <si>
    <t>W0679966</t>
  </si>
  <si>
    <t xml:space="preserve"> 4:33:36 pm</t>
  </si>
  <si>
    <t>4081S1</t>
  </si>
  <si>
    <t>5183-5638 TESTI0001</t>
  </si>
  <si>
    <t>5183-5638</t>
  </si>
  <si>
    <t>W662979</t>
  </si>
  <si>
    <t>S0358500</t>
  </si>
  <si>
    <t>W0680085</t>
  </si>
  <si>
    <t>5183-5638 (TESTING)</t>
  </si>
  <si>
    <t>H08031-IMS</t>
  </si>
  <si>
    <t>W662777</t>
  </si>
  <si>
    <t>S0358763</t>
  </si>
  <si>
    <t>W0680105</t>
  </si>
  <si>
    <t xml:space="preserve"> 5:23:26 pm</t>
  </si>
  <si>
    <t>M0BTH2362</t>
  </si>
  <si>
    <t>100475038 REVA0001</t>
  </si>
  <si>
    <t>100475038 REVB</t>
  </si>
  <si>
    <t>W662584</t>
  </si>
  <si>
    <t>H0064648</t>
  </si>
  <si>
    <t>W0680253</t>
  </si>
  <si>
    <t>4275S1</t>
  </si>
  <si>
    <t>2X0.8-3M78710001</t>
  </si>
  <si>
    <t>2X0.8-3M7871</t>
  </si>
  <si>
    <t>R18111</t>
  </si>
  <si>
    <t>W662590</t>
  </si>
  <si>
    <t>S0359025</t>
  </si>
  <si>
    <t>W0680401</t>
  </si>
  <si>
    <t xml:space="preserve"> 3:02:32 pm</t>
  </si>
  <si>
    <t>T09UF72101525</t>
  </si>
  <si>
    <t>T8-S-309717-R0001</t>
  </si>
  <si>
    <t>T8-S-309717-R</t>
  </si>
  <si>
    <t>G07042</t>
  </si>
  <si>
    <t>W662602</t>
  </si>
  <si>
    <t>ZSA101747</t>
  </si>
  <si>
    <t>W0680409</t>
  </si>
  <si>
    <t xml:space="preserve"> 1:34:44 pm</t>
  </si>
  <si>
    <t>LBL-DELTAMETHRIN0001</t>
  </si>
  <si>
    <t>LBL-DELTAMETHRIN 1.5</t>
  </si>
  <si>
    <t>A01248</t>
  </si>
  <si>
    <t>W662605</t>
  </si>
  <si>
    <t>S0359220</t>
  </si>
  <si>
    <t>W0680416</t>
  </si>
  <si>
    <t>U530352052/5501241326</t>
  </si>
  <si>
    <t>W662994</t>
  </si>
  <si>
    <t>S0359223</t>
  </si>
  <si>
    <t>W0680420</t>
  </si>
  <si>
    <t>W662998</t>
  </si>
  <si>
    <t>S0359224</t>
  </si>
  <si>
    <t>W0680427</t>
  </si>
  <si>
    <t>U4B1958052</t>
  </si>
  <si>
    <t>SIGA-1000 ML0001</t>
  </si>
  <si>
    <t>SIGA-1000 ML</t>
  </si>
  <si>
    <t>W662606</t>
  </si>
  <si>
    <t>S0359229</t>
  </si>
  <si>
    <t>W0680428</t>
  </si>
  <si>
    <t xml:space="preserve"> 1:35:40 pm</t>
  </si>
  <si>
    <t>SIGA-500 ML0001</t>
  </si>
  <si>
    <t>SIGA-500 ML</t>
  </si>
  <si>
    <t>W662607</t>
  </si>
  <si>
    <t>W0680433</t>
  </si>
  <si>
    <t>717742 INDEX4070001</t>
  </si>
  <si>
    <t>717742 INDEX407</t>
  </si>
  <si>
    <t>W662221</t>
  </si>
  <si>
    <t>S0359233</t>
  </si>
  <si>
    <t>W0680470</t>
  </si>
  <si>
    <t xml:space="preserve"> 8:38:57 am</t>
  </si>
  <si>
    <t>41E8C3A182R</t>
  </si>
  <si>
    <t>PS27</t>
  </si>
  <si>
    <t>XTR-140.1991.10-0001</t>
  </si>
  <si>
    <t>XTR-140.1991.10-S</t>
  </si>
  <si>
    <t>L12161</t>
  </si>
  <si>
    <t>W663001</t>
  </si>
  <si>
    <t>S0359265</t>
  </si>
  <si>
    <t>W0680471</t>
  </si>
  <si>
    <t>XTR-140.1878.13-0001</t>
  </si>
  <si>
    <t>XTR-140.1878.13-S</t>
  </si>
  <si>
    <t>W663002</t>
  </si>
  <si>
    <t>S0359266</t>
  </si>
  <si>
    <t>W0680472</t>
  </si>
  <si>
    <t xml:space="preserve"> 8:39:53 am</t>
  </si>
  <si>
    <t>XTR-140.1879.14-0001</t>
  </si>
  <si>
    <t>XTR-140.1879.14-S</t>
  </si>
  <si>
    <t>W663003</t>
  </si>
  <si>
    <t>W0680473</t>
  </si>
  <si>
    <t>XTR-140.1893.12-0001</t>
  </si>
  <si>
    <t>XTR-140.1893.12-S</t>
  </si>
  <si>
    <t>W663004</t>
  </si>
  <si>
    <t>S0359267</t>
  </si>
  <si>
    <t>W0680484</t>
  </si>
  <si>
    <t>10620258036/10620258032/106202568030</t>
  </si>
  <si>
    <t>N9J89-80007-BH180001</t>
  </si>
  <si>
    <t>N9J89-80007-BH184</t>
  </si>
  <si>
    <t>W663580</t>
  </si>
  <si>
    <t>S0359278</t>
  </si>
  <si>
    <t>W0680488</t>
  </si>
  <si>
    <t xml:space="preserve"> 8:33:21 am</t>
  </si>
  <si>
    <t>C2P10-80010-FT0001</t>
  </si>
  <si>
    <t>C2P10-80010-FT</t>
  </si>
  <si>
    <t>W663008</t>
  </si>
  <si>
    <t>S0359282</t>
  </si>
  <si>
    <t>W0680489</t>
  </si>
  <si>
    <t xml:space="preserve"> 8:37:51 am</t>
  </si>
  <si>
    <t>10620258034/10620258035/10620258033</t>
  </si>
  <si>
    <t>N9J90-80007-FT0001</t>
  </si>
  <si>
    <t>N9J90-80007-FT</t>
  </si>
  <si>
    <t>W663009</t>
  </si>
  <si>
    <t>S0359283</t>
  </si>
  <si>
    <t>W0680490</t>
  </si>
  <si>
    <t>E5Z02-80008-FT0001</t>
  </si>
  <si>
    <t>E5Z02-80008-FT</t>
  </si>
  <si>
    <t>W662612</t>
  </si>
  <si>
    <t>S0359284</t>
  </si>
  <si>
    <t>W0680492</t>
  </si>
  <si>
    <t xml:space="preserve"> 8:34:49 am</t>
  </si>
  <si>
    <t>CH563-80125-FT0001</t>
  </si>
  <si>
    <t>CH563-80125-FT</t>
  </si>
  <si>
    <t>W663011</t>
  </si>
  <si>
    <t>S0359286</t>
  </si>
  <si>
    <t>W0680495</t>
  </si>
  <si>
    <t xml:space="preserve"> 8:37:16 am</t>
  </si>
  <si>
    <t>10620258036/10620258032/10620258030</t>
  </si>
  <si>
    <t>CH564-80132-FT0001</t>
  </si>
  <si>
    <t>CH564-80132-FT</t>
  </si>
  <si>
    <t>W663013</t>
  </si>
  <si>
    <t>S0359289</t>
  </si>
  <si>
    <t>W0680496</t>
  </si>
  <si>
    <t xml:space="preserve"> 2:50:59 pm</t>
  </si>
  <si>
    <t>W662613</t>
  </si>
  <si>
    <t>S0359291</t>
  </si>
  <si>
    <t>W0680499</t>
  </si>
  <si>
    <t xml:space="preserve"> 8:38:50 am</t>
  </si>
  <si>
    <t>3YM38-80003-FT0001</t>
  </si>
  <si>
    <t>3YM38-80003-FT</t>
  </si>
  <si>
    <t>W663015</t>
  </si>
  <si>
    <t>S0359294</t>
  </si>
  <si>
    <t>W0680505</t>
  </si>
  <si>
    <t xml:space="preserve"> 8:39:51 am</t>
  </si>
  <si>
    <t>3YM54-80005-FT0001</t>
  </si>
  <si>
    <t>3YM54-80005-FT</t>
  </si>
  <si>
    <t>W663017</t>
  </si>
  <si>
    <t>S0359300</t>
  </si>
  <si>
    <t>W0680519</t>
  </si>
  <si>
    <t xml:space="preserve"> 5:41:19 pm</t>
  </si>
  <si>
    <t>4136S1</t>
  </si>
  <si>
    <t>704845 INDEX000001</t>
  </si>
  <si>
    <t>704845 INDEX00</t>
  </si>
  <si>
    <t>W662614</t>
  </si>
  <si>
    <t>S0359311</t>
  </si>
  <si>
    <t>W0680538</t>
  </si>
  <si>
    <t>F6U64-80027-FT0001</t>
  </si>
  <si>
    <t>F6U64-80027-FT</t>
  </si>
  <si>
    <t>W663588</t>
  </si>
  <si>
    <t>S0359320</t>
  </si>
  <si>
    <t>W0680540</t>
  </si>
  <si>
    <t>W663590</t>
  </si>
  <si>
    <t>S0359322</t>
  </si>
  <si>
    <t>W0680544</t>
  </si>
  <si>
    <t>W663021</t>
  </si>
  <si>
    <t>S0359326</t>
  </si>
  <si>
    <t>W0680555</t>
  </si>
  <si>
    <t>E04JO64031065</t>
  </si>
  <si>
    <t>L001-773057-00000001</t>
  </si>
  <si>
    <t>L001-773057-000001CM</t>
  </si>
  <si>
    <t>W663593</t>
  </si>
  <si>
    <t>H0064671</t>
  </si>
  <si>
    <t>W0680579</t>
  </si>
  <si>
    <t>MT-1000407-902RE0005</t>
  </si>
  <si>
    <t>MT-1000407-902REV006</t>
  </si>
  <si>
    <t>W662224</t>
  </si>
  <si>
    <t>W0680581</t>
  </si>
  <si>
    <t>M0BTC15911524</t>
  </si>
  <si>
    <t>719708-AD42150001</t>
  </si>
  <si>
    <t>719708-AD4215</t>
  </si>
  <si>
    <t>W663600</t>
  </si>
  <si>
    <t>S0359336</t>
  </si>
  <si>
    <t>W0680584</t>
  </si>
  <si>
    <t xml:space="preserve"> 9:45:11 am</t>
  </si>
  <si>
    <t>U4A2658022/309103625</t>
  </si>
  <si>
    <t>2V642190001</t>
  </si>
  <si>
    <t>2V64219</t>
  </si>
  <si>
    <t>T20198</t>
  </si>
  <si>
    <t>W662225</t>
  </si>
  <si>
    <t>S0359338</t>
  </si>
  <si>
    <t>W0680591</t>
  </si>
  <si>
    <t>BYF039-01</t>
  </si>
  <si>
    <t>MEES CPOS-80X20M0001</t>
  </si>
  <si>
    <t>MEES CPOS-80X20MM</t>
  </si>
  <si>
    <t>S19671</t>
  </si>
  <si>
    <t>W662623</t>
  </si>
  <si>
    <t>S0359340</t>
  </si>
  <si>
    <t>W0680594</t>
  </si>
  <si>
    <t>M0BTD2082</t>
  </si>
  <si>
    <t>W663027</t>
  </si>
  <si>
    <t>H0064687</t>
  </si>
  <si>
    <t>W0680691</t>
  </si>
  <si>
    <t xml:space="preserve"> 8:35:16 am</t>
  </si>
  <si>
    <t>CH562-80136-FT0001</t>
  </si>
  <si>
    <t>CH562-80136-FT</t>
  </si>
  <si>
    <t>W663034</t>
  </si>
  <si>
    <t>S0359819</t>
  </si>
  <si>
    <t>W0680694</t>
  </si>
  <si>
    <t xml:space="preserve"> 9:06:16 am</t>
  </si>
  <si>
    <t>7FP22-80007-FT0001</t>
  </si>
  <si>
    <t>7FP22-80007-FT</t>
  </si>
  <si>
    <t>W663602</t>
  </si>
  <si>
    <t>S0359822</t>
  </si>
  <si>
    <t>W0680695</t>
  </si>
  <si>
    <t xml:space="preserve"> 9:07:20 am</t>
  </si>
  <si>
    <t>7FP22-80008-FT0001</t>
  </si>
  <si>
    <t>7FP22-80008-FT</t>
  </si>
  <si>
    <t>W663603</t>
  </si>
  <si>
    <t>W0680701</t>
  </si>
  <si>
    <t xml:space="preserve"> 2:05:36 pm</t>
  </si>
  <si>
    <t>4170S1</t>
  </si>
  <si>
    <t>TSMB00482020001</t>
  </si>
  <si>
    <t>TSMB0048202</t>
  </si>
  <si>
    <t>W662631</t>
  </si>
  <si>
    <t>W0680703</t>
  </si>
  <si>
    <t xml:space="preserve"> 9:47:05 am</t>
  </si>
  <si>
    <t>TSMB00660020001</t>
  </si>
  <si>
    <t>TSMB0066002</t>
  </si>
  <si>
    <t>W662632</t>
  </si>
  <si>
    <t>W0680706</t>
  </si>
  <si>
    <t>W662633</t>
  </si>
  <si>
    <t>W0680708</t>
  </si>
  <si>
    <t>W662634</t>
  </si>
  <si>
    <t>W0680713</t>
  </si>
  <si>
    <t>3082512U9</t>
  </si>
  <si>
    <t>W662636</t>
  </si>
  <si>
    <t>S0359837</t>
  </si>
  <si>
    <t>W0680718</t>
  </si>
  <si>
    <t>M07-15056431</t>
  </si>
  <si>
    <t>W662237</t>
  </si>
  <si>
    <t>S0359842</t>
  </si>
  <si>
    <t>W0680857</t>
  </si>
  <si>
    <t xml:space="preserve"> 8:36:50 am</t>
  </si>
  <si>
    <t>405172525/3082509U9</t>
  </si>
  <si>
    <t>W662640</t>
  </si>
  <si>
    <t>S0360713</t>
  </si>
  <si>
    <t>W0680871</t>
  </si>
  <si>
    <t>XTR-140.1949.12-0001</t>
  </si>
  <si>
    <t>XTR-140.1949.12-S</t>
  </si>
  <si>
    <t>W663042</t>
  </si>
  <si>
    <t>S0360723</t>
  </si>
  <si>
    <t>W0680898</t>
  </si>
  <si>
    <t xml:space="preserve"> 5:34:18 pm</t>
  </si>
  <si>
    <t>W662650</t>
  </si>
  <si>
    <t>W0680901</t>
  </si>
  <si>
    <t>W662653</t>
  </si>
  <si>
    <t>W0680902</t>
  </si>
  <si>
    <t xml:space="preserve"> 8:44:15 am</t>
  </si>
  <si>
    <t>810790 REV4000001</t>
  </si>
  <si>
    <t>810790 REV400</t>
  </si>
  <si>
    <t>W662654</t>
  </si>
  <si>
    <t>S0360743</t>
  </si>
  <si>
    <t>W0680950</t>
  </si>
  <si>
    <t>SG-562936501</t>
  </si>
  <si>
    <t>W662657</t>
  </si>
  <si>
    <t>S0360884</t>
  </si>
  <si>
    <t>W0680957</t>
  </si>
  <si>
    <t xml:space="preserve"> 3:04:53 pm</t>
  </si>
  <si>
    <t>J00D31560</t>
  </si>
  <si>
    <t>W662658</t>
  </si>
  <si>
    <t>S0360887</t>
  </si>
  <si>
    <t>W0680958</t>
  </si>
  <si>
    <t>W662659</t>
  </si>
  <si>
    <t>ZSA101756</t>
  </si>
  <si>
    <t>W0681022</t>
  </si>
  <si>
    <t>N9J92-80007-FT0001</t>
  </si>
  <si>
    <t>N9J92-80007-FT</t>
  </si>
  <si>
    <t>W663055</t>
  </si>
  <si>
    <t>S0360911</t>
  </si>
  <si>
    <t>W0681023</t>
  </si>
  <si>
    <t>3YM77-80008-FT0001</t>
  </si>
  <si>
    <t>3YM77-80008-FT</t>
  </si>
  <si>
    <t>W663626</t>
  </si>
  <si>
    <t>S0360912</t>
  </si>
  <si>
    <t>W0681024</t>
  </si>
  <si>
    <t xml:space="preserve"> 2:59:27 pm</t>
  </si>
  <si>
    <t>W663627</t>
  </si>
  <si>
    <t>S0360913</t>
  </si>
  <si>
    <t>W0681025</t>
  </si>
  <si>
    <t xml:space="preserve"> 8:33:10 am</t>
  </si>
  <si>
    <t>C2P06-80052-FT0001</t>
  </si>
  <si>
    <t>C2P06-80052-FT</t>
  </si>
  <si>
    <t>W663628</t>
  </si>
  <si>
    <t>S0360914</t>
  </si>
  <si>
    <t>W0681029</t>
  </si>
  <si>
    <t xml:space="preserve"> 8:36:00 am</t>
  </si>
  <si>
    <t>W663630</t>
  </si>
  <si>
    <t>S0360918</t>
  </si>
  <si>
    <t>W0681030</t>
  </si>
  <si>
    <t>W663307</t>
  </si>
  <si>
    <t>S0360919</t>
  </si>
  <si>
    <t>W0681031</t>
  </si>
  <si>
    <t xml:space="preserve"> 2:02:36 pm</t>
  </si>
  <si>
    <t>D005822401525</t>
  </si>
  <si>
    <t>R370-4221 REV 1.0001</t>
  </si>
  <si>
    <t>R370-4221 REV 1.0</t>
  </si>
  <si>
    <t>R18131-AUSTRALIA</t>
  </si>
  <si>
    <t>W662251</t>
  </si>
  <si>
    <t>S0360920</t>
  </si>
  <si>
    <t>W0681034</t>
  </si>
  <si>
    <t xml:space="preserve"> 8:34:07 am</t>
  </si>
  <si>
    <t>W662687</t>
  </si>
  <si>
    <t>S0360922</t>
  </si>
  <si>
    <t>W0681035</t>
  </si>
  <si>
    <t>R370-4227 REV 1.0001</t>
  </si>
  <si>
    <t>R370-4227 REV 1.0</t>
  </si>
  <si>
    <t>W662252</t>
  </si>
  <si>
    <t>S0360923</t>
  </si>
  <si>
    <t>W0681054</t>
  </si>
  <si>
    <t xml:space="preserve"> 8:31:59 am</t>
  </si>
  <si>
    <t>2101818U5/M0B7C2220</t>
  </si>
  <si>
    <t>W662688</t>
  </si>
  <si>
    <t>S0360931</t>
  </si>
  <si>
    <t>W0681059</t>
  </si>
  <si>
    <t>MT-1000766-903RE0002</t>
  </si>
  <si>
    <t>MT-1000766-903REV002</t>
  </si>
  <si>
    <t>W662253</t>
  </si>
  <si>
    <t>W0681065</t>
  </si>
  <si>
    <t>MT-1000340-58REV0001</t>
  </si>
  <si>
    <t>MT-1000340-58REV004</t>
  </si>
  <si>
    <t>W662254</t>
  </si>
  <si>
    <t>ZSA101757</t>
  </si>
  <si>
    <t>Filter: Date Completed: 06/03/25</t>
  </si>
  <si>
    <t>W0676952</t>
  </si>
  <si>
    <t>10639931106/10639931103/10639931102/10639931104</t>
  </si>
  <si>
    <t>FSC31311</t>
  </si>
  <si>
    <t>S0355320</t>
  </si>
  <si>
    <t>W0680565</t>
  </si>
  <si>
    <t xml:space="preserve"> 4:52:21 pm</t>
  </si>
  <si>
    <t>4103003U5</t>
  </si>
  <si>
    <t>FSC30839A</t>
  </si>
  <si>
    <t>0B31180 EC C04290001</t>
  </si>
  <si>
    <t>0B31180 EC C09455</t>
  </si>
  <si>
    <t>H0064680</t>
  </si>
  <si>
    <t>W0681036</t>
  </si>
  <si>
    <t xml:space="preserve"> 8:36:06 am</t>
  </si>
  <si>
    <t>L001-772785-057R0001</t>
  </si>
  <si>
    <t>L001-772785-057REVAA</t>
  </si>
  <si>
    <t>H0064701</t>
  </si>
  <si>
    <t>W0674539</t>
  </si>
  <si>
    <t xml:space="preserve"> 2:29:44 pm</t>
  </si>
  <si>
    <t>R639-401 REV2.00001</t>
  </si>
  <si>
    <t>R639-401 REV2.0</t>
  </si>
  <si>
    <t>W662405</t>
  </si>
  <si>
    <t>S0352648</t>
  </si>
  <si>
    <t>W0675938</t>
  </si>
  <si>
    <t xml:space="preserve"> 5:12:30 pm</t>
  </si>
  <si>
    <t>R390-439 REV 1.00001</t>
  </si>
  <si>
    <t>R390-439 REV 1.0</t>
  </si>
  <si>
    <t>W662932</t>
  </si>
  <si>
    <t>S0354104</t>
  </si>
  <si>
    <t>W0678699</t>
  </si>
  <si>
    <t xml:space="preserve"> 2:53:17 pm</t>
  </si>
  <si>
    <t>SG-5619707 01</t>
  </si>
  <si>
    <t>W663541</t>
  </si>
  <si>
    <t>S0357465</t>
  </si>
  <si>
    <t>W0678749</t>
  </si>
  <si>
    <t xml:space="preserve"> 8:44:03 am</t>
  </si>
  <si>
    <t>706242 INDEX07</t>
  </si>
  <si>
    <t>W662415</t>
  </si>
  <si>
    <t>S0357493</t>
  </si>
  <si>
    <t>W0678768</t>
  </si>
  <si>
    <t xml:space="preserve"> 8:31:53 am</t>
  </si>
  <si>
    <t>250-6220-000001</t>
  </si>
  <si>
    <t>250-6220-00</t>
  </si>
  <si>
    <t>W662421</t>
  </si>
  <si>
    <t>W0679328</t>
  </si>
  <si>
    <t xml:space="preserve"> 8:52:23 am</t>
  </si>
  <si>
    <t>10639931089/10639931091/10639931092</t>
  </si>
  <si>
    <t>CH561-80124-FT0001</t>
  </si>
  <si>
    <t>CH561-80124-FT</t>
  </si>
  <si>
    <t>W662436</t>
  </si>
  <si>
    <t>S0358005</t>
  </si>
  <si>
    <t>W0679334</t>
  </si>
  <si>
    <t xml:space="preserve"> 8:49:31 am</t>
  </si>
  <si>
    <t>W662497</t>
  </si>
  <si>
    <t>S0358031</t>
  </si>
  <si>
    <t>W0679523</t>
  </si>
  <si>
    <t xml:space="preserve"> 8:53:18 am</t>
  </si>
  <si>
    <t>W662502</t>
  </si>
  <si>
    <t>S0358299</t>
  </si>
  <si>
    <t>W0679524</t>
  </si>
  <si>
    <t xml:space="preserve"> 8:48:28 am</t>
  </si>
  <si>
    <t>W662438</t>
  </si>
  <si>
    <t>S0358300</t>
  </si>
  <si>
    <t>W0679525</t>
  </si>
  <si>
    <t xml:space="preserve"> 8:54:10 am</t>
  </si>
  <si>
    <t>3YM62-80017-FT0001</t>
  </si>
  <si>
    <t>3YM62-80017-FT</t>
  </si>
  <si>
    <t>W662524</t>
  </si>
  <si>
    <t>S0358301</t>
  </si>
  <si>
    <t>W0679526</t>
  </si>
  <si>
    <t xml:space="preserve"> 8:46:12 am</t>
  </si>
  <si>
    <t>W662525</t>
  </si>
  <si>
    <t>S0358302</t>
  </si>
  <si>
    <t>W0679527</t>
  </si>
  <si>
    <t xml:space="preserve"> 8:47:31 am</t>
  </si>
  <si>
    <t>N9K02-80017-FT0001</t>
  </si>
  <si>
    <t>N9K02-80017-FT</t>
  </si>
  <si>
    <t>W662439</t>
  </si>
  <si>
    <t>S0358303</t>
  </si>
  <si>
    <t>W0679533</t>
  </si>
  <si>
    <t xml:space="preserve"> 8:50:32 am</t>
  </si>
  <si>
    <t>W662526</t>
  </si>
  <si>
    <t>S0358305</t>
  </si>
  <si>
    <t>W0679538</t>
  </si>
  <si>
    <t xml:space="preserve"> 8:51:20 am</t>
  </si>
  <si>
    <t>W662527</t>
  </si>
  <si>
    <t>S0358306</t>
  </si>
  <si>
    <t>W0679546</t>
  </si>
  <si>
    <t>N9K08-80027-FT0001</t>
  </si>
  <si>
    <t>N9K08-80027-FT</t>
  </si>
  <si>
    <t>W662528</t>
  </si>
  <si>
    <t>S0358307</t>
  </si>
  <si>
    <t>W0679613</t>
  </si>
  <si>
    <t>806777 REV4010001</t>
  </si>
  <si>
    <t>806777 REV401</t>
  </si>
  <si>
    <t>W662441</t>
  </si>
  <si>
    <t>W0679670</t>
  </si>
  <si>
    <t>E0425913/M0BSQ4460</t>
  </si>
  <si>
    <t>W662767</t>
  </si>
  <si>
    <t>H0064627</t>
  </si>
  <si>
    <t>W0679722</t>
  </si>
  <si>
    <t>1113-550-00020 R0001</t>
  </si>
  <si>
    <t>1113-550-00020 REVB</t>
  </si>
  <si>
    <t>M13337-SMD</t>
  </si>
  <si>
    <t>W662533</t>
  </si>
  <si>
    <t>S0358392</t>
  </si>
  <si>
    <t>W0679784</t>
  </si>
  <si>
    <t xml:space="preserve"> 8:37:21 am</t>
  </si>
  <si>
    <t>BYK066-02/0038-1234-2</t>
  </si>
  <si>
    <t>ROUND LABEL-73MM0001</t>
  </si>
  <si>
    <t>ADV6014B</t>
  </si>
  <si>
    <t>M13518</t>
  </si>
  <si>
    <t>W662538</t>
  </si>
  <si>
    <t>S0358439</t>
  </si>
  <si>
    <t>W0679806</t>
  </si>
  <si>
    <t>404112548/4071802U5</t>
  </si>
  <si>
    <t>810808 INDEX4010001</t>
  </si>
  <si>
    <t>810808 INDEX401</t>
  </si>
  <si>
    <t>W662539</t>
  </si>
  <si>
    <t>S0358443</t>
  </si>
  <si>
    <t>W0679831</t>
  </si>
  <si>
    <t>F6V26-80017-FT0001</t>
  </si>
  <si>
    <t>F6V26-80017-FT</t>
  </si>
  <si>
    <t>W662772</t>
  </si>
  <si>
    <t>S0358462</t>
  </si>
  <si>
    <t>W0679835</t>
  </si>
  <si>
    <t xml:space="preserve"> 3:48:55 pm</t>
  </si>
  <si>
    <t>W662543</t>
  </si>
  <si>
    <t>S0358464</t>
  </si>
  <si>
    <t>W0679848</t>
  </si>
  <si>
    <t xml:space="preserve"> 9:06:29 am</t>
  </si>
  <si>
    <t>E04JO6403</t>
  </si>
  <si>
    <t>L001-773057-00000007</t>
  </si>
  <si>
    <t>L001-773057-000007CM</t>
  </si>
  <si>
    <t>W662977</t>
  </si>
  <si>
    <t>H0064635</t>
  </si>
  <si>
    <t>W0679875</t>
  </si>
  <si>
    <t>M4B4603BGJBJ211-S249100174/E0926912</t>
  </si>
  <si>
    <t>75N</t>
  </si>
  <si>
    <t>W662547</t>
  </si>
  <si>
    <t>H0064643</t>
  </si>
  <si>
    <t>W0679909</t>
  </si>
  <si>
    <t>260-6603-000001</t>
  </si>
  <si>
    <t>260-6603-00</t>
  </si>
  <si>
    <t>W662549</t>
  </si>
  <si>
    <t>W0679911</t>
  </si>
  <si>
    <t>260-6605-000001</t>
  </si>
  <si>
    <t>260-6605-00</t>
  </si>
  <si>
    <t>W662551</t>
  </si>
  <si>
    <t>W0679912</t>
  </si>
  <si>
    <t xml:space="preserve"> 4:18:10 pm</t>
  </si>
  <si>
    <t>260-6606-000001</t>
  </si>
  <si>
    <t>260-6606-00</t>
  </si>
  <si>
    <t>W662552</t>
  </si>
  <si>
    <t>W0679927</t>
  </si>
  <si>
    <t xml:space="preserve"> 8:38:34 am</t>
  </si>
  <si>
    <t>U522458002</t>
  </si>
  <si>
    <t>STSS-PACKET0001</t>
  </si>
  <si>
    <t>STSS-PACKET</t>
  </si>
  <si>
    <t>T20300</t>
  </si>
  <si>
    <t>W662565</t>
  </si>
  <si>
    <t>S0358494</t>
  </si>
  <si>
    <t>W0680118</t>
  </si>
  <si>
    <t xml:space="preserve"> 9:33:10 am</t>
  </si>
  <si>
    <t>T0AF1219072</t>
  </si>
  <si>
    <t>714370204-ADS1360001</t>
  </si>
  <si>
    <t>714370204-ADS1366</t>
  </si>
  <si>
    <t>W662585</t>
  </si>
  <si>
    <t>H0064656</t>
  </si>
  <si>
    <t>W0680120</t>
  </si>
  <si>
    <t xml:space="preserve"> 5:19:07 pm</t>
  </si>
  <si>
    <t>714370207-ADS1360001</t>
  </si>
  <si>
    <t>714370207-ADS1366</t>
  </si>
  <si>
    <t>W662586</t>
  </si>
  <si>
    <t>H0064658</t>
  </si>
  <si>
    <t>ZC53</t>
  </si>
  <si>
    <t>W0680254</t>
  </si>
  <si>
    <t>43215A027</t>
  </si>
  <si>
    <t>PREMIUM LABEL0001</t>
  </si>
  <si>
    <t>PREMIUM LABEL</t>
  </si>
  <si>
    <t>V22073</t>
  </si>
  <si>
    <t>W662591</t>
  </si>
  <si>
    <t>S0359026</t>
  </si>
  <si>
    <t>W0680337</t>
  </si>
  <si>
    <t xml:space="preserve"> 8:43:56 am</t>
  </si>
  <si>
    <t>CHECKED0001</t>
  </si>
  <si>
    <t>CHECKED</t>
  </si>
  <si>
    <t>S19337</t>
  </si>
  <si>
    <t>W662597</t>
  </si>
  <si>
    <t>S0359163</t>
  </si>
  <si>
    <t>W0680338</t>
  </si>
  <si>
    <t xml:space="preserve"> 1:33:30 pm</t>
  </si>
  <si>
    <t>T9048DG0001</t>
  </si>
  <si>
    <t>T9048DG</t>
  </si>
  <si>
    <t>Y25022</t>
  </si>
  <si>
    <t>W662598</t>
  </si>
  <si>
    <t>S0359164</t>
  </si>
  <si>
    <t>W0680402</t>
  </si>
  <si>
    <t xml:space="preserve"> 3:03:13 pm</t>
  </si>
  <si>
    <t>T8-S-309718-R0001</t>
  </si>
  <si>
    <t>T8-S-309718-R</t>
  </si>
  <si>
    <t>W662603</t>
  </si>
  <si>
    <t>W0680413</t>
  </si>
  <si>
    <t xml:space="preserve"> 8:55:41 am</t>
  </si>
  <si>
    <t>U530352047/501241326</t>
  </si>
  <si>
    <t>250-5322-000001</t>
  </si>
  <si>
    <t>250-5322-00</t>
  </si>
  <si>
    <t>W662991</t>
  </si>
  <si>
    <t>W0680417</t>
  </si>
  <si>
    <t>W662995</t>
  </si>
  <si>
    <t>W0680421</t>
  </si>
  <si>
    <t>W662999</t>
  </si>
  <si>
    <t>W0680435</t>
  </si>
  <si>
    <t>804964 INDEX1000001</t>
  </si>
  <si>
    <t>804964 INDEX100</t>
  </si>
  <si>
    <t>W662610</t>
  </si>
  <si>
    <t>W0680468</t>
  </si>
  <si>
    <t xml:space="preserve"> 8:32:40 am</t>
  </si>
  <si>
    <t>J00SB5030</t>
  </si>
  <si>
    <t>GR-1140001</t>
  </si>
  <si>
    <t>GR-114</t>
  </si>
  <si>
    <t>W662611</t>
  </si>
  <si>
    <t>S0359263</t>
  </si>
  <si>
    <t>W0680487</t>
  </si>
  <si>
    <t xml:space="preserve"> 8:52:22 am</t>
  </si>
  <si>
    <t>W663582</t>
  </si>
  <si>
    <t>S0359281</t>
  </si>
  <si>
    <t>W0680507</t>
  </si>
  <si>
    <t xml:space="preserve"> 8:49:24 am</t>
  </si>
  <si>
    <t>7FP01-80003-FT0001</t>
  </si>
  <si>
    <t>7FP01-80003-FT</t>
  </si>
  <si>
    <t>W663587</t>
  </si>
  <si>
    <t>S0359302</t>
  </si>
  <si>
    <t>W0680520</t>
  </si>
  <si>
    <t xml:space="preserve"> 4:04:27 pm</t>
  </si>
  <si>
    <t>722723 REV4010001</t>
  </si>
  <si>
    <t>722723 REV401</t>
  </si>
  <si>
    <t>W662615</t>
  </si>
  <si>
    <t>W0680521</t>
  </si>
  <si>
    <t>U3B12S019</t>
  </si>
  <si>
    <t>807813 REV1000001</t>
  </si>
  <si>
    <t>807813 REV100</t>
  </si>
  <si>
    <t>W662616</t>
  </si>
  <si>
    <t>S0359312</t>
  </si>
  <si>
    <t>W0680537</t>
  </si>
  <si>
    <t xml:space="preserve"> 9:49:05 am</t>
  </si>
  <si>
    <t>23A1207231</t>
  </si>
  <si>
    <t>805023 INDEX4000001</t>
  </si>
  <si>
    <t>805023 INDEX400</t>
  </si>
  <si>
    <t>W662617</t>
  </si>
  <si>
    <t>S0359318</t>
  </si>
  <si>
    <t>W0680550</t>
  </si>
  <si>
    <t xml:space="preserve"> 8:42:22 am</t>
  </si>
  <si>
    <t>M0BSM3241</t>
  </si>
  <si>
    <t>86.J7460001</t>
  </si>
  <si>
    <t>86.J746</t>
  </si>
  <si>
    <t>W662618</t>
  </si>
  <si>
    <t>W0680556</t>
  </si>
  <si>
    <t xml:space="preserve"> 3:01:32 pm</t>
  </si>
  <si>
    <t>W663594</t>
  </si>
  <si>
    <t>H0064672</t>
  </si>
  <si>
    <t>W0680564</t>
  </si>
  <si>
    <t>W663023</t>
  </si>
  <si>
    <t>H0064679</t>
  </si>
  <si>
    <t>W0680566</t>
  </si>
  <si>
    <t>W663598</t>
  </si>
  <si>
    <t>H0064681</t>
  </si>
  <si>
    <t>W0680567</t>
  </si>
  <si>
    <t>W663599</t>
  </si>
  <si>
    <t>H0064682</t>
  </si>
  <si>
    <t>W0680610</t>
  </si>
  <si>
    <t>3342S1</t>
  </si>
  <si>
    <t>E05156</t>
  </si>
  <si>
    <t>W662626</t>
  </si>
  <si>
    <t>S0359400</t>
  </si>
  <si>
    <t>W0680714</t>
  </si>
  <si>
    <t>U492052090</t>
  </si>
  <si>
    <t>RECEIVED LABEL0001</t>
  </si>
  <si>
    <t>RECEIVED LABEL</t>
  </si>
  <si>
    <t>G07075</t>
  </si>
  <si>
    <t>W662637</t>
  </si>
  <si>
    <t>S0359838</t>
  </si>
  <si>
    <t>W0680875</t>
  </si>
  <si>
    <t>J00788540</t>
  </si>
  <si>
    <t>PRODUCT-188X74-30001</t>
  </si>
  <si>
    <t>PRODUCT-188X74-379 U</t>
  </si>
  <si>
    <t>A01259</t>
  </si>
  <si>
    <t>W662642</t>
  </si>
  <si>
    <t>S0360725</t>
  </si>
  <si>
    <t>W0680903</t>
  </si>
  <si>
    <t>810792 REV4010001</t>
  </si>
  <si>
    <t>810792 REV401</t>
  </si>
  <si>
    <t>W662655</t>
  </si>
  <si>
    <t>W0680968</t>
  </si>
  <si>
    <t xml:space="preserve"> 5:18:28 pm</t>
  </si>
  <si>
    <t>714370212-ADS1360001</t>
  </si>
  <si>
    <t>714370212 REVA</t>
  </si>
  <si>
    <t>W662667</t>
  </si>
  <si>
    <t>H0064700</t>
  </si>
  <si>
    <t>W0680969</t>
  </si>
  <si>
    <t>SG-5638265 01</t>
  </si>
  <si>
    <t>I09099</t>
  </si>
  <si>
    <t>W662668</t>
  </si>
  <si>
    <t>S0360890</t>
  </si>
  <si>
    <t>W0680970</t>
  </si>
  <si>
    <t>W662669</t>
  </si>
  <si>
    <t>W0680972</t>
  </si>
  <si>
    <t>D10074850</t>
  </si>
  <si>
    <t>PRTN-1463077491-0003</t>
  </si>
  <si>
    <t>MDRM0345</t>
  </si>
  <si>
    <t>A01486</t>
  </si>
  <si>
    <t>W662670</t>
  </si>
  <si>
    <t>S0360886</t>
  </si>
  <si>
    <t>W0680973</t>
  </si>
  <si>
    <t xml:space="preserve"> 8:34:33 am</t>
  </si>
  <si>
    <t>4239S1/U4010218</t>
  </si>
  <si>
    <t>PRTN-2037351818-0001</t>
  </si>
  <si>
    <t>MDRM0198</t>
  </si>
  <si>
    <t>W663046</t>
  </si>
  <si>
    <t>W0680975</t>
  </si>
  <si>
    <t xml:space="preserve"> 5:35:51 pm</t>
  </si>
  <si>
    <t>LABEL0040001</t>
  </si>
  <si>
    <t>LABEL004</t>
  </si>
  <si>
    <t>H08216</t>
  </si>
  <si>
    <t>W662788</t>
  </si>
  <si>
    <t>S0360892</t>
  </si>
  <si>
    <t>W0680993</t>
  </si>
  <si>
    <t xml:space="preserve"> 8:44:41 am</t>
  </si>
  <si>
    <t>CZ630-800110001</t>
  </si>
  <si>
    <t>CZ630-80011</t>
  </si>
  <si>
    <t>W664087</t>
  </si>
  <si>
    <t>S0360902</t>
  </si>
  <si>
    <t>W0681000</t>
  </si>
  <si>
    <t>5011623U5</t>
  </si>
  <si>
    <t>260-6314-000001</t>
  </si>
  <si>
    <t>260-6314-00</t>
  </si>
  <si>
    <t>W662675</t>
  </si>
  <si>
    <t>S0360904</t>
  </si>
  <si>
    <t>W0681001</t>
  </si>
  <si>
    <t>260-6316-000001</t>
  </si>
  <si>
    <t>260-6316-00</t>
  </si>
  <si>
    <t>W662676</t>
  </si>
  <si>
    <t>W0681002</t>
  </si>
  <si>
    <t xml:space="preserve"> 2:06:54 pm</t>
  </si>
  <si>
    <t>260-6317-000001</t>
  </si>
  <si>
    <t>260-6317-00</t>
  </si>
  <si>
    <t>W662677</t>
  </si>
  <si>
    <t>W0681017</t>
  </si>
  <si>
    <t>W663054</t>
  </si>
  <si>
    <t>S0360906</t>
  </si>
  <si>
    <t>W0681018</t>
  </si>
  <si>
    <t>SG-5408830-01</t>
  </si>
  <si>
    <t>3037-RFT11080001</t>
  </si>
  <si>
    <t>3037-RFT1108</t>
  </si>
  <si>
    <t>W662686</t>
  </si>
  <si>
    <t>S0360907</t>
  </si>
  <si>
    <t>W0681019</t>
  </si>
  <si>
    <t xml:space="preserve"> 8:41:28 am</t>
  </si>
  <si>
    <t>X4E75-80015-FT0001</t>
  </si>
  <si>
    <t>X4E75-80015-FT</t>
  </si>
  <si>
    <t>W663623</t>
  </si>
  <si>
    <t>S0360908</t>
  </si>
  <si>
    <t>W0681021</t>
  </si>
  <si>
    <t xml:space="preserve"> 8:40:37 am</t>
  </si>
  <si>
    <t>7FN99-80003-FT0001</t>
  </si>
  <si>
    <t>7FN99-80003-FT</t>
  </si>
  <si>
    <t>W663625</t>
  </si>
  <si>
    <t>S0360910</t>
  </si>
  <si>
    <t>W0681026</t>
  </si>
  <si>
    <t xml:space="preserve"> 8:39:32 am</t>
  </si>
  <si>
    <t>3YP17-80012-FT0001</t>
  </si>
  <si>
    <t>3YP17-80012-FT</t>
  </si>
  <si>
    <t>W663629</t>
  </si>
  <si>
    <t>S0360915</t>
  </si>
  <si>
    <t>W0681027</t>
  </si>
  <si>
    <t xml:space="preserve"> 8:37:15 am</t>
  </si>
  <si>
    <t>7FP42-80004-FT0001</t>
  </si>
  <si>
    <t>7FP42-80004-FT</t>
  </si>
  <si>
    <t>W663056</t>
  </si>
  <si>
    <t>S0360916</t>
  </si>
  <si>
    <t>W0681028</t>
  </si>
  <si>
    <t xml:space="preserve"> 8:34:05 am</t>
  </si>
  <si>
    <t>CZ637-80024-FT0001</t>
  </si>
  <si>
    <t>CZ637-80024-FT</t>
  </si>
  <si>
    <t>W663057</t>
  </si>
  <si>
    <t>S0360917</t>
  </si>
  <si>
    <t>W0681056</t>
  </si>
  <si>
    <t xml:space="preserve"> 8:41:12 am</t>
  </si>
  <si>
    <t>86.J7350001</t>
  </si>
  <si>
    <t>86.J735</t>
  </si>
  <si>
    <t>W662689</t>
  </si>
  <si>
    <t>S0360932</t>
  </si>
  <si>
    <t>W0681080</t>
  </si>
  <si>
    <t xml:space="preserve"> 5:17:30 pm</t>
  </si>
  <si>
    <t>MOBN5031/XHX2411140015/XHX2406210211</t>
  </si>
  <si>
    <t>719705 INDEX4000001</t>
  </si>
  <si>
    <t>719705 INDEX403</t>
  </si>
  <si>
    <t>W663064</t>
  </si>
  <si>
    <t>S0360945</t>
  </si>
  <si>
    <t>W0681104</t>
  </si>
  <si>
    <t xml:space="preserve"> 9:28:44 am</t>
  </si>
  <si>
    <t>W662692</t>
  </si>
  <si>
    <t>S0361002</t>
  </si>
  <si>
    <t>W0681106</t>
  </si>
  <si>
    <t xml:space="preserve"> 2:49:16 pm</t>
  </si>
  <si>
    <t>MT-1000170-903RE0002</t>
  </si>
  <si>
    <t>MT-1000170-903REV002</t>
  </si>
  <si>
    <t>W662693</t>
  </si>
  <si>
    <t>S0361004</t>
  </si>
  <si>
    <t>Filter: Date Completed: 07/03/25</t>
  </si>
  <si>
    <t>W0674897</t>
  </si>
  <si>
    <t>U481252037</t>
  </si>
  <si>
    <t>WA-WAT006277-70001</t>
  </si>
  <si>
    <t>WA-WAT006277-7</t>
  </si>
  <si>
    <t>C03043</t>
  </si>
  <si>
    <t>W662406</t>
  </si>
  <si>
    <t>S0352960</t>
  </si>
  <si>
    <t>PM23</t>
  </si>
  <si>
    <t>W0677756</t>
  </si>
  <si>
    <t xml:space="preserve"> 5:49:29 pm</t>
  </si>
  <si>
    <t>J00T40070/J00WA6671</t>
  </si>
  <si>
    <t>W662942</t>
  </si>
  <si>
    <t>S0356568</t>
  </si>
  <si>
    <t>W0678888</t>
  </si>
  <si>
    <t xml:space="preserve"> 8:45:01 am</t>
  </si>
  <si>
    <t>U522658026</t>
  </si>
  <si>
    <t>NSI-0020001</t>
  </si>
  <si>
    <t>NSI-002</t>
  </si>
  <si>
    <t>W662953</t>
  </si>
  <si>
    <t>S0357648</t>
  </si>
  <si>
    <t>W0679329</t>
  </si>
  <si>
    <t xml:space="preserve"> 5:10:40 pm</t>
  </si>
  <si>
    <t>10639931093/10639931095</t>
  </si>
  <si>
    <t>3JB27-800010001</t>
  </si>
  <si>
    <t>3JB27-80001</t>
  </si>
  <si>
    <t>W662493</t>
  </si>
  <si>
    <t>S0358006</t>
  </si>
  <si>
    <t>W0679355</t>
  </si>
  <si>
    <t xml:space="preserve"> 2:47:17 pm</t>
  </si>
  <si>
    <t>10639931096/10639931093</t>
  </si>
  <si>
    <t>B7RT7-80001-FT0001</t>
  </si>
  <si>
    <t>B7RT7-80001-FT</t>
  </si>
  <si>
    <t>W662498</t>
  </si>
  <si>
    <t>S0358092</t>
  </si>
  <si>
    <t>W0679671</t>
  </si>
  <si>
    <t xml:space="preserve"> 9:28:36 am</t>
  </si>
  <si>
    <t>W662768</t>
  </si>
  <si>
    <t>H0064628</t>
  </si>
  <si>
    <t>W0679723</t>
  </si>
  <si>
    <t xml:space="preserve"> 9:32:21 am</t>
  </si>
  <si>
    <t>1114-670-00003 R0001</t>
  </si>
  <si>
    <t>1114-670-00003 REVC</t>
  </si>
  <si>
    <t>W662769</t>
  </si>
  <si>
    <t>W0679762</t>
  </si>
  <si>
    <t xml:space="preserve"> 5:39:04 pm</t>
  </si>
  <si>
    <t>49109/23L11010522</t>
  </si>
  <si>
    <t>TPK-884535-00200001</t>
  </si>
  <si>
    <t>TPK-884535-0020</t>
  </si>
  <si>
    <t>W662535</t>
  </si>
  <si>
    <t>S0358425</t>
  </si>
  <si>
    <t>W0679807</t>
  </si>
  <si>
    <t xml:space="preserve"> 5:41:01 pm</t>
  </si>
  <si>
    <t>706694 INDEX4100001</t>
  </si>
  <si>
    <t>706694 INDEX410</t>
  </si>
  <si>
    <t>W662540</t>
  </si>
  <si>
    <t>S0358444</t>
  </si>
  <si>
    <t>W0679826</t>
  </si>
  <si>
    <t xml:space="preserve"> 8:33:38 am</t>
  </si>
  <si>
    <t>W662542</t>
  </si>
  <si>
    <t>S0358457</t>
  </si>
  <si>
    <t>W0679873</t>
  </si>
  <si>
    <t xml:space="preserve"> 8:52:43 am</t>
  </si>
  <si>
    <t>W662563</t>
  </si>
  <si>
    <t>H0064641</t>
  </si>
  <si>
    <t>W0680397</t>
  </si>
  <si>
    <t xml:space="preserve"> 8:43:24 am</t>
  </si>
  <si>
    <t>BLANK LABEL-65X40002</t>
  </si>
  <si>
    <t>BLANK LABEL-65X45MM</t>
  </si>
  <si>
    <t>S19749</t>
  </si>
  <si>
    <t>W662599</t>
  </si>
  <si>
    <t>S0359212</t>
  </si>
  <si>
    <t>W0680399</t>
  </si>
  <si>
    <t xml:space="preserve"> 8:35:05 am</t>
  </si>
  <si>
    <t>SG-5612655 01</t>
  </si>
  <si>
    <t>20041049-WIDTH 10001</t>
  </si>
  <si>
    <t>20041049-WIDTH 1-07</t>
  </si>
  <si>
    <t>W662600</t>
  </si>
  <si>
    <t>S0359214</t>
  </si>
  <si>
    <t>W0680411</t>
  </si>
  <si>
    <t xml:space="preserve"> 5:40:00 pm</t>
  </si>
  <si>
    <t>250-5312-000001</t>
  </si>
  <si>
    <t>250-5312-00</t>
  </si>
  <si>
    <t>W662989</t>
  </si>
  <si>
    <t>W0680415</t>
  </si>
  <si>
    <t>W662993</t>
  </si>
  <si>
    <t>W0680560</t>
  </si>
  <si>
    <t>W663022</t>
  </si>
  <si>
    <t>H0064676</t>
  </si>
  <si>
    <t>W0680561</t>
  </si>
  <si>
    <t xml:space="preserve"> 8:36:27 am</t>
  </si>
  <si>
    <t>M0BSO3780</t>
  </si>
  <si>
    <t>W663596</t>
  </si>
  <si>
    <t>H0064677</t>
  </si>
  <si>
    <t>W0680588</t>
  </si>
  <si>
    <t xml:space="preserve"> 1:18:28 pm</t>
  </si>
  <si>
    <t>BXH040-01</t>
  </si>
  <si>
    <t>MEES CPOS FIBRE0001</t>
  </si>
  <si>
    <t>MEES CPOS FIBRE</t>
  </si>
  <si>
    <t>W662620</t>
  </si>
  <si>
    <t>W0680589</t>
  </si>
  <si>
    <t>MEES CPOS-124X380001</t>
  </si>
  <si>
    <t>MEES CPOS-124X38MM</t>
  </si>
  <si>
    <t>W662621</t>
  </si>
  <si>
    <t>W0680590</t>
  </si>
  <si>
    <t>MEES CPOS-230X480001</t>
  </si>
  <si>
    <t>MEES CPOS-230X48MM</t>
  </si>
  <si>
    <t>W662622</t>
  </si>
  <si>
    <t xml:space="preserve"> 8:55:11 am</t>
  </si>
  <si>
    <t>W0680766</t>
  </si>
  <si>
    <t xml:space="preserve"> 4:36:20 pm</t>
  </si>
  <si>
    <t>SG-5644655 01</t>
  </si>
  <si>
    <t>W662639</t>
  </si>
  <si>
    <t>S0359879</t>
  </si>
  <si>
    <t>W0680855</t>
  </si>
  <si>
    <t xml:space="preserve"> 2:45:58 pm</t>
  </si>
  <si>
    <t>M0BSM9430/M0BSM94101524/M0BSM9461</t>
  </si>
  <si>
    <t>W663617</t>
  </si>
  <si>
    <t>S0360711</t>
  </si>
  <si>
    <t>W0680888</t>
  </si>
  <si>
    <t>W662646</t>
  </si>
  <si>
    <t>W0680897</t>
  </si>
  <si>
    <t xml:space="preserve"> 2:48:23 pm</t>
  </si>
  <si>
    <t>3082509U9</t>
  </si>
  <si>
    <t>W662649</t>
  </si>
  <si>
    <t>W0680900</t>
  </si>
  <si>
    <t>W662652</t>
  </si>
  <si>
    <t>W0680971</t>
  </si>
  <si>
    <t xml:space="preserve"> 8:43:21 am</t>
  </si>
  <si>
    <t>D10072851</t>
  </si>
  <si>
    <t>PRTN2037351818-20001</t>
  </si>
  <si>
    <t>MDRM0222</t>
  </si>
  <si>
    <t>W663045</t>
  </si>
  <si>
    <t>W0680995</t>
  </si>
  <si>
    <t xml:space="preserve"> 2:14:41 pm</t>
  </si>
  <si>
    <t>4111523U5</t>
  </si>
  <si>
    <t>250-6222-000001</t>
  </si>
  <si>
    <t>250-6222-00</t>
  </si>
  <si>
    <t>W662671</t>
  </si>
  <si>
    <t>W0680998</t>
  </si>
  <si>
    <t>260-6306-000001</t>
  </si>
  <si>
    <t>260-6306-00</t>
  </si>
  <si>
    <t>W662673</t>
  </si>
  <si>
    <t>W0680999</t>
  </si>
  <si>
    <t xml:space="preserve"> 2:50:06 pm</t>
  </si>
  <si>
    <t>4111525U5A</t>
  </si>
  <si>
    <t>260-6310-000001</t>
  </si>
  <si>
    <t>260-6310-00</t>
  </si>
  <si>
    <t>W662674</t>
  </si>
  <si>
    <t>W0681015</t>
  </si>
  <si>
    <t xml:space="preserve"> 5:40:30 pm</t>
  </si>
  <si>
    <t>4111520U5/4111522U5A</t>
  </si>
  <si>
    <t>W662685</t>
  </si>
  <si>
    <t>W0681016</t>
  </si>
  <si>
    <t xml:space="preserve"> 5:12:56 pm</t>
  </si>
  <si>
    <t>W663053</t>
  </si>
  <si>
    <t>W0681078</t>
  </si>
  <si>
    <t>BLANK-101.6X72.50001</t>
  </si>
  <si>
    <t>BLANK-101.6X72.5MM</t>
  </si>
  <si>
    <t>S19718</t>
  </si>
  <si>
    <t>W663063</t>
  </si>
  <si>
    <t>S0360944</t>
  </si>
  <si>
    <t>W0681101</t>
  </si>
  <si>
    <t>W662691</t>
  </si>
  <si>
    <t>S0360998</t>
  </si>
  <si>
    <t>96N</t>
  </si>
  <si>
    <t>QM38</t>
  </si>
  <si>
    <t>W0681190</t>
  </si>
  <si>
    <t>M4B4A05BGJCJ122-S24Y100279/E0531904</t>
  </si>
  <si>
    <t>W662698</t>
  </si>
  <si>
    <t>H0064732</t>
  </si>
  <si>
    <t>Filter: Date Completed: 08/03/25</t>
  </si>
  <si>
    <t>W0678757</t>
  </si>
  <si>
    <t xml:space="preserve"> 2:11:59 pm</t>
  </si>
  <si>
    <t>49109/24G1207183</t>
  </si>
  <si>
    <t>TPK-884535-00100001</t>
  </si>
  <si>
    <t>TPK-884535-0010</t>
  </si>
  <si>
    <t>W662416</t>
  </si>
  <si>
    <t>S0357500</t>
  </si>
  <si>
    <t>W0679771</t>
  </si>
  <si>
    <t>4017803U5/3082510U9</t>
  </si>
  <si>
    <t>298055A0001</t>
  </si>
  <si>
    <t>298055A</t>
  </si>
  <si>
    <t>E05185</t>
  </si>
  <si>
    <t>W662536</t>
  </si>
  <si>
    <t>S0358430</t>
  </si>
  <si>
    <t>W0679772</t>
  </si>
  <si>
    <t xml:space="preserve"> 8:31:35 am</t>
  </si>
  <si>
    <t>298391A0001</t>
  </si>
  <si>
    <t>298391A</t>
  </si>
  <si>
    <t>W662537</t>
  </si>
  <si>
    <t>W0679918</t>
  </si>
  <si>
    <t xml:space="preserve"> 1:48:36 pm</t>
  </si>
  <si>
    <t>TEFLON 11.3MMX800001</t>
  </si>
  <si>
    <t>TEFLON 11.3MMX80M</t>
  </si>
  <si>
    <t>H08117</t>
  </si>
  <si>
    <t>W662557</t>
  </si>
  <si>
    <t>S0358485</t>
  </si>
  <si>
    <t>W0679920</t>
  </si>
  <si>
    <t>TEFLON 18.5MMX330001</t>
  </si>
  <si>
    <t>TEFLON 18.5MMX33M</t>
  </si>
  <si>
    <t>W662558</t>
  </si>
  <si>
    <t>S0358487</t>
  </si>
  <si>
    <t>W0679928</t>
  </si>
  <si>
    <t>R001-4965 REV 2.0001</t>
  </si>
  <si>
    <t>R001-4965 REV 2.0</t>
  </si>
  <si>
    <t>W662566</t>
  </si>
  <si>
    <t>S0358495</t>
  </si>
  <si>
    <t>W0679931</t>
  </si>
  <si>
    <t xml:space="preserve"> 8:37:42 am</t>
  </si>
  <si>
    <t>W662567</t>
  </si>
  <si>
    <t>S0358496</t>
  </si>
  <si>
    <t>W0680191</t>
  </si>
  <si>
    <t>W664077</t>
  </si>
  <si>
    <t>H0064661</t>
  </si>
  <si>
    <t>W0680246</t>
  </si>
  <si>
    <t xml:space="preserve"> 8:38:09 am</t>
  </si>
  <si>
    <t>W662589</t>
  </si>
  <si>
    <t>ZSA101745</t>
  </si>
  <si>
    <t>W0680414</t>
  </si>
  <si>
    <t xml:space="preserve"> 8:55:25 am</t>
  </si>
  <si>
    <t>250-5323-000001</t>
  </si>
  <si>
    <t>250-5323-00</t>
  </si>
  <si>
    <t>W662992</t>
  </si>
  <si>
    <t>W0680419</t>
  </si>
  <si>
    <t>W662997</t>
  </si>
  <si>
    <t xml:space="preserve"> 8:51:04 am</t>
  </si>
  <si>
    <t>W0680562</t>
  </si>
  <si>
    <t xml:space="preserve"> 8:39:16 am</t>
  </si>
  <si>
    <t>W663597</t>
  </si>
  <si>
    <t>H0064678</t>
  </si>
  <si>
    <t>W0680670</t>
  </si>
  <si>
    <t xml:space="preserve"> 9:49:50 am</t>
  </si>
  <si>
    <t>J00NN0080/L5205U8036</t>
  </si>
  <si>
    <t>001-025-8221-00 0001</t>
  </si>
  <si>
    <t>001-025-8221-00 R00</t>
  </si>
  <si>
    <t>W662628</t>
  </si>
  <si>
    <t>W0680671</t>
  </si>
  <si>
    <t xml:space="preserve"> 3:09:20 pm</t>
  </si>
  <si>
    <t>J00PI09011000</t>
  </si>
  <si>
    <t>001-420-4246-00R0002</t>
  </si>
  <si>
    <t>001-420-4246-00R03</t>
  </si>
  <si>
    <t>W662629</t>
  </si>
  <si>
    <t>W0681003</t>
  </si>
  <si>
    <t>4111522U5A</t>
  </si>
  <si>
    <t>260-6338-000001</t>
  </si>
  <si>
    <t>260-6338-00</t>
  </si>
  <si>
    <t>W662678</t>
  </si>
  <si>
    <t>W0681004</t>
  </si>
  <si>
    <t>250-6188-000001</t>
  </si>
  <si>
    <t>250-6188-00</t>
  </si>
  <si>
    <t>W662679</t>
  </si>
  <si>
    <t>S0360905</t>
  </si>
  <si>
    <t>W0681009</t>
  </si>
  <si>
    <t>250-6306-000001</t>
  </si>
  <si>
    <t>250-6306-00</t>
  </si>
  <si>
    <t>W663050</t>
  </si>
  <si>
    <t>W0681058</t>
  </si>
  <si>
    <t xml:space="preserve"> 1:17:42 pm</t>
  </si>
  <si>
    <t>I51245H008</t>
  </si>
  <si>
    <t>BLANK LBL-170X270001</t>
  </si>
  <si>
    <t>LBL1135</t>
  </si>
  <si>
    <t>L12118</t>
  </si>
  <si>
    <t>W662690</t>
  </si>
  <si>
    <t>S0360933</t>
  </si>
  <si>
    <t>QM45</t>
  </si>
  <si>
    <t>Filter: Date Completed: 10/03/25</t>
  </si>
  <si>
    <t>W0671674</t>
  </si>
  <si>
    <t xml:space="preserve"> 5:11:59 pm</t>
  </si>
  <si>
    <t>U4815S047/M0BSM95701372</t>
  </si>
  <si>
    <t>R370-4156 REV1.00002</t>
  </si>
  <si>
    <t>R370-4156 REV1.0-USA</t>
  </si>
  <si>
    <t>W662761</t>
  </si>
  <si>
    <t>S0349923</t>
  </si>
  <si>
    <t>W0676356</t>
  </si>
  <si>
    <t xml:space="preserve"> 4:34:56 pm</t>
  </si>
  <si>
    <t>15058363-3K-R8LT0001</t>
  </si>
  <si>
    <t>W662487</t>
  </si>
  <si>
    <t>S0354719</t>
  </si>
  <si>
    <t>W0676361</t>
  </si>
  <si>
    <t xml:space="preserve"> 3:46:17 pm</t>
  </si>
  <si>
    <t>W662933</t>
  </si>
  <si>
    <t>S0354724</t>
  </si>
  <si>
    <t>W0678036</t>
  </si>
  <si>
    <t xml:space="preserve"> 9:29:40 am</t>
  </si>
  <si>
    <t>1762-012</t>
  </si>
  <si>
    <t>2063-775096-000R0001</t>
  </si>
  <si>
    <t>52000268L05</t>
  </si>
  <si>
    <t>B02144</t>
  </si>
  <si>
    <t>W662489</t>
  </si>
  <si>
    <t>S0356871</t>
  </si>
  <si>
    <t>W0678965</t>
  </si>
  <si>
    <t xml:space="preserve"> 1:19:17 pm</t>
  </si>
  <si>
    <t>M0BQW8240</t>
  </si>
  <si>
    <t>2063-772785-046-0003</t>
  </si>
  <si>
    <t>2063-772785-046-CG</t>
  </si>
  <si>
    <t>W663296</t>
  </si>
  <si>
    <t>H0064483</t>
  </si>
  <si>
    <t>W0679761</t>
  </si>
  <si>
    <t xml:space="preserve"> 8:36:23 am</t>
  </si>
  <si>
    <t>24G1207183/49109</t>
  </si>
  <si>
    <t>W662534</t>
  </si>
  <si>
    <t>S0358424</t>
  </si>
  <si>
    <t>W0680069</t>
  </si>
  <si>
    <t xml:space="preserve"> 8:45:23 am</t>
  </si>
  <si>
    <t>W662581</t>
  </si>
  <si>
    <t>S0358749</t>
  </si>
  <si>
    <t>W0680073</t>
  </si>
  <si>
    <t>W662582</t>
  </si>
  <si>
    <t>W0680119</t>
  </si>
  <si>
    <t xml:space="preserve"> 9:40:30 am</t>
  </si>
  <si>
    <t>M0BFL2381</t>
  </si>
  <si>
    <t>714370205-ADS1360001</t>
  </si>
  <si>
    <t>714370205-ADS1366</t>
  </si>
  <si>
    <t>W662983</t>
  </si>
  <si>
    <t>H0064657</t>
  </si>
  <si>
    <t>W0680264</t>
  </si>
  <si>
    <t>15058363-3K-R8LT-28</t>
  </si>
  <si>
    <t>W662593</t>
  </si>
  <si>
    <t>S0359036</t>
  </si>
  <si>
    <t>W0680434</t>
  </si>
  <si>
    <t>4047SE</t>
  </si>
  <si>
    <t>802289 INDEX4000001</t>
  </si>
  <si>
    <t>802289 INDEX400</t>
  </si>
  <si>
    <t>W662609</t>
  </si>
  <si>
    <t xml:space="preserve"> 8:34:17 am</t>
  </si>
  <si>
    <t xml:space="preserve"> 9:00:01 am</t>
  </si>
  <si>
    <t>W0680502</t>
  </si>
  <si>
    <t xml:space="preserve"> 1:40:25 pm</t>
  </si>
  <si>
    <t>10567308039/10567308040</t>
  </si>
  <si>
    <t>W663016</t>
  </si>
  <si>
    <t>S0359297</t>
  </si>
  <si>
    <t xml:space="preserve"> 2:05:04 pm</t>
  </si>
  <si>
    <t>W0680582</t>
  </si>
  <si>
    <t xml:space="preserve"> 2:32:25 pm</t>
  </si>
  <si>
    <t>U4B16S037/M0BTC15911524</t>
  </si>
  <si>
    <t>93N</t>
  </si>
  <si>
    <t>PC02</t>
  </si>
  <si>
    <t>719709-AD42150001</t>
  </si>
  <si>
    <t>719709-AD4215</t>
  </si>
  <si>
    <t>W663601</t>
  </si>
  <si>
    <t>W0680599</t>
  </si>
  <si>
    <t xml:space="preserve"> 8:47:57 am</t>
  </si>
  <si>
    <t>W663031</t>
  </si>
  <si>
    <t>H0064692</t>
  </si>
  <si>
    <t>W0680600</t>
  </si>
  <si>
    <t>W663032</t>
  </si>
  <si>
    <t>H0064693</t>
  </si>
  <si>
    <t xml:space="preserve"> 8:50:13 am</t>
  </si>
  <si>
    <t>W0680756</t>
  </si>
  <si>
    <t>SG-5627551 01</t>
  </si>
  <si>
    <t>W662638</t>
  </si>
  <si>
    <t>S0359869</t>
  </si>
  <si>
    <t>W0680882</t>
  </si>
  <si>
    <t xml:space="preserve"> 2:16:15 pm</t>
  </si>
  <si>
    <t>4052209U5/U3927S101</t>
  </si>
  <si>
    <t>SDPPI2025-IX13000001</t>
  </si>
  <si>
    <t>SDPPI2025-IX1300</t>
  </si>
  <si>
    <t>P16257</t>
  </si>
  <si>
    <t>W662644</t>
  </si>
  <si>
    <t>S0360732</t>
  </si>
  <si>
    <t>W0680883</t>
  </si>
  <si>
    <t>SDPPI2025-IX16000001</t>
  </si>
  <si>
    <t>SDPPI2025-IX1600</t>
  </si>
  <si>
    <t>W662645</t>
  </si>
  <si>
    <t>W0680894</t>
  </si>
  <si>
    <t>4236S1</t>
  </si>
  <si>
    <t>BLANK LABEL-36X20001</t>
  </si>
  <si>
    <t>SM-90 NAMEPLATE</t>
  </si>
  <si>
    <t>T20096</t>
  </si>
  <si>
    <t>W662647</t>
  </si>
  <si>
    <t>S0360740</t>
  </si>
  <si>
    <t>W0680904</t>
  </si>
  <si>
    <t xml:space="preserve"> 5:10:16 pm</t>
  </si>
  <si>
    <t>4071802U5/3082510U9</t>
  </si>
  <si>
    <t>SM-P1999-D0050R00001</t>
  </si>
  <si>
    <t>SM-P1999-D0050R00</t>
  </si>
  <si>
    <t>S19586</t>
  </si>
  <si>
    <t>W662656</t>
  </si>
  <si>
    <t>S0360744</t>
  </si>
  <si>
    <t>W0680959</t>
  </si>
  <si>
    <t xml:space="preserve"> 4:56:00 pm</t>
  </si>
  <si>
    <t>U530558077</t>
  </si>
  <si>
    <t>36X73MM-ORANGE0001</t>
  </si>
  <si>
    <t>36X73MM-ORANGE</t>
  </si>
  <si>
    <t>W662660</t>
  </si>
  <si>
    <t>S0360888</t>
  </si>
  <si>
    <t>W0680960</t>
  </si>
  <si>
    <t xml:space="preserve"> 4:56:41 pm</t>
  </si>
  <si>
    <t>36X73MM-PINK0001</t>
  </si>
  <si>
    <t>36X73MM-PINK</t>
  </si>
  <si>
    <t>W662661</t>
  </si>
  <si>
    <t>W0680961</t>
  </si>
  <si>
    <t xml:space="preserve"> 4:57:20 pm</t>
  </si>
  <si>
    <t>36X73MM-YELLOW0001</t>
  </si>
  <si>
    <t>36X73MM-YELLOW</t>
  </si>
  <si>
    <t>W662662</t>
  </si>
  <si>
    <t>W0680963</t>
  </si>
  <si>
    <t xml:space="preserve"> 3:58:45 pm</t>
  </si>
  <si>
    <t>260-6372-000001</t>
  </si>
  <si>
    <t>260-6372-00</t>
  </si>
  <si>
    <t>W662663</t>
  </si>
  <si>
    <t>S0360889</t>
  </si>
  <si>
    <t>W0680964</t>
  </si>
  <si>
    <t>260-6373-000001</t>
  </si>
  <si>
    <t>260-6373-00</t>
  </si>
  <si>
    <t>W662664</t>
  </si>
  <si>
    <t>W0680965</t>
  </si>
  <si>
    <t>260-6374-000001</t>
  </si>
  <si>
    <t>260-6374-00</t>
  </si>
  <si>
    <t>W662665</t>
  </si>
  <si>
    <t>W0680966</t>
  </si>
  <si>
    <t>260-6375-000001</t>
  </si>
  <si>
    <t>260-6375-00</t>
  </si>
  <si>
    <t>W662666</t>
  </si>
  <si>
    <t>W0680992</t>
  </si>
  <si>
    <t xml:space="preserve"> 8:32:45 am</t>
  </si>
  <si>
    <t>D007I6641</t>
  </si>
  <si>
    <t>5189-80950001</t>
  </si>
  <si>
    <t>5189-8095</t>
  </si>
  <si>
    <t>W663621</t>
  </si>
  <si>
    <t>S0360901</t>
  </si>
  <si>
    <t>W0680994</t>
  </si>
  <si>
    <t xml:space="preserve"> 8:31:49 am</t>
  </si>
  <si>
    <t>W3T11-800050001</t>
  </si>
  <si>
    <t>W3T11-80005</t>
  </si>
  <si>
    <t>W663622</t>
  </si>
  <si>
    <t>S0360903</t>
  </si>
  <si>
    <t>W0680996</t>
  </si>
  <si>
    <t xml:space="preserve"> 8:37:20 am</t>
  </si>
  <si>
    <t>250-6223-000001</t>
  </si>
  <si>
    <t>250-6223-00</t>
  </si>
  <si>
    <t>W662672</t>
  </si>
  <si>
    <t>W0681005</t>
  </si>
  <si>
    <t>5011625U5</t>
  </si>
  <si>
    <t>250-6191-000001</t>
  </si>
  <si>
    <t>250-6191-00</t>
  </si>
  <si>
    <t>W662680</t>
  </si>
  <si>
    <t>W0681007</t>
  </si>
  <si>
    <t xml:space="preserve"> 3:45:32 pm</t>
  </si>
  <si>
    <t>250-6237-000001</t>
  </si>
  <si>
    <t>250-6237-00</t>
  </si>
  <si>
    <t>W663049</t>
  </si>
  <si>
    <t>W0681008</t>
  </si>
  <si>
    <t>250-6241-000001</t>
  </si>
  <si>
    <t>250-6241-00</t>
  </si>
  <si>
    <t>W662789</t>
  </si>
  <si>
    <t>W0681020</t>
  </si>
  <si>
    <t xml:space="preserve"> 5:44:45 pm</t>
  </si>
  <si>
    <t>D006O6500</t>
  </si>
  <si>
    <t>5180-4652-FT0001</t>
  </si>
  <si>
    <t>5180-4652-FT</t>
  </si>
  <si>
    <t>W663624</t>
  </si>
  <si>
    <t>S0360909</t>
  </si>
  <si>
    <t xml:space="preserve"> 8:37:08 am</t>
  </si>
  <si>
    <t>QM10</t>
  </si>
  <si>
    <t>W0681105</t>
  </si>
  <si>
    <t xml:space="preserve"> 4:33:26 pm</t>
  </si>
  <si>
    <t>W663066</t>
  </si>
  <si>
    <t>S0361003</t>
  </si>
  <si>
    <t>W0681133</t>
  </si>
  <si>
    <t xml:space="preserve"> 3:57:50 pm</t>
  </si>
  <si>
    <t>S249100174/E0926912</t>
  </si>
  <si>
    <t>W663074</t>
  </si>
  <si>
    <t>ZSA101759</t>
  </si>
  <si>
    <t>W0681157</t>
  </si>
  <si>
    <t xml:space="preserve"> 4:43:47 pm</t>
  </si>
  <si>
    <t>SG115773-1</t>
  </si>
  <si>
    <t>OVERALL 25X15MM0001</t>
  </si>
  <si>
    <t>OVERALL 25X15MM</t>
  </si>
  <si>
    <t>S19663</t>
  </si>
  <si>
    <t>W662793</t>
  </si>
  <si>
    <t>S0361038</t>
  </si>
  <si>
    <t>W0681159</t>
  </si>
  <si>
    <t xml:space="preserve"> 4:47:35 pm</t>
  </si>
  <si>
    <t>OVERALL 70X15MM0001</t>
  </si>
  <si>
    <t>OVERALL 70X15MM</t>
  </si>
  <si>
    <t>W662795</t>
  </si>
  <si>
    <t>W0681169</t>
  </si>
  <si>
    <t xml:space="preserve"> 8:49:40 am</t>
  </si>
  <si>
    <t>M0BTH2362/M0BUF4311</t>
  </si>
  <si>
    <t>W662796</t>
  </si>
  <si>
    <t>H0064711</t>
  </si>
  <si>
    <t>W0681172</t>
  </si>
  <si>
    <t xml:space="preserve"> 5:32:40 pm</t>
  </si>
  <si>
    <t>W663086</t>
  </si>
  <si>
    <t>H0064714</t>
  </si>
  <si>
    <t>W0681176</t>
  </si>
  <si>
    <t>709898813-EL93160001</t>
  </si>
  <si>
    <t>709898813-EL93164</t>
  </si>
  <si>
    <t>W662798</t>
  </si>
  <si>
    <t>H0064718</t>
  </si>
  <si>
    <t>W0681181</t>
  </si>
  <si>
    <t>709898817 REVB0001</t>
  </si>
  <si>
    <t>709898817 REVB</t>
  </si>
  <si>
    <t>W662695</t>
  </si>
  <si>
    <t>H0064723</t>
  </si>
  <si>
    <t>W0681182</t>
  </si>
  <si>
    <t>W662696</t>
  </si>
  <si>
    <t>H0064724</t>
  </si>
  <si>
    <t>W0681183</t>
  </si>
  <si>
    <t>W662697</t>
  </si>
  <si>
    <t>H0064725</t>
  </si>
  <si>
    <t>W0681192</t>
  </si>
  <si>
    <t>68N</t>
  </si>
  <si>
    <t>W663096</t>
  </si>
  <si>
    <t>H0064734</t>
  </si>
  <si>
    <t>W0681195</t>
  </si>
  <si>
    <t xml:space="preserve"> 8:50:51 am</t>
  </si>
  <si>
    <t>M4B4603BGJAJ102-S248100180/E0531904</t>
  </si>
  <si>
    <t>725428400-NEWPRO0001</t>
  </si>
  <si>
    <t>725428400-NEWPROCESS</t>
  </si>
  <si>
    <t>W662699</t>
  </si>
  <si>
    <t>H0064738</t>
  </si>
  <si>
    <t>W0681203</t>
  </si>
  <si>
    <t xml:space="preserve"> 8:47:50 am</t>
  </si>
  <si>
    <t>E0730911/490833</t>
  </si>
  <si>
    <t>755800100-DWG-D0001</t>
  </si>
  <si>
    <t>755800100-DWG-D</t>
  </si>
  <si>
    <t>W663102</t>
  </si>
  <si>
    <t>H0064746</t>
  </si>
  <si>
    <t>W0681218</t>
  </si>
  <si>
    <t xml:space="preserve"> 9:34:17 am</t>
  </si>
  <si>
    <t>W663108</t>
  </si>
  <si>
    <t>H0064761</t>
  </si>
  <si>
    <t>W0681251</t>
  </si>
  <si>
    <t>T0B17-800030001</t>
  </si>
  <si>
    <t>T0B17-80003</t>
  </si>
  <si>
    <t>W663661</t>
  </si>
  <si>
    <t>S0361058</t>
  </si>
  <si>
    <t>W0681252</t>
  </si>
  <si>
    <t>T0B18-800030001</t>
  </si>
  <si>
    <t>T0B18-80003</t>
  </si>
  <si>
    <t>W663662</t>
  </si>
  <si>
    <t>W0681374</t>
  </si>
  <si>
    <t>SG-5630465 02</t>
  </si>
  <si>
    <t>W662710</t>
  </si>
  <si>
    <t>S0361125</t>
  </si>
  <si>
    <t>Filter: Date Completed: 11/03/25</t>
  </si>
  <si>
    <t>W0681372</t>
  </si>
  <si>
    <t xml:space="preserve"> 1:11:08 pm</t>
  </si>
  <si>
    <t>FSC32057</t>
  </si>
  <si>
    <t>S0361123</t>
  </si>
  <si>
    <t>W0681380</t>
  </si>
  <si>
    <t xml:space="preserve"> 8:44:39 am</t>
  </si>
  <si>
    <t>S0361131</t>
  </si>
  <si>
    <t>W0672099</t>
  </si>
  <si>
    <t xml:space="preserve"> 5:16:26 pm</t>
  </si>
  <si>
    <t>4180S1</t>
  </si>
  <si>
    <t>R390-404 REV1.00001</t>
  </si>
  <si>
    <t>R390-404 REV2.0</t>
  </si>
  <si>
    <t>W662762</t>
  </si>
  <si>
    <t>S0350213</t>
  </si>
  <si>
    <t>W0672116</t>
  </si>
  <si>
    <t xml:space="preserve"> 5:13:02 pm</t>
  </si>
  <si>
    <t>U4815S047/M0BSM9371</t>
  </si>
  <si>
    <t>W662561</t>
  </si>
  <si>
    <t>S0350214</t>
  </si>
  <si>
    <t>W0675162</t>
  </si>
  <si>
    <t>L001-772785-00000006</t>
  </si>
  <si>
    <t>L001-772785-000006CG</t>
  </si>
  <si>
    <t>W662928</t>
  </si>
  <si>
    <t>H0064090</t>
  </si>
  <si>
    <t>W0675163</t>
  </si>
  <si>
    <t xml:space="preserve"> 4:55:01 pm</t>
  </si>
  <si>
    <t>W663293</t>
  </si>
  <si>
    <t>H0064091</t>
  </si>
  <si>
    <t>W0676757</t>
  </si>
  <si>
    <t>M0B0G60221000</t>
  </si>
  <si>
    <t>70-0878290001</t>
  </si>
  <si>
    <t>70-087829</t>
  </si>
  <si>
    <t>F06184</t>
  </si>
  <si>
    <t>W662764</t>
  </si>
  <si>
    <t>S0354993</t>
  </si>
  <si>
    <t>W0678412</t>
  </si>
  <si>
    <t xml:space="preserve"> 8:47:51 am</t>
  </si>
  <si>
    <t>W663539</t>
  </si>
  <si>
    <t>S0357133</t>
  </si>
  <si>
    <t>W0679623</t>
  </si>
  <si>
    <t>PAPER SEPARATOR 0001</t>
  </si>
  <si>
    <t>PAPER SEPARATOR ROHM</t>
  </si>
  <si>
    <t>W662965</t>
  </si>
  <si>
    <t>S0358338</t>
  </si>
  <si>
    <t>W0680121</t>
  </si>
  <si>
    <t>W662984</t>
  </si>
  <si>
    <t>H0064659</t>
  </si>
  <si>
    <t>W0680266</t>
  </si>
  <si>
    <t>W662594</t>
  </si>
  <si>
    <t>S0359038</t>
  </si>
  <si>
    <t>W0680270</t>
  </si>
  <si>
    <t xml:space="preserve"> 4:36:23 pm</t>
  </si>
  <si>
    <t>W662595</t>
  </si>
  <si>
    <t>S0359042</t>
  </si>
  <si>
    <t>W0680271</t>
  </si>
  <si>
    <t xml:space="preserve"> 3:47:42 pm</t>
  </si>
  <si>
    <t>W662596</t>
  </si>
  <si>
    <t>S0359043</t>
  </si>
  <si>
    <t>W0680418</t>
  </si>
  <si>
    <t xml:space="preserve"> 5:48:11 pm</t>
  </si>
  <si>
    <t>W662996</t>
  </si>
  <si>
    <t>W0680422</t>
  </si>
  <si>
    <t>W663000</t>
  </si>
  <si>
    <t>W0680423</t>
  </si>
  <si>
    <t xml:space="preserve"> 8:56:31 am</t>
  </si>
  <si>
    <t>WO2024/5284/1012643/XHX24A25A1403/80116793/XHX2412190201</t>
  </si>
  <si>
    <t>W663300</t>
  </si>
  <si>
    <t>S0359225</t>
  </si>
  <si>
    <t>W0680429</t>
  </si>
  <si>
    <t>W662608</t>
  </si>
  <si>
    <t>S0359230</t>
  </si>
  <si>
    <t>W0680482</t>
  </si>
  <si>
    <t xml:space="preserve"> 2:55:58 pm</t>
  </si>
  <si>
    <t>J00WA6671</t>
  </si>
  <si>
    <t>W663006</t>
  </si>
  <si>
    <t>S0359276</t>
  </si>
  <si>
    <t>W0680598</t>
  </si>
  <si>
    <t>714370203-ADS1360001</t>
  </si>
  <si>
    <t>714370203-ADS1366</t>
  </si>
  <si>
    <t>W663030</t>
  </si>
  <si>
    <t>H0064691</t>
  </si>
  <si>
    <t>W0680601</t>
  </si>
  <si>
    <t>W663033</t>
  </si>
  <si>
    <t>H0064694</t>
  </si>
  <si>
    <t>W0680877</t>
  </si>
  <si>
    <t>PRODUCT-188X74-G0001</t>
  </si>
  <si>
    <t>PRODUCT-188X74-GREEN</t>
  </si>
  <si>
    <t>W662643</t>
  </si>
  <si>
    <t>S0360727</t>
  </si>
  <si>
    <t>W0680997</t>
  </si>
  <si>
    <t xml:space="preserve"> 1:41:52 pm</t>
  </si>
  <si>
    <t>250-6259-000001</t>
  </si>
  <si>
    <t>250-6259-00</t>
  </si>
  <si>
    <t>W663048</t>
  </si>
  <si>
    <t>W0681006</t>
  </si>
  <si>
    <t xml:space="preserve"> 9:34:00 am</t>
  </si>
  <si>
    <t>4111526U5A</t>
  </si>
  <si>
    <t>250-6208-000001</t>
  </si>
  <si>
    <t>250-6208-00</t>
  </si>
  <si>
    <t>W662681</t>
  </si>
  <si>
    <t>W0681011</t>
  </si>
  <si>
    <t xml:space="preserve"> 5:13:26 pm</t>
  </si>
  <si>
    <t>260-6013-000001</t>
  </si>
  <si>
    <t>260-6013-00</t>
  </si>
  <si>
    <t>W662682</t>
  </si>
  <si>
    <t>W0681012</t>
  </si>
  <si>
    <t>4090368U5</t>
  </si>
  <si>
    <t>260-6164-000001</t>
  </si>
  <si>
    <t>260-6164-00</t>
  </si>
  <si>
    <t>W662683</t>
  </si>
  <si>
    <t>W0681014</t>
  </si>
  <si>
    <t>260-6166-000001</t>
  </si>
  <si>
    <t>260-6166-00</t>
  </si>
  <si>
    <t>W662684</t>
  </si>
  <si>
    <t xml:space="preserve"> 8:51:14 am</t>
  </si>
  <si>
    <t>W0681112</t>
  </si>
  <si>
    <t xml:space="preserve"> 2:37:36 pm</t>
  </si>
  <si>
    <t>SG-5645615-01</t>
  </si>
  <si>
    <t>A4 (6PCS/SHEET)0001</t>
  </si>
  <si>
    <t>A4 (6PCS/SHEET)</t>
  </si>
  <si>
    <t>S19487</t>
  </si>
  <si>
    <t>W663067</t>
  </si>
  <si>
    <t>S0361005</t>
  </si>
  <si>
    <t>W0681132</t>
  </si>
  <si>
    <t xml:space="preserve"> 8:54:47 am</t>
  </si>
  <si>
    <t>709898816 REVB0001</t>
  </si>
  <si>
    <t>709898816 REVB</t>
  </si>
  <si>
    <t>W663073</t>
  </si>
  <si>
    <t>ZSA101758</t>
  </si>
  <si>
    <t>W0681135</t>
  </si>
  <si>
    <t>W663076</t>
  </si>
  <si>
    <t>ZSA101761</t>
  </si>
  <si>
    <t>W0681139</t>
  </si>
  <si>
    <t>U530558077/4816U8013</t>
  </si>
  <si>
    <t>CHUBB- 65MMX95MM0001</t>
  </si>
  <si>
    <t>CHUBB- 65MMX95MM</t>
  </si>
  <si>
    <t>P16194</t>
  </si>
  <si>
    <t>W663079</t>
  </si>
  <si>
    <t>S0361028</t>
  </si>
  <si>
    <t>W0681158</t>
  </si>
  <si>
    <t xml:space="preserve"> 4:46:31 pm</t>
  </si>
  <si>
    <t>OVERALL 50X15MM0001</t>
  </si>
  <si>
    <t>OVERALL 50X15MM</t>
  </si>
  <si>
    <t>W662794</t>
  </si>
  <si>
    <t>W0681168</t>
  </si>
  <si>
    <t>100260636-3M66900001</t>
  </si>
  <si>
    <t>100260636-3M6690SP</t>
  </si>
  <si>
    <t>W663083</t>
  </si>
  <si>
    <t>H0064710</t>
  </si>
  <si>
    <t>W0681174</t>
  </si>
  <si>
    <t>709898812-3M66900001</t>
  </si>
  <si>
    <t>709898812-3M6690SP</t>
  </si>
  <si>
    <t>W662797</t>
  </si>
  <si>
    <t>H0064716</t>
  </si>
  <si>
    <t>W0681177</t>
  </si>
  <si>
    <t>W662799</t>
  </si>
  <si>
    <t>H0064719</t>
  </si>
  <si>
    <t>W0681178</t>
  </si>
  <si>
    <t>W662800</t>
  </si>
  <si>
    <t>H0064720</t>
  </si>
  <si>
    <t>W0681180</t>
  </si>
  <si>
    <t>W663089</t>
  </si>
  <si>
    <t>H0064722</t>
  </si>
  <si>
    <t>W0681187</t>
  </si>
  <si>
    <t>W663093</t>
  </si>
  <si>
    <t>H0064729</t>
  </si>
  <si>
    <t>W0681188</t>
  </si>
  <si>
    <t xml:space="preserve"> 9:42:05 am</t>
  </si>
  <si>
    <t>W663094</t>
  </si>
  <si>
    <t>H0064730</t>
  </si>
  <si>
    <t>W0681189</t>
  </si>
  <si>
    <t>W663095</t>
  </si>
  <si>
    <t>H0064731</t>
  </si>
  <si>
    <t>W0681193</t>
  </si>
  <si>
    <t xml:space="preserve"> 9:37:40 am</t>
  </si>
  <si>
    <t>W663097</t>
  </si>
  <si>
    <t>H0064735</t>
  </si>
  <si>
    <t>W0681205</t>
  </si>
  <si>
    <t>100823876-75367 0001</t>
  </si>
  <si>
    <t>100823876-75367 A</t>
  </si>
  <si>
    <t>W663104</t>
  </si>
  <si>
    <t>H0064748</t>
  </si>
  <si>
    <t>W0681212</t>
  </si>
  <si>
    <t xml:space="preserve"> 2:06:29 pm</t>
  </si>
  <si>
    <t>W663105</t>
  </si>
  <si>
    <t>H0064755</t>
  </si>
  <si>
    <t>W0681214</t>
  </si>
  <si>
    <t>W662805</t>
  </si>
  <si>
    <t>H0064757</t>
  </si>
  <si>
    <t>W0681223</t>
  </si>
  <si>
    <t xml:space="preserve"> 8:43:04 am</t>
  </si>
  <si>
    <t>M4B4408BGJ9J309-S247200005/E0531904</t>
  </si>
  <si>
    <t>W663656</t>
  </si>
  <si>
    <t>H0064767</t>
  </si>
  <si>
    <t>W0681271</t>
  </si>
  <si>
    <t>U4A043S213/3082509U9</t>
  </si>
  <si>
    <t>W662701</t>
  </si>
  <si>
    <t>ZSA101763</t>
  </si>
  <si>
    <t>W0681344</t>
  </si>
  <si>
    <t xml:space="preserve"> 4:06:10 pm</t>
  </si>
  <si>
    <t>W662702</t>
  </si>
  <si>
    <t>S0361094</t>
  </si>
  <si>
    <t>W0681346</t>
  </si>
  <si>
    <t>W662703</t>
  </si>
  <si>
    <t>S0361096</t>
  </si>
  <si>
    <t>W0681347</t>
  </si>
  <si>
    <t>W662704</t>
  </si>
  <si>
    <t>S0361097</t>
  </si>
  <si>
    <t>W0681348</t>
  </si>
  <si>
    <t>W662705</t>
  </si>
  <si>
    <t>S0361098</t>
  </si>
  <si>
    <t>W0681358</t>
  </si>
  <si>
    <t>W662706</t>
  </si>
  <si>
    <t>S0361108</t>
  </si>
  <si>
    <t>W0681359</t>
  </si>
  <si>
    <t>W662707</t>
  </si>
  <si>
    <t>S0361109</t>
  </si>
  <si>
    <t>W0681360</t>
  </si>
  <si>
    <t>W662708</t>
  </si>
  <si>
    <t>S0361110</t>
  </si>
  <si>
    <t>W0681366</t>
  </si>
  <si>
    <t xml:space="preserve"> 2:36:03 pm</t>
  </si>
  <si>
    <t>W662709</t>
  </si>
  <si>
    <t>S0361118</t>
  </si>
  <si>
    <t>W0681367</t>
  </si>
  <si>
    <t xml:space="preserve"> 2:37:03 pm</t>
  </si>
  <si>
    <t>W662814</t>
  </si>
  <si>
    <t>S0361119</t>
  </si>
  <si>
    <t>W0681373</t>
  </si>
  <si>
    <t xml:space="preserve"> 2:35:05 pm</t>
  </si>
  <si>
    <t>W662816</t>
  </si>
  <si>
    <t>S0361124</t>
  </si>
  <si>
    <t>W0681375</t>
  </si>
  <si>
    <t xml:space="preserve"> 2:48:11 pm</t>
  </si>
  <si>
    <t>W663149</t>
  </si>
  <si>
    <t>S0361126</t>
  </si>
  <si>
    <t>W0681401</t>
  </si>
  <si>
    <t>MDRLR4W211124</t>
  </si>
  <si>
    <t>722476 REV4000001</t>
  </si>
  <si>
    <t>722476 REV402</t>
  </si>
  <si>
    <t>W662711</t>
  </si>
  <si>
    <t>S0361149</t>
  </si>
  <si>
    <t>W0681427</t>
  </si>
  <si>
    <t xml:space="preserve"> 5:43:38 pm</t>
  </si>
  <si>
    <t>W663317</t>
  </si>
  <si>
    <t>S0361160</t>
  </si>
  <si>
    <t>Filter: Date Completed: 12/03/25</t>
  </si>
  <si>
    <t>W0679558</t>
  </si>
  <si>
    <t xml:space="preserve"> 8:31:20 am</t>
  </si>
  <si>
    <t>U511458102/U4129S060/XHX2412190201</t>
  </si>
  <si>
    <t>SC27717SET</t>
  </si>
  <si>
    <t>FREEZONE-30X30MM0001</t>
  </si>
  <si>
    <t>FREEZONE-30X30MM</t>
  </si>
  <si>
    <t>S0358317</t>
  </si>
  <si>
    <t>W0681038</t>
  </si>
  <si>
    <t xml:space="preserve"> 8:35:20 am</t>
  </si>
  <si>
    <t>4103005U5A</t>
  </si>
  <si>
    <t>0B49099 REVAA0001</t>
  </si>
  <si>
    <t>0B49099 REVAA</t>
  </si>
  <si>
    <t>H0064703</t>
  </si>
  <si>
    <t>W0681235</t>
  </si>
  <si>
    <t xml:space="preserve"> 3:14:06 pm</t>
  </si>
  <si>
    <t>0B49097 REVAA0001</t>
  </si>
  <si>
    <t>0B49097 REVAA</t>
  </si>
  <si>
    <t>H0064777</t>
  </si>
  <si>
    <t>W0681522</t>
  </si>
  <si>
    <t xml:space="preserve"> 4:37:07 pm</t>
  </si>
  <si>
    <t>FDC31617</t>
  </si>
  <si>
    <t>1VV21-80021-FT0001</t>
  </si>
  <si>
    <t>1VV21-80021-FT</t>
  </si>
  <si>
    <t>S0361189</t>
  </si>
  <si>
    <t>W0681527</t>
  </si>
  <si>
    <t xml:space="preserve"> 3:01:06 pm</t>
  </si>
  <si>
    <t>10639931032/10639931026</t>
  </si>
  <si>
    <t>FBC30652</t>
  </si>
  <si>
    <t>S0361194</t>
  </si>
  <si>
    <t>W0670634</t>
  </si>
  <si>
    <t xml:space="preserve"> 4:18:56 pm</t>
  </si>
  <si>
    <t>D005H7770</t>
  </si>
  <si>
    <t>R390-411 REV1.00001</t>
  </si>
  <si>
    <t>R390-411 REV1.0</t>
  </si>
  <si>
    <t>R18131-MEIBAN MIC-M</t>
  </si>
  <si>
    <t>W664003</t>
  </si>
  <si>
    <t>S0348898</t>
  </si>
  <si>
    <t>W0672306</t>
  </si>
  <si>
    <t xml:space="preserve"> 5:33:54 pm</t>
  </si>
  <si>
    <t>W663515</t>
  </si>
  <si>
    <t>S0350338</t>
  </si>
  <si>
    <t xml:space="preserve"> 3:35:14 pm</t>
  </si>
  <si>
    <t xml:space="preserve"> 1:46:21 pm</t>
  </si>
  <si>
    <t>W0676982</t>
  </si>
  <si>
    <t xml:space="preserve"> 4:43:07 pm</t>
  </si>
  <si>
    <t>W662936</t>
  </si>
  <si>
    <t>S0355340</t>
  </si>
  <si>
    <t>W0679932</t>
  </si>
  <si>
    <t xml:space="preserve"> 4:42:23 pm</t>
  </si>
  <si>
    <t>1VV03-80010-FT0001</t>
  </si>
  <si>
    <t>1VV03-80010-FT</t>
  </si>
  <si>
    <t>W662776</t>
  </si>
  <si>
    <t>S0358497</t>
  </si>
  <si>
    <t>W0680068</t>
  </si>
  <si>
    <t xml:space="preserve"> 5:44:31 pm</t>
  </si>
  <si>
    <t>810286 REV1000001</t>
  </si>
  <si>
    <t>810286 REV100</t>
  </si>
  <si>
    <t>W662981</t>
  </si>
  <si>
    <t>S0358742</t>
  </si>
  <si>
    <t>W0680251</t>
  </si>
  <si>
    <t xml:space="preserve"> 2:33:53 pm</t>
  </si>
  <si>
    <t>U21088</t>
  </si>
  <si>
    <t>W662778</t>
  </si>
  <si>
    <t>S0359023</t>
  </si>
  <si>
    <t>W0680256</t>
  </si>
  <si>
    <t xml:space="preserve"> 5:45:29 pm</t>
  </si>
  <si>
    <t>R370-4228 REV1.00001</t>
  </si>
  <si>
    <t>R370-4228 REV1.0</t>
  </si>
  <si>
    <t>W662592</t>
  </si>
  <si>
    <t>ZSA101746</t>
  </si>
  <si>
    <t>W0680404</t>
  </si>
  <si>
    <t xml:space="preserve"> 4:05:35 pm</t>
  </si>
  <si>
    <t>L4A18U8022</t>
  </si>
  <si>
    <t>SCREAMER LB-80X10001</t>
  </si>
  <si>
    <t>SCREAMER LB-80X134MM</t>
  </si>
  <si>
    <t>W662604</t>
  </si>
  <si>
    <t>S0359216</t>
  </si>
  <si>
    <t>W0680474</t>
  </si>
  <si>
    <t>W662779</t>
  </si>
  <si>
    <t>S0359268</t>
  </si>
  <si>
    <t>W0680500</t>
  </si>
  <si>
    <t>10639931005/10639931006</t>
  </si>
  <si>
    <t>3YM60-80017-FT0001</t>
  </si>
  <si>
    <t>3YM60-80017-FT</t>
  </si>
  <si>
    <t>W663301</t>
  </si>
  <si>
    <t>S0359295</t>
  </si>
  <si>
    <t xml:space="preserve"> 8:56:07 am</t>
  </si>
  <si>
    <t>W0680503</t>
  </si>
  <si>
    <t>10567308040/10567308038</t>
  </si>
  <si>
    <t>C2P04-80053-FT0001</t>
  </si>
  <si>
    <t>C2P04-80053-FT</t>
  </si>
  <si>
    <t>W663585</t>
  </si>
  <si>
    <t>S0359298</t>
  </si>
  <si>
    <t>W0680506</t>
  </si>
  <si>
    <t xml:space="preserve"> 3:37:17 pm</t>
  </si>
  <si>
    <t>T0A87-80005-FT0001</t>
  </si>
  <si>
    <t>T0A87-80005-FT</t>
  </si>
  <si>
    <t>W663018</t>
  </si>
  <si>
    <t>S0359301</t>
  </si>
  <si>
    <t>W0680596</t>
  </si>
  <si>
    <t xml:space="preserve"> 8:47:23 am</t>
  </si>
  <si>
    <t>714370201-ADS1360001</t>
  </si>
  <si>
    <t>714370201-ADS1366</t>
  </si>
  <si>
    <t>W663028</t>
  </si>
  <si>
    <t>H0064689</t>
  </si>
  <si>
    <t>W0680597</t>
  </si>
  <si>
    <t>W663029</t>
  </si>
  <si>
    <t>H0064690</t>
  </si>
  <si>
    <t>W0680710</t>
  </si>
  <si>
    <t>D82907A156R/4052209U5</t>
  </si>
  <si>
    <t>TSMC00373090001</t>
  </si>
  <si>
    <t>TSMC0037309</t>
  </si>
  <si>
    <t>W662635</t>
  </si>
  <si>
    <t>W0680878</t>
  </si>
  <si>
    <t>5205U8036/3830U7060</t>
  </si>
  <si>
    <t>W662781</t>
  </si>
  <si>
    <t>S0360728</t>
  </si>
  <si>
    <t>W0680893</t>
  </si>
  <si>
    <t xml:space="preserve"> 8:40:05 am</t>
  </si>
  <si>
    <t>U0B16S141/MOB0G5991</t>
  </si>
  <si>
    <t>W662784</t>
  </si>
  <si>
    <t>W0680946</t>
  </si>
  <si>
    <t>LBL-CYPERMETHRIN0001</t>
  </si>
  <si>
    <t>LBL-CYPERMETHRIN 20E</t>
  </si>
  <si>
    <t>W662785</t>
  </si>
  <si>
    <t>S0360880</t>
  </si>
  <si>
    <t>W0680962</t>
  </si>
  <si>
    <t xml:space="preserve"> 8:49:13 am</t>
  </si>
  <si>
    <t>D00096650</t>
  </si>
  <si>
    <t>260-5390-000001</t>
  </si>
  <si>
    <t>260-5390-00</t>
  </si>
  <si>
    <t>W662786</t>
  </si>
  <si>
    <t>W0681010</t>
  </si>
  <si>
    <t xml:space="preserve"> 2:32:02 pm</t>
  </si>
  <si>
    <t>W663051</t>
  </si>
  <si>
    <t>W0681013</t>
  </si>
  <si>
    <t xml:space="preserve"> 2:57:56 pm</t>
  </si>
  <si>
    <t>4111522U5A/5011622U5</t>
  </si>
  <si>
    <t>260-6165-000001</t>
  </si>
  <si>
    <t>260-6165-00</t>
  </si>
  <si>
    <t>W663052</t>
  </si>
  <si>
    <t>W0681037</t>
  </si>
  <si>
    <t xml:space="preserve"> 8:32:21 am</t>
  </si>
  <si>
    <t>W663060</t>
  </si>
  <si>
    <t>H0064702</t>
  </si>
  <si>
    <t>W0681123</t>
  </si>
  <si>
    <t xml:space="preserve"> 4:48:26 pm</t>
  </si>
  <si>
    <t>MOBT17990</t>
  </si>
  <si>
    <t>BL-2.4X4.20001</t>
  </si>
  <si>
    <t>BL-2.4X4.2</t>
  </si>
  <si>
    <t>C03266</t>
  </si>
  <si>
    <t>W662792</t>
  </si>
  <si>
    <t>S0361011</t>
  </si>
  <si>
    <t xml:space="preserve"> 4:45:24 pm</t>
  </si>
  <si>
    <t>W0681171</t>
  </si>
  <si>
    <t>202659200 REVA0001</t>
  </si>
  <si>
    <t>202659200 REVA</t>
  </si>
  <si>
    <t>W663085</t>
  </si>
  <si>
    <t>H0064713</t>
  </si>
  <si>
    <t>W0681175</t>
  </si>
  <si>
    <t>W663088</t>
  </si>
  <si>
    <t>H0064717</t>
  </si>
  <si>
    <t>W0681179</t>
  </si>
  <si>
    <t xml:space="preserve"> 9:35:32 am</t>
  </si>
  <si>
    <t>709898814-EL93160001</t>
  </si>
  <si>
    <t>709898814-EL93164</t>
  </si>
  <si>
    <t>W662801</t>
  </si>
  <si>
    <t>H0064721</t>
  </si>
  <si>
    <t>W0681185</t>
  </si>
  <si>
    <t>W663091</t>
  </si>
  <si>
    <t>H0064727</t>
  </si>
  <si>
    <t>W0681186</t>
  </si>
  <si>
    <t>W663092</t>
  </si>
  <si>
    <t>H0064728</t>
  </si>
  <si>
    <t>W0681191</t>
  </si>
  <si>
    <t xml:space="preserve"> 9:30:53 am</t>
  </si>
  <si>
    <t>M4B4603BGJBJ201-S249100152/E0531904</t>
  </si>
  <si>
    <t>W663646</t>
  </si>
  <si>
    <t>H0064733</t>
  </si>
  <si>
    <t>W0681197</t>
  </si>
  <si>
    <t>730016300 REVA0001</t>
  </si>
  <si>
    <t>730016300 REVA</t>
  </si>
  <si>
    <t>W662802</t>
  </si>
  <si>
    <t>H0064740</t>
  </si>
  <si>
    <t>W0681198</t>
  </si>
  <si>
    <t>W663099</t>
  </si>
  <si>
    <t>H0064741</t>
  </si>
  <si>
    <t>W0681199</t>
  </si>
  <si>
    <t xml:space="preserve"> 9:36:28 am</t>
  </si>
  <si>
    <t>737025900-EL93160001</t>
  </si>
  <si>
    <t>737025900-EL93164</t>
  </si>
  <si>
    <t>W662803</t>
  </si>
  <si>
    <t>H0064742</t>
  </si>
  <si>
    <t>W0681200</t>
  </si>
  <si>
    <t xml:space="preserve"> 8:48:40 am</t>
  </si>
  <si>
    <t>740921700-32PC E0001</t>
  </si>
  <si>
    <t>740921700-32PC EMPTY</t>
  </si>
  <si>
    <t>W662804</t>
  </si>
  <si>
    <t>H0064743</t>
  </si>
  <si>
    <t>W0681225</t>
  </si>
  <si>
    <t>W662806</t>
  </si>
  <si>
    <t>H0064769</t>
  </si>
  <si>
    <t>W0681234</t>
  </si>
  <si>
    <t>W663310</t>
  </si>
  <si>
    <t>H0064776</t>
  </si>
  <si>
    <t xml:space="preserve"> 8:58:20 am</t>
  </si>
  <si>
    <t xml:space="preserve"> 8:59:13 am</t>
  </si>
  <si>
    <t>W0681268</t>
  </si>
  <si>
    <t xml:space="preserve"> 4:25:34 pm</t>
  </si>
  <si>
    <t>T29MA9700</t>
  </si>
  <si>
    <t>WARNING -50X30MM0001</t>
  </si>
  <si>
    <t>WARNING -50X30MM</t>
  </si>
  <si>
    <t>Z26000</t>
  </si>
  <si>
    <t>W663115</t>
  </si>
  <si>
    <t>ZSA101762</t>
  </si>
  <si>
    <t>W0681270</t>
  </si>
  <si>
    <t xml:space="preserve"> 8:38:25 am</t>
  </si>
  <si>
    <t>3082509U9/U4A043S213</t>
  </si>
  <si>
    <t>W662700</t>
  </si>
  <si>
    <t>S0361069</t>
  </si>
  <si>
    <t xml:space="preserve"> 8:36:54 am</t>
  </si>
  <si>
    <t>W0681283</t>
  </si>
  <si>
    <t>3236S1</t>
  </si>
  <si>
    <t>6LJ040240000001</t>
  </si>
  <si>
    <t>6LJ04024000</t>
  </si>
  <si>
    <t>W662809</t>
  </si>
  <si>
    <t>S0361067</t>
  </si>
  <si>
    <t>W0681291</t>
  </si>
  <si>
    <t>W662812</t>
  </si>
  <si>
    <t>PR006404</t>
  </si>
  <si>
    <t>W0681306</t>
  </si>
  <si>
    <t xml:space="preserve"> 1:42:54 pm</t>
  </si>
  <si>
    <t>MANGO JUICE0001</t>
  </si>
  <si>
    <t>MANGO JUICE</t>
  </si>
  <si>
    <t>W663128</t>
  </si>
  <si>
    <t>S0361081</t>
  </si>
  <si>
    <t>W0681320</t>
  </si>
  <si>
    <t>250-8000-000001</t>
  </si>
  <si>
    <t>250-8000-00</t>
  </si>
  <si>
    <t>W663139</t>
  </si>
  <si>
    <t>S0361086</t>
  </si>
  <si>
    <t>W0681345</t>
  </si>
  <si>
    <t xml:space="preserve"> 2:26:03 pm</t>
  </si>
  <si>
    <t>W663144</t>
  </si>
  <si>
    <t>S0361095</t>
  </si>
  <si>
    <t>W0681349</t>
  </si>
  <si>
    <t>W662813</t>
  </si>
  <si>
    <t>S0361099</t>
  </si>
  <si>
    <t>W0681361</t>
  </si>
  <si>
    <t>M0BSM95701372</t>
  </si>
  <si>
    <t>W663147</t>
  </si>
  <si>
    <t>S0361111</t>
  </si>
  <si>
    <t>W0681369</t>
  </si>
  <si>
    <t xml:space="preserve"> 8:40:50 am</t>
  </si>
  <si>
    <t>UL ZP-1810001</t>
  </si>
  <si>
    <t>UL ZP-181</t>
  </si>
  <si>
    <t>W662815</t>
  </si>
  <si>
    <t>ZSA101765</t>
  </si>
  <si>
    <t>W0681377</t>
  </si>
  <si>
    <t xml:space="preserve"> 9:53:31 am</t>
  </si>
  <si>
    <t>U3927S101/3082509U9</t>
  </si>
  <si>
    <t>W663150</t>
  </si>
  <si>
    <t>S0361128</t>
  </si>
  <si>
    <t>W0681382</t>
  </si>
  <si>
    <t xml:space="preserve"> 2:33:35 pm</t>
  </si>
  <si>
    <t>J00Q283701525</t>
  </si>
  <si>
    <t>PRODUCT-188X74-R0001</t>
  </si>
  <si>
    <t>PRODUCT-188X74-RED</t>
  </si>
  <si>
    <t>W663152</t>
  </si>
  <si>
    <t>S0361134</t>
  </si>
  <si>
    <t>W0681402</t>
  </si>
  <si>
    <t>W663155</t>
  </si>
  <si>
    <t>S0361150</t>
  </si>
  <si>
    <t>W0681408</t>
  </si>
  <si>
    <t>U3801S017</t>
  </si>
  <si>
    <t>057-03289-0003 R0001</t>
  </si>
  <si>
    <t>057-03289-0003 REV02</t>
  </si>
  <si>
    <t>S19351</t>
  </si>
  <si>
    <t>W662712</t>
  </si>
  <si>
    <t>S0361017</t>
  </si>
  <si>
    <t>W0681410</t>
  </si>
  <si>
    <t>L4306U8002</t>
  </si>
  <si>
    <t>TSQB01148020001</t>
  </si>
  <si>
    <t>ZR-8</t>
  </si>
  <si>
    <t>W662713</t>
  </si>
  <si>
    <t>ZSA101764</t>
  </si>
  <si>
    <t>W0681419</t>
  </si>
  <si>
    <t xml:space="preserve"> 8:42:00 am</t>
  </si>
  <si>
    <t>J00LU70911000</t>
  </si>
  <si>
    <t>BARCODE LABEL-7X0001</t>
  </si>
  <si>
    <t>BARCODE LABEL-7X34</t>
  </si>
  <si>
    <t>B02117</t>
  </si>
  <si>
    <t>W663165</t>
  </si>
  <si>
    <t>S0361158</t>
  </si>
  <si>
    <t>W0681420</t>
  </si>
  <si>
    <t xml:space="preserve"> 8:42:40 am</t>
  </si>
  <si>
    <t>LBHN001841A020001</t>
  </si>
  <si>
    <t>LBHN001841A02</t>
  </si>
  <si>
    <t>W663166</t>
  </si>
  <si>
    <t>W0681423</t>
  </si>
  <si>
    <t>U272252099</t>
  </si>
  <si>
    <t>ZR-6A0001</t>
  </si>
  <si>
    <t>ZR-6A</t>
  </si>
  <si>
    <t>W662817</t>
  </si>
  <si>
    <t>W0681424</t>
  </si>
  <si>
    <t>W663314</t>
  </si>
  <si>
    <t>W0681456</t>
  </si>
  <si>
    <t>411525U5A</t>
  </si>
  <si>
    <t>W663318</t>
  </si>
  <si>
    <t>S0361170</t>
  </si>
  <si>
    <t>W0681502</t>
  </si>
  <si>
    <t xml:space="preserve"> 5:23:36 pm</t>
  </si>
  <si>
    <t>5190-27200001</t>
  </si>
  <si>
    <t>5190-2720</t>
  </si>
  <si>
    <t>W664100</t>
  </si>
  <si>
    <t>S0361182</t>
  </si>
  <si>
    <t>W0681503</t>
  </si>
  <si>
    <t xml:space="preserve"> 5:22:58 pm</t>
  </si>
  <si>
    <t>5190-26260001</t>
  </si>
  <si>
    <t>5190-2626</t>
  </si>
  <si>
    <t>W664101</t>
  </si>
  <si>
    <t>S0361183</t>
  </si>
  <si>
    <t>W0681504</t>
  </si>
  <si>
    <t xml:space="preserve"> 5:22:16 pm</t>
  </si>
  <si>
    <t>CR328-800170001</t>
  </si>
  <si>
    <t>CR328-80017</t>
  </si>
  <si>
    <t>W664102</t>
  </si>
  <si>
    <t>S0361184</t>
  </si>
  <si>
    <t>Filter: Date Completed: 13/03/25</t>
  </si>
  <si>
    <t>W0681114</t>
  </si>
  <si>
    <t xml:space="preserve"> 8:42:04 am</t>
  </si>
  <si>
    <t>SC02887</t>
  </si>
  <si>
    <t>250-0412-000001</t>
  </si>
  <si>
    <t>250-0412-00</t>
  </si>
  <si>
    <t>S0361007</t>
  </si>
  <si>
    <t>W0681118</t>
  </si>
  <si>
    <t xml:space="preserve"> 8:41:10 am</t>
  </si>
  <si>
    <t>S0361009</t>
  </si>
  <si>
    <t>W0672679</t>
  </si>
  <si>
    <t>10639931084/10639931015/10639931016</t>
  </si>
  <si>
    <t>W662926</t>
  </si>
  <si>
    <t>S0350611</t>
  </si>
  <si>
    <t>W0675852</t>
  </si>
  <si>
    <t xml:space="preserve"> 9:46:17 am</t>
  </si>
  <si>
    <t>M0BKV5087</t>
  </si>
  <si>
    <t>W663523</t>
  </si>
  <si>
    <t>S0353972</t>
  </si>
  <si>
    <t>W0678413</t>
  </si>
  <si>
    <t xml:space="preserve"> 5:42:28 pm</t>
  </si>
  <si>
    <t>W663540</t>
  </si>
  <si>
    <t>S0357134</t>
  </si>
  <si>
    <t>W0678951</t>
  </si>
  <si>
    <t xml:space="preserve"> 9:56:53 am</t>
  </si>
  <si>
    <t>MOBSL38001000</t>
  </si>
  <si>
    <t>Z9245 REV30001</t>
  </si>
  <si>
    <t>Z9245 REV3</t>
  </si>
  <si>
    <t>W662954</t>
  </si>
  <si>
    <t>S0357729</t>
  </si>
  <si>
    <t>W0679041</t>
  </si>
  <si>
    <t xml:space="preserve"> 4:13:44 pm</t>
  </si>
  <si>
    <t>J00U110901525</t>
  </si>
  <si>
    <t>R001-410200001</t>
  </si>
  <si>
    <t>R001-41020</t>
  </si>
  <si>
    <t>W662958</t>
  </si>
  <si>
    <t>S0357795</t>
  </si>
  <si>
    <t>W0679321</t>
  </si>
  <si>
    <t xml:space="preserve"> 1:39:07 pm</t>
  </si>
  <si>
    <t>W663552</t>
  </si>
  <si>
    <t>H0064550</t>
  </si>
  <si>
    <t>W0679326</t>
  </si>
  <si>
    <t xml:space="preserve"> 8:46:20 am</t>
  </si>
  <si>
    <t>L001-772785-00000007</t>
  </si>
  <si>
    <t>L001-772785-000007CG</t>
  </si>
  <si>
    <t>W662959</t>
  </si>
  <si>
    <t>H0064555</t>
  </si>
  <si>
    <t>W0679819</t>
  </si>
  <si>
    <t xml:space="preserve"> 1:26:18 pm</t>
  </si>
  <si>
    <t>M0BJB0050</t>
  </si>
  <si>
    <t>70106701-000001</t>
  </si>
  <si>
    <t>70106701-00</t>
  </si>
  <si>
    <t>S19403</t>
  </si>
  <si>
    <t>W662971</t>
  </si>
  <si>
    <t>S0358451</t>
  </si>
  <si>
    <t>W0680885</t>
  </si>
  <si>
    <t xml:space="preserve"> 9:16:22 am</t>
  </si>
  <si>
    <t>U230952034</t>
  </si>
  <si>
    <t>38623-44BN0001</t>
  </si>
  <si>
    <t>38623-44BN</t>
  </si>
  <si>
    <t>A01254</t>
  </si>
  <si>
    <t>W662782</t>
  </si>
  <si>
    <t>ZSA101753</t>
  </si>
  <si>
    <t>W0680886</t>
  </si>
  <si>
    <t>W662783</t>
  </si>
  <si>
    <t>S0360734</t>
  </si>
  <si>
    <t>W0680967</t>
  </si>
  <si>
    <t xml:space="preserve"> 2:36:14 pm</t>
  </si>
  <si>
    <t>4103026U5A</t>
  </si>
  <si>
    <t>260-6484-000001</t>
  </si>
  <si>
    <t>260-6484-00</t>
  </si>
  <si>
    <t>W662787</t>
  </si>
  <si>
    <t>W0680982</t>
  </si>
  <si>
    <t xml:space="preserve"> 3:56:33 pm</t>
  </si>
  <si>
    <t>TI01030001</t>
  </si>
  <si>
    <t>TI0103</t>
  </si>
  <si>
    <t>T20144-FLAVOR</t>
  </si>
  <si>
    <t>W663047</t>
  </si>
  <si>
    <t>S0360894</t>
  </si>
  <si>
    <t>W0681032</t>
  </si>
  <si>
    <t xml:space="preserve"> 8:44:54 am</t>
  </si>
  <si>
    <t>XHX2410080002/48412</t>
  </si>
  <si>
    <t>5MM DIA TAPE0001</t>
  </si>
  <si>
    <t>5MM DIA TAPE</t>
  </si>
  <si>
    <t>F06180</t>
  </si>
  <si>
    <t>W663058</t>
  </si>
  <si>
    <t>S0360921</t>
  </si>
  <si>
    <t>W0681033</t>
  </si>
  <si>
    <t>8MM DIA TAPE0001</t>
  </si>
  <si>
    <t>8MM DIA TAPE</t>
  </si>
  <si>
    <t>W663059</t>
  </si>
  <si>
    <t>W0681047</t>
  </si>
  <si>
    <t>3830U7060</t>
  </si>
  <si>
    <t>W662790</t>
  </si>
  <si>
    <t>S0360927</t>
  </si>
  <si>
    <t>W0681048</t>
  </si>
  <si>
    <t>W662791</t>
  </si>
  <si>
    <t>S0360928</t>
  </si>
  <si>
    <t>W0681049</t>
  </si>
  <si>
    <t>W663061</t>
  </si>
  <si>
    <t>S0360929</t>
  </si>
  <si>
    <t>W0681050</t>
  </si>
  <si>
    <t xml:space="preserve"> 3:37:48 pm</t>
  </si>
  <si>
    <t>HP-Y0U21-801900001</t>
  </si>
  <si>
    <t>HP-Y0U21-80190</t>
  </si>
  <si>
    <t>W663062</t>
  </si>
  <si>
    <t>S0360930</t>
  </si>
  <si>
    <t>W0681145</t>
  </si>
  <si>
    <t xml:space="preserve"> 8:32:15 am</t>
  </si>
  <si>
    <t>EXPIRED-4X80001</t>
  </si>
  <si>
    <t>EXPIRED-4X8</t>
  </si>
  <si>
    <t>W663080</t>
  </si>
  <si>
    <t>S0361029</t>
  </si>
  <si>
    <t>W0681184</t>
  </si>
  <si>
    <t>W663090</t>
  </si>
  <si>
    <t>H0064726</t>
  </si>
  <si>
    <t>W0681215</t>
  </si>
  <si>
    <t xml:space="preserve"> 8:46:16 am</t>
  </si>
  <si>
    <t>W663652</t>
  </si>
  <si>
    <t>H0064758</t>
  </si>
  <si>
    <t>W0681216</t>
  </si>
  <si>
    <t xml:space="preserve"> 8:46:52 am</t>
  </si>
  <si>
    <t>W663653</t>
  </si>
  <si>
    <t>H0064759</t>
  </si>
  <si>
    <t>W0681219</t>
  </si>
  <si>
    <t xml:space="preserve"> 8:51:55 am</t>
  </si>
  <si>
    <t>M4B4603BGJBJ217-S249100193/E0209912</t>
  </si>
  <si>
    <t>W663654</t>
  </si>
  <si>
    <t>H0064762</t>
  </si>
  <si>
    <t>W0681220</t>
  </si>
  <si>
    <t xml:space="preserve"> 8:40:38 am</t>
  </si>
  <si>
    <t>W663109</t>
  </si>
  <si>
    <t>H0064763</t>
  </si>
  <si>
    <t>62N</t>
  </si>
  <si>
    <t>W0681272</t>
  </si>
  <si>
    <t xml:space="preserve"> 4:11:23 pm</t>
  </si>
  <si>
    <t>FMMB00272010001</t>
  </si>
  <si>
    <t>FMMB0027201</t>
  </si>
  <si>
    <t>W663116</t>
  </si>
  <si>
    <t>W0681274</t>
  </si>
  <si>
    <t xml:space="preserve"> 1:44:32 pm</t>
  </si>
  <si>
    <t>W662807</t>
  </si>
  <si>
    <t>W0681275</t>
  </si>
  <si>
    <t xml:space="preserve"> 9:54:54 am</t>
  </si>
  <si>
    <t>TSMB00666010001</t>
  </si>
  <si>
    <t>TSMB0066601</t>
  </si>
  <si>
    <t>W663118</t>
  </si>
  <si>
    <t>W0681276</t>
  </si>
  <si>
    <t xml:space="preserve"> 3:55:39 pm</t>
  </si>
  <si>
    <t>TSMB00709010001</t>
  </si>
  <si>
    <t>TSMB0070901</t>
  </si>
  <si>
    <t>W663119</t>
  </si>
  <si>
    <t>W0681277</t>
  </si>
  <si>
    <t>TSMB00710010001</t>
  </si>
  <si>
    <t>TSMB0071001</t>
  </si>
  <si>
    <t>W662808</t>
  </si>
  <si>
    <t>W0681279</t>
  </si>
  <si>
    <t xml:space="preserve"> 5:34:16 pm</t>
  </si>
  <si>
    <t>D001F2410/4052209U5</t>
  </si>
  <si>
    <t>TSMC00333070001</t>
  </si>
  <si>
    <t>TSMC0033307</t>
  </si>
  <si>
    <t>W663121</t>
  </si>
  <si>
    <t>W0681282</t>
  </si>
  <si>
    <t xml:space="preserve"> 5:32:13 pm</t>
  </si>
  <si>
    <t>E04L961001000</t>
  </si>
  <si>
    <t>ZC51</t>
  </si>
  <si>
    <t>TSMC00357030001</t>
  </si>
  <si>
    <t>TSMC0035703</t>
  </si>
  <si>
    <t>W663123</t>
  </si>
  <si>
    <t>W0681285</t>
  </si>
  <si>
    <t>W663125</t>
  </si>
  <si>
    <t>W0681287</t>
  </si>
  <si>
    <t>W662810</t>
  </si>
  <si>
    <t>W0681289</t>
  </si>
  <si>
    <t>W663127</t>
  </si>
  <si>
    <t>W0681290</t>
  </si>
  <si>
    <t>W662811</t>
  </si>
  <si>
    <t>W0681307</t>
  </si>
  <si>
    <t xml:space="preserve"> 5:48:17 pm</t>
  </si>
  <si>
    <t>260-6411-000001</t>
  </si>
  <si>
    <t>260-6411-00</t>
  </si>
  <si>
    <t>W663129</t>
  </si>
  <si>
    <t>S0361084</t>
  </si>
  <si>
    <t>W0681316</t>
  </si>
  <si>
    <t xml:space="preserve"> 3:54:52 pm</t>
  </si>
  <si>
    <t>4112304U5A</t>
  </si>
  <si>
    <t>260-6443-000001</t>
  </si>
  <si>
    <t>260-6443-00</t>
  </si>
  <si>
    <t>W663137</t>
  </si>
  <si>
    <t>S0361085</t>
  </si>
  <si>
    <t>W0681383</t>
  </si>
  <si>
    <t xml:space="preserve"> 9:44:52 am</t>
  </si>
  <si>
    <t>MOBM63480</t>
  </si>
  <si>
    <t>4022 451 413710001</t>
  </si>
  <si>
    <t>4022 451 41371</t>
  </si>
  <si>
    <t>V22065</t>
  </si>
  <si>
    <t>W663153</t>
  </si>
  <si>
    <t>S0361136</t>
  </si>
  <si>
    <t>W0681388</t>
  </si>
  <si>
    <t xml:space="preserve"> 4:07:58 pm</t>
  </si>
  <si>
    <t>J00U43592</t>
  </si>
  <si>
    <t>GREY BARCODE-5.90001</t>
  </si>
  <si>
    <t>GREY BARCODE-5.9X96</t>
  </si>
  <si>
    <t>C03244</t>
  </si>
  <si>
    <t>W663313</t>
  </si>
  <si>
    <t>S0361138</t>
  </si>
  <si>
    <t>W0681412</t>
  </si>
  <si>
    <t>XHX2412020002/48412</t>
  </si>
  <si>
    <t>12 MM DIA TAPE0001</t>
  </si>
  <si>
    <t>12 MM DIA TAPE</t>
  </si>
  <si>
    <t>W663160</t>
  </si>
  <si>
    <t>S0361152</t>
  </si>
  <si>
    <t>W0681416</t>
  </si>
  <si>
    <t xml:space="preserve"> 8:34:53 am</t>
  </si>
  <si>
    <t>W663164</t>
  </si>
  <si>
    <t>S0361156</t>
  </si>
  <si>
    <t>W0681430</t>
  </si>
  <si>
    <t>4080707U5</t>
  </si>
  <si>
    <t>260-6168-000001</t>
  </si>
  <si>
    <t>260-6168-00</t>
  </si>
  <si>
    <t>W663168</t>
  </si>
  <si>
    <t>S0361164</t>
  </si>
  <si>
    <t>W0681457</t>
  </si>
  <si>
    <t xml:space="preserve"> 8:32:57 am</t>
  </si>
  <si>
    <t>5011622U5</t>
  </si>
  <si>
    <t>W663174</t>
  </si>
  <si>
    <t>W0681463</t>
  </si>
  <si>
    <t>W663177</t>
  </si>
  <si>
    <t>S0361172</t>
  </si>
  <si>
    <t>W0681475</t>
  </si>
  <si>
    <t>W663706</t>
  </si>
  <si>
    <t>S0361175</t>
  </si>
  <si>
    <t>W0681485</t>
  </si>
  <si>
    <t xml:space="preserve"> 1:34:05 pm</t>
  </si>
  <si>
    <t>W664096</t>
  </si>
  <si>
    <t>S0361176</t>
  </si>
  <si>
    <t>W0681519</t>
  </si>
  <si>
    <t xml:space="preserve"> 8:33:35 am</t>
  </si>
  <si>
    <t>4032510U5</t>
  </si>
  <si>
    <t>810478 INDEX4000001</t>
  </si>
  <si>
    <t>810478 INDEX400</t>
  </si>
  <si>
    <t>W663182</t>
  </si>
  <si>
    <t>ZSA101768</t>
  </si>
  <si>
    <t>W0681520</t>
  </si>
  <si>
    <t>MOBSM95601524</t>
  </si>
  <si>
    <t>5184-80130001</t>
  </si>
  <si>
    <t>5184-8013</t>
  </si>
  <si>
    <t>W663726</t>
  </si>
  <si>
    <t>S0361187</t>
  </si>
  <si>
    <t>W0681568</t>
  </si>
  <si>
    <t xml:space="preserve"> 1:42:16 pm</t>
  </si>
  <si>
    <t>W663189</t>
  </si>
  <si>
    <t>S0361209</t>
  </si>
  <si>
    <t>W0681580</t>
  </si>
  <si>
    <t xml:space="preserve"> 5:12:40 pm</t>
  </si>
  <si>
    <t>M-260X1280001</t>
  </si>
  <si>
    <t>M-260X128</t>
  </si>
  <si>
    <t>W663193</t>
  </si>
  <si>
    <t>S0361217</t>
  </si>
  <si>
    <t>W0681628</t>
  </si>
  <si>
    <t xml:space="preserve"> 3:32:49 pm</t>
  </si>
  <si>
    <t>5643031 01</t>
  </si>
  <si>
    <t>W662818</t>
  </si>
  <si>
    <t>S0361251</t>
  </si>
  <si>
    <t>W0681629</t>
  </si>
  <si>
    <t>W662819</t>
  </si>
  <si>
    <t>S0361252</t>
  </si>
  <si>
    <t>W0681642</t>
  </si>
  <si>
    <t>W663202</t>
  </si>
  <si>
    <t>S0361262</t>
  </si>
  <si>
    <t>Filter: Date Completed: 14/03/25</t>
  </si>
  <si>
    <t>W0680554</t>
  </si>
  <si>
    <t xml:space="preserve"> 8:22:29 am</t>
  </si>
  <si>
    <t>SC30898S</t>
  </si>
  <si>
    <t>H0064670</t>
  </si>
  <si>
    <t>W0681575</t>
  </si>
  <si>
    <t xml:space="preserve"> 5:21:28 pm</t>
  </si>
  <si>
    <t>FDC30934</t>
  </si>
  <si>
    <t>G0Z24-800100001</t>
  </si>
  <si>
    <t>G0Z24-80010</t>
  </si>
  <si>
    <t>S0361212</t>
  </si>
  <si>
    <t>W0672680</t>
  </si>
  <si>
    <t xml:space="preserve"> 2:39:10 pm</t>
  </si>
  <si>
    <t>W662927</t>
  </si>
  <si>
    <t>S0350612</t>
  </si>
  <si>
    <t>W0676466</t>
  </si>
  <si>
    <t xml:space="preserve"> 8:31:38 am</t>
  </si>
  <si>
    <t>J00WA5350/J00VU6300</t>
  </si>
  <si>
    <t>W662934</t>
  </si>
  <si>
    <t>S0354834</t>
  </si>
  <si>
    <t>W0678439</t>
  </si>
  <si>
    <t xml:space="preserve"> 1:00:48 pm</t>
  </si>
  <si>
    <t>24060640161/24E2495172</t>
  </si>
  <si>
    <t>TPK-853720-00100001</t>
  </si>
  <si>
    <t>TPK-853720-0010</t>
  </si>
  <si>
    <t>W662949</t>
  </si>
  <si>
    <t>S0357163</t>
  </si>
  <si>
    <t>W0679149</t>
  </si>
  <si>
    <t xml:space="preserve"> 2:43:10 pm</t>
  </si>
  <si>
    <t>W663550</t>
  </si>
  <si>
    <t>S0357820</t>
  </si>
  <si>
    <t>W0679846</t>
  </si>
  <si>
    <t>W663564</t>
  </si>
  <si>
    <t>H0064633</t>
  </si>
  <si>
    <t>W0679987</t>
  </si>
  <si>
    <t xml:space="preserve"> 2:27:55 pm</t>
  </si>
  <si>
    <t>U4328S208</t>
  </si>
  <si>
    <t>03L30190001</t>
  </si>
  <si>
    <t>03L3019</t>
  </si>
  <si>
    <t>W662980</t>
  </si>
  <si>
    <t>H0064646</t>
  </si>
  <si>
    <t>W0680081</t>
  </si>
  <si>
    <t>R18131-USA</t>
  </si>
  <si>
    <t>W662982</t>
  </si>
  <si>
    <t>S0358754</t>
  </si>
  <si>
    <t>W0680876</t>
  </si>
  <si>
    <t xml:space="preserve"> 8:24:08 am</t>
  </si>
  <si>
    <t>PRODUCT-188X74-B0001</t>
  </si>
  <si>
    <t>PRODUCT-188X74-BLUE</t>
  </si>
  <si>
    <t>W663043</t>
  </si>
  <si>
    <t>S0360726</t>
  </si>
  <si>
    <t>W0681115</t>
  </si>
  <si>
    <t xml:space="preserve"> 4:53:27 pm</t>
  </si>
  <si>
    <t>J00HP8931</t>
  </si>
  <si>
    <t>250-8010-010001</t>
  </si>
  <si>
    <t>250-8010-01</t>
  </si>
  <si>
    <t>W663068</t>
  </si>
  <si>
    <t>W0681117</t>
  </si>
  <si>
    <t xml:space="preserve"> 5:43:23 pm</t>
  </si>
  <si>
    <t>20231211175146142/XHX24012A0909</t>
  </si>
  <si>
    <t>BL LINER-35.6X350001</t>
  </si>
  <si>
    <t>BL LINER-35.6X351.2</t>
  </si>
  <si>
    <t>M13467</t>
  </si>
  <si>
    <t>W663069</t>
  </si>
  <si>
    <t>S0361008</t>
  </si>
  <si>
    <t>W0681119</t>
  </si>
  <si>
    <t>W663070</t>
  </si>
  <si>
    <t>W0681124</t>
  </si>
  <si>
    <t>211113125/U18256007</t>
  </si>
  <si>
    <t>E21-00108 REV1010001</t>
  </si>
  <si>
    <t>723388 REV400</t>
  </si>
  <si>
    <t>W663071</t>
  </si>
  <si>
    <t>S0361012</t>
  </si>
  <si>
    <t>W0681129</t>
  </si>
  <si>
    <t>W663072</t>
  </si>
  <si>
    <t>S0361014</t>
  </si>
  <si>
    <t>W0681134</t>
  </si>
  <si>
    <t xml:space="preserve"> 8:44:25 am</t>
  </si>
  <si>
    <t>5305412-04-05-01</t>
  </si>
  <si>
    <t>W663075</t>
  </si>
  <si>
    <t>ZSA101760</t>
  </si>
  <si>
    <t>W0681166</t>
  </si>
  <si>
    <t xml:space="preserve"> 8:33:58 am</t>
  </si>
  <si>
    <t>U5124S154/3082509U9</t>
  </si>
  <si>
    <t>19003623-I0001</t>
  </si>
  <si>
    <t>19003623-I</t>
  </si>
  <si>
    <t>W663081</t>
  </si>
  <si>
    <t>S0361054</t>
  </si>
  <si>
    <t>W0681167</t>
  </si>
  <si>
    <t xml:space="preserve"> 8:37:54 am</t>
  </si>
  <si>
    <t>19003627-I0001</t>
  </si>
  <si>
    <t>19003627-I</t>
  </si>
  <si>
    <t>W663082</t>
  </si>
  <si>
    <t>W0681194</t>
  </si>
  <si>
    <t xml:space="preserve"> 1:00:37 pm</t>
  </si>
  <si>
    <t>5305412-04-03-07/5305412-03-01-03/5305412-03-03-07</t>
  </si>
  <si>
    <t>W663098</t>
  </si>
  <si>
    <t>H0064736</t>
  </si>
  <si>
    <t>W0681196</t>
  </si>
  <si>
    <t xml:space="preserve"> 8:49:09 am</t>
  </si>
  <si>
    <t>M4B4603BGJAJ110-S248100241/E0531904</t>
  </si>
  <si>
    <t>W663647</t>
  </si>
  <si>
    <t>H0064739</t>
  </si>
  <si>
    <t>W0681217</t>
  </si>
  <si>
    <t>W663107</t>
  </si>
  <si>
    <t>H0064760</t>
  </si>
  <si>
    <t>W0681232</t>
  </si>
  <si>
    <t xml:space="preserve"> 2:40:03 pm</t>
  </si>
  <si>
    <t>W663110</t>
  </si>
  <si>
    <t>S0361055</t>
  </si>
  <si>
    <t>W0681233</t>
  </si>
  <si>
    <t>5302410-01-02-01</t>
  </si>
  <si>
    <t>W663111</t>
  </si>
  <si>
    <t>H0064737</t>
  </si>
  <si>
    <t>W0681250</t>
  </si>
  <si>
    <t>W663112</t>
  </si>
  <si>
    <t>H0064766</t>
  </si>
  <si>
    <t>W0681266</t>
  </si>
  <si>
    <t>M0BN597111000</t>
  </si>
  <si>
    <t>19055-6129-0040001</t>
  </si>
  <si>
    <t>19055-6129-004</t>
  </si>
  <si>
    <t>J10098</t>
  </si>
  <si>
    <t>W663113</t>
  </si>
  <si>
    <t>GRR62157</t>
  </si>
  <si>
    <t>W0681267</t>
  </si>
  <si>
    <t>2962621-001</t>
  </si>
  <si>
    <t>W663114</t>
  </si>
  <si>
    <t>S0361065</t>
  </si>
  <si>
    <t>W0681273</t>
  </si>
  <si>
    <t>3082510U9/C4367AA079R</t>
  </si>
  <si>
    <t>FMMB00764030001</t>
  </si>
  <si>
    <t>FMMB0076403</t>
  </si>
  <si>
    <t>W663117</t>
  </si>
  <si>
    <t>W0681286</t>
  </si>
  <si>
    <t>W663126</t>
  </si>
  <si>
    <t>W0681288</t>
  </si>
  <si>
    <t>W662838</t>
  </si>
  <si>
    <t>W0681322</t>
  </si>
  <si>
    <t>W663140</t>
  </si>
  <si>
    <t>W0681329</t>
  </si>
  <si>
    <t xml:space="preserve"> 2:29:03 pm</t>
  </si>
  <si>
    <t>250-8002-000001</t>
  </si>
  <si>
    <t>250-8002-00</t>
  </si>
  <si>
    <t>W663141</t>
  </si>
  <si>
    <t>S0361088</t>
  </si>
  <si>
    <t>W0681336</t>
  </si>
  <si>
    <t>W663142</t>
  </si>
  <si>
    <t>S0361089</t>
  </si>
  <si>
    <t>W0681364</t>
  </si>
  <si>
    <t>W663148</t>
  </si>
  <si>
    <t>S0361116</t>
  </si>
  <si>
    <t>W0681406</t>
  </si>
  <si>
    <t xml:space="preserve"> 9:46:27 am</t>
  </si>
  <si>
    <t>057-05335-0004 R0003</t>
  </si>
  <si>
    <t>057-05335-0004SKREVA</t>
  </si>
  <si>
    <t>W663158</t>
  </si>
  <si>
    <t>S0360729</t>
  </si>
  <si>
    <t>W0681407</t>
  </si>
  <si>
    <t>057-35252-0998 R0001</t>
  </si>
  <si>
    <t>057-35252-0998 REV-</t>
  </si>
  <si>
    <t>W663159</t>
  </si>
  <si>
    <t>W0681426</t>
  </si>
  <si>
    <t>PS32</t>
  </si>
  <si>
    <t>W663316</t>
  </si>
  <si>
    <t>W0681431</t>
  </si>
  <si>
    <t>260-6169-000001</t>
  </si>
  <si>
    <t>260-6169-00</t>
  </si>
  <si>
    <t>W663169</t>
  </si>
  <si>
    <t>W0681489</t>
  </si>
  <si>
    <t>W663718</t>
  </si>
  <si>
    <t>S0361177</t>
  </si>
  <si>
    <t>W0681524</t>
  </si>
  <si>
    <t xml:space="preserve"> 2:02:46 pm</t>
  </si>
  <si>
    <t>W664106</t>
  </si>
  <si>
    <t>S0361191</t>
  </si>
  <si>
    <t>W0681526</t>
  </si>
  <si>
    <t xml:space="preserve"> 8:33:09 am</t>
  </si>
  <si>
    <t>7FP21-80002-FT0001</t>
  </si>
  <si>
    <t>7FP21-80002-FT</t>
  </si>
  <si>
    <t>W664108</t>
  </si>
  <si>
    <t>S0361193</t>
  </si>
  <si>
    <t>W0681566</t>
  </si>
  <si>
    <t xml:space="preserve"> 4:25:46 pm</t>
  </si>
  <si>
    <t>W663187</t>
  </si>
  <si>
    <t>S0361207</t>
  </si>
  <si>
    <t>W0681567</t>
  </si>
  <si>
    <t>W663188</t>
  </si>
  <si>
    <t>S0361208</t>
  </si>
  <si>
    <t>W0681570</t>
  </si>
  <si>
    <t xml:space="preserve"> 2:54:41 pm</t>
  </si>
  <si>
    <t>LAB-1070-010001</t>
  </si>
  <si>
    <t>LAB-1070-01</t>
  </si>
  <si>
    <t>W663190</t>
  </si>
  <si>
    <t>S0361210</t>
  </si>
  <si>
    <t>W0681573</t>
  </si>
  <si>
    <t>W663191</t>
  </si>
  <si>
    <t>W0681578</t>
  </si>
  <si>
    <t xml:space="preserve"> 5:04:07 pm</t>
  </si>
  <si>
    <t>C2P08-80005-FT0001</t>
  </si>
  <si>
    <t>C2P08-80005-FT</t>
  </si>
  <si>
    <t>W664110</t>
  </si>
  <si>
    <t>S0361215</t>
  </si>
  <si>
    <t>W0681579</t>
  </si>
  <si>
    <t>W663192</t>
  </si>
  <si>
    <t>S0361216</t>
  </si>
  <si>
    <t>W0681609</t>
  </si>
  <si>
    <t>E1206930/S24Y100279</t>
  </si>
  <si>
    <t>763360200 REVA0001</t>
  </si>
  <si>
    <t>763360200 REVA</t>
  </si>
  <si>
    <t>W663194</t>
  </si>
  <si>
    <t>H0064790</t>
  </si>
  <si>
    <t>W0681611</t>
  </si>
  <si>
    <t xml:space="preserve"> 1:29:16 pm</t>
  </si>
  <si>
    <t>W663195</t>
  </si>
  <si>
    <t>S0361247</t>
  </si>
  <si>
    <t>W0681613</t>
  </si>
  <si>
    <t xml:space="preserve"> 2:57:00 pm</t>
  </si>
  <si>
    <t>W663197</t>
  </si>
  <si>
    <t>W0681614</t>
  </si>
  <si>
    <t xml:space="preserve"> 1:27:39 pm</t>
  </si>
  <si>
    <t>W663198</t>
  </si>
  <si>
    <t>W0681615</t>
  </si>
  <si>
    <t xml:space="preserve"> 2:56:11 pm</t>
  </si>
  <si>
    <t>W663199</t>
  </si>
  <si>
    <t>W0681617</t>
  </si>
  <si>
    <t xml:space="preserve"> 1:28:27 pm</t>
  </si>
  <si>
    <t>W663200</t>
  </si>
  <si>
    <t>S0361249</t>
  </si>
  <si>
    <t>W0681633</t>
  </si>
  <si>
    <t xml:space="preserve"> 8:40:12 am</t>
  </si>
  <si>
    <t>W663201</t>
  </si>
  <si>
    <t>S0361248</t>
  </si>
  <si>
    <t>W0681656</t>
  </si>
  <si>
    <t>M0BUF4281</t>
  </si>
  <si>
    <t>204072000 REVA0001</t>
  </si>
  <si>
    <t>204072000 REVA</t>
  </si>
  <si>
    <t>W663206</t>
  </si>
  <si>
    <t>H0064795</t>
  </si>
  <si>
    <t>W0681657</t>
  </si>
  <si>
    <t>W663207</t>
  </si>
  <si>
    <t>H0064796</t>
  </si>
  <si>
    <t>W0681673</t>
  </si>
  <si>
    <t xml:space="preserve"> 1:06:00 pm</t>
  </si>
  <si>
    <t>P16120</t>
  </si>
  <si>
    <t>W663321</t>
  </si>
  <si>
    <t>S0361283</t>
  </si>
  <si>
    <t>W0681687</t>
  </si>
  <si>
    <t>J00RN44911525</t>
  </si>
  <si>
    <t>5188-45390001</t>
  </si>
  <si>
    <t>5188-4539</t>
  </si>
  <si>
    <t>W663210</t>
  </si>
  <si>
    <t>S0361289</t>
  </si>
  <si>
    <t>W0681694</t>
  </si>
  <si>
    <t>X24001-WD-SUZHOU</t>
  </si>
  <si>
    <t>W663323</t>
  </si>
  <si>
    <t>S0361288</t>
  </si>
  <si>
    <t>W0681764</t>
  </si>
  <si>
    <t xml:space="preserve"> 5:24:50 pm</t>
  </si>
  <si>
    <t>B3P06-800160001</t>
  </si>
  <si>
    <t>B3P06-80016</t>
  </si>
  <si>
    <t>W664120</t>
  </si>
  <si>
    <t>S0361342</t>
  </si>
  <si>
    <t>Filter: Date Completed: 15/03/25</t>
  </si>
  <si>
    <t>W0677083</t>
  </si>
  <si>
    <t>404123725/211041725</t>
  </si>
  <si>
    <t>W662938</t>
  </si>
  <si>
    <t>S0355412</t>
  </si>
  <si>
    <t>W0678398</t>
  </si>
  <si>
    <t>W663538</t>
  </si>
  <si>
    <t>S0357122</t>
  </si>
  <si>
    <t>W0678822</t>
  </si>
  <si>
    <t>3830U7060/4136S1</t>
  </si>
  <si>
    <t>W662952</t>
  </si>
  <si>
    <t>S0357537</t>
  </si>
  <si>
    <t>W0679602</t>
  </si>
  <si>
    <t>5205U8036/3082510U9</t>
  </si>
  <si>
    <t>W662964</t>
  </si>
  <si>
    <t>S0358327</t>
  </si>
  <si>
    <t>W0679680</t>
  </si>
  <si>
    <t xml:space="preserve"> 8:27:02 am</t>
  </si>
  <si>
    <t>W662966</t>
  </si>
  <si>
    <t>S0358355</t>
  </si>
  <si>
    <t>W0679681</t>
  </si>
  <si>
    <t xml:space="preserve"> 8:25:10 am</t>
  </si>
  <si>
    <t>W662967</t>
  </si>
  <si>
    <t>S0358356</t>
  </si>
  <si>
    <t>W0679774</t>
  </si>
  <si>
    <t xml:space="preserve"> 8:27:48 am</t>
  </si>
  <si>
    <t>XHX24921A0912</t>
  </si>
  <si>
    <t>98163196N0001</t>
  </si>
  <si>
    <t>98163196N</t>
  </si>
  <si>
    <t>F06183</t>
  </si>
  <si>
    <t>W662969</t>
  </si>
  <si>
    <t>S0358431</t>
  </si>
  <si>
    <t>W0679847</t>
  </si>
  <si>
    <t xml:space="preserve"> 5:04:24 pm</t>
  </si>
  <si>
    <t>2063-773057-058-0002</t>
  </si>
  <si>
    <t>2063-773057-058-CM</t>
  </si>
  <si>
    <t>W663297</t>
  </si>
  <si>
    <t>H0064634</t>
  </si>
  <si>
    <t>W0680272</t>
  </si>
  <si>
    <t>W662987</t>
  </si>
  <si>
    <t>S0359044</t>
  </si>
  <si>
    <t>W0680273</t>
  </si>
  <si>
    <t>W662988</t>
  </si>
  <si>
    <t>S0359045</t>
  </si>
  <si>
    <t>W0680480</t>
  </si>
  <si>
    <t>M0BRZ2270990</t>
  </si>
  <si>
    <t>5180-38610001</t>
  </si>
  <si>
    <t>5180-3861</t>
  </si>
  <si>
    <t>W663578</t>
  </si>
  <si>
    <t>S0359275</t>
  </si>
  <si>
    <t>W0680905</t>
  </si>
  <si>
    <t>J00U09610</t>
  </si>
  <si>
    <t>COMPONENT REV1.00001</t>
  </si>
  <si>
    <t>Z556 REV1.0</t>
  </si>
  <si>
    <t>W663044</t>
  </si>
  <si>
    <t>S0360745</t>
  </si>
  <si>
    <t>W0681313</t>
  </si>
  <si>
    <t>260-6106-000001</t>
  </si>
  <si>
    <t>260-6106-00</t>
  </si>
  <si>
    <t>W663134</t>
  </si>
  <si>
    <t>W0681315</t>
  </si>
  <si>
    <t>260-6108-000001</t>
  </si>
  <si>
    <t>260-6108-00</t>
  </si>
  <si>
    <t>W663136</t>
  </si>
  <si>
    <t>W0681429</t>
  </si>
  <si>
    <t>260-6167-000001</t>
  </si>
  <si>
    <t>260-6167-00</t>
  </si>
  <si>
    <t>W663167</t>
  </si>
  <si>
    <t>W0681464</t>
  </si>
  <si>
    <t>4111518U5A</t>
  </si>
  <si>
    <t>W663178</t>
  </si>
  <si>
    <t>W0681646</t>
  </si>
  <si>
    <t>W663204</t>
  </si>
  <si>
    <t>S0361266</t>
  </si>
  <si>
    <t>W0681736</t>
  </si>
  <si>
    <t>W663768</t>
  </si>
  <si>
    <t>S0361318</t>
  </si>
  <si>
    <t>Filter: Date Completed: 16/03/25</t>
  </si>
  <si>
    <t>W0680498</t>
  </si>
  <si>
    <t xml:space="preserve"> 2:16:50 pm</t>
  </si>
  <si>
    <t>D007Y0280/D007Y0380</t>
  </si>
  <si>
    <t>6ZE05-80002-FT0001</t>
  </si>
  <si>
    <t>6ZE05-80002-FT</t>
  </si>
  <si>
    <t>W663014</t>
  </si>
  <si>
    <t>S0359293</t>
  </si>
  <si>
    <t>Filter: Date Completed: 17/03/25</t>
  </si>
  <si>
    <t>W0681224</t>
  </si>
  <si>
    <t xml:space="preserve"> 8:55:12 am</t>
  </si>
  <si>
    <t>FPD29806</t>
  </si>
  <si>
    <t>H0064768</t>
  </si>
  <si>
    <t>W0675376</t>
  </si>
  <si>
    <t xml:space="preserve"> 3:48:38 pm</t>
  </si>
  <si>
    <t>10567308038/10567308037/10639931009/10639931007/10639931008</t>
  </si>
  <si>
    <t>W663521</t>
  </si>
  <si>
    <t>S0353173</t>
  </si>
  <si>
    <t>W0676778</t>
  </si>
  <si>
    <t xml:space="preserve"> 8:42:18 am</t>
  </si>
  <si>
    <t>W663529</t>
  </si>
  <si>
    <t>S0354999</t>
  </si>
  <si>
    <t>13N</t>
  </si>
  <si>
    <t>W0679150</t>
  </si>
  <si>
    <t xml:space="preserve"> 8:42:41 am</t>
  </si>
  <si>
    <t>W664075</t>
  </si>
  <si>
    <t>S0357821</t>
  </si>
  <si>
    <t>W0679876</t>
  </si>
  <si>
    <t xml:space="preserve"> 5:04:25 pm</t>
  </si>
  <si>
    <t>W662978</t>
  </si>
  <si>
    <t>ZSA101741</t>
  </si>
  <si>
    <t>W0680570</t>
  </si>
  <si>
    <t xml:space="preserve"> 2:40:51 pm</t>
  </si>
  <si>
    <t>J002V1180</t>
  </si>
  <si>
    <t>08828-0021-015-00001</t>
  </si>
  <si>
    <t>08828-0021-015-01</t>
  </si>
  <si>
    <t>H08031-FLEX-PTP</t>
  </si>
  <si>
    <t>W663024</t>
  </si>
  <si>
    <t>S0359332</t>
  </si>
  <si>
    <t>W0680571</t>
  </si>
  <si>
    <t>08828-0021-015-00002</t>
  </si>
  <si>
    <t>08828-0021-015-02</t>
  </si>
  <si>
    <t>W663025</t>
  </si>
  <si>
    <t>S0359333</t>
  </si>
  <si>
    <t>W0680872</t>
  </si>
  <si>
    <t>706241 INDEX06</t>
  </si>
  <si>
    <t>W663618</t>
  </si>
  <si>
    <t>S0360724</t>
  </si>
  <si>
    <t xml:space="preserve"> 5:40:13 pm</t>
  </si>
  <si>
    <t>W0681170</t>
  </si>
  <si>
    <t xml:space="preserve"> 8:47:56 am</t>
  </si>
  <si>
    <t>M0BUG7161</t>
  </si>
  <si>
    <t>100565979-ADS1360001</t>
  </si>
  <si>
    <t>100565979-ADS1366</t>
  </si>
  <si>
    <t>W663084</t>
  </si>
  <si>
    <t>H0064712</t>
  </si>
  <si>
    <t>W0681204</t>
  </si>
  <si>
    <t>W663103</t>
  </si>
  <si>
    <t>H0064747</t>
  </si>
  <si>
    <t>W0681284</t>
  </si>
  <si>
    <t>3830U7060/2968379-001</t>
  </si>
  <si>
    <t>7FM029200000001</t>
  </si>
  <si>
    <t>7FM02920000</t>
  </si>
  <si>
    <t>W663124</t>
  </si>
  <si>
    <t>W0681310</t>
  </si>
  <si>
    <t xml:space="preserve"> 8:43:58 am</t>
  </si>
  <si>
    <t>J00T39951</t>
  </si>
  <si>
    <t>250-5329-000001</t>
  </si>
  <si>
    <t>250-5329-00</t>
  </si>
  <si>
    <t>W663131</t>
  </si>
  <si>
    <t>W0681314</t>
  </si>
  <si>
    <t>260-6107-000001</t>
  </si>
  <si>
    <t>260-6107-00</t>
  </si>
  <si>
    <t>W663135</t>
  </si>
  <si>
    <t>W0681343</t>
  </si>
  <si>
    <t>BZB084-03</t>
  </si>
  <si>
    <t>68-25-01080001</t>
  </si>
  <si>
    <t>68-25-0108</t>
  </si>
  <si>
    <t>M13405-INNOVATION</t>
  </si>
  <si>
    <t>W663143</t>
  </si>
  <si>
    <t>S0361091</t>
  </si>
  <si>
    <t>W0681356</t>
  </si>
  <si>
    <t xml:space="preserve"> 2:41:40 pm</t>
  </si>
  <si>
    <t>W663145</t>
  </si>
  <si>
    <t>S0361106</t>
  </si>
  <si>
    <t>W0681357</t>
  </si>
  <si>
    <t>W663146</t>
  </si>
  <si>
    <t>S0361107</t>
  </si>
  <si>
    <t>W0681393</t>
  </si>
  <si>
    <t>D04178</t>
  </si>
  <si>
    <t>W663154</t>
  </si>
  <si>
    <t>S0361143</t>
  </si>
  <si>
    <t>W0681403</t>
  </si>
  <si>
    <t xml:space="preserve"> 2:43:11 pm</t>
  </si>
  <si>
    <t>D00086211</t>
  </si>
  <si>
    <t>810557 REV4010001</t>
  </si>
  <si>
    <t>810557 REV401</t>
  </si>
  <si>
    <t>W663156</t>
  </si>
  <si>
    <t>ZSA101766</t>
  </si>
  <si>
    <t>W0681404</t>
  </si>
  <si>
    <t>810558 REV4010001</t>
  </si>
  <si>
    <t>810558 REV401</t>
  </si>
  <si>
    <t>W663157</t>
  </si>
  <si>
    <t>W0681414</t>
  </si>
  <si>
    <t>W663162</t>
  </si>
  <si>
    <t>S0361154</t>
  </si>
  <si>
    <t>W0681432</t>
  </si>
  <si>
    <t xml:space="preserve"> 8:41:16 am</t>
  </si>
  <si>
    <t>W663170</t>
  </si>
  <si>
    <t>W0681444</t>
  </si>
  <si>
    <t>5011629U5A</t>
  </si>
  <si>
    <t>W663171</t>
  </si>
  <si>
    <t>S0361169</t>
  </si>
  <si>
    <t>W0681472</t>
  </si>
  <si>
    <t>W663180</t>
  </si>
  <si>
    <t>S0361174</t>
  </si>
  <si>
    <t>W0681477</t>
  </si>
  <si>
    <t xml:space="preserve"> 3:56:01 pm</t>
  </si>
  <si>
    <t>W663708</t>
  </si>
  <si>
    <t>W0681496</t>
  </si>
  <si>
    <t xml:space="preserve"> 1:26:21 pm</t>
  </si>
  <si>
    <t>W664099</t>
  </si>
  <si>
    <t>S0361185</t>
  </si>
  <si>
    <t>W0681518</t>
  </si>
  <si>
    <t>SG-5648184-01</t>
  </si>
  <si>
    <t>BL-106X12MM-RFT0001</t>
  </si>
  <si>
    <t>BL-106X12MM-RFT</t>
  </si>
  <si>
    <t>W663181</t>
  </si>
  <si>
    <t>ZSA101767</t>
  </si>
  <si>
    <t>W0681540</t>
  </si>
  <si>
    <t>4063565121745/BYK066-02/XHX241228030/XHX24922A1401</t>
  </si>
  <si>
    <t>W663186</t>
  </si>
  <si>
    <t>S0361200</t>
  </si>
  <si>
    <t>W0681643</t>
  </si>
  <si>
    <t>SG-5647202 01</t>
  </si>
  <si>
    <t>W663203</t>
  </si>
  <si>
    <t>S0361263</t>
  </si>
  <si>
    <t>W0681647</t>
  </si>
  <si>
    <t>W663205</t>
  </si>
  <si>
    <t>S0361267</t>
  </si>
  <si>
    <t>W0681658</t>
  </si>
  <si>
    <t xml:space="preserve"> 1:30:32 pm</t>
  </si>
  <si>
    <t>JOOQ284601525</t>
  </si>
  <si>
    <t>BL-20X75MM0001</t>
  </si>
  <si>
    <t>SHELF LBL-20X75MM</t>
  </si>
  <si>
    <t>W663208</t>
  </si>
  <si>
    <t>S0361270</t>
  </si>
  <si>
    <t>W0681671</t>
  </si>
  <si>
    <t>A4 BLANK LABEL-12UPS</t>
  </si>
  <si>
    <t>G07125</t>
  </si>
  <si>
    <t>W663209</t>
  </si>
  <si>
    <t>S0361282</t>
  </si>
  <si>
    <t>W0681674</t>
  </si>
  <si>
    <t xml:space="preserve"> 4:02:22 pm</t>
  </si>
  <si>
    <t>W663322</t>
  </si>
  <si>
    <t>S0361284</t>
  </si>
  <si>
    <t>W0681700</t>
  </si>
  <si>
    <t xml:space="preserve"> 8:41:17 am</t>
  </si>
  <si>
    <t>L001-773057-00000005</t>
  </si>
  <si>
    <t>L001-773057-000005CM</t>
  </si>
  <si>
    <t>W663324</t>
  </si>
  <si>
    <t>W0681707</t>
  </si>
  <si>
    <t xml:space="preserve"> 5:52:49 pm</t>
  </si>
  <si>
    <t>M0BUR8601</t>
  </si>
  <si>
    <t>0F26707 EC C28470001</t>
  </si>
  <si>
    <t>0F26707 EC C28477</t>
  </si>
  <si>
    <t>W663325</t>
  </si>
  <si>
    <t>W0681710</t>
  </si>
  <si>
    <t xml:space="preserve"> 2:54:22 pm</t>
  </si>
  <si>
    <t>5316405-03-02-02</t>
  </si>
  <si>
    <t>1124-790-00006RE0001</t>
  </si>
  <si>
    <t>1124-790-00006REVTH1</t>
  </si>
  <si>
    <t>W663213</t>
  </si>
  <si>
    <t>S0361294</t>
  </si>
  <si>
    <t>W0681712</t>
  </si>
  <si>
    <t>W663765</t>
  </si>
  <si>
    <t>ZSA101770</t>
  </si>
  <si>
    <t>W0681792</t>
  </si>
  <si>
    <t xml:space="preserve"> 4:43:03 pm</t>
  </si>
  <si>
    <t>D100924-013-002</t>
  </si>
  <si>
    <t>W663776</t>
  </si>
  <si>
    <t>S0361362</t>
  </si>
  <si>
    <t>Filter: Date Completed: 18/03/25</t>
  </si>
  <si>
    <t>W0681652</t>
  </si>
  <si>
    <t xml:space="preserve"> 5:19:56 pm</t>
  </si>
  <si>
    <t>4103004U5A</t>
  </si>
  <si>
    <t>H0064791</t>
  </si>
  <si>
    <t>W0681653</t>
  </si>
  <si>
    <t>H0064792</t>
  </si>
  <si>
    <t xml:space="preserve"> 5:35:19 pm</t>
  </si>
  <si>
    <t>W0672855</t>
  </si>
  <si>
    <t>W663516</t>
  </si>
  <si>
    <t>S0350739</t>
  </si>
  <si>
    <t>W0674126</t>
  </si>
  <si>
    <t>W663518</t>
  </si>
  <si>
    <t>S0351982</t>
  </si>
  <si>
    <t>W0674128</t>
  </si>
  <si>
    <t xml:space="preserve"> 4:00:22 pm</t>
  </si>
  <si>
    <t>W663520</t>
  </si>
  <si>
    <t>S0351985</t>
  </si>
  <si>
    <t>W0675404</t>
  </si>
  <si>
    <t xml:space="preserve"> 2:57:40 pm</t>
  </si>
  <si>
    <t>10567308042/10567308043/10567308046/10567308045</t>
  </si>
  <si>
    <t>W663522</t>
  </si>
  <si>
    <t>S0353205</t>
  </si>
  <si>
    <t>W0677350</t>
  </si>
  <si>
    <t xml:space="preserve"> 3:55:10 pm</t>
  </si>
  <si>
    <t>XHX24B18A1408/XHX2410130003/XHX2412242227/BYG115-01/P/O49080</t>
  </si>
  <si>
    <t>TPK-864087-00100001</t>
  </si>
  <si>
    <t>TPK-864087-0010</t>
  </si>
  <si>
    <t>W662941</t>
  </si>
  <si>
    <t>S0355950</t>
  </si>
  <si>
    <t>W0677887</t>
  </si>
  <si>
    <t xml:space="preserve"> 8:31:48 am</t>
  </si>
  <si>
    <t>W663535</t>
  </si>
  <si>
    <t>S0356649</t>
  </si>
  <si>
    <t>W0678252</t>
  </si>
  <si>
    <t xml:space="preserve"> 2:26:23 pm</t>
  </si>
  <si>
    <t>J00VU6300</t>
  </si>
  <si>
    <t>Z512 REV 6.00001</t>
  </si>
  <si>
    <t>Z512 REV 8.0</t>
  </si>
  <si>
    <t>W662944</t>
  </si>
  <si>
    <t>S0357044</t>
  </si>
  <si>
    <t>W0678399</t>
  </si>
  <si>
    <t xml:space="preserve"> 8:40:22 am</t>
  </si>
  <si>
    <t>W664070</t>
  </si>
  <si>
    <t>S0357123</t>
  </si>
  <si>
    <t>W0680424</t>
  </si>
  <si>
    <t>WO2024/5284/1012643/80116793/XHX24911A1407/XHX2412190201</t>
  </si>
  <si>
    <t>W663573</t>
  </si>
  <si>
    <t>S0359226</t>
  </si>
  <si>
    <t>W0680514</t>
  </si>
  <si>
    <t xml:space="preserve"> 8:34:45 am</t>
  </si>
  <si>
    <t>49109/24F1310472</t>
  </si>
  <si>
    <t>TPK-888450-00100001</t>
  </si>
  <si>
    <t>TPK-888450-0010</t>
  </si>
  <si>
    <t>W663019</t>
  </si>
  <si>
    <t>S0359308</t>
  </si>
  <si>
    <t>W0680558</t>
  </si>
  <si>
    <t>W663302</t>
  </si>
  <si>
    <t>H0064674</t>
  </si>
  <si>
    <t>W0681116</t>
  </si>
  <si>
    <t xml:space="preserve"> 8:38:49 am</t>
  </si>
  <si>
    <t>4177S1</t>
  </si>
  <si>
    <t>250-8012-010001</t>
  </si>
  <si>
    <t>250-8012-01</t>
  </si>
  <si>
    <t>W663641</t>
  </si>
  <si>
    <t>W0681120</t>
  </si>
  <si>
    <t>W663642</t>
  </si>
  <si>
    <t>W0681137</t>
  </si>
  <si>
    <t xml:space="preserve"> 8:58:46 am</t>
  </si>
  <si>
    <t>E0223920</t>
  </si>
  <si>
    <t>1115-790-00001 R0001</t>
  </si>
  <si>
    <t>1115-790-00001 REVB</t>
  </si>
  <si>
    <t>W663077</t>
  </si>
  <si>
    <t>W0681138</t>
  </si>
  <si>
    <t>5305412-04-05-02</t>
  </si>
  <si>
    <t>1124-790-00008 R0001</t>
  </si>
  <si>
    <t>1124-790-00008 REVB</t>
  </si>
  <si>
    <t>W663078</t>
  </si>
  <si>
    <t>W0681201</t>
  </si>
  <si>
    <t>744806400 REVA0001</t>
  </si>
  <si>
    <t>744806400 REVA</t>
  </si>
  <si>
    <t>W663100</t>
  </si>
  <si>
    <t>H0064744</t>
  </si>
  <si>
    <t>W0681280</t>
  </si>
  <si>
    <t xml:space="preserve"> 8:39:10 am</t>
  </si>
  <si>
    <t>L5114U8024/405172625</t>
  </si>
  <si>
    <t>TSMC00350020001</t>
  </si>
  <si>
    <t>TSMC0035002</t>
  </si>
  <si>
    <t>W663663</t>
  </si>
  <si>
    <t>W0681281</t>
  </si>
  <si>
    <t xml:space="preserve"> 8:57:17 am</t>
  </si>
  <si>
    <t>2968379-001/L4802U8017</t>
  </si>
  <si>
    <t>TSMC00351030001</t>
  </si>
  <si>
    <t>TSMC0035103</t>
  </si>
  <si>
    <t>W663122</t>
  </si>
  <si>
    <t>W0681312</t>
  </si>
  <si>
    <t xml:space="preserve"> 8:38:48 am</t>
  </si>
  <si>
    <t>4110602U5A</t>
  </si>
  <si>
    <t>250-6247-000001</t>
  </si>
  <si>
    <t>250-6247-00</t>
  </si>
  <si>
    <t>W663133</t>
  </si>
  <si>
    <t>W0681317</t>
  </si>
  <si>
    <t xml:space="preserve"> 5:27:42 pm</t>
  </si>
  <si>
    <t>260-6471-000001</t>
  </si>
  <si>
    <t>260-6471-00</t>
  </si>
  <si>
    <t>W663138</t>
  </si>
  <si>
    <t>W0681425</t>
  </si>
  <si>
    <t>U531252106/503011926</t>
  </si>
  <si>
    <t>W663315</t>
  </si>
  <si>
    <t>W0681435</t>
  </si>
  <si>
    <t>W663687</t>
  </si>
  <si>
    <t>S0361166</t>
  </si>
  <si>
    <t>W0681439</t>
  </si>
  <si>
    <t xml:space="preserve"> 8:36:24 am</t>
  </si>
  <si>
    <t>W663691</t>
  </si>
  <si>
    <t>S0361167</t>
  </si>
  <si>
    <t>W0681445</t>
  </si>
  <si>
    <t xml:space="preserve"> 1:26:50 pm</t>
  </si>
  <si>
    <t>W663172</t>
  </si>
  <si>
    <t>W0681447</t>
  </si>
  <si>
    <t>W663173</t>
  </si>
  <si>
    <t>W0681459</t>
  </si>
  <si>
    <t xml:space="preserve"> 1:05:00 pm</t>
  </si>
  <si>
    <t>W663175</t>
  </si>
  <si>
    <t>W0681460</t>
  </si>
  <si>
    <t xml:space="preserve"> 8:41:27 am</t>
  </si>
  <si>
    <t>5011624U5A</t>
  </si>
  <si>
    <t>260-6307-000001</t>
  </si>
  <si>
    <t>260-6307-00</t>
  </si>
  <si>
    <t>W663176</t>
  </si>
  <si>
    <t>W0681469</t>
  </si>
  <si>
    <t>722477 REV4000001</t>
  </si>
  <si>
    <t>722477 REV402</t>
  </si>
  <si>
    <t>W663179</t>
  </si>
  <si>
    <t>S0361173</t>
  </si>
  <si>
    <t>W0681486</t>
  </si>
  <si>
    <t xml:space="preserve"> 1:49:35 pm</t>
  </si>
  <si>
    <t>4111526U5A/5011623U5</t>
  </si>
  <si>
    <t>W663716</t>
  </si>
  <si>
    <t>W0681494</t>
  </si>
  <si>
    <t>W663722</t>
  </si>
  <si>
    <t>W0681537</t>
  </si>
  <si>
    <t xml:space="preserve"> 5:54:56 pm</t>
  </si>
  <si>
    <t>SG-5560164-01</t>
  </si>
  <si>
    <t>A4 SIZE-PMS 101U0001</t>
  </si>
  <si>
    <t>A4 SIZE-PMS 101U</t>
  </si>
  <si>
    <t>H08122</t>
  </si>
  <si>
    <t>W663183</t>
  </si>
  <si>
    <t>S0361135</t>
  </si>
  <si>
    <t>W0681612</t>
  </si>
  <si>
    <t xml:space="preserve"> 2:55:23 pm</t>
  </si>
  <si>
    <t>W663196</t>
  </si>
  <si>
    <t>W0681630</t>
  </si>
  <si>
    <t xml:space="preserve"> 8:42:50 am</t>
  </si>
  <si>
    <t>BZC010-01</t>
  </si>
  <si>
    <t>JAR GLASS BACK0001</t>
  </si>
  <si>
    <t>LEMONADE BACK LBL</t>
  </si>
  <si>
    <t>T20394</t>
  </si>
  <si>
    <t>W663744</t>
  </si>
  <si>
    <t>S0361253</t>
  </si>
  <si>
    <t>W0681631</t>
  </si>
  <si>
    <t xml:space="preserve"> 8:42:09 am</t>
  </si>
  <si>
    <t>JAR GLASS FRONT0001</t>
  </si>
  <si>
    <t>LEMONADE FRONT LBL</t>
  </si>
  <si>
    <t>W663745</t>
  </si>
  <si>
    <t>W0681667</t>
  </si>
  <si>
    <t xml:space="preserve"> 8:40:29 am</t>
  </si>
  <si>
    <t>SG6703STR10001</t>
  </si>
  <si>
    <t>SG6703STR1</t>
  </si>
  <si>
    <t>S19695</t>
  </si>
  <si>
    <t>W663751</t>
  </si>
  <si>
    <t>S0361279</t>
  </si>
  <si>
    <t>W0681668</t>
  </si>
  <si>
    <t xml:space="preserve"> 8:41:31 am</t>
  </si>
  <si>
    <t>SG6703STR30001</t>
  </si>
  <si>
    <t>SG6703STR3</t>
  </si>
  <si>
    <t>W663752</t>
  </si>
  <si>
    <t>M0NSO3780</t>
  </si>
  <si>
    <t>W0681708</t>
  </si>
  <si>
    <t xml:space="preserve"> 5:31:37 pm</t>
  </si>
  <si>
    <t>W663211</t>
  </si>
  <si>
    <t>S0361292</t>
  </si>
  <si>
    <t>W0681709</t>
  </si>
  <si>
    <t>W663212</t>
  </si>
  <si>
    <t>S0361293</t>
  </si>
  <si>
    <t>W0681784</t>
  </si>
  <si>
    <t>4348S1/3505U8007</t>
  </si>
  <si>
    <t>DANGER STICKER0002</t>
  </si>
  <si>
    <t>DANGER STICKER</t>
  </si>
  <si>
    <t>A01471</t>
  </si>
  <si>
    <t>W663774</t>
  </si>
  <si>
    <t>S0361355</t>
  </si>
  <si>
    <t>W0681798</t>
  </si>
  <si>
    <t xml:space="preserve"> 3:53:27 pm</t>
  </si>
  <si>
    <t>M007S9371</t>
  </si>
  <si>
    <t>BLANK LBL-20X40M0003</t>
  </si>
  <si>
    <t>BLANK LBL-20X40MM</t>
  </si>
  <si>
    <t>W663331</t>
  </si>
  <si>
    <t>S0361367</t>
  </si>
  <si>
    <t>W0681822</t>
  </si>
  <si>
    <t xml:space="preserve"> 8:32:42 am</t>
  </si>
  <si>
    <t>3082509U9/U5124S154</t>
  </si>
  <si>
    <t>W663214</t>
  </si>
  <si>
    <t>S0361375</t>
  </si>
  <si>
    <t>W0681835</t>
  </si>
  <si>
    <t xml:space="preserve"> 5:52:09 pm</t>
  </si>
  <si>
    <t>W663335</t>
  </si>
  <si>
    <t>S0361379</t>
  </si>
  <si>
    <t>W0681836</t>
  </si>
  <si>
    <t xml:space="preserve"> 1:36:58 pm</t>
  </si>
  <si>
    <t>W663215</t>
  </si>
  <si>
    <t>W0681837</t>
  </si>
  <si>
    <t>W663216</t>
  </si>
  <si>
    <t>W0681838</t>
  </si>
  <si>
    <t>W663336</t>
  </si>
  <si>
    <t>W0681839</t>
  </si>
  <si>
    <t>W663337</t>
  </si>
  <si>
    <t>W0681841</t>
  </si>
  <si>
    <t xml:space="preserve"> 5:28:38 pm</t>
  </si>
  <si>
    <t>W663217</t>
  </si>
  <si>
    <t>W0681842</t>
  </si>
  <si>
    <t xml:space="preserve"> 5:29:23 pm</t>
  </si>
  <si>
    <t>W663218</t>
  </si>
  <si>
    <t>W0681843</t>
  </si>
  <si>
    <t xml:space="preserve"> 5:30:03 pm</t>
  </si>
  <si>
    <t>W663219</t>
  </si>
  <si>
    <t>W0681844</t>
  </si>
  <si>
    <t>W663339</t>
  </si>
  <si>
    <t>W0681845</t>
  </si>
  <si>
    <t xml:space="preserve"> 5:30:52 pm</t>
  </si>
  <si>
    <t>W663220</t>
  </si>
  <si>
    <t>W0681865</t>
  </si>
  <si>
    <t>BYE028-02</t>
  </si>
  <si>
    <t>APPROVED-28X47MM0001</t>
  </si>
  <si>
    <t>APPROVED-28X47MM</t>
  </si>
  <si>
    <t>W663221</t>
  </si>
  <si>
    <t>S0361387</t>
  </si>
  <si>
    <t>Filter: Date Completed: 19/03/25</t>
  </si>
  <si>
    <t>W0674866</t>
  </si>
  <si>
    <t>FSC31658</t>
  </si>
  <si>
    <t>S0352943</t>
  </si>
  <si>
    <t>W0679624</t>
  </si>
  <si>
    <t xml:space="preserve"> 8:53:34 am</t>
  </si>
  <si>
    <t>E04OB9810</t>
  </si>
  <si>
    <t>FSC30089</t>
  </si>
  <si>
    <t>S0358339</t>
  </si>
  <si>
    <t>W0681121</t>
  </si>
  <si>
    <t xml:space="preserve"> 1:45:27 pm</t>
  </si>
  <si>
    <t>XHX2502100209/XHX24B18A1408/XHX2411251432</t>
  </si>
  <si>
    <t>TPK-863269-00100001</t>
  </si>
  <si>
    <t>TPK-863269-0010</t>
  </si>
  <si>
    <t>S0361001</t>
  </si>
  <si>
    <t>W0681654</t>
  </si>
  <si>
    <t>H0064793</t>
  </si>
  <si>
    <t>W0681655</t>
  </si>
  <si>
    <t>H0064794</t>
  </si>
  <si>
    <t>W0681894</t>
  </si>
  <si>
    <t xml:space="preserve"> 2:16:44 pm</t>
  </si>
  <si>
    <t>D008O1542/D008O1730/D008O15421525/D008O1730/D008O1542</t>
  </si>
  <si>
    <t>FDC31745</t>
  </si>
  <si>
    <t>S0361403</t>
  </si>
  <si>
    <t>W0681897</t>
  </si>
  <si>
    <t xml:space="preserve"> 8:35:07 am</t>
  </si>
  <si>
    <t>FBC30768</t>
  </si>
  <si>
    <t>S0361406</t>
  </si>
  <si>
    <t>W0681906</t>
  </si>
  <si>
    <t xml:space="preserve"> 1:59:11 pm</t>
  </si>
  <si>
    <t>FSC30754</t>
  </si>
  <si>
    <t>3YM39-80002-FT0001</t>
  </si>
  <si>
    <t>3YM39-80002-FT</t>
  </si>
  <si>
    <t>S0361413</t>
  </si>
  <si>
    <t>W0681907</t>
  </si>
  <si>
    <t xml:space="preserve"> 8:44:06 am</t>
  </si>
  <si>
    <t>10620258041/10620258044/10620258042</t>
  </si>
  <si>
    <t>3JB26-800010001</t>
  </si>
  <si>
    <t>3JB26-80001</t>
  </si>
  <si>
    <t>S0361414</t>
  </si>
  <si>
    <t xml:space="preserve"> 5:33:57 pm</t>
  </si>
  <si>
    <t>10620258042/10620258038</t>
  </si>
  <si>
    <t>W0674127</t>
  </si>
  <si>
    <t>W663519</t>
  </si>
  <si>
    <t>S0351983</t>
  </si>
  <si>
    <t>W0676855</t>
  </si>
  <si>
    <t xml:space="preserve"> 8:31:19 am</t>
  </si>
  <si>
    <t>2087S1</t>
  </si>
  <si>
    <t>L1Q41-800140001</t>
  </si>
  <si>
    <t>HPM-LIQ41-80014</t>
  </si>
  <si>
    <t>W662935</t>
  </si>
  <si>
    <t>S0355052</t>
  </si>
  <si>
    <t>W0677349</t>
  </si>
  <si>
    <t>W662940</t>
  </si>
  <si>
    <t>W0680268</t>
  </si>
  <si>
    <t xml:space="preserve"> 5:20:27 pm</t>
  </si>
  <si>
    <t>W662985</t>
  </si>
  <si>
    <t>S0359040</t>
  </si>
  <si>
    <t>W0680269</t>
  </si>
  <si>
    <t xml:space="preserve"> 4:39:52 pm</t>
  </si>
  <si>
    <t>W662986</t>
  </si>
  <si>
    <t>S0359041</t>
  </si>
  <si>
    <t>W0680485</t>
  </si>
  <si>
    <t xml:space="preserve"> 8:40:53 am</t>
  </si>
  <si>
    <t>N9K09-80005-FT0001</t>
  </si>
  <si>
    <t>N9K09-80005-FT</t>
  </si>
  <si>
    <t>W663581</t>
  </si>
  <si>
    <t>S0359279</t>
  </si>
  <si>
    <t>W0680539</t>
  </si>
  <si>
    <t>N9K01-80017-FT0001</t>
  </si>
  <si>
    <t>N9K01-80017-FT</t>
  </si>
  <si>
    <t>W663589</t>
  </si>
  <si>
    <t>S0359321</t>
  </si>
  <si>
    <t>W0680543</t>
  </si>
  <si>
    <t xml:space="preserve"> 8:36:34 am</t>
  </si>
  <si>
    <t>W663592</t>
  </si>
  <si>
    <t>S0359325</t>
  </si>
  <si>
    <t>W0680559</t>
  </si>
  <si>
    <t xml:space="preserve"> 1:37:36 pm</t>
  </si>
  <si>
    <t>W663595</t>
  </si>
  <si>
    <t>H0064675</t>
  </si>
  <si>
    <t>W0680859</t>
  </si>
  <si>
    <t xml:space="preserve"> 8:37:50 am</t>
  </si>
  <si>
    <t>W663304</t>
  </si>
  <si>
    <t>S0360715</t>
  </si>
  <si>
    <t>W0680947</t>
  </si>
  <si>
    <t>SG-564465501</t>
  </si>
  <si>
    <t>W663305</t>
  </si>
  <si>
    <t>S0360881</t>
  </si>
  <si>
    <t>W0680976</t>
  </si>
  <si>
    <t xml:space="preserve"> 3:46:56 pm</t>
  </si>
  <si>
    <t>SG-5649983 01</t>
  </si>
  <si>
    <t>TI01460001</t>
  </si>
  <si>
    <t>TI0146</t>
  </si>
  <si>
    <t>W663306</t>
  </si>
  <si>
    <t>S0360893</t>
  </si>
  <si>
    <t xml:space="preserve"> 3:43:46 pm</t>
  </si>
  <si>
    <t>W0681061</t>
  </si>
  <si>
    <t>10620258038/10620258040/10620258039</t>
  </si>
  <si>
    <t>W663636</t>
  </si>
  <si>
    <t>S0360937</t>
  </si>
  <si>
    <t>W0681092</t>
  </si>
  <si>
    <t xml:space="preserve"> 4:00:56 pm</t>
  </si>
  <si>
    <t>BYJ032-07</t>
  </si>
  <si>
    <t>AKZONOBEL LBL0001</t>
  </si>
  <si>
    <t>AKZONOBEL LABEL</t>
  </si>
  <si>
    <t>W663065</t>
  </si>
  <si>
    <t>S0360993</t>
  </si>
  <si>
    <t>W0681136</t>
  </si>
  <si>
    <t xml:space="preserve"> 8:38:46 am</t>
  </si>
  <si>
    <t>W663645</t>
  </si>
  <si>
    <t>S0361016</t>
  </si>
  <si>
    <t>W0681173</t>
  </si>
  <si>
    <t>709898802-EL93160001</t>
  </si>
  <si>
    <t>709898802-EL93164</t>
  </si>
  <si>
    <t>W663087</t>
  </si>
  <si>
    <t>H0064715</t>
  </si>
  <si>
    <t>W0681202</t>
  </si>
  <si>
    <t>W663101</t>
  </si>
  <si>
    <t>H0064745</t>
  </si>
  <si>
    <t>W0681213</t>
  </si>
  <si>
    <t>W663106</t>
  </si>
  <si>
    <t>H0064756</t>
  </si>
  <si>
    <t>W0681226</t>
  </si>
  <si>
    <t xml:space="preserve"> 8:53:14 am</t>
  </si>
  <si>
    <t>E190912129</t>
  </si>
  <si>
    <t>W663308</t>
  </si>
  <si>
    <t>H0064770</t>
  </si>
  <si>
    <t>W0681278</t>
  </si>
  <si>
    <t>L4816U8015/2968379-001</t>
  </si>
  <si>
    <t>TSMC00317050001</t>
  </si>
  <si>
    <t>TSMC0031705</t>
  </si>
  <si>
    <t>W663120</t>
  </si>
  <si>
    <t>W0681309</t>
  </si>
  <si>
    <t>250-5304-000001</t>
  </si>
  <si>
    <t>250-5304-00</t>
  </si>
  <si>
    <t>W663130</t>
  </si>
  <si>
    <t>W0681311</t>
  </si>
  <si>
    <t xml:space="preserve"> 8:40:48 am</t>
  </si>
  <si>
    <t>250-6224-000001</t>
  </si>
  <si>
    <t>250-6224-00</t>
  </si>
  <si>
    <t>W663132</t>
  </si>
  <si>
    <t>W0681319</t>
  </si>
  <si>
    <t xml:space="preserve"> 8:37:44 am</t>
  </si>
  <si>
    <t>W663667</t>
  </si>
  <si>
    <t>W0681354</t>
  </si>
  <si>
    <t xml:space="preserve"> 5:52:56 pm</t>
  </si>
  <si>
    <t>SG5622228 01</t>
  </si>
  <si>
    <t>W663311</t>
  </si>
  <si>
    <t>S0361104</t>
  </si>
  <si>
    <t>W0681355</t>
  </si>
  <si>
    <t>W663312</t>
  </si>
  <si>
    <t>S0361105</t>
  </si>
  <si>
    <t>W0681381</t>
  </si>
  <si>
    <t xml:space="preserve"> 5:25:48 pm</t>
  </si>
  <si>
    <t>PRODUCT-188X74-O0001</t>
  </si>
  <si>
    <t>PRODUCT-188X74-O</t>
  </si>
  <si>
    <t>W663151</t>
  </si>
  <si>
    <t>S0361133</t>
  </si>
  <si>
    <t>W0681413</t>
  </si>
  <si>
    <t xml:space="preserve"> 8:38:16 am</t>
  </si>
  <si>
    <t>W663161</t>
  </si>
  <si>
    <t>S0361153</t>
  </si>
  <si>
    <t>W0681436</t>
  </si>
  <si>
    <t>U531252112/503011926</t>
  </si>
  <si>
    <t>W663688</t>
  </si>
  <si>
    <t>W0681440</t>
  </si>
  <si>
    <t>W663692</t>
  </si>
  <si>
    <t>W0681461</t>
  </si>
  <si>
    <t xml:space="preserve"> 5:53:43 pm</t>
  </si>
  <si>
    <t>W663698</t>
  </si>
  <si>
    <t>W0681462</t>
  </si>
  <si>
    <t xml:space="preserve"> 3:52:43 pm</t>
  </si>
  <si>
    <t>4111524U5</t>
  </si>
  <si>
    <t>W663699</t>
  </si>
  <si>
    <t>W0681491</t>
  </si>
  <si>
    <t xml:space="preserve"> 4:48:03 pm</t>
  </si>
  <si>
    <t>5011625U5/5011624U5A</t>
  </si>
  <si>
    <t>W663720</t>
  </si>
  <si>
    <t>W0681495</t>
  </si>
  <si>
    <t>W663723</t>
  </si>
  <si>
    <t>W0681509</t>
  </si>
  <si>
    <t xml:space="preserve"> 4:05:43 pm</t>
  </si>
  <si>
    <t>W663725</t>
  </si>
  <si>
    <t>H0064782</t>
  </si>
  <si>
    <t>W0681521</t>
  </si>
  <si>
    <t xml:space="preserve"> 8:39:45 am</t>
  </si>
  <si>
    <t>CZ102-80023-FT0001</t>
  </si>
  <si>
    <t>CZ102-80023-FT</t>
  </si>
  <si>
    <t>W664105</t>
  </si>
  <si>
    <t>S0361188</t>
  </si>
  <si>
    <t>W0681523</t>
  </si>
  <si>
    <t xml:space="preserve"> 8:36:43 am</t>
  </si>
  <si>
    <t>F6V25-80016-FT0001</t>
  </si>
  <si>
    <t>F6V25-80016-FT</t>
  </si>
  <si>
    <t>W663727</t>
  </si>
  <si>
    <t>S0361190</t>
  </si>
  <si>
    <t>W0681525</t>
  </si>
  <si>
    <t xml:space="preserve"> 8:39:42 am</t>
  </si>
  <si>
    <t>W664107</t>
  </si>
  <si>
    <t>S0361192</t>
  </si>
  <si>
    <t>W0681528</t>
  </si>
  <si>
    <t>10620258038/10520258040/10620258039</t>
  </si>
  <si>
    <t>W663728</t>
  </si>
  <si>
    <t>S0361195</t>
  </si>
  <si>
    <t>W0681538</t>
  </si>
  <si>
    <t>A4 SIZE-PMS 243U0001</t>
  </si>
  <si>
    <t>A4 SIZE-PMS 243U</t>
  </si>
  <si>
    <t>W663184</t>
  </si>
  <si>
    <t>W0681539</t>
  </si>
  <si>
    <t>A4 SIZE-PMS 635U0001</t>
  </si>
  <si>
    <t>A4 SIZE-PMS 635U</t>
  </si>
  <si>
    <t>W663185</t>
  </si>
  <si>
    <t>W0681577</t>
  </si>
  <si>
    <t>CC643-801290001</t>
  </si>
  <si>
    <t>CC643-80129</t>
  </si>
  <si>
    <t>W663732</t>
  </si>
  <si>
    <t>S0361214</t>
  </si>
  <si>
    <t>W0681626</t>
  </si>
  <si>
    <t xml:space="preserve"> 5:42:38 pm</t>
  </si>
  <si>
    <t>J00T59561</t>
  </si>
  <si>
    <t>W663319</t>
  </si>
  <si>
    <t>S0361250</t>
  </si>
  <si>
    <t>W0681627</t>
  </si>
  <si>
    <t xml:space="preserve"> 5:41:52 pm</t>
  </si>
  <si>
    <t>W663743</t>
  </si>
  <si>
    <t>W0681685</t>
  </si>
  <si>
    <t xml:space="preserve"> 8:34:28 am</t>
  </si>
  <si>
    <t>W664117</t>
  </si>
  <si>
    <t>S0361290</t>
  </si>
  <si>
    <t>W0681686</t>
  </si>
  <si>
    <t xml:space="preserve"> 8:37:45 am</t>
  </si>
  <si>
    <t>W663757</t>
  </si>
  <si>
    <t>S0361291</t>
  </si>
  <si>
    <t>W0681701</t>
  </si>
  <si>
    <t>L001-773057-00000006</t>
  </si>
  <si>
    <t>L001-773057-000006CM</t>
  </si>
  <si>
    <t>W663764</t>
  </si>
  <si>
    <t>W0681711</t>
  </si>
  <si>
    <t xml:space="preserve"> 2:05:27 pm</t>
  </si>
  <si>
    <t>MT-1000241-907RE0001</t>
  </si>
  <si>
    <t>MT-1000241-907REV005</t>
  </si>
  <si>
    <t>W663326</t>
  </si>
  <si>
    <t>S0361295</t>
  </si>
  <si>
    <t>W0681788</t>
  </si>
  <si>
    <t xml:space="preserve"> 5:40:14 pm</t>
  </si>
  <si>
    <t>W663328</t>
  </si>
  <si>
    <t>S0361358</t>
  </si>
  <si>
    <t>W0681789</t>
  </si>
  <si>
    <t xml:space="preserve"> 5:41:02 pm</t>
  </si>
  <si>
    <t>W663329</t>
  </si>
  <si>
    <t>W0681790</t>
  </si>
  <si>
    <t xml:space="preserve"> 5:39:23 pm</t>
  </si>
  <si>
    <t>W663330</t>
  </si>
  <si>
    <t>W0681799</t>
  </si>
  <si>
    <t>W663332</t>
  </si>
  <si>
    <t>S0361368</t>
  </si>
  <si>
    <t>W0681840</t>
  </si>
  <si>
    <t xml:space="preserve"> 2:23:04 pm</t>
  </si>
  <si>
    <t>W663338</t>
  </si>
  <si>
    <t>W0681847</t>
  </si>
  <si>
    <t xml:space="preserve"> 8:34:34 am</t>
  </si>
  <si>
    <t>W663790</t>
  </si>
  <si>
    <t>S0361381</t>
  </si>
  <si>
    <t>W0681848</t>
  </si>
  <si>
    <t xml:space="preserve"> 8:36:08 am</t>
  </si>
  <si>
    <t>W663791</t>
  </si>
  <si>
    <t>W0681849</t>
  </si>
  <si>
    <t xml:space="preserve"> 8:35:21 am</t>
  </si>
  <si>
    <t>W663340</t>
  </si>
  <si>
    <t>W0681850</t>
  </si>
  <si>
    <t xml:space="preserve"> 8:36:51 am</t>
  </si>
  <si>
    <t>W663792</t>
  </si>
  <si>
    <t>W0681851</t>
  </si>
  <si>
    <t xml:space="preserve"> 2:02:41 pm</t>
  </si>
  <si>
    <t>W663793</t>
  </si>
  <si>
    <t>W0681852</t>
  </si>
  <si>
    <t xml:space="preserve"> 2:03:31 pm</t>
  </si>
  <si>
    <t>W663794</t>
  </si>
  <si>
    <t>W0681853</t>
  </si>
  <si>
    <t xml:space="preserve"> 2:04:23 pm</t>
  </si>
  <si>
    <t>W663795</t>
  </si>
  <si>
    <t>W0681866</t>
  </si>
  <si>
    <t>BWK015-01</t>
  </si>
  <si>
    <t>READJUSTMENT0001</t>
  </si>
  <si>
    <t>READJUSTMENT</t>
  </si>
  <si>
    <t>W663222</t>
  </si>
  <si>
    <t>W0681873</t>
  </si>
  <si>
    <t xml:space="preserve"> 8:33:50 am</t>
  </si>
  <si>
    <t>BLANK LABEL-372X0001</t>
  </si>
  <si>
    <t>BLANK LABEL-372X153</t>
  </si>
  <si>
    <t>W663223</t>
  </si>
  <si>
    <t>S0361390</t>
  </si>
  <si>
    <t>W0681885</t>
  </si>
  <si>
    <t xml:space="preserve"> 1:28:23 pm</t>
  </si>
  <si>
    <t>U4A04S213/3082512U9</t>
  </si>
  <si>
    <t>W663341</t>
  </si>
  <si>
    <t>ZSA101771</t>
  </si>
  <si>
    <t>W0681886</t>
  </si>
  <si>
    <t xml:space="preserve"> 2:20:54 pm</t>
  </si>
  <si>
    <t>D105Y48501525</t>
  </si>
  <si>
    <t>W663224</t>
  </si>
  <si>
    <t xml:space="preserve"> 2:20:55 pm</t>
  </si>
  <si>
    <t>W0681887</t>
  </si>
  <si>
    <t>W663809</t>
  </si>
  <si>
    <t>S0361398</t>
  </si>
  <si>
    <t>W0681888</t>
  </si>
  <si>
    <t xml:space="preserve"> 2:21:48 pm</t>
  </si>
  <si>
    <t>W663810</t>
  </si>
  <si>
    <t>W0681892</t>
  </si>
  <si>
    <t xml:space="preserve"> 1:32:49 pm</t>
  </si>
  <si>
    <t>S24Y100279/F0206908</t>
  </si>
  <si>
    <t>W663225</t>
  </si>
  <si>
    <t>ZSA101772</t>
  </si>
  <si>
    <t>W0681893</t>
  </si>
  <si>
    <t>W663226</t>
  </si>
  <si>
    <t>ZSA101773</t>
  </si>
  <si>
    <t>W0681900</t>
  </si>
  <si>
    <t xml:space="preserve"> 8:41:58 am</t>
  </si>
  <si>
    <t>3YM82-800010001</t>
  </si>
  <si>
    <t>3YM82-80001</t>
  </si>
  <si>
    <t>W663813</t>
  </si>
  <si>
    <t>S0361407</t>
  </si>
  <si>
    <t>W0681901</t>
  </si>
  <si>
    <t xml:space="preserve"> 9:19:17 am</t>
  </si>
  <si>
    <t>3YM74-80011-FT0001</t>
  </si>
  <si>
    <t>3YM74-80011-FT</t>
  </si>
  <si>
    <t>W663814</t>
  </si>
  <si>
    <t>S0361408</t>
  </si>
  <si>
    <t>W0681904</t>
  </si>
  <si>
    <t xml:space="preserve"> 8:43:05 am</t>
  </si>
  <si>
    <t>W663815</t>
  </si>
  <si>
    <t>S0361411</t>
  </si>
  <si>
    <t>W0681905</t>
  </si>
  <si>
    <t xml:space="preserve"> 8:43:08 am</t>
  </si>
  <si>
    <t>CH562-80137-BH180001</t>
  </si>
  <si>
    <t>CH562-80137-BH184</t>
  </si>
  <si>
    <t>W663816</t>
  </si>
  <si>
    <t>S0361412</t>
  </si>
  <si>
    <t>W0681908</t>
  </si>
  <si>
    <t xml:space="preserve"> 8:40:54 am</t>
  </si>
  <si>
    <t>W664133</t>
  </si>
  <si>
    <t>S0361415</t>
  </si>
  <si>
    <t>W0681909</t>
  </si>
  <si>
    <t xml:space="preserve"> 8:41:49 am</t>
  </si>
  <si>
    <t>W663817</t>
  </si>
  <si>
    <t>S0361416</t>
  </si>
  <si>
    <t>W0681910</t>
  </si>
  <si>
    <t xml:space="preserve"> 8:46:34 am</t>
  </si>
  <si>
    <t>CZ632-800050001</t>
  </si>
  <si>
    <t>CZ632-80005</t>
  </si>
  <si>
    <t>W664134</t>
  </si>
  <si>
    <t>S0361417</t>
  </si>
  <si>
    <t>W0682044</t>
  </si>
  <si>
    <t>811219 INDEX1000001</t>
  </si>
  <si>
    <t>811219 INDEX100</t>
  </si>
  <si>
    <t>W663227</t>
  </si>
  <si>
    <t>ZSA101774</t>
  </si>
  <si>
    <t>W0682045</t>
  </si>
  <si>
    <t>W663349</t>
  </si>
  <si>
    <t>S0361541</t>
  </si>
  <si>
    <t>W0682046</t>
  </si>
  <si>
    <t>W663350</t>
  </si>
  <si>
    <t>S0361543</t>
  </si>
  <si>
    <t>Filter: Date Completed: 20/03/25</t>
  </si>
  <si>
    <t>W0681737</t>
  </si>
  <si>
    <t xml:space="preserve"> 5:53:11 pm</t>
  </si>
  <si>
    <t>FSC29943</t>
  </si>
  <si>
    <t>S0361319</t>
  </si>
  <si>
    <t>W0681895</t>
  </si>
  <si>
    <t xml:space="preserve"> 8:47:11 am</t>
  </si>
  <si>
    <t>3UB27-800030001</t>
  </si>
  <si>
    <t>3UB27-80003</t>
  </si>
  <si>
    <t>S0361404</t>
  </si>
  <si>
    <t>W0681896</t>
  </si>
  <si>
    <t xml:space="preserve"> 8:36:19 am</t>
  </si>
  <si>
    <t>3YM83-800010001</t>
  </si>
  <si>
    <t>3YM83-80001</t>
  </si>
  <si>
    <t>S0361405</t>
  </si>
  <si>
    <t>W0681902</t>
  </si>
  <si>
    <t xml:space="preserve"> 5:26:27 pm</t>
  </si>
  <si>
    <t>3YM75-80011-FT0001</t>
  </si>
  <si>
    <t>3YM75-80011-FT</t>
  </si>
  <si>
    <t>S0361409</t>
  </si>
  <si>
    <t>W0681903</t>
  </si>
  <si>
    <t xml:space="preserve"> 3:42:29 pm</t>
  </si>
  <si>
    <t>FSC31918</t>
  </si>
  <si>
    <t>7FP20-80002-FT0001</t>
  </si>
  <si>
    <t>7FP20-80002-FT</t>
  </si>
  <si>
    <t>S0361410</t>
  </si>
  <si>
    <t>W0681911</t>
  </si>
  <si>
    <t xml:space="preserve"> 3:44:38 pm</t>
  </si>
  <si>
    <t>H0064803</t>
  </si>
  <si>
    <t>W0681912</t>
  </si>
  <si>
    <t>4103005U5A/4103006U5A</t>
  </si>
  <si>
    <t>H0064804</t>
  </si>
  <si>
    <t>W0681918</t>
  </si>
  <si>
    <t>FSC31438</t>
  </si>
  <si>
    <t>L001-772785-00000001</t>
  </si>
  <si>
    <t>L001-772785-000001ZL</t>
  </si>
  <si>
    <t>H0064810</t>
  </si>
  <si>
    <t>W0682041</t>
  </si>
  <si>
    <t xml:space="preserve"> 8:50:45 am</t>
  </si>
  <si>
    <t>T6M58-800040001</t>
  </si>
  <si>
    <t>T6M58-80004</t>
  </si>
  <si>
    <t>S0361539</t>
  </si>
  <si>
    <t>W0682104</t>
  </si>
  <si>
    <t xml:space="preserve"> 1:42:56 pm</t>
  </si>
  <si>
    <t>FD29782</t>
  </si>
  <si>
    <t>H0064872</t>
  </si>
  <si>
    <t>W0682114</t>
  </si>
  <si>
    <t xml:space="preserve"> 2:46:49 pm</t>
  </si>
  <si>
    <t>S0361568</t>
  </si>
  <si>
    <t>W0682115</t>
  </si>
  <si>
    <t xml:space="preserve"> 8:45:08 am</t>
  </si>
  <si>
    <t>3YM58-80010-FT0001</t>
  </si>
  <si>
    <t>3YM58-80010-FT</t>
  </si>
  <si>
    <t>S0361569</t>
  </si>
  <si>
    <t>W0676578</t>
  </si>
  <si>
    <t xml:space="preserve"> 8:33:44 am</t>
  </si>
  <si>
    <t>SG-561161401</t>
  </si>
  <si>
    <t>PACK0053930001</t>
  </si>
  <si>
    <t>PACK005393</t>
  </si>
  <si>
    <t>W663525</t>
  </si>
  <si>
    <t>S0354904</t>
  </si>
  <si>
    <t>W0677347</t>
  </si>
  <si>
    <t xml:space="preserve"> 2:25:15 pm</t>
  </si>
  <si>
    <t>XHX2502100209/XHX24820A0902/XHX2412242227/XHX241228030</t>
  </si>
  <si>
    <t>TPK-853766-00200001</t>
  </si>
  <si>
    <t>TPK-853766-0020</t>
  </si>
  <si>
    <t>W663531</t>
  </si>
  <si>
    <t>S0355949</t>
  </si>
  <si>
    <t>W0679324</t>
  </si>
  <si>
    <t xml:space="preserve"> 8:33:05 am</t>
  </si>
  <si>
    <t>W663553</t>
  </si>
  <si>
    <t>H0064553</t>
  </si>
  <si>
    <t>W0679756</t>
  </si>
  <si>
    <t>XHX24820A0902/XHX2412242227/XHX241228030</t>
  </si>
  <si>
    <t>W663559</t>
  </si>
  <si>
    <t>S0358423</t>
  </si>
  <si>
    <t>W0680263</t>
  </si>
  <si>
    <t>15058362 REVB0001</t>
  </si>
  <si>
    <t>15058362 REVB</t>
  </si>
  <si>
    <t>W663299</t>
  </si>
  <si>
    <t>S0359035</t>
  </si>
  <si>
    <t>W0680767</t>
  </si>
  <si>
    <t xml:space="preserve"> 5:11:50 pm</t>
  </si>
  <si>
    <t>W663303</t>
  </si>
  <si>
    <t>S0359880</t>
  </si>
  <si>
    <t>W0681227</t>
  </si>
  <si>
    <t>W663309</t>
  </si>
  <si>
    <t>H0064771</t>
  </si>
  <si>
    <t>W0681228</t>
  </si>
  <si>
    <t>W663657</t>
  </si>
  <si>
    <t>H0064772</t>
  </si>
  <si>
    <t>W0681229</t>
  </si>
  <si>
    <t xml:space="preserve"> 9:46:14 am</t>
  </si>
  <si>
    <t>W663658</t>
  </si>
  <si>
    <t>H0064773</t>
  </si>
  <si>
    <t>W0681321</t>
  </si>
  <si>
    <t xml:space="preserve"> 9:24:56 am</t>
  </si>
  <si>
    <t>260-5362-000001</t>
  </si>
  <si>
    <t>260-5362-00</t>
  </si>
  <si>
    <t>W663668</t>
  </si>
  <si>
    <t>W0681325</t>
  </si>
  <si>
    <t>W663671</t>
  </si>
  <si>
    <t>S0361087</t>
  </si>
  <si>
    <t>W0681415</t>
  </si>
  <si>
    <t xml:space="preserve"> 5:43:34 pm</t>
  </si>
  <si>
    <t>W663163</t>
  </si>
  <si>
    <t>S0361155</t>
  </si>
  <si>
    <t>W0681434</t>
  </si>
  <si>
    <t xml:space="preserve"> 8:32:00 am</t>
  </si>
  <si>
    <t>W663686</t>
  </si>
  <si>
    <t>W0681438</t>
  </si>
  <si>
    <t>W663690</t>
  </si>
  <si>
    <t>W0681458</t>
  </si>
  <si>
    <t>260-6300-000001</t>
  </si>
  <si>
    <t>260-6300-00</t>
  </si>
  <si>
    <t>W663697</t>
  </si>
  <si>
    <t>W0681479</t>
  </si>
  <si>
    <t>W663710</t>
  </si>
  <si>
    <t>W0681488</t>
  </si>
  <si>
    <t>W663717</t>
  </si>
  <si>
    <t>W0681497</t>
  </si>
  <si>
    <t>W663724</t>
  </si>
  <si>
    <t>W0681571</t>
  </si>
  <si>
    <t xml:space="preserve"> 5:29:59 pm</t>
  </si>
  <si>
    <t>3050503U9/4067S1</t>
  </si>
  <si>
    <t>LAB-1090-000001</t>
  </si>
  <si>
    <t>LAB-1090-00</t>
  </si>
  <si>
    <t>W663730</t>
  </si>
  <si>
    <t>W0681576</t>
  </si>
  <si>
    <t xml:space="preserve"> 1:46:58 pm</t>
  </si>
  <si>
    <t>T6N02-80020-FT0001</t>
  </si>
  <si>
    <t>T6N02-80020-FT</t>
  </si>
  <si>
    <t>W664109</t>
  </si>
  <si>
    <t>S0361213</t>
  </si>
  <si>
    <t>W0681645</t>
  </si>
  <si>
    <t xml:space="preserve"> 2:51:08 pm</t>
  </si>
  <si>
    <t>W663320</t>
  </si>
  <si>
    <t>S0361265</t>
  </si>
  <si>
    <t>W0681786</t>
  </si>
  <si>
    <t>A-RM-20089999</t>
  </si>
  <si>
    <t>W663327</t>
  </si>
  <si>
    <t>S0361356</t>
  </si>
  <si>
    <t>W0681805</t>
  </si>
  <si>
    <t>W663333</t>
  </si>
  <si>
    <t>GRR62160</t>
  </si>
  <si>
    <t>W0681808</t>
  </si>
  <si>
    <t>W663334</t>
  </si>
  <si>
    <t>S0361373</t>
  </si>
  <si>
    <t>W0681855</t>
  </si>
  <si>
    <t xml:space="preserve"> 1:51:45 pm</t>
  </si>
  <si>
    <t>W663797</t>
  </si>
  <si>
    <t>S0361382</t>
  </si>
  <si>
    <t>W0681856</t>
  </si>
  <si>
    <t xml:space="preserve"> 5:36:07 pm</t>
  </si>
  <si>
    <t>W663798</t>
  </si>
  <si>
    <t>W0681857</t>
  </si>
  <si>
    <t xml:space="preserve"> 8:36:42 am</t>
  </si>
  <si>
    <t>W663799</t>
  </si>
  <si>
    <t>W0681934</t>
  </si>
  <si>
    <t xml:space="preserve"> 4:17:10 pm</t>
  </si>
  <si>
    <t>057-05335-0000 R0003</t>
  </si>
  <si>
    <t>057-05335-0000 REVAC</t>
  </si>
  <si>
    <t>W663342</t>
  </si>
  <si>
    <t>S0361422</t>
  </si>
  <si>
    <t>W0682013</t>
  </si>
  <si>
    <t xml:space="preserve"> 8:50:07 am</t>
  </si>
  <si>
    <t>PM63</t>
  </si>
  <si>
    <t>W663837</t>
  </si>
  <si>
    <t>H0064850</t>
  </si>
  <si>
    <t>W0682029</t>
  </si>
  <si>
    <t>FMQC00231010001</t>
  </si>
  <si>
    <t>FMQC0023101</t>
  </si>
  <si>
    <t>W663343</t>
  </si>
  <si>
    <t>S0361537</t>
  </si>
  <si>
    <t>W0682030</t>
  </si>
  <si>
    <t xml:space="preserve"> 3:59:37 pm</t>
  </si>
  <si>
    <t>W663344</t>
  </si>
  <si>
    <t>W0682034</t>
  </si>
  <si>
    <t>TSQC02747010001</t>
  </si>
  <si>
    <t>TSQC0274701</t>
  </si>
  <si>
    <t>W663345</t>
  </si>
  <si>
    <t>W0682036</t>
  </si>
  <si>
    <t>W663346</t>
  </si>
  <si>
    <t>PR006405</t>
  </si>
  <si>
    <t>W0682037</t>
  </si>
  <si>
    <t>W663347</t>
  </si>
  <si>
    <t>W0682040</t>
  </si>
  <si>
    <t>W663348</t>
  </si>
  <si>
    <t>W0682047</t>
  </si>
  <si>
    <t>W663351</t>
  </si>
  <si>
    <t>S0361544</t>
  </si>
  <si>
    <t>W0682048</t>
  </si>
  <si>
    <t>W663352</t>
  </si>
  <si>
    <t>S0361545</t>
  </si>
  <si>
    <t>W0682049</t>
  </si>
  <si>
    <t>W663353</t>
  </si>
  <si>
    <t>S0361546</t>
  </si>
  <si>
    <t>W0682050</t>
  </si>
  <si>
    <t>W663354</t>
  </si>
  <si>
    <t>S0361547</t>
  </si>
  <si>
    <t>W0682051</t>
  </si>
  <si>
    <t xml:space="preserve"> 2:25:46 pm</t>
  </si>
  <si>
    <t>W663355</t>
  </si>
  <si>
    <t>S0361548</t>
  </si>
  <si>
    <t>W0682054</t>
  </si>
  <si>
    <t>XHX24B19A1410/XHX2410130003/1811008A11/21400580041</t>
  </si>
  <si>
    <t>TPK-848150-00100001</t>
  </si>
  <si>
    <t>TPK-848150-0010</t>
  </si>
  <si>
    <t>W663356</t>
  </si>
  <si>
    <t>ZSA101775</t>
  </si>
  <si>
    <t>W0682056</t>
  </si>
  <si>
    <t xml:space="preserve"> 3:10:52 pm</t>
  </si>
  <si>
    <t>XHX2502100209/XHX24820A0902/XHX2410090439</t>
  </si>
  <si>
    <t>W663357</t>
  </si>
  <si>
    <t>W0682057</t>
  </si>
  <si>
    <t xml:space="preserve"> 3:49:07 pm</t>
  </si>
  <si>
    <t>XHX2410130003/XHX2411251432/XHX24B18A1408/BZC057-01</t>
  </si>
  <si>
    <t>W663358</t>
  </si>
  <si>
    <t>W0682058</t>
  </si>
  <si>
    <t xml:space="preserve"> 3:51:00 pm</t>
  </si>
  <si>
    <t>XHX24B18A1408/XHX2411251432/BYG115-02/XHX2410130003</t>
  </si>
  <si>
    <t>W663359</t>
  </si>
  <si>
    <t>W0682087</t>
  </si>
  <si>
    <t xml:space="preserve"> 2:56:34 pm</t>
  </si>
  <si>
    <t>W663863</t>
  </si>
  <si>
    <t>S0361561</t>
  </si>
  <si>
    <t>Filter: Date Completed: 21/03/25</t>
  </si>
  <si>
    <t>W0681498</t>
  </si>
  <si>
    <t xml:space="preserve"> 8:33:36 am</t>
  </si>
  <si>
    <t>M0BRZ2280990</t>
  </si>
  <si>
    <t>DC23944</t>
  </si>
  <si>
    <t>5189-80980001</t>
  </si>
  <si>
    <t>5189-8098</t>
  </si>
  <si>
    <t>S0361178</t>
  </si>
  <si>
    <t>W0681499</t>
  </si>
  <si>
    <t xml:space="preserve"> 8:32:44 am</t>
  </si>
  <si>
    <t>FDC30764</t>
  </si>
  <si>
    <t>CG325-800070001</t>
  </si>
  <si>
    <t>CG325-80007</t>
  </si>
  <si>
    <t>S0361179</t>
  </si>
  <si>
    <t>W0681500</t>
  </si>
  <si>
    <t>S0361180</t>
  </si>
  <si>
    <t>W0681501</t>
  </si>
  <si>
    <t xml:space="preserve"> 8:31:51 am</t>
  </si>
  <si>
    <t>5180-2296-INDIGO0001</t>
  </si>
  <si>
    <t>5180-2296</t>
  </si>
  <si>
    <t>S0361181</t>
  </si>
  <si>
    <t xml:space="preserve"> 8:45:10 am</t>
  </si>
  <si>
    <t>W0677348</t>
  </si>
  <si>
    <t xml:space="preserve"> 4:06:52 pm</t>
  </si>
  <si>
    <t>BYG115-02/XHX2410090439/XHX2410130003/XHX2409200124/P/O49080</t>
  </si>
  <si>
    <t>TPK-864719-00100001</t>
  </si>
  <si>
    <t>TPK-864719-0010</t>
  </si>
  <si>
    <t>W663532</t>
  </si>
  <si>
    <t>W0678756</t>
  </si>
  <si>
    <t>W663542</t>
  </si>
  <si>
    <t>S0357499</t>
  </si>
  <si>
    <t>W0679224</t>
  </si>
  <si>
    <t>2101110U5</t>
  </si>
  <si>
    <t>810588 INDEX4000001</t>
  </si>
  <si>
    <t>810588 INDEX400</t>
  </si>
  <si>
    <t>W663551</t>
  </si>
  <si>
    <t>S0357876</t>
  </si>
  <si>
    <t>W0679517</t>
  </si>
  <si>
    <t xml:space="preserve"> 4:02:39 pm</t>
  </si>
  <si>
    <t>J206L2871</t>
  </si>
  <si>
    <t>Z513 REV3.00001</t>
  </si>
  <si>
    <t>Z513 REV3.0</t>
  </si>
  <si>
    <t>W663555</t>
  </si>
  <si>
    <t>S0358293</t>
  </si>
  <si>
    <t>W0679757</t>
  </si>
  <si>
    <t>W663560</t>
  </si>
  <si>
    <t>W0679844</t>
  </si>
  <si>
    <t xml:space="preserve"> 5:51:59 pm</t>
  </si>
  <si>
    <t>L001-772785-00000002</t>
  </si>
  <si>
    <t>L001-772785-000002ZL</t>
  </si>
  <si>
    <t>W663563</t>
  </si>
  <si>
    <t>H0064631</t>
  </si>
  <si>
    <t>W0680260</t>
  </si>
  <si>
    <t>15058359-3K-R8LT0001</t>
  </si>
  <si>
    <t>15058359-3K-R8LT-28</t>
  </si>
  <si>
    <t>W663298</t>
  </si>
  <si>
    <t>S0359033</t>
  </si>
  <si>
    <t>W0680261</t>
  </si>
  <si>
    <t xml:space="preserve"> 4:35:04 pm</t>
  </si>
  <si>
    <t>15058361 REVB0001</t>
  </si>
  <si>
    <t>15058361 REVB</t>
  </si>
  <si>
    <t>W663566</t>
  </si>
  <si>
    <t>S0359034</t>
  </si>
  <si>
    <t>W0680757</t>
  </si>
  <si>
    <t xml:space="preserve"> 4:09:27 pm</t>
  </si>
  <si>
    <t>15058370 REVB0001</t>
  </si>
  <si>
    <t>15058370 REVB</t>
  </si>
  <si>
    <t>W663611</t>
  </si>
  <si>
    <t>S0359870</t>
  </si>
  <si>
    <t>W0681060</t>
  </si>
  <si>
    <t xml:space="preserve"> 5:46:05 pm</t>
  </si>
  <si>
    <t>D008O0920</t>
  </si>
  <si>
    <t>W663635</t>
  </si>
  <si>
    <t>S0360936</t>
  </si>
  <si>
    <t>W0681206</t>
  </si>
  <si>
    <t xml:space="preserve"> 9:01:02 am</t>
  </si>
  <si>
    <t>W663648</t>
  </si>
  <si>
    <t>H0064749</t>
  </si>
  <si>
    <t>W0681230</t>
  </si>
  <si>
    <t>W663659</t>
  </si>
  <si>
    <t>H0064774</t>
  </si>
  <si>
    <t>W0681231</t>
  </si>
  <si>
    <t>W663660</t>
  </si>
  <si>
    <t>H0064775</t>
  </si>
  <si>
    <t>W0681294</t>
  </si>
  <si>
    <t xml:space="preserve"> 1:27:01 pm</t>
  </si>
  <si>
    <t>FP575-234675-AH-0001</t>
  </si>
  <si>
    <t>FP575-234675-AH-RZ1</t>
  </si>
  <si>
    <t>I09123</t>
  </si>
  <si>
    <t>W663664</t>
  </si>
  <si>
    <t>S0361066</t>
  </si>
  <si>
    <t>W0681368</t>
  </si>
  <si>
    <t xml:space="preserve"> 2:01:36 pm</t>
  </si>
  <si>
    <t>250-6279-000001</t>
  </si>
  <si>
    <t>250-6279-00</t>
  </si>
  <si>
    <t>W663682</t>
  </si>
  <si>
    <t>S0361120</t>
  </si>
  <si>
    <t>W0681371</t>
  </si>
  <si>
    <t xml:space="preserve"> 8:57:25 am</t>
  </si>
  <si>
    <t>3111S1</t>
  </si>
  <si>
    <t>SGP PERSO CENTRE0001</t>
  </si>
  <si>
    <t>SGP PERSO CENTRE</t>
  </si>
  <si>
    <t>T20335</t>
  </si>
  <si>
    <t>W663683</t>
  </si>
  <si>
    <t>S0361122</t>
  </si>
  <si>
    <t>W0681390</t>
  </si>
  <si>
    <t xml:space="preserve"> 5:52:27 pm</t>
  </si>
  <si>
    <t>250-6187-000001</t>
  </si>
  <si>
    <t>250-6187-00</t>
  </si>
  <si>
    <t>W663685</t>
  </si>
  <si>
    <t>S0361140</t>
  </si>
  <si>
    <t>W0681437</t>
  </si>
  <si>
    <t>W663689</t>
  </si>
  <si>
    <t>W0681441</t>
  </si>
  <si>
    <t>W663693</t>
  </si>
  <si>
    <t>W0681442</t>
  </si>
  <si>
    <t xml:space="preserve"> 8:34:24 am</t>
  </si>
  <si>
    <t>4060118U5</t>
  </si>
  <si>
    <t>W663694</t>
  </si>
  <si>
    <t>W0681465</t>
  </si>
  <si>
    <t xml:space="preserve"> 5:39:41 pm</t>
  </si>
  <si>
    <t>260-6399-000001</t>
  </si>
  <si>
    <t>260-6399-00</t>
  </si>
  <si>
    <t>W663700</t>
  </si>
  <si>
    <t>W0681478</t>
  </si>
  <si>
    <t>260-6311-000001</t>
  </si>
  <si>
    <t>260-6311-00</t>
  </si>
  <si>
    <t>W663709</t>
  </si>
  <si>
    <t>W0681688</t>
  </si>
  <si>
    <t>W663758</t>
  </si>
  <si>
    <t>W0681689</t>
  </si>
  <si>
    <t>W663759</t>
  </si>
  <si>
    <t>W0681761</t>
  </si>
  <si>
    <t xml:space="preserve"> 8:58:47 am</t>
  </si>
  <si>
    <t>W663770</t>
  </si>
  <si>
    <t>S0361340</t>
  </si>
  <si>
    <t>W0681791</t>
  </si>
  <si>
    <t xml:space="preserve"> 9:49:19 am</t>
  </si>
  <si>
    <t>W663775</t>
  </si>
  <si>
    <t>S0361360</t>
  </si>
  <si>
    <t>W0681810</t>
  </si>
  <si>
    <t xml:space="preserve"> 8:35:53 am</t>
  </si>
  <si>
    <t>250-6018-000001</t>
  </si>
  <si>
    <t>250-6018-00</t>
  </si>
  <si>
    <t>W663781</t>
  </si>
  <si>
    <t>W0681813</t>
  </si>
  <si>
    <t>250-6163-000001</t>
  </si>
  <si>
    <t>250-6163-00</t>
  </si>
  <si>
    <t>W663784</t>
  </si>
  <si>
    <t>W0681826</t>
  </si>
  <si>
    <t xml:space="preserve"> 9:01:51 am</t>
  </si>
  <si>
    <t>W663789</t>
  </si>
  <si>
    <t>S0361376</t>
  </si>
  <si>
    <t>W0681875</t>
  </si>
  <si>
    <t xml:space="preserve"> 8:35:10 am</t>
  </si>
  <si>
    <t>4820U8013</t>
  </si>
  <si>
    <t>241075-120001</t>
  </si>
  <si>
    <t>241075-12</t>
  </si>
  <si>
    <t>T20115</t>
  </si>
  <si>
    <t>W663803</t>
  </si>
  <si>
    <t>S0361393</t>
  </si>
  <si>
    <t>W0681876</t>
  </si>
  <si>
    <t>241076-120001</t>
  </si>
  <si>
    <t>241076-12</t>
  </si>
  <si>
    <t>W663804</t>
  </si>
  <si>
    <t>W0681877</t>
  </si>
  <si>
    <t xml:space="preserve"> 8:36:41 am</t>
  </si>
  <si>
    <t>241077-120001</t>
  </si>
  <si>
    <t>241077-12</t>
  </si>
  <si>
    <t>W663805</t>
  </si>
  <si>
    <t>W0681878</t>
  </si>
  <si>
    <t>241078-120001</t>
  </si>
  <si>
    <t>241078-12</t>
  </si>
  <si>
    <t>W663806</t>
  </si>
  <si>
    <t>W0681879</t>
  </si>
  <si>
    <t>241116-120001</t>
  </si>
  <si>
    <t>241116-12</t>
  </si>
  <si>
    <t>W663807</t>
  </si>
  <si>
    <t>W0682006</t>
  </si>
  <si>
    <t xml:space="preserve"> 8:50:29 am</t>
  </si>
  <si>
    <t>M0BI68841</t>
  </si>
  <si>
    <t>713891306-ADS1360001</t>
  </si>
  <si>
    <t>713891306-ADS1366</t>
  </si>
  <si>
    <t>W663833</t>
  </si>
  <si>
    <t>H0064843</t>
  </si>
  <si>
    <t>W0682008</t>
  </si>
  <si>
    <t xml:space="preserve"> 1:46:33 pm</t>
  </si>
  <si>
    <t>M0BSM95201372</t>
  </si>
  <si>
    <t>W663834</t>
  </si>
  <si>
    <t>H0064845</t>
  </si>
  <si>
    <t>W0682011</t>
  </si>
  <si>
    <t xml:space="preserve"> 1:47:21 pm</t>
  </si>
  <si>
    <t>W663835</t>
  </si>
  <si>
    <t>H0064848</t>
  </si>
  <si>
    <t>W0682012</t>
  </si>
  <si>
    <t>W663836</t>
  </si>
  <si>
    <t>H0064849</t>
  </si>
  <si>
    <t>W0682020</t>
  </si>
  <si>
    <t>W663843</t>
  </si>
  <si>
    <t>S0361532</t>
  </si>
  <si>
    <t>W0682052</t>
  </si>
  <si>
    <t>SG-5555729 01</t>
  </si>
  <si>
    <t>W663849</t>
  </si>
  <si>
    <t>S0361549</t>
  </si>
  <si>
    <t>W0682059</t>
  </si>
  <si>
    <t>W663852</t>
  </si>
  <si>
    <t>W0682111</t>
  </si>
  <si>
    <t xml:space="preserve"> 8:51:48 am</t>
  </si>
  <si>
    <t>59470/59469</t>
  </si>
  <si>
    <t>W663870</t>
  </si>
  <si>
    <t>S0361565</t>
  </si>
  <si>
    <t>W0682165</t>
  </si>
  <si>
    <t xml:space="preserve"> 8:54:07 am</t>
  </si>
  <si>
    <t>W663873</t>
  </si>
  <si>
    <t>S0361666</t>
  </si>
  <si>
    <t>W0682166</t>
  </si>
  <si>
    <t>W663874</t>
  </si>
  <si>
    <t>S0361667</t>
  </si>
  <si>
    <t>W0682169</t>
  </si>
  <si>
    <t>W663875</t>
  </si>
  <si>
    <t>S0361670</t>
  </si>
  <si>
    <t>W0682171</t>
  </si>
  <si>
    <t>W663876</t>
  </si>
  <si>
    <t>S0361672</t>
  </si>
  <si>
    <t>Filter: Date Completed: 22/03/25</t>
  </si>
  <si>
    <t>W0679845</t>
  </si>
  <si>
    <t>H0064632</t>
  </si>
  <si>
    <t>W0681834</t>
  </si>
  <si>
    <t xml:space="preserve"> 8:36:10 am</t>
  </si>
  <si>
    <t>U531252097/503011926</t>
  </si>
  <si>
    <t>SC28393</t>
  </si>
  <si>
    <t>S0361378</t>
  </si>
  <si>
    <t>W0678884</t>
  </si>
  <si>
    <t xml:space="preserve"> 8:45:53 am</t>
  </si>
  <si>
    <t>U1022S022</t>
  </si>
  <si>
    <t>BL 8X51MM0001</t>
  </si>
  <si>
    <t>BL 8X51MM</t>
  </si>
  <si>
    <t>W663547</t>
  </si>
  <si>
    <t>S0357644</t>
  </si>
  <si>
    <t>W0679372</t>
  </si>
  <si>
    <t>B7RT4-80001-FT0001</t>
  </si>
  <si>
    <t>B7RT4-80001-FT</t>
  </si>
  <si>
    <t>W662499</t>
  </si>
  <si>
    <t>W0679473</t>
  </si>
  <si>
    <t>W663554</t>
  </si>
  <si>
    <t>S0358238</t>
  </si>
  <si>
    <t>W0679758</t>
  </si>
  <si>
    <t xml:space="preserve"> 8:44:04 am</t>
  </si>
  <si>
    <t>XHX2410130003/BYG119-07/XHX2410090439/XHX24A05A0401</t>
  </si>
  <si>
    <t>TPK-868915-00100001</t>
  </si>
  <si>
    <t>TPK-868915-0010</t>
  </si>
  <si>
    <t>W663561</t>
  </si>
  <si>
    <t>W0680387</t>
  </si>
  <si>
    <t xml:space="preserve"> 8:34:08 am</t>
  </si>
  <si>
    <t>W663567</t>
  </si>
  <si>
    <t>W0680389</t>
  </si>
  <si>
    <t xml:space="preserve"> 8:35:14 am</t>
  </si>
  <si>
    <t>W663569</t>
  </si>
  <si>
    <t>W0680391</t>
  </si>
  <si>
    <t xml:space="preserve"> 1:23:06 pm</t>
  </si>
  <si>
    <t>W663570</t>
  </si>
  <si>
    <t>W0680392</t>
  </si>
  <si>
    <t xml:space="preserve"> 1:20:49 pm</t>
  </si>
  <si>
    <t>W663571</t>
  </si>
  <si>
    <t>W0680393</t>
  </si>
  <si>
    <t xml:space="preserve"> 1:22:09 pm</t>
  </si>
  <si>
    <t>W663572</t>
  </si>
  <si>
    <t>W0680758</t>
  </si>
  <si>
    <t xml:space="preserve"> 8:51:34 am</t>
  </si>
  <si>
    <t>15058368 REVB0001</t>
  </si>
  <si>
    <t>15058368 REVB</t>
  </si>
  <si>
    <t>W663612</t>
  </si>
  <si>
    <t>S0359871</t>
  </si>
  <si>
    <t>W0680760</t>
  </si>
  <si>
    <t xml:space="preserve"> 9:05:18 am</t>
  </si>
  <si>
    <t>15058372 REVB0001</t>
  </si>
  <si>
    <t>15058372 REVB</t>
  </si>
  <si>
    <t>W663613</t>
  </si>
  <si>
    <t>S0359873</t>
  </si>
  <si>
    <t>W0680761</t>
  </si>
  <si>
    <t>W663614</t>
  </si>
  <si>
    <t>S0359874</t>
  </si>
  <si>
    <t>W0681130</t>
  </si>
  <si>
    <t>L4816U8011</t>
  </si>
  <si>
    <t>SSAP2-20X5MM0001</t>
  </si>
  <si>
    <t>SSAP2-20X5MM</t>
  </si>
  <si>
    <t>S19330</t>
  </si>
  <si>
    <t>W663643</t>
  </si>
  <si>
    <t>S0361015</t>
  </si>
  <si>
    <t>W0681131</t>
  </si>
  <si>
    <t>SSAP3-20X5MM0001</t>
  </si>
  <si>
    <t>SSAP3-20X5MM</t>
  </si>
  <si>
    <t>W663644</t>
  </si>
  <si>
    <t>W0681207</t>
  </si>
  <si>
    <t xml:space="preserve"> 5:29:06 pm</t>
  </si>
  <si>
    <t>W663649</t>
  </si>
  <si>
    <t>H0064750</t>
  </si>
  <si>
    <t>W0681308</t>
  </si>
  <si>
    <t>L5305U8039</t>
  </si>
  <si>
    <t>W663665</t>
  </si>
  <si>
    <t>S0361083</t>
  </si>
  <si>
    <t>W0681318</t>
  </si>
  <si>
    <t>4100517U5A</t>
  </si>
  <si>
    <t>250-6157-000001</t>
  </si>
  <si>
    <t>250-6157-00</t>
  </si>
  <si>
    <t>W663666</t>
  </si>
  <si>
    <t>W0681327</t>
  </si>
  <si>
    <t>J00VB7941</t>
  </si>
  <si>
    <t>W663673</t>
  </si>
  <si>
    <t>W0681443</t>
  </si>
  <si>
    <t xml:space="preserve"> 8:37:41 am</t>
  </si>
  <si>
    <t>W663695</t>
  </si>
  <si>
    <t>W0681466</t>
  </si>
  <si>
    <t>260-6600-000001</t>
  </si>
  <si>
    <t>260-6600-00</t>
  </si>
  <si>
    <t>W663701</t>
  </si>
  <si>
    <t>W0681467</t>
  </si>
  <si>
    <t>260-6601-000001</t>
  </si>
  <si>
    <t>260-6601-00</t>
  </si>
  <si>
    <t>W663702</t>
  </si>
  <si>
    <t>W0681468</t>
  </si>
  <si>
    <t>260-6602-000001</t>
  </si>
  <si>
    <t>260-6602-00</t>
  </si>
  <si>
    <t>W663703</t>
  </si>
  <si>
    <t>W0681793</t>
  </si>
  <si>
    <t xml:space="preserve"> 8:38:12 am</t>
  </si>
  <si>
    <t>W663777</t>
  </si>
  <si>
    <t>S0361363</t>
  </si>
  <si>
    <t>W0681794</t>
  </si>
  <si>
    <t xml:space="preserve"> 8:39:40 am</t>
  </si>
  <si>
    <t>W663778</t>
  </si>
  <si>
    <t>W0681830</t>
  </si>
  <si>
    <t>W664131</t>
  </si>
  <si>
    <t>S0361377</t>
  </si>
  <si>
    <t>W0681854</t>
  </si>
  <si>
    <t xml:space="preserve"> 1:50:48 pm</t>
  </si>
  <si>
    <t>W663796</t>
  </si>
  <si>
    <t>W0681891</t>
  </si>
  <si>
    <t>P16186-VIETNAM</t>
  </si>
  <si>
    <t>W663812</t>
  </si>
  <si>
    <t>S0361401</t>
  </si>
  <si>
    <t>W0682060</t>
  </si>
  <si>
    <t xml:space="preserve"> 8:45:26 am</t>
  </si>
  <si>
    <t>BYG119-07/XHX2410090439/XHX24A05A0401/XHX2410130003/A500922</t>
  </si>
  <si>
    <t>W663360</t>
  </si>
  <si>
    <t>W0682173</t>
  </si>
  <si>
    <t>W663877</t>
  </si>
  <si>
    <t>S0361674</t>
  </si>
  <si>
    <t>Filter: Date Completed: 24/03/25</t>
  </si>
  <si>
    <t>W0676858</t>
  </si>
  <si>
    <t>BYG119-04/01</t>
  </si>
  <si>
    <t>SC31633</t>
  </si>
  <si>
    <t>RR 6X6-WHITE0001</t>
  </si>
  <si>
    <t>RR 6X6-WHITE</t>
  </si>
  <si>
    <t>E05203</t>
  </si>
  <si>
    <t>S0355055</t>
  </si>
  <si>
    <t>W0682105</t>
  </si>
  <si>
    <t xml:space="preserve"> 9:11:35 am</t>
  </si>
  <si>
    <t>M4B4A05BGJCJ103-S24Y100108/E0531904</t>
  </si>
  <si>
    <t>H0064873</t>
  </si>
  <si>
    <t xml:space="preserve"> 9:11:36 am</t>
  </si>
  <si>
    <t>W0678793</t>
  </si>
  <si>
    <t xml:space="preserve"> 8:47:03 am</t>
  </si>
  <si>
    <t>J00WA5830/J00TP9191</t>
  </si>
  <si>
    <t>W663543</t>
  </si>
  <si>
    <t>S0357523</t>
  </si>
  <si>
    <t>W0678808</t>
  </si>
  <si>
    <t xml:space="preserve"> 2:53:21 pm</t>
  </si>
  <si>
    <t>4103007U5</t>
  </si>
  <si>
    <t>L001-772785-00000003</t>
  </si>
  <si>
    <t>L001-772785-000003ZL</t>
  </si>
  <si>
    <t>W663545</t>
  </si>
  <si>
    <t>H0064473</t>
  </si>
  <si>
    <t>W0679617</t>
  </si>
  <si>
    <t>L4816U8015/U4A04S213</t>
  </si>
  <si>
    <t>XOPA93016-Y3070001</t>
  </si>
  <si>
    <t>XOPA93016-Y307</t>
  </si>
  <si>
    <t>S19296</t>
  </si>
  <si>
    <t>W663557</t>
  </si>
  <si>
    <t>H0064594</t>
  </si>
  <si>
    <t>W0679622</t>
  </si>
  <si>
    <t>W663558</t>
  </si>
  <si>
    <t>H0064597</t>
  </si>
  <si>
    <t>W0679759</t>
  </si>
  <si>
    <t>A500922/XHX2408180235/XHX2410090439/XHX240901A1709/BYG119-07</t>
  </si>
  <si>
    <t>TPK-868916-00100001</t>
  </si>
  <si>
    <t>TPK-868916-0010</t>
  </si>
  <si>
    <t>W663562</t>
  </si>
  <si>
    <t>W0680425</t>
  </si>
  <si>
    <t xml:space="preserve"> 9:24:01 am</t>
  </si>
  <si>
    <t>1012643/80116793/XHX2412190201/XHX24911A1407/WO2024/5284</t>
  </si>
  <si>
    <t>W664078</t>
  </si>
  <si>
    <t>S0359227</t>
  </si>
  <si>
    <t>W0680763</t>
  </si>
  <si>
    <t xml:space="preserve"> 8:33:06 am</t>
  </si>
  <si>
    <t>SG-5643031 01</t>
  </si>
  <si>
    <t>W663615</t>
  </si>
  <si>
    <t>S0359876</t>
  </si>
  <si>
    <t>W0680764</t>
  </si>
  <si>
    <t>W663616</t>
  </si>
  <si>
    <t>S0359877</t>
  </si>
  <si>
    <t>W0681039</t>
  </si>
  <si>
    <t>M0BUE5710</t>
  </si>
  <si>
    <t>L001-772785-00000004</t>
  </si>
  <si>
    <t>L001-772785-000004CG</t>
  </si>
  <si>
    <t>W663631</t>
  </si>
  <si>
    <t>H0064704</t>
  </si>
  <si>
    <t>W0681221</t>
  </si>
  <si>
    <t xml:space="preserve"> 9:21:48 am</t>
  </si>
  <si>
    <t>5323501-03-04-02/5323501-03-02-03/5323501-03-04-04</t>
  </si>
  <si>
    <t>W663655</t>
  </si>
  <si>
    <t>H0064764</t>
  </si>
  <si>
    <t>W0681334</t>
  </si>
  <si>
    <t>W663679</t>
  </si>
  <si>
    <t>W0681340</t>
  </si>
  <si>
    <t xml:space="preserve"> 8:50:48 am</t>
  </si>
  <si>
    <t>260-6432-000001</t>
  </si>
  <si>
    <t>260-6432-00</t>
  </si>
  <si>
    <t>W663681</t>
  </si>
  <si>
    <t>W0681446</t>
  </si>
  <si>
    <t xml:space="preserve"> 8:34:15 am</t>
  </si>
  <si>
    <t>W663696</t>
  </si>
  <si>
    <t>W0681476</t>
  </si>
  <si>
    <t>4090412U5A</t>
  </si>
  <si>
    <t>W663707</t>
  </si>
  <si>
    <t>W0681480</t>
  </si>
  <si>
    <t>5011628U5A</t>
  </si>
  <si>
    <t>W663711</t>
  </si>
  <si>
    <t>W0681487</t>
  </si>
  <si>
    <t xml:space="preserve"> 2:54:12 pm</t>
  </si>
  <si>
    <t>5011702U5</t>
  </si>
  <si>
    <t>W664097</t>
  </si>
  <si>
    <t>W0681493</t>
  </si>
  <si>
    <t>5011701U5</t>
  </si>
  <si>
    <t>W663721</t>
  </si>
  <si>
    <t xml:space="preserve"> 5:04:08 pm</t>
  </si>
  <si>
    <t>W0681634</t>
  </si>
  <si>
    <t>U2017S015/4723U8017</t>
  </si>
  <si>
    <t>W663746</t>
  </si>
  <si>
    <t>S0361254</t>
  </si>
  <si>
    <t>W0681640</t>
  </si>
  <si>
    <t xml:space="preserve"> 1:25:20 pm</t>
  </si>
  <si>
    <t>W663748</t>
  </si>
  <si>
    <t>S0361260</t>
  </si>
  <si>
    <t>W0681648</t>
  </si>
  <si>
    <t xml:space="preserve"> 4:10:14 pm</t>
  </si>
  <si>
    <t>W663750</t>
  </si>
  <si>
    <t>S0361268</t>
  </si>
  <si>
    <t>W0681690</t>
  </si>
  <si>
    <t>W663760</t>
  </si>
  <si>
    <t>W0681806</t>
  </si>
  <si>
    <t xml:space="preserve"> 8:32:10 am</t>
  </si>
  <si>
    <t>4090408U5A</t>
  </si>
  <si>
    <t>250-8026-010001</t>
  </si>
  <si>
    <t>250-8026-01</t>
  </si>
  <si>
    <t>W663779</t>
  </si>
  <si>
    <t>S0361372</t>
  </si>
  <si>
    <t>W0681809</t>
  </si>
  <si>
    <t>W663780</t>
  </si>
  <si>
    <t>W0681812</t>
  </si>
  <si>
    <t xml:space="preserve"> 1:52:08 pm</t>
  </si>
  <si>
    <t>W663783</t>
  </si>
  <si>
    <t>W0681814</t>
  </si>
  <si>
    <t>W663785</t>
  </si>
  <si>
    <t>W0681823</t>
  </si>
  <si>
    <t>W663786</t>
  </si>
  <si>
    <t>W0681827</t>
  </si>
  <si>
    <t>W664128</t>
  </si>
  <si>
    <t>W0681862</t>
  </si>
  <si>
    <t xml:space="preserve"> 3:49:36 pm</t>
  </si>
  <si>
    <t>W663801</t>
  </si>
  <si>
    <t>S0361386</t>
  </si>
  <si>
    <t>W0681863</t>
  </si>
  <si>
    <t>XTR-140.1892.12-0001</t>
  </si>
  <si>
    <t>XTR-140.1892.12-S</t>
  </si>
  <si>
    <t>W663802</t>
  </si>
  <si>
    <t>W0681880</t>
  </si>
  <si>
    <t xml:space="preserve"> 8:38:28 am</t>
  </si>
  <si>
    <t>241117-120001</t>
  </si>
  <si>
    <t>241117-12</t>
  </si>
  <si>
    <t>W663808</t>
  </si>
  <si>
    <t>W0682000</t>
  </si>
  <si>
    <t>W663827</t>
  </si>
  <si>
    <t>H0064837</t>
  </si>
  <si>
    <t>W0682001</t>
  </si>
  <si>
    <t>W663828</t>
  </si>
  <si>
    <t>H0064838</t>
  </si>
  <si>
    <t>W0682004</t>
  </si>
  <si>
    <t>709898818 REVB0001</t>
  </si>
  <si>
    <t>709898818 REVB</t>
  </si>
  <si>
    <t>W663831</t>
  </si>
  <si>
    <t>H0064841</t>
  </si>
  <si>
    <t>W0682005</t>
  </si>
  <si>
    <t>W663832</t>
  </si>
  <si>
    <t>H0064842</t>
  </si>
  <si>
    <t>W0682026</t>
  </si>
  <si>
    <t xml:space="preserve"> 3:01:13 pm</t>
  </si>
  <si>
    <t>TW12172333-02</t>
  </si>
  <si>
    <t>P1S0453 90001</t>
  </si>
  <si>
    <t>P1S0453 9</t>
  </si>
  <si>
    <t>W663844</t>
  </si>
  <si>
    <t>S0361538</t>
  </si>
  <si>
    <t>W0682032</t>
  </si>
  <si>
    <t xml:space="preserve"> 1:24:04 pm</t>
  </si>
  <si>
    <t>TSMC00333060001</t>
  </si>
  <si>
    <t>TSMC0033306</t>
  </si>
  <si>
    <t>W663847</t>
  </si>
  <si>
    <t>W0682061</t>
  </si>
  <si>
    <t>XHX240901A1709/A500922/XHX2408180235/XHX24A05A0401/BYG119-07</t>
  </si>
  <si>
    <t>W663853</t>
  </si>
  <si>
    <t>W0682064</t>
  </si>
  <si>
    <t>JH20240905/A431833/XHX24B18A1408/XHX24B01A0904/XHX24C12A0402</t>
  </si>
  <si>
    <t>TPK-874726-00200001</t>
  </si>
  <si>
    <t>TPK-874726-0020</t>
  </si>
  <si>
    <t>W663856</t>
  </si>
  <si>
    <t>W0682099</t>
  </si>
  <si>
    <t xml:space="preserve"> 1:45:43 pm</t>
  </si>
  <si>
    <t>W663865</t>
  </si>
  <si>
    <t>H0064867</t>
  </si>
  <si>
    <t>W0682101</t>
  </si>
  <si>
    <t xml:space="preserve"> 1:45:02 pm</t>
  </si>
  <si>
    <t>W663866</t>
  </si>
  <si>
    <t>H0064869</t>
  </si>
  <si>
    <t>W0682110</t>
  </si>
  <si>
    <t>W663869</t>
  </si>
  <si>
    <t>S0361564</t>
  </si>
  <si>
    <t>W0682117</t>
  </si>
  <si>
    <t>W663871</t>
  </si>
  <si>
    <t>S0361570</t>
  </si>
  <si>
    <t>W0682179</t>
  </si>
  <si>
    <t xml:space="preserve"> 8:32:48 am</t>
  </si>
  <si>
    <t>W663878</t>
  </si>
  <si>
    <t>S0361680</t>
  </si>
  <si>
    <t>W0682181</t>
  </si>
  <si>
    <t>W663879</t>
  </si>
  <si>
    <t>S0361682</t>
  </si>
  <si>
    <t>W0682182</t>
  </si>
  <si>
    <t>SG 5555729 01</t>
  </si>
  <si>
    <t>W663880</t>
  </si>
  <si>
    <t>S0361683</t>
  </si>
  <si>
    <t>W0682230</t>
  </si>
  <si>
    <t xml:space="preserve"> 8:45:40 am</t>
  </si>
  <si>
    <t>P1V0150 10001</t>
  </si>
  <si>
    <t>P1V0150 1</t>
  </si>
  <si>
    <t>W663901</t>
  </si>
  <si>
    <t>S0361712</t>
  </si>
  <si>
    <t>Filter: Date Completed: 25/03/25</t>
  </si>
  <si>
    <t>W0678400</t>
  </si>
  <si>
    <t>FSC29525</t>
  </si>
  <si>
    <t>S0357124</t>
  </si>
  <si>
    <t>W0679621</t>
  </si>
  <si>
    <t xml:space="preserve"> 4:39:10 pm</t>
  </si>
  <si>
    <t>DC31738</t>
  </si>
  <si>
    <t>PA93015-Y1340001</t>
  </si>
  <si>
    <t>PA93015-Y134</t>
  </si>
  <si>
    <t>H0064596</t>
  </si>
  <si>
    <t>W0681831</t>
  </si>
  <si>
    <t xml:space="preserve"> 8:33:16 am</t>
  </si>
  <si>
    <t>SC28392</t>
  </si>
  <si>
    <t>W0681864</t>
  </si>
  <si>
    <t xml:space="preserve"> 8:31:44 am</t>
  </si>
  <si>
    <t>SC26996</t>
  </si>
  <si>
    <t>W0682118</t>
  </si>
  <si>
    <t>W0682516</t>
  </si>
  <si>
    <t xml:space="preserve"> 8:31:55 am</t>
  </si>
  <si>
    <t>I492555H088</t>
  </si>
  <si>
    <t>BC00914</t>
  </si>
  <si>
    <t>LEFTFOOT-80-250001</t>
  </si>
  <si>
    <t>LEFTFOOT-80-25</t>
  </si>
  <si>
    <t>S0361937</t>
  </si>
  <si>
    <t>W0676275</t>
  </si>
  <si>
    <t>XOPA93016-Y3050001</t>
  </si>
  <si>
    <t>XOPA93016-Y305</t>
  </si>
  <si>
    <t>W663524</t>
  </si>
  <si>
    <t>H0064236</t>
  </si>
  <si>
    <t>W0676773</t>
  </si>
  <si>
    <t>710553 INDEX4060001</t>
  </si>
  <si>
    <t>710553 INDEX406</t>
  </si>
  <si>
    <t>W663527</t>
  </si>
  <si>
    <t>S0355006</t>
  </si>
  <si>
    <t>W0677802</t>
  </si>
  <si>
    <t>R001-41015 REV1.0001</t>
  </si>
  <si>
    <t>R001-41015 REV1.0</t>
  </si>
  <si>
    <t>W663533</t>
  </si>
  <si>
    <t>S0356608</t>
  </si>
  <si>
    <t>W0678356</t>
  </si>
  <si>
    <t>U4815S050/U4606S002/25900818/2339-01</t>
  </si>
  <si>
    <t>707806 INDEX4060001</t>
  </si>
  <si>
    <t>707806 INDEX406</t>
  </si>
  <si>
    <t>W663537</t>
  </si>
  <si>
    <t>S0357110</t>
  </si>
  <si>
    <t>W0680388</t>
  </si>
  <si>
    <t xml:space="preserve"> 5:51:28 pm</t>
  </si>
  <si>
    <t>W663568</t>
  </si>
  <si>
    <t xml:space="preserve"> 5:51:29 pm</t>
  </si>
  <si>
    <t>W0680728</t>
  </si>
  <si>
    <t xml:space="preserve"> 8:49:26 am</t>
  </si>
  <si>
    <t>714129 REV4020001</t>
  </si>
  <si>
    <t>714129 REV403</t>
  </si>
  <si>
    <t>W663606</t>
  </si>
  <si>
    <t>S0359846</t>
  </si>
  <si>
    <t>W0681040</t>
  </si>
  <si>
    <t>W663632</t>
  </si>
  <si>
    <t>H0064705</t>
  </si>
  <si>
    <t>W0681208</t>
  </si>
  <si>
    <t xml:space="preserve"> 5:15:20 pm</t>
  </si>
  <si>
    <t>M0BUF4302/M0BUF4281</t>
  </si>
  <si>
    <t>W663650</t>
  </si>
  <si>
    <t>H0064751</t>
  </si>
  <si>
    <t>W0681326</t>
  </si>
  <si>
    <t>250-5305-000001</t>
  </si>
  <si>
    <t>250-5305-00</t>
  </si>
  <si>
    <t>W663672</t>
  </si>
  <si>
    <t>W0681330</t>
  </si>
  <si>
    <t>260-5350-000001</t>
  </si>
  <si>
    <t>260-5350-00</t>
  </si>
  <si>
    <t>W663675</t>
  </si>
  <si>
    <t>W0681473</t>
  </si>
  <si>
    <t xml:space="preserve"> 8:40:26 am</t>
  </si>
  <si>
    <t>4101908U5A</t>
  </si>
  <si>
    <t>W663704</t>
  </si>
  <si>
    <t>W0681474</t>
  </si>
  <si>
    <t>4090411U5A/4090412U5A</t>
  </si>
  <si>
    <t>W663705</t>
  </si>
  <si>
    <t>W0681481</t>
  </si>
  <si>
    <t>W663712</t>
  </si>
  <si>
    <t>W0681610</t>
  </si>
  <si>
    <t>SG-5508106-01</t>
  </si>
  <si>
    <t>TAK25PLW104C0001</t>
  </si>
  <si>
    <t>TAK25PLW104C</t>
  </si>
  <si>
    <t>W663733</t>
  </si>
  <si>
    <t>S0361246</t>
  </si>
  <si>
    <t>W0681639</t>
  </si>
  <si>
    <t xml:space="preserve"> 9:14:06 am</t>
  </si>
  <si>
    <t>W663747</t>
  </si>
  <si>
    <t>S0361259</t>
  </si>
  <si>
    <t>W0681641</t>
  </si>
  <si>
    <t>W663749</t>
  </si>
  <si>
    <t>S0361261</t>
  </si>
  <si>
    <t>W0681691</t>
  </si>
  <si>
    <t>W663761</t>
  </si>
  <si>
    <t>W0681713</t>
  </si>
  <si>
    <t>W663766</t>
  </si>
  <si>
    <t>S0361296</t>
  </si>
  <si>
    <t>W0681714</t>
  </si>
  <si>
    <t>W663767</t>
  </si>
  <si>
    <t>W0681766</t>
  </si>
  <si>
    <t xml:space="preserve"> 8:46:10 am</t>
  </si>
  <si>
    <t>R001-4937 REV2.00001</t>
  </si>
  <si>
    <t>R001-4937 REV2.0</t>
  </si>
  <si>
    <t>W663772</t>
  </si>
  <si>
    <t>S0361343</t>
  </si>
  <si>
    <t>W0681825</t>
  </si>
  <si>
    <t>U530352041/501241326</t>
  </si>
  <si>
    <t>W663788</t>
  </si>
  <si>
    <t>W0681829</t>
  </si>
  <si>
    <t>W664130</t>
  </si>
  <si>
    <t>W0681988</t>
  </si>
  <si>
    <t xml:space="preserve"> 9:23:36 am</t>
  </si>
  <si>
    <t>W663820</t>
  </si>
  <si>
    <t>H0064825</t>
  </si>
  <si>
    <t>W0681989</t>
  </si>
  <si>
    <t>W663821</t>
  </si>
  <si>
    <t>H0064826</t>
  </si>
  <si>
    <t>W0681990</t>
  </si>
  <si>
    <t xml:space="preserve"> 9:07:52 am</t>
  </si>
  <si>
    <t>M0BUF4311/M0BUF4281/MBUF4302</t>
  </si>
  <si>
    <t>W663822</t>
  </si>
  <si>
    <t>H0064827</t>
  </si>
  <si>
    <t>W0681991</t>
  </si>
  <si>
    <t xml:space="preserve"> 9:09:36 am</t>
  </si>
  <si>
    <t>100542001-3M66900001</t>
  </si>
  <si>
    <t>100542001-3M6690SP</t>
  </si>
  <si>
    <t>W663823</t>
  </si>
  <si>
    <t>H0064828</t>
  </si>
  <si>
    <t>W0681999</t>
  </si>
  <si>
    <t>W663826</t>
  </si>
  <si>
    <t>H0064836</t>
  </si>
  <si>
    <t>W0682002</t>
  </si>
  <si>
    <t>W663829</t>
  </si>
  <si>
    <t>H0064839</t>
  </si>
  <si>
    <t>W0682003</t>
  </si>
  <si>
    <t>W663830</t>
  </si>
  <si>
    <t>H0064840</t>
  </si>
  <si>
    <t>W0682016</t>
  </si>
  <si>
    <t>W663839</t>
  </si>
  <si>
    <t>H0064853</t>
  </si>
  <si>
    <t>W0682018</t>
  </si>
  <si>
    <t xml:space="preserve"> 9:10:09 am</t>
  </si>
  <si>
    <t>W663841</t>
  </si>
  <si>
    <t>H0064855</t>
  </si>
  <si>
    <t>W0682062</t>
  </si>
  <si>
    <t xml:space="preserve"> 2:19:16 pm</t>
  </si>
  <si>
    <t>11042-2024-03-0031/24H2779151</t>
  </si>
  <si>
    <t>TPK-871001-00100001</t>
  </si>
  <si>
    <t>TPK-871001-0010</t>
  </si>
  <si>
    <t>W663854</t>
  </si>
  <si>
    <t>W0682063</t>
  </si>
  <si>
    <t xml:space="preserve"> 2:14:35 pm</t>
  </si>
  <si>
    <t>XHX24B08A1408/XHX2501081024/XHX24B01A0904/JH2024905/A431833</t>
  </si>
  <si>
    <t>TPK-874726-00100001</t>
  </si>
  <si>
    <t>TPK-874726-0010</t>
  </si>
  <si>
    <t>W663855</t>
  </si>
  <si>
    <t>W0682069</t>
  </si>
  <si>
    <t xml:space="preserve"> 2:21:14 pm</t>
  </si>
  <si>
    <t>P/O49109/23L11010522</t>
  </si>
  <si>
    <t>TPK-888292-00100001</t>
  </si>
  <si>
    <t>TPK-888292-0010</t>
  </si>
  <si>
    <t>W663859</t>
  </si>
  <si>
    <t>W0682074</t>
  </si>
  <si>
    <t>X0PA93016-Y4120001</t>
  </si>
  <si>
    <t>X0PA93016-Y412</t>
  </si>
  <si>
    <t>W663862</t>
  </si>
  <si>
    <t>H0064857</t>
  </si>
  <si>
    <t>W0682183</t>
  </si>
  <si>
    <t>W663881</t>
  </si>
  <si>
    <t>S0361684</t>
  </si>
  <si>
    <t>W0682185</t>
  </si>
  <si>
    <t xml:space="preserve"> 9:23:59 am</t>
  </si>
  <si>
    <t>0214-0003-20000001</t>
  </si>
  <si>
    <t>150-01458</t>
  </si>
  <si>
    <t>W663882</t>
  </si>
  <si>
    <t>S0361685</t>
  </si>
  <si>
    <t>W0682198</t>
  </si>
  <si>
    <t xml:space="preserve"> 8:52:36 am</t>
  </si>
  <si>
    <t>W663884</t>
  </si>
  <si>
    <t>S0361694</t>
  </si>
  <si>
    <t>W0682200</t>
  </si>
  <si>
    <t>W663886</t>
  </si>
  <si>
    <t>ZSA101777</t>
  </si>
  <si>
    <t>W0682201</t>
  </si>
  <si>
    <t>2V960310001</t>
  </si>
  <si>
    <t>2V96031</t>
  </si>
  <si>
    <t>W663887</t>
  </si>
  <si>
    <t>S0361695</t>
  </si>
  <si>
    <t>W0682215</t>
  </si>
  <si>
    <t>W663893</t>
  </si>
  <si>
    <t>S0361705</t>
  </si>
  <si>
    <t>W0682216</t>
  </si>
  <si>
    <t>W663894</t>
  </si>
  <si>
    <t xml:space="preserve"> 8:43:41 am</t>
  </si>
  <si>
    <t>W0682219</t>
  </si>
  <si>
    <t>W663897</t>
  </si>
  <si>
    <t>ZSA101778</t>
  </si>
  <si>
    <t>W0682220</t>
  </si>
  <si>
    <t>W663898</t>
  </si>
  <si>
    <t>W0682221</t>
  </si>
  <si>
    <t xml:space="preserve"> 4:35:14 pm</t>
  </si>
  <si>
    <t>2919261-001</t>
  </si>
  <si>
    <t>18P9298 EC H80650001</t>
  </si>
  <si>
    <t>18P9298 EC H82119</t>
  </si>
  <si>
    <t>N14152-IBM HK</t>
  </si>
  <si>
    <t>W663899</t>
  </si>
  <si>
    <t>S0361707</t>
  </si>
  <si>
    <t>W0682231</t>
  </si>
  <si>
    <t xml:space="preserve"> 8:40:02 am</t>
  </si>
  <si>
    <t>405172625/3060210U9</t>
  </si>
  <si>
    <t>W663902</t>
  </si>
  <si>
    <t>S0361713</t>
  </si>
  <si>
    <t>W0682232</t>
  </si>
  <si>
    <t xml:space="preserve"> 8:41:22 am</t>
  </si>
  <si>
    <t>W663903</t>
  </si>
  <si>
    <t>W0682233</t>
  </si>
  <si>
    <t xml:space="preserve"> 8:39:14 am</t>
  </si>
  <si>
    <t>W663904</t>
  </si>
  <si>
    <t>ZSA101779</t>
  </si>
  <si>
    <t>W0682234</t>
  </si>
  <si>
    <t xml:space="preserve"> 8:40:46 am</t>
  </si>
  <si>
    <t>W663905</t>
  </si>
  <si>
    <t>W0682237</t>
  </si>
  <si>
    <t xml:space="preserve"> 5:16:05 pm</t>
  </si>
  <si>
    <t>Y000005SGT0001</t>
  </si>
  <si>
    <t>Y000005SGT</t>
  </si>
  <si>
    <t>W663908</t>
  </si>
  <si>
    <t>S0361714</t>
  </si>
  <si>
    <t>W0682239</t>
  </si>
  <si>
    <t>Y000010SGT0001</t>
  </si>
  <si>
    <t>Y000010SGT</t>
  </si>
  <si>
    <t>W663910</t>
  </si>
  <si>
    <t>W0682240</t>
  </si>
  <si>
    <t>Y000012SGT0001</t>
  </si>
  <si>
    <t>Y000012SGT</t>
  </si>
  <si>
    <t>W663911</t>
  </si>
  <si>
    <t>W0682245</t>
  </si>
  <si>
    <t xml:space="preserve"> 5:14:18 pm</t>
  </si>
  <si>
    <t>W663914</t>
  </si>
  <si>
    <t>S0361716</t>
  </si>
  <si>
    <t>W0682247</t>
  </si>
  <si>
    <t>W663916</t>
  </si>
  <si>
    <t>W0682259</t>
  </si>
  <si>
    <t xml:space="preserve"> 2:15:03 pm</t>
  </si>
  <si>
    <t>260-5346-000001</t>
  </si>
  <si>
    <t>260-5346-00</t>
  </si>
  <si>
    <t>W663918</t>
  </si>
  <si>
    <t>S0361725</t>
  </si>
  <si>
    <t>W0682266</t>
  </si>
  <si>
    <t>692834 REV5010001</t>
  </si>
  <si>
    <t>698054 REV401</t>
  </si>
  <si>
    <t>W663919</t>
  </si>
  <si>
    <t>S0361732</t>
  </si>
  <si>
    <t>W0682274</t>
  </si>
  <si>
    <t xml:space="preserve"> 5:44:23 pm</t>
  </si>
  <si>
    <t>M0BVE5230</t>
  </si>
  <si>
    <t>10056878001 REVA0001</t>
  </si>
  <si>
    <t>10056878001 REVA</t>
  </si>
  <si>
    <t>E05166-JAPAC</t>
  </si>
  <si>
    <t>W664156</t>
  </si>
  <si>
    <t>S0361738</t>
  </si>
  <si>
    <t>W0682275</t>
  </si>
  <si>
    <t xml:space="preserve"> 4:36:37 pm</t>
  </si>
  <si>
    <t>10062434 REVA0001</t>
  </si>
  <si>
    <t>10062434 REVA</t>
  </si>
  <si>
    <t>W663920</t>
  </si>
  <si>
    <t>W0682278</t>
  </si>
  <si>
    <t xml:space="preserve"> 5:52:02 pm</t>
  </si>
  <si>
    <t>W663921</t>
  </si>
  <si>
    <t>S0361739</t>
  </si>
  <si>
    <t>Filter: Date Completed: 26/03/25</t>
  </si>
  <si>
    <t>W0679155</t>
  </si>
  <si>
    <t>FSC29942</t>
  </si>
  <si>
    <t>S0357827</t>
  </si>
  <si>
    <t>W0681632</t>
  </si>
  <si>
    <t xml:space="preserve"> 8:35:59 am</t>
  </si>
  <si>
    <t>JOOT59561</t>
  </si>
  <si>
    <t>SC26225</t>
  </si>
  <si>
    <t>S0361147</t>
  </si>
  <si>
    <t>W0681738</t>
  </si>
  <si>
    <t xml:space="preserve"> 8:43:30 am</t>
  </si>
  <si>
    <t>SG-5650696</t>
  </si>
  <si>
    <t>S0361320</t>
  </si>
  <si>
    <t>W0681833</t>
  </si>
  <si>
    <t xml:space="preserve"> 8:40:27 am</t>
  </si>
  <si>
    <t>SC28394</t>
  </si>
  <si>
    <t>W0681927</t>
  </si>
  <si>
    <t>M0BTV6762</t>
  </si>
  <si>
    <t>FSC31228</t>
  </si>
  <si>
    <t>H0064819</t>
  </si>
  <si>
    <t>W0682396</t>
  </si>
  <si>
    <t>S0361874</t>
  </si>
  <si>
    <t>W0682404</t>
  </si>
  <si>
    <t xml:space="preserve"> 2:40:20 pm</t>
  </si>
  <si>
    <t>S0361882</t>
  </si>
  <si>
    <t>W0682471</t>
  </si>
  <si>
    <t xml:space="preserve"> 1:03:22 pm</t>
  </si>
  <si>
    <t>S0361917</t>
  </si>
  <si>
    <t>W0682483</t>
  </si>
  <si>
    <t xml:space="preserve"> 1:04:46 pm</t>
  </si>
  <si>
    <t>9R1W4-80001-FT0001</t>
  </si>
  <si>
    <t>9R1W4-80001-FT</t>
  </si>
  <si>
    <t>S0361925</t>
  </si>
  <si>
    <t>W0682571</t>
  </si>
  <si>
    <t xml:space="preserve"> 8:41:02 am</t>
  </si>
  <si>
    <t>U2B09S001/U4A043S213</t>
  </si>
  <si>
    <t>DC08843</t>
  </si>
  <si>
    <t>URLB14A0001</t>
  </si>
  <si>
    <t>URLB14A</t>
  </si>
  <si>
    <t>S19708-M</t>
  </si>
  <si>
    <t>S0361972</t>
  </si>
  <si>
    <t>W0669386</t>
  </si>
  <si>
    <t>U4B0458049</t>
  </si>
  <si>
    <t>RM-LL-RMBW80-NEW0001</t>
  </si>
  <si>
    <t>RM-LL-RMBW80-NEW</t>
  </si>
  <si>
    <t>K11155</t>
  </si>
  <si>
    <t>W663514</t>
  </si>
  <si>
    <t>S0347604</t>
  </si>
  <si>
    <t>W0676779</t>
  </si>
  <si>
    <t>W664069</t>
  </si>
  <si>
    <t>S0355001</t>
  </si>
  <si>
    <t>W0677880</t>
  </si>
  <si>
    <t>RM-LL-BMPW80-RE00001</t>
  </si>
  <si>
    <t>RM-LL-BMPW80-RE0</t>
  </si>
  <si>
    <t>W663534</t>
  </si>
  <si>
    <t>S0356645</t>
  </si>
  <si>
    <t>W0679042</t>
  </si>
  <si>
    <t xml:space="preserve"> 2:22:17 pm</t>
  </si>
  <si>
    <t>R638-408 REV 4.00001</t>
  </si>
  <si>
    <t>R638-408 REV 4.0</t>
  </si>
  <si>
    <t>W663549</t>
  </si>
  <si>
    <t>S0357796</t>
  </si>
  <si>
    <t>W0680730</t>
  </si>
  <si>
    <t xml:space="preserve"> 8:35:46 am</t>
  </si>
  <si>
    <t>4239S1</t>
  </si>
  <si>
    <t>716891 REV4020001</t>
  </si>
  <si>
    <t>716891 REV403</t>
  </si>
  <si>
    <t>W663607</t>
  </si>
  <si>
    <t>W0680731</t>
  </si>
  <si>
    <t>716919 REV4010001</t>
  </si>
  <si>
    <t>716919 REV402</t>
  </si>
  <si>
    <t>W663608</t>
  </si>
  <si>
    <t>W0680874</t>
  </si>
  <si>
    <t xml:space="preserve"> 5:23:09 pm</t>
  </si>
  <si>
    <t>706244 INDEX07</t>
  </si>
  <si>
    <t>W663619</t>
  </si>
  <si>
    <t xml:space="preserve"> 2:59:28 pm</t>
  </si>
  <si>
    <t>W0681041</t>
  </si>
  <si>
    <t>W663633</t>
  </si>
  <si>
    <t>H0064706</t>
  </si>
  <si>
    <t>W0681100</t>
  </si>
  <si>
    <t>W663640</t>
  </si>
  <si>
    <t>W0681323</t>
  </si>
  <si>
    <t xml:space="preserve"> 4:13:43 pm</t>
  </si>
  <si>
    <t>250-0122-000001</t>
  </si>
  <si>
    <t>250-0122-00</t>
  </si>
  <si>
    <t>W663669</t>
  </si>
  <si>
    <t>W0681324</t>
  </si>
  <si>
    <t>250-5303-000001</t>
  </si>
  <si>
    <t>250-5303-00</t>
  </si>
  <si>
    <t>W663670</t>
  </si>
  <si>
    <t>W0681483</t>
  </si>
  <si>
    <t>W663714</t>
  </si>
  <si>
    <t>W0681492</t>
  </si>
  <si>
    <t xml:space="preserve"> 1:25:37 pm</t>
  </si>
  <si>
    <t>4090411U5A</t>
  </si>
  <si>
    <t>W664098</t>
  </si>
  <si>
    <t>W0681693</t>
  </si>
  <si>
    <t>W663762</t>
  </si>
  <si>
    <t>W0681759</t>
  </si>
  <si>
    <t xml:space="preserve"> 8:56:39 am</t>
  </si>
  <si>
    <t>U511658128/405131525</t>
  </si>
  <si>
    <t>W663769</t>
  </si>
  <si>
    <t>W0681811</t>
  </si>
  <si>
    <t xml:space="preserve"> 9:51:51 am</t>
  </si>
  <si>
    <t>250-6147-000001</t>
  </si>
  <si>
    <t>250-6147-00</t>
  </si>
  <si>
    <t>W663782</t>
  </si>
  <si>
    <t>W0681824</t>
  </si>
  <si>
    <t>U531252077/503011826</t>
  </si>
  <si>
    <t>W663787</t>
  </si>
  <si>
    <t>W0681828</t>
  </si>
  <si>
    <t>W664129</t>
  </si>
  <si>
    <t>W0681994</t>
  </si>
  <si>
    <t xml:space="preserve"> 5:13:28 pm</t>
  </si>
  <si>
    <t>M0BUE5312</t>
  </si>
  <si>
    <t>203025300 REVA0001</t>
  </si>
  <si>
    <t>203025300 REVA</t>
  </si>
  <si>
    <t>W663824</t>
  </si>
  <si>
    <t>H0064831</t>
  </si>
  <si>
    <t>W0681998</t>
  </si>
  <si>
    <t xml:space="preserve"> 9:14:03 am</t>
  </si>
  <si>
    <t>W663825</t>
  </si>
  <si>
    <t>H0064835</t>
  </si>
  <si>
    <t>W0682014</t>
  </si>
  <si>
    <t xml:space="preserve"> 9:13:04 am</t>
  </si>
  <si>
    <t>722138300 REVA0001</t>
  </si>
  <si>
    <t>722138300 REVA</t>
  </si>
  <si>
    <t>W663838</t>
  </si>
  <si>
    <t>H0064851</t>
  </si>
  <si>
    <t>W0682019</t>
  </si>
  <si>
    <t>W663842</t>
  </si>
  <si>
    <t>H0064856</t>
  </si>
  <si>
    <t>W0682053</t>
  </si>
  <si>
    <t>BYG115-02/24E2495172/24091870151</t>
  </si>
  <si>
    <t>TPK-847984-00100001</t>
  </si>
  <si>
    <t>TPK-847984-0010</t>
  </si>
  <si>
    <t>W663850</t>
  </si>
  <si>
    <t>W0682055</t>
  </si>
  <si>
    <t>24060640251/23L11010522</t>
  </si>
  <si>
    <t>W663851</t>
  </si>
  <si>
    <t>W0682065</t>
  </si>
  <si>
    <t>W663857</t>
  </si>
  <si>
    <t>W0682066</t>
  </si>
  <si>
    <t>W663858</t>
  </si>
  <si>
    <t>W0682070</t>
  </si>
  <si>
    <t>24F1310472/49109</t>
  </si>
  <si>
    <t>W663860</t>
  </si>
  <si>
    <t>W0682102</t>
  </si>
  <si>
    <t xml:space="preserve"> 9:11:01 am</t>
  </si>
  <si>
    <t>714370216-ADS1360001</t>
  </si>
  <si>
    <t>714370216-ADS1366</t>
  </si>
  <si>
    <t>W663867</t>
  </si>
  <si>
    <t>H0064870</t>
  </si>
  <si>
    <t>W0682103</t>
  </si>
  <si>
    <t xml:space="preserve"> 9:15:09 am</t>
  </si>
  <si>
    <t>W664143</t>
  </si>
  <si>
    <t>H0064871</t>
  </si>
  <si>
    <t>W0682106</t>
  </si>
  <si>
    <t xml:space="preserve"> 9:30:13 am</t>
  </si>
  <si>
    <t>M0BUF4281/M0BUF4302</t>
  </si>
  <si>
    <t>725427400 REVA0002</t>
  </si>
  <si>
    <t>725427400 REVA</t>
  </si>
  <si>
    <t>W663868</t>
  </si>
  <si>
    <t>H0064874</t>
  </si>
  <si>
    <t>W0682197</t>
  </si>
  <si>
    <t xml:space="preserve"> 8:40:57 am</t>
  </si>
  <si>
    <t>W663883</t>
  </si>
  <si>
    <t>W0682199</t>
  </si>
  <si>
    <t>W663885</t>
  </si>
  <si>
    <t>W0682209</t>
  </si>
  <si>
    <t xml:space="preserve"> 9:48:28 am</t>
  </si>
  <si>
    <t>U530658027</t>
  </si>
  <si>
    <t>MANGO PUREE0001</t>
  </si>
  <si>
    <t>MANGO PUREE</t>
  </si>
  <si>
    <t>W663890</t>
  </si>
  <si>
    <t>GRR62162</t>
  </si>
  <si>
    <t>W0682213</t>
  </si>
  <si>
    <t xml:space="preserve"> 8:44:50 am</t>
  </si>
  <si>
    <t>3082512U9/U4A04S213</t>
  </si>
  <si>
    <t>W663891</t>
  </si>
  <si>
    <t>W0682214</t>
  </si>
  <si>
    <t xml:space="preserve"> 8:49:04 am</t>
  </si>
  <si>
    <t>W663892</t>
  </si>
  <si>
    <t>W0682217</t>
  </si>
  <si>
    <t>W663895</t>
  </si>
  <si>
    <t>W0682218</t>
  </si>
  <si>
    <t>W663896</t>
  </si>
  <si>
    <t>W0682235</t>
  </si>
  <si>
    <t xml:space="preserve"> 1:35:55 pm</t>
  </si>
  <si>
    <t>J00VB8021</t>
  </si>
  <si>
    <t>W663906</t>
  </si>
  <si>
    <t>W0682236</t>
  </si>
  <si>
    <t xml:space="preserve"> 1:37:29 pm</t>
  </si>
  <si>
    <t>Y000004SGT0001</t>
  </si>
  <si>
    <t>Y000004SGT</t>
  </si>
  <si>
    <t>W663907</t>
  </si>
  <si>
    <t>W0682238</t>
  </si>
  <si>
    <t xml:space="preserve"> 2:37:26 pm</t>
  </si>
  <si>
    <t>Y000009SGT0001</t>
  </si>
  <si>
    <t>Y000009SGT</t>
  </si>
  <si>
    <t>W663909</t>
  </si>
  <si>
    <t>W0682243</t>
  </si>
  <si>
    <t>W663912</t>
  </si>
  <si>
    <t>W0682244</t>
  </si>
  <si>
    <t xml:space="preserve"> 1:43:10 pm</t>
  </si>
  <si>
    <t>W663913</t>
  </si>
  <si>
    <t>W0682246</t>
  </si>
  <si>
    <t xml:space="preserve"> 2:37:27 pm</t>
  </si>
  <si>
    <t>W663915</t>
  </si>
  <si>
    <t>W0682261</t>
  </si>
  <si>
    <t xml:space="preserve"> 8:40:15 am</t>
  </si>
  <si>
    <t>W664155</t>
  </si>
  <si>
    <t>S0361727</t>
  </si>
  <si>
    <t>W0682283</t>
  </si>
  <si>
    <t>J00ML98601525</t>
  </si>
  <si>
    <t>W663922</t>
  </si>
  <si>
    <t>S0361740</t>
  </si>
  <si>
    <t>W0682285</t>
  </si>
  <si>
    <t>W663924</t>
  </si>
  <si>
    <t>ZSA101780</t>
  </si>
  <si>
    <t>W0682517</t>
  </si>
  <si>
    <t>W663963</t>
  </si>
  <si>
    <t>H0064887</t>
  </si>
  <si>
    <t>Filter: Date Completed: 27/03/25</t>
  </si>
  <si>
    <t>W0681508</t>
  </si>
  <si>
    <t xml:space="preserve"> 9:09:55 am</t>
  </si>
  <si>
    <t>FSC29065A</t>
  </si>
  <si>
    <t>H0064781</t>
  </si>
  <si>
    <t>W0681832</t>
  </si>
  <si>
    <t xml:space="preserve"> 8:37:19 am</t>
  </si>
  <si>
    <t>SC28391</t>
  </si>
  <si>
    <t>W0681861</t>
  </si>
  <si>
    <t xml:space="preserve"> 4:47:48 pm</t>
  </si>
  <si>
    <t>SC27099</t>
  </si>
  <si>
    <t>XTR-140.1623.14-0001</t>
  </si>
  <si>
    <t>XTR-140.1623.14-S</t>
  </si>
  <si>
    <t>W0681926</t>
  </si>
  <si>
    <t xml:space="preserve"> 4:14:03 pm</t>
  </si>
  <si>
    <t>H0064818</t>
  </si>
  <si>
    <t>W0682116</t>
  </si>
  <si>
    <t xml:space="preserve"> 4:56:28 pm</t>
  </si>
  <si>
    <t>W0682429</t>
  </si>
  <si>
    <t>S0361905</t>
  </si>
  <si>
    <t>W0682433</t>
  </si>
  <si>
    <t>S0361906</t>
  </si>
  <si>
    <t>W0682534</t>
  </si>
  <si>
    <t xml:space="preserve"> 8:32:39 am</t>
  </si>
  <si>
    <t>FDC31216</t>
  </si>
  <si>
    <t>1VV01-80003-FT0001</t>
  </si>
  <si>
    <t>1VV01-80003-FT</t>
  </si>
  <si>
    <t>S0361948</t>
  </si>
  <si>
    <t>W0682535</t>
  </si>
  <si>
    <t>FSC31917</t>
  </si>
  <si>
    <t>7FP39-80002-FT0001</t>
  </si>
  <si>
    <t>7FP39-80002-FT</t>
  </si>
  <si>
    <t>S0361953</t>
  </si>
  <si>
    <t>W0682545</t>
  </si>
  <si>
    <t>S0361961</t>
  </si>
  <si>
    <t>W0678253</t>
  </si>
  <si>
    <t>W663536</t>
  </si>
  <si>
    <t>S0357045</t>
  </si>
  <si>
    <t>W0678666</t>
  </si>
  <si>
    <t xml:space="preserve"> 4:28:41 pm</t>
  </si>
  <si>
    <t>JOOWA6862/J00WA7110/J00TP91911525/J00WA6960</t>
  </si>
  <si>
    <t>W664071</t>
  </si>
  <si>
    <t>S0357431</t>
  </si>
  <si>
    <t>W0678794</t>
  </si>
  <si>
    <t>W663544</t>
  </si>
  <si>
    <t>S0357524</t>
  </si>
  <si>
    <t>W0679616</t>
  </si>
  <si>
    <t xml:space="preserve"> 5:29:03 pm</t>
  </si>
  <si>
    <t>401180825/L4016U8015</t>
  </si>
  <si>
    <t>XOPA99950-02250001</t>
  </si>
  <si>
    <t>XOPA99950-0225</t>
  </si>
  <si>
    <t>W663556</t>
  </si>
  <si>
    <t>H0064593</t>
  </si>
  <si>
    <t>W0679935</t>
  </si>
  <si>
    <t>W663565</t>
  </si>
  <si>
    <t>S0358551</t>
  </si>
  <si>
    <t>W0681042</t>
  </si>
  <si>
    <t xml:space="preserve"> 2:36:07 pm</t>
  </si>
  <si>
    <t>W663634</t>
  </si>
  <si>
    <t>H0064707</t>
  </si>
  <si>
    <t>W0681209</t>
  </si>
  <si>
    <t>M0BUF4241</t>
  </si>
  <si>
    <t>W663651</t>
  </si>
  <si>
    <t>H0064752</t>
  </si>
  <si>
    <t>W0681328</t>
  </si>
  <si>
    <t xml:space="preserve"> 5:15:21 pm</t>
  </si>
  <si>
    <t>250-6123-000001</t>
  </si>
  <si>
    <t>250-6123-00</t>
  </si>
  <si>
    <t>W663674</t>
  </si>
  <si>
    <t>W0681332</t>
  </si>
  <si>
    <t>260-6447-000001</t>
  </si>
  <si>
    <t>260-6447-00</t>
  </si>
  <si>
    <t>W663677</t>
  </si>
  <si>
    <t>W0681482</t>
  </si>
  <si>
    <t>W663713</t>
  </si>
  <si>
    <t>W0681484</t>
  </si>
  <si>
    <t xml:space="preserve"> 5:43:08 pm</t>
  </si>
  <si>
    <t>W663715</t>
  </si>
  <si>
    <t>W0681490</t>
  </si>
  <si>
    <t xml:space="preserve"> 5:05:22 pm</t>
  </si>
  <si>
    <t>4092605U5A</t>
  </si>
  <si>
    <t>W663719</t>
  </si>
  <si>
    <t>W0681569</t>
  </si>
  <si>
    <t xml:space="preserve"> 1:44:48 pm</t>
  </si>
  <si>
    <t>2217S1/U4417S007</t>
  </si>
  <si>
    <t>LAB-1016-000001</t>
  </si>
  <si>
    <t>LAB-1016-00</t>
  </si>
  <si>
    <t>W663729</t>
  </si>
  <si>
    <t>W0681616</t>
  </si>
  <si>
    <t xml:space="preserve"> 5:25:13 pm</t>
  </si>
  <si>
    <t>W663734</t>
  </si>
  <si>
    <t>W0681618</t>
  </si>
  <si>
    <t xml:space="preserve"> 5:26:40 pm</t>
  </si>
  <si>
    <t>W663735</t>
  </si>
  <si>
    <t>W0681619</t>
  </si>
  <si>
    <t xml:space="preserve"> 8:37:33 am</t>
  </si>
  <si>
    <t>W663736</t>
  </si>
  <si>
    <t>W0681620</t>
  </si>
  <si>
    <t xml:space="preserve"> 4:12:58 pm</t>
  </si>
  <si>
    <t>W663737</t>
  </si>
  <si>
    <t>W0681621</t>
  </si>
  <si>
    <t xml:space="preserve"> 8:34:01 am</t>
  </si>
  <si>
    <t>W663738</t>
  </si>
  <si>
    <t>W0681622</t>
  </si>
  <si>
    <t xml:space="preserve"> 4:33:05 pm</t>
  </si>
  <si>
    <t>W663739</t>
  </si>
  <si>
    <t>W0681623</t>
  </si>
  <si>
    <t>W663740</t>
  </si>
  <si>
    <t>W0681625</t>
  </si>
  <si>
    <t>W663742</t>
  </si>
  <si>
    <t>W0681696</t>
  </si>
  <si>
    <t>M0BSO7380</t>
  </si>
  <si>
    <t>W663763</t>
  </si>
  <si>
    <t>W0681782</t>
  </si>
  <si>
    <t>3830U7060/L4501U8011</t>
  </si>
  <si>
    <t>W663773</t>
  </si>
  <si>
    <t>S0361353</t>
  </si>
  <si>
    <t>W0682017</t>
  </si>
  <si>
    <t>W663840</t>
  </si>
  <si>
    <t>H0064854</t>
  </si>
  <si>
    <t>W0682090</t>
  </si>
  <si>
    <t>M0BUG7282</t>
  </si>
  <si>
    <t>W663864</t>
  </si>
  <si>
    <t>H0064858</t>
  </si>
  <si>
    <t>W0682119</t>
  </si>
  <si>
    <t xml:space="preserve"> 1:24:19 pm</t>
  </si>
  <si>
    <t>J00X14971</t>
  </si>
  <si>
    <t>COLOR TOLERANCE0016</t>
  </si>
  <si>
    <t>COLOR TOLERANCE</t>
  </si>
  <si>
    <t>W663872</t>
  </si>
  <si>
    <t>ZSA101776</t>
  </si>
  <si>
    <t>W0682203</t>
  </si>
  <si>
    <t xml:space="preserve"> 5:54:14 pm</t>
  </si>
  <si>
    <t>W663888</t>
  </si>
  <si>
    <t>S0361697</t>
  </si>
  <si>
    <t>W0682204</t>
  </si>
  <si>
    <t xml:space="preserve"> 1:08:19 pm</t>
  </si>
  <si>
    <t>W663889</t>
  </si>
  <si>
    <t>W0682284</t>
  </si>
  <si>
    <t>W663923</t>
  </si>
  <si>
    <t>W0682286</t>
  </si>
  <si>
    <t>W663925</t>
  </si>
  <si>
    <t>W0682288</t>
  </si>
  <si>
    <t>W663926</t>
  </si>
  <si>
    <t>S0361698</t>
  </si>
  <si>
    <t>W0682289</t>
  </si>
  <si>
    <t>W663927</t>
  </si>
  <si>
    <t>W0682290</t>
  </si>
  <si>
    <t>W663928</t>
  </si>
  <si>
    <t>S0361742</t>
  </si>
  <si>
    <t>W0682291</t>
  </si>
  <si>
    <t>W663929</t>
  </si>
  <si>
    <t>W0682292</t>
  </si>
  <si>
    <t>W663930</t>
  </si>
  <si>
    <t>S0361743</t>
  </si>
  <si>
    <t>W0682293</t>
  </si>
  <si>
    <t>W663931</t>
  </si>
  <si>
    <t>W0682294</t>
  </si>
  <si>
    <t>W663932</t>
  </si>
  <si>
    <t>S0361745</t>
  </si>
  <si>
    <t>W0682295</t>
  </si>
  <si>
    <t>W663933</t>
  </si>
  <si>
    <t>W0682312</t>
  </si>
  <si>
    <t xml:space="preserve"> 8:33:24 am</t>
  </si>
  <si>
    <t>I2A235H010</t>
  </si>
  <si>
    <t>UR79LB4028AB0001</t>
  </si>
  <si>
    <t>UR79LB4028AB</t>
  </si>
  <si>
    <t>W664160</t>
  </si>
  <si>
    <t>S0361754</t>
  </si>
  <si>
    <t>W0682456</t>
  </si>
  <si>
    <t>W663945</t>
  </si>
  <si>
    <t>S0361915</t>
  </si>
  <si>
    <t>W0682457</t>
  </si>
  <si>
    <t>W663946</t>
  </si>
  <si>
    <t>W0682458</t>
  </si>
  <si>
    <t>W663947</t>
  </si>
  <si>
    <t>W0682461</t>
  </si>
  <si>
    <t>W663948</t>
  </si>
  <si>
    <t>W0682465</t>
  </si>
  <si>
    <t>W663951</t>
  </si>
  <si>
    <t>S0361916</t>
  </si>
  <si>
    <t>W0682468</t>
  </si>
  <si>
    <t>W663952</t>
  </si>
  <si>
    <t>W0682484</t>
  </si>
  <si>
    <t>XHX24C12A0909/P049390/XHX24B19A1410</t>
  </si>
  <si>
    <t>REV 16A-1-NYLON0001</t>
  </si>
  <si>
    <t>REV 16A-1-NYLON</t>
  </si>
  <si>
    <t>V22072</t>
  </si>
  <si>
    <t>W663957</t>
  </si>
  <si>
    <t>S0361926</t>
  </si>
  <si>
    <t>Filter: Date Completed: 28/03/25</t>
  </si>
  <si>
    <t>W0681507</t>
  </si>
  <si>
    <t xml:space="preserve"> 4:12:57 pm</t>
  </si>
  <si>
    <t>H0064780</t>
  </si>
  <si>
    <t>W0681928</t>
  </si>
  <si>
    <t>M0BUR8623/M0BTV6762</t>
  </si>
  <si>
    <t>H0064820</t>
  </si>
  <si>
    <t>W0682257</t>
  </si>
  <si>
    <t xml:space="preserve"> 8:37:52 am</t>
  </si>
  <si>
    <t>4112311U5A/4110110425</t>
  </si>
  <si>
    <t>DC25820</t>
  </si>
  <si>
    <t>ALL PURPOSE F57 0001</t>
  </si>
  <si>
    <t>ALL PURPOSE F57 LBL</t>
  </si>
  <si>
    <t>R18140</t>
  </si>
  <si>
    <t>S0361715</t>
  </si>
  <si>
    <t>W0682258</t>
  </si>
  <si>
    <t>GUNWASH-F49 LBL0001</t>
  </si>
  <si>
    <t>GUNWASH-F49 LBL</t>
  </si>
  <si>
    <t>W0682305</t>
  </si>
  <si>
    <t xml:space="preserve"> 3:08:34 pm</t>
  </si>
  <si>
    <t>4032223U5/402072425</t>
  </si>
  <si>
    <t>DC31657</t>
  </si>
  <si>
    <t>S0361750</t>
  </si>
  <si>
    <t>W0682318</t>
  </si>
  <si>
    <t xml:space="preserve"> 8:32:32 am</t>
  </si>
  <si>
    <t>J00WF0611</t>
  </si>
  <si>
    <t>HPM-4VW11-801970001</t>
  </si>
  <si>
    <t>HPM-4VW11-80197</t>
  </si>
  <si>
    <t>S0361760</t>
  </si>
  <si>
    <t>W0682430</t>
  </si>
  <si>
    <t>W0682437</t>
  </si>
  <si>
    <t xml:space="preserve"> 5:41:15 pm</t>
  </si>
  <si>
    <t>S0361907</t>
  </si>
  <si>
    <t>W0682514</t>
  </si>
  <si>
    <t>U3117S008/4047SE</t>
  </si>
  <si>
    <t>SC21765</t>
  </si>
  <si>
    <t>S0361936</t>
  </si>
  <si>
    <t>W0682529</t>
  </si>
  <si>
    <t xml:space="preserve"> 1:54:41 pm</t>
  </si>
  <si>
    <t>BYK017-03</t>
  </si>
  <si>
    <t>BC07869</t>
  </si>
  <si>
    <t>ARROW UP-70X100M0001</t>
  </si>
  <si>
    <t>ARROW UP-70X100MM</t>
  </si>
  <si>
    <t>A01409</t>
  </si>
  <si>
    <t>S0361945</t>
  </si>
  <si>
    <t>W0682644</t>
  </si>
  <si>
    <t xml:space="preserve"> 5:47:09 pm</t>
  </si>
  <si>
    <t>4B275A007/L4005U7005</t>
  </si>
  <si>
    <t>D05022</t>
  </si>
  <si>
    <t>AJAHN STICKER0001</t>
  </si>
  <si>
    <t>AJAHN STICKER</t>
  </si>
  <si>
    <t>T20365</t>
  </si>
  <si>
    <t>S0362017</t>
  </si>
  <si>
    <t>W0681068</t>
  </si>
  <si>
    <t>4170S1/3830U7060</t>
  </si>
  <si>
    <t>W663638</t>
  </si>
  <si>
    <t>S0360941</t>
  </si>
  <si>
    <t>W0681069</t>
  </si>
  <si>
    <t>W663639</t>
  </si>
  <si>
    <t>W0681070</t>
  </si>
  <si>
    <t>W664089</t>
  </si>
  <si>
    <t>W0681331</t>
  </si>
  <si>
    <t>W663676</t>
  </si>
  <si>
    <t>W0681333</t>
  </si>
  <si>
    <t>260-6450-000001</t>
  </si>
  <si>
    <t>260-6450-00</t>
  </si>
  <si>
    <t>W663678</t>
  </si>
  <si>
    <t>W0681337</t>
  </si>
  <si>
    <t>J00RN4261</t>
  </si>
  <si>
    <t>250-8018-000001</t>
  </si>
  <si>
    <t>250-8018-00</t>
  </si>
  <si>
    <t>W663680</t>
  </si>
  <si>
    <t>W0681572</t>
  </si>
  <si>
    <t>LAB-1105-010001</t>
  </si>
  <si>
    <t>LAB-1105-01</t>
  </si>
  <si>
    <t>W663731</t>
  </si>
  <si>
    <t>W0681624</t>
  </si>
  <si>
    <t xml:space="preserve"> 2:42:18 pm</t>
  </si>
  <si>
    <t>W663741</t>
  </si>
  <si>
    <t>W0682028</t>
  </si>
  <si>
    <t>29262621-001/3830U7060</t>
  </si>
  <si>
    <t>FMMB00764010001</t>
  </si>
  <si>
    <t>FMMB0076401</t>
  </si>
  <si>
    <t>W663845</t>
  </si>
  <si>
    <t>W0682035</t>
  </si>
  <si>
    <t>W663512</t>
  </si>
  <si>
    <t>W0682071</t>
  </si>
  <si>
    <t xml:space="preserve"> 8:39:28 am</t>
  </si>
  <si>
    <t>3082510U9/401180925</t>
  </si>
  <si>
    <t>W663861</t>
  </si>
  <si>
    <t>S0361542</t>
  </si>
  <si>
    <t>W0682222</t>
  </si>
  <si>
    <t>40718205/3082509U9</t>
  </si>
  <si>
    <t>209277A0001</t>
  </si>
  <si>
    <t>209277A</t>
  </si>
  <si>
    <t>W664152</t>
  </si>
  <si>
    <t>S0361706</t>
  </si>
  <si>
    <t>W0682255</t>
  </si>
  <si>
    <t xml:space="preserve"> 8:32:31 am</t>
  </si>
  <si>
    <t>150-02285-2K0001</t>
  </si>
  <si>
    <t>150-02319</t>
  </si>
  <si>
    <t>W663917</t>
  </si>
  <si>
    <t>S0361722</t>
  </si>
  <si>
    <t>W0682304</t>
  </si>
  <si>
    <t>W663935</t>
  </si>
  <si>
    <t>W0682473</t>
  </si>
  <si>
    <t>W663953</t>
  </si>
  <si>
    <t>S0361918</t>
  </si>
  <si>
    <t>W0682477</t>
  </si>
  <si>
    <t>W663956</t>
  </si>
  <si>
    <t>S0361919</t>
  </si>
  <si>
    <t>Filter: Date Completed: 29/03/25</t>
  </si>
  <si>
    <t>W0676859</t>
  </si>
  <si>
    <t>BZC064-08</t>
  </si>
  <si>
    <t>S0355056</t>
  </si>
  <si>
    <t>W0681043</t>
  </si>
  <si>
    <t>M0BTQ4850</t>
  </si>
  <si>
    <t>SC26016S</t>
  </si>
  <si>
    <t>H0064708</t>
  </si>
  <si>
    <t>W0681044</t>
  </si>
  <si>
    <t>H0064709</t>
  </si>
  <si>
    <t>W0681739</t>
  </si>
  <si>
    <t>S0361321</t>
  </si>
  <si>
    <t>W0682472</t>
  </si>
  <si>
    <t>J00WT7100</t>
  </si>
  <si>
    <t>BC14073</t>
  </si>
  <si>
    <t>W0681210</t>
  </si>
  <si>
    <t xml:space="preserve"> 2:22:20 pm</t>
  </si>
  <si>
    <t>W664090</t>
  </si>
  <si>
    <t>H0064753</t>
  </si>
  <si>
    <t>W0681470</t>
  </si>
  <si>
    <t xml:space="preserve"> 3:37:47 pm</t>
  </si>
  <si>
    <t>W664095</t>
  </si>
  <si>
    <t>W0681675</t>
  </si>
  <si>
    <t>U4A04S306</t>
  </si>
  <si>
    <t>60005003-D LIGHT0001</t>
  </si>
  <si>
    <t>60005003-D LIGHT GRN</t>
  </si>
  <si>
    <t>W664113</t>
  </si>
  <si>
    <t>S0361285</t>
  </si>
  <si>
    <t>W0681676</t>
  </si>
  <si>
    <t>60005003-D-BLUE0001</t>
  </si>
  <si>
    <t>60005003-D-BLUE</t>
  </si>
  <si>
    <t>W663753</t>
  </si>
  <si>
    <t>W0681677</t>
  </si>
  <si>
    <t xml:space="preserve"> 5:04:42 pm</t>
  </si>
  <si>
    <t>60005003-D-DARK 0001</t>
  </si>
  <si>
    <t>60005003-D-DARK GREY</t>
  </si>
  <si>
    <t>W664114</t>
  </si>
  <si>
    <t>W0681678</t>
  </si>
  <si>
    <t>60005003-D-GREEN0001</t>
  </si>
  <si>
    <t>60005003-D-GREEN</t>
  </si>
  <si>
    <t>W663754</t>
  </si>
  <si>
    <t>W0681679</t>
  </si>
  <si>
    <t xml:space="preserve"> 8:33:27 am</t>
  </si>
  <si>
    <t>60005003-D-IVORY0001</t>
  </si>
  <si>
    <t>60005003-D-IVORY</t>
  </si>
  <si>
    <t>W664115</t>
  </si>
  <si>
    <t>W0681680</t>
  </si>
  <si>
    <t xml:space="preserve"> 3:35:20 pm</t>
  </si>
  <si>
    <t>60005003-D-ROSE0001</t>
  </si>
  <si>
    <t>60005003-D-ROSE</t>
  </si>
  <si>
    <t>W663755</t>
  </si>
  <si>
    <t>W0681681</t>
  </si>
  <si>
    <t>60005003-D-WHITE0001</t>
  </si>
  <si>
    <t>60005003-D-WHITE</t>
  </si>
  <si>
    <t>W663756</t>
  </si>
  <si>
    <t>W0681682</t>
  </si>
  <si>
    <t xml:space="preserve"> 8:35:18 am</t>
  </si>
  <si>
    <t>60005003-D-YELLO0001</t>
  </si>
  <si>
    <t>60005003-D-YELLOW</t>
  </si>
  <si>
    <t>W664116</t>
  </si>
  <si>
    <t>W0681816</t>
  </si>
  <si>
    <t>W664127</t>
  </si>
  <si>
    <t>W0681859</t>
  </si>
  <si>
    <t xml:space="preserve"> 8:42:16 am</t>
  </si>
  <si>
    <t>W663800</t>
  </si>
  <si>
    <t>S0361384</t>
  </si>
  <si>
    <t>W0682031</t>
  </si>
  <si>
    <t xml:space="preserve"> 8:41:25 am</t>
  </si>
  <si>
    <t>3082510U9/2962621-001</t>
  </si>
  <si>
    <t>TSMB00698020001</t>
  </si>
  <si>
    <t>TSMB0069802</t>
  </si>
  <si>
    <t>W663846</t>
  </si>
  <si>
    <t>W0682033</t>
  </si>
  <si>
    <t xml:space="preserve"> 8:40:34 am</t>
  </si>
  <si>
    <t>L4816U8015/U4722S135</t>
  </si>
  <si>
    <t>TSQC01579010001</t>
  </si>
  <si>
    <t>TSQC0157901</t>
  </si>
  <si>
    <t>W663848</t>
  </si>
  <si>
    <t>W0682038</t>
  </si>
  <si>
    <t>W663511</t>
  </si>
  <si>
    <t>W0682039</t>
  </si>
  <si>
    <t>L4820U8019/U4722S135</t>
  </si>
  <si>
    <t>W663968</t>
  </si>
  <si>
    <t>W0682442</t>
  </si>
  <si>
    <t>W663937</t>
  </si>
  <si>
    <t>S0361910</t>
  </si>
  <si>
    <t>W0682447</t>
  </si>
  <si>
    <t xml:space="preserve"> 4:47:19 pm</t>
  </si>
  <si>
    <t>W663939</t>
  </si>
  <si>
    <t>S0361912</t>
  </si>
  <si>
    <t>W0682448</t>
  </si>
  <si>
    <t xml:space="preserve"> 4:46:04 pm</t>
  </si>
  <si>
    <t>W663940</t>
  </si>
  <si>
    <t>W0682450</t>
  </si>
  <si>
    <t xml:space="preserve"> 8:38:44 am</t>
  </si>
  <si>
    <t>W663941</t>
  </si>
  <si>
    <t>S0361914</t>
  </si>
  <si>
    <t>W0682451</t>
  </si>
  <si>
    <t>W663942</t>
  </si>
  <si>
    <t>W0682452</t>
  </si>
  <si>
    <t>W663943</t>
  </si>
  <si>
    <t>W0682453</t>
  </si>
  <si>
    <t>W663944</t>
  </si>
  <si>
    <t>W0682462</t>
  </si>
  <si>
    <t xml:space="preserve"> 4:48:20 pm</t>
  </si>
  <si>
    <t>W663949</t>
  </si>
  <si>
    <t>W0682463</t>
  </si>
  <si>
    <t xml:space="preserve"> 4:49:06 pm</t>
  </si>
  <si>
    <t>W663950</t>
  </si>
  <si>
    <t>W0682474</t>
  </si>
  <si>
    <t>W663954</t>
  </si>
  <si>
    <t>W0682475</t>
  </si>
  <si>
    <t xml:space="preserve"> 8:39:27 am</t>
  </si>
  <si>
    <t>W663955</t>
  </si>
  <si>
    <t>W0682500</t>
  </si>
  <si>
    <t xml:space="preserve"> 1:18:03 pm</t>
  </si>
  <si>
    <t>W663959</t>
  </si>
  <si>
    <t>S0361931</t>
  </si>
  <si>
    <t>W0682501</t>
  </si>
  <si>
    <t xml:space="preserve"> 1:18:47 pm</t>
  </si>
  <si>
    <t>W663960</t>
  </si>
  <si>
    <t>W0682502</t>
  </si>
  <si>
    <t xml:space="preserve"> 1:19:34 pm</t>
  </si>
  <si>
    <t>W663961</t>
  </si>
  <si>
    <t>type</t>
  </si>
  <si>
    <t>Code</t>
  </si>
  <si>
    <t>Description</t>
  </si>
  <si>
    <t>Machine Type</t>
  </si>
  <si>
    <t>Staff</t>
  </si>
  <si>
    <t>EP01</t>
  </si>
  <si>
    <t>EP02</t>
  </si>
  <si>
    <t>ES02</t>
  </si>
  <si>
    <t>MB1</t>
  </si>
  <si>
    <t>PAM8</t>
  </si>
  <si>
    <t>PC01</t>
  </si>
  <si>
    <t>PC03</t>
  </si>
  <si>
    <t>PC04</t>
  </si>
  <si>
    <t>PC05</t>
  </si>
  <si>
    <t>YE RUI KAI</t>
  </si>
  <si>
    <t>PC06</t>
  </si>
  <si>
    <t>PC07</t>
  </si>
  <si>
    <t>PC08</t>
  </si>
  <si>
    <t>PC09</t>
  </si>
  <si>
    <t>PC11</t>
  </si>
  <si>
    <t>PC12</t>
  </si>
  <si>
    <t>PC13</t>
  </si>
  <si>
    <t>PC14</t>
  </si>
  <si>
    <t>PC15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</si>
  <si>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</si>
  <si>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</si>
  <si>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</si>
  <si>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</si>
  <si>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</si>
  <si>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</si>
  <si>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</si>
  <si>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</si>
  <si>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</si>
  <si>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</si>
  <si>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</si>
  <si>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</si>
  <si>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</si>
  <si>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</si>
  <si>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</si>
  <si>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PC33</t>
  </si>
  <si>
    <t>PC34</t>
  </si>
  <si>
    <t>PC35</t>
  </si>
  <si>
    <t>PC36</t>
  </si>
  <si>
    <t>PC37</t>
  </si>
  <si>
    <t>PC38</t>
  </si>
  <si>
    <t>PC39</t>
  </si>
  <si>
    <t>PC40</t>
  </si>
  <si>
    <t>PC43</t>
  </si>
  <si>
    <t>PC44</t>
  </si>
  <si>
    <t>PC45</t>
  </si>
  <si>
    <t>PC46</t>
  </si>
  <si>
    <t>PC47</t>
  </si>
  <si>
    <t>PC48</t>
  </si>
  <si>
    <t>PC49</t>
  </si>
  <si>
    <t>PC50</t>
  </si>
  <si>
    <t>PC52</t>
  </si>
  <si>
    <t>PC53</t>
  </si>
  <si>
    <t>PC54</t>
  </si>
  <si>
    <t>PC55</t>
  </si>
  <si>
    <t>PC56</t>
  </si>
  <si>
    <t>PC57</t>
  </si>
  <si>
    <t>PC63</t>
  </si>
  <si>
    <t>PMA0</t>
  </si>
  <si>
    <t>THAM CHEE KONG</t>
  </si>
  <si>
    <t>PMA1</t>
  </si>
  <si>
    <t>SANKER A/L RAMASAMY</t>
  </si>
  <si>
    <t>PMA2</t>
  </si>
  <si>
    <t>PMA3</t>
  </si>
  <si>
    <t>PMA4</t>
  </si>
  <si>
    <t>YAU CHIN FATT</t>
  </si>
  <si>
    <t>PMA5</t>
  </si>
  <si>
    <t>PMA6</t>
  </si>
  <si>
    <t>CHIEW CHEE LEONG</t>
  </si>
  <si>
    <t>PMA7</t>
  </si>
  <si>
    <t>PMA8</t>
  </si>
  <si>
    <t>LAW KOK YONG</t>
  </si>
  <si>
    <t>PMA9</t>
  </si>
  <si>
    <t>PMB0</t>
  </si>
  <si>
    <t>LAI JUN PHAW</t>
  </si>
  <si>
    <t>PMB1</t>
  </si>
  <si>
    <t>PMB2</t>
  </si>
  <si>
    <t>PMB3</t>
  </si>
  <si>
    <t>TEOH SOO AUN</t>
  </si>
  <si>
    <t>PMB4</t>
  </si>
  <si>
    <t>CHONG KIM SING</t>
  </si>
  <si>
    <t>PMB5</t>
  </si>
  <si>
    <t>LEE MONG KEONG</t>
  </si>
  <si>
    <t>PMB6</t>
  </si>
  <si>
    <t>PMB7</t>
  </si>
  <si>
    <t>PMB8</t>
  </si>
  <si>
    <t>CHIN CHEE WEI</t>
  </si>
  <si>
    <t>PMB9</t>
  </si>
  <si>
    <t>PMC3</t>
  </si>
  <si>
    <t>LIOW KET HENN</t>
  </si>
  <si>
    <t>PMC4</t>
  </si>
  <si>
    <t>RAGUH A/L NADARAJAH</t>
  </si>
  <si>
    <t>PMD1</t>
  </si>
  <si>
    <t>TAN CHIN HWA</t>
  </si>
  <si>
    <t>PMD3</t>
  </si>
  <si>
    <t>TING CHOON FOOK</t>
  </si>
  <si>
    <t>PMD5</t>
  </si>
  <si>
    <t>KHOR CHAN HUNG</t>
  </si>
  <si>
    <t>PMD7</t>
  </si>
  <si>
    <t>GAN KHEK HOW</t>
  </si>
  <si>
    <t>PMD9</t>
  </si>
  <si>
    <t>KHO BOON SIEW</t>
  </si>
  <si>
    <t>PME0</t>
  </si>
  <si>
    <t>TAN TONG YEEN</t>
  </si>
  <si>
    <t>PME2</t>
  </si>
  <si>
    <t>CHEN CHEE DONG</t>
  </si>
  <si>
    <t>PME8</t>
  </si>
  <si>
    <t>PME9</t>
  </si>
  <si>
    <t>KENNEDY JOST</t>
  </si>
  <si>
    <t>PMF2</t>
  </si>
  <si>
    <t>CHUA SIONG KHOON</t>
  </si>
  <si>
    <t>PMF3</t>
  </si>
  <si>
    <t>YIP CHEE KYAN</t>
  </si>
  <si>
    <t>PMF4</t>
  </si>
  <si>
    <t>LING KAY SENG</t>
  </si>
  <si>
    <t>PMF5</t>
  </si>
  <si>
    <t>LEO BOON TET</t>
  </si>
  <si>
    <t>PMF6</t>
  </si>
  <si>
    <t>WHY CHEE SENG</t>
  </si>
  <si>
    <t>PMF7</t>
  </si>
  <si>
    <t>CHUAH SOON TEIK</t>
  </si>
  <si>
    <t>PMF8</t>
  </si>
  <si>
    <t>TAY WEI LUN</t>
  </si>
  <si>
    <t>PMF9</t>
  </si>
  <si>
    <t>PUAH TECK LONG</t>
  </si>
  <si>
    <t>PMG0</t>
  </si>
  <si>
    <t>LIM KIAN SEN</t>
  </si>
  <si>
    <t>PMG2</t>
  </si>
  <si>
    <t>PMG3</t>
  </si>
  <si>
    <t>PMG4</t>
  </si>
  <si>
    <t>PMG5</t>
  </si>
  <si>
    <t>PMG6</t>
  </si>
  <si>
    <t>PMG7</t>
  </si>
  <si>
    <t>PMG8</t>
  </si>
  <si>
    <t>PMG9</t>
  </si>
  <si>
    <t>PMH1</t>
  </si>
  <si>
    <t>PMH2</t>
  </si>
  <si>
    <t>PMH3</t>
  </si>
  <si>
    <t>PMH4</t>
  </si>
  <si>
    <t>PMH5</t>
  </si>
  <si>
    <t>PMH6</t>
  </si>
  <si>
    <t>PMH7</t>
  </si>
  <si>
    <t>PMH8</t>
  </si>
  <si>
    <t>PMH9</t>
  </si>
  <si>
    <t>PMJ1</t>
  </si>
  <si>
    <t>PMJ2</t>
  </si>
  <si>
    <t>PMJ3</t>
  </si>
  <si>
    <t>Lee Jun Hong</t>
  </si>
  <si>
    <t>PMJ6</t>
  </si>
  <si>
    <t>Foong Sei Yi</t>
  </si>
  <si>
    <t>PMK1</t>
  </si>
  <si>
    <t>PMK2</t>
  </si>
  <si>
    <t>PMK3</t>
  </si>
  <si>
    <t>PM01</t>
  </si>
  <si>
    <t>CHONG CHIN YONG</t>
  </si>
  <si>
    <t>PM02</t>
  </si>
  <si>
    <t>PM03</t>
  </si>
  <si>
    <t>PM04</t>
  </si>
  <si>
    <t>PM05</t>
  </si>
  <si>
    <t>PM06</t>
  </si>
  <si>
    <t>PM07</t>
  </si>
  <si>
    <t>PM08</t>
  </si>
  <si>
    <t>TAN CHOK SIANG</t>
  </si>
  <si>
    <t>PANG SING FULL</t>
  </si>
  <si>
    <t>PM1</t>
  </si>
  <si>
    <t>PM10</t>
  </si>
  <si>
    <t>TEE MENG CHAI</t>
  </si>
  <si>
    <t>TAN TIAN PAU</t>
  </si>
  <si>
    <t>PM13</t>
  </si>
  <si>
    <t>PM15</t>
  </si>
  <si>
    <t>PM19</t>
  </si>
  <si>
    <t>LAY YEE WOON</t>
  </si>
  <si>
    <t>PM20</t>
  </si>
  <si>
    <t>WONG CHEE WAI</t>
  </si>
  <si>
    <t>PM22</t>
  </si>
  <si>
    <t>PM24</t>
  </si>
  <si>
    <t>PM25</t>
  </si>
  <si>
    <t>WONG YIH SHEANG</t>
  </si>
  <si>
    <t>PM27</t>
  </si>
  <si>
    <t>TAN KOK PENG</t>
  </si>
  <si>
    <t>PM28</t>
  </si>
  <si>
    <t>FOO JONG JIUNN</t>
  </si>
  <si>
    <t>PM307</t>
  </si>
  <si>
    <t>PM31</t>
  </si>
  <si>
    <t>PM32</t>
  </si>
  <si>
    <t>PM33</t>
  </si>
  <si>
    <t>PM34</t>
  </si>
  <si>
    <t>PM36</t>
  </si>
  <si>
    <t>LEE CHEW BOON</t>
  </si>
  <si>
    <t>PM37</t>
  </si>
  <si>
    <t>PM38</t>
  </si>
  <si>
    <t>PM39</t>
  </si>
  <si>
    <t>LAU MENG FOO</t>
  </si>
  <si>
    <t>PM43</t>
  </si>
  <si>
    <t>LOY KING KOON</t>
  </si>
  <si>
    <t>PM49</t>
  </si>
  <si>
    <t>PM50</t>
  </si>
  <si>
    <t>GOH TIAN JIUNN</t>
  </si>
  <si>
    <t>PM51</t>
  </si>
  <si>
    <t>TAN KIAN LEK</t>
  </si>
  <si>
    <t>PM52</t>
  </si>
  <si>
    <t>PM53</t>
  </si>
  <si>
    <t>PM54</t>
  </si>
  <si>
    <t>PM56</t>
  </si>
  <si>
    <t>PM57</t>
  </si>
  <si>
    <t>PM58</t>
  </si>
  <si>
    <t>PM60</t>
  </si>
  <si>
    <t>PM62</t>
  </si>
  <si>
    <t>PM64</t>
  </si>
  <si>
    <t>LEONG CHEE VOON</t>
  </si>
  <si>
    <t>PM66</t>
  </si>
  <si>
    <t>TAN LIAN CHAI</t>
  </si>
  <si>
    <t>PM67</t>
  </si>
  <si>
    <t>HEW YEE CHEONG</t>
  </si>
  <si>
    <t>LEE KIM LIANG</t>
  </si>
  <si>
    <t>PM69</t>
  </si>
  <si>
    <t>PM70</t>
  </si>
  <si>
    <t>PM71</t>
  </si>
  <si>
    <t>PM72</t>
  </si>
  <si>
    <t>PM73</t>
  </si>
  <si>
    <t>PM76</t>
  </si>
  <si>
    <t>PM77</t>
  </si>
  <si>
    <t>PM78</t>
  </si>
  <si>
    <t>PM79</t>
  </si>
  <si>
    <t>PM81</t>
  </si>
  <si>
    <t>LAI CHIN SEANG</t>
  </si>
  <si>
    <t>PM82</t>
  </si>
  <si>
    <t>KHOR HOOI SHYAN</t>
  </si>
  <si>
    <t>PM83</t>
  </si>
  <si>
    <t>TAN KING BOON</t>
  </si>
  <si>
    <t>TAN TAI TOH</t>
  </si>
  <si>
    <t>PM85</t>
  </si>
  <si>
    <t>LIEW KIN WAI</t>
  </si>
  <si>
    <t>PM86</t>
  </si>
  <si>
    <t>LOW KWANG MING</t>
  </si>
  <si>
    <t>PM88</t>
  </si>
  <si>
    <t>PM89</t>
  </si>
  <si>
    <t>NG KIEN KIONG</t>
  </si>
  <si>
    <t>PM9</t>
  </si>
  <si>
    <t>PM90</t>
  </si>
  <si>
    <t>PM91</t>
  </si>
  <si>
    <t>PM92</t>
  </si>
  <si>
    <t>PM93</t>
  </si>
  <si>
    <t>PM94</t>
  </si>
  <si>
    <t>PM95</t>
  </si>
  <si>
    <t>PM96</t>
  </si>
  <si>
    <t>PM97</t>
  </si>
  <si>
    <t>LIM KIAN ANN</t>
  </si>
  <si>
    <t>PM98</t>
  </si>
  <si>
    <t>PM99</t>
  </si>
  <si>
    <t>PP01</t>
  </si>
  <si>
    <t>WONG KEE KONG</t>
  </si>
  <si>
    <t>PP02</t>
  </si>
  <si>
    <t>PP03</t>
  </si>
  <si>
    <t>WONG KIM FATT</t>
  </si>
  <si>
    <t>PP06</t>
  </si>
  <si>
    <t>LEE FOOK THIM</t>
  </si>
  <si>
    <t>PP08</t>
  </si>
  <si>
    <t>QUEK JOO HUAT</t>
  </si>
  <si>
    <t>PP11</t>
  </si>
  <si>
    <t>PP13</t>
  </si>
  <si>
    <t>CHAI HUN PEI</t>
  </si>
  <si>
    <t>PP15</t>
  </si>
  <si>
    <t>TANG KING BUNG</t>
  </si>
  <si>
    <t>PP16</t>
  </si>
  <si>
    <t>LAU KEONG HOCK</t>
  </si>
  <si>
    <t>PP20</t>
  </si>
  <si>
    <t>JOHNY TAN</t>
  </si>
  <si>
    <t>PP21</t>
  </si>
  <si>
    <t>PP22</t>
  </si>
  <si>
    <t>PP25</t>
  </si>
  <si>
    <t>PP26</t>
  </si>
  <si>
    <t>PP27</t>
  </si>
  <si>
    <t>PP28</t>
  </si>
  <si>
    <t>PP29</t>
  </si>
  <si>
    <t>PP30</t>
  </si>
  <si>
    <t>PP31</t>
  </si>
  <si>
    <t>PP32</t>
  </si>
  <si>
    <t>PR021</t>
  </si>
  <si>
    <t>PR026</t>
  </si>
  <si>
    <t>PS017</t>
  </si>
  <si>
    <t>PS05</t>
  </si>
  <si>
    <t>NG CHAI HOCK</t>
  </si>
  <si>
    <t>PS06</t>
  </si>
  <si>
    <t>PS08</t>
  </si>
  <si>
    <t>LIM BOON CHWEE</t>
  </si>
  <si>
    <t>PS09</t>
  </si>
  <si>
    <t>SIM YONG SIAH</t>
  </si>
  <si>
    <t>PS10</t>
  </si>
  <si>
    <t>TAN PENG ANN</t>
  </si>
  <si>
    <t>PS11</t>
  </si>
  <si>
    <t>LAI YEW WAI</t>
  </si>
  <si>
    <t>PS12</t>
  </si>
  <si>
    <t>KOH SENG POH</t>
  </si>
  <si>
    <t>YEE CHENG MENG</t>
  </si>
  <si>
    <t>PS14</t>
  </si>
  <si>
    <t>TAN KIM LENG</t>
  </si>
  <si>
    <t>PS15</t>
  </si>
  <si>
    <t>TAN HWEE NGEE</t>
  </si>
  <si>
    <t>PS16</t>
  </si>
  <si>
    <t>CHONG KHIN LAM</t>
  </si>
  <si>
    <t>PS17</t>
  </si>
  <si>
    <t>CHEW MING SZE</t>
  </si>
  <si>
    <t>PS18</t>
  </si>
  <si>
    <t>SEAH GUAN HONG</t>
  </si>
  <si>
    <t>SNG KOK CHENG</t>
  </si>
  <si>
    <t>PS21</t>
  </si>
  <si>
    <t>PS23</t>
  </si>
  <si>
    <t>NG AH POH</t>
  </si>
  <si>
    <t>PS26</t>
  </si>
  <si>
    <t>KOO SANG HAM</t>
  </si>
  <si>
    <t>TAN TECK HEE</t>
  </si>
  <si>
    <t>PS28</t>
  </si>
  <si>
    <t>NEO AH CHOON</t>
  </si>
  <si>
    <t>PS29</t>
  </si>
  <si>
    <t>PS31</t>
  </si>
  <si>
    <t>CHONG SIOW KHEONG</t>
  </si>
  <si>
    <t>PS63</t>
  </si>
  <si>
    <t>ANG SWEE LIANG</t>
  </si>
  <si>
    <t>SIM ENG KWANG</t>
  </si>
  <si>
    <t>YEO WOO KEONG</t>
  </si>
  <si>
    <t>GOH CHIN TECK</t>
  </si>
  <si>
    <t>PS75</t>
  </si>
  <si>
    <t>PS76</t>
  </si>
  <si>
    <t>PS78</t>
  </si>
  <si>
    <t>LAU BOON BOON</t>
  </si>
  <si>
    <t>PS80</t>
  </si>
  <si>
    <t>PS83</t>
  </si>
  <si>
    <t>YIP WENG FAI</t>
  </si>
  <si>
    <t>PS85</t>
  </si>
  <si>
    <t>LAI CHEE CHYE</t>
  </si>
  <si>
    <t>PS86</t>
  </si>
  <si>
    <t>PS87</t>
  </si>
  <si>
    <t>PS88</t>
  </si>
  <si>
    <t>TANG TECK BENG</t>
  </si>
  <si>
    <t>PS89</t>
  </si>
  <si>
    <t>LEE KUM WOH</t>
  </si>
  <si>
    <t>PS90</t>
  </si>
  <si>
    <t>YIO KENG SHUAN</t>
  </si>
  <si>
    <t>PS91</t>
  </si>
  <si>
    <t>TENG CHIH CHIANG</t>
  </si>
  <si>
    <t>PS92</t>
  </si>
  <si>
    <t>PS93</t>
  </si>
  <si>
    <t>LOH HOCK MENG</t>
  </si>
  <si>
    <t>PS94</t>
  </si>
  <si>
    <t>PS97</t>
  </si>
  <si>
    <t>PS98</t>
  </si>
  <si>
    <t>QC38</t>
  </si>
  <si>
    <t>QM03</t>
  </si>
  <si>
    <t>QM35</t>
  </si>
  <si>
    <t>QM44</t>
  </si>
  <si>
    <t>QM53</t>
  </si>
  <si>
    <t>QM55</t>
  </si>
  <si>
    <t>QM67</t>
  </si>
  <si>
    <t>QM71</t>
  </si>
  <si>
    <t>QM80</t>
  </si>
  <si>
    <t>QM81</t>
  </si>
  <si>
    <t>QS81</t>
  </si>
  <si>
    <t>ZC03</t>
  </si>
  <si>
    <t>Name</t>
  </si>
  <si>
    <t>GAO BINJIE</t>
  </si>
  <si>
    <t>KOR CHEW OR</t>
  </si>
  <si>
    <t>LEE JUN HONG</t>
  </si>
  <si>
    <t>FOONG SEL YI</t>
  </si>
  <si>
    <t>PANG JING FULL</t>
  </si>
  <si>
    <t>SOH JUN LEONG</t>
  </si>
  <si>
    <t>GOH CHEN YONG</t>
  </si>
  <si>
    <t>TEO KAH JUN</t>
  </si>
  <si>
    <t>NG SWEE CHEA</t>
  </si>
  <si>
    <t>LAI CHIN YANG</t>
  </si>
  <si>
    <t>LIM JIA FAN</t>
  </si>
  <si>
    <t>LAI SHI LIN</t>
  </si>
  <si>
    <t>TAN AIK KEONG</t>
  </si>
  <si>
    <t>JIMMY TNEO WEE SIANG</t>
  </si>
  <si>
    <t>OH KIAN YUAN</t>
  </si>
  <si>
    <t>TAN MIN KANG</t>
  </si>
  <si>
    <t>NGOI CHUN YONG</t>
  </si>
  <si>
    <t>CHONG WEN XUEN</t>
  </si>
  <si>
    <t>ALEXANDER YAP KEE NYEN</t>
  </si>
  <si>
    <t>TAY CHIN LIONG</t>
  </si>
  <si>
    <t>TAN CHEE CHUN</t>
  </si>
  <si>
    <t>CHEAN WEI KEONG</t>
  </si>
  <si>
    <t>CHAN TZYY XUAN</t>
  </si>
  <si>
    <t>CHAN SAU PENG</t>
  </si>
  <si>
    <t>VOON CHAN PIN</t>
  </si>
  <si>
    <t>HO CHAN LE</t>
  </si>
  <si>
    <t>CHEW WEN JUN</t>
  </si>
  <si>
    <t>YONG CHEE SOON</t>
  </si>
  <si>
    <t>TOO CHIOU SHYAN</t>
  </si>
  <si>
    <t>YAP ZHI PING</t>
  </si>
  <si>
    <t>LEE SHIEN WEI</t>
  </si>
  <si>
    <t>HO HON SENG</t>
  </si>
  <si>
    <t>KANG HOCK SENG</t>
  </si>
  <si>
    <t>LIM CHENG LEONG</t>
  </si>
  <si>
    <t>HONG QUANSHUN</t>
  </si>
  <si>
    <t>YANG TONGJING</t>
  </si>
  <si>
    <t>KHOO YEE MUN</t>
  </si>
  <si>
    <t>YIP SIEW CHING</t>
  </si>
  <si>
    <t>-</t>
  </si>
  <si>
    <t>TAN SWEE LENG</t>
  </si>
  <si>
    <t>WONG SEAU JIN</t>
  </si>
  <si>
    <t>GOH SING JOO</t>
  </si>
  <si>
    <t>Staff Code Desc</t>
  </si>
  <si>
    <t>Machine Name</t>
  </si>
  <si>
    <t xml:space="preserve">Brotech DF330 </t>
  </si>
  <si>
    <t>Luster AOI</t>
  </si>
  <si>
    <t>Brotech DF330</t>
  </si>
  <si>
    <t>Sanki 300 Intermittent</t>
  </si>
  <si>
    <t>POLLY</t>
  </si>
  <si>
    <t>HDS</t>
  </si>
  <si>
    <t>Fujishiko UDP-5000</t>
  </si>
  <si>
    <t>SYSCO</t>
  </si>
  <si>
    <t>SANKI SD-300 Intermittent</t>
  </si>
  <si>
    <t>Baby Sanki</t>
  </si>
  <si>
    <t>FSK 520</t>
  </si>
  <si>
    <t>Sanki SKP250 Full Rotary</t>
  </si>
  <si>
    <t>Sanki SDR300</t>
  </si>
  <si>
    <t>Brotech</t>
  </si>
  <si>
    <t>Polly</t>
  </si>
  <si>
    <t>Taiyo</t>
  </si>
  <si>
    <t xml:space="preserve">Fujishiko </t>
  </si>
  <si>
    <t>Fujishoko</t>
  </si>
  <si>
    <t>HDS 3</t>
  </si>
  <si>
    <t>FSK B100</t>
  </si>
  <si>
    <t>FSK SR520</t>
  </si>
  <si>
    <t>SANKI</t>
  </si>
  <si>
    <t>Xeikon 3500</t>
  </si>
  <si>
    <t>Lintec Intermittent</t>
  </si>
  <si>
    <t>HP Indigo 6800</t>
  </si>
  <si>
    <t>HDS 8</t>
  </si>
  <si>
    <t>OKI</t>
  </si>
  <si>
    <t>HP Indigo 6900</t>
  </si>
  <si>
    <t>Laser</t>
  </si>
  <si>
    <t>Vorey Digital Cut</t>
  </si>
  <si>
    <t>Polly Digital Cut</t>
  </si>
  <si>
    <t>Zebra</t>
  </si>
  <si>
    <t>Hadesheng</t>
  </si>
  <si>
    <t>Machine</t>
  </si>
  <si>
    <t>Qty</t>
  </si>
  <si>
    <t>Hrs Avail</t>
  </si>
  <si>
    <t>Total</t>
  </si>
  <si>
    <t>Days/Mth</t>
  </si>
  <si>
    <t>Run Hrs</t>
  </si>
  <si>
    <t>Utilisation</t>
  </si>
  <si>
    <t>FSK</t>
  </si>
  <si>
    <t>HP Indigo</t>
  </si>
  <si>
    <t>Sanki</t>
  </si>
  <si>
    <t>Flexo</t>
  </si>
  <si>
    <t>AOI</t>
  </si>
  <si>
    <t>LP</t>
  </si>
  <si>
    <t>Die-Cut</t>
  </si>
  <si>
    <t>Digital</t>
  </si>
  <si>
    <t>Die-Cut (L)</t>
  </si>
  <si>
    <t>Die-Cut (D)</t>
  </si>
  <si>
    <t>Hotstamping</t>
  </si>
  <si>
    <t>Customer Name</t>
  </si>
  <si>
    <t>HP SINGAPORE (PRIVATE) LIMITED</t>
  </si>
  <si>
    <t>BECTON DICKINSON MEDICAL (S) PTE LTD</t>
  </si>
  <si>
    <t>HP MALAYSIA MANUFACTURING SDN.BHD.</t>
  </si>
  <si>
    <t>JMS SINGAPORE PTE LTD</t>
  </si>
  <si>
    <t>SEAGATE TECHNOLOGY INTERNATIONAL (WUXI) CO., LTD</t>
  </si>
  <si>
    <t>MENTOR MEDIA LIMITED</t>
  </si>
  <si>
    <t>SEAGATE TECHNOLOGY (THAILAND) LTD.</t>
  </si>
  <si>
    <t>ILLUMINA SINGAPORE PTE LTD</t>
  </si>
  <si>
    <t>GES MANUFACTURING SERVICES (M) SDN BHD</t>
  </si>
  <si>
    <t>PT VARTA MICROBATTERY INDONESIA</t>
  </si>
  <si>
    <t>HAW PAR HEALTHCARE LIMITED</t>
  </si>
  <si>
    <t>EDWARDS LIFESCIENCES (SINGAPORE) PTE LTD</t>
  </si>
  <si>
    <t>RESMED ASIA PTE LTD</t>
  </si>
  <si>
    <t>CCL DESIGN SDN. BHD.</t>
  </si>
  <si>
    <t>MEIBAN MICRO PTE LTD</t>
  </si>
  <si>
    <t>ILLUMINA CAMBRIDGE, LTD</t>
  </si>
  <si>
    <t>CCL DESIGN (PENANG) SDN. BHD.</t>
  </si>
  <si>
    <t>WESTERN DIGITAL STORAGE TECHNOLOGIES</t>
  </si>
  <si>
    <t>TECHNOCOM SYSTEMS SDN BHD</t>
  </si>
  <si>
    <t>VARTA MICROBATTERY GMBH</t>
  </si>
  <si>
    <t>IKE TECHNOLOGY</t>
  </si>
  <si>
    <t>TOSHIBA TEC SINGAPORE PTE LTD</t>
  </si>
  <si>
    <t>SHANGHAI LUCKYFORD IMPORT AND EXPORT CORP.,LTD</t>
  </si>
  <si>
    <t>NCS PTE LTD</t>
  </si>
  <si>
    <t>SEAGATE SINGAPORE INTERNATIONAL HEADQUARTERS</t>
  </si>
  <si>
    <t>SPT ASIA PTE LTD</t>
  </si>
  <si>
    <t>SUNNINGDALE TECH LTD</t>
  </si>
  <si>
    <t>CAL-COMP ELECTRONICS (THAILAND) PUBLIC CO.,LTD.</t>
  </si>
  <si>
    <t>FOREFRONT MEDICAL TECHNOLOGY (JIANGSU) CO., LTD</t>
  </si>
  <si>
    <t>SINGAPORE ASAHI CHEMICAL &amp; SOLDER IND. PTE LTD</t>
  </si>
  <si>
    <t>KX TECHNOLOGIES PTE LTD</t>
  </si>
  <si>
    <t>HONEY-LAND INTERNATIONAL PTE LTD</t>
  </si>
  <si>
    <t>SCIENTIFIC GLASS TECHNOLOGY SINGAPORE PTE LTD</t>
  </si>
  <si>
    <t>MEIBAN MOLD MANUFACTURE PTE LTD</t>
  </si>
  <si>
    <t>GIVAUDAN SINGAPORE PTE LTD</t>
  </si>
  <si>
    <t>PEPPERL+FUCHS ASIA PTE. LTD</t>
  </si>
  <si>
    <t>VARTA MICROBATTERY SRL</t>
  </si>
  <si>
    <t>RFNET TECHNOLOGIES PTE LTD</t>
  </si>
  <si>
    <t>RAYCODE TECHNOLOGIES PTE LTD</t>
  </si>
  <si>
    <t>GES (SINGAPORE) PTE LTD</t>
  </si>
  <si>
    <t>ASIATIC AGRICULTURAL INDUSTRIES PTE LTD</t>
  </si>
  <si>
    <t>TECAN CDMO SOLUTIONS PN SDN BHD</t>
  </si>
  <si>
    <t>ST NETWORK</t>
  </si>
  <si>
    <t>SKB ELECTRICAL ENGINEERING PTE LTD</t>
  </si>
  <si>
    <t>RESMED PTY LTD</t>
  </si>
  <si>
    <t>NMB-MINEBEA THAI LTD</t>
  </si>
  <si>
    <t>MECBA TECHNOLOGY (S) PTE LTD</t>
  </si>
  <si>
    <t>TDF FOOD PTE LTD</t>
  </si>
  <si>
    <t>V TWO INTERNATIONAL PTE LTD</t>
  </si>
  <si>
    <t>ST LOGISTICS PTE LTD</t>
  </si>
  <si>
    <t>YOKOGAWA ELECTRIC ASIA PTE LTD</t>
  </si>
  <si>
    <t>ESCO MICRO PTE LTD</t>
  </si>
  <si>
    <t>GLAXO WELLCOME MANUFACTURING PTE LTD</t>
  </si>
  <si>
    <t>OLAM COCOA PTE LTD</t>
  </si>
  <si>
    <t>IRS ( S ) PTE LTD</t>
  </si>
  <si>
    <t>AMT PTE LTD</t>
  </si>
  <si>
    <t>HYPERCOAT ENTERPRISES PTE LTD</t>
  </si>
  <si>
    <t>CEI PTE LTD</t>
  </si>
  <si>
    <t>SINGAPORE SAFETY GLASS PTE LTD</t>
  </si>
  <si>
    <t>STSS INTEGRATED PTE LTD</t>
  </si>
  <si>
    <t>ELECTRO SCIENTIFIC INDUSTRIES (S) PTE LTD</t>
  </si>
  <si>
    <t>HELEFLO PRODUCTS PTE LTD</t>
  </si>
  <si>
    <t>LVMH FRAGRANCES &amp; COSMETICS (SINGAPORE) PTE LTD</t>
  </si>
  <si>
    <t>BELTON INDUSTRIAL ( THAILAND ) LTD</t>
  </si>
  <si>
    <t>PFU ASIA PACIFIC PTE LTD</t>
  </si>
  <si>
    <t>DIGI SINGAPORE PTE LTD</t>
  </si>
  <si>
    <t>SYS-MAC AUTOMATION ENGINEERING PTE LTD</t>
  </si>
  <si>
    <t>SYSMATIC INTERNATIONAL PTE LTD</t>
  </si>
  <si>
    <t>FLINTEC TRANSDUCERS (PVT) LTD</t>
  </si>
  <si>
    <t>SANTEH TECHNOLOGY PTE LTD</t>
  </si>
  <si>
    <t>PRINTEX OFFSET PRINTING CO.</t>
  </si>
  <si>
    <t>MEIBAN MICRO SDN BHD</t>
  </si>
  <si>
    <t>UNIVAC PRECISION ENGINEERING PTE LTD</t>
  </si>
  <si>
    <t>MICRON SEMICONDUCTOR ASIA OPERATIONS PTE LTD</t>
  </si>
  <si>
    <t>CT SCIENTIFIC PRIVATE LIMITED</t>
  </si>
  <si>
    <t>CCL DESIGN SINGAPORE PTE LTD</t>
  </si>
  <si>
    <t>ADVANCED MANUFACTURING CORPORATION PTE LTD</t>
  </si>
  <si>
    <t>BANSHING INDUSTRIAL CO. PTE LTD.</t>
  </si>
  <si>
    <t>MSD INTERNATIONAL GMBH</t>
  </si>
  <si>
    <t>SP MANUFACTURING PTE LTD</t>
  </si>
  <si>
    <t>TAKASAGO INTERNATIONAL (SINGAPORE) PTE LTD</t>
  </si>
  <si>
    <t>FULL-MASK TECHNOLOGIES PTE LTD</t>
  </si>
  <si>
    <t>VDL ENABLING TECHNOLOGIES GROUP (S) PTE LTD</t>
  </si>
  <si>
    <t>BEYONICS INTERNATIONAL PTE LTD</t>
  </si>
  <si>
    <t>RESMED MOTOR TECHNOLOGIES INC</t>
  </si>
  <si>
    <t>MCLEAN TECHNOLOGIES PTE LTD</t>
  </si>
  <si>
    <t>JINRAY ELECTRONICS (S) PTE LTD</t>
  </si>
  <si>
    <t>PHOON HUAT PTE LTD</t>
  </si>
  <si>
    <t>TELEPLAN TECHNOLOGIES (SUZHOU) CO., LTD</t>
  </si>
  <si>
    <t>FISCHER TECH (THAILAND) CO., LTD</t>
  </si>
  <si>
    <t>FLEXTRONICS SHAH ALAM SDN BHD</t>
  </si>
  <si>
    <t>3M INNOVATION SINGAPORE PTE LTD</t>
  </si>
  <si>
    <t>DYSON OPERATIONS PTE LTD</t>
  </si>
  <si>
    <t>GLOBAL HARVEST PRECISION PTE LTD</t>
  </si>
  <si>
    <t>HI-P SINGAPORE PTE. LTD.</t>
  </si>
  <si>
    <t>TEA PULSE PTE LTD</t>
  </si>
  <si>
    <t>MARKET SINGAPORE PTE LTD</t>
  </si>
  <si>
    <t>AIRVERCLEAN PTE LTD</t>
  </si>
  <si>
    <t>ITG ELECTRONICS (M) SDN BHD</t>
  </si>
  <si>
    <t>TAKEIKI PTE LTD</t>
  </si>
  <si>
    <t>ABB  PTE. LTD.</t>
  </si>
  <si>
    <t>ST ENGINEERING URBAN SOLUTIONS LTD</t>
  </si>
  <si>
    <t>PEPPERL + FUCHS (VIETNAM) CO., LTD</t>
  </si>
  <si>
    <t>E-Z LETTERING SERVICE</t>
  </si>
  <si>
    <t>SIIX SINGAPORE PTE LTD</t>
  </si>
  <si>
    <t>SUPPLY TECHNOLOGIES LTD</t>
  </si>
  <si>
    <t>SMK ELECTRONICS (MALAYSIA) SDN.BHD.</t>
  </si>
  <si>
    <t>KLEEN-PAK PRODUCTS PTE LTD</t>
  </si>
  <si>
    <t>VG TAG IN-SOLUTIONS PTE LTD</t>
  </si>
  <si>
    <t>RICHILL INDUSTRIES PTE LTD</t>
  </si>
  <si>
    <t>ASMPT SINGAPORE PTE LTD</t>
  </si>
  <si>
    <t>TAMMY QUAH</t>
  </si>
  <si>
    <t>NewFoil</t>
  </si>
  <si>
    <t>Row Labels</t>
  </si>
  <si>
    <t>Grand Total</t>
  </si>
  <si>
    <t>Column Labels</t>
  </si>
  <si>
    <t>Count of Work 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</si>
</sst>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19" fontId="0" fillId="0" borderId="0" xfId="0" applyNumberFormat="1"/>
    <xf numFmtId="3" fontId="0" fillId="0" borderId="0" xfId="0" applyNumberFormat="1"/>
    <xf numFmtId="0" fontId="1" fillId="0" borderId="0" xfId="0" applyFont="1" applyAlignment="1">
      <alignment wrapText="1"/>
    </xf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/>
    <xf numFmtId="10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1" fillId="4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33.898281365742" createdVersion="8" refreshedVersion="8" minRefreshableVersion="3" recordCount="1916" xr:uid="{AC029C14-8850-4175-ACA7-2EA6389AB87C}">
  <cacheSource type="worksheet">
    <worksheetSource ref="A1:BJ1917" sheet="Summary"/>
  </cacheSource>
  <cacheFields count="62">
    <cacheField name="Work Order No." numFmtId="0">
      <sharedItems count="1285">
        <s v="W0672678"/>
        <s v="W0675375"/>
        <s v="W0675403"/>
        <s v="W0678396"/>
        <s v="W0678397"/>
        <s v="W0678636"/>
        <s v="W0679261"/>
        <s v="W0679265"/>
        <s v="W0679360"/>
        <s v="W0679476"/>
        <s v="W0679477"/>
        <s v="W0679478"/>
        <s v="W0679521"/>
        <s v="W0679579"/>
        <s v="W0679612"/>
        <s v="W0679666"/>
        <s v="W0679688"/>
        <s v="W0679753"/>
        <s v="W0679913"/>
        <s v="W0680071"/>
        <s v="W0680094"/>
        <s v="W0680240"/>
        <s v="W0680267"/>
        <s v="W0680274"/>
        <s v="W0680344"/>
        <s v="W0680345"/>
        <s v="W0680450"/>
        <s v="W0680593"/>
        <s v="W0680743"/>
        <s v="W0667474"/>
        <s v="W0673664"/>
        <s v="W0674490"/>
        <s v="W0674926"/>
        <s v="W0675399"/>
        <s v="W0676465"/>
        <s v="W0676697"/>
        <s v="W0676972"/>
        <s v="W0677057"/>
        <s v="W0679142"/>
        <s v="W0679255"/>
        <s v="W0679262"/>
        <s v="W0679320"/>
        <s v="W0679577"/>
        <s v="W0679615"/>
        <s v="W0679648"/>
        <s v="W0679649"/>
        <s v="W0679651"/>
        <s v="W0679667"/>
        <s v="W0679682"/>
        <s v="W0679689"/>
        <s v="W0679833"/>
        <s v="W0679841"/>
        <s v="W0679872"/>
        <s v="W0679907"/>
        <s v="W0679915"/>
        <s v="W0679934"/>
        <s v="W0680072"/>
        <s v="W0680082"/>
        <s v="W0680083"/>
        <s v="W0680122"/>
        <s v="W0680239"/>
        <s v="W0680243"/>
        <s v="W0680412"/>
        <s v="W0680501"/>
        <s v="W0680602"/>
        <s v="W0680603"/>
        <s v="W0680608"/>
        <s v="W0680693"/>
        <s v="W0680699"/>
        <s v="W0680716"/>
        <s v="W0680719"/>
        <s v="W0680720"/>
        <s v="W0680723"/>
        <s v="W0680740"/>
        <s v="W0680741"/>
        <s v="W0680744"/>
        <s v="W0680745"/>
        <s v="W0680746"/>
        <s v="W0680748"/>
        <s v="W0680750"/>
        <s v="W0680752"/>
        <s v="W0680755"/>
        <s v="W0680768"/>
        <s v="W0680769"/>
        <s v="W0680771"/>
        <s v="W0680772"/>
        <s v="W0680867"/>
        <s v="W0680887"/>
        <s v="W0675393"/>
        <s v="W0678411"/>
        <s v="W0678680"/>
        <s v="W0678697"/>
        <s v="W0678767"/>
        <s v="W0679218"/>
        <s v="W0679220"/>
        <s v="W0679330"/>
        <s v="W0679332"/>
        <s v="W0679350"/>
        <s v="W0679522"/>
        <s v="W0679640"/>
        <s v="W0679650"/>
        <s v="W0679668"/>
        <s v="W0679829"/>
        <s v="W0679830"/>
        <s v="W0679839"/>
        <s v="W0679849"/>
        <s v="W0679898"/>
        <s v="W0679902"/>
        <s v="W0679917"/>
        <s v="W0680064"/>
        <s v="W0680070"/>
        <s v="W0680106"/>
        <s v="W0680123"/>
        <s v="W0680190"/>
        <s v="W0680247"/>
        <s v="W0680265"/>
        <s v="W0680379"/>
        <s v="W0680386"/>
        <s v="W0680390"/>
        <s v="W0680400"/>
        <s v="W0680430"/>
        <s v="W0680475"/>
        <s v="W0680476"/>
        <s v="W0680477"/>
        <s v="W0680478"/>
        <s v="W0680479"/>
        <s v="W0680483"/>
        <s v="W0680486"/>
        <s v="W0680491"/>
        <s v="W0680494"/>
        <s v="W0680504"/>
        <s v="W0680541"/>
        <s v="W0680542"/>
        <s v="W0680568"/>
        <s v="W0680577"/>
        <s v="W0680578"/>
        <s v="W0680595"/>
        <s v="W0680604"/>
        <s v="W0680605"/>
        <s v="W0680669"/>
        <s v="W0680682"/>
        <s v="W0680692"/>
        <s v="W0680700"/>
        <s v="W0680702"/>
        <s v="W0680704"/>
        <s v="W0680705"/>
        <s v="W0680707"/>
        <s v="W0680709"/>
        <s v="W0680712"/>
        <s v="W0680717"/>
        <s v="W0680721"/>
        <s v="W0680725"/>
        <s v="W0680733"/>
        <s v="W0680759"/>
        <s v="W0680858"/>
        <s v="W0680896"/>
        <s v="W0680899"/>
        <s v="W0681111"/>
        <s v="W0676833"/>
        <s v="W0676970"/>
        <s v="W0676973"/>
        <s v="W0677293"/>
        <s v="W0678764"/>
        <s v="W0678765"/>
        <s v="W0678766"/>
        <s v="W0678981"/>
        <s v="W0679026"/>
        <s v="W0679251"/>
        <s v="W0679480"/>
        <s v="W0679481"/>
        <s v="W0679482"/>
        <s v="W0679483"/>
        <s v="W0679614"/>
        <s v="W0679669"/>
        <s v="W0679750"/>
        <s v="W0679823"/>
        <s v="W0679824"/>
        <s v="W0679825"/>
        <s v="W0679827"/>
        <s v="W0679828"/>
        <s v="W0679834"/>
        <s v="W0679837"/>
        <s v="W0679838"/>
        <s v="W0679874"/>
        <s v="W0679910"/>
        <s v="W0679922"/>
        <s v="W0679966"/>
        <s v="W0680085"/>
        <s v="W0680105"/>
        <s v="W0680253"/>
        <s v="W0680401"/>
        <s v="W0680409"/>
        <s v="W0680416"/>
        <s v="W0680420"/>
        <s v="W0680427"/>
        <s v="W0680428"/>
        <s v="W0680433"/>
        <s v="W0680470"/>
        <s v="W0680471"/>
        <s v="W0680472"/>
        <s v="W0680473"/>
        <s v="W0680484"/>
        <s v="W0680488"/>
        <s v="W0680489"/>
        <s v="W0680490"/>
        <s v="W0680492"/>
        <s v="W0680495"/>
        <s v="W0680496"/>
        <s v="W0680497"/>
        <s v="W0680499"/>
        <s v="W0680505"/>
        <s v="W0680519"/>
        <s v="W0680538"/>
        <s v="W0680540"/>
        <s v="W0680544"/>
        <s v="W0680555"/>
        <s v="W0680579"/>
        <s v="W0680581"/>
        <s v="W0680584"/>
        <s v="W0680591"/>
        <s v="W0680594"/>
        <s v="W0680691"/>
        <s v="W0680694"/>
        <s v="W0680695"/>
        <s v="W0680701"/>
        <s v="W0680703"/>
        <s v="W0680706"/>
        <s v="W0680708"/>
        <s v="W0680713"/>
        <s v="W0680718"/>
        <s v="W0680857"/>
        <s v="W0680871"/>
        <s v="W0680898"/>
        <s v="W0680901"/>
        <s v="W0680902"/>
        <s v="W0680950"/>
        <s v="W0680957"/>
        <s v="W0680958"/>
        <s v="W0681022"/>
        <s v="W0681023"/>
        <s v="W0681024"/>
        <s v="W0681025"/>
        <s v="W0681029"/>
        <s v="W0681030"/>
        <s v="W0681031"/>
        <s v="W0681034"/>
        <s v="W0681035"/>
        <s v="W0681054"/>
        <s v="W0681059"/>
        <s v="W0681065"/>
        <s v="W0676952"/>
        <s v="W0680565"/>
        <s v="W0681036"/>
        <s v="W0674539"/>
        <s v="W0675938"/>
        <s v="W0678699"/>
        <s v="W0678749"/>
        <s v="W0678768"/>
        <s v="W0679328"/>
        <s v="W0679334"/>
        <s v="W0679523"/>
        <s v="W0679524"/>
        <s v="W0679525"/>
        <s v="W0679526"/>
        <s v="W0679527"/>
        <s v="W0679533"/>
        <s v="W0679538"/>
        <s v="W0679546"/>
        <s v="W0679613"/>
        <s v="W0679670"/>
        <s v="W0679722"/>
        <s v="W0679784"/>
        <s v="W0679806"/>
        <s v="W0679831"/>
        <s v="W0679835"/>
        <s v="W0679848"/>
        <s v="W0679875"/>
        <s v="W0679909"/>
        <s v="W0679911"/>
        <s v="W0679912"/>
        <s v="W0679927"/>
        <s v="W0680118"/>
        <s v="W0680120"/>
        <s v="W0680254"/>
        <s v="W0680337"/>
        <s v="W0680338"/>
        <s v="W0680402"/>
        <s v="W0680413"/>
        <s v="W0680417"/>
        <s v="W0680421"/>
        <s v="W0680435"/>
        <s v="W0680468"/>
        <s v="W0680487"/>
        <s v="W0680507"/>
        <s v="W0680520"/>
        <s v="W0680521"/>
        <s v="W0680537"/>
        <s v="W0680550"/>
        <s v="W0680556"/>
        <s v="W0680564"/>
        <s v="W0680566"/>
        <s v="W0680567"/>
        <s v="W0680610"/>
        <s v="W0680714"/>
        <s v="W0680875"/>
        <s v="W0680903"/>
        <s v="W0680968"/>
        <s v="W0680969"/>
        <s v="W0680970"/>
        <s v="W0680972"/>
        <s v="W0680973"/>
        <s v="W0680975"/>
        <s v="W0680993"/>
        <s v="W0681000"/>
        <s v="W0681001"/>
        <s v="W0681002"/>
        <s v="W0681017"/>
        <s v="W0681018"/>
        <s v="W0681019"/>
        <s v="W0681021"/>
        <s v="W0681026"/>
        <s v="W0681027"/>
        <s v="W0681028"/>
        <s v="W0681056"/>
        <s v="W0681080"/>
        <s v="W0681104"/>
        <s v="W0681106"/>
        <s v="W0674897"/>
        <s v="W0677756"/>
        <s v="W0678888"/>
        <s v="W0679329"/>
        <s v="W0679355"/>
        <s v="W0679671"/>
        <s v="W0679723"/>
        <s v="W0679762"/>
        <s v="W0679807"/>
        <s v="W0679826"/>
        <s v="W0679873"/>
        <s v="W0680397"/>
        <s v="W0680399"/>
        <s v="W0680411"/>
        <s v="W0680415"/>
        <s v="W0680560"/>
        <s v="W0680561"/>
        <s v="W0680588"/>
        <s v="W0680589"/>
        <s v="W0680590"/>
        <s v="W0680766"/>
        <s v="W0680855"/>
        <s v="W0680888"/>
        <s v="W0680897"/>
        <s v="W0680900"/>
        <s v="W0680971"/>
        <s v="W0680995"/>
        <s v="W0680998"/>
        <s v="W0680999"/>
        <s v="W0681015"/>
        <s v="W0681016"/>
        <s v="W0681078"/>
        <s v="W0681101"/>
        <s v="W0681190"/>
        <s v="W0678757"/>
        <s v="W0679771"/>
        <s v="W0679772"/>
        <s v="W0679928"/>
        <s v="W0679931"/>
        <s v="W0680191"/>
        <s v="W0680246"/>
        <s v="W0680414"/>
        <s v="W0680419"/>
        <s v="W0680562"/>
        <s v="W0680670"/>
        <s v="W0680671"/>
        <s v="W0681003"/>
        <s v="W0681004"/>
        <s v="W0681009"/>
        <s v="W0681058"/>
        <s v="W0671674"/>
        <s v="W0676356"/>
        <s v="W0676361"/>
        <s v="W0678036"/>
        <s v="W0678965"/>
        <s v="W0679761"/>
        <s v="W0680069"/>
        <s v="W0680073"/>
        <s v="W0680119"/>
        <s v="W0680264"/>
        <s v="W0680434"/>
        <s v="W0680502"/>
        <s v="W0680582"/>
        <s v="W0680599"/>
        <s v="W0680600"/>
        <s v="W0680756"/>
        <s v="W0680882"/>
        <s v="W0680883"/>
        <s v="W0680894"/>
        <s v="W0680904"/>
        <s v="W0680959"/>
        <s v="W0680960"/>
        <s v="W0680961"/>
        <s v="W0680963"/>
        <s v="W0680964"/>
        <s v="W0680965"/>
        <s v="W0680966"/>
        <s v="W0680992"/>
        <s v="W0680994"/>
        <s v="W0680996"/>
        <s v="W0681005"/>
        <s v="W0681007"/>
        <s v="W0681008"/>
        <s v="W0681020"/>
        <s v="W0681105"/>
        <s v="W0681133"/>
        <s v="W0681157"/>
        <s v="W0681159"/>
        <s v="W0681169"/>
        <s v="W0681172"/>
        <s v="W0681176"/>
        <s v="W0681181"/>
        <s v="W0681182"/>
        <s v="W0681183"/>
        <s v="W0681192"/>
        <s v="W0681195"/>
        <s v="W0681203"/>
        <s v="W0681218"/>
        <s v="W0681251"/>
        <s v="W0681252"/>
        <s v="W0681374"/>
        <s v="W0681372"/>
        <s v="W0681380"/>
        <s v="W0672099"/>
        <s v="W0672116"/>
        <s v="W0675162"/>
        <s v="W0675163"/>
        <s v="W0676757"/>
        <s v="W0678412"/>
        <s v="W0679623"/>
        <s v="W0680121"/>
        <s v="W0680266"/>
        <s v="W0680270"/>
        <s v="W0680271"/>
        <s v="W0680418"/>
        <s v="W0680422"/>
        <s v="W0680423"/>
        <s v="W0680429"/>
        <s v="W0680482"/>
        <s v="W0680598"/>
        <s v="W0680601"/>
        <s v="W0680877"/>
        <s v="W0680997"/>
        <s v="W0681006"/>
        <s v="W0681011"/>
        <s v="W0681012"/>
        <s v="W0681014"/>
        <s v="W0681112"/>
        <s v="W0681132"/>
        <s v="W0681135"/>
        <s v="W0681139"/>
        <s v="W0681158"/>
        <s v="W0681168"/>
        <s v="W0681174"/>
        <s v="W0681177"/>
        <s v="W0681178"/>
        <s v="W0681180"/>
        <s v="W0681187"/>
        <s v="W0681188"/>
        <s v="W0681189"/>
        <s v="W0681193"/>
        <s v="W0681205"/>
        <s v="W0681212"/>
        <s v="W0681214"/>
        <s v="W0681223"/>
        <s v="W0681271"/>
        <s v="W0681344"/>
        <s v="W0681346"/>
        <s v="W0681347"/>
        <s v="W0681348"/>
        <s v="W0681358"/>
        <s v="W0681359"/>
        <s v="W0681360"/>
        <s v="W0681366"/>
        <s v="W0681367"/>
        <s v="W0681373"/>
        <s v="W0681375"/>
        <s v="W0681401"/>
        <s v="W0681427"/>
        <s v="W0679558"/>
        <s v="W0681038"/>
        <s v="W0681235"/>
        <s v="W0681522"/>
        <s v="W0681527"/>
        <s v="W0670634"/>
        <s v="W0672306"/>
        <s v="W0676982"/>
        <s v="W0679932"/>
        <s v="W0680068"/>
        <s v="W0680251"/>
        <s v="W0680256"/>
        <s v="W0680404"/>
        <s v="W0680474"/>
        <s v="W0680500"/>
        <s v="W0680503"/>
        <s v="W0680506"/>
        <s v="W0680596"/>
        <s v="W0680597"/>
        <s v="W0680710"/>
        <s v="W0680878"/>
        <s v="W0680893"/>
        <s v="W0680946"/>
        <s v="W0680962"/>
        <s v="W0681010"/>
        <s v="W0681013"/>
        <s v="W0681037"/>
        <s v="W0681123"/>
        <s v="W0681171"/>
        <s v="W0681175"/>
        <s v="W0681179"/>
        <s v="W0681185"/>
        <s v="W0681186"/>
        <s v="W0681191"/>
        <s v="W0681197"/>
        <s v="W0681198"/>
        <s v="W0681199"/>
        <s v="W0681200"/>
        <s v="W0681225"/>
        <s v="W0681234"/>
        <s v="W0681268"/>
        <s v="W0681270"/>
        <s v="W0681283"/>
        <s v="W0681291"/>
        <s v="W0681306"/>
        <s v="W0681320"/>
        <s v="W0681345"/>
        <s v="W0681349"/>
        <s v="W0681361"/>
        <s v="W0681369"/>
        <s v="W0681377"/>
        <s v="W0681382"/>
        <s v="W0681402"/>
        <s v="W0681408"/>
        <s v="W0681410"/>
        <s v="W0681419"/>
        <s v="W0681420"/>
        <s v="W0681423"/>
        <s v="W0681424"/>
        <s v="W0681456"/>
        <s v="W0681502"/>
        <s v="W0681503"/>
        <s v="W0681504"/>
        <s v="W0681114"/>
        <s v="W0681118"/>
        <s v="W0672679"/>
        <s v="W0675852"/>
        <s v="W0678413"/>
        <s v="W0678951"/>
        <s v="W0679041"/>
        <s v="W0679321"/>
        <s v="W0679326"/>
        <s v="W0679819"/>
        <s v="W0680885"/>
        <s v="W0680886"/>
        <s v="W0680967"/>
        <s v="W0680982"/>
        <s v="W0681032"/>
        <s v="W0681033"/>
        <s v="W0681047"/>
        <s v="W0681048"/>
        <s v="W0681049"/>
        <s v="W0681050"/>
        <s v="W0681145"/>
        <s v="W0681184"/>
        <s v="W0681215"/>
        <s v="W0681216"/>
        <s v="W0681219"/>
        <s v="W0681220"/>
        <s v="W0681272"/>
        <s v="W0681274"/>
        <s v="W0681275"/>
        <s v="W0681276"/>
        <s v="W0681277"/>
        <s v="W0681279"/>
        <s v="W0681282"/>
        <s v="W0681285"/>
        <s v="W0681287"/>
        <s v="W0681289"/>
        <s v="W0681290"/>
        <s v="W0681307"/>
        <s v="W0681316"/>
        <s v="W0681383"/>
        <s v="W0681388"/>
        <s v="W0681412"/>
        <s v="W0681416"/>
        <s v="W0681430"/>
        <s v="W0681457"/>
        <s v="W0681463"/>
        <s v="W0681475"/>
        <s v="W0681485"/>
        <s v="W0681519"/>
        <s v="W0681520"/>
        <s v="W0681568"/>
        <s v="W0681580"/>
        <s v="W0681628"/>
        <s v="W0681629"/>
        <s v="W0681642"/>
        <s v="W0680554"/>
        <s v="W0681575"/>
        <s v="W0672680"/>
        <s v="W0676466"/>
        <s v="W0678439"/>
        <s v="W0679149"/>
        <s v="W0679846"/>
        <s v="W0679987"/>
        <s v="W0680081"/>
        <s v="W0680876"/>
        <s v="W0681115"/>
        <s v="W0681117"/>
        <s v="W0681119"/>
        <s v="W0681124"/>
        <s v="W0681129"/>
        <s v="W0681134"/>
        <s v="W0681166"/>
        <s v="W0681167"/>
        <s v="W0681194"/>
        <s v="W0681196"/>
        <s v="W0681217"/>
        <s v="W0681232"/>
        <s v="W0681233"/>
        <s v="W0681250"/>
        <s v="W0681266"/>
        <s v="W0681267"/>
        <s v="W0681273"/>
        <s v="W0681286"/>
        <s v="W0681288"/>
        <s v="W0681322"/>
        <s v="W0681329"/>
        <s v="W0681336"/>
        <s v="W0681364"/>
        <s v="W0681406"/>
        <s v="W0681407"/>
        <s v="W0681426"/>
        <s v="W0681431"/>
        <s v="W0681489"/>
        <s v="W0681524"/>
        <s v="W0681526"/>
        <s v="W0681566"/>
        <s v="W0681567"/>
        <s v="W0681570"/>
        <s v="W0681573"/>
        <s v="W0681578"/>
        <s v="W0681579"/>
        <s v="W0681609"/>
        <s v="W0681611"/>
        <s v="W0681613"/>
        <s v="W0681614"/>
        <s v="W0681615"/>
        <s v="W0681617"/>
        <s v="W0681633"/>
        <s v="W0681656"/>
        <s v="W0681657"/>
        <s v="W0681673"/>
        <s v="W0681687"/>
        <s v="W0681694"/>
        <s v="W0681764"/>
        <s v="W0677083"/>
        <s v="W0678398"/>
        <s v="W0678822"/>
        <s v="W0679602"/>
        <s v="W0679680"/>
        <s v="W0679681"/>
        <s v="W0679774"/>
        <s v="W0679847"/>
        <s v="W0680272"/>
        <s v="W0680273"/>
        <s v="W0680480"/>
        <s v="W0680905"/>
        <s v="W0681313"/>
        <s v="W0681315"/>
        <s v="W0681429"/>
        <s v="W0681464"/>
        <s v="W0681646"/>
        <s v="W0681736"/>
        <s v="W0680498"/>
        <s v="W0681224"/>
        <s v="W0675376"/>
        <s v="W0676778"/>
        <s v="W0679150"/>
        <s v="W0679876"/>
        <s v="W0680570"/>
        <s v="W0680571"/>
        <s v="W0680872"/>
        <s v="W0681170"/>
        <s v="W0681204"/>
        <s v="W0681284"/>
        <s v="W0681310"/>
        <s v="W0681314"/>
        <s v="W0681343"/>
        <s v="W0681356"/>
        <s v="W0681357"/>
        <s v="W0681393"/>
        <s v="W0681403"/>
        <s v="W0681404"/>
        <s v="W0681414"/>
        <s v="W0681432"/>
        <s v="W0681444"/>
        <s v="W0681472"/>
        <s v="W0681477"/>
        <s v="W0681496"/>
        <s v="W0681518"/>
        <s v="W0681540"/>
        <s v="W0681643"/>
        <s v="W0681647"/>
        <s v="W0681658"/>
        <s v="W0681671"/>
        <s v="W0681674"/>
        <s v="W0681700"/>
        <s v="W0681707"/>
        <s v="W0681710"/>
        <s v="W0681712"/>
        <s v="W0681792"/>
        <s v="W0681652"/>
        <s v="W0681653"/>
        <s v="W0672855"/>
        <s v="W0674126"/>
        <s v="W0674128"/>
        <s v="W0675404"/>
        <s v="W0677350"/>
        <s v="W0677887"/>
        <s v="W0678252"/>
        <s v="W0678399"/>
        <s v="W0680424"/>
        <s v="W0680514"/>
        <s v="W0680558"/>
        <s v="W0681116"/>
        <s v="W0681120"/>
        <s v="W0681137"/>
        <s v="W0681138"/>
        <s v="W0681201"/>
        <s v="W0681280"/>
        <s v="W0681281"/>
        <s v="W0681312"/>
        <s v="W0681317"/>
        <s v="W0681425"/>
        <s v="W0681435"/>
        <s v="W0681439"/>
        <s v="W0681445"/>
        <s v="W0681447"/>
        <s v="W0681459"/>
        <s v="W0681460"/>
        <s v="W0681469"/>
        <s v="W0681486"/>
        <s v="W0681494"/>
        <s v="W0681537"/>
        <s v="W0681612"/>
        <s v="W0681630"/>
        <s v="W0681631"/>
        <s v="W0681667"/>
        <s v="W0681668"/>
        <s v="W0681708"/>
        <s v="W0681709"/>
        <s v="W0681784"/>
        <s v="W0681798"/>
        <s v="W0681822"/>
        <s v="W0681835"/>
        <s v="W0681836"/>
        <s v="W0681837"/>
        <s v="W0681838"/>
        <s v="W0681839"/>
        <s v="W0681841"/>
        <s v="W0681842"/>
        <s v="W0681843"/>
        <s v="W0681844"/>
        <s v="W0681845"/>
        <s v="W0681865"/>
        <s v="W0674866"/>
        <s v="W0679624"/>
        <s v="W0681121"/>
        <s v="W0681654"/>
        <s v="W0681655"/>
        <s v="W0681894"/>
        <s v="W0681897"/>
        <s v="W0681906"/>
        <s v="W0681907"/>
        <s v="W0674127"/>
        <s v="W0676855"/>
        <s v="W0677349"/>
        <s v="W0680268"/>
        <s v="W0680269"/>
        <s v="W0680485"/>
        <s v="W0680539"/>
        <s v="W0680543"/>
        <s v="W0680559"/>
        <s v="W0680859"/>
        <s v="W0680947"/>
        <s v="W0680976"/>
        <s v="W0681061"/>
        <s v="W0681092"/>
        <s v="W0681136"/>
        <s v="W0681173"/>
        <s v="W0681202"/>
        <s v="W0681213"/>
        <s v="W0681226"/>
        <s v="W0681278"/>
        <s v="W0681309"/>
        <s v="W0681311"/>
        <s v="W0681319"/>
        <s v="W0681354"/>
        <s v="W0681355"/>
        <s v="W0681381"/>
        <s v="W0681413"/>
        <s v="W0681436"/>
        <s v="W0681440"/>
        <s v="W0681461"/>
        <s v="W0681462"/>
        <s v="W0681491"/>
        <s v="W0681495"/>
        <s v="W0681509"/>
        <s v="W0681521"/>
        <s v="W0681523"/>
        <s v="W0681525"/>
        <s v="W0681528"/>
        <s v="W0681538"/>
        <s v="W0681539"/>
        <s v="W0681577"/>
        <s v="W0681626"/>
        <s v="W0681627"/>
        <s v="W0681685"/>
        <s v="W0681686"/>
        <s v="W0681701"/>
        <s v="W0681711"/>
        <s v="W0681788"/>
        <s v="W0681789"/>
        <s v="W0681790"/>
        <s v="W0681799"/>
        <s v="W0681840"/>
        <s v="W0681847"/>
        <s v="W0681848"/>
        <s v="W0681849"/>
        <s v="W0681850"/>
        <s v="W0681851"/>
        <s v="W0681852"/>
        <s v="W0681853"/>
        <s v="W0681866"/>
        <s v="W0681873"/>
        <s v="W0681885"/>
        <s v="W0681886"/>
        <s v="W0681887"/>
        <s v="W0681888"/>
        <s v="W0681892"/>
        <s v="W0681893"/>
        <s v="W0681900"/>
        <s v="W0681901"/>
        <s v="W0681904"/>
        <s v="W0681905"/>
        <s v="W0681908"/>
        <s v="W0681909"/>
        <s v="W0681910"/>
        <s v="W0682044"/>
        <s v="W0682045"/>
        <s v="W0682046"/>
        <s v="W0681737"/>
        <s v="W0681895"/>
        <s v="W0681896"/>
        <s v="W0681902"/>
        <s v="W0681903"/>
        <s v="W0681911"/>
        <s v="W0681912"/>
        <s v="W0681918"/>
        <s v="W0682041"/>
        <s v="W0682104"/>
        <s v="W0682114"/>
        <s v="W0682115"/>
        <s v="W0676578"/>
        <s v="W0677347"/>
        <s v="W0679324"/>
        <s v="W0679756"/>
        <s v="W0680263"/>
        <s v="W0680767"/>
        <s v="W0681227"/>
        <s v="W0681228"/>
        <s v="W0681229"/>
        <s v="W0681321"/>
        <s v="W0681325"/>
        <s v="W0681415"/>
        <s v="W0681434"/>
        <s v="W0681438"/>
        <s v="W0681458"/>
        <s v="W0681479"/>
        <s v="W0681488"/>
        <s v="W0681497"/>
        <s v="W0681571"/>
        <s v="W0681576"/>
        <s v="W0681645"/>
        <s v="W0681786"/>
        <s v="W0681805"/>
        <s v="W0681808"/>
        <s v="W0681855"/>
        <s v="W0681856"/>
        <s v="W0681857"/>
        <s v="W0681934"/>
        <s v="W0682013"/>
        <s v="W0682029"/>
        <s v="W0682030"/>
        <s v="W0682034"/>
        <s v="W0682036"/>
        <s v="W0682037"/>
        <s v="W0682040"/>
        <s v="W0682047"/>
        <s v="W0682048"/>
        <s v="W0682049"/>
        <s v="W0682050"/>
        <s v="W0682051"/>
        <s v="W0682054"/>
        <s v="W0682056"/>
        <s v="W0682057"/>
        <s v="W0682058"/>
        <s v="W0682087"/>
        <s v="W0681498"/>
        <s v="W0681499"/>
        <s v="W0681500"/>
        <s v="W0681501"/>
        <s v="W0677348"/>
        <s v="W0678756"/>
        <s v="W0679224"/>
        <s v="W0679517"/>
        <s v="W0679757"/>
        <s v="W0679844"/>
        <s v="W0680260"/>
        <s v="W0680261"/>
        <s v="W0680757"/>
        <s v="W0681060"/>
        <s v="W0681206"/>
        <s v="W0681230"/>
        <s v="W0681231"/>
        <s v="W0681294"/>
        <s v="W0681368"/>
        <s v="W0681371"/>
        <s v="W0681390"/>
        <s v="W0681437"/>
        <s v="W0681441"/>
        <s v="W0681442"/>
        <s v="W0681465"/>
        <s v="W0681478"/>
        <s v="W0681688"/>
        <s v="W0681689"/>
        <s v="W0681761"/>
        <s v="W0681791"/>
        <s v="W0681810"/>
        <s v="W0681813"/>
        <s v="W0681826"/>
        <s v="W0681875"/>
        <s v="W0681876"/>
        <s v="W0681877"/>
        <s v="W0681878"/>
        <s v="W0681879"/>
        <s v="W0682006"/>
        <s v="W0682008"/>
        <s v="W0682011"/>
        <s v="W0682012"/>
        <s v="W0682020"/>
        <s v="W0682052"/>
        <s v="W0682059"/>
        <s v="W0682111"/>
        <s v="W0682165"/>
        <s v="W0682166"/>
        <s v="W0682169"/>
        <s v="W0682171"/>
        <s v="W0679845"/>
        <s v="W0681834"/>
        <s v="W0678884"/>
        <s v="W0679372"/>
        <s v="W0679473"/>
        <s v="W0679758"/>
        <s v="W0680387"/>
        <s v="W0680389"/>
        <s v="W0680391"/>
        <s v="W0680392"/>
        <s v="W0680393"/>
        <s v="W0680758"/>
        <s v="W0680760"/>
        <s v="W0680761"/>
        <s v="W0681130"/>
        <s v="W0681131"/>
        <s v="W0681207"/>
        <s v="W0681308"/>
        <s v="W0681318"/>
        <s v="W0681327"/>
        <s v="W0681443"/>
        <s v="W0681466"/>
        <s v="W0681467"/>
        <s v="W0681468"/>
        <s v="W0681793"/>
        <s v="W0681794"/>
        <s v="W0681830"/>
        <s v="W0681854"/>
        <s v="W0681891"/>
        <s v="W0682060"/>
        <s v="W0682173"/>
        <s v="W0676858"/>
        <s v="W0682105"/>
        <s v="W0678793"/>
        <s v="W0678808"/>
        <s v="W0679617"/>
        <s v="W0679622"/>
        <s v="W0679759"/>
        <s v="W0680425"/>
        <s v="W0680763"/>
        <s v="W0680764"/>
        <s v="W0681039"/>
        <s v="W0681221"/>
        <s v="W0681334"/>
        <s v="W0681340"/>
        <s v="W0681446"/>
        <s v="W0681476"/>
        <s v="W0681480"/>
        <s v="W0681487"/>
        <s v="W0681493"/>
        <s v="W0681634"/>
        <s v="W0681640"/>
        <s v="W0681648"/>
        <s v="W0681690"/>
        <s v="W0681806"/>
        <s v="W0681809"/>
        <s v="W0681812"/>
        <s v="W0681814"/>
        <s v="W0681823"/>
        <s v="W0681827"/>
        <s v="W0681862"/>
        <s v="W0681863"/>
        <s v="W0681880"/>
        <s v="W0682000"/>
        <s v="W0682001"/>
        <s v="W0682004"/>
        <s v="W0682005"/>
        <s v="W0682026"/>
        <s v="W0682032"/>
        <s v="W0682061"/>
        <s v="W0682064"/>
        <s v="W0682099"/>
        <s v="W0682101"/>
        <s v="W0682110"/>
        <s v="W0682117"/>
        <s v="W0682179"/>
        <s v="W0682181"/>
        <s v="W0682182"/>
        <s v="W0682230"/>
        <s v="W0678400"/>
        <s v="W0679621"/>
        <s v="W0681831"/>
        <s v="W0681864"/>
        <s v="W0682118"/>
        <s v="W0682516"/>
        <s v="W0676275"/>
        <s v="W0676773"/>
        <s v="W0677802"/>
        <s v="W0678356"/>
        <s v="W0680388"/>
        <s v="W0680728"/>
        <s v="W0681040"/>
        <s v="W0681208"/>
        <s v="W0681326"/>
        <s v="W0681330"/>
        <s v="W0681473"/>
        <s v="W0681474"/>
        <s v="W0681481"/>
        <s v="W0681610"/>
        <s v="W0681639"/>
        <s v="W0681641"/>
        <s v="W0681691"/>
        <s v="W0681713"/>
        <s v="W0681714"/>
        <s v="W0681766"/>
        <s v="W0681825"/>
        <s v="W0681829"/>
        <s v="W0681988"/>
        <s v="W0681989"/>
        <s v="W0681990"/>
        <s v="W0681991"/>
        <s v="W0681999"/>
        <s v="W0682002"/>
        <s v="W0682003"/>
        <s v="W0682016"/>
        <s v="W0682018"/>
        <s v="W0682062"/>
        <s v="W0682063"/>
        <s v="W0682069"/>
        <s v="W0682074"/>
        <s v="W0682183"/>
        <s v="W0682185"/>
        <s v="W0682198"/>
        <s v="W0682200"/>
        <s v="W0682201"/>
        <s v="W0682215"/>
        <s v="W0682216"/>
        <s v="W0682219"/>
        <s v="W0682220"/>
        <s v="W0682221"/>
        <s v="W0682231"/>
        <s v="W0682232"/>
        <s v="W0682233"/>
        <s v="W0682234"/>
        <s v="W0682237"/>
        <s v="W0682239"/>
        <s v="W0682240"/>
        <s v="W0682245"/>
        <s v="W0682247"/>
        <s v="W0682259"/>
        <s v="W0682266"/>
        <s v="W0682274"/>
        <s v="W0682275"/>
        <s v="W0682278"/>
        <s v="W0679155"/>
        <s v="W0681632"/>
        <s v="W0681738"/>
        <s v="W0681833"/>
        <s v="W0681927"/>
        <s v="W0682396"/>
        <s v="W0682404"/>
        <s v="W0682471"/>
        <s v="W0682483"/>
        <s v="W0682571"/>
        <s v="W0669386"/>
        <s v="W0676779"/>
        <s v="W0677880"/>
        <s v="W0679042"/>
        <s v="W0680730"/>
        <s v="W0680731"/>
        <s v="W0680874"/>
        <s v="W0681041"/>
        <s v="W0681100"/>
        <s v="W0681323"/>
        <s v="W0681324"/>
        <s v="W0681483"/>
        <s v="W0681492"/>
        <s v="W0681693"/>
        <s v="W0681759"/>
        <s v="W0681811"/>
        <s v="W0681824"/>
        <s v="W0681828"/>
        <s v="W0681994"/>
        <s v="W0681998"/>
        <s v="W0682014"/>
        <s v="W0682019"/>
        <s v="W0682053"/>
        <s v="W0682055"/>
        <s v="W0682065"/>
        <s v="W0682066"/>
        <s v="W0682070"/>
        <s v="W0682102"/>
        <s v="W0682103"/>
        <s v="W0682106"/>
        <s v="W0682197"/>
        <s v="W0682199"/>
        <s v="W0682209"/>
        <s v="W0682213"/>
        <s v="W0682214"/>
        <s v="W0682217"/>
        <s v="W0682218"/>
        <s v="W0682235"/>
        <s v="W0682236"/>
        <s v="W0682238"/>
        <s v="W0682243"/>
        <s v="W0682244"/>
        <s v="W0682246"/>
        <s v="W0682261"/>
        <s v="W0682283"/>
        <s v="W0682285"/>
        <s v="W0682517"/>
        <s v="W0681508"/>
        <s v="W0681832"/>
        <s v="W0681861"/>
        <s v="W0681926"/>
        <s v="W0682116"/>
        <s v="W0682429"/>
        <s v="W0682433"/>
        <s v="W0682534"/>
        <s v="W0682535"/>
        <s v="W0682545"/>
        <s v="W0678253"/>
        <s v="W0678666"/>
        <s v="W0678794"/>
        <s v="W0679616"/>
        <s v="W0679935"/>
        <s v="W0681042"/>
        <s v="W0681209"/>
        <s v="W0681328"/>
        <s v="W0681332"/>
        <s v="W0681482"/>
        <s v="W0681484"/>
        <s v="W0681490"/>
        <s v="W0681569"/>
        <s v="W0681616"/>
        <s v="W0681618"/>
        <s v="W0681619"/>
        <s v="W0681620"/>
        <s v="W0681621"/>
        <s v="W0681622"/>
        <s v="W0681623"/>
        <s v="W0681625"/>
        <s v="W0681696"/>
        <s v="W0681782"/>
        <s v="W0682017"/>
        <s v="W0682090"/>
        <s v="W0682119"/>
        <s v="W0682203"/>
        <s v="W0682204"/>
        <s v="W0682284"/>
        <s v="W0682286"/>
        <s v="W0682288"/>
        <s v="W0682289"/>
        <s v="W0682290"/>
        <s v="W0682291"/>
        <s v="W0682292"/>
        <s v="W0682293"/>
        <s v="W0682294"/>
        <s v="W0682295"/>
        <s v="W0682312"/>
        <s v="W0682456"/>
        <s v="W0682457"/>
        <s v="W0682458"/>
        <s v="W0682461"/>
        <s v="W0682465"/>
        <s v="W0682468"/>
        <s v="W0682484"/>
        <s v="W0681507"/>
        <s v="W0681928"/>
        <s v="W0682257"/>
        <s v="W0682258"/>
        <s v="W0682305"/>
        <s v="W0682318"/>
        <s v="W0682430"/>
        <s v="W0682437"/>
        <s v="W0682514"/>
        <s v="W0682529"/>
        <s v="W0682644"/>
        <s v="W0681068"/>
        <s v="W0681069"/>
        <s v="W0681070"/>
        <s v="W0681331"/>
        <s v="W0681333"/>
        <s v="W0681337"/>
        <s v="W0681572"/>
        <s v="W0681624"/>
        <s v="W0682028"/>
        <s v="W0682035"/>
        <s v="W0682071"/>
        <s v="W0682222"/>
        <s v="W0682255"/>
        <s v="W0682304"/>
        <s v="W0682473"/>
        <s v="W0682477"/>
        <s v="W0676859"/>
        <s v="W0681043"/>
        <s v="W0681044"/>
        <s v="W0681739"/>
        <s v="W0682472"/>
        <s v="W0681210"/>
        <s v="W0681470"/>
        <s v="W0681675"/>
        <s v="W0681676"/>
        <s v="W0681677"/>
        <s v="W0681678"/>
        <s v="W0681679"/>
        <s v="W0681680"/>
        <s v="W0681681"/>
        <s v="W0681682"/>
        <s v="W0681816"/>
        <s v="W0681859"/>
        <s v="W0682031"/>
        <s v="W0682033"/>
        <s v="W0682038"/>
        <s v="W0682039"/>
        <s v="W0682442"/>
        <s v="W0682447"/>
        <s v="W0682448"/>
        <s v="W0682450"/>
        <s v="W0682451"/>
        <s v="W0682452"/>
        <s v="W0682453"/>
        <s v="W0682462"/>
        <s v="W0682463"/>
        <s v="W0682474"/>
        <s v="W0682475"/>
        <s v="W0682500"/>
        <s v="W0682501"/>
        <s v="W0682502"/>
      </sharedItems>
    </cacheField>
    <cacheField name="Work Order Line No." numFmtId="0">
      <sharedItems containsSemiMixedTypes="0" containsString="0" containsNumber="1" containsInteger="1" minValue="10000" maxValue="40000"/>
    </cacheField>
    <cacheField name="WO Journal Line No." numFmtId="0">
      <sharedItems containsSemiMixedTypes="0" containsString="0" containsNumber="1" containsInteger="1" minValue="10000" maxValue="60000"/>
    </cacheField>
    <cacheField name="Add Date" numFmtId="14">
      <sharedItems containsSemiMixedTypes="0" containsNonDate="0" containsDate="1" containsString="0" minDate="2025-02-25T00:00:00" maxDate="2025-04-16T00:00:00"/>
    </cacheField>
    <cacheField name="Add User" numFmtId="0">
      <sharedItems/>
    </cacheField>
    <cacheField name="Add Time" numFmtId="0">
      <sharedItems containsDate="1" containsMixedTypes="1" minDate="1899-12-30T10:06:06" maxDate="1899-12-30T12:59:11"/>
    </cacheField>
    <cacheField name="Material Batch No." numFmtId="0">
      <sharedItems containsMixedTypes="1" containsNumber="1" containsInteger="1" minValue="59469" maxValue="4042448203724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Posted" numFmtId="0">
      <sharedItems/>
    </cacheField>
    <cacheField name="Machine Code" numFmtId="0">
      <sharedItems containsMixedTypes="1" containsNumber="1" containsInteger="1" minValue="12" maxValue="112"/>
    </cacheField>
    <cacheField name="Machine Name" numFmtId="0">
      <sharedItems/>
    </cacheField>
    <cacheField name="Machine Type" numFmtId="0">
      <sharedItems count="8">
        <s v="Flexo"/>
        <s v="AOI"/>
        <s v="LP"/>
        <s v="Die-Cut"/>
        <s v="Digital"/>
        <s v="Die-Cut (L)"/>
        <s v="Die-Cut (D)"/>
        <s v="Hotstamping"/>
      </sharedItems>
    </cacheField>
    <cacheField name="Staff Code" numFmtId="0">
      <sharedItems/>
    </cacheField>
    <cacheField name="Staff Code Desc" numFmtId="0">
      <sharedItems/>
    </cacheField>
    <cacheField name="No. of Press" numFmtId="0">
      <sharedItems containsSemiMixedTypes="0" containsString="0" containsNumber="1" containsInteger="1" minValue="3" maxValue="7994000"/>
    </cacheField>
    <cacheField name="Date Started" numFmtId="0">
      <sharedItems containsString="0" containsBlank="1" containsNumber="1" minValue="30.9" maxValue="133278.33333333334"/>
    </cacheField>
    <cacheField name="Time Started" numFmtId="0">
      <sharedItems containsString="0" containsBlank="1" containsNumber="1" minValue="0.51500000000000001" maxValue="2221.3055555555557"/>
    </cacheField>
    <cacheField name="Date Completed" numFmtId="14">
      <sharedItems containsSemiMixedTypes="0" containsNonDate="0" containsDate="1" containsString="0" minDate="2025-03-01T00:00:00" maxDate="2025-03-30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344"/>
    </cacheField>
    <cacheField name="Printed Quantity" numFmtId="0">
      <sharedItems containsSemiMixedTypes="0" containsString="0" containsNumber="1" containsInteger="1" minValue="5" maxValue="7994000"/>
    </cacheField>
    <cacheField name="Journal Type" numFmtId="0">
      <sharedItems/>
    </cacheField>
    <cacheField name="Item Code" numFmtId="0">
      <sharedItems containsMixedTypes="1" containsNumber="1" minValue="86.915900010000001" maxValue="4.70044086004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7140000"/>
    </cacheField>
    <cacheField name="Rejected Quantity" numFmtId="0">
      <sharedItems containsSemiMixedTypes="0" containsString="0" containsNumber="1" containsInteger="1" minValue="-270000" maxValue="3567000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7004408600400"/>
    </cacheField>
    <cacheField name="Customer Code" numFmtId="0">
      <sharedItems/>
    </cacheField>
    <cacheField name="Customer Nam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6">
  <r>
    <x v="0"/>
    <n v="10000"/>
    <n v="40000"/>
    <d v="2025-03-04T00:00:00"/>
    <s v="502LAUGH"/>
    <d v="1899-12-30T11:11:56"/>
    <s v="10639931017/10639931014"/>
    <m/>
    <x v="0"/>
    <s v="Yes"/>
    <n v="86"/>
    <s v="Brotech DF330 "/>
    <x v="0"/>
    <s v="PM45"/>
    <s v="TAY CHIN LIONG"/>
    <n v="8334"/>
    <n v="183.9"/>
    <n v="3.0649999999999999"/>
    <d v="2025-03-01T00:00:00"/>
    <m/>
    <n v="36"/>
    <n v="300024"/>
    <s v="PE"/>
    <s v="5180-0100-BH2120001"/>
    <n v="0"/>
    <n v="280379"/>
    <n v="19645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404"/>
    <n v="0"/>
    <m/>
    <s v="H08031-JIM"/>
    <m/>
    <m/>
    <s v="S0350610"/>
  </r>
  <r>
    <x v="1"/>
    <n v="10000"/>
    <n v="30000"/>
    <d v="2025-03-03T00:00:00"/>
    <s v="502LAUGH"/>
    <s v=" 4:49:47 pm"/>
    <s v="10584752088/10584752089/10584752090/10584752091/10584752092"/>
    <m/>
    <x v="1"/>
    <s v="Yes"/>
    <n v="91"/>
    <s v="Luster AOI"/>
    <x v="1"/>
    <s v="QM87"/>
    <s v="GOH SING JOO"/>
    <n v="56000"/>
    <m/>
    <m/>
    <d v="2025-03-01T00:00:00"/>
    <m/>
    <n v="9"/>
    <n v="504000"/>
    <s v="PE"/>
    <s v="5180-0103-BH2120001"/>
    <n v="0"/>
    <n v="500000"/>
    <n v="40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2929"/>
    <n v="0"/>
    <m/>
    <s v="H08031-JIM"/>
    <m/>
    <m/>
    <s v="S0353172"/>
  </r>
  <r>
    <x v="2"/>
    <n v="10000"/>
    <n v="30000"/>
    <d v="2025-03-14T00:00:00"/>
    <s v="502LAUGH"/>
    <s v=" 8:37:26 am"/>
    <s v="10639931087/10639931085/10620258096/10620258095/10620258094"/>
    <m/>
    <x v="0"/>
    <s v="Yes"/>
    <n v="86"/>
    <s v="Brotech DF330 "/>
    <x v="0"/>
    <s v="PM45"/>
    <s v="TAY CHIN LIONG"/>
    <n v="29723"/>
    <n v="540.38333333333333"/>
    <n v="9.006388888888889"/>
    <d v="2025-03-01T00:00:00"/>
    <m/>
    <n v="36"/>
    <n v="1070028"/>
    <s v="PE"/>
    <s v="5180-0102-BH2120001"/>
    <n v="0"/>
    <n v="1000000"/>
    <n v="70028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2931"/>
    <n v="0"/>
    <m/>
    <s v="H08031-JIM"/>
    <m/>
    <m/>
    <s v="S0353204"/>
  </r>
  <r>
    <x v="3"/>
    <n v="10000"/>
    <n v="20000"/>
    <d v="2025-03-03T00:00:00"/>
    <s v="502LAUGH"/>
    <s v=" 9:00:27 am"/>
    <s v="SG-564141001"/>
    <m/>
    <x v="2"/>
    <s v="Yes"/>
    <n v="73"/>
    <s v="Brotech DF330"/>
    <x v="0"/>
    <s v="PM59"/>
    <s v="VOON CHAN PIN"/>
    <n v="24000"/>
    <n v="445"/>
    <n v="7.416666666666667"/>
    <d v="2025-03-01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2946"/>
    <n v="0"/>
    <m/>
    <s v="B02083"/>
    <m/>
    <m/>
    <s v="S0357120"/>
  </r>
  <r>
    <x v="4"/>
    <n v="10000"/>
    <n v="10000"/>
    <d v="2025-03-03T00:00:00"/>
    <s v="505KANGHS"/>
    <s v=" 8:39:41 am"/>
    <s v="SG-564141001"/>
    <m/>
    <x v="2"/>
    <s v="Yes"/>
    <n v="73"/>
    <s v="Brotech DF330"/>
    <x v="0"/>
    <s v="PM18"/>
    <s v="LAI CHIN YANG"/>
    <n v="36000"/>
    <m/>
    <m/>
    <d v="2025-03-0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3294"/>
    <n v="0"/>
    <m/>
    <s v="B02083"/>
    <m/>
    <m/>
    <s v="S0357121"/>
  </r>
  <r>
    <x v="5"/>
    <n v="10000"/>
    <n v="30000"/>
    <d v="2025-03-03T00:00:00"/>
    <s v="502LAUGH"/>
    <s v=" 8:54:11 am"/>
    <s v="D007Y0190/D006A5780/D007Y0190"/>
    <m/>
    <x v="1"/>
    <s v="Yes"/>
    <n v="101"/>
    <s v="Luster AOI"/>
    <x v="1"/>
    <s v="QM54"/>
    <s v="TAN SWEE LENG"/>
    <n v="34000"/>
    <m/>
    <m/>
    <d v="2025-03-01T00:00:00"/>
    <m/>
    <n v="3"/>
    <n v="102000"/>
    <s v="PE"/>
    <s v="1VU26-80043-FT0001"/>
    <n v="0"/>
    <n v="110000"/>
    <n v="-8000"/>
    <n v="0"/>
    <n v="0"/>
    <n v="0"/>
    <m/>
    <m/>
    <n v="0"/>
    <m/>
    <m/>
    <m/>
    <m/>
    <m/>
    <m/>
    <m/>
    <m/>
    <s v="1VU26-80043-FT"/>
    <s v="H08031-JIM-M"/>
    <s v="HP MALAYSIA MANUFACTURING SDN.BHD."/>
    <m/>
    <n v="0"/>
    <n v="0"/>
    <n v="0"/>
    <n v="0"/>
    <n v="0"/>
    <n v="0"/>
    <m/>
    <m/>
    <m/>
    <s v="No"/>
    <s v="W661939"/>
    <n v="0"/>
    <m/>
    <s v="H08031-JIM-M"/>
    <m/>
    <m/>
    <s v="S0357400"/>
  </r>
  <r>
    <x v="6"/>
    <n v="10000"/>
    <n v="10000"/>
    <d v="2025-03-03T00:00:00"/>
    <s v="502LAUGH"/>
    <s v=" 8:40:28 am"/>
    <s v="4103018U5A"/>
    <m/>
    <x v="2"/>
    <s v="Yes"/>
    <n v="46"/>
    <s v="Sanki 300 Intermittent"/>
    <x v="2"/>
    <s v="PS66"/>
    <s v="SIM ENG KWANG"/>
    <n v="4000"/>
    <n v="145"/>
    <n v="2.4166666666666665"/>
    <d v="2025-03-01T00:00:00"/>
    <m/>
    <n v="1"/>
    <n v="4000"/>
    <s v="PE"/>
    <s v="260-6403-000001"/>
    <n v="0"/>
    <n v="4000"/>
    <n v="0"/>
    <n v="0"/>
    <n v="0"/>
    <n v="0"/>
    <m/>
    <m/>
    <n v="0"/>
    <m/>
    <m/>
    <m/>
    <m/>
    <m/>
    <m/>
    <m/>
    <m/>
    <s v="260-6403-00"/>
    <s v="J10025"/>
    <s v="JMS SINGAPORE PTE LTD"/>
    <m/>
    <n v="0"/>
    <n v="0"/>
    <n v="0"/>
    <n v="0"/>
    <n v="0"/>
    <n v="0"/>
    <m/>
    <m/>
    <m/>
    <s v="No"/>
    <s v="W662152"/>
    <n v="0"/>
    <m/>
    <s v="J10025"/>
    <m/>
    <m/>
    <s v="S0357888"/>
  </r>
  <r>
    <x v="7"/>
    <n v="10000"/>
    <n v="30000"/>
    <d v="2025-03-05T00:00:00"/>
    <s v="502LAUGH"/>
    <s v=" 2:58:25 pm"/>
    <s v="4103018U5A"/>
    <m/>
    <x v="2"/>
    <s v="Yes"/>
    <n v="46"/>
    <s v="Sanki 300 Intermittent"/>
    <x v="2"/>
    <s v="PS66"/>
    <s v="SIM ENG KWANG"/>
    <n v="2000"/>
    <n v="95"/>
    <n v="1.5833333333333333"/>
    <d v="2025-03-01T00:00:00"/>
    <m/>
    <n v="1"/>
    <n v="2000"/>
    <s v="PE"/>
    <s v="260-6482-000001"/>
    <n v="0"/>
    <n v="2000"/>
    <n v="0"/>
    <n v="0"/>
    <n v="0"/>
    <n v="0"/>
    <m/>
    <m/>
    <n v="0"/>
    <m/>
    <m/>
    <m/>
    <m/>
    <m/>
    <m/>
    <m/>
    <m/>
    <s v="260-6482-00"/>
    <s v="J10025"/>
    <s v="JMS SINGAPORE PTE LTD"/>
    <m/>
    <n v="0"/>
    <n v="0"/>
    <n v="0"/>
    <n v="0"/>
    <n v="0"/>
    <n v="0"/>
    <m/>
    <m/>
    <m/>
    <s v="No"/>
    <s v="W662205"/>
    <n v="0"/>
    <m/>
    <s v="J10025"/>
    <m/>
    <m/>
    <s v="S0357888"/>
  </r>
  <r>
    <x v="8"/>
    <n v="10000"/>
    <n v="20000"/>
    <d v="2025-03-04T00:00:00"/>
    <s v="502LAUGH"/>
    <s v=" 8:37:07 am"/>
    <s v="D005I8320/D00676710"/>
    <m/>
    <x v="0"/>
    <s v="Yes"/>
    <n v="77"/>
    <s v="Brotech DF330 "/>
    <x v="0"/>
    <s v="PM74"/>
    <s v="YONG CHEE SOON"/>
    <n v="10600"/>
    <n v="221.66666666666666"/>
    <n v="3.6944444444444442"/>
    <d v="2025-03-01T00:00:00"/>
    <m/>
    <n v="10"/>
    <n v="106000"/>
    <s v="PE"/>
    <s v="6ZE06-80002-FT0001"/>
    <n v="0"/>
    <n v="100000"/>
    <n v="6000"/>
    <n v="0"/>
    <n v="0"/>
    <n v="0"/>
    <m/>
    <m/>
    <n v="0"/>
    <m/>
    <m/>
    <m/>
    <m/>
    <m/>
    <m/>
    <m/>
    <m/>
    <s v="6ZE06-80002-FT"/>
    <s v="H08031-JIM-M"/>
    <s v="HP MALAYSIA MANUFACTURING SDN.BHD."/>
    <m/>
    <n v="0"/>
    <n v="0"/>
    <n v="0"/>
    <n v="0"/>
    <n v="0"/>
    <n v="0"/>
    <m/>
    <m/>
    <m/>
    <s v="No"/>
    <s v="W662154"/>
    <n v="0"/>
    <m/>
    <s v="H08031-JIM-M"/>
    <m/>
    <m/>
    <s v="S0358096"/>
  </r>
  <r>
    <x v="9"/>
    <n v="10000"/>
    <n v="20000"/>
    <d v="2025-03-03T00:00:00"/>
    <s v="502LAUGH"/>
    <s v=" 8:45:36 am"/>
    <s v="J00T59660"/>
    <m/>
    <x v="0"/>
    <s v="Yes"/>
    <n v="71"/>
    <s v="POLLY"/>
    <x v="3"/>
    <s v="PS95"/>
    <s v="LIM CHENG LEONG"/>
    <n v="4167"/>
    <m/>
    <m/>
    <d v="2025-03-01T00:00:00"/>
    <m/>
    <n v="6"/>
    <n v="25002"/>
    <s v="PE"/>
    <n v="86090880001"/>
    <n v="0"/>
    <n v="25000"/>
    <n v="2"/>
    <n v="0"/>
    <n v="0"/>
    <n v="0"/>
    <m/>
    <m/>
    <n v="0"/>
    <m/>
    <m/>
    <m/>
    <m/>
    <m/>
    <m/>
    <m/>
    <m/>
    <n v="8609088"/>
    <s v="B02083"/>
    <s v="BECTON DICKINSON MEDICAL (S) PTE LTD"/>
    <m/>
    <n v="0"/>
    <n v="0"/>
    <n v="0"/>
    <n v="0"/>
    <n v="0"/>
    <n v="0"/>
    <m/>
    <m/>
    <m/>
    <s v="No"/>
    <s v="W661986"/>
    <n v="0"/>
    <m/>
    <s v="B02083"/>
    <m/>
    <m/>
    <s v="S0358239"/>
  </r>
  <r>
    <x v="10"/>
    <n v="10000"/>
    <n v="20000"/>
    <d v="2025-03-03T00:00:00"/>
    <s v="502LAUGH"/>
    <s v=" 8:47:06 am"/>
    <s v="J00T59660"/>
    <m/>
    <x v="0"/>
    <s v="Yes"/>
    <n v="71"/>
    <s v="POLLY"/>
    <x v="3"/>
    <s v="PS95"/>
    <s v="LIM CHENG LEONG"/>
    <n v="1667"/>
    <m/>
    <m/>
    <d v="2025-03-01T00:00:00"/>
    <m/>
    <n v="6"/>
    <n v="10002"/>
    <s v="PE"/>
    <n v="86090890001"/>
    <n v="0"/>
    <n v="10000"/>
    <n v="2"/>
    <n v="0"/>
    <n v="0"/>
    <n v="0"/>
    <m/>
    <m/>
    <n v="0"/>
    <m/>
    <m/>
    <m/>
    <m/>
    <m/>
    <m/>
    <m/>
    <m/>
    <n v="8609089"/>
    <s v="B02083"/>
    <s v="BECTON DICKINSON MEDICAL (S) PTE LTD"/>
    <m/>
    <n v="0"/>
    <n v="0"/>
    <n v="0"/>
    <n v="0"/>
    <n v="0"/>
    <n v="0"/>
    <m/>
    <m/>
    <m/>
    <s v="No"/>
    <s v="W661987"/>
    <n v="0"/>
    <m/>
    <s v="B02083"/>
    <m/>
    <m/>
    <s v="S0358239"/>
  </r>
  <r>
    <x v="11"/>
    <n v="10000"/>
    <n v="20000"/>
    <d v="2025-03-03T00:00:00"/>
    <s v="502LAUGH"/>
    <s v=" 8:46:22 am"/>
    <s v="J00T59660"/>
    <m/>
    <x v="0"/>
    <s v="Yes"/>
    <n v="71"/>
    <s v="POLLY"/>
    <x v="3"/>
    <s v="PS95"/>
    <s v="LIM CHENG LEONG"/>
    <n v="1667"/>
    <m/>
    <m/>
    <d v="2025-03-01T00:00:00"/>
    <m/>
    <n v="6"/>
    <n v="10002"/>
    <s v="PE"/>
    <n v="86090900001"/>
    <n v="0"/>
    <n v="10000"/>
    <n v="2"/>
    <n v="0"/>
    <n v="0"/>
    <n v="0"/>
    <m/>
    <m/>
    <n v="0"/>
    <m/>
    <m/>
    <m/>
    <m/>
    <m/>
    <m/>
    <m/>
    <m/>
    <n v="8609090"/>
    <s v="B02083"/>
    <s v="BECTON DICKINSON MEDICAL (S) PTE LTD"/>
    <m/>
    <n v="0"/>
    <n v="0"/>
    <n v="0"/>
    <n v="0"/>
    <n v="0"/>
    <n v="0"/>
    <m/>
    <m/>
    <m/>
    <s v="No"/>
    <s v="W661988"/>
    <n v="0"/>
    <m/>
    <s v="B02083"/>
    <m/>
    <m/>
    <s v="S0358239"/>
  </r>
  <r>
    <x v="12"/>
    <n v="10000"/>
    <n v="20000"/>
    <d v="2025-03-03T00:00:00"/>
    <s v="502LAUGH"/>
    <s v=" 3:36:54 pm"/>
    <s v="D00676710/D005I8320"/>
    <m/>
    <x v="0"/>
    <s v="Yes"/>
    <n v="77"/>
    <s v="Brotech DF330 "/>
    <x v="0"/>
    <s v="PM74"/>
    <s v="YONG CHEE SOON"/>
    <n v="18500"/>
    <n v="353.33333333333331"/>
    <n v="5.8888888888888884"/>
    <d v="2025-03-01T00:00:00"/>
    <m/>
    <n v="10"/>
    <n v="185000"/>
    <s v="PE"/>
    <s v="6ZE04-80002-FT0001"/>
    <n v="0"/>
    <n v="175000"/>
    <n v="10000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2155"/>
    <n v="0"/>
    <m/>
    <s v="H08031-JIM-M"/>
    <m/>
    <m/>
    <s v="S0358297"/>
  </r>
  <r>
    <x v="13"/>
    <n v="10000"/>
    <n v="10000"/>
    <d v="2025-03-03T00:00:00"/>
    <s v="502LAUGH"/>
    <s v=" 9:12:20 am"/>
    <s v="5305412-04-02-06/5305412-04-03-01/5305412-04-03-03"/>
    <m/>
    <x v="2"/>
    <s v="Yes"/>
    <n v="90"/>
    <s v="HDS"/>
    <x v="3"/>
    <s v="QC04"/>
    <s v="YANG TONGJING"/>
    <n v="27000"/>
    <n v="1395"/>
    <n v="23.25"/>
    <d v="2025-03-01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2206"/>
    <n v="0"/>
    <m/>
    <s v="S19314"/>
    <m/>
    <m/>
    <s v="H0064583"/>
  </r>
  <r>
    <x v="14"/>
    <n v="10000"/>
    <n v="30000"/>
    <d v="2025-03-03T00:00:00"/>
    <s v="502LAUGH"/>
    <s v=" 8:50:40 am"/>
    <s v="40085H051"/>
    <m/>
    <x v="0"/>
    <s v="Yes"/>
    <n v="60"/>
    <s v="Fujishiko UDP-5000"/>
    <x v="3"/>
    <s v="PM17"/>
    <s v="NG SWEE CHEA"/>
    <n v="5000"/>
    <n v="145"/>
    <n v="2.4166666666666665"/>
    <d v="2025-03-01T00:00:00"/>
    <m/>
    <n v="1"/>
    <n v="5000"/>
    <s v="PE"/>
    <s v="FRAGILE LABEL0004"/>
    <n v="0"/>
    <n v="3378"/>
    <n v="1622"/>
    <n v="0"/>
    <n v="0"/>
    <n v="0"/>
    <m/>
    <m/>
    <n v="0"/>
    <m/>
    <m/>
    <m/>
    <m/>
    <m/>
    <m/>
    <m/>
    <m/>
    <s v="FRAGILE LABEL"/>
    <s v="M13367"/>
    <s v="MENTOR MEDIA LIMITED"/>
    <m/>
    <n v="0"/>
    <n v="0"/>
    <n v="0"/>
    <n v="0"/>
    <n v="0"/>
    <n v="0"/>
    <m/>
    <m/>
    <m/>
    <s v="No"/>
    <s v="W662011"/>
    <n v="0"/>
    <m/>
    <s v="M13367"/>
    <m/>
    <m/>
    <s v="S0358328"/>
  </r>
  <r>
    <x v="15"/>
    <n v="10000"/>
    <n v="10000"/>
    <d v="2025-03-04T00:00:00"/>
    <s v="502LAUGH"/>
    <s v=" 4:03:05 pm"/>
    <s v="E0801904/M0BSO4480"/>
    <m/>
    <x v="2"/>
    <s v="Yes"/>
    <n v="87"/>
    <s v="SYSCO"/>
    <x v="3"/>
    <s v="PM14"/>
    <s v="GOH CHEN YONG"/>
    <n v="20250"/>
    <m/>
    <m/>
    <d v="2025-03-01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136"/>
    <n v="0"/>
    <m/>
    <s v="S19081-TH"/>
    <m/>
    <m/>
    <s v="H0064623"/>
  </r>
  <r>
    <x v="16"/>
    <n v="10000"/>
    <n v="10000"/>
    <d v="2025-03-03T00:00:00"/>
    <s v="502LAUGH"/>
    <s v=" 8:57:51 am"/>
    <s v="SG-5630465"/>
    <m/>
    <x v="2"/>
    <s v="Yes"/>
    <n v="59"/>
    <s v="SANKI SD-300 Intermittent"/>
    <x v="2"/>
    <s v="PM09"/>
    <s v="PANG JING FULL"/>
    <n v="258"/>
    <n v="51.45"/>
    <n v="0.85750000000000004"/>
    <d v="2025-03-01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62016"/>
    <n v="0"/>
    <m/>
    <s v="I09180"/>
    <m/>
    <m/>
    <s v="S0358363"/>
  </r>
  <r>
    <x v="17"/>
    <n v="10000"/>
    <n v="10000"/>
    <d v="2025-03-03T00:00:00"/>
    <s v="502LAUGH"/>
    <s v=" 8:59:11 am"/>
    <s v="G2329005"/>
    <m/>
    <x v="2"/>
    <s v="Yes"/>
    <n v="78"/>
    <s v="Baby Sanki"/>
    <x v="2"/>
    <s v="PM84"/>
    <s v="TAN TAI TOH"/>
    <n v="1667"/>
    <n v="86.674999999999997"/>
    <n v="1.4445833333333333"/>
    <d v="2025-03-01T00:00:00"/>
    <m/>
    <n v="3"/>
    <n v="5001"/>
    <s v="PE"/>
    <s v="0098-85000001"/>
    <n v="0"/>
    <n v="5000"/>
    <n v="1"/>
    <n v="0"/>
    <n v="0"/>
    <n v="0"/>
    <m/>
    <m/>
    <n v="0"/>
    <m/>
    <m/>
    <m/>
    <m/>
    <m/>
    <m/>
    <m/>
    <m/>
    <s v="C02-0098-8500"/>
    <s v="G07042-M"/>
    <s v="GES MANUFACTURING SERVICES (M) SDN BHD"/>
    <m/>
    <n v="0"/>
    <n v="0"/>
    <n v="0"/>
    <n v="0"/>
    <n v="0"/>
    <n v="0"/>
    <m/>
    <m/>
    <m/>
    <s v="No"/>
    <s v="W662023"/>
    <n v="0"/>
    <m/>
    <s v="G07042-M"/>
    <m/>
    <m/>
    <s v="S0358422"/>
  </r>
  <r>
    <x v="18"/>
    <n v="10000"/>
    <n v="10000"/>
    <d v="2025-03-03T00:00:00"/>
    <s v="502LAUGH"/>
    <s v=" 5:19:21 pm"/>
    <s v="4111523U5A/4111522U5A/4111521U5A"/>
    <m/>
    <x v="2"/>
    <s v="Yes"/>
    <n v="61"/>
    <s v="FSK 520"/>
    <x v="2"/>
    <s v="PM61"/>
    <s v="HO CHAN LE"/>
    <n v="8334"/>
    <n v="211.68"/>
    <n v="3.528"/>
    <d v="2025-03-01T00:00:00"/>
    <m/>
    <n v="6"/>
    <n v="50004"/>
    <s v="PE"/>
    <s v="260-6012-000001"/>
    <n v="0"/>
    <n v="50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2213"/>
    <n v="0"/>
    <m/>
    <s v="J10025"/>
    <m/>
    <m/>
    <s v="S0358486"/>
  </r>
  <r>
    <x v="19"/>
    <n v="10000"/>
    <n v="10000"/>
    <d v="2025-03-03T00:00:00"/>
    <s v="502LAUGH"/>
    <s v=" 8:59:11 am"/>
    <s v="4071802U5"/>
    <m/>
    <x v="2"/>
    <s v="Yes"/>
    <n v="78"/>
    <s v="Baby Sanki"/>
    <x v="2"/>
    <s v="PM84"/>
    <s v="TAN TAI TOH"/>
    <n v="6000"/>
    <n v="195"/>
    <n v="3.25"/>
    <d v="2025-03-01T00:00:00"/>
    <m/>
    <n v="1"/>
    <n v="6000"/>
    <s v="PE"/>
    <s v="807192 REV 4000001"/>
    <n v="0"/>
    <n v="6000"/>
    <n v="0"/>
    <n v="0"/>
    <n v="0"/>
    <n v="0"/>
    <m/>
    <m/>
    <n v="0"/>
    <m/>
    <m/>
    <m/>
    <m/>
    <m/>
    <m/>
    <m/>
    <m/>
    <s v="807192 REV 400"/>
    <s v="V22000"/>
    <s v="PT VARTA MICROBATTERY INDONESIA"/>
    <m/>
    <n v="0"/>
    <n v="0"/>
    <n v="0"/>
    <n v="0"/>
    <n v="0"/>
    <n v="0"/>
    <m/>
    <m/>
    <m/>
    <s v="No"/>
    <s v="W662037"/>
    <n v="0"/>
    <m/>
    <s v="V22000"/>
    <m/>
    <m/>
    <s v="S0358750"/>
  </r>
  <r>
    <x v="20"/>
    <n v="10000"/>
    <n v="20000"/>
    <d v="2025-03-03T00:00:00"/>
    <s v="502LAUGH"/>
    <s v=" 8:44:51 am"/>
    <s v="J00T59660"/>
    <m/>
    <x v="0"/>
    <s v="Yes"/>
    <n v="71"/>
    <s v="POLLY"/>
    <x v="3"/>
    <s v="PS95"/>
    <s v="LIM CHENG LEONG"/>
    <n v="1667"/>
    <m/>
    <m/>
    <d v="2025-03-01T00:00:00"/>
    <m/>
    <n v="6"/>
    <n v="10002"/>
    <s v="PE"/>
    <n v="80834720001"/>
    <n v="0"/>
    <n v="10000"/>
    <n v="2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62040"/>
    <n v="0"/>
    <m/>
    <s v="B02083"/>
    <m/>
    <m/>
    <s v="S0358764"/>
  </r>
  <r>
    <x v="21"/>
    <n v="10000"/>
    <n v="10000"/>
    <d v="2025-03-03T00:00:00"/>
    <s v="502LAUGH"/>
    <s v=" 8:36:45 am"/>
    <s v="U3B12S049"/>
    <m/>
    <x v="2"/>
    <s v="Yes"/>
    <n v="61"/>
    <s v="FSK 520"/>
    <x v="2"/>
    <s v="PM68"/>
    <s v="LEE KIM LIANG"/>
    <n v="1250"/>
    <n v="70"/>
    <n v="1.1666666666666667"/>
    <d v="2025-03-01T00:00:00"/>
    <m/>
    <n v="8"/>
    <n v="10000"/>
    <s v="PE"/>
    <s v="039714 REV5000001"/>
    <n v="0"/>
    <n v="10000"/>
    <n v="0"/>
    <n v="0"/>
    <n v="0"/>
    <n v="0"/>
    <m/>
    <m/>
    <n v="0"/>
    <m/>
    <m/>
    <m/>
    <m/>
    <m/>
    <m/>
    <m/>
    <m/>
    <s v="039714 REV500"/>
    <s v="V22000"/>
    <s v="PT VARTA MICROBATTERY INDONESIA"/>
    <m/>
    <n v="0"/>
    <n v="0"/>
    <n v="0"/>
    <n v="0"/>
    <n v="0"/>
    <n v="0"/>
    <m/>
    <m/>
    <m/>
    <s v="No"/>
    <s v="W662051"/>
    <n v="0"/>
    <m/>
    <s v="V22000"/>
    <m/>
    <m/>
    <s v="S0359014"/>
  </r>
  <r>
    <x v="22"/>
    <n v="10000"/>
    <n v="10000"/>
    <d v="2025-03-03T00:00:00"/>
    <s v="502LAUGH"/>
    <s v=" 8:56:30 am"/>
    <s v="SG-5630465"/>
    <m/>
    <x v="2"/>
    <s v="Yes"/>
    <n v="59"/>
    <s v="SANKI SD-300 Intermittent"/>
    <x v="2"/>
    <s v="PM09"/>
    <s v="PANG JING FULL"/>
    <n v="2130"/>
    <n v="98.25"/>
    <n v="1.6375"/>
    <d v="2025-03-01T00:00:00"/>
    <m/>
    <n v="2"/>
    <n v="4260"/>
    <s v="PE"/>
    <n v="150281190001"/>
    <n v="0"/>
    <n v="4260"/>
    <n v="0"/>
    <n v="0"/>
    <n v="0"/>
    <n v="0"/>
    <m/>
    <m/>
    <n v="0"/>
    <m/>
    <m/>
    <m/>
    <m/>
    <m/>
    <m/>
    <m/>
    <m/>
    <n v="15028119"/>
    <s v="I09180"/>
    <s v="ILLUMINA SINGAPORE PTE LTD"/>
    <m/>
    <n v="0"/>
    <n v="0"/>
    <n v="0"/>
    <n v="0"/>
    <n v="0"/>
    <n v="0"/>
    <m/>
    <m/>
    <m/>
    <s v="No"/>
    <s v="W662053"/>
    <n v="0"/>
    <m/>
    <s v="I09180"/>
    <m/>
    <m/>
    <s v="S0359039"/>
  </r>
  <r>
    <x v="23"/>
    <n v="10000"/>
    <n v="30000"/>
    <d v="2025-03-04T00:00:00"/>
    <s v="502LAUGH"/>
    <s v=" 8:34:26 am"/>
    <s v="SG-5641511-01"/>
    <m/>
    <x v="1"/>
    <s v="Yes"/>
    <n v="73"/>
    <s v="Brotech DF330"/>
    <x v="0"/>
    <s v="PS96"/>
    <s v="HONG QUANSHUN"/>
    <n v="207000"/>
    <n v="3495"/>
    <n v="58.25"/>
    <d v="2025-03-01T00:00:00"/>
    <m/>
    <n v="1"/>
    <n v="207000"/>
    <s v="PE"/>
    <n v="150370360001"/>
    <n v="0"/>
    <n v="122826"/>
    <n v="84174"/>
    <n v="0"/>
    <n v="0"/>
    <n v="0"/>
    <m/>
    <m/>
    <n v="0"/>
    <m/>
    <m/>
    <m/>
    <m/>
    <m/>
    <m/>
    <m/>
    <m/>
    <n v="15037036"/>
    <s v="I09180"/>
    <s v="ILLUMINA SINGAPORE PTE LTD"/>
    <m/>
    <n v="0"/>
    <n v="0"/>
    <n v="0"/>
    <n v="0"/>
    <n v="0"/>
    <n v="0"/>
    <m/>
    <m/>
    <m/>
    <s v="No"/>
    <s v="W662218"/>
    <n v="0"/>
    <m/>
    <s v="I09180"/>
    <m/>
    <m/>
    <s v="S0359046"/>
  </r>
  <r>
    <x v="24"/>
    <n v="10000"/>
    <n v="20000"/>
    <d v="2025-03-03T00:00:00"/>
    <s v="502LAUGH"/>
    <s v=" 8:49:12 am"/>
    <s v="J00T59660"/>
    <m/>
    <x v="0"/>
    <s v="Yes"/>
    <n v="71"/>
    <s v="POLLY"/>
    <x v="3"/>
    <s v="PS95"/>
    <s v="LIM CHENG LEONG"/>
    <n v="834"/>
    <m/>
    <m/>
    <d v="2025-03-01T00:00:00"/>
    <m/>
    <n v="6"/>
    <n v="5004"/>
    <s v="PE"/>
    <n v="5000582250001"/>
    <n v="0"/>
    <n v="5000"/>
    <n v="4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2063"/>
    <n v="0"/>
    <m/>
    <s v="B02083"/>
    <m/>
    <m/>
    <s v="S0359167"/>
  </r>
  <r>
    <x v="25"/>
    <n v="10000"/>
    <n v="20000"/>
    <d v="2025-03-03T00:00:00"/>
    <s v="502LAUGH"/>
    <s v=" 8:48:34 am"/>
    <s v="J00T59660"/>
    <m/>
    <x v="0"/>
    <s v="Yes"/>
    <n v="71"/>
    <s v="POLLY"/>
    <x v="3"/>
    <s v="PS95"/>
    <s v="LIM CHENG LEONG"/>
    <n v="834"/>
    <m/>
    <m/>
    <d v="2025-03-01T00:00:00"/>
    <m/>
    <n v="6"/>
    <n v="5004"/>
    <s v="PE"/>
    <n v="5000596240001"/>
    <n v="0"/>
    <n v="5000"/>
    <n v="4"/>
    <n v="0"/>
    <n v="0"/>
    <n v="0"/>
    <m/>
    <m/>
    <n v="0"/>
    <m/>
    <m/>
    <m/>
    <m/>
    <m/>
    <m/>
    <m/>
    <m/>
    <n v="500059624"/>
    <s v="B02083"/>
    <s v="BECTON DICKINSON MEDICAL (S) PTE LTD"/>
    <m/>
    <n v="0"/>
    <n v="0"/>
    <n v="0"/>
    <n v="0"/>
    <n v="0"/>
    <n v="0"/>
    <m/>
    <m/>
    <m/>
    <s v="No"/>
    <s v="W662064"/>
    <n v="0"/>
    <m/>
    <s v="B02083"/>
    <m/>
    <m/>
    <s v="S0359167"/>
  </r>
  <r>
    <x v="26"/>
    <n v="10000"/>
    <n v="20000"/>
    <d v="2025-03-03T00:00:00"/>
    <s v="505KANGHS"/>
    <s v=" 8:33:33 am"/>
    <s v="SG-5642459-01"/>
    <m/>
    <x v="0"/>
    <s v="Yes"/>
    <n v="86"/>
    <s v="Brotech DF330 "/>
    <x v="0"/>
    <s v="PM45"/>
    <s v="TAY CHIN LIONG"/>
    <n v="1400"/>
    <n v="68.333333333333329"/>
    <n v="1.1388888888888888"/>
    <d v="2025-03-01T00:00:00"/>
    <m/>
    <n v="1"/>
    <n v="1400"/>
    <s v="PE"/>
    <s v="P4U01160001"/>
    <n v="0"/>
    <n v="1000"/>
    <n v="4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2177"/>
    <n v="0"/>
    <m/>
    <s v="H08220"/>
    <m/>
    <m/>
    <s v="S0359243"/>
  </r>
  <r>
    <x v="27"/>
    <n v="10000"/>
    <n v="10000"/>
    <d v="2025-03-03T00:00:00"/>
    <s v="502LAUGH"/>
    <s v=" 5:36:36 pm"/>
    <s v="M0BTH2381"/>
    <m/>
    <x v="2"/>
    <s v="Yes"/>
    <n v="29"/>
    <s v="Sanki SKP250 Full Rotary"/>
    <x v="2"/>
    <s v="PS70"/>
    <s v="YEO WOO KEONG"/>
    <n v="24000"/>
    <n v="645"/>
    <n v="10.75"/>
    <d v="2025-03-0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026"/>
    <n v="0"/>
    <m/>
    <s v="S19081-TH"/>
    <m/>
    <m/>
    <s v="H0064686"/>
  </r>
  <r>
    <x v="28"/>
    <n v="10000"/>
    <n v="10000"/>
    <d v="2025-03-03T00:00:00"/>
    <s v="502LAUGH"/>
    <s v=" 8:56:30 am"/>
    <s v="SG-5630465"/>
    <m/>
    <x v="2"/>
    <s v="Yes"/>
    <n v="59"/>
    <s v="SANKI SD-300 Intermittent"/>
    <x v="2"/>
    <s v="PM09"/>
    <s v="PANG JING FULL"/>
    <n v="258"/>
    <n v="51.45"/>
    <n v="0.85750000000000004"/>
    <d v="2025-03-01T00:00:00"/>
    <m/>
    <n v="4"/>
    <n v="1032"/>
    <s v="PE"/>
    <n v="112887410001"/>
    <n v="0"/>
    <n v="1030"/>
    <n v="2"/>
    <n v="0"/>
    <n v="0"/>
    <n v="0"/>
    <m/>
    <m/>
    <n v="0"/>
    <m/>
    <m/>
    <m/>
    <m/>
    <m/>
    <m/>
    <m/>
    <m/>
    <n v="11288741"/>
    <s v="I09180"/>
    <s v="ILLUMINA SINGAPORE PTE LTD"/>
    <m/>
    <n v="0"/>
    <n v="0"/>
    <n v="0"/>
    <n v="0"/>
    <n v="0"/>
    <n v="0"/>
    <m/>
    <m/>
    <m/>
    <s v="No"/>
    <s v="W662078"/>
    <n v="0"/>
    <m/>
    <s v="I09180"/>
    <m/>
    <m/>
    <s v="S0359857"/>
  </r>
  <r>
    <x v="29"/>
    <n v="10000"/>
    <n v="10000"/>
    <d v="2025-03-03T00:00:00"/>
    <s v="502LAUGH"/>
    <s v=" 5:20:26 pm"/>
    <s v="E04H968101524"/>
    <m/>
    <x v="2"/>
    <s v="Yes"/>
    <n v="86"/>
    <s v="Brotech DF330 "/>
    <x v="0"/>
    <s v="PM45"/>
    <s v="TAY CHIN LIONG"/>
    <n v="632"/>
    <n v="55.533333333333331"/>
    <n v="0.92555555555555558"/>
    <d v="2025-03-03T00:00:00"/>
    <m/>
    <n v="8"/>
    <n v="5056"/>
    <s v="PE"/>
    <s v="10051353053 REVF0001"/>
    <n v="0"/>
    <n v="5050"/>
    <n v="6"/>
    <n v="0"/>
    <n v="0"/>
    <n v="0"/>
    <m/>
    <m/>
    <n v="0"/>
    <m/>
    <m/>
    <m/>
    <m/>
    <m/>
    <m/>
    <m/>
    <m/>
    <s v="10051353053 REVF"/>
    <s v="E05166"/>
    <s v="EDWARDS LIFESCIENCES (SINGAPORE) PTE LTD"/>
    <m/>
    <n v="0"/>
    <n v="0"/>
    <n v="0"/>
    <n v="0"/>
    <n v="0"/>
    <n v="0"/>
    <m/>
    <m/>
    <m/>
    <s v="No"/>
    <s v="W661922"/>
    <n v="0"/>
    <m/>
    <s v="E05166"/>
    <m/>
    <m/>
    <s v="S0345943"/>
  </r>
  <r>
    <x v="30"/>
    <n v="10000"/>
    <n v="10000"/>
    <d v="2025-03-03T00:00:00"/>
    <s v="505KANGHS"/>
    <s v=" 8:39:41 am"/>
    <s v="D00636982"/>
    <m/>
    <x v="2"/>
    <s v="Yes"/>
    <n v="65"/>
    <s v="Sanki SDR300"/>
    <x v="3"/>
    <s v="PMJ7"/>
    <s v="FOONG SEL YI"/>
    <n v="18000"/>
    <n v="495"/>
    <n v="8.25"/>
    <d v="2025-03-03T00:00:00"/>
    <m/>
    <n v="12"/>
    <n v="216000"/>
    <s v="PE"/>
    <s v="R630-401 REV2.00001"/>
    <n v="0"/>
    <n v="216000"/>
    <n v="0"/>
    <n v="0"/>
    <n v="0"/>
    <n v="0"/>
    <m/>
    <m/>
    <n v="0"/>
    <m/>
    <m/>
    <m/>
    <m/>
    <m/>
    <m/>
    <m/>
    <m/>
    <s v="R630-401 REV2.0"/>
    <s v="R18131"/>
    <s v="RESMED ASIA PTE LTD"/>
    <m/>
    <n v="0"/>
    <n v="0"/>
    <n v="0"/>
    <n v="0"/>
    <n v="0"/>
    <n v="0"/>
    <m/>
    <m/>
    <m/>
    <s v="No"/>
    <s v="W662196"/>
    <n v="0"/>
    <m/>
    <s v="R18131"/>
    <m/>
    <m/>
    <s v="S0351464"/>
  </r>
  <r>
    <x v="31"/>
    <n v="10000"/>
    <n v="20000"/>
    <d v="2025-03-04T00:00:00"/>
    <s v="502LAUGH"/>
    <s v=" 3:06:08 pm"/>
    <s v="PO2512640"/>
    <m/>
    <x v="2"/>
    <s v="Yes"/>
    <n v="60"/>
    <s v="Fujishiko UDP-5000"/>
    <x v="3"/>
    <s v="PM30"/>
    <s v="OH KIAN YUAN"/>
    <n v="6000"/>
    <n v="165"/>
    <n v="2.75"/>
    <d v="2025-03-03T00:00:00"/>
    <m/>
    <n v="1"/>
    <n v="6000"/>
    <s v="PE"/>
    <s v="G11-4600-040001"/>
    <n v="0"/>
    <n v="6000"/>
    <n v="0"/>
    <n v="0"/>
    <n v="0"/>
    <n v="0"/>
    <m/>
    <m/>
    <n v="0"/>
    <m/>
    <m/>
    <m/>
    <m/>
    <m/>
    <m/>
    <m/>
    <m/>
    <s v="G11-4600-04"/>
    <s v="Z26005"/>
    <s v="CCL DESIGN SDN. BHD."/>
    <m/>
    <n v="0"/>
    <n v="0"/>
    <n v="0"/>
    <n v="0"/>
    <n v="0"/>
    <n v="0"/>
    <m/>
    <m/>
    <m/>
    <s v="No"/>
    <s v="W662138"/>
    <n v="0"/>
    <m/>
    <s v="Z26005"/>
    <m/>
    <m/>
    <s v="S0352625"/>
  </r>
  <r>
    <x v="32"/>
    <n v="10000"/>
    <n v="20000"/>
    <d v="2025-03-03T00:00:00"/>
    <s v="502LAUGH"/>
    <s v=" 5:16:19 pm"/>
    <s v="J00T40250/J00U09620"/>
    <m/>
    <x v="2"/>
    <s v="Yes"/>
    <n v="111"/>
    <s v="Brotech"/>
    <x v="0"/>
    <s v="PM46"/>
    <s v="TAN CHEE CHUN"/>
    <n v="15000"/>
    <n v="295"/>
    <n v="4.916666666666667"/>
    <d v="2025-03-03T00:00:00"/>
    <m/>
    <n v="10"/>
    <n v="150000"/>
    <s v="PE"/>
    <s v="Z512-M0001"/>
    <n v="0"/>
    <n v="15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407"/>
    <n v="0"/>
    <m/>
    <s v="R18131-MEIBAN MICRO"/>
    <m/>
    <m/>
    <s v="S0352982"/>
  </r>
  <r>
    <x v="33"/>
    <n v="10000"/>
    <n v="20000"/>
    <d v="2025-04-02T00:00:00"/>
    <s v="502LAUGH"/>
    <s v=" 2:18:31 pm"/>
    <s v="10639931053/10639931059/10639931056/10639931055"/>
    <m/>
    <x v="2"/>
    <s v="Yes"/>
    <n v="79"/>
    <s v="HP Indigo 6800"/>
    <x v="4"/>
    <s v="PM21"/>
    <s v="LIM JIA FAN"/>
    <n v="10093"/>
    <m/>
    <m/>
    <d v="2025-03-03T00:00:00"/>
    <m/>
    <n v="108"/>
    <n v="1090044"/>
    <s v="PE"/>
    <s v="5180-0100-BH2120001"/>
    <n v="0"/>
    <n v="1000000"/>
    <n v="90044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4068"/>
    <n v="0"/>
    <m/>
    <s v="H08031-JIM"/>
    <m/>
    <m/>
    <s v="S0353202"/>
  </r>
  <r>
    <x v="34"/>
    <n v="10000"/>
    <n v="10000"/>
    <d v="2025-03-07T00:00:00"/>
    <s v="502LAUGH"/>
    <d v="1899-12-30T11:21:44"/>
    <s v="J00T59660/J00V80140/J00U09620/J00T40250"/>
    <m/>
    <x v="2"/>
    <s v="Yes"/>
    <n v="111"/>
    <s v="Brotech"/>
    <x v="0"/>
    <s v="PM46"/>
    <s v="TAN CHEE CHUN"/>
    <n v="60000"/>
    <n v="1045"/>
    <n v="17.416666666666668"/>
    <d v="2025-03-03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488"/>
    <n v="0"/>
    <m/>
    <s v="R18131-MEIBAN MICRO"/>
    <m/>
    <m/>
    <s v="S0354833"/>
  </r>
  <r>
    <x v="35"/>
    <n v="10000"/>
    <n v="10000"/>
    <d v="2025-03-03T00:00:00"/>
    <s v="502LAUGH"/>
    <s v=" 5:20:26 pm"/>
    <s v="J00T40070"/>
    <m/>
    <x v="2"/>
    <s v="Yes"/>
    <n v="73"/>
    <s v="Brotech DF330"/>
    <x v="0"/>
    <s v="PM59"/>
    <s v="VOON CHAN PIN"/>
    <n v="10500"/>
    <n v="220"/>
    <n v="3.6666666666666665"/>
    <d v="2025-03-03T00:00:00"/>
    <m/>
    <n v="8"/>
    <n v="84000"/>
    <s v="PE"/>
    <s v="R001-41074 REV1.0001"/>
    <n v="0"/>
    <n v="84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1927"/>
    <n v="0"/>
    <m/>
    <s v="R18131"/>
    <m/>
    <m/>
    <s v="S0354948"/>
  </r>
  <r>
    <x v="36"/>
    <n v="10000"/>
    <n v="10000"/>
    <d v="2025-03-03T00:00:00"/>
    <s v="505KANGHS"/>
    <s v=" 8:35:45 am"/>
    <s v="SG-5630465"/>
    <m/>
    <x v="2"/>
    <s v="Yes"/>
    <n v="59"/>
    <s v="SANKI SD-300 Intermittent"/>
    <x v="2"/>
    <s v="PM09"/>
    <s v="PANG JING FULL"/>
    <n v="4150"/>
    <n v="148.75"/>
    <n v="2.4791666666666665"/>
    <d v="2025-03-03T00:00:00"/>
    <m/>
    <n v="2"/>
    <n v="8300"/>
    <s v="PE"/>
    <n v="112887240001"/>
    <n v="0"/>
    <n v="8300"/>
    <n v="0"/>
    <n v="0"/>
    <n v="0"/>
    <n v="0"/>
    <m/>
    <m/>
    <n v="0"/>
    <m/>
    <m/>
    <m/>
    <m/>
    <m/>
    <m/>
    <m/>
    <m/>
    <n v="11288724"/>
    <s v="I09180-US"/>
    <s v="ILLUMINA CAMBRIDGE, LTD"/>
    <m/>
    <n v="0"/>
    <n v="0"/>
    <n v="0"/>
    <n v="0"/>
    <n v="0"/>
    <n v="0"/>
    <m/>
    <m/>
    <m/>
    <s v="No"/>
    <s v="W661929"/>
    <n v="0"/>
    <m/>
    <s v="I09180-US"/>
    <m/>
    <m/>
    <s v="S0355330"/>
  </r>
  <r>
    <x v="37"/>
    <n v="10000"/>
    <n v="10000"/>
    <d v="2025-03-12T00:00:00"/>
    <s v="502LAUGH"/>
    <s v=" 8:47:17 am"/>
    <s v="1000221/1000219/80116793/1012643/XHX24A13A0809/XHX2412190201"/>
    <m/>
    <x v="2"/>
    <s v="Yes"/>
    <n v="103"/>
    <s v="HDS"/>
    <x v="3"/>
    <s v="PM41"/>
    <s v="CHONG WEN XUEN"/>
    <n v="39375"/>
    <m/>
    <m/>
    <d v="2025-03-03T00:00:00"/>
    <m/>
    <n v="8"/>
    <n v="315000"/>
    <s v="PE"/>
    <s v="MT273730001"/>
    <n v="0"/>
    <n v="31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937"/>
    <n v="0"/>
    <m/>
    <s v="Z26002"/>
    <m/>
    <m/>
    <s v="S0355389"/>
  </r>
  <r>
    <x v="38"/>
    <n v="10000"/>
    <n v="10000"/>
    <d v="2025-03-03T00:00:00"/>
    <s v="502LAUGH"/>
    <s v=" 5:16:47 pm"/>
    <s v="SG-5637720-01"/>
    <m/>
    <x v="2"/>
    <s v="Yes"/>
    <n v="82"/>
    <s v="POLLY"/>
    <x v="3"/>
    <s v="PM11"/>
    <s v="TEE MENG CHAI"/>
    <n v="6667"/>
    <m/>
    <m/>
    <d v="2025-03-03T00:00:00"/>
    <m/>
    <n v="15"/>
    <n v="100005"/>
    <s v="PE"/>
    <s v="BL-63.5X30MM0001"/>
    <n v="0"/>
    <n v="100000"/>
    <n v="5"/>
    <n v="0"/>
    <n v="0"/>
    <n v="0"/>
    <m/>
    <m/>
    <n v="0"/>
    <m/>
    <m/>
    <m/>
    <m/>
    <m/>
    <m/>
    <m/>
    <m/>
    <s v="M10009SGT"/>
    <s v="B02083"/>
    <s v="BECTON DICKINSON MEDICAL (S) PTE LTD"/>
    <m/>
    <n v="0"/>
    <n v="0"/>
    <n v="0"/>
    <n v="0"/>
    <n v="0"/>
    <n v="0"/>
    <m/>
    <m/>
    <m/>
    <s v="No"/>
    <s v="W662148"/>
    <n v="0"/>
    <m/>
    <s v="B02083"/>
    <m/>
    <m/>
    <s v="S0357815"/>
  </r>
  <r>
    <x v="39"/>
    <n v="10000"/>
    <n v="10000"/>
    <d v="2025-03-04T00:00:00"/>
    <s v="502LAUGH"/>
    <s v=" 8:53:37 am"/>
    <s v="4103023U5"/>
    <m/>
    <x v="2"/>
    <s v="Yes"/>
    <n v="46"/>
    <s v="Sanki 300 Intermittent"/>
    <x v="2"/>
    <s v="PS66"/>
    <s v="SIM ENG KWANG"/>
    <n v="3000"/>
    <n v="120"/>
    <n v="2"/>
    <d v="2025-03-03T00:00:00"/>
    <m/>
    <n v="1"/>
    <n v="3000"/>
    <s v="PE"/>
    <s v="250-6174-000001"/>
    <n v="0"/>
    <n v="3000"/>
    <n v="0"/>
    <n v="0"/>
    <n v="0"/>
    <n v="0"/>
    <m/>
    <m/>
    <n v="0"/>
    <m/>
    <m/>
    <m/>
    <m/>
    <m/>
    <m/>
    <m/>
    <m/>
    <s v="250-6174-00"/>
    <s v="J10025"/>
    <s v="JMS SINGAPORE PTE LTD"/>
    <m/>
    <n v="0"/>
    <n v="0"/>
    <n v="0"/>
    <n v="0"/>
    <n v="0"/>
    <n v="0"/>
    <m/>
    <m/>
    <m/>
    <s v="No"/>
    <s v="W662149"/>
    <n v="0"/>
    <m/>
    <s v="J10025"/>
    <m/>
    <m/>
    <s v="S0357887"/>
  </r>
  <r>
    <x v="40"/>
    <n v="10000"/>
    <n v="10000"/>
    <d v="2025-03-03T00:00:00"/>
    <s v="502LAUGH"/>
    <s v=" 5:18:29 pm"/>
    <s v="4103018U5A"/>
    <m/>
    <x v="2"/>
    <s v="Yes"/>
    <n v="46"/>
    <s v="Sanki 300 Intermittent"/>
    <x v="2"/>
    <s v="PS66"/>
    <s v="SIM ENG KWANG"/>
    <n v="4000"/>
    <n v="145"/>
    <n v="2.4166666666666665"/>
    <d v="2025-03-03T00:00:00"/>
    <m/>
    <n v="1"/>
    <n v="4000"/>
    <s v="PE"/>
    <s v="260-6407-000001"/>
    <n v="0"/>
    <n v="4000"/>
    <n v="0"/>
    <n v="0"/>
    <n v="0"/>
    <n v="0"/>
    <m/>
    <m/>
    <n v="0"/>
    <m/>
    <m/>
    <m/>
    <m/>
    <m/>
    <m/>
    <m/>
    <m/>
    <s v="260-6407-00"/>
    <s v="J10025"/>
    <s v="JMS SINGAPORE PTE LTD"/>
    <m/>
    <n v="0"/>
    <n v="0"/>
    <n v="0"/>
    <n v="0"/>
    <n v="0"/>
    <n v="0"/>
    <m/>
    <m/>
    <m/>
    <s v="No"/>
    <s v="W662153"/>
    <n v="0"/>
    <m/>
    <s v="J10025"/>
    <m/>
    <m/>
    <s v="S0357888"/>
  </r>
  <r>
    <x v="41"/>
    <n v="10000"/>
    <n v="20000"/>
    <d v="2025-03-03T00:00:00"/>
    <s v="505KANGHS"/>
    <s v=" 8:34:54 am"/>
    <s v="4103001U5/4103002U5"/>
    <m/>
    <x v="2"/>
    <s v="Yes"/>
    <n v="94"/>
    <s v="Taiyo"/>
    <x v="2"/>
    <s v="PS19"/>
    <s v="SNG KOK CHENG"/>
    <n v="3000"/>
    <m/>
    <m/>
    <d v="2025-03-03T00:00:00"/>
    <m/>
    <n v="4"/>
    <n v="12000"/>
    <s v="PE"/>
    <s v="0B49100 REVAA0001"/>
    <n v="0"/>
    <n v="6000"/>
    <n v="6000"/>
    <n v="0"/>
    <n v="0"/>
    <n v="0"/>
    <m/>
    <m/>
    <n v="0"/>
    <m/>
    <m/>
    <m/>
    <m/>
    <m/>
    <m/>
    <m/>
    <m/>
    <s v="0B49100 REVAA"/>
    <s v="W23041-TH"/>
    <s v="WESTERN DIGITAL STORAGE TECHNOLOGIES"/>
    <m/>
    <n v="0"/>
    <n v="0"/>
    <n v="0"/>
    <n v="0"/>
    <n v="0"/>
    <n v="0"/>
    <m/>
    <m/>
    <m/>
    <s v="No"/>
    <s v="W662434"/>
    <n v="0"/>
    <m/>
    <s v="W23041-TH"/>
    <m/>
    <m/>
    <s v="H0064549"/>
  </r>
  <r>
    <x v="42"/>
    <n v="10000"/>
    <n v="10000"/>
    <d v="2025-03-04T00:00:00"/>
    <s v="502LAUGH"/>
    <s v=" 3:57:09 pm"/>
    <s v="M4B4603BGJAJ123-S248100296/E0531904"/>
    <m/>
    <x v="2"/>
    <s v="Yes"/>
    <n v="67"/>
    <s v="Fujishoko"/>
    <x v="3"/>
    <s v="PM42"/>
    <s v="ALEXANDER YAP KEE NYEN"/>
    <n v="10000"/>
    <m/>
    <m/>
    <d v="2025-03-03T00:00:00"/>
    <m/>
    <n v="1"/>
    <n v="10000"/>
    <s v="PE"/>
    <s v="716626800 REVC0001"/>
    <n v="0"/>
    <n v="1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440"/>
    <n v="0"/>
    <m/>
    <s v="S19314"/>
    <m/>
    <m/>
    <s v="H0064581"/>
  </r>
  <r>
    <x v="42"/>
    <n v="10000"/>
    <n v="20000"/>
    <d v="2025-03-04T00:00:00"/>
    <s v="502LAUGH"/>
    <s v=" 3:57:09 pm"/>
    <s v="M4B4603BGJAJ123-S248100296/E0531904"/>
    <m/>
    <x v="2"/>
    <s v="Yes"/>
    <n v="66"/>
    <s v="Fujishiko "/>
    <x v="3"/>
    <s v="PMJ0"/>
    <s v="KOR CHEW OR"/>
    <n v="50000"/>
    <n v="1045"/>
    <n v="17.416666666666668"/>
    <d v="2025-03-03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440"/>
    <n v="0"/>
    <m/>
    <s v="S19314"/>
    <m/>
    <m/>
    <s v="H0064581"/>
  </r>
  <r>
    <x v="43"/>
    <n v="10000"/>
    <n v="10000"/>
    <d v="2025-03-04T00:00:00"/>
    <s v="502LAUGH"/>
    <d v="1899-12-30T10:06:06"/>
    <s v="4067S1"/>
    <m/>
    <x v="2"/>
    <s v="Yes"/>
    <n v="78"/>
    <s v="Baby Sanki"/>
    <x v="2"/>
    <s v="PM84"/>
    <s v="TAN TAI TOH"/>
    <n v="5000"/>
    <n v="170"/>
    <n v="2.8333333333333335"/>
    <d v="2025-03-03T00:00:00"/>
    <m/>
    <n v="2"/>
    <n v="10000"/>
    <s v="PE"/>
    <s v="712730 REV1000001"/>
    <n v="0"/>
    <n v="10000"/>
    <n v="0"/>
    <n v="0"/>
    <n v="0"/>
    <n v="0"/>
    <m/>
    <m/>
    <n v="0"/>
    <m/>
    <m/>
    <m/>
    <m/>
    <m/>
    <m/>
    <m/>
    <m/>
    <s v="712730 REV402"/>
    <s v="V22000"/>
    <s v="PT VARTA MICROBATTERY INDONESIA"/>
    <m/>
    <n v="0"/>
    <n v="0"/>
    <n v="0"/>
    <n v="0"/>
    <n v="0"/>
    <n v="0"/>
    <m/>
    <m/>
    <m/>
    <s v="No"/>
    <s v="W662156"/>
    <n v="0"/>
    <m/>
    <s v="V22000"/>
    <m/>
    <m/>
    <s v="S0358336"/>
  </r>
  <r>
    <x v="44"/>
    <n v="10000"/>
    <n v="50000"/>
    <d v="2025-03-04T00:00:00"/>
    <s v="502LAUGH"/>
    <s v=" 4:00:35 pm"/>
    <s v="M4B4603BGJAJ119-S248100138/E0531904"/>
    <m/>
    <x v="2"/>
    <s v="Yes"/>
    <n v="66"/>
    <s v="Fujishiko "/>
    <x v="3"/>
    <s v="PMJ0"/>
    <s v="KOR CHEW OR"/>
    <n v="5000"/>
    <n v="145"/>
    <n v="2.4166666666666665"/>
    <d v="2025-03-03T00:00:00"/>
    <m/>
    <n v="1"/>
    <n v="5000"/>
    <s v="PE"/>
    <s v="716626800 REVC0001"/>
    <n v="0"/>
    <n v="5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013"/>
    <n v="0"/>
    <m/>
    <s v="S19081-TH"/>
    <m/>
    <m/>
    <s v="H0064608"/>
  </r>
  <r>
    <x v="45"/>
    <n v="10000"/>
    <n v="10000"/>
    <d v="2025-03-06T00:00:00"/>
    <s v="502LAUGH"/>
    <s v=" 1:40:04 pm"/>
    <s v="M4B4603BGJAJ119-S248100138/E0531904"/>
    <m/>
    <x v="2"/>
    <s v="Yes"/>
    <n v="67"/>
    <s v="Fujishoko"/>
    <x v="3"/>
    <s v="PM42"/>
    <s v="ALEXANDER YAP KEE NYEN"/>
    <n v="120000"/>
    <n v="2445"/>
    <n v="40.75"/>
    <d v="2025-03-03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445"/>
    <n v="0"/>
    <m/>
    <s v="S19081-TH"/>
    <m/>
    <m/>
    <s v="H0064609"/>
  </r>
  <r>
    <x v="46"/>
    <n v="10000"/>
    <n v="10000"/>
    <d v="2025-03-04T00:00:00"/>
    <s v="502LAUGH"/>
    <s v=" 4:02:10 pm"/>
    <s v="5304412-01-02-01/5304412-01-05-06/5304412-01-05-04"/>
    <m/>
    <x v="2"/>
    <s v="Yes"/>
    <n v="90"/>
    <s v="HDS"/>
    <x v="3"/>
    <s v="PM35"/>
    <s v="TAN MIN KANG"/>
    <n v="29700"/>
    <n v="1530"/>
    <n v="25.5"/>
    <d v="2025-03-03T00:00:00"/>
    <m/>
    <n v="2"/>
    <n v="59400"/>
    <s v="PE"/>
    <s v="723852900-PROTO 0001"/>
    <n v="0"/>
    <n v="594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2207"/>
    <n v="0"/>
    <m/>
    <s v="S19081-TH"/>
    <m/>
    <m/>
    <s v="H0064611"/>
  </r>
  <r>
    <x v="46"/>
    <n v="10000"/>
    <n v="20000"/>
    <d v="2025-03-04T00:00:00"/>
    <s v="502LAUGH"/>
    <s v=" 4:02:10 pm"/>
    <s v="5304412-01-02-01/5304412-01-05-06/5304412-01-05-04"/>
    <m/>
    <x v="2"/>
    <s v="Yes"/>
    <n v="90"/>
    <s v="HDS"/>
    <x v="3"/>
    <s v="QC04"/>
    <s v="YANG TONGJING"/>
    <n v="24300"/>
    <n v="1260"/>
    <n v="21"/>
    <d v="2025-03-03T00:00:00"/>
    <m/>
    <n v="2"/>
    <n v="48600"/>
    <s v="PE"/>
    <s v="723852900-PROTO 0001"/>
    <n v="0"/>
    <n v="486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2207"/>
    <n v="0"/>
    <m/>
    <s v="S19081-TH"/>
    <m/>
    <m/>
    <s v="H0064611"/>
  </r>
  <r>
    <x v="47"/>
    <n v="10000"/>
    <n v="10000"/>
    <d v="2025-03-05T00:00:00"/>
    <s v="502LAUGH"/>
    <s v=" 8:57:08 am"/>
    <s v="E0801904/M0BSO4470"/>
    <m/>
    <x v="2"/>
    <s v="Yes"/>
    <n v="87"/>
    <s v="SYSCO"/>
    <x v="3"/>
    <s v="PM14"/>
    <s v="GOH CHEN YONG"/>
    <n v="20250"/>
    <m/>
    <m/>
    <d v="2025-03-0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448"/>
    <n v="0"/>
    <m/>
    <s v="S19081-TH"/>
    <m/>
    <m/>
    <s v="H0064624"/>
  </r>
  <r>
    <x v="48"/>
    <n v="10000"/>
    <n v="10000"/>
    <d v="2025-03-03T00:00:00"/>
    <s v="502LAUGH"/>
    <s v=" 5:36:36 pm"/>
    <s v="SG-5630465"/>
    <m/>
    <x v="2"/>
    <s v="Yes"/>
    <n v="59"/>
    <s v="SANKI SD-300 Intermittent"/>
    <x v="2"/>
    <s v="PM09"/>
    <s v="PANG JING FULL"/>
    <n v="1660"/>
    <n v="86.5"/>
    <n v="1.4416666666666667"/>
    <d v="2025-03-03T00:00:00"/>
    <m/>
    <n v="2"/>
    <n v="3320"/>
    <s v="PE"/>
    <n v="112887240001"/>
    <n v="0"/>
    <n v="332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2015"/>
    <n v="0"/>
    <m/>
    <s v="I09180"/>
    <m/>
    <m/>
    <s v="S0358357"/>
  </r>
  <r>
    <x v="48"/>
    <n v="20000"/>
    <n v="10000"/>
    <d v="2025-03-03T00:00:00"/>
    <s v="502LAUGH"/>
    <s v=" 5:36:36 pm"/>
    <s v="SG-5630465"/>
    <m/>
    <x v="2"/>
    <s v="Yes"/>
    <n v="59"/>
    <s v="SANKI SD-300 Intermittent"/>
    <x v="2"/>
    <s v="PM09"/>
    <s v="PANG JING FULL"/>
    <n v="1245"/>
    <n v="76.125"/>
    <n v="1.26875"/>
    <d v="2025-03-03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2015"/>
    <n v="0"/>
    <m/>
    <s v="I09180"/>
    <m/>
    <m/>
    <s v="S0358357"/>
  </r>
  <r>
    <x v="49"/>
    <n v="10000"/>
    <n v="10000"/>
    <d v="2025-03-03T00:00:00"/>
    <s v="502LAUGH"/>
    <s v=" 1:06:29 pm"/>
    <s v="SG-5622228 01"/>
    <m/>
    <x v="2"/>
    <s v="Yes"/>
    <n v="59"/>
    <s v="SANKI SD-300 Intermittent"/>
    <x v="2"/>
    <s v="PM09"/>
    <s v="PANG JING FULL"/>
    <n v="860"/>
    <n v="66.5"/>
    <n v="1.1083333333333334"/>
    <d v="2025-03-0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62017"/>
    <n v="0"/>
    <m/>
    <s v="I09180"/>
    <m/>
    <m/>
    <s v="S0358364"/>
  </r>
  <r>
    <x v="49"/>
    <n v="20000"/>
    <n v="10000"/>
    <d v="2025-03-03T00:00:00"/>
    <s v="502LAUGH"/>
    <s v=" 1:06:29 pm"/>
    <s v="SG-5622228 01"/>
    <m/>
    <x v="2"/>
    <s v="Yes"/>
    <n v="59"/>
    <s v="SANKI SD-300 Intermittent"/>
    <x v="2"/>
    <s v="PM09"/>
    <s v="PANG JING FULL"/>
    <n v="860"/>
    <n v="66.5"/>
    <n v="1.1083333333333334"/>
    <d v="2025-03-03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62017"/>
    <n v="0"/>
    <m/>
    <s v="I09180"/>
    <m/>
    <m/>
    <s v="S0358364"/>
  </r>
  <r>
    <x v="50"/>
    <n v="10000"/>
    <n v="10000"/>
    <d v="2025-03-03T00:00:00"/>
    <s v="502LAUGH"/>
    <s v=" 3:38:07 pm"/>
    <s v="M0BG16901"/>
    <m/>
    <x v="2"/>
    <s v="Yes"/>
    <n v="78"/>
    <s v="Baby Sanki"/>
    <x v="2"/>
    <s v="PM84"/>
    <s v="TAN TAI TOH"/>
    <n v="1000"/>
    <n v="70"/>
    <n v="1.1666666666666667"/>
    <d v="2025-03-03T00:00:00"/>
    <m/>
    <n v="1"/>
    <n v="1000"/>
    <s v="PE"/>
    <s v="86.E8260001"/>
    <n v="0"/>
    <n v="1000"/>
    <n v="0"/>
    <n v="0"/>
    <n v="0"/>
    <n v="0"/>
    <m/>
    <m/>
    <n v="0"/>
    <m/>
    <m/>
    <m/>
    <m/>
    <m/>
    <m/>
    <m/>
    <m/>
    <s v="86.E826"/>
    <s v="T20390-PMI"/>
    <s v="TECHNOCOM SYSTEMS SDN BHD"/>
    <m/>
    <n v="0"/>
    <n v="0"/>
    <n v="0"/>
    <n v="0"/>
    <n v="0"/>
    <n v="0"/>
    <m/>
    <m/>
    <m/>
    <s v="No"/>
    <s v="W662160"/>
    <n v="0"/>
    <m/>
    <s v="T20390-PMI"/>
    <m/>
    <m/>
    <s v="S0358470"/>
  </r>
  <r>
    <x v="51"/>
    <n v="10000"/>
    <n v="10000"/>
    <d v="2025-03-03T00:00:00"/>
    <s v="502LAUGH"/>
    <s v=" 3:38:08 pm"/>
    <s v="M0BG16901"/>
    <m/>
    <x v="2"/>
    <s v="Yes"/>
    <n v="78"/>
    <s v="Baby Sanki"/>
    <x v="2"/>
    <s v="PM84"/>
    <s v="TAN TAI TOH"/>
    <n v="50"/>
    <n v="46.25"/>
    <n v="0.77083333333333337"/>
    <d v="2025-03-03T00:00:00"/>
    <m/>
    <n v="1"/>
    <n v="50"/>
    <s v="PE"/>
    <s v="86.E8260001"/>
    <n v="0"/>
    <n v="50"/>
    <n v="0"/>
    <n v="0"/>
    <n v="0"/>
    <n v="0"/>
    <m/>
    <m/>
    <n v="0"/>
    <m/>
    <m/>
    <m/>
    <m/>
    <m/>
    <m/>
    <m/>
    <m/>
    <s v="86.E826"/>
    <s v="T20390-PMI"/>
    <s v="TECHNOCOM SYSTEMS SDN BHD"/>
    <m/>
    <n v="0"/>
    <n v="0"/>
    <n v="0"/>
    <n v="0"/>
    <n v="0"/>
    <n v="0"/>
    <m/>
    <m/>
    <m/>
    <s v="No"/>
    <s v="W662027"/>
    <n v="0"/>
    <m/>
    <s v="T20390-PMI"/>
    <m/>
    <m/>
    <s v="ZSA101740"/>
  </r>
  <r>
    <x v="52"/>
    <n v="10000"/>
    <n v="20000"/>
    <d v="2025-03-04T00:00:00"/>
    <s v="502LAUGH"/>
    <s v=" 3:55:26 pm"/>
    <s v="M4B4603BGJAJ115-S248100140/E0926912"/>
    <m/>
    <x v="2"/>
    <s v="Yes"/>
    <n v="75"/>
    <s v="HDS 3"/>
    <x v="3"/>
    <s v="PM75"/>
    <s v="TOO CHIOU SHYAN"/>
    <n v="18462"/>
    <n v="968.1"/>
    <n v="16.135000000000002"/>
    <d v="2025-03-03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2029"/>
    <n v="0"/>
    <m/>
    <s v="S19081-TH"/>
    <m/>
    <m/>
    <s v="H0064640"/>
  </r>
  <r>
    <x v="53"/>
    <n v="10000"/>
    <n v="10000"/>
    <d v="2025-03-03T00:00:00"/>
    <s v="505KANGHS"/>
    <s v=" 8:39:41 am"/>
    <s v="4090405U5"/>
    <m/>
    <x v="2"/>
    <s v="Yes"/>
    <n v="22"/>
    <s v="FSK B100"/>
    <x v="2"/>
    <s v="PS13"/>
    <s v="YEE CHENG MENG"/>
    <n v="16000"/>
    <n v="365"/>
    <n v="6.083333333333333"/>
    <d v="2025-03-03T00:00:00"/>
    <m/>
    <n v="1"/>
    <n v="16000"/>
    <s v="PE"/>
    <s v="260-6163-000001"/>
    <n v="0"/>
    <n v="16000"/>
    <n v="0"/>
    <n v="0"/>
    <n v="0"/>
    <n v="0"/>
    <m/>
    <m/>
    <n v="0"/>
    <m/>
    <m/>
    <m/>
    <m/>
    <m/>
    <m/>
    <m/>
    <m/>
    <s v="260-6163-00"/>
    <s v="J10025"/>
    <s v="JMS SINGAPORE PTE LTD"/>
    <m/>
    <n v="0"/>
    <n v="0"/>
    <n v="0"/>
    <n v="0"/>
    <n v="0"/>
    <n v="0"/>
    <m/>
    <m/>
    <m/>
    <s v="No"/>
    <s v="W662212"/>
    <n v="0"/>
    <m/>
    <s v="J10025"/>
    <m/>
    <m/>
    <s v="S0358484"/>
  </r>
  <r>
    <x v="54"/>
    <n v="10000"/>
    <n v="10000"/>
    <d v="2025-03-04T00:00:00"/>
    <s v="502LAUGH"/>
    <s v=" 8:53:37 am"/>
    <s v="4111521U5A"/>
    <m/>
    <x v="2"/>
    <s v="Yes"/>
    <n v="61"/>
    <s v="FSK 520"/>
    <x v="2"/>
    <s v="PM61"/>
    <s v="HO CHAN LE"/>
    <n v="6667"/>
    <n v="178.34"/>
    <n v="2.9723333333333333"/>
    <d v="2025-03-03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2554"/>
    <n v="0"/>
    <m/>
    <s v="J10025"/>
    <m/>
    <m/>
    <s v="S0358488"/>
  </r>
  <r>
    <x v="55"/>
    <n v="10000"/>
    <n v="10000"/>
    <d v="2025-03-03T00:00:00"/>
    <s v="505KANGHS"/>
    <s v=" 8:37:04 am"/>
    <s v="I3B055H050/I492555H088/U2B09S001"/>
    <m/>
    <x v="2"/>
    <s v="Yes"/>
    <n v="12"/>
    <s v="FSK SR520"/>
    <x v="2"/>
    <s v="PP05"/>
    <s v="WONG KIM FATT"/>
    <n v="10000"/>
    <n v="245"/>
    <n v="4.083333333333333"/>
    <d v="2025-03-03T00:00:00"/>
    <m/>
    <n v="10"/>
    <n v="100000"/>
    <s v="PE"/>
    <s v="068893 REV4000001"/>
    <n v="0"/>
    <n v="100000"/>
    <n v="0"/>
    <n v="0"/>
    <n v="0"/>
    <n v="0"/>
    <m/>
    <m/>
    <n v="0"/>
    <m/>
    <m/>
    <m/>
    <m/>
    <m/>
    <m/>
    <m/>
    <m/>
    <s v="068893 REV400"/>
    <s v="V22000-DE"/>
    <s v="VARTA MICROBATTERY GMBH"/>
    <m/>
    <n v="0"/>
    <n v="0"/>
    <n v="0"/>
    <n v="0"/>
    <n v="0"/>
    <n v="0"/>
    <m/>
    <m/>
    <m/>
    <s v="No"/>
    <s v="W662036"/>
    <n v="0"/>
    <m/>
    <s v="V22000-DE"/>
    <m/>
    <m/>
    <s v="S0358499"/>
  </r>
  <r>
    <x v="56"/>
    <n v="10000"/>
    <n v="10000"/>
    <d v="2025-03-04T00:00:00"/>
    <s v="502LAUGH"/>
    <s v=" 1:28:45 pm"/>
    <s v="MOBCR8371"/>
    <m/>
    <x v="2"/>
    <s v="Yes"/>
    <n v="12"/>
    <s v="FSK SR520"/>
    <x v="2"/>
    <s v="PP05"/>
    <s v="WONG KIM FATT"/>
    <n v="4000"/>
    <n v="125"/>
    <n v="2.0833333333333335"/>
    <d v="2025-03-03T00:00:00"/>
    <m/>
    <n v="1"/>
    <n v="4000"/>
    <s v="PE"/>
    <s v="810333 REV4000001"/>
    <n v="0"/>
    <n v="4000"/>
    <n v="0"/>
    <n v="0"/>
    <n v="0"/>
    <n v="0"/>
    <m/>
    <m/>
    <n v="0"/>
    <m/>
    <m/>
    <m/>
    <m/>
    <m/>
    <m/>
    <m/>
    <m/>
    <s v="810333 REV400"/>
    <s v="V22000"/>
    <s v="PT VARTA MICROBATTERY INDONESIA"/>
    <m/>
    <n v="0"/>
    <n v="0"/>
    <n v="0"/>
    <n v="0"/>
    <n v="0"/>
    <n v="0"/>
    <m/>
    <m/>
    <m/>
    <s v="No"/>
    <s v="W662168"/>
    <n v="0"/>
    <m/>
    <s v="V22000"/>
    <m/>
    <m/>
    <s v="S0358750"/>
  </r>
  <r>
    <x v="57"/>
    <n v="10000"/>
    <n v="10000"/>
    <d v="2025-03-03T00:00:00"/>
    <s v="505KANGHS"/>
    <s v=" 8:37:58 am"/>
    <s v="3082510U9"/>
    <m/>
    <x v="2"/>
    <s v="Yes"/>
    <n v="78"/>
    <s v="Baby Sanki"/>
    <x v="2"/>
    <s v="PM84"/>
    <s v="TAN TAI TOH"/>
    <n v="100"/>
    <n v="47.5"/>
    <n v="0.79166666666666663"/>
    <d v="2025-03-03T00:00:00"/>
    <m/>
    <n v="1"/>
    <n v="100"/>
    <s v="PE"/>
    <n v="107314450001"/>
    <n v="0"/>
    <n v="100"/>
    <n v="0"/>
    <n v="0"/>
    <n v="0"/>
    <n v="0"/>
    <m/>
    <m/>
    <n v="0"/>
    <m/>
    <m/>
    <m/>
    <m/>
    <m/>
    <m/>
    <m/>
    <m/>
    <n v="10731445"/>
    <s v="I09109"/>
    <s v="IKE TECHNOLOGY"/>
    <m/>
    <n v="0"/>
    <n v="0"/>
    <n v="0"/>
    <n v="0"/>
    <n v="0"/>
    <n v="0"/>
    <m/>
    <m/>
    <m/>
    <s v="No"/>
    <s v="W662038"/>
    <n v="0"/>
    <m/>
    <s v="I09109"/>
    <m/>
    <m/>
    <s v="S0358756"/>
  </r>
  <r>
    <x v="58"/>
    <n v="10000"/>
    <n v="10000"/>
    <d v="2025-03-03T00:00:00"/>
    <s v="505KANGHS"/>
    <s v=" 8:37:58 am"/>
    <s v="3082510U9"/>
    <m/>
    <x v="2"/>
    <s v="Yes"/>
    <n v="78"/>
    <s v="Baby Sanki"/>
    <x v="2"/>
    <s v="PM84"/>
    <s v="TAN TAI TOH"/>
    <n v="5"/>
    <n v="45.125"/>
    <n v="0.75208333333333333"/>
    <d v="2025-03-03T00:00:00"/>
    <m/>
    <n v="1"/>
    <n v="5"/>
    <s v="PE"/>
    <n v="107314450001"/>
    <n v="0"/>
    <n v="5"/>
    <n v="0"/>
    <n v="0"/>
    <n v="0"/>
    <n v="0"/>
    <m/>
    <m/>
    <n v="0"/>
    <m/>
    <m/>
    <m/>
    <m/>
    <m/>
    <m/>
    <m/>
    <m/>
    <n v="10731445"/>
    <s v="I09109"/>
    <s v="IKE TECHNOLOGY"/>
    <m/>
    <n v="0"/>
    <n v="0"/>
    <n v="0"/>
    <n v="0"/>
    <n v="0"/>
    <n v="0"/>
    <m/>
    <m/>
    <m/>
    <s v="No"/>
    <s v="W662039"/>
    <n v="0"/>
    <m/>
    <s v="I09109"/>
    <m/>
    <m/>
    <s v="ZSA101744"/>
  </r>
  <r>
    <x v="59"/>
    <n v="10000"/>
    <n v="10000"/>
    <d v="2025-03-04T00:00:00"/>
    <s v="502LAUGH"/>
    <d v="1899-12-30T10:07:19"/>
    <s v="24222F05004001003"/>
    <m/>
    <x v="2"/>
    <s v="Yes"/>
    <n v="65"/>
    <s v="Sanki SDR300"/>
    <x v="3"/>
    <s v="PMJ7"/>
    <s v="FOONG SEL YI"/>
    <n v="250"/>
    <n v="51.25"/>
    <n v="0.85416666666666663"/>
    <d v="2025-03-03T00:00:00"/>
    <m/>
    <n v="80"/>
    <n v="20000"/>
    <s v="PE"/>
    <s v="TSMB00532010001"/>
    <n v="0"/>
    <n v="20000"/>
    <n v="0"/>
    <n v="0"/>
    <n v="0"/>
    <n v="0"/>
    <m/>
    <m/>
    <n v="0"/>
    <m/>
    <m/>
    <m/>
    <m/>
    <m/>
    <m/>
    <m/>
    <m/>
    <s v="TSMB0053201"/>
    <s v="T20104"/>
    <s v="TOSHIBA TEC SINGAPORE PTE LTD"/>
    <m/>
    <n v="0"/>
    <n v="0"/>
    <n v="0"/>
    <n v="0"/>
    <n v="0"/>
    <n v="0"/>
    <m/>
    <m/>
    <m/>
    <s v="No"/>
    <s v="W662215"/>
    <n v="0"/>
    <m/>
    <s v="T20104"/>
    <m/>
    <m/>
    <s v="S0358767"/>
  </r>
  <r>
    <x v="60"/>
    <n v="10000"/>
    <n v="10000"/>
    <d v="2025-03-04T00:00:00"/>
    <s v="502LAUGH"/>
    <s v=" 3:55:26 pm"/>
    <s v="E053912079"/>
    <m/>
    <x v="2"/>
    <s v="Yes"/>
    <n v="63"/>
    <s v="SANKI"/>
    <x v="3"/>
    <s v="PM80"/>
    <s v="YAP ZHI PING"/>
    <n v="1000"/>
    <n v="70"/>
    <n v="1.1666666666666667"/>
    <d v="2025-03-03T00:00:00"/>
    <m/>
    <n v="20"/>
    <n v="20000"/>
    <s v="PE"/>
    <s v="709898813-3M66900001"/>
    <n v="0"/>
    <n v="20000"/>
    <n v="0"/>
    <n v="0"/>
    <n v="0"/>
    <n v="0"/>
    <m/>
    <m/>
    <n v="0"/>
    <m/>
    <m/>
    <m/>
    <m/>
    <m/>
    <m/>
    <m/>
    <m/>
    <s v="709898813-3M6690SP"/>
    <s v="S19743"/>
    <s v="SHANGHAI LUCKYFORD IMPORT AND EXPORT CORP.,LTD"/>
    <m/>
    <n v="0"/>
    <n v="0"/>
    <n v="0"/>
    <n v="0"/>
    <n v="0"/>
    <n v="0"/>
    <m/>
    <m/>
    <m/>
    <s v="No"/>
    <s v="W662172"/>
    <n v="0"/>
    <m/>
    <s v="S19743"/>
    <m/>
    <m/>
    <s v="S0359012"/>
  </r>
  <r>
    <x v="61"/>
    <n v="10000"/>
    <n v="10000"/>
    <d v="2025-03-07T00:00:00"/>
    <s v="502LAUGH"/>
    <s v=" 8:35:36 am"/>
    <s v="U462452089/SG-5553119"/>
    <m/>
    <x v="2"/>
    <s v="Yes"/>
    <n v="72"/>
    <s v="Xeikon 3500"/>
    <x v="4"/>
    <s v="PMJ4"/>
    <s v="LEE JUN HONG"/>
    <n v="667"/>
    <m/>
    <m/>
    <d v="2025-03-03T00:00:00"/>
    <m/>
    <n v="6"/>
    <n v="4002"/>
    <s v="PE"/>
    <s v="R370-4910001"/>
    <n v="0"/>
    <n v="3000"/>
    <n v="1002"/>
    <n v="0"/>
    <n v="0"/>
    <n v="0"/>
    <m/>
    <m/>
    <n v="0"/>
    <m/>
    <m/>
    <m/>
    <m/>
    <m/>
    <m/>
    <m/>
    <m/>
    <s v="R370-491"/>
    <s v="R18131"/>
    <s v="RESMED ASIA PTE LTD"/>
    <m/>
    <n v="0"/>
    <n v="0"/>
    <n v="0"/>
    <n v="0"/>
    <n v="0"/>
    <n v="0"/>
    <m/>
    <m/>
    <m/>
    <s v="No"/>
    <s v="W662588"/>
    <n v="0"/>
    <m/>
    <s v="R18131"/>
    <m/>
    <m/>
    <s v="S0359016"/>
  </r>
  <r>
    <x v="62"/>
    <n v="10000"/>
    <n v="10000"/>
    <d v="2025-03-06T00:00:00"/>
    <s v="502LAUGH"/>
    <s v=" 8:41:34 am"/>
    <s v="U511452038/405111326"/>
    <m/>
    <x v="2"/>
    <s v="Yes"/>
    <n v="32"/>
    <s v="Lintec Intermittent"/>
    <x v="2"/>
    <s v="PM26"/>
    <s v="TAN AIK KEONG"/>
    <n v="5860"/>
    <m/>
    <m/>
    <d v="2025-03-03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990"/>
    <n v="0"/>
    <m/>
    <s v="J10025"/>
    <m/>
    <m/>
    <s v="S0359222"/>
  </r>
  <r>
    <x v="63"/>
    <n v="10000"/>
    <n v="30000"/>
    <d v="2025-03-21T00:00:00"/>
    <s v="502LAUGH"/>
    <s v=" 1:18:06 pm"/>
    <s v="10639931001/10639931060"/>
    <m/>
    <x v="2"/>
    <s v="Yes"/>
    <n v="79"/>
    <s v="HP Indigo 6800"/>
    <x v="4"/>
    <s v="PM16"/>
    <s v="TEO KAH JUN"/>
    <n v="1836"/>
    <n v="121.8"/>
    <n v="2.0299999999999998"/>
    <d v="2025-03-03T00:00:00"/>
    <m/>
    <n v="297"/>
    <n v="545292"/>
    <s v="PE"/>
    <s v="3YM51-80004-FT0001"/>
    <n v="0"/>
    <n v="500000"/>
    <n v="45292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3584"/>
    <n v="0"/>
    <m/>
    <s v="H08031-JIM-M"/>
    <m/>
    <m/>
    <s v="S0359296"/>
  </r>
  <r>
    <x v="64"/>
    <n v="10000"/>
    <n v="10000"/>
    <d v="2025-03-04T00:00:00"/>
    <s v="502LAUGH"/>
    <s v=" 3:55:26 pm"/>
    <s v="E169912121"/>
    <m/>
    <x v="2"/>
    <s v="Yes"/>
    <n v="63"/>
    <s v="SANKI"/>
    <x v="3"/>
    <s v="PM80"/>
    <s v="YAP ZHI PING"/>
    <n v="10000"/>
    <n v="295"/>
    <n v="4.916666666666667"/>
    <d v="2025-03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2179"/>
    <n v="0"/>
    <m/>
    <s v="S19081-TH"/>
    <m/>
    <m/>
    <s v="H0064695"/>
  </r>
  <r>
    <x v="65"/>
    <n v="10000"/>
    <n v="10000"/>
    <d v="2025-03-04T00:00:00"/>
    <s v="502LAUGH"/>
    <s v=" 3:55:26 pm"/>
    <s v="E169912121"/>
    <m/>
    <x v="2"/>
    <s v="Yes"/>
    <n v="63"/>
    <s v="SANKI"/>
    <x v="3"/>
    <s v="PM80"/>
    <s v="YAP ZHI PING"/>
    <n v="10000"/>
    <n v="295"/>
    <n v="4.916666666666667"/>
    <d v="2025-03-0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2227"/>
    <n v="0"/>
    <m/>
    <s v="S19081-TH"/>
    <m/>
    <m/>
    <s v="H0064696"/>
  </r>
  <r>
    <x v="66"/>
    <n v="10000"/>
    <n v="10000"/>
    <d v="2025-03-04T00:00:00"/>
    <s v="502LAUGH"/>
    <s v=" 5:45:36 pm"/>
    <s v="4063565121746/XHX24922A1401/XHX241228030/BYK066-02"/>
    <m/>
    <x v="2"/>
    <s v="Yes"/>
    <n v="95"/>
    <s v="HDS 8"/>
    <x v="3"/>
    <s v="PM40"/>
    <s v="NGOI CHUN YONG"/>
    <n v="36286"/>
    <n v="1859.3"/>
    <n v="30.988333333333333"/>
    <d v="2025-03-03T00:00:00"/>
    <m/>
    <n v="7"/>
    <n v="254002"/>
    <s v="PE"/>
    <n v="86.915900010000001"/>
    <n v="0"/>
    <n v="259500"/>
    <n v="-5498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2625"/>
    <n v="0"/>
    <m/>
    <s v="T20390-PMI"/>
    <m/>
    <m/>
    <s v="S0359343"/>
  </r>
  <r>
    <x v="67"/>
    <n v="10000"/>
    <n v="10000"/>
    <d v="2025-03-14T00:00:00"/>
    <s v="502LAUGH"/>
    <s v=" 8:33:43 am"/>
    <n v="10639931002"/>
    <m/>
    <x v="2"/>
    <s v="Yes"/>
    <n v="79"/>
    <s v="HP Indigo 6800"/>
    <x v="4"/>
    <s v="PM16"/>
    <s v="TEO KAH JUN"/>
    <n v="1714"/>
    <n v="115.7"/>
    <n v="1.9283333333333335"/>
    <d v="2025-03-03T00:00:00"/>
    <m/>
    <n v="176"/>
    <n v="301664"/>
    <s v="PE"/>
    <s v="6ZD21-800010001"/>
    <n v="0"/>
    <n v="260000"/>
    <n v="41664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3036"/>
    <n v="0"/>
    <m/>
    <s v="H08031-JIM-M"/>
    <m/>
    <m/>
    <s v="S0359821"/>
  </r>
  <r>
    <x v="68"/>
    <n v="10000"/>
    <n v="10000"/>
    <d v="2025-03-04T00:00:00"/>
    <s v="502LAUGH"/>
    <s v=" 8:32:11 am"/>
    <s v="2908220-001/3050503U9"/>
    <m/>
    <x v="2"/>
    <s v="Yes"/>
    <n v="61"/>
    <s v="FSK 520"/>
    <x v="2"/>
    <s v="PM68"/>
    <s v="LEE KIM LIANG"/>
    <n v="100"/>
    <n v="47"/>
    <n v="0.78333333333333333"/>
    <d v="2025-03-03T00:00:00"/>
    <m/>
    <n v="2"/>
    <n v="200"/>
    <s v="PE"/>
    <s v="FMMB00725010001"/>
    <n v="0"/>
    <n v="200"/>
    <n v="0"/>
    <n v="0"/>
    <n v="0"/>
    <n v="0"/>
    <m/>
    <m/>
    <n v="0"/>
    <m/>
    <m/>
    <m/>
    <m/>
    <m/>
    <m/>
    <m/>
    <m/>
    <s v="FMMB0072501"/>
    <s v="T20104"/>
    <s v="TOSHIBA TEC SINGAPORE PTE LTD"/>
    <m/>
    <n v="0"/>
    <n v="0"/>
    <n v="0"/>
    <n v="0"/>
    <n v="0"/>
    <n v="0"/>
    <m/>
    <m/>
    <m/>
    <s v="No"/>
    <s v="W662229"/>
    <n v="0"/>
    <m/>
    <s v="T20104"/>
    <m/>
    <m/>
    <s v="S0359823"/>
  </r>
  <r>
    <x v="69"/>
    <n v="10000"/>
    <n v="10000"/>
    <d v="2025-03-21T00:00:00"/>
    <s v="502LAUGH"/>
    <d v="1899-12-30T11:34:46"/>
    <n v="10639931001"/>
    <m/>
    <x v="2"/>
    <s v="Yes"/>
    <n v="79"/>
    <s v="HP Indigo 6800"/>
    <x v="4"/>
    <s v="PM16"/>
    <s v="TEO KAH JUN"/>
    <n v="228"/>
    <n v="41.4"/>
    <n v="0.69"/>
    <d v="2025-03-03T00:00:00"/>
    <m/>
    <n v="308"/>
    <n v="70224"/>
    <s v="PE"/>
    <s v="CH561-80140-FT0001"/>
    <n v="0"/>
    <n v="50000"/>
    <n v="20224"/>
    <n v="0"/>
    <n v="0"/>
    <n v="0"/>
    <m/>
    <m/>
    <n v="0"/>
    <m/>
    <m/>
    <m/>
    <m/>
    <m/>
    <m/>
    <m/>
    <m/>
    <s v="CH561-80140-FT"/>
    <s v="H08031-JIM-M"/>
    <s v="HP MALAYSIA MANUFACTURING SDN.BHD."/>
    <m/>
    <n v="0"/>
    <n v="0"/>
    <n v="0"/>
    <n v="0"/>
    <n v="0"/>
    <n v="0"/>
    <m/>
    <m/>
    <m/>
    <s v="No"/>
    <s v="W663604"/>
    <n v="0"/>
    <m/>
    <s v="H08031-JIM-M"/>
    <m/>
    <m/>
    <s v="S0359840"/>
  </r>
  <r>
    <x v="70"/>
    <n v="10000"/>
    <n v="10000"/>
    <d v="2025-03-05T00:00:00"/>
    <s v="502LAUGH"/>
    <s v=" 8:35:08 am"/>
    <s v="4275S1/BYL015-01"/>
    <m/>
    <x v="2"/>
    <s v="Yes"/>
    <n v="88"/>
    <s v="OKI"/>
    <x v="4"/>
    <s v="PP24"/>
    <s v="HO HON SENG"/>
    <n v="2500"/>
    <m/>
    <m/>
    <d v="2025-03-03T00:00:00"/>
    <m/>
    <n v="1"/>
    <n v="2500"/>
    <s v="PE"/>
    <s v="ASSET TAG-76X34M0001"/>
    <n v="0"/>
    <n v="2500"/>
    <n v="0"/>
    <n v="0"/>
    <n v="0"/>
    <n v="0"/>
    <m/>
    <m/>
    <n v="0"/>
    <m/>
    <m/>
    <m/>
    <m/>
    <m/>
    <m/>
    <m/>
    <m/>
    <s v="ASSET TAG-76X34MM"/>
    <s v="N14199"/>
    <s v="NCS PTE LTD"/>
    <m/>
    <n v="0"/>
    <n v="0"/>
    <n v="0"/>
    <n v="0"/>
    <n v="0"/>
    <n v="0"/>
    <m/>
    <m/>
    <m/>
    <s v="No"/>
    <s v="W662238"/>
    <n v="0"/>
    <m/>
    <s v="N14199"/>
    <m/>
    <m/>
    <s v="S0359841"/>
  </r>
  <r>
    <x v="71"/>
    <n v="10000"/>
    <n v="10000"/>
    <d v="2025-03-05T00:00:00"/>
    <s v="502LAUGH"/>
    <s v=" 5:24:01 pm"/>
    <s v="11191427/BWG015-06"/>
    <m/>
    <x v="2"/>
    <s v="Yes"/>
    <n v="88"/>
    <s v="OKI"/>
    <x v="4"/>
    <s v="PP24"/>
    <s v="HO HON SENG"/>
    <n v="3000"/>
    <m/>
    <m/>
    <d v="2025-03-03T00:00:00"/>
    <m/>
    <n v="1"/>
    <n v="3000"/>
    <s v="PE"/>
    <s v="FOR I-NET-BLUE0001"/>
    <n v="0"/>
    <n v="2500"/>
    <n v="500"/>
    <n v="0"/>
    <n v="0"/>
    <n v="0"/>
    <m/>
    <m/>
    <n v="0"/>
    <m/>
    <m/>
    <m/>
    <m/>
    <m/>
    <m/>
    <m/>
    <m/>
    <s v="FOR I-NET-BLUE"/>
    <s v="N14199"/>
    <s v="NCS PTE LTD"/>
    <m/>
    <n v="0"/>
    <n v="0"/>
    <n v="0"/>
    <n v="0"/>
    <n v="0"/>
    <n v="0"/>
    <m/>
    <m/>
    <m/>
    <s v="No"/>
    <s v="W662239"/>
    <n v="0"/>
    <m/>
    <s v="N14199"/>
    <m/>
    <m/>
    <s v="S0359841"/>
  </r>
  <r>
    <x v="72"/>
    <n v="10000"/>
    <n v="10000"/>
    <d v="2025-03-05T00:00:00"/>
    <s v="502LAUGH"/>
    <s v=" 8:35:43 am"/>
    <s v="4275S1/BYL015-01"/>
    <m/>
    <x v="2"/>
    <s v="Yes"/>
    <n v="88"/>
    <s v="OKI"/>
    <x v="4"/>
    <s v="PP24"/>
    <s v="HO HON SENG"/>
    <n v="500"/>
    <m/>
    <m/>
    <d v="2025-03-03T00:00:00"/>
    <m/>
    <n v="1"/>
    <n v="500"/>
    <s v="PE"/>
    <s v="ASSET TAG-76X34M0001"/>
    <n v="0"/>
    <n v="500"/>
    <n v="0"/>
    <n v="0"/>
    <n v="0"/>
    <n v="0"/>
    <m/>
    <m/>
    <n v="0"/>
    <m/>
    <m/>
    <m/>
    <m/>
    <m/>
    <m/>
    <m/>
    <m/>
    <s v="ASSET TAG-76X34MM"/>
    <s v="N14199"/>
    <s v="NCS PTE LTD"/>
    <m/>
    <n v="0"/>
    <n v="0"/>
    <n v="0"/>
    <n v="0"/>
    <n v="0"/>
    <n v="0"/>
    <m/>
    <m/>
    <m/>
    <s v="No"/>
    <s v="W662241"/>
    <n v="0"/>
    <m/>
    <s v="N14199"/>
    <m/>
    <m/>
    <s v="S0359843"/>
  </r>
  <r>
    <x v="73"/>
    <n v="10000"/>
    <n v="10000"/>
    <d v="2025-03-04T00:00:00"/>
    <s v="502LAUGH"/>
    <s v=" 1:27:12 pm"/>
    <s v="SG-5630465 03"/>
    <m/>
    <x v="2"/>
    <s v="Yes"/>
    <n v="93"/>
    <s v="HP Indigo 6900"/>
    <x v="4"/>
    <s v="PM17"/>
    <s v="NG SWEE CHEA"/>
    <n v="100"/>
    <n v="35"/>
    <n v="0.58333333333333337"/>
    <d v="2025-03-03T00:00:00"/>
    <m/>
    <n v="49"/>
    <n v="4900"/>
    <s v="PE"/>
    <n v="200715740001"/>
    <n v="0"/>
    <n v="3000"/>
    <n v="1900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62244"/>
    <n v="0"/>
    <m/>
    <s v="I09180"/>
    <m/>
    <m/>
    <s v="S0359854"/>
  </r>
  <r>
    <x v="74"/>
    <n v="10000"/>
    <n v="10000"/>
    <d v="2025-03-04T00:00:00"/>
    <s v="502LAUGH"/>
    <s v=" 1:25:55 pm"/>
    <s v="SG-5630465 03"/>
    <m/>
    <x v="2"/>
    <s v="Yes"/>
    <n v="93"/>
    <s v="HP Indigo 6900"/>
    <x v="4"/>
    <s v="PM17"/>
    <s v="NG SWEE CHEA"/>
    <n v="124"/>
    <n v="36.200000000000003"/>
    <n v="0.60333333333333339"/>
    <d v="2025-03-03T00:00:00"/>
    <m/>
    <n v="49"/>
    <n v="6085"/>
    <s v="PE"/>
    <n v="200715740001"/>
    <n v="0"/>
    <n v="13000"/>
    <n v="-6915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62245"/>
    <n v="0"/>
    <m/>
    <s v="I09180"/>
    <m/>
    <m/>
    <s v="S0359855"/>
  </r>
  <r>
    <x v="74"/>
    <n v="20000"/>
    <n v="10000"/>
    <d v="2025-03-04T00:00:00"/>
    <s v="502LAUGH"/>
    <s v=" 1:25:55 pm"/>
    <s v="SG-5630465 03"/>
    <m/>
    <x v="2"/>
    <s v="Yes"/>
    <n v="93"/>
    <s v="HP Indigo 6900"/>
    <x v="4"/>
    <s v="PM17"/>
    <s v="NG SWEE CHEA"/>
    <n v="41"/>
    <n v="32.049999999999997"/>
    <n v="0.53416666666666657"/>
    <d v="2025-03-03T00:00:00"/>
    <m/>
    <n v="49"/>
    <n v="2000"/>
    <s v="PE"/>
    <n v="200715740001"/>
    <n v="0"/>
    <n v="2000"/>
    <n v="0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62245"/>
    <n v="0"/>
    <m/>
    <s v="I09180"/>
    <m/>
    <m/>
    <s v="S0359855"/>
  </r>
  <r>
    <x v="75"/>
    <n v="10000"/>
    <n v="10000"/>
    <d v="2025-03-04T00:00:00"/>
    <s v="502LAUGH"/>
    <s v=" 8:52:24 am"/>
    <s v="490833/M0BMT08711372"/>
    <m/>
    <x v="2"/>
    <s v="Yes"/>
    <n v="87"/>
    <s v="SYSCO"/>
    <x v="3"/>
    <s v="PM12"/>
    <s v="SOH JUN LEONG"/>
    <n v="100"/>
    <m/>
    <m/>
    <d v="2025-03-03T00:00:00"/>
    <m/>
    <n v="2"/>
    <n v="200"/>
    <s v="PE"/>
    <s v="755800100-ADS1380001"/>
    <n v="0"/>
    <n v="200"/>
    <n v="0"/>
    <n v="0"/>
    <n v="0"/>
    <n v="0"/>
    <m/>
    <m/>
    <n v="0"/>
    <m/>
    <m/>
    <m/>
    <m/>
    <m/>
    <m/>
    <m/>
    <m/>
    <s v="755800100-ADS1381 P2"/>
    <s v="S19081"/>
    <s v="SEAGATE SINGAPORE INTERNATIONAL HEADQUARTERS"/>
    <m/>
    <n v="0"/>
    <n v="0"/>
    <n v="0"/>
    <n v="0"/>
    <n v="0"/>
    <n v="0"/>
    <m/>
    <m/>
    <m/>
    <s v="No"/>
    <s v="W662079"/>
    <n v="0"/>
    <m/>
    <s v="S19081"/>
    <m/>
    <m/>
    <s v="ZSA101752"/>
  </r>
  <r>
    <x v="76"/>
    <n v="10000"/>
    <n v="10000"/>
    <d v="2025-03-18T00:00:00"/>
    <s v="502LAUGH"/>
    <s v=" 9:57:59 am"/>
    <n v="10639931060"/>
    <m/>
    <x v="2"/>
    <s v="Yes"/>
    <n v="79"/>
    <s v="HP Indigo 6800"/>
    <x v="4"/>
    <s v="PM16"/>
    <s v="TEO KAH JUN"/>
    <n v="133"/>
    <n v="36.65"/>
    <n v="0.61083333333333334"/>
    <d v="2025-03-03T00:00:00"/>
    <m/>
    <n v="264"/>
    <n v="35112"/>
    <s v="PE"/>
    <s v="7FP13-80001-FT0001"/>
    <n v="0"/>
    <n v="20000"/>
    <n v="15112"/>
    <n v="0"/>
    <n v="0"/>
    <n v="0"/>
    <m/>
    <m/>
    <n v="0"/>
    <m/>
    <m/>
    <m/>
    <m/>
    <m/>
    <m/>
    <m/>
    <m/>
    <s v="7FP13-80001-FT"/>
    <s v="H08031-JIM-M"/>
    <s v="HP MALAYSIA MANUFACTURING SDN.BHD."/>
    <m/>
    <n v="0"/>
    <n v="0"/>
    <n v="0"/>
    <n v="0"/>
    <n v="0"/>
    <n v="0"/>
    <m/>
    <m/>
    <m/>
    <s v="No"/>
    <s v="W663037"/>
    <n v="0"/>
    <m/>
    <s v="H08031-JIM-M"/>
    <m/>
    <m/>
    <s v="S0359858"/>
  </r>
  <r>
    <x v="77"/>
    <n v="10000"/>
    <n v="10000"/>
    <d v="2025-03-13T00:00:00"/>
    <s v="502LAUGH"/>
    <s v=" 1:34:03 pm"/>
    <n v="10639931060"/>
    <m/>
    <x v="2"/>
    <s v="Yes"/>
    <n v="79"/>
    <s v="HP Indigo 6800"/>
    <x v="4"/>
    <s v="PM16"/>
    <s v="TEO KAH JUN"/>
    <n v="304"/>
    <n v="45.2"/>
    <n v="0.75333333333333341"/>
    <d v="2025-03-03T00:00:00"/>
    <m/>
    <n v="264"/>
    <n v="80256"/>
    <s v="PE"/>
    <s v="7FP37-80003-FT0001"/>
    <n v="0"/>
    <n v="50000"/>
    <n v="30256"/>
    <n v="0"/>
    <n v="0"/>
    <n v="0"/>
    <m/>
    <m/>
    <n v="0"/>
    <m/>
    <m/>
    <m/>
    <m/>
    <m/>
    <m/>
    <m/>
    <m/>
    <s v="7FP37-80003-FT"/>
    <s v="H08031-JIM-M"/>
    <s v="HP MALAYSIA MANUFACTURING SDN.BHD."/>
    <m/>
    <n v="0"/>
    <n v="0"/>
    <n v="0"/>
    <n v="0"/>
    <n v="0"/>
    <n v="0"/>
    <m/>
    <m/>
    <m/>
    <s v="No"/>
    <s v="W662780"/>
    <n v="0"/>
    <m/>
    <s v="H08031-JIM-M"/>
    <m/>
    <m/>
    <s v="S0359859"/>
  </r>
  <r>
    <x v="78"/>
    <n v="10000"/>
    <n v="10000"/>
    <d v="2025-03-13T00:00:00"/>
    <s v="502LAUGH"/>
    <s v=" 2:57:25 pm"/>
    <n v="10639931060"/>
    <m/>
    <x v="2"/>
    <s v="Yes"/>
    <n v="79"/>
    <s v="HP Indigo 6800"/>
    <x v="4"/>
    <s v="PM16"/>
    <s v="TEO KAH JUN"/>
    <n v="171"/>
    <n v="38.549999999999997"/>
    <n v="0.64249999999999996"/>
    <d v="2025-03-03T00:00:00"/>
    <m/>
    <n v="176"/>
    <n v="30096"/>
    <s v="PE"/>
    <s v="7FP45-80001-FT0001"/>
    <n v="0"/>
    <n v="20000"/>
    <n v="10096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3038"/>
    <n v="0"/>
    <m/>
    <s v="H08031-JIM-M"/>
    <m/>
    <m/>
    <s v="S0359860"/>
  </r>
  <r>
    <x v="79"/>
    <n v="10000"/>
    <n v="10000"/>
    <d v="2025-03-13T00:00:00"/>
    <s v="502LAUGH"/>
    <s v=" 4:09:26 pm"/>
    <n v="10639931060"/>
    <m/>
    <x v="2"/>
    <s v="Yes"/>
    <n v="79"/>
    <s v="HP Indigo 6800"/>
    <x v="4"/>
    <s v="PM16"/>
    <s v="TEO KAH JUN"/>
    <n v="133"/>
    <n v="36.65"/>
    <n v="0.61083333333333334"/>
    <d v="2025-03-03T00:00:00"/>
    <m/>
    <n v="264"/>
    <n v="35112"/>
    <s v="PE"/>
    <s v="7FP21-80008-FT0001"/>
    <n v="0"/>
    <n v="20000"/>
    <n v="15112"/>
    <n v="0"/>
    <n v="0"/>
    <n v="0"/>
    <m/>
    <m/>
    <n v="0"/>
    <m/>
    <m/>
    <m/>
    <m/>
    <m/>
    <m/>
    <m/>
    <m/>
    <s v="7FP21-80008-FT"/>
    <s v="H08031-JIM-M"/>
    <s v="HP MALAYSIA MANUFACTURING SDN.BHD."/>
    <m/>
    <n v="0"/>
    <n v="0"/>
    <n v="0"/>
    <n v="0"/>
    <n v="0"/>
    <n v="0"/>
    <m/>
    <m/>
    <m/>
    <s v="No"/>
    <s v="W663039"/>
    <n v="0"/>
    <m/>
    <s v="H08031-JIM-M"/>
    <m/>
    <m/>
    <s v="S0359861"/>
  </r>
  <r>
    <x v="80"/>
    <n v="10000"/>
    <n v="10000"/>
    <d v="2025-03-13T00:00:00"/>
    <s v="502LAUGH"/>
    <s v=" 3:58:04 pm"/>
    <n v="10639931060"/>
    <m/>
    <x v="2"/>
    <s v="Yes"/>
    <n v="79"/>
    <s v="HP Indigo 6800"/>
    <x v="4"/>
    <s v="PM16"/>
    <s v="TEO KAH JUN"/>
    <n v="133"/>
    <n v="36.65"/>
    <n v="0.61083333333333334"/>
    <d v="2025-03-03T00:00:00"/>
    <m/>
    <n v="264"/>
    <n v="35112"/>
    <s v="PE"/>
    <s v="7FP05-80003-FT0001"/>
    <n v="0"/>
    <n v="20000"/>
    <n v="15112"/>
    <n v="0"/>
    <n v="0"/>
    <n v="0"/>
    <m/>
    <m/>
    <n v="0"/>
    <m/>
    <m/>
    <m/>
    <m/>
    <m/>
    <m/>
    <m/>
    <m/>
    <s v="7FP05-80003-FT"/>
    <s v="H08031-JIM-M"/>
    <s v="HP MALAYSIA MANUFACTURING SDN.BHD."/>
    <m/>
    <n v="0"/>
    <n v="0"/>
    <n v="0"/>
    <n v="0"/>
    <n v="0"/>
    <n v="0"/>
    <m/>
    <m/>
    <m/>
    <s v="No"/>
    <s v="W663040"/>
    <n v="0"/>
    <m/>
    <s v="H08031-JIM-M"/>
    <m/>
    <m/>
    <s v="S0359862"/>
  </r>
  <r>
    <x v="81"/>
    <n v="10000"/>
    <n v="10000"/>
    <d v="2025-03-03T00:00:00"/>
    <s v="502LAUGH"/>
    <s v=" 5:36:36 pm"/>
    <s v="SG-5629365 01"/>
    <m/>
    <x v="2"/>
    <s v="Yes"/>
    <n v="82"/>
    <s v="POLLY"/>
    <x v="3"/>
    <s v="PM11"/>
    <s v="TEE MENG CHAI"/>
    <n v="560"/>
    <m/>
    <m/>
    <d v="2025-03-03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2080"/>
    <n v="0"/>
    <m/>
    <s v="I09180"/>
    <m/>
    <m/>
    <s v="S0359868"/>
  </r>
  <r>
    <x v="82"/>
    <n v="10000"/>
    <n v="10000"/>
    <d v="2025-03-03T00:00:00"/>
    <s v="502LAUGH"/>
    <s v=" 5:18:29 pm"/>
    <s v="SG-562754701"/>
    <m/>
    <x v="2"/>
    <s v="Yes"/>
    <n v="82"/>
    <s v="POLLY"/>
    <x v="3"/>
    <s v="PM11"/>
    <s v="TEE MENG CHAI"/>
    <n v="385"/>
    <m/>
    <m/>
    <d v="2025-03-03T00:00:00"/>
    <m/>
    <n v="26"/>
    <n v="10020"/>
    <s v="PE"/>
    <n v="112023880001"/>
    <n v="0"/>
    <n v="10000"/>
    <n v="2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2247"/>
    <n v="0"/>
    <m/>
    <s v="I09180"/>
    <m/>
    <m/>
    <s v="S0359881"/>
  </r>
  <r>
    <x v="82"/>
    <n v="20000"/>
    <n v="10000"/>
    <d v="2025-03-03T00:00:00"/>
    <s v="502LAUGH"/>
    <s v=" 5:18:29 pm"/>
    <s v="SG-562754701"/>
    <m/>
    <x v="2"/>
    <s v="Yes"/>
    <n v="82"/>
    <s v="POLLY"/>
    <x v="3"/>
    <s v="PM11"/>
    <s v="TEE MENG CHAI"/>
    <n v="385"/>
    <m/>
    <m/>
    <d v="2025-03-03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2247"/>
    <n v="0"/>
    <m/>
    <s v="I09180"/>
    <m/>
    <m/>
    <s v="S0359881"/>
  </r>
  <r>
    <x v="83"/>
    <n v="10000"/>
    <n v="10000"/>
    <d v="2025-03-04T00:00:00"/>
    <s v="502LAUGH"/>
    <s v=" 9:23:18 am"/>
    <s v="SG-5630465 03"/>
    <m/>
    <x v="2"/>
    <s v="Yes"/>
    <n v="93"/>
    <s v="HP Indigo 6900"/>
    <x v="4"/>
    <s v="PM17"/>
    <s v="NG SWEE CHEA"/>
    <n v="50"/>
    <n v="32.5"/>
    <n v="0.54166666666666663"/>
    <d v="2025-03-03T00:00:00"/>
    <m/>
    <n v="224"/>
    <n v="11200"/>
    <s v="PE"/>
    <n v="201088630001"/>
    <n v="0"/>
    <n v="8000"/>
    <n v="320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2248"/>
    <n v="0"/>
    <m/>
    <s v="I09180"/>
    <m/>
    <m/>
    <s v="S0359882"/>
  </r>
  <r>
    <x v="84"/>
    <n v="10000"/>
    <n v="10000"/>
    <d v="2025-03-04T00:00:00"/>
    <s v="502LAUGH"/>
    <s v=" 9:22:28 am"/>
    <s v="SG-5630465 03"/>
    <m/>
    <x v="2"/>
    <s v="Yes"/>
    <n v="93"/>
    <s v="HP Indigo 6900"/>
    <x v="4"/>
    <s v="PM17"/>
    <s v="NG SWEE CHEA"/>
    <n v="52"/>
    <n v="32.6"/>
    <n v="0.54333333333333333"/>
    <d v="2025-03-03T00:00:00"/>
    <m/>
    <n v="224"/>
    <n v="11680"/>
    <s v="PE"/>
    <n v="201088630001"/>
    <n v="0"/>
    <n v="8000"/>
    <n v="368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2249"/>
    <n v="0"/>
    <m/>
    <s v="I09180"/>
    <m/>
    <m/>
    <s v="S0359884"/>
  </r>
  <r>
    <x v="84"/>
    <n v="20000"/>
    <n v="10000"/>
    <d v="2025-03-04T00:00:00"/>
    <s v="502LAUGH"/>
    <s v=" 9:22:28 am"/>
    <s v="SG-5630465 03"/>
    <m/>
    <x v="2"/>
    <s v="Yes"/>
    <n v="93"/>
    <s v="HP Indigo 6900"/>
    <x v="4"/>
    <s v="PM17"/>
    <s v="NG SWEE CHEA"/>
    <n v="18"/>
    <n v="30.9"/>
    <n v="0.51500000000000001"/>
    <d v="2025-03-03T00:00:00"/>
    <m/>
    <n v="224"/>
    <n v="4000"/>
    <s v="PE"/>
    <n v="201088630001"/>
    <n v="0"/>
    <n v="4000"/>
    <n v="0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2249"/>
    <n v="0"/>
    <m/>
    <s v="I09180"/>
    <m/>
    <m/>
    <s v="S0359884"/>
  </r>
  <r>
    <x v="85"/>
    <n v="10000"/>
    <n v="10000"/>
    <d v="2025-03-04T00:00:00"/>
    <s v="502LAUGH"/>
    <d v="1899-12-30T10:10:03"/>
    <s v="U4B1258025"/>
    <m/>
    <x v="2"/>
    <s v="Yes"/>
    <n v="93"/>
    <s v="HP Indigo 6900"/>
    <x v="4"/>
    <s v="PM17"/>
    <s v="NG SWEE CHEA"/>
    <n v="100"/>
    <n v="35"/>
    <n v="0.58333333333333337"/>
    <d v="2025-03-03T00:00:00"/>
    <m/>
    <n v="144"/>
    <n v="14400"/>
    <s v="PE"/>
    <n v="52028070001"/>
    <n v="0"/>
    <n v="10000"/>
    <n v="4400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2081"/>
    <n v="0"/>
    <m/>
    <s v="S19156"/>
    <m/>
    <m/>
    <s v="S0359969"/>
  </r>
  <r>
    <x v="86"/>
    <n v="10000"/>
    <n v="10000"/>
    <d v="2025-03-04T00:00:00"/>
    <s v="502LAUGH"/>
    <s v=" 2:08:34 pm"/>
    <s v="SG-5630465 03"/>
    <m/>
    <x v="2"/>
    <s v="Yes"/>
    <n v="93"/>
    <s v="HP Indigo 6900"/>
    <x v="4"/>
    <s v="PM17"/>
    <s v="NG SWEE CHEA"/>
    <n v="140"/>
    <n v="37"/>
    <n v="0.6166666666666667"/>
    <d v="2025-03-03T00:00:00"/>
    <m/>
    <n v="108"/>
    <n v="15120"/>
    <s v="PE"/>
    <n v="200900090001"/>
    <n v="0"/>
    <n v="40000"/>
    <n v="-24880"/>
    <n v="0"/>
    <n v="0"/>
    <n v="0"/>
    <m/>
    <m/>
    <n v="0"/>
    <m/>
    <m/>
    <m/>
    <m/>
    <m/>
    <m/>
    <m/>
    <m/>
    <n v="20090009"/>
    <s v="I09180"/>
    <s v="ILLUMINA SINGAPORE PTE LTD"/>
    <m/>
    <n v="0"/>
    <n v="0"/>
    <n v="0"/>
    <n v="0"/>
    <n v="0"/>
    <n v="0"/>
    <m/>
    <m/>
    <m/>
    <s v="No"/>
    <s v="W663041"/>
    <n v="0"/>
    <m/>
    <s v="I09180"/>
    <m/>
    <m/>
    <s v="S0360721"/>
  </r>
  <r>
    <x v="87"/>
    <n v="10000"/>
    <n v="10000"/>
    <d v="2025-03-04T00:00:00"/>
    <s v="502LAUGH"/>
    <s v=" 9:24:11 am"/>
    <s v="SG-5630465 03"/>
    <m/>
    <x v="2"/>
    <s v="Yes"/>
    <n v="93"/>
    <s v="HP Indigo 6900"/>
    <x v="4"/>
    <s v="PM17"/>
    <s v="NG SWEE CHEA"/>
    <n v="171"/>
    <n v="38.549999999999997"/>
    <n v="0.64249999999999996"/>
    <d v="2025-03-03T00:00:00"/>
    <m/>
    <n v="88"/>
    <n v="15048"/>
    <s v="PE"/>
    <n v="200689890001"/>
    <n v="0"/>
    <n v="12000"/>
    <n v="3048"/>
    <n v="0"/>
    <n v="0"/>
    <n v="0"/>
    <m/>
    <m/>
    <n v="0"/>
    <m/>
    <m/>
    <m/>
    <m/>
    <m/>
    <m/>
    <m/>
    <m/>
    <n v="20068989"/>
    <s v="I09180-SUNNINGDALE"/>
    <s v="SUNNINGDALE TECH LTD"/>
    <m/>
    <n v="0"/>
    <n v="0"/>
    <n v="0"/>
    <n v="0"/>
    <n v="0"/>
    <n v="0"/>
    <m/>
    <m/>
    <m/>
    <s v="No"/>
    <s v="W662250"/>
    <n v="0"/>
    <m/>
    <s v="I09180-SUNNINGDALE"/>
    <m/>
    <m/>
    <s v="S0360735"/>
  </r>
  <r>
    <x v="88"/>
    <n v="10000"/>
    <n v="30000"/>
    <d v="2025-03-14T00:00:00"/>
    <s v="502LAUGH"/>
    <s v=" 8:40:59 am"/>
    <s v="10639931075/10639931076/10639931074/10639931073/10639931072"/>
    <m/>
    <x v="0"/>
    <s v="Yes"/>
    <n v="86"/>
    <s v="Brotech DF330 "/>
    <x v="0"/>
    <s v="PM45"/>
    <s v="TAY CHIN LIONG"/>
    <n v="29800"/>
    <n v="541.66666666666674"/>
    <n v="9.0277777777777786"/>
    <d v="2025-03-04T00:00:00"/>
    <m/>
    <n v="36"/>
    <n v="1072800"/>
    <s v="PE"/>
    <s v="5180-0101-BH2120001"/>
    <n v="0"/>
    <n v="1000000"/>
    <n v="728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2930"/>
    <n v="0"/>
    <m/>
    <s v="H08031-JIM"/>
    <m/>
    <m/>
    <s v="S0353198"/>
  </r>
  <r>
    <x v="37"/>
    <n v="10000"/>
    <n v="20000"/>
    <d v="2025-03-12T00:00:00"/>
    <s v="502LAUGH"/>
    <s v=" 8:47:17 am"/>
    <s v="1000221/1000219/80116793/1012643/XHX24A13A0809/XHX2412190201"/>
    <m/>
    <x v="2"/>
    <s v="Yes"/>
    <n v="103"/>
    <s v="HDS"/>
    <x v="3"/>
    <s v="PM55"/>
    <s v="CHAN SAU PENG"/>
    <n v="35000"/>
    <m/>
    <m/>
    <d v="2025-03-04T00:00:00"/>
    <m/>
    <n v="8"/>
    <n v="280000"/>
    <s v="PE"/>
    <s v="MT273730001"/>
    <n v="0"/>
    <n v="28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937"/>
    <n v="0"/>
    <m/>
    <s v="Z26002"/>
    <m/>
    <m/>
    <s v="S0355389"/>
  </r>
  <r>
    <x v="37"/>
    <n v="10000"/>
    <n v="30000"/>
    <d v="2025-03-12T00:00:00"/>
    <s v="502LAUGH"/>
    <s v=" 8:47:17 am"/>
    <s v="1000221/1000219/80116793/1012643/XHX24A13A0809/XHX2412190201"/>
    <m/>
    <x v="2"/>
    <s v="Yes"/>
    <n v="103"/>
    <s v="HDS"/>
    <x v="3"/>
    <s v="PM47"/>
    <s v="CHEAN WEI KEONG"/>
    <n v="15625"/>
    <n v="826.25"/>
    <n v="13.770833333333334"/>
    <d v="2025-03-04T00:00:00"/>
    <m/>
    <n v="8"/>
    <n v="125000"/>
    <s v="PE"/>
    <s v="MT273730001"/>
    <n v="0"/>
    <n v="12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937"/>
    <n v="0"/>
    <m/>
    <s v="Z26002"/>
    <m/>
    <m/>
    <s v="S0355389"/>
  </r>
  <r>
    <x v="37"/>
    <n v="20000"/>
    <n v="10000"/>
    <d v="2025-03-12T00:00:00"/>
    <s v="502LAUGH"/>
    <s v=" 8:47:17 am"/>
    <s v="1000221/1000219/80116793/1012643/XHX24A13A0809/XHX2412190201"/>
    <m/>
    <x v="2"/>
    <s v="Yes"/>
    <n v="103"/>
    <s v="HDS"/>
    <x v="3"/>
    <s v="PM47"/>
    <s v="CHEAN WEI KEONG"/>
    <n v="43125"/>
    <n v="2201.25"/>
    <n v="36.6875"/>
    <d v="2025-03-04T00:00:00"/>
    <m/>
    <n v="8"/>
    <n v="345000"/>
    <s v="PE"/>
    <s v="MT273730001"/>
    <n v="0"/>
    <n v="34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937"/>
    <n v="0"/>
    <m/>
    <s v="Z26002"/>
    <m/>
    <m/>
    <s v="S0355389"/>
  </r>
  <r>
    <x v="89"/>
    <n v="10000"/>
    <n v="10000"/>
    <d v="2025-03-12T00:00:00"/>
    <s v="502LAUGH"/>
    <s v=" 8:38:10 am"/>
    <s v="SG-564141001"/>
    <m/>
    <x v="2"/>
    <s v="Yes"/>
    <n v="73"/>
    <s v="Brotech DF330"/>
    <x v="0"/>
    <s v="PM18"/>
    <s v="LAI CHIN YANG"/>
    <n v="60000"/>
    <m/>
    <m/>
    <d v="2025-03-04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295"/>
    <n v="0"/>
    <m/>
    <s v="B02083"/>
    <m/>
    <m/>
    <s v="S0357132"/>
  </r>
  <r>
    <x v="90"/>
    <n v="10000"/>
    <n v="20000"/>
    <d v="2025-03-05T00:00:00"/>
    <s v="502LAUGH"/>
    <s v=" 8:38:39 am"/>
    <s v="4067S1"/>
    <m/>
    <x v="2"/>
    <s v="Yes"/>
    <n v="12"/>
    <s v="FSK SR520"/>
    <x v="2"/>
    <s v="PP05"/>
    <s v="WONG KIM FATT"/>
    <n v="5000"/>
    <n v="145"/>
    <n v="2.4166666666666665"/>
    <d v="2025-03-04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s v="PT VARTA MICROBATTERY INDONESIA"/>
    <m/>
    <n v="0"/>
    <n v="0"/>
    <n v="0"/>
    <n v="0"/>
    <n v="0"/>
    <n v="0"/>
    <m/>
    <m/>
    <m/>
    <s v="No"/>
    <s v="W662142"/>
    <n v="0"/>
    <m/>
    <s v="V22000"/>
    <m/>
    <m/>
    <s v="S0357443"/>
  </r>
  <r>
    <x v="91"/>
    <n v="10000"/>
    <n v="10000"/>
    <d v="2025-03-04T00:00:00"/>
    <s v="502LAUGH"/>
    <s v=" 5:39:52 pm"/>
    <s v="SG-5622228 01"/>
    <m/>
    <x v="2"/>
    <s v="Yes"/>
    <n v="59"/>
    <s v="SANKI SD-300 Intermittent"/>
    <x v="2"/>
    <s v="PS74"/>
    <s v="GOH CHIN TECK"/>
    <n v="10000"/>
    <n v="295"/>
    <n v="4.916666666666667"/>
    <d v="2025-03-04T00:00:00"/>
    <m/>
    <n v="6"/>
    <n v="60000"/>
    <s v="PE"/>
    <s v="15058365 REVB0001"/>
    <n v="0"/>
    <n v="60000"/>
    <n v="0"/>
    <n v="0"/>
    <n v="0"/>
    <n v="0"/>
    <m/>
    <m/>
    <n v="0"/>
    <m/>
    <m/>
    <m/>
    <m/>
    <m/>
    <m/>
    <m/>
    <m/>
    <s v="15058365 REVB"/>
    <s v="I09180-US"/>
    <s v="ILLUMINA CAMBRIDGE, LTD"/>
    <m/>
    <n v="0"/>
    <n v="0"/>
    <n v="0"/>
    <n v="0"/>
    <n v="0"/>
    <n v="0"/>
    <m/>
    <m/>
    <m/>
    <s v="No"/>
    <s v="W662143"/>
    <n v="0"/>
    <m/>
    <s v="I09180-US"/>
    <m/>
    <m/>
    <s v="S0357462"/>
  </r>
  <r>
    <x v="92"/>
    <n v="10000"/>
    <n v="10000"/>
    <d v="2025-03-05T00:00:00"/>
    <s v="502LAUGH"/>
    <d v="1899-12-30T11:31:15"/>
    <s v="4103023U5"/>
    <m/>
    <x v="2"/>
    <s v="Yes"/>
    <n v="46"/>
    <s v="Sanki 300 Intermittent"/>
    <x v="2"/>
    <s v="PS66"/>
    <s v="SIM ENG KWANG"/>
    <n v="27000"/>
    <n v="720"/>
    <n v="12"/>
    <d v="2025-03-04T00:00:00"/>
    <m/>
    <n v="1"/>
    <n v="27000"/>
    <s v="PE"/>
    <s v="250-6174-000001"/>
    <n v="0"/>
    <n v="27000"/>
    <n v="0"/>
    <n v="0"/>
    <n v="0"/>
    <n v="0"/>
    <m/>
    <m/>
    <n v="0"/>
    <m/>
    <m/>
    <m/>
    <m/>
    <m/>
    <m/>
    <m/>
    <m/>
    <s v="250-6174-00"/>
    <s v="J10025-PHL-SG"/>
    <s v="JMS SINGAPORE PTE LTD"/>
    <m/>
    <n v="0"/>
    <n v="0"/>
    <n v="0"/>
    <n v="0"/>
    <n v="0"/>
    <n v="0"/>
    <m/>
    <m/>
    <m/>
    <s v="No"/>
    <s v="W662420"/>
    <n v="0"/>
    <m/>
    <s v="J10025-PHL-SG"/>
    <m/>
    <m/>
    <s v="S0357505"/>
  </r>
  <r>
    <x v="93"/>
    <n v="10000"/>
    <n v="20000"/>
    <d v="2025-03-04T00:00:00"/>
    <s v="502LAUGH"/>
    <s v=" 2:06:32 pm"/>
    <s v="10639931058/10639931057"/>
    <m/>
    <x v="2"/>
    <s v="Yes"/>
    <n v="82"/>
    <s v="POLLY"/>
    <x v="3"/>
    <s v="PM11"/>
    <s v="TEE MENG CHAI"/>
    <n v="5143"/>
    <m/>
    <m/>
    <d v="2025-03-04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H08031-NKG THAI-HPP"/>
    <s v="CAL-COMP ELECTRONICS (THAILAND) PUBLIC CO.,LTD."/>
    <m/>
    <n v="0"/>
    <n v="0"/>
    <n v="0"/>
    <n v="0"/>
    <n v="0"/>
    <n v="0"/>
    <m/>
    <m/>
    <m/>
    <s v="No"/>
    <s v="W662492"/>
    <n v="0"/>
    <m/>
    <s v="H08031-NKG THAI-HPP"/>
    <m/>
    <m/>
    <s v="S0357872"/>
  </r>
  <r>
    <x v="94"/>
    <n v="10000"/>
    <n v="30000"/>
    <d v="2025-03-07T00:00:00"/>
    <s v="502LAUGH"/>
    <s v=" 5:25:12 pm"/>
    <s v="BXB022-02"/>
    <m/>
    <x v="2"/>
    <s v="Yes"/>
    <n v="90"/>
    <s v="HDS"/>
    <x v="3"/>
    <s v="PM35"/>
    <s v="TAN MIN KANG"/>
    <n v="11000"/>
    <n v="595"/>
    <n v="9.9166666666666661"/>
    <d v="2025-03-04T00:00:00"/>
    <m/>
    <n v="4"/>
    <n v="44000"/>
    <s v="PE"/>
    <s v="Y00-0000928-000001"/>
    <n v="0"/>
    <n v="44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2433"/>
    <n v="0"/>
    <m/>
    <s v="F06170-JIANGSU"/>
    <m/>
    <m/>
    <s v="S0357841"/>
  </r>
  <r>
    <x v="94"/>
    <n v="10000"/>
    <n v="40000"/>
    <d v="2025-03-07T00:00:00"/>
    <s v="502LAUGH"/>
    <s v=" 5:25:12 pm"/>
    <s v="BXB022-02"/>
    <m/>
    <x v="2"/>
    <s v="Yes"/>
    <n v="90"/>
    <s v="HDS"/>
    <x v="3"/>
    <s v="QC04"/>
    <s v="YANG TONGJING"/>
    <n v="6500"/>
    <m/>
    <m/>
    <d v="2025-03-04T00:00:00"/>
    <m/>
    <n v="4"/>
    <n v="26000"/>
    <s v="PE"/>
    <s v="Y00-0000928-000001"/>
    <n v="0"/>
    <n v="26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2433"/>
    <n v="0"/>
    <m/>
    <s v="F06170-JIANGSU"/>
    <m/>
    <m/>
    <s v="S0357841"/>
  </r>
  <r>
    <x v="95"/>
    <n v="10000"/>
    <n v="20000"/>
    <d v="2025-03-05T00:00:00"/>
    <s v="502LAUGH"/>
    <s v=" 2:04:01 pm"/>
    <n v="10639931010"/>
    <m/>
    <x v="0"/>
    <s v="Yes"/>
    <n v="77"/>
    <s v="Brotech DF330 "/>
    <x v="0"/>
    <s v="PM74"/>
    <s v="YONG CHEE SOON"/>
    <n v="1705"/>
    <n v="73.416666666666671"/>
    <n v="1.2236111111111112"/>
    <d v="2025-03-04T00:00:00"/>
    <m/>
    <n v="88"/>
    <n v="150040"/>
    <s v="PE"/>
    <s v="6ZD61-800010001"/>
    <n v="0"/>
    <n v="140000"/>
    <n v="1004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494"/>
    <n v="0"/>
    <m/>
    <s v="H08031-JIM-M"/>
    <m/>
    <m/>
    <s v="S0358007"/>
  </r>
  <r>
    <x v="96"/>
    <n v="10000"/>
    <n v="20000"/>
    <d v="2025-03-05T00:00:00"/>
    <s v="502LAUGH"/>
    <d v="1899-12-30T10:58:05"/>
    <s v="10639931094/10639931096"/>
    <m/>
    <x v="0"/>
    <s v="Yes"/>
    <n v="77"/>
    <s v="Brotech DF330 "/>
    <x v="0"/>
    <s v="PM74"/>
    <s v="YONG CHEE SOON"/>
    <n v="4807"/>
    <n v="125.11666666666666"/>
    <n v="2.0852777777777778"/>
    <d v="2025-03-04T00:00:00"/>
    <m/>
    <n v="88"/>
    <n v="423016"/>
    <s v="PE"/>
    <s v="3YM56-80009-FT0001"/>
    <n v="0"/>
    <n v="440000"/>
    <n v="-16984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2496"/>
    <n v="0"/>
    <m/>
    <s v="H08031-JIM-M"/>
    <m/>
    <m/>
    <s v="S0358010"/>
  </r>
  <r>
    <x v="97"/>
    <n v="10000"/>
    <n v="20000"/>
    <d v="2025-03-06T00:00:00"/>
    <s v="502LAUGH"/>
    <s v=" 8:34:27 am"/>
    <s v="10639931012/10639931010"/>
    <m/>
    <x v="0"/>
    <s v="Yes"/>
    <n v="77"/>
    <s v="Brotech DF330 "/>
    <x v="0"/>
    <s v="PM74"/>
    <s v="YONG CHEE SOON"/>
    <n v="2500"/>
    <n v="86.666666666666657"/>
    <n v="1.4444444444444442"/>
    <d v="2025-03-04T00:00:00"/>
    <m/>
    <n v="88"/>
    <n v="220000"/>
    <s v="PE"/>
    <s v="N9K05-80021-FT0001"/>
    <n v="0"/>
    <n v="200000"/>
    <n v="2000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437"/>
    <n v="0"/>
    <m/>
    <s v="H08031-JIM-M"/>
    <m/>
    <m/>
    <s v="S0358090"/>
  </r>
  <r>
    <x v="98"/>
    <n v="10000"/>
    <n v="20000"/>
    <d v="2025-03-06T00:00:00"/>
    <s v="502LAUGH"/>
    <s v=" 8:35:19 am"/>
    <n v="10639931010"/>
    <m/>
    <x v="0"/>
    <s v="Yes"/>
    <n v="77"/>
    <s v="Brotech DF330 "/>
    <x v="0"/>
    <s v="PM74"/>
    <s v="YONG CHEE SOON"/>
    <n v="1250"/>
    <n v="65.833333333333329"/>
    <n v="1.0972222222222221"/>
    <d v="2025-03-04T00:00:00"/>
    <m/>
    <n v="88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01"/>
    <n v="0"/>
    <m/>
    <s v="H08031-JIM-M"/>
    <m/>
    <m/>
    <s v="S0358298"/>
  </r>
  <r>
    <x v="99"/>
    <n v="10000"/>
    <n v="10000"/>
    <d v="2025-03-06T00:00:00"/>
    <s v="502LAUGH"/>
    <s v=" 8:56:01 am"/>
    <s v="M0BUE5340/M0BTD2082"/>
    <m/>
    <x v="2"/>
    <s v="Yes"/>
    <n v="70"/>
    <s v="SANKI"/>
    <x v="3"/>
    <s v="PS84"/>
    <s v="YIP WENG FAI"/>
    <n v="10000"/>
    <n v="295"/>
    <n v="4.916666666666667"/>
    <d v="2025-03-04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62443"/>
    <n v="0"/>
    <m/>
    <s v="S19081-TH"/>
    <m/>
    <m/>
    <s v="H0064600"/>
  </r>
  <r>
    <x v="45"/>
    <n v="10000"/>
    <n v="20000"/>
    <d v="2025-03-06T00:00:00"/>
    <s v="502LAUGH"/>
    <s v=" 1:40:04 pm"/>
    <s v="M4B4603BGJAJ119-S248100138/E0531904"/>
    <m/>
    <x v="2"/>
    <s v="Yes"/>
    <n v="66"/>
    <s v="Fujishiko "/>
    <x v="3"/>
    <s v="PM48"/>
    <s v="CHAN TZYY XUAN"/>
    <n v="110000"/>
    <n v="2245"/>
    <n v="37.416666666666664"/>
    <d v="2025-03-04T00:00:00"/>
    <m/>
    <n v="1"/>
    <n v="110000"/>
    <s v="PE"/>
    <s v="716626800 REVC0001"/>
    <n v="0"/>
    <n v="11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445"/>
    <n v="0"/>
    <m/>
    <s v="S19081-TH"/>
    <m/>
    <m/>
    <s v="H0064609"/>
  </r>
  <r>
    <x v="100"/>
    <n v="10000"/>
    <n v="10000"/>
    <d v="2025-03-06T00:00:00"/>
    <s v="502LAUGH"/>
    <s v=" 1:42:08 pm"/>
    <n v="12190705006"/>
    <m/>
    <x v="2"/>
    <s v="Yes"/>
    <n v="68"/>
    <s v="SANKI"/>
    <x v="3"/>
    <s v="PMJ0"/>
    <s v="KOR CHEW OR"/>
    <n v="19000"/>
    <n v="520"/>
    <n v="8.6666666666666661"/>
    <d v="2025-03-04T00:00:00"/>
    <m/>
    <n v="2"/>
    <n v="38000"/>
    <s v="PE"/>
    <s v="719007600 REVA0001"/>
    <n v="0"/>
    <n v="38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62446"/>
    <n v="0"/>
    <m/>
    <s v="S19081-TH"/>
    <m/>
    <m/>
    <s v="H0064610"/>
  </r>
  <r>
    <x v="101"/>
    <n v="10000"/>
    <n v="10000"/>
    <d v="2025-03-06T00:00:00"/>
    <s v="502LAUGH"/>
    <s v=" 1:42:36 pm"/>
    <s v="E0801904/M0BSO4460"/>
    <m/>
    <x v="2"/>
    <s v="Yes"/>
    <n v="87"/>
    <s v="SYSCO"/>
    <x v="3"/>
    <s v="PM14"/>
    <s v="GOH CHEN YONG"/>
    <n v="20250"/>
    <m/>
    <m/>
    <d v="2025-03-04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449"/>
    <n v="0"/>
    <m/>
    <s v="S19081-TH"/>
    <m/>
    <m/>
    <s v="H0064625"/>
  </r>
  <r>
    <x v="102"/>
    <n v="10000"/>
    <n v="20000"/>
    <d v="2025-03-13T00:00:00"/>
    <s v="502LAUGH"/>
    <s v=" 5:02:00 pm"/>
    <n v="10639931052"/>
    <m/>
    <x v="2"/>
    <s v="Yes"/>
    <n v="79"/>
    <s v="HP Indigo 6800"/>
    <x v="4"/>
    <s v="PM16"/>
    <s v="TEO KAH JUN"/>
    <n v="304"/>
    <n v="45.2"/>
    <n v="0.75333333333333341"/>
    <d v="2025-03-04T00:00:00"/>
    <m/>
    <n v="297"/>
    <n v="90288"/>
    <s v="PE"/>
    <s v="F6U65-80033-FT0001"/>
    <n v="0"/>
    <n v="70000"/>
    <n v="20288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2974"/>
    <n v="0"/>
    <m/>
    <s v="H08031-JIM-M"/>
    <m/>
    <m/>
    <s v="S0358460"/>
  </r>
  <r>
    <x v="103"/>
    <n v="10000"/>
    <n v="30000"/>
    <d v="2025-03-04T00:00:00"/>
    <s v="502LAUGH"/>
    <s v=" 4:37:49 pm"/>
    <s v="D007Y0330/D006A5780"/>
    <m/>
    <x v="1"/>
    <s v="Yes"/>
    <n v="101"/>
    <s v="Luster AOI"/>
    <x v="1"/>
    <s v="QM54"/>
    <s v="TAN SWEE LENG"/>
    <n v="42000"/>
    <m/>
    <m/>
    <d v="2025-03-04T00:00:00"/>
    <m/>
    <n v="3"/>
    <n v="126000"/>
    <s v="PE"/>
    <s v="6ZE08-80002-FT0001"/>
    <n v="0"/>
    <n v="200000"/>
    <n v="-74000"/>
    <n v="0"/>
    <n v="0"/>
    <n v="0"/>
    <m/>
    <m/>
    <n v="0"/>
    <m/>
    <m/>
    <m/>
    <m/>
    <m/>
    <m/>
    <m/>
    <m/>
    <s v="6ZE08-80002-FT"/>
    <s v="H08031-JIM-M"/>
    <s v="HP MALAYSIA MANUFACTURING SDN.BHD."/>
    <m/>
    <n v="0"/>
    <n v="0"/>
    <n v="0"/>
    <n v="0"/>
    <n v="0"/>
    <n v="0"/>
    <m/>
    <m/>
    <m/>
    <s v="No"/>
    <s v="W662210"/>
    <n v="0"/>
    <m/>
    <s v="H08031-JIM-M"/>
    <m/>
    <m/>
    <s v="S0358461"/>
  </r>
  <r>
    <x v="104"/>
    <n v="10000"/>
    <n v="20000"/>
    <d v="2025-03-13T00:00:00"/>
    <s v="502LAUGH"/>
    <s v=" 5:03:33 pm"/>
    <n v="10639931052"/>
    <m/>
    <x v="2"/>
    <s v="Yes"/>
    <n v="79"/>
    <s v="HP Indigo 6800"/>
    <x v="4"/>
    <s v="PM16"/>
    <s v="TEO KAH JUN"/>
    <n v="337"/>
    <n v="46.85"/>
    <n v="0.78083333333333338"/>
    <d v="2025-03-04T00:00:00"/>
    <m/>
    <n v="297"/>
    <n v="100089"/>
    <s v="PE"/>
    <s v="F6U61-80027-FT0001"/>
    <n v="0"/>
    <n v="80000"/>
    <n v="20089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2975"/>
    <n v="0"/>
    <m/>
    <s v="H08031-JIM-M"/>
    <m/>
    <m/>
    <s v="S0358468"/>
  </r>
  <r>
    <x v="105"/>
    <n v="10000"/>
    <n v="20000"/>
    <d v="2025-03-04T00:00:00"/>
    <s v="502LAUGH"/>
    <s v=" 2:07:15 pm"/>
    <s v="4103001U5"/>
    <m/>
    <x v="2"/>
    <s v="Yes"/>
    <n v="94"/>
    <s v="Taiyo"/>
    <x v="2"/>
    <s v="PM09"/>
    <s v="PANG JING FULL"/>
    <n v="500"/>
    <m/>
    <m/>
    <d v="2025-03-04T00:00:00"/>
    <m/>
    <n v="4"/>
    <n v="2000"/>
    <s v="PE"/>
    <s v="0B49230 EC C73490001"/>
    <n v="0"/>
    <n v="2000"/>
    <n v="0"/>
    <n v="0"/>
    <n v="0"/>
    <n v="0"/>
    <m/>
    <m/>
    <n v="0"/>
    <m/>
    <m/>
    <m/>
    <m/>
    <m/>
    <m/>
    <m/>
    <m/>
    <s v="0B49230 EC C73494"/>
    <s v="I09082-TL"/>
    <s v="WESTERN DIGITAL STORAGE TECHNOLOGIES"/>
    <m/>
    <n v="0"/>
    <n v="0"/>
    <n v="0"/>
    <n v="0"/>
    <n v="0"/>
    <n v="0"/>
    <m/>
    <m/>
    <m/>
    <s v="No"/>
    <s v="W662545"/>
    <n v="0"/>
    <m/>
    <s v="I09082-TL"/>
    <m/>
    <m/>
    <s v="H0064636"/>
  </r>
  <r>
    <x v="106"/>
    <n v="10000"/>
    <n v="10000"/>
    <d v="2025-03-05T00:00:00"/>
    <s v="502LAUGH"/>
    <s v=" 3:56:44 pm"/>
    <s v="411517U5/411520U5"/>
    <m/>
    <x v="2"/>
    <s v="Yes"/>
    <n v="22"/>
    <s v="FSK B100"/>
    <x v="2"/>
    <s v="PS13"/>
    <s v="YEE CHENG MENG"/>
    <n v="15000"/>
    <n v="345"/>
    <n v="5.75"/>
    <d v="2025-03-04T00:00:00"/>
    <m/>
    <n v="2"/>
    <n v="30000"/>
    <s v="PE"/>
    <s v="250-6253-000001"/>
    <n v="0"/>
    <n v="30000"/>
    <n v="0"/>
    <n v="0"/>
    <n v="0"/>
    <n v="0"/>
    <m/>
    <m/>
    <n v="0"/>
    <m/>
    <m/>
    <m/>
    <m/>
    <m/>
    <m/>
    <m/>
    <m/>
    <s v="250-6253-00"/>
    <s v="J10025"/>
    <s v="JMS SINGAPORE PTE LTD"/>
    <m/>
    <n v="0"/>
    <n v="0"/>
    <n v="0"/>
    <n v="0"/>
    <n v="0"/>
    <n v="0"/>
    <m/>
    <m/>
    <m/>
    <s v="No"/>
    <s v="W662548"/>
    <n v="0"/>
    <m/>
    <s v="J10025"/>
    <m/>
    <m/>
    <s v="S0358481"/>
  </r>
  <r>
    <x v="107"/>
    <n v="10000"/>
    <n v="10000"/>
    <d v="2025-03-04T00:00:00"/>
    <s v="502LAUGH"/>
    <s v=" 4:42:12 pm"/>
    <s v="4090405U5"/>
    <m/>
    <x v="2"/>
    <s v="Yes"/>
    <n v="22"/>
    <s v="FSK B100"/>
    <x v="2"/>
    <s v="PS13"/>
    <s v="YEE CHENG MENG"/>
    <n v="15000"/>
    <n v="345"/>
    <n v="5.75"/>
    <d v="2025-03-04T00:00:00"/>
    <m/>
    <n v="1"/>
    <n v="15000"/>
    <s v="PE"/>
    <s v="260-6011-000001"/>
    <n v="0"/>
    <n v="15000"/>
    <n v="0"/>
    <n v="0"/>
    <n v="0"/>
    <n v="0"/>
    <m/>
    <m/>
    <n v="0"/>
    <m/>
    <m/>
    <m/>
    <m/>
    <m/>
    <m/>
    <m/>
    <m/>
    <s v="260-6011-00"/>
    <s v="J10025"/>
    <s v="JMS SINGAPORE PTE LTD"/>
    <m/>
    <n v="0"/>
    <n v="0"/>
    <n v="0"/>
    <n v="0"/>
    <n v="0"/>
    <n v="0"/>
    <m/>
    <m/>
    <m/>
    <s v="No"/>
    <s v="W662161"/>
    <n v="0"/>
    <m/>
    <s v="J10025"/>
    <m/>
    <m/>
    <s v="S0358481"/>
  </r>
  <r>
    <x v="108"/>
    <n v="10000"/>
    <n v="10000"/>
    <d v="2025-03-04T00:00:00"/>
    <s v="502LAUGH"/>
    <s v=" 4:39:39 pm"/>
    <s v="4111521U5A"/>
    <m/>
    <x v="2"/>
    <s v="Yes"/>
    <n v="61"/>
    <s v="FSK 520"/>
    <x v="2"/>
    <s v="PM61"/>
    <s v="HO CHAN LE"/>
    <n v="8334"/>
    <n v="211.68"/>
    <n v="3.528"/>
    <d v="2025-03-04T00:00:00"/>
    <m/>
    <n v="6"/>
    <n v="50004"/>
    <s v="PE"/>
    <s v="260-6012-000001"/>
    <n v="0"/>
    <n v="50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2556"/>
    <n v="0"/>
    <m/>
    <s v="J10025"/>
    <m/>
    <m/>
    <s v="S0358489"/>
  </r>
  <r>
    <x v="109"/>
    <n v="10000"/>
    <n v="10000"/>
    <d v="2025-03-04T00:00:00"/>
    <s v="502LAUGH"/>
    <s v=" 4:40:51 pm"/>
    <s v="3082510U9"/>
    <m/>
    <x v="2"/>
    <s v="Yes"/>
    <n v="12"/>
    <s v="FSK SR520"/>
    <x v="2"/>
    <s v="PP05"/>
    <s v="WONG KIM FATT"/>
    <n v="3000"/>
    <n v="105"/>
    <n v="1.75"/>
    <d v="2025-03-04T00:00:00"/>
    <m/>
    <n v="1"/>
    <n v="3000"/>
    <s v="PE"/>
    <n v="107475960001"/>
    <n v="0"/>
    <n v="3000"/>
    <n v="0"/>
    <n v="0"/>
    <n v="0"/>
    <n v="0"/>
    <m/>
    <m/>
    <n v="0"/>
    <m/>
    <m/>
    <m/>
    <m/>
    <m/>
    <m/>
    <m/>
    <m/>
    <n v="10747596"/>
    <s v="I09109"/>
    <s v="IKE TECHNOLOGY"/>
    <m/>
    <n v="0"/>
    <n v="0"/>
    <n v="0"/>
    <n v="0"/>
    <n v="0"/>
    <n v="0"/>
    <m/>
    <m/>
    <m/>
    <s v="No"/>
    <s v="W662165"/>
    <n v="0"/>
    <m/>
    <s v="I09109"/>
    <m/>
    <m/>
    <s v="S0358738"/>
  </r>
  <r>
    <x v="110"/>
    <n v="10000"/>
    <n v="10000"/>
    <d v="2025-03-04T00:00:00"/>
    <s v="502LAUGH"/>
    <s v=" 3:42:17 pm"/>
    <s v="E041G0470"/>
    <m/>
    <x v="2"/>
    <s v="Yes"/>
    <n v="78"/>
    <s v="Baby Sanki"/>
    <x v="2"/>
    <s v="PM84"/>
    <s v="TAN TAI TOH"/>
    <n v="4000"/>
    <n v="145"/>
    <n v="2.4166666666666665"/>
    <d v="2025-03-04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s v="PT VARTA MICROBATTERY INDONESIA"/>
    <m/>
    <n v="0"/>
    <n v="0"/>
    <n v="0"/>
    <n v="0"/>
    <n v="0"/>
    <n v="0"/>
    <m/>
    <m/>
    <m/>
    <s v="No"/>
    <s v="W662167"/>
    <n v="0"/>
    <m/>
    <s v="V22000"/>
    <m/>
    <m/>
    <s v="S0358750"/>
  </r>
  <r>
    <x v="111"/>
    <n v="10000"/>
    <n v="10000"/>
    <d v="2025-03-05T00:00:00"/>
    <s v="502LAUGH"/>
    <s v=" 4:40:53 pm"/>
    <s v="M0BUF4311"/>
    <m/>
    <x v="2"/>
    <s v="Yes"/>
    <n v="26"/>
    <s v="Sanki SKP250 Full Rotary"/>
    <x v="2"/>
    <s v="PS70"/>
    <s v="YEO WOO KEONG"/>
    <n v="13500"/>
    <n v="382.5"/>
    <n v="6.375"/>
    <d v="2025-03-04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62214"/>
    <n v="0"/>
    <m/>
    <s v="S19314"/>
    <m/>
    <m/>
    <s v="H0064649"/>
  </r>
  <r>
    <x v="112"/>
    <n v="10000"/>
    <n v="10000"/>
    <d v="2025-03-04T00:00:00"/>
    <s v="502LAUGH"/>
    <d v="1899-12-30T10:07:19"/>
    <s v="24222F05004001003"/>
    <m/>
    <x v="2"/>
    <s v="Yes"/>
    <n v="65"/>
    <s v="Sanki SDR300"/>
    <x v="3"/>
    <s v="PMJ7"/>
    <s v="FOONG SEL YI"/>
    <n v="2250"/>
    <n v="101.25"/>
    <n v="1.6875"/>
    <d v="2025-03-04T00:00:00"/>
    <m/>
    <n v="80"/>
    <n v="180000"/>
    <s v="PE"/>
    <s v="TSMB00532010001"/>
    <n v="0"/>
    <n v="180000"/>
    <n v="0"/>
    <n v="0"/>
    <n v="0"/>
    <n v="0"/>
    <m/>
    <m/>
    <n v="0"/>
    <m/>
    <m/>
    <m/>
    <m/>
    <m/>
    <m/>
    <m/>
    <m/>
    <s v="TSMB0053201"/>
    <s v="T20104"/>
    <s v="TOSHIBA TEC SINGAPORE PTE LTD"/>
    <m/>
    <n v="0"/>
    <n v="0"/>
    <n v="0"/>
    <n v="0"/>
    <n v="0"/>
    <n v="0"/>
    <m/>
    <m/>
    <m/>
    <s v="No"/>
    <s v="W662216"/>
    <n v="0"/>
    <m/>
    <s v="T20104"/>
    <m/>
    <m/>
    <s v="PR006402"/>
  </r>
  <r>
    <x v="113"/>
    <n v="10000"/>
    <n v="20000"/>
    <d v="2025-03-05T00:00:00"/>
    <s v="502LAUGH"/>
    <s v=" 9:18:38 am"/>
    <s v="4103001U5"/>
    <m/>
    <x v="2"/>
    <s v="Yes"/>
    <n v="94"/>
    <s v="Taiyo"/>
    <x v="2"/>
    <s v="PM09"/>
    <s v="PANG JING FULL"/>
    <n v="3000"/>
    <m/>
    <m/>
    <d v="2025-03-04T00:00:00"/>
    <m/>
    <n v="4"/>
    <n v="12000"/>
    <s v="PE"/>
    <s v="0B49096 REVAA0001"/>
    <n v="0"/>
    <n v="12000"/>
    <n v="0"/>
    <n v="0"/>
    <n v="0"/>
    <n v="0"/>
    <m/>
    <m/>
    <n v="0"/>
    <m/>
    <m/>
    <m/>
    <m/>
    <m/>
    <m/>
    <m/>
    <m/>
    <s v="0B49096 REVAA"/>
    <s v="W23041-TH"/>
    <s v="WESTERN DIGITAL STORAGE TECHNOLOGIES"/>
    <m/>
    <n v="0"/>
    <n v="0"/>
    <n v="0"/>
    <n v="0"/>
    <n v="0"/>
    <n v="0"/>
    <m/>
    <m/>
    <m/>
    <s v="No"/>
    <s v="W662587"/>
    <n v="0"/>
    <m/>
    <s v="W23041-TH"/>
    <m/>
    <m/>
    <s v="H0064660"/>
  </r>
  <r>
    <x v="114"/>
    <n v="10000"/>
    <n v="10000"/>
    <d v="2025-03-06T00:00:00"/>
    <s v="502LAUGH"/>
    <s v=" 8:42:30 am"/>
    <n v="501222196"/>
    <m/>
    <x v="2"/>
    <s v="Yes"/>
    <n v="72"/>
    <s v="Xeikon 3500"/>
    <x v="4"/>
    <s v="PMJ4"/>
    <s v="LEE JUN HONG"/>
    <n v="1667"/>
    <m/>
    <m/>
    <d v="2025-03-04T00:00:00"/>
    <m/>
    <n v="30"/>
    <n v="50010"/>
    <s v="PE"/>
    <s v="Q.C. ACCEPTED LA0001"/>
    <n v="0"/>
    <n v="40000"/>
    <n v="10010"/>
    <n v="0"/>
    <n v="0"/>
    <n v="0"/>
    <m/>
    <m/>
    <n v="0"/>
    <m/>
    <m/>
    <m/>
    <m/>
    <m/>
    <m/>
    <m/>
    <m/>
    <s v="Q.C. ACCEPTED LABEL"/>
    <s v="S19254"/>
    <s v="SINGAPORE ASAHI CHEMICAL &amp; SOLDER IND. PTE LTD"/>
    <m/>
    <n v="0"/>
    <n v="0"/>
    <n v="0"/>
    <n v="0"/>
    <n v="0"/>
    <n v="0"/>
    <m/>
    <m/>
    <m/>
    <s v="No"/>
    <s v="W662217"/>
    <n v="0"/>
    <m/>
    <s v="S19254"/>
    <m/>
    <m/>
    <s v="S0359019"/>
  </r>
  <r>
    <x v="115"/>
    <n v="10000"/>
    <n v="10000"/>
    <d v="2025-03-04T00:00:00"/>
    <s v="502LAUGH"/>
    <s v=" 5:39:52 pm"/>
    <s v="SG-5622228 01"/>
    <m/>
    <x v="2"/>
    <s v="Yes"/>
    <n v="59"/>
    <s v="SANKI SD-300 Intermittent"/>
    <x v="2"/>
    <s v="PS74"/>
    <s v="GOH CHIN TECK"/>
    <n v="1000"/>
    <n v="70"/>
    <n v="1.1666666666666667"/>
    <d v="2025-03-04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2173"/>
    <n v="0"/>
    <m/>
    <s v="I09180"/>
    <m/>
    <m/>
    <s v="S0359037"/>
  </r>
  <r>
    <x v="115"/>
    <n v="20000"/>
    <n v="10000"/>
    <d v="2025-03-04T00:00:00"/>
    <s v="502LAUGH"/>
    <s v=" 5:39:52 pm"/>
    <s v="SG-5622228 01"/>
    <m/>
    <x v="2"/>
    <s v="Yes"/>
    <n v="59"/>
    <s v="SANKI SD-300 Intermittent"/>
    <x v="2"/>
    <s v="PS74"/>
    <s v="GOH CHIN TECK"/>
    <n v="500"/>
    <n v="57.5"/>
    <n v="0.95833333333333337"/>
    <d v="2025-03-04T00:00:00"/>
    <m/>
    <n v="6"/>
    <n v="3000"/>
    <s v="PE"/>
    <s v="15058365 REVB0001"/>
    <n v="0"/>
    <n v="3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2173"/>
    <n v="0"/>
    <m/>
    <s v="I09180"/>
    <m/>
    <m/>
    <s v="S0359037"/>
  </r>
  <r>
    <x v="116"/>
    <n v="10000"/>
    <n v="10000"/>
    <d v="2025-03-05T00:00:00"/>
    <s v="502LAUGH"/>
    <d v="1899-12-30T11:30:26"/>
    <s v="SG-5627551-01"/>
    <m/>
    <x v="2"/>
    <s v="Yes"/>
    <n v="59"/>
    <s v="SANKI SD-300 Intermittent"/>
    <x v="2"/>
    <s v="PS74"/>
    <s v="GOH CHIN TECK"/>
    <n v="5000"/>
    <n v="170"/>
    <n v="2.8333333333333335"/>
    <d v="2025-03-04T00:00:00"/>
    <m/>
    <n v="6"/>
    <n v="30000"/>
    <s v="PE"/>
    <s v="15056431 REVB0001"/>
    <n v="0"/>
    <n v="30000"/>
    <n v="0"/>
    <n v="0"/>
    <n v="0"/>
    <n v="0"/>
    <m/>
    <m/>
    <n v="0"/>
    <m/>
    <m/>
    <m/>
    <m/>
    <m/>
    <m/>
    <m/>
    <m/>
    <s v="15056431 REVB"/>
    <s v="I09180-US"/>
    <s v="ILLUMINA CAMBRIDGE, LTD"/>
    <m/>
    <n v="0"/>
    <n v="0"/>
    <n v="0"/>
    <n v="0"/>
    <n v="0"/>
    <n v="0"/>
    <m/>
    <m/>
    <m/>
    <s v="No"/>
    <s v="W662219"/>
    <n v="0"/>
    <m/>
    <s v="I09180-US"/>
    <m/>
    <m/>
    <s v="S0359202"/>
  </r>
  <r>
    <x v="117"/>
    <n v="10000"/>
    <n v="10000"/>
    <d v="2025-03-04T00:00:00"/>
    <s v="502LAUGH"/>
    <s v=" 3:06:08 pm"/>
    <s v="J00Q865011525"/>
    <m/>
    <x v="2"/>
    <s v="Yes"/>
    <n v="71"/>
    <s v="POLLY"/>
    <x v="3"/>
    <s v="PS95"/>
    <s v="LIM CHENG LEONG"/>
    <n v="2500"/>
    <m/>
    <m/>
    <d v="2025-03-04T00:00:00"/>
    <m/>
    <n v="4"/>
    <n v="10000"/>
    <s v="PE"/>
    <n v="83624410001"/>
    <n v="0"/>
    <n v="10000"/>
    <n v="0"/>
    <n v="0"/>
    <n v="0"/>
    <n v="0"/>
    <m/>
    <m/>
    <n v="0"/>
    <m/>
    <m/>
    <m/>
    <m/>
    <m/>
    <m/>
    <m/>
    <m/>
    <n v="8362441"/>
    <s v="B02083"/>
    <s v="BECTON DICKINSON MEDICAL (S) PTE LTD"/>
    <m/>
    <n v="0"/>
    <n v="0"/>
    <n v="0"/>
    <n v="0"/>
    <n v="0"/>
    <n v="0"/>
    <m/>
    <m/>
    <m/>
    <s v="No"/>
    <s v="W662174"/>
    <n v="0"/>
    <m/>
    <s v="B02083"/>
    <m/>
    <m/>
    <s v="S0359207"/>
  </r>
  <r>
    <x v="118"/>
    <n v="10000"/>
    <n v="10000"/>
    <d v="2025-03-04T00:00:00"/>
    <s v="502LAUGH"/>
    <s v=" 4:40:51 pm"/>
    <s v="J00K66020"/>
    <m/>
    <x v="2"/>
    <s v="Yes"/>
    <n v="71"/>
    <s v="POLLY"/>
    <x v="3"/>
    <s v="PS95"/>
    <s v="LIM CHENG LEONG"/>
    <n v="1667"/>
    <m/>
    <m/>
    <d v="2025-03-04T00:00:00"/>
    <m/>
    <n v="6"/>
    <n v="10002"/>
    <s v="PE"/>
    <n v="83634480001"/>
    <n v="0"/>
    <n v="10000"/>
    <n v="2"/>
    <n v="0"/>
    <n v="0"/>
    <n v="0"/>
    <m/>
    <m/>
    <n v="0"/>
    <m/>
    <m/>
    <m/>
    <m/>
    <m/>
    <m/>
    <m/>
    <m/>
    <n v="8363448"/>
    <s v="B02083"/>
    <s v="BECTON DICKINSON MEDICAL (S) PTE LTD"/>
    <m/>
    <n v="0"/>
    <n v="0"/>
    <n v="0"/>
    <n v="0"/>
    <n v="0"/>
    <n v="0"/>
    <m/>
    <m/>
    <m/>
    <s v="No"/>
    <s v="W662175"/>
    <n v="0"/>
    <m/>
    <s v="B02083"/>
    <m/>
    <m/>
    <s v="S0359207"/>
  </r>
  <r>
    <x v="119"/>
    <n v="10000"/>
    <n v="10000"/>
    <d v="2025-03-05T00:00:00"/>
    <s v="502LAUGH"/>
    <s v=" 2:52:08 pm"/>
    <s v="M0BVD0511"/>
    <m/>
    <x v="2"/>
    <s v="Yes"/>
    <n v="93"/>
    <s v="HP Indigo 6900"/>
    <x v="4"/>
    <s v="PM29"/>
    <s v="JIMMY TNEO WEE SIANG"/>
    <n v="500"/>
    <n v="55"/>
    <n v="0.91666666666666663"/>
    <d v="2025-03-04T00:00:00"/>
    <m/>
    <n v="342"/>
    <n v="171000"/>
    <s v="PE"/>
    <s v="107-54006900001"/>
    <n v="0"/>
    <n v="105000"/>
    <n v="6600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2601"/>
    <n v="0"/>
    <m/>
    <s v="K11180"/>
    <m/>
    <m/>
    <s v="S0359211"/>
  </r>
  <r>
    <x v="120"/>
    <n v="10000"/>
    <n v="10000"/>
    <d v="2025-03-05T00:00:00"/>
    <s v="502LAUGH"/>
    <d v="1899-12-30T11:32:07"/>
    <n v="501222196"/>
    <m/>
    <x v="2"/>
    <s v="Yes"/>
    <n v="72"/>
    <s v="Xeikon 3500"/>
    <x v="4"/>
    <s v="PMJ4"/>
    <s v="LEE JUN HONG"/>
    <n v="1400"/>
    <m/>
    <m/>
    <d v="2025-03-04T00:00:00"/>
    <m/>
    <n v="10"/>
    <n v="14000"/>
    <s v="PE"/>
    <s v="SQUEEZED LEMON0001"/>
    <n v="0"/>
    <n v="10000"/>
    <n v="4000"/>
    <n v="0"/>
    <n v="0"/>
    <n v="0"/>
    <m/>
    <m/>
    <n v="0"/>
    <m/>
    <m/>
    <m/>
    <m/>
    <m/>
    <m/>
    <m/>
    <m/>
    <s v="SQUEEZED LEMON"/>
    <s v="H08138"/>
    <s v="HONEY-LAND INTERNATIONAL PTE LTD"/>
    <m/>
    <n v="0"/>
    <n v="0"/>
    <n v="0"/>
    <n v="0"/>
    <n v="0"/>
    <n v="0"/>
    <m/>
    <m/>
    <m/>
    <s v="No"/>
    <s v="W662220"/>
    <n v="0"/>
    <m/>
    <s v="H08138"/>
    <m/>
    <m/>
    <s v="S0359231"/>
  </r>
  <r>
    <x v="121"/>
    <n v="10000"/>
    <n v="20000"/>
    <d v="2025-03-05T00:00:00"/>
    <s v="502LAUGH"/>
    <s v=" 3:53:43 pm"/>
    <s v="M0BRZ2280"/>
    <m/>
    <x v="0"/>
    <s v="Yes"/>
    <n v="77"/>
    <s v="Brotech DF330 "/>
    <x v="0"/>
    <s v="PM74"/>
    <s v="YONG CHEE SOON"/>
    <n v="100"/>
    <n v="46.666666666666664"/>
    <n v="0.77777777777777779"/>
    <d v="2025-03-04T00:00:00"/>
    <m/>
    <n v="25"/>
    <n v="2500"/>
    <s v="PE"/>
    <s v="3UB50-80003-FT0001"/>
    <n v="0"/>
    <n v="1000"/>
    <n v="1500"/>
    <n v="0"/>
    <n v="0"/>
    <n v="0"/>
    <m/>
    <m/>
    <n v="0"/>
    <m/>
    <m/>
    <m/>
    <m/>
    <m/>
    <m/>
    <m/>
    <m/>
    <s v="3UB50-80003-FT"/>
    <s v="H08031-JIM"/>
    <s v="HP SINGAPORE (PRIVATE) LIMITED"/>
    <m/>
    <n v="0"/>
    <n v="0"/>
    <n v="0"/>
    <n v="0"/>
    <n v="0"/>
    <n v="0"/>
    <m/>
    <m/>
    <m/>
    <s v="No"/>
    <s v="W663005"/>
    <n v="0"/>
    <m/>
    <s v="H08031-JIM"/>
    <m/>
    <m/>
    <s v="S0359269"/>
  </r>
  <r>
    <x v="122"/>
    <n v="10000"/>
    <n v="20000"/>
    <d v="2025-03-05T00:00:00"/>
    <s v="502LAUGH"/>
    <s v=" 3:52:03 pm"/>
    <s v="M0BRZ2280"/>
    <m/>
    <x v="0"/>
    <s v="Yes"/>
    <n v="77"/>
    <s v="Brotech DF330 "/>
    <x v="0"/>
    <s v="PM74"/>
    <s v="YONG CHEE SOON"/>
    <n v="100"/>
    <n v="46.666666666666664"/>
    <n v="0.77777777777777779"/>
    <d v="2025-03-04T00:00:00"/>
    <m/>
    <n v="25"/>
    <n v="2500"/>
    <s v="PE"/>
    <s v="3UB76-80001-FT0001"/>
    <n v="0"/>
    <n v="1000"/>
    <n v="1500"/>
    <n v="0"/>
    <n v="0"/>
    <n v="0"/>
    <m/>
    <m/>
    <n v="0"/>
    <m/>
    <m/>
    <m/>
    <m/>
    <m/>
    <m/>
    <m/>
    <m/>
    <s v="3UB76-80001-FT"/>
    <s v="H08031-JIM"/>
    <s v="HP SINGAPORE (PRIVATE) LIMITED"/>
    <m/>
    <n v="0"/>
    <n v="0"/>
    <n v="0"/>
    <n v="0"/>
    <n v="0"/>
    <n v="0"/>
    <m/>
    <m/>
    <m/>
    <s v="No"/>
    <s v="W663574"/>
    <n v="0"/>
    <m/>
    <s v="H08031-JIM"/>
    <m/>
    <m/>
    <s v="S0359270"/>
  </r>
  <r>
    <x v="123"/>
    <n v="10000"/>
    <n v="20000"/>
    <d v="2025-03-05T00:00:00"/>
    <s v="502LAUGH"/>
    <s v=" 3:52:55 pm"/>
    <s v="M0BRZ2280"/>
    <m/>
    <x v="0"/>
    <s v="Yes"/>
    <n v="77"/>
    <s v="Brotech DF330 "/>
    <x v="0"/>
    <s v="PM74"/>
    <s v="YONG CHEE SOON"/>
    <n v="480"/>
    <n v="53"/>
    <n v="0.8833333333333333"/>
    <d v="2025-03-04T00:00:00"/>
    <m/>
    <n v="25"/>
    <n v="12000"/>
    <s v="PE"/>
    <s v="5180-23990001"/>
    <n v="0"/>
    <n v="10000"/>
    <n v="2000"/>
    <n v="0"/>
    <n v="0"/>
    <n v="0"/>
    <m/>
    <m/>
    <n v="0"/>
    <m/>
    <m/>
    <m/>
    <m/>
    <m/>
    <m/>
    <m/>
    <m/>
    <s v="5180-2399"/>
    <s v="H08031-JIM"/>
    <s v="HP SINGAPORE (PRIVATE) LIMITED"/>
    <m/>
    <n v="0"/>
    <n v="0"/>
    <n v="0"/>
    <n v="0"/>
    <n v="0"/>
    <n v="0"/>
    <m/>
    <m/>
    <m/>
    <s v="No"/>
    <s v="W663575"/>
    <n v="0"/>
    <m/>
    <s v="H08031-JIM"/>
    <m/>
    <m/>
    <s v="S0359271"/>
  </r>
  <r>
    <x v="124"/>
    <n v="10000"/>
    <n v="20000"/>
    <d v="2025-03-05T00:00:00"/>
    <s v="502LAUGH"/>
    <s v=" 3:55:12 pm"/>
    <s v="M0BRZ2280"/>
    <m/>
    <x v="0"/>
    <s v="Yes"/>
    <n v="77"/>
    <s v="Brotech DF330 "/>
    <x v="0"/>
    <s v="PM74"/>
    <s v="YONG CHEE SOON"/>
    <n v="179"/>
    <n v="47.983333333333334"/>
    <n v="0.79972222222222222"/>
    <d v="2025-03-04T00:00:00"/>
    <m/>
    <n v="168"/>
    <n v="30072"/>
    <s v="PE"/>
    <s v="5180-22950001"/>
    <n v="0"/>
    <n v="10000"/>
    <n v="20072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63576"/>
    <n v="0"/>
    <m/>
    <s v="H08031-JIM"/>
    <m/>
    <m/>
    <s v="S0359272"/>
  </r>
  <r>
    <x v="125"/>
    <n v="10000"/>
    <n v="20000"/>
    <d v="2025-03-05T00:00:00"/>
    <s v="502LAUGH"/>
    <s v=" 3:54:31 pm"/>
    <s v="M0BRZ2280"/>
    <m/>
    <x v="0"/>
    <s v="Yes"/>
    <n v="77"/>
    <s v="Brotech DF330 "/>
    <x v="0"/>
    <s v="PM74"/>
    <s v="YONG CHEE SOON"/>
    <n v="179"/>
    <n v="47.983333333333334"/>
    <n v="0.79972222222222222"/>
    <d v="2025-03-04T00:00:00"/>
    <m/>
    <n v="168"/>
    <n v="30072"/>
    <s v="PE"/>
    <s v="5180-2204-INDIGO0001"/>
    <n v="0"/>
    <n v="10000"/>
    <n v="20072"/>
    <n v="0"/>
    <n v="0"/>
    <n v="0"/>
    <m/>
    <m/>
    <n v="0"/>
    <m/>
    <m/>
    <m/>
    <m/>
    <m/>
    <m/>
    <m/>
    <m/>
    <s v="5180-2204"/>
    <s v="H08031-JIM"/>
    <s v="HP SINGAPORE (PRIVATE) LIMITED"/>
    <m/>
    <n v="0"/>
    <n v="0"/>
    <n v="0"/>
    <n v="0"/>
    <n v="0"/>
    <n v="0"/>
    <m/>
    <m/>
    <m/>
    <s v="No"/>
    <s v="W663577"/>
    <n v="0"/>
    <m/>
    <s v="H08031-JIM"/>
    <m/>
    <m/>
    <s v="S0359273"/>
  </r>
  <r>
    <x v="126"/>
    <n v="10000"/>
    <n v="20000"/>
    <d v="2025-03-05T00:00:00"/>
    <s v="502LAUGH"/>
    <s v=" 3:56:10 pm"/>
    <n v="10639931007"/>
    <m/>
    <x v="0"/>
    <s v="Yes"/>
    <n v="77"/>
    <s v="Brotech DF330 "/>
    <x v="0"/>
    <s v="PM74"/>
    <s v="YONG CHEE SOON"/>
    <n v="1834"/>
    <n v="75.566666666666663"/>
    <n v="1.2594444444444444"/>
    <d v="2025-03-04T00:00:00"/>
    <m/>
    <n v="180"/>
    <n v="330120"/>
    <s v="PE"/>
    <s v="M0H50-80022-FT0001"/>
    <n v="0"/>
    <n v="280000"/>
    <n v="5012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3579"/>
    <n v="0"/>
    <m/>
    <s v="H08031-JIM-M"/>
    <m/>
    <m/>
    <s v="S0359277"/>
  </r>
  <r>
    <x v="127"/>
    <n v="10000"/>
    <n v="10000"/>
    <d v="2025-03-13T00:00:00"/>
    <s v="502LAUGH"/>
    <s v=" 1:37:12 pm"/>
    <n v="10639931049"/>
    <m/>
    <x v="2"/>
    <s v="Yes"/>
    <n v="79"/>
    <s v="HP Indigo 6800"/>
    <x v="4"/>
    <s v="PM16"/>
    <s v="TEO KAH JUN"/>
    <n v="1073"/>
    <n v="83.65"/>
    <n v="1.3941666666666668"/>
    <d v="2025-03-04T00:00:00"/>
    <m/>
    <n v="176"/>
    <n v="188848"/>
    <s v="PE"/>
    <s v="T0A86-80005-FT0001"/>
    <n v="0"/>
    <n v="160000"/>
    <n v="28848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3007"/>
    <n v="0"/>
    <m/>
    <s v="H08031-JIM-M"/>
    <m/>
    <m/>
    <s v="S0359280"/>
  </r>
  <r>
    <x v="128"/>
    <n v="10000"/>
    <n v="10000"/>
    <d v="2025-03-18T00:00:00"/>
    <s v="502LAUGH"/>
    <s v=" 8:32:47 am"/>
    <n v="10639931051"/>
    <m/>
    <x v="2"/>
    <s v="Yes"/>
    <n v="79"/>
    <s v="HP Indigo 6800"/>
    <x v="4"/>
    <s v="PM16"/>
    <s v="TEO KAH JUN"/>
    <n v="130"/>
    <n v="36.5"/>
    <n v="0.60833333333333328"/>
    <d v="2025-03-04T00:00:00"/>
    <m/>
    <n v="308"/>
    <n v="40040"/>
    <s v="PE"/>
    <s v="6ZD36-800010001"/>
    <n v="0"/>
    <n v="20000"/>
    <n v="20040"/>
    <n v="0"/>
    <n v="0"/>
    <n v="0"/>
    <m/>
    <m/>
    <n v="0"/>
    <m/>
    <m/>
    <m/>
    <m/>
    <m/>
    <m/>
    <m/>
    <m/>
    <s v="6ZD36-80001"/>
    <s v="H08031-JIM-M"/>
    <s v="HP MALAYSIA MANUFACTURING SDN.BHD."/>
    <m/>
    <n v="0"/>
    <n v="0"/>
    <n v="0"/>
    <n v="0"/>
    <n v="0"/>
    <n v="0"/>
    <m/>
    <m/>
    <m/>
    <s v="No"/>
    <s v="W663010"/>
    <n v="0"/>
    <m/>
    <s v="H08031-JIM-M"/>
    <m/>
    <m/>
    <s v="S0359285"/>
  </r>
  <r>
    <x v="129"/>
    <n v="10000"/>
    <n v="10000"/>
    <d v="2025-03-17T00:00:00"/>
    <s v="502LAUGH"/>
    <s v=" 8:35:01 am"/>
    <s v="10639931049/10639931051"/>
    <m/>
    <x v="2"/>
    <s v="Yes"/>
    <n v="79"/>
    <s v="HP Indigo 6800"/>
    <x v="4"/>
    <s v="PM16"/>
    <s v="TEO KAH JUN"/>
    <n v="569"/>
    <n v="58.45"/>
    <n v="0.97416666666666674"/>
    <d v="2025-03-04T00:00:00"/>
    <m/>
    <n v="176"/>
    <n v="100144"/>
    <s v="PE"/>
    <s v="C2P09-80007-FT0001"/>
    <n v="0"/>
    <n v="80000"/>
    <n v="20144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3012"/>
    <n v="0"/>
    <m/>
    <s v="H08031-JIM-M"/>
    <m/>
    <m/>
    <s v="S0359288"/>
  </r>
  <r>
    <x v="130"/>
    <n v="10000"/>
    <n v="10000"/>
    <d v="2025-03-13T00:00:00"/>
    <s v="502LAUGH"/>
    <s v=" 2:34:49 pm"/>
    <n v="10639931050"/>
    <m/>
    <x v="2"/>
    <s v="Yes"/>
    <n v="79"/>
    <s v="HP Indigo 6800"/>
    <x v="4"/>
    <s v="PM16"/>
    <s v="TEO KAH JUN"/>
    <n v="636"/>
    <n v="61.8"/>
    <n v="1.03"/>
    <d v="2025-03-04T00:00:00"/>
    <m/>
    <n v="297"/>
    <n v="188892"/>
    <s v="PE"/>
    <s v="3YM63-80017-FT0001"/>
    <n v="0"/>
    <n v="180000"/>
    <n v="8892"/>
    <n v="0"/>
    <n v="0"/>
    <n v="0"/>
    <m/>
    <m/>
    <n v="0"/>
    <m/>
    <m/>
    <m/>
    <m/>
    <m/>
    <m/>
    <m/>
    <m/>
    <s v="3YM63-80017-FT"/>
    <s v="H08031-JIM-M"/>
    <s v="HP MALAYSIA MANUFACTURING SDN.BHD."/>
    <m/>
    <n v="0"/>
    <n v="0"/>
    <n v="0"/>
    <n v="0"/>
    <n v="0"/>
    <n v="0"/>
    <m/>
    <m/>
    <m/>
    <s v="No"/>
    <s v="W663586"/>
    <n v="0"/>
    <m/>
    <s v="H08031-JIM-M"/>
    <m/>
    <m/>
    <s v="S0359299"/>
  </r>
  <r>
    <x v="131"/>
    <n v="10000"/>
    <n v="10000"/>
    <d v="2025-03-13T00:00:00"/>
    <s v="502LAUGH"/>
    <s v=" 1:38:36 pm"/>
    <n v="10639931052"/>
    <m/>
    <x v="2"/>
    <s v="Yes"/>
    <n v="79"/>
    <s v="HP Indigo 6800"/>
    <x v="4"/>
    <s v="PM16"/>
    <s v="TEO KAH JUN"/>
    <n v="899"/>
    <n v="74.95"/>
    <n v="1.2491666666666668"/>
    <d v="2025-03-04T00:00:00"/>
    <m/>
    <n v="297"/>
    <n v="267003"/>
    <s v="PE"/>
    <s v="6ZD61-800010001"/>
    <n v="0"/>
    <n v="230000"/>
    <n v="37003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3020"/>
    <n v="0"/>
    <m/>
    <s v="H08031-JIM-M"/>
    <m/>
    <m/>
    <s v="S0359323"/>
  </r>
  <r>
    <x v="132"/>
    <n v="10000"/>
    <n v="10000"/>
    <d v="2025-03-13T00:00:00"/>
    <s v="502LAUGH"/>
    <s v=" 1:35:33 pm"/>
    <s v="10639931050/10639931049"/>
    <m/>
    <x v="2"/>
    <s v="Yes"/>
    <n v="79"/>
    <s v="HP Indigo 6800"/>
    <x v="4"/>
    <s v="PM16"/>
    <s v="TEO KAH JUN"/>
    <n v="1094"/>
    <n v="84.7"/>
    <n v="1.4116666666666666"/>
    <d v="2025-03-04T00:00:00"/>
    <m/>
    <n v="297"/>
    <n v="324918"/>
    <s v="PE"/>
    <s v="3YM55-80009-FT0001"/>
    <n v="0"/>
    <n v="310000"/>
    <n v="14918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591"/>
    <n v="0"/>
    <m/>
    <s v="H08031-JIM-M"/>
    <m/>
    <m/>
    <s v="S0359324"/>
  </r>
  <r>
    <x v="133"/>
    <n v="10000"/>
    <n v="10000"/>
    <d v="2025-03-11T00:00:00"/>
    <s v="502LAUGH"/>
    <d v="1899-12-30T11:20:22"/>
    <s v="4100514U5A"/>
    <m/>
    <x v="2"/>
    <s v="Yes"/>
    <n v="93"/>
    <s v="HP Indigo 6900"/>
    <x v="4"/>
    <s v="PM29"/>
    <s v="JIMMY TNEO WEE SIANG"/>
    <n v="56"/>
    <n v="32.799999999999997"/>
    <n v="0.54666666666666663"/>
    <d v="2025-03-04T00:00:00"/>
    <m/>
    <n v="36"/>
    <n v="2016"/>
    <s v="PE"/>
    <s v="PE-LABB00300001"/>
    <n v="0"/>
    <n v="1000"/>
    <n v="1016"/>
    <n v="0"/>
    <n v="0"/>
    <n v="0"/>
    <m/>
    <m/>
    <n v="0"/>
    <m/>
    <m/>
    <m/>
    <m/>
    <m/>
    <m/>
    <m/>
    <m/>
    <s v="PE-LABB0030"/>
    <s v="S19652"/>
    <s v="SCIENTIFIC GLASS TECHNOLOGY SINGAPORE PTE LTD"/>
    <m/>
    <n v="0"/>
    <n v="0"/>
    <n v="0"/>
    <n v="0"/>
    <n v="0"/>
    <n v="0"/>
    <m/>
    <m/>
    <m/>
    <s v="No"/>
    <s v="W662619"/>
    <n v="0"/>
    <m/>
    <s v="S19652"/>
    <m/>
    <m/>
    <s v="S0359331"/>
  </r>
  <r>
    <x v="134"/>
    <n v="10000"/>
    <n v="20000"/>
    <d v="2025-03-06T00:00:00"/>
    <s v="502LAUGH"/>
    <d v="1899-12-30T11:42:51"/>
    <n v="59469"/>
    <m/>
    <x v="2"/>
    <s v="Yes"/>
    <n v="73"/>
    <s v="Brotech DF330"/>
    <x v="0"/>
    <s v="PM59"/>
    <s v="VOON CHAN PIN"/>
    <n v="42"/>
    <n v="45.7"/>
    <n v="0.76166666666666671"/>
    <d v="2025-03-04T00:00:00"/>
    <m/>
    <n v="12"/>
    <n v="504"/>
    <s v="PE"/>
    <s v="MT-1000173-00REV0003"/>
    <n v="0"/>
    <n v="100"/>
    <n v="404"/>
    <n v="0"/>
    <n v="0"/>
    <n v="0"/>
    <m/>
    <m/>
    <n v="0"/>
    <m/>
    <m/>
    <m/>
    <m/>
    <m/>
    <m/>
    <m/>
    <m/>
    <s v="MT-1000173-00REV008"/>
    <s v="Z26002"/>
    <s v="CCL DESIGN (PENANG) SDN. BHD."/>
    <m/>
    <n v="0"/>
    <n v="0"/>
    <n v="0"/>
    <n v="0"/>
    <n v="0"/>
    <n v="0"/>
    <m/>
    <m/>
    <m/>
    <s v="No"/>
    <s v="W662222"/>
    <n v="0"/>
    <m/>
    <s v="Z26002"/>
    <m/>
    <m/>
    <s v="ZSA101749"/>
  </r>
  <r>
    <x v="135"/>
    <n v="10000"/>
    <n v="30000"/>
    <d v="2025-03-06T00:00:00"/>
    <s v="502LAUGH"/>
    <s v=" 2:16:59 pm"/>
    <n v="59469"/>
    <m/>
    <x v="2"/>
    <s v="Yes"/>
    <n v="73"/>
    <s v="Brotech DF330"/>
    <x v="0"/>
    <s v="PM59"/>
    <s v="VOON CHAN PIN"/>
    <n v="42"/>
    <n v="45.7"/>
    <n v="0.76166666666666671"/>
    <d v="2025-03-04T00:00:00"/>
    <m/>
    <n v="12"/>
    <n v="504"/>
    <s v="PE"/>
    <s v="MT-1000241-910RE0002"/>
    <n v="0"/>
    <n v="100"/>
    <n v="404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2223"/>
    <n v="0"/>
    <m/>
    <s v="Z26002"/>
    <m/>
    <m/>
    <s v="ZSA101749"/>
  </r>
  <r>
    <x v="136"/>
    <n v="10000"/>
    <n v="10000"/>
    <d v="2025-03-04T00:00:00"/>
    <s v="502LAUGH"/>
    <s v=" 3:42:17 pm"/>
    <s v="M0BUF4311"/>
    <m/>
    <x v="2"/>
    <s v="Yes"/>
    <n v="26"/>
    <s v="Sanki SKP250 Full Rotary"/>
    <x v="2"/>
    <s v="PS70"/>
    <s v="YEO WOO KEONG"/>
    <n v="4500"/>
    <n v="157.5"/>
    <n v="2.625"/>
    <d v="2025-03-04T00:00:00"/>
    <m/>
    <n v="4"/>
    <n v="18000"/>
    <s v="PE"/>
    <s v="202659300 REVA0001"/>
    <n v="0"/>
    <n v="18000"/>
    <n v="0"/>
    <n v="0"/>
    <n v="0"/>
    <n v="0"/>
    <m/>
    <m/>
    <n v="0"/>
    <m/>
    <m/>
    <m/>
    <m/>
    <m/>
    <m/>
    <m/>
    <m/>
    <s v="202659300 REVA"/>
    <s v="S19081-TH"/>
    <s v="SEAGATE TECHNOLOGY (THAILAND) LTD."/>
    <m/>
    <n v="0"/>
    <n v="0"/>
    <n v="0"/>
    <n v="0"/>
    <n v="0"/>
    <n v="0"/>
    <m/>
    <m/>
    <m/>
    <s v="No"/>
    <s v="W662226"/>
    <n v="0"/>
    <m/>
    <s v="S19081-TH"/>
    <m/>
    <m/>
    <s v="H0064688"/>
  </r>
  <r>
    <x v="137"/>
    <n v="10000"/>
    <n v="10000"/>
    <d v="2025-03-05T00:00:00"/>
    <s v="502LAUGH"/>
    <s v=" 8:58:51 am"/>
    <s v="E169912121"/>
    <m/>
    <x v="2"/>
    <s v="Yes"/>
    <n v="63"/>
    <s v="SANKI"/>
    <x v="3"/>
    <s v="PM80"/>
    <s v="YAP ZHI PING"/>
    <n v="10000"/>
    <n v="295"/>
    <n v="4.916666666666667"/>
    <d v="2025-03-0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2228"/>
    <n v="0"/>
    <m/>
    <s v="S19081-TH"/>
    <m/>
    <m/>
    <s v="H0064697"/>
  </r>
  <r>
    <x v="138"/>
    <n v="10000"/>
    <n v="10000"/>
    <d v="2025-03-05T00:00:00"/>
    <s v="502LAUGH"/>
    <s v=" 8:58:51 am"/>
    <s v="E169912121"/>
    <m/>
    <x v="2"/>
    <s v="Yes"/>
    <n v="63"/>
    <s v="SANKI"/>
    <x v="3"/>
    <s v="PM80"/>
    <s v="YAP ZHI PING"/>
    <n v="10000"/>
    <n v="295"/>
    <n v="4.916666666666667"/>
    <d v="2025-03-0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2624"/>
    <n v="0"/>
    <m/>
    <s v="S19081-TH"/>
    <m/>
    <m/>
    <s v="H0064698"/>
  </r>
  <r>
    <x v="139"/>
    <n v="10000"/>
    <n v="10000"/>
    <d v="2025-03-10T00:00:00"/>
    <s v="502LAUGH"/>
    <s v=" 2:12:59 pm"/>
    <n v="925200"/>
    <m/>
    <x v="2"/>
    <s v="Yes"/>
    <n v="79"/>
    <s v="HP Indigo 6800"/>
    <x v="4"/>
    <s v="PM16"/>
    <s v="TEO KAH JUN"/>
    <n v="417"/>
    <n v="50.85"/>
    <n v="0.84750000000000003"/>
    <d v="2025-03-04T00:00:00"/>
    <m/>
    <n v="12"/>
    <n v="5004"/>
    <s v="PE"/>
    <n v="10258252000001"/>
    <n v="0"/>
    <n v="3000"/>
    <n v="2004"/>
    <n v="0"/>
    <n v="0"/>
    <n v="0"/>
    <m/>
    <m/>
    <n v="0"/>
    <m/>
    <m/>
    <m/>
    <m/>
    <m/>
    <m/>
    <m/>
    <m/>
    <n v="1025825200"/>
    <s v="M13755"/>
    <s v="MEIBAN MOLD MANUFACTURE PTE LTD"/>
    <m/>
    <n v="0"/>
    <n v="0"/>
    <n v="0"/>
    <n v="0"/>
    <n v="0"/>
    <n v="0"/>
    <m/>
    <m/>
    <m/>
    <s v="No"/>
    <s v="W662627"/>
    <n v="0"/>
    <m/>
    <s v="M13755"/>
    <m/>
    <m/>
    <s v="S0359807"/>
  </r>
  <r>
    <x v="140"/>
    <n v="10000"/>
    <n v="20000"/>
    <d v="2025-03-07T00:00:00"/>
    <s v="502LAUGH"/>
    <s v=" 5:13:56 pm"/>
    <s v="4063565121746/XHX241228030/BYK066-02/XHX24922A1401"/>
    <m/>
    <x v="2"/>
    <s v="Yes"/>
    <n v="95"/>
    <s v="HDS 8"/>
    <x v="3"/>
    <s v="PM40"/>
    <s v="NGOI CHUN YONG"/>
    <n v="33429"/>
    <n v="1716.45"/>
    <n v="28.607500000000002"/>
    <d v="2025-03-04T00:00:00"/>
    <m/>
    <n v="7"/>
    <n v="234003"/>
    <s v="PE"/>
    <n v="86.915900010000001"/>
    <n v="0"/>
    <n v="234000"/>
    <n v="3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2630"/>
    <n v="0"/>
    <m/>
    <s v="T20390-PMI"/>
    <m/>
    <m/>
    <s v="S0359811"/>
  </r>
  <r>
    <x v="141"/>
    <n v="10000"/>
    <n v="10000"/>
    <d v="2025-03-11T00:00:00"/>
    <s v="502LAUGH"/>
    <s v=" 4:17:13 pm"/>
    <s v="JOOV80140"/>
    <m/>
    <x v="2"/>
    <s v="Yes"/>
    <n v="82"/>
    <s v="POLLY"/>
    <x v="3"/>
    <s v="PM11"/>
    <s v="TEE MENG CHAI"/>
    <n v="10834"/>
    <m/>
    <m/>
    <d v="2025-03-04T00:00:00"/>
    <m/>
    <n v="6"/>
    <n v="65004"/>
    <s v="PE"/>
    <s v="5185-07330001"/>
    <n v="0"/>
    <n v="65003"/>
    <n v="1"/>
    <n v="0"/>
    <n v="0"/>
    <n v="0"/>
    <m/>
    <m/>
    <n v="0"/>
    <m/>
    <m/>
    <m/>
    <m/>
    <m/>
    <m/>
    <m/>
    <m/>
    <s v="5185-0733"/>
    <s v="H08031-JIM-M"/>
    <s v="HP MALAYSIA MANUFACTURING SDN.BHD."/>
    <m/>
    <n v="0"/>
    <n v="0"/>
    <n v="0"/>
    <n v="0"/>
    <n v="0"/>
    <n v="0"/>
    <m/>
    <m/>
    <m/>
    <s v="No"/>
    <s v="W663035"/>
    <n v="0"/>
    <m/>
    <s v="H08031-JIM-M"/>
    <m/>
    <m/>
    <s v="S0359820"/>
  </r>
  <r>
    <x v="142"/>
    <n v="10000"/>
    <n v="10000"/>
    <d v="2025-03-05T00:00:00"/>
    <s v="502LAUGH"/>
    <s v=" 8:34:21 am"/>
    <s v="3170S1"/>
    <m/>
    <x v="2"/>
    <s v="Yes"/>
    <n v="65"/>
    <s v="Sanki SDR300"/>
    <x v="3"/>
    <s v="PMJ7"/>
    <s v="FOONG SEL YI"/>
    <n v="167"/>
    <n v="49.174999999999997"/>
    <n v="0.81958333333333333"/>
    <d v="2025-03-04T00:00:00"/>
    <m/>
    <n v="6"/>
    <n v="1002"/>
    <s v="PE"/>
    <s v="FMQC00230010001"/>
    <n v="0"/>
    <n v="1000"/>
    <n v="2"/>
    <n v="0"/>
    <n v="0"/>
    <n v="0"/>
    <m/>
    <m/>
    <n v="0"/>
    <m/>
    <m/>
    <m/>
    <m/>
    <m/>
    <m/>
    <m/>
    <m/>
    <s v="FMQC0023001"/>
    <s v="T20104"/>
    <s v="TOSHIBA TEC SINGAPORE PTE LTD"/>
    <m/>
    <n v="0"/>
    <n v="0"/>
    <n v="0"/>
    <n v="0"/>
    <n v="0"/>
    <n v="0"/>
    <m/>
    <m/>
    <m/>
    <s v="No"/>
    <s v="W662230"/>
    <n v="0"/>
    <m/>
    <s v="T20104"/>
    <m/>
    <m/>
    <s v="S0359823"/>
  </r>
  <r>
    <x v="143"/>
    <n v="10000"/>
    <n v="10000"/>
    <d v="2025-03-05T00:00:00"/>
    <s v="502LAUGH"/>
    <s v=" 8:34:22 am"/>
    <s v="3170S1"/>
    <m/>
    <x v="2"/>
    <s v="Yes"/>
    <n v="65"/>
    <s v="Sanki SDR300"/>
    <x v="3"/>
    <s v="PMJ7"/>
    <s v="FOONG SEL YI"/>
    <n v="143"/>
    <n v="48.575000000000003"/>
    <n v="0.80958333333333343"/>
    <d v="2025-03-04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s v="TOSHIBA TEC SINGAPORE PTE LTD"/>
    <m/>
    <n v="0"/>
    <n v="0"/>
    <n v="0"/>
    <n v="0"/>
    <n v="0"/>
    <n v="0"/>
    <m/>
    <m/>
    <m/>
    <s v="No"/>
    <s v="W662231"/>
    <n v="0"/>
    <m/>
    <s v="T20104"/>
    <m/>
    <m/>
    <s v="S0359823"/>
  </r>
  <r>
    <x v="144"/>
    <n v="10000"/>
    <n v="10000"/>
    <d v="2025-03-04T00:00:00"/>
    <s v="502LAUGH"/>
    <s v=" 4:39:39 pm"/>
    <s v="3170S1"/>
    <m/>
    <x v="2"/>
    <s v="Yes"/>
    <n v="65"/>
    <s v="Sanki SDR300"/>
    <x v="3"/>
    <s v="PMJ7"/>
    <s v="FOONG SEL YI"/>
    <n v="462"/>
    <n v="56.55"/>
    <n v="0.9425"/>
    <d v="2025-03-04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2232"/>
    <n v="0"/>
    <m/>
    <s v="T20104"/>
    <m/>
    <m/>
    <s v="S0359823"/>
  </r>
  <r>
    <x v="145"/>
    <n v="10000"/>
    <n v="10000"/>
    <d v="2025-03-05T00:00:00"/>
    <s v="502LAUGH"/>
    <s v=" 8:34:22 am"/>
    <s v="3170S1"/>
    <m/>
    <x v="2"/>
    <s v="Yes"/>
    <n v="65"/>
    <s v="Sanki SDR300"/>
    <x v="3"/>
    <s v="PMJ7"/>
    <s v="FOONG SEL YI"/>
    <n v="667"/>
    <n v="61.674999999999997"/>
    <n v="1.0279166666666666"/>
    <d v="2025-03-04T00:00:00"/>
    <m/>
    <n v="6"/>
    <n v="4002"/>
    <s v="PE"/>
    <s v="FMQC00230010001"/>
    <n v="0"/>
    <n v="4000"/>
    <n v="2"/>
    <n v="0"/>
    <n v="0"/>
    <n v="0"/>
    <m/>
    <m/>
    <n v="0"/>
    <m/>
    <m/>
    <m/>
    <m/>
    <m/>
    <m/>
    <m/>
    <m/>
    <s v="FMQC0023001"/>
    <s v="T20104"/>
    <s v="TOSHIBA TEC SINGAPORE PTE LTD"/>
    <m/>
    <n v="0"/>
    <n v="0"/>
    <n v="0"/>
    <n v="0"/>
    <n v="0"/>
    <n v="0"/>
    <m/>
    <m/>
    <m/>
    <s v="No"/>
    <s v="W662233"/>
    <n v="0"/>
    <m/>
    <s v="T20104"/>
    <m/>
    <m/>
    <s v="PR006403"/>
  </r>
  <r>
    <x v="146"/>
    <n v="10000"/>
    <n v="10000"/>
    <d v="2025-03-05T00:00:00"/>
    <s v="502LAUGH"/>
    <s v=" 8:34:22 am"/>
    <s v="3170S1"/>
    <m/>
    <x v="2"/>
    <s v="Yes"/>
    <n v="65"/>
    <s v="Sanki SDR300"/>
    <x v="3"/>
    <s v="PMJ7"/>
    <s v="FOONG SEL YI"/>
    <n v="286"/>
    <n v="52.15"/>
    <n v="0.86916666666666664"/>
    <d v="2025-03-04T00:00:00"/>
    <m/>
    <n v="7"/>
    <n v="2002"/>
    <s v="PE"/>
    <s v="TSMB00488030001"/>
    <n v="0"/>
    <n v="2000"/>
    <n v="2"/>
    <n v="0"/>
    <n v="0"/>
    <n v="0"/>
    <m/>
    <m/>
    <n v="0"/>
    <m/>
    <m/>
    <m/>
    <m/>
    <m/>
    <m/>
    <m/>
    <m/>
    <s v="TSMB0048803"/>
    <s v="T20104"/>
    <s v="TOSHIBA TEC SINGAPORE PTE LTD"/>
    <m/>
    <n v="0"/>
    <n v="0"/>
    <n v="0"/>
    <n v="0"/>
    <n v="0"/>
    <n v="0"/>
    <m/>
    <m/>
    <m/>
    <s v="No"/>
    <s v="W662234"/>
    <n v="0"/>
    <m/>
    <s v="T20104"/>
    <m/>
    <m/>
    <s v="PR006403"/>
  </r>
  <r>
    <x v="147"/>
    <n v="10000"/>
    <n v="10000"/>
    <d v="2025-03-04T00:00:00"/>
    <s v="502LAUGH"/>
    <s v=" 4:39:39 pm"/>
    <s v="3170S1"/>
    <m/>
    <x v="2"/>
    <s v="Yes"/>
    <n v="65"/>
    <s v="Sanki SDR300"/>
    <x v="3"/>
    <s v="PMJ7"/>
    <s v="FOONG SEL YI"/>
    <n v="462"/>
    <n v="56.55"/>
    <n v="0.9425"/>
    <d v="2025-03-04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2235"/>
    <n v="0"/>
    <m/>
    <s v="T20104"/>
    <m/>
    <m/>
    <s v="PR006403"/>
  </r>
  <r>
    <x v="148"/>
    <n v="10000"/>
    <n v="10000"/>
    <d v="2025-03-05T00:00:00"/>
    <s v="502LAUGH"/>
    <s v=" 8:37:28 am"/>
    <s v="J00T59660"/>
    <m/>
    <x v="2"/>
    <s v="Yes"/>
    <n v="72"/>
    <s v="Xeikon 3500"/>
    <x v="4"/>
    <s v="PMJ4"/>
    <s v="LEE JUN HONG"/>
    <n v="3250"/>
    <m/>
    <m/>
    <d v="2025-03-04T00:00:00"/>
    <m/>
    <n v="4"/>
    <n v="13000"/>
    <s v="PE"/>
    <n v="5000769160001"/>
    <n v="0"/>
    <n v="10000"/>
    <n v="300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2236"/>
    <n v="0"/>
    <m/>
    <s v="B02083"/>
    <m/>
    <m/>
    <s v="S0359825"/>
  </r>
  <r>
    <x v="148"/>
    <n v="10000"/>
    <n v="20000"/>
    <d v="2025-03-05T00:00:00"/>
    <s v="502LAUGH"/>
    <s v=" 8:37:28 am"/>
    <s v="J00T59660"/>
    <m/>
    <x v="0"/>
    <s v="Yes"/>
    <n v="71"/>
    <s v="POLLY"/>
    <x v="3"/>
    <s v="PS95"/>
    <s v="LIM CHENG LEONG"/>
    <n v="1250"/>
    <m/>
    <m/>
    <d v="2025-03-04T00:00:00"/>
    <m/>
    <n v="8"/>
    <n v="10000"/>
    <s v="PE"/>
    <n v="5000769160001"/>
    <n v="0"/>
    <n v="10000"/>
    <n v="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2236"/>
    <n v="0"/>
    <m/>
    <s v="B02083"/>
    <m/>
    <m/>
    <s v="S0359825"/>
  </r>
  <r>
    <x v="149"/>
    <n v="10000"/>
    <n v="10000"/>
    <d v="2025-03-21T00:00:00"/>
    <s v="502LAUGH"/>
    <d v="1899-12-30T11:33:26"/>
    <n v="10639931050"/>
    <m/>
    <x v="2"/>
    <s v="Yes"/>
    <n v="79"/>
    <s v="HP Indigo 6800"/>
    <x v="4"/>
    <s v="PM16"/>
    <s v="TEO KAH JUN"/>
    <n v="168"/>
    <n v="38.4"/>
    <n v="0.64"/>
    <d v="2025-03-04T00:00:00"/>
    <m/>
    <n v="297"/>
    <n v="49896"/>
    <s v="PE"/>
    <s v="CH562-80153-FT0001"/>
    <n v="0"/>
    <n v="30000"/>
    <n v="19896"/>
    <n v="0"/>
    <n v="0"/>
    <n v="0"/>
    <m/>
    <m/>
    <n v="0"/>
    <m/>
    <m/>
    <m/>
    <m/>
    <m/>
    <m/>
    <m/>
    <m/>
    <s v="CH562-80153-FT"/>
    <s v="H08031-JIM-M"/>
    <s v="HP MALAYSIA MANUFACTURING SDN.BHD."/>
    <m/>
    <n v="0"/>
    <n v="0"/>
    <n v="0"/>
    <n v="0"/>
    <n v="0"/>
    <n v="0"/>
    <m/>
    <m/>
    <m/>
    <s v="No"/>
    <s v="W663605"/>
    <n v="0"/>
    <m/>
    <s v="H08031-JIM-M"/>
    <m/>
    <m/>
    <s v="S0359840"/>
  </r>
  <r>
    <x v="70"/>
    <n v="10000"/>
    <n v="20000"/>
    <d v="2025-03-05T00:00:00"/>
    <s v="502LAUGH"/>
    <s v=" 8:35:08 am"/>
    <s v="4275S1/BYL015-01"/>
    <m/>
    <x v="0"/>
    <s v="Yes"/>
    <n v="105"/>
    <s v="Laser"/>
    <x v="5"/>
    <s v="PM87"/>
    <s v="LEE SHIEN WEI"/>
    <n v="2500"/>
    <m/>
    <m/>
    <d v="2025-03-04T00:00:00"/>
    <m/>
    <n v="1"/>
    <n v="2500"/>
    <s v="PE"/>
    <s v="ASSET TAG-76X34M0001"/>
    <n v="0"/>
    <n v="2500"/>
    <n v="0"/>
    <n v="0"/>
    <n v="0"/>
    <n v="0"/>
    <m/>
    <m/>
    <n v="0"/>
    <m/>
    <m/>
    <m/>
    <m/>
    <m/>
    <m/>
    <m/>
    <m/>
    <s v="ASSET TAG-76X34MM"/>
    <s v="N14199"/>
    <s v="NCS PTE LTD"/>
    <m/>
    <n v="0"/>
    <n v="0"/>
    <n v="0"/>
    <n v="0"/>
    <n v="0"/>
    <n v="0"/>
    <m/>
    <m/>
    <m/>
    <s v="No"/>
    <s v="W662238"/>
    <n v="0"/>
    <m/>
    <s v="N14199"/>
    <m/>
    <m/>
    <s v="S0359841"/>
  </r>
  <r>
    <x v="71"/>
    <n v="10000"/>
    <n v="20000"/>
    <d v="2025-03-05T00:00:00"/>
    <s v="502LAUGH"/>
    <s v=" 5:24:01 pm"/>
    <s v="11191427/BWG015-06"/>
    <m/>
    <x v="0"/>
    <s v="Yes"/>
    <n v="100"/>
    <s v="Vorey Digital Cut"/>
    <x v="6"/>
    <s v="PM87"/>
    <s v="LEE SHIEN WEI"/>
    <n v="600"/>
    <m/>
    <m/>
    <d v="2025-03-04T00:00:00"/>
    <m/>
    <n v="5"/>
    <n v="3000"/>
    <s v="PE"/>
    <s v="FOR I-NET-BLUE0001"/>
    <n v="0"/>
    <n v="2500"/>
    <n v="500"/>
    <n v="0"/>
    <n v="0"/>
    <n v="0"/>
    <m/>
    <m/>
    <n v="0"/>
    <m/>
    <m/>
    <m/>
    <m/>
    <m/>
    <m/>
    <m/>
    <m/>
    <s v="FOR I-NET-BLUE"/>
    <s v="N14199"/>
    <s v="NCS PTE LTD"/>
    <m/>
    <n v="0"/>
    <n v="0"/>
    <n v="0"/>
    <n v="0"/>
    <n v="0"/>
    <n v="0"/>
    <m/>
    <m/>
    <m/>
    <s v="No"/>
    <s v="W662239"/>
    <n v="0"/>
    <m/>
    <s v="N14199"/>
    <m/>
    <m/>
    <s v="S0359841"/>
  </r>
  <r>
    <x v="150"/>
    <n v="10000"/>
    <n v="10000"/>
    <d v="2025-03-05T00:00:00"/>
    <s v="502LAUGH"/>
    <s v=" 9:19:27 am"/>
    <s v="U4116S103/L4820U8017"/>
    <m/>
    <x v="2"/>
    <s v="Yes"/>
    <n v="88"/>
    <s v="OKI"/>
    <x v="4"/>
    <s v="PP24"/>
    <s v="HO HON SENG"/>
    <n v="2800"/>
    <m/>
    <m/>
    <d v="2025-03-04T00:00:00"/>
    <m/>
    <n v="1"/>
    <n v="2800"/>
    <s v="PE"/>
    <s v="INET-42X45 GREEN0001"/>
    <n v="0"/>
    <n v="2500"/>
    <n v="300"/>
    <n v="0"/>
    <n v="0"/>
    <n v="0"/>
    <m/>
    <m/>
    <n v="0"/>
    <m/>
    <m/>
    <m/>
    <m/>
    <m/>
    <m/>
    <m/>
    <m/>
    <s v="INET-42X45 GREEN"/>
    <s v="N14199"/>
    <s v="NCS PTE LTD"/>
    <m/>
    <n v="0"/>
    <n v="0"/>
    <n v="0"/>
    <n v="0"/>
    <n v="0"/>
    <n v="0"/>
    <m/>
    <m/>
    <m/>
    <s v="No"/>
    <s v="W662240"/>
    <n v="0"/>
    <m/>
    <s v="N14199"/>
    <m/>
    <m/>
    <s v="S0359841"/>
  </r>
  <r>
    <x v="150"/>
    <n v="10000"/>
    <n v="20000"/>
    <d v="2025-03-05T00:00:00"/>
    <s v="502LAUGH"/>
    <s v=" 9:19:27 am"/>
    <s v="U4116S103/L4820U8017"/>
    <m/>
    <x v="0"/>
    <s v="Yes"/>
    <n v="100"/>
    <s v="Vorey Digital Cut"/>
    <x v="6"/>
    <s v="PM87"/>
    <s v="LEE SHIEN WEI"/>
    <n v="2700"/>
    <m/>
    <m/>
    <d v="2025-03-04T00:00:00"/>
    <m/>
    <n v="1"/>
    <n v="2700"/>
    <s v="PE"/>
    <s v="INET-42X45 GREEN0001"/>
    <n v="0"/>
    <n v="2500"/>
    <n v="200"/>
    <n v="0"/>
    <n v="0"/>
    <n v="0"/>
    <m/>
    <m/>
    <n v="0"/>
    <m/>
    <m/>
    <m/>
    <m/>
    <m/>
    <m/>
    <m/>
    <m/>
    <s v="INET-42X45 GREEN"/>
    <s v="N14199"/>
    <s v="NCS PTE LTD"/>
    <m/>
    <n v="0"/>
    <n v="0"/>
    <n v="0"/>
    <n v="0"/>
    <n v="0"/>
    <n v="0"/>
    <m/>
    <m/>
    <m/>
    <s v="No"/>
    <s v="W662240"/>
    <n v="0"/>
    <m/>
    <s v="N14199"/>
    <m/>
    <m/>
    <s v="S0359841"/>
  </r>
  <r>
    <x v="72"/>
    <n v="10000"/>
    <n v="20000"/>
    <d v="2025-03-05T00:00:00"/>
    <s v="502LAUGH"/>
    <s v=" 8:35:43 am"/>
    <s v="4275S1/BYL015-01"/>
    <m/>
    <x v="0"/>
    <s v="Yes"/>
    <n v="105"/>
    <s v="Laser"/>
    <x v="5"/>
    <s v="PM87"/>
    <s v="LEE SHIEN WEI"/>
    <n v="500"/>
    <m/>
    <m/>
    <d v="2025-03-04T00:00:00"/>
    <m/>
    <n v="1"/>
    <n v="500"/>
    <s v="PE"/>
    <s v="ASSET TAG-76X34M0001"/>
    <n v="0"/>
    <n v="500"/>
    <n v="0"/>
    <n v="0"/>
    <n v="0"/>
    <n v="0"/>
    <m/>
    <m/>
    <n v="0"/>
    <m/>
    <m/>
    <m/>
    <m/>
    <m/>
    <m/>
    <m/>
    <m/>
    <s v="ASSET TAG-76X34MM"/>
    <s v="N14199"/>
    <s v="NCS PTE LTD"/>
    <m/>
    <n v="0"/>
    <n v="0"/>
    <n v="0"/>
    <n v="0"/>
    <n v="0"/>
    <n v="0"/>
    <m/>
    <m/>
    <m/>
    <s v="No"/>
    <s v="W662241"/>
    <n v="0"/>
    <m/>
    <s v="N14199"/>
    <m/>
    <m/>
    <s v="S0359843"/>
  </r>
  <r>
    <x v="151"/>
    <n v="10000"/>
    <n v="10000"/>
    <d v="2025-03-05T00:00:00"/>
    <s v="502LAUGH"/>
    <s v=" 2:07:19 pm"/>
    <s v="4092S1/BYL015-01"/>
    <m/>
    <x v="2"/>
    <s v="Yes"/>
    <n v="88"/>
    <s v="OKI"/>
    <x v="4"/>
    <s v="PP24"/>
    <s v="HO HON SENG"/>
    <n v="700"/>
    <m/>
    <m/>
    <d v="2025-03-04T00:00:00"/>
    <m/>
    <n v="5"/>
    <n v="3500"/>
    <s v="PE"/>
    <s v="SECRET-NET0002"/>
    <n v="0"/>
    <n v="3000"/>
    <n v="500"/>
    <n v="0"/>
    <n v="0"/>
    <n v="0"/>
    <m/>
    <m/>
    <n v="0"/>
    <m/>
    <m/>
    <m/>
    <m/>
    <m/>
    <m/>
    <m/>
    <m/>
    <s v="SECRET-NET"/>
    <s v="N14199"/>
    <s v="NCS PTE LTD"/>
    <m/>
    <n v="0"/>
    <n v="0"/>
    <n v="0"/>
    <n v="0"/>
    <n v="0"/>
    <n v="0"/>
    <m/>
    <m/>
    <m/>
    <s v="No"/>
    <s v="W662242"/>
    <n v="0"/>
    <m/>
    <s v="N14199"/>
    <m/>
    <m/>
    <s v="S0359843"/>
  </r>
  <r>
    <x v="152"/>
    <n v="10000"/>
    <n v="10000"/>
    <d v="2025-03-04T00:00:00"/>
    <s v="502LAUGH"/>
    <d v="1899-12-30T10:06:06"/>
    <s v="MDRLR4W220228"/>
    <m/>
    <x v="2"/>
    <s v="Yes"/>
    <n v="65"/>
    <s v="Sanki SDR300"/>
    <x v="3"/>
    <s v="PMJ7"/>
    <s v="FOONG SEL YI"/>
    <n v="160"/>
    <n v="49"/>
    <n v="0.81666666666666665"/>
    <d v="2025-03-04T00:00:00"/>
    <m/>
    <n v="20"/>
    <n v="3200"/>
    <s v="PE"/>
    <s v="805679 REV4010001"/>
    <n v="0"/>
    <n v="3200"/>
    <n v="0"/>
    <n v="0"/>
    <n v="0"/>
    <n v="0"/>
    <m/>
    <m/>
    <n v="0"/>
    <m/>
    <m/>
    <m/>
    <m/>
    <m/>
    <m/>
    <m/>
    <m/>
    <s v="805679 REV401"/>
    <s v="V22000"/>
    <s v="PT VARTA MICROBATTERY INDONESIA"/>
    <m/>
    <n v="0"/>
    <n v="0"/>
    <n v="0"/>
    <n v="0"/>
    <n v="0"/>
    <n v="0"/>
    <m/>
    <m/>
    <m/>
    <s v="No"/>
    <s v="W662243"/>
    <n v="0"/>
    <m/>
    <s v="V22000"/>
    <m/>
    <m/>
    <s v="S0359848"/>
  </r>
  <r>
    <x v="73"/>
    <n v="10000"/>
    <n v="20000"/>
    <d v="2025-03-04T00:00:00"/>
    <s v="502LAUGH"/>
    <s v=" 1:27:12 pm"/>
    <s v="SG-5630465 03"/>
    <m/>
    <x v="0"/>
    <s v="Yes"/>
    <n v="86"/>
    <s v="Brotech DF330 "/>
    <x v="0"/>
    <s v="PM45"/>
    <s v="TAY CHIN LIONG"/>
    <n v="322"/>
    <n v="50.366666666666667"/>
    <n v="0.83944444444444444"/>
    <d v="2025-03-04T00:00:00"/>
    <m/>
    <n v="14"/>
    <n v="4508"/>
    <s v="PE"/>
    <n v="200715740001"/>
    <n v="0"/>
    <n v="3000"/>
    <n v="1508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62244"/>
    <n v="0"/>
    <m/>
    <s v="I09180"/>
    <m/>
    <m/>
    <s v="S0359854"/>
  </r>
  <r>
    <x v="74"/>
    <n v="10000"/>
    <n v="20000"/>
    <d v="2025-03-04T00:00:00"/>
    <s v="502LAUGH"/>
    <s v=" 1:25:55 pm"/>
    <s v="SG-5630465 03"/>
    <m/>
    <x v="0"/>
    <s v="Yes"/>
    <n v="86"/>
    <s v="Brotech DF330 "/>
    <x v="0"/>
    <s v="PM45"/>
    <s v="TAY CHIN LIONG"/>
    <n v="500"/>
    <n v="53.333333333333336"/>
    <n v="0.88888888888888895"/>
    <d v="2025-03-04T00:00:00"/>
    <m/>
    <n v="14"/>
    <n v="7000"/>
    <s v="PE"/>
    <n v="200715740001"/>
    <n v="0"/>
    <n v="13000"/>
    <n v="-6000"/>
    <n v="0"/>
    <n v="0"/>
    <n v="0"/>
    <m/>
    <m/>
    <n v="0"/>
    <m/>
    <m/>
    <m/>
    <m/>
    <m/>
    <m/>
    <m/>
    <m/>
    <n v="20071574"/>
    <s v="I09180"/>
    <s v="ILLUMINA SINGAPORE PTE LTD"/>
    <m/>
    <n v="0"/>
    <n v="0"/>
    <n v="0"/>
    <n v="0"/>
    <n v="0"/>
    <n v="0"/>
    <m/>
    <m/>
    <m/>
    <s v="No"/>
    <s v="W662245"/>
    <n v="0"/>
    <m/>
    <s v="I09180"/>
    <m/>
    <m/>
    <s v="S0359855"/>
  </r>
  <r>
    <x v="153"/>
    <n v="10000"/>
    <n v="10000"/>
    <d v="2025-03-04T00:00:00"/>
    <s v="502LAUGH"/>
    <s v=" 5:39:52 pm"/>
    <s v="SG-5622228 01"/>
    <m/>
    <x v="2"/>
    <s v="Yes"/>
    <n v="59"/>
    <s v="SANKI SD-300 Intermittent"/>
    <x v="2"/>
    <s v="PS74"/>
    <s v="GOH CHIN TECK"/>
    <n v="1000"/>
    <n v="70"/>
    <n v="1.1666666666666667"/>
    <d v="2025-03-04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2246"/>
    <n v="0"/>
    <m/>
    <s v="I09180"/>
    <m/>
    <m/>
    <s v="S0359872"/>
  </r>
  <r>
    <x v="83"/>
    <n v="10000"/>
    <n v="20000"/>
    <d v="2025-03-04T00:00:00"/>
    <s v="502LAUGH"/>
    <s v=" 9:23:18 am"/>
    <s v="SG-5630465 03"/>
    <m/>
    <x v="0"/>
    <s v="Yes"/>
    <n v="86"/>
    <s v="Brotech DF330 "/>
    <x v="0"/>
    <s v="PM45"/>
    <s v="TAY CHIN LIONG"/>
    <n v="209"/>
    <n v="48.483333333333334"/>
    <n v="0.80805555555555553"/>
    <d v="2025-03-04T00:00:00"/>
    <m/>
    <n v="48"/>
    <n v="10032"/>
    <s v="PE"/>
    <n v="201088630001"/>
    <n v="0"/>
    <n v="8000"/>
    <n v="2032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2248"/>
    <n v="0"/>
    <m/>
    <s v="I09180"/>
    <m/>
    <m/>
    <s v="S0359882"/>
  </r>
  <r>
    <x v="84"/>
    <n v="10000"/>
    <n v="20000"/>
    <d v="2025-03-04T00:00:00"/>
    <s v="502LAUGH"/>
    <s v=" 9:22:28 am"/>
    <s v="SG-5630465 03"/>
    <m/>
    <x v="0"/>
    <s v="Yes"/>
    <n v="86"/>
    <s v="Brotech DF330 "/>
    <x v="0"/>
    <s v="PM45"/>
    <s v="TAY CHIN LIONG"/>
    <n v="292"/>
    <n v="49.866666666666667"/>
    <n v="0.83111111111111113"/>
    <d v="2025-03-04T00:00:00"/>
    <m/>
    <n v="48"/>
    <n v="14016"/>
    <s v="PE"/>
    <n v="201088630001"/>
    <n v="0"/>
    <n v="8000"/>
    <n v="6016"/>
    <n v="0"/>
    <n v="0"/>
    <n v="0"/>
    <m/>
    <m/>
    <n v="0"/>
    <m/>
    <m/>
    <m/>
    <m/>
    <m/>
    <m/>
    <m/>
    <m/>
    <n v="20108863"/>
    <s v="I09180"/>
    <s v="ILLUMINA SINGAPORE PTE LTD"/>
    <m/>
    <n v="0"/>
    <n v="0"/>
    <n v="0"/>
    <n v="0"/>
    <n v="0"/>
    <n v="0"/>
    <m/>
    <m/>
    <m/>
    <s v="No"/>
    <s v="W662249"/>
    <n v="0"/>
    <m/>
    <s v="I09180"/>
    <m/>
    <m/>
    <s v="S0359884"/>
  </r>
  <r>
    <x v="85"/>
    <n v="10000"/>
    <n v="20000"/>
    <d v="2025-03-04T00:00:00"/>
    <s v="502LAUGH"/>
    <d v="1899-12-30T10:10:03"/>
    <s v="U4B1258025"/>
    <m/>
    <x v="0"/>
    <s v="Yes"/>
    <n v="71"/>
    <s v="POLLY"/>
    <x v="3"/>
    <s v="PS95"/>
    <s v="LIM CHENG LEONG"/>
    <n v="286"/>
    <m/>
    <m/>
    <d v="2025-03-04T00:00:00"/>
    <m/>
    <n v="35"/>
    <n v="10010"/>
    <s v="PE"/>
    <n v="52028070001"/>
    <n v="0"/>
    <n v="10000"/>
    <n v="10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2081"/>
    <n v="0"/>
    <m/>
    <s v="S19156"/>
    <m/>
    <m/>
    <s v="S0359969"/>
  </r>
  <r>
    <x v="154"/>
    <n v="10000"/>
    <n v="10000"/>
    <d v="2025-03-05T00:00:00"/>
    <s v="502LAUGH"/>
    <s v=" 9:45:53 am"/>
    <s v="BYM039-02"/>
    <m/>
    <x v="2"/>
    <s v="Yes"/>
    <n v="93"/>
    <s v="HP Indigo 6900"/>
    <x v="4"/>
    <s v="PM29"/>
    <s v="JIMMY TNEO WEE SIANG"/>
    <n v="800"/>
    <n v="70"/>
    <n v="1.1666666666666667"/>
    <d v="2025-03-04T00:00:00"/>
    <m/>
    <n v="63"/>
    <n v="50400"/>
    <s v="PE"/>
    <s v="GR-0880001"/>
    <n v="0"/>
    <n v="40000"/>
    <n v="10400"/>
    <n v="0"/>
    <n v="0"/>
    <n v="0"/>
    <m/>
    <m/>
    <n v="0"/>
    <m/>
    <m/>
    <m/>
    <m/>
    <m/>
    <m/>
    <m/>
    <m/>
    <s v="GR-088"/>
    <s v="G07076"/>
    <s v="GIVAUDAN SINGAPORE PTE LTD"/>
    <m/>
    <n v="0"/>
    <n v="0"/>
    <n v="0"/>
    <n v="0"/>
    <n v="0"/>
    <n v="0"/>
    <m/>
    <m/>
    <m/>
    <s v="No"/>
    <s v="W662641"/>
    <n v="0"/>
    <m/>
    <s v="G07076"/>
    <m/>
    <m/>
    <s v="S0360714"/>
  </r>
  <r>
    <x v="86"/>
    <n v="10000"/>
    <n v="20000"/>
    <d v="2025-03-04T00:00:00"/>
    <s v="502LAUGH"/>
    <s v=" 2:08:34 pm"/>
    <s v="SG-5630465 03"/>
    <m/>
    <x v="0"/>
    <s v="Yes"/>
    <n v="86"/>
    <s v="Brotech DF330 "/>
    <x v="0"/>
    <s v="PM45"/>
    <s v="TAY CHIN LIONG"/>
    <n v="700"/>
    <n v="56.666666666666664"/>
    <n v="0.94444444444444442"/>
    <d v="2025-03-04T00:00:00"/>
    <m/>
    <n v="20"/>
    <n v="14000"/>
    <s v="PE"/>
    <n v="200900090001"/>
    <n v="0"/>
    <n v="40000"/>
    <n v="-26000"/>
    <n v="0"/>
    <n v="0"/>
    <n v="0"/>
    <m/>
    <m/>
    <n v="0"/>
    <m/>
    <m/>
    <m/>
    <m/>
    <m/>
    <m/>
    <m/>
    <m/>
    <n v="20090009"/>
    <s v="I09180"/>
    <s v="ILLUMINA SINGAPORE PTE LTD"/>
    <m/>
    <n v="0"/>
    <n v="0"/>
    <n v="0"/>
    <n v="0"/>
    <n v="0"/>
    <n v="0"/>
    <m/>
    <m/>
    <m/>
    <s v="No"/>
    <s v="W663041"/>
    <n v="0"/>
    <m/>
    <s v="I09180"/>
    <m/>
    <m/>
    <s v="S0360721"/>
  </r>
  <r>
    <x v="87"/>
    <n v="10000"/>
    <n v="20000"/>
    <d v="2025-03-04T00:00:00"/>
    <s v="502LAUGH"/>
    <s v=" 9:24:11 am"/>
    <s v="SG-5630465 03"/>
    <m/>
    <x v="0"/>
    <s v="Yes"/>
    <n v="86"/>
    <s v="Brotech DF330 "/>
    <x v="0"/>
    <s v="PM45"/>
    <s v="TAY CHIN LIONG"/>
    <n v="700"/>
    <n v="56.666666666666664"/>
    <n v="0.94444444444444442"/>
    <d v="2025-03-04T00:00:00"/>
    <m/>
    <n v="20"/>
    <n v="14000"/>
    <s v="PE"/>
    <n v="200689890001"/>
    <n v="0"/>
    <n v="12000"/>
    <n v="2000"/>
    <n v="0"/>
    <n v="0"/>
    <n v="0"/>
    <m/>
    <m/>
    <n v="0"/>
    <m/>
    <m/>
    <m/>
    <m/>
    <m/>
    <m/>
    <m/>
    <m/>
    <n v="20068989"/>
    <s v="I09180-SUNNINGDALE"/>
    <s v="SUNNINGDALE TECH LTD"/>
    <m/>
    <n v="0"/>
    <n v="0"/>
    <n v="0"/>
    <n v="0"/>
    <n v="0"/>
    <n v="0"/>
    <m/>
    <m/>
    <m/>
    <s v="No"/>
    <s v="W662250"/>
    <n v="0"/>
    <m/>
    <s v="I09180-SUNNINGDALE"/>
    <m/>
    <m/>
    <s v="S0360735"/>
  </r>
  <r>
    <x v="155"/>
    <n v="10000"/>
    <n v="10000"/>
    <d v="2025-03-06T00:00:00"/>
    <s v="502LAUGH"/>
    <s v=" 5:32:48 pm"/>
    <s v="401180925/3082510U9"/>
    <m/>
    <x v="2"/>
    <s v="Yes"/>
    <n v="88"/>
    <s v="OKI"/>
    <x v="4"/>
    <s v="PP24"/>
    <s v="HO HON SENG"/>
    <n v="240"/>
    <m/>
    <m/>
    <d v="2025-03-04T00:00:00"/>
    <m/>
    <n v="5"/>
    <n v="1200"/>
    <s v="PE"/>
    <n v="107353930001"/>
    <n v="0"/>
    <n v="1000"/>
    <n v="200"/>
    <n v="0"/>
    <n v="0"/>
    <n v="0"/>
    <m/>
    <m/>
    <n v="0"/>
    <m/>
    <m/>
    <m/>
    <m/>
    <m/>
    <m/>
    <m/>
    <m/>
    <n v="10735393"/>
    <s v="I09109"/>
    <s v="IKE TECHNOLOGY"/>
    <m/>
    <n v="0"/>
    <n v="0"/>
    <n v="0"/>
    <n v="0"/>
    <n v="0"/>
    <n v="0"/>
    <m/>
    <m/>
    <m/>
    <s v="No"/>
    <s v="W662648"/>
    <n v="0"/>
    <m/>
    <s v="I09109"/>
    <m/>
    <m/>
    <s v="S0360742"/>
  </r>
  <r>
    <x v="156"/>
    <n v="10000"/>
    <n v="10000"/>
    <d v="2025-03-06T00:00:00"/>
    <s v="502LAUGH"/>
    <s v=" 5:32:48 pm"/>
    <s v="401180925/3082510U9"/>
    <m/>
    <x v="2"/>
    <s v="Yes"/>
    <n v="88"/>
    <s v="OKI"/>
    <x v="4"/>
    <s v="PP24"/>
    <s v="HO HON SENG"/>
    <n v="4"/>
    <m/>
    <m/>
    <d v="2025-03-04T00:00:00"/>
    <m/>
    <n v="5"/>
    <n v="20"/>
    <s v="PE"/>
    <n v="107353930001"/>
    <n v="0"/>
    <n v="20"/>
    <n v="0"/>
    <n v="0"/>
    <n v="0"/>
    <n v="0"/>
    <m/>
    <m/>
    <n v="0"/>
    <m/>
    <m/>
    <m/>
    <m/>
    <m/>
    <m/>
    <m/>
    <m/>
    <n v="10735393"/>
    <s v="I09109"/>
    <s v="IKE TECHNOLOGY"/>
    <m/>
    <n v="0"/>
    <n v="0"/>
    <n v="0"/>
    <n v="0"/>
    <n v="0"/>
    <n v="0"/>
    <m/>
    <m/>
    <m/>
    <s v="No"/>
    <s v="W662651"/>
    <n v="0"/>
    <m/>
    <s v="I09109"/>
    <m/>
    <m/>
    <s v="ZSA101754"/>
  </r>
  <r>
    <x v="157"/>
    <n v="10000"/>
    <n v="10000"/>
    <d v="2025-03-06T00:00:00"/>
    <s v="502LAUGH"/>
    <d v="1899-12-30T11:46:05"/>
    <s v="4057S1"/>
    <m/>
    <x v="2"/>
    <s v="Yes"/>
    <n v="88"/>
    <s v="OKI"/>
    <x v="4"/>
    <s v="PP24"/>
    <s v="HO HON SENG"/>
    <n v="200"/>
    <m/>
    <m/>
    <d v="2025-03-04T00:00:00"/>
    <m/>
    <n v="1"/>
    <n v="200"/>
    <s v="PE"/>
    <s v="CONFIDENTIAL QR 0001"/>
    <n v="0"/>
    <n v="200"/>
    <n v="0"/>
    <n v="0"/>
    <n v="0"/>
    <n v="0"/>
    <m/>
    <m/>
    <n v="0"/>
    <m/>
    <m/>
    <m/>
    <m/>
    <m/>
    <m/>
    <m/>
    <m/>
    <s v="CONFIDENTIAL QR CODE"/>
    <s v="N14199"/>
    <s v="NCS PTE LTD"/>
    <m/>
    <n v="0"/>
    <n v="0"/>
    <n v="0"/>
    <n v="0"/>
    <n v="0"/>
    <n v="0"/>
    <m/>
    <m/>
    <m/>
    <s v="No"/>
    <s v="W662694"/>
    <n v="0"/>
    <m/>
    <s v="N14199"/>
    <m/>
    <m/>
    <s v="S0359843"/>
  </r>
  <r>
    <x v="2"/>
    <n v="10000"/>
    <n v="40000"/>
    <d v="2025-03-14T00:00:00"/>
    <s v="502LAUGH"/>
    <s v=" 8:37:26 am"/>
    <s v="10639931087/10639931085/10620258096/10620258095/10620258094"/>
    <m/>
    <x v="1"/>
    <s v="Yes"/>
    <n v="91"/>
    <s v="Luster AOI"/>
    <x v="1"/>
    <s v="QM87"/>
    <s v="GOH SING JOO"/>
    <n v="100000"/>
    <m/>
    <m/>
    <d v="2025-03-05T00:00:00"/>
    <m/>
    <n v="9"/>
    <n v="900000"/>
    <s v="PE"/>
    <s v="5180-0102-BH2120001"/>
    <n v="0"/>
    <n v="892857"/>
    <n v="7143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2931"/>
    <n v="0"/>
    <m/>
    <s v="H08031-JIM"/>
    <m/>
    <m/>
    <s v="S0353204"/>
  </r>
  <r>
    <x v="158"/>
    <n v="10000"/>
    <n v="10000"/>
    <d v="2025-03-06T00:00:00"/>
    <s v="502LAUGH"/>
    <s v=" 8:43:47 am"/>
    <n v="4042448203724"/>
    <m/>
    <x v="2"/>
    <s v="Yes"/>
    <n v="60"/>
    <s v="Fujishiko UDP-5000"/>
    <x v="3"/>
    <s v="PM30"/>
    <s v="OH KIAN YUAN"/>
    <n v="1500"/>
    <n v="75"/>
    <n v="1.25"/>
    <d v="2025-03-05T00:00:00"/>
    <m/>
    <n v="8"/>
    <n v="12000"/>
    <s v="PE"/>
    <s v="TPK-847994-00100001"/>
    <n v="0"/>
    <n v="20000"/>
    <n v="-8000"/>
    <n v="0"/>
    <n v="0"/>
    <n v="0"/>
    <m/>
    <m/>
    <n v="0"/>
    <m/>
    <m/>
    <m/>
    <m/>
    <m/>
    <m/>
    <m/>
    <m/>
    <s v="TPK-847994-0010"/>
    <s v="Z26002"/>
    <s v="CCL DESIGN (PENANG) SDN. BHD."/>
    <m/>
    <n v="0"/>
    <n v="0"/>
    <n v="0"/>
    <n v="0"/>
    <n v="0"/>
    <n v="0"/>
    <m/>
    <m/>
    <m/>
    <s v="No"/>
    <s v="W662410"/>
    <n v="0"/>
    <m/>
    <s v="Z26002"/>
    <m/>
    <m/>
    <s v="S0355033"/>
  </r>
  <r>
    <x v="159"/>
    <n v="10000"/>
    <n v="10000"/>
    <d v="2025-03-05T00:00:00"/>
    <s v="502LAUGH"/>
    <s v=" 4:11:12 pm"/>
    <s v="SG-5630465"/>
    <m/>
    <x v="2"/>
    <s v="Yes"/>
    <n v="59"/>
    <s v="SANKI SD-300 Intermittent"/>
    <x v="2"/>
    <s v="PS74"/>
    <s v="GOH CHIN TECK"/>
    <n v="6225"/>
    <n v="200.625"/>
    <n v="3.34375"/>
    <d v="2025-03-05T00:00:00"/>
    <m/>
    <n v="2"/>
    <n v="12450"/>
    <s v="PE"/>
    <n v="112887080001"/>
    <n v="0"/>
    <n v="12450"/>
    <n v="0"/>
    <n v="0"/>
    <n v="0"/>
    <n v="0"/>
    <m/>
    <m/>
    <n v="0"/>
    <m/>
    <m/>
    <m/>
    <m/>
    <m/>
    <m/>
    <m/>
    <m/>
    <n v="11288708"/>
    <s v="I09180-US"/>
    <s v="ILLUMINA CAMBRIDGE, LTD"/>
    <m/>
    <n v="0"/>
    <n v="0"/>
    <n v="0"/>
    <n v="0"/>
    <n v="0"/>
    <n v="0"/>
    <m/>
    <m/>
    <m/>
    <s v="No"/>
    <s v="W662197"/>
    <n v="0"/>
    <m/>
    <s v="I09180-US"/>
    <m/>
    <m/>
    <s v="S0355330"/>
  </r>
  <r>
    <x v="160"/>
    <n v="10000"/>
    <n v="10000"/>
    <d v="2025-03-06T00:00:00"/>
    <s v="502LAUGH"/>
    <s v=" 8:37:30 am"/>
    <s v="SG-5630465"/>
    <m/>
    <x v="2"/>
    <s v="Yes"/>
    <n v="59"/>
    <s v="SANKI SD-300 Intermittent"/>
    <x v="2"/>
    <s v="PS74"/>
    <s v="GOH CHIN TECK"/>
    <n v="4150"/>
    <n v="148.75"/>
    <n v="2.4791666666666665"/>
    <d v="2025-03-05T00:00:00"/>
    <m/>
    <n v="2"/>
    <n v="8300"/>
    <s v="PE"/>
    <n v="112887320001"/>
    <n v="0"/>
    <n v="8300"/>
    <n v="0"/>
    <n v="0"/>
    <n v="0"/>
    <n v="0"/>
    <m/>
    <m/>
    <n v="0"/>
    <m/>
    <m/>
    <m/>
    <m/>
    <m/>
    <m/>
    <m/>
    <m/>
    <n v="11288732"/>
    <s v="I09180-US"/>
    <s v="ILLUMINA CAMBRIDGE, LTD"/>
    <m/>
    <n v="0"/>
    <n v="0"/>
    <n v="0"/>
    <n v="0"/>
    <n v="0"/>
    <n v="0"/>
    <m/>
    <m/>
    <m/>
    <s v="No"/>
    <s v="W662198"/>
    <n v="0"/>
    <m/>
    <s v="I09180-US"/>
    <m/>
    <m/>
    <s v="S0355330"/>
  </r>
  <r>
    <x v="161"/>
    <n v="10000"/>
    <n v="10000"/>
    <d v="2025-03-13T00:00:00"/>
    <s v="502LAUGH"/>
    <s v=" 8:34:20 am"/>
    <s v="JOOTP98411525/J00WA6862"/>
    <m/>
    <x v="2"/>
    <s v="Yes"/>
    <n v="110"/>
    <s v="Brotech"/>
    <x v="0"/>
    <s v="PM11"/>
    <s v="TEE MENG CHAI"/>
    <n v="35500"/>
    <n v="636.66666666666663"/>
    <n v="10.611111111111111"/>
    <d v="2025-03-05T00:00:00"/>
    <m/>
    <n v="4"/>
    <n v="142000"/>
    <s v="PE"/>
    <s v="Z980 REV11.00001"/>
    <n v="0"/>
    <n v="142000"/>
    <n v="0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2939"/>
    <n v="0"/>
    <m/>
    <s v="R18131"/>
    <m/>
    <m/>
    <s v="S0355673"/>
  </r>
  <r>
    <x v="162"/>
    <n v="10000"/>
    <n v="10000"/>
    <d v="2025-03-06T00:00:00"/>
    <s v="502LAUGH"/>
    <s v=" 8:43:47 am"/>
    <s v="4103023U5"/>
    <m/>
    <x v="2"/>
    <s v="Yes"/>
    <n v="46"/>
    <s v="Sanki 300 Intermittent"/>
    <x v="2"/>
    <s v="PS66"/>
    <s v="SIM ENG KWANG"/>
    <n v="7000"/>
    <n v="220"/>
    <n v="3.6666666666666665"/>
    <d v="2025-03-05T00:00:00"/>
    <m/>
    <n v="1"/>
    <n v="7000"/>
    <s v="PE"/>
    <s v="250-6168-000001"/>
    <n v="0"/>
    <n v="7000"/>
    <n v="0"/>
    <n v="0"/>
    <n v="0"/>
    <n v="0"/>
    <m/>
    <m/>
    <n v="0"/>
    <m/>
    <m/>
    <m/>
    <m/>
    <m/>
    <m/>
    <m/>
    <m/>
    <s v="250-6168-00"/>
    <s v="J10025-PHL-SG"/>
    <s v="JMS SINGAPORE PTE LTD"/>
    <m/>
    <n v="0"/>
    <n v="0"/>
    <n v="0"/>
    <n v="0"/>
    <n v="0"/>
    <n v="0"/>
    <m/>
    <m/>
    <m/>
    <s v="No"/>
    <s v="W662417"/>
    <n v="0"/>
    <m/>
    <s v="J10025-PHL-SG"/>
    <m/>
    <m/>
    <s v="S0357505"/>
  </r>
  <r>
    <x v="163"/>
    <n v="10000"/>
    <n v="10000"/>
    <d v="2025-03-06T00:00:00"/>
    <s v="502LAUGH"/>
    <d v="1899-12-30T12:54:29"/>
    <s v="4111520U5"/>
    <m/>
    <x v="2"/>
    <s v="Yes"/>
    <n v="61"/>
    <s v="FSK 520"/>
    <x v="2"/>
    <s v="PM61"/>
    <s v="HO CHAN LE"/>
    <n v="6667"/>
    <n v="178.34"/>
    <n v="2.9723333333333333"/>
    <d v="2025-03-05T00:00:00"/>
    <m/>
    <n v="6"/>
    <n v="40002"/>
    <s v="PE"/>
    <s v="250-6171-000001"/>
    <n v="0"/>
    <n v="40000"/>
    <n v="2"/>
    <n v="0"/>
    <n v="0"/>
    <n v="0"/>
    <m/>
    <m/>
    <n v="0"/>
    <m/>
    <m/>
    <m/>
    <m/>
    <m/>
    <m/>
    <m/>
    <m/>
    <s v="250-6171-00"/>
    <s v="J10025-PHL-SG"/>
    <s v="JMS SINGAPORE PTE LTD"/>
    <m/>
    <n v="0"/>
    <n v="0"/>
    <n v="0"/>
    <n v="0"/>
    <n v="0"/>
    <n v="0"/>
    <m/>
    <m/>
    <m/>
    <s v="No"/>
    <s v="W662418"/>
    <n v="0"/>
    <m/>
    <s v="J10025-PHL-SG"/>
    <m/>
    <m/>
    <s v="S0357505"/>
  </r>
  <r>
    <x v="164"/>
    <n v="10000"/>
    <n v="10000"/>
    <d v="2025-03-05T00:00:00"/>
    <s v="502LAUGH"/>
    <s v=" 4:40:04 pm"/>
    <s v="4111520U5"/>
    <m/>
    <x v="2"/>
    <s v="Yes"/>
    <n v="61"/>
    <s v="FSK 520"/>
    <x v="2"/>
    <s v="PM61"/>
    <s v="HO CHAN LE"/>
    <n v="6667"/>
    <n v="178.34"/>
    <n v="2.9723333333333333"/>
    <d v="2025-03-05T00:00:00"/>
    <m/>
    <n v="6"/>
    <n v="40002"/>
    <s v="PE"/>
    <s v="250-6172-000001"/>
    <n v="0"/>
    <n v="40000"/>
    <n v="2"/>
    <n v="0"/>
    <n v="0"/>
    <n v="0"/>
    <m/>
    <m/>
    <n v="0"/>
    <m/>
    <m/>
    <m/>
    <m/>
    <m/>
    <m/>
    <m/>
    <m/>
    <s v="250-6172-00"/>
    <s v="J10025-PHL-SG"/>
    <s v="JMS SINGAPORE PTE LTD"/>
    <m/>
    <n v="0"/>
    <n v="0"/>
    <n v="0"/>
    <n v="0"/>
    <n v="0"/>
    <n v="0"/>
    <m/>
    <m/>
    <m/>
    <s v="No"/>
    <s v="W662419"/>
    <n v="0"/>
    <m/>
    <s v="J10025-PHL-SG"/>
    <m/>
    <m/>
    <s v="S0357505"/>
  </r>
  <r>
    <x v="165"/>
    <n v="10000"/>
    <n v="10000"/>
    <d v="2025-03-06T00:00:00"/>
    <s v="502LAUGH"/>
    <s v=" 8:37:30 am"/>
    <s v="SG-5630465"/>
    <m/>
    <x v="2"/>
    <s v="Yes"/>
    <n v="59"/>
    <s v="SANKI SD-300 Intermittent"/>
    <x v="2"/>
    <s v="PS74"/>
    <s v="GOH CHIN TECK"/>
    <n v="415"/>
    <n v="55.375"/>
    <n v="0.92291666666666672"/>
    <d v="2025-03-05T00:00:00"/>
    <m/>
    <n v="2"/>
    <n v="830"/>
    <s v="PE"/>
    <n v="112887320001"/>
    <n v="0"/>
    <n v="830"/>
    <n v="0"/>
    <n v="0"/>
    <n v="0"/>
    <n v="0"/>
    <m/>
    <m/>
    <n v="0"/>
    <m/>
    <m/>
    <m/>
    <m/>
    <m/>
    <m/>
    <m/>
    <m/>
    <n v="11288732"/>
    <s v="I09180"/>
    <s v="ILLUMINA SINGAPORE PTE LTD"/>
    <m/>
    <n v="0"/>
    <n v="0"/>
    <n v="0"/>
    <n v="0"/>
    <n v="0"/>
    <n v="0"/>
    <m/>
    <m/>
    <m/>
    <s v="No"/>
    <s v="W662202"/>
    <n v="0"/>
    <m/>
    <s v="I09180"/>
    <m/>
    <m/>
    <s v="S0357744"/>
  </r>
  <r>
    <x v="166"/>
    <n v="10000"/>
    <n v="10000"/>
    <d v="2025-03-06T00:00:00"/>
    <s v="502LAUGH"/>
    <d v="1899-12-30T12:49:42"/>
    <s v="4067S1"/>
    <m/>
    <x v="2"/>
    <s v="Yes"/>
    <n v="78"/>
    <s v="Baby Sanki"/>
    <x v="2"/>
    <s v="PM84"/>
    <s v="TAN TAI TOH"/>
    <n v="2000"/>
    <n v="95"/>
    <n v="1.5833333333333333"/>
    <d v="2025-03-05T00:00:00"/>
    <m/>
    <n v="1"/>
    <n v="2000"/>
    <s v="PE"/>
    <n v="1871210001"/>
    <n v="0"/>
    <n v="1000"/>
    <n v="1000"/>
    <n v="0"/>
    <n v="0"/>
    <n v="0"/>
    <m/>
    <m/>
    <n v="0"/>
    <m/>
    <m/>
    <m/>
    <m/>
    <m/>
    <m/>
    <m/>
    <m/>
    <n v="187121"/>
    <s v="P16186"/>
    <s v="PEPPERL+FUCHS ASIA PTE. LTD"/>
    <m/>
    <n v="0"/>
    <n v="0"/>
    <n v="0"/>
    <n v="0"/>
    <n v="0"/>
    <n v="0"/>
    <m/>
    <m/>
    <m/>
    <s v="No"/>
    <s v="W662203"/>
    <n v="0"/>
    <m/>
    <s v="P16186"/>
    <m/>
    <m/>
    <s v="S0357788"/>
  </r>
  <r>
    <x v="166"/>
    <n v="10000"/>
    <n v="20000"/>
    <d v="2025-03-06T00:00:00"/>
    <s v="502LAUGH"/>
    <d v="1899-12-30T12:49:44"/>
    <s v="4067S1"/>
    <m/>
    <x v="0"/>
    <s v="Yes"/>
    <n v="65"/>
    <s v="Sanki SDR300"/>
    <x v="3"/>
    <s v="PMJ7"/>
    <s v="FOONG SEL YI"/>
    <n v="2000"/>
    <n v="95"/>
    <n v="1.5833333333333333"/>
    <d v="2025-03-05T00:00:00"/>
    <m/>
    <n v="1"/>
    <n v="2000"/>
    <s v="PE"/>
    <n v="1871210001"/>
    <n v="0"/>
    <n v="1000"/>
    <n v="1000"/>
    <n v="0"/>
    <n v="0"/>
    <n v="0"/>
    <m/>
    <m/>
    <n v="0"/>
    <m/>
    <m/>
    <m/>
    <m/>
    <m/>
    <m/>
    <m/>
    <m/>
    <n v="187121"/>
    <s v="P16186"/>
    <s v="PEPPERL+FUCHS ASIA PTE. LTD"/>
    <m/>
    <n v="0"/>
    <n v="0"/>
    <n v="0"/>
    <n v="0"/>
    <n v="0"/>
    <n v="0"/>
    <m/>
    <m/>
    <m/>
    <s v="No"/>
    <s v="W662203"/>
    <n v="0"/>
    <m/>
    <s v="P16186"/>
    <m/>
    <m/>
    <s v="S0357788"/>
  </r>
  <r>
    <x v="94"/>
    <n v="10000"/>
    <n v="50000"/>
    <d v="2025-03-07T00:00:00"/>
    <s v="502LAUGH"/>
    <s v=" 5:25:12 pm"/>
    <s v="BXB022-02"/>
    <m/>
    <x v="0"/>
    <s v="Yes"/>
    <n v="62"/>
    <s v="Fujishiko "/>
    <x v="3"/>
    <s v="PM75"/>
    <s v="TOO CHIOU SHYAN"/>
    <n v="35000"/>
    <n v="745"/>
    <n v="12.416666666666666"/>
    <d v="2025-03-05T00:00:00"/>
    <m/>
    <n v="1"/>
    <n v="35000"/>
    <s v="PE"/>
    <s v="Y00-0000928-000001"/>
    <n v="0"/>
    <n v="35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2433"/>
    <n v="0"/>
    <m/>
    <s v="F06170-JIANGSU"/>
    <m/>
    <m/>
    <s v="S0357841"/>
  </r>
  <r>
    <x v="167"/>
    <n v="10000"/>
    <n v="10000"/>
    <d v="2025-03-05T00:00:00"/>
    <s v="502LAUGH"/>
    <d v="1899-12-30T10:58:26"/>
    <s v="M0BA89700"/>
    <m/>
    <x v="2"/>
    <s v="Yes"/>
    <n v="12"/>
    <s v="FSK SR520"/>
    <x v="2"/>
    <s v="PP05"/>
    <s v="WONG KIM FATT"/>
    <n v="2000"/>
    <n v="85"/>
    <n v="1.4166666666666667"/>
    <d v="2025-03-05T00:00:00"/>
    <m/>
    <n v="1"/>
    <n v="2000"/>
    <s v="PE"/>
    <s v="250-0121-000001"/>
    <n v="0"/>
    <n v="2000"/>
    <n v="0"/>
    <n v="0"/>
    <n v="0"/>
    <n v="0"/>
    <m/>
    <m/>
    <n v="0"/>
    <m/>
    <m/>
    <m/>
    <m/>
    <m/>
    <m/>
    <m/>
    <m/>
    <s v="250-0121-00"/>
    <s v="J10025"/>
    <s v="JMS SINGAPORE PTE LTD"/>
    <m/>
    <n v="0"/>
    <n v="0"/>
    <n v="0"/>
    <n v="0"/>
    <n v="0"/>
    <n v="0"/>
    <m/>
    <m/>
    <m/>
    <s v="No"/>
    <s v="W662204"/>
    <n v="0"/>
    <m/>
    <s v="J10025"/>
    <m/>
    <m/>
    <s v="S0357887"/>
  </r>
  <r>
    <x v="95"/>
    <n v="10000"/>
    <n v="30000"/>
    <d v="2025-03-05T00:00:00"/>
    <s v="502LAUGH"/>
    <s v=" 2:04:01 pm"/>
    <n v="10639931010"/>
    <m/>
    <x v="1"/>
    <s v="Yes"/>
    <n v="85"/>
    <s v="Luster AOI"/>
    <x v="1"/>
    <s v="QM78"/>
    <s v="WONG SEAU JIN"/>
    <n v="13637"/>
    <m/>
    <m/>
    <d v="2025-03-05T00:00:00"/>
    <m/>
    <n v="11"/>
    <n v="150007"/>
    <s v="PE"/>
    <s v="6ZD61-800010001"/>
    <n v="0"/>
    <n v="140000"/>
    <n v="10007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494"/>
    <n v="0"/>
    <m/>
    <s v="H08031-JIM-M"/>
    <m/>
    <m/>
    <s v="S0358007"/>
  </r>
  <r>
    <x v="96"/>
    <n v="10000"/>
    <n v="30000"/>
    <d v="2025-03-05T00:00:00"/>
    <s v="502LAUGH"/>
    <d v="1899-12-30T10:58:05"/>
    <s v="10639931094/10639931096"/>
    <m/>
    <x v="1"/>
    <s v="Yes"/>
    <n v="85"/>
    <s v="Luster AOI"/>
    <x v="1"/>
    <s v="QM78"/>
    <s v="WONG SEAU JIN"/>
    <n v="36364"/>
    <m/>
    <m/>
    <d v="2025-03-05T00:00:00"/>
    <m/>
    <n v="11"/>
    <n v="400004"/>
    <s v="PE"/>
    <s v="3YM56-80009-FT0001"/>
    <n v="0"/>
    <n v="440000"/>
    <n v="-39996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2496"/>
    <n v="0"/>
    <m/>
    <s v="H08031-JIM-M"/>
    <m/>
    <m/>
    <s v="S0358010"/>
  </r>
  <r>
    <x v="97"/>
    <n v="10000"/>
    <n v="30000"/>
    <d v="2025-03-06T00:00:00"/>
    <s v="502LAUGH"/>
    <s v=" 8:34:27 am"/>
    <s v="10639931012/10639931010"/>
    <m/>
    <x v="1"/>
    <s v="Yes"/>
    <n v="85"/>
    <s v="Luster AOI"/>
    <x v="1"/>
    <s v="QM78"/>
    <s v="WONG SEAU JIN"/>
    <n v="20000"/>
    <m/>
    <m/>
    <d v="2025-03-05T00:00:00"/>
    <m/>
    <n v="11"/>
    <n v="220000"/>
    <s v="PE"/>
    <s v="N9K05-80021-FT0001"/>
    <n v="0"/>
    <n v="200000"/>
    <n v="2000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437"/>
    <n v="0"/>
    <m/>
    <s v="H08031-JIM-M"/>
    <m/>
    <m/>
    <s v="S0358090"/>
  </r>
  <r>
    <x v="168"/>
    <n v="10000"/>
    <n v="10000"/>
    <d v="2025-03-06T00:00:00"/>
    <s v="502LAUGH"/>
    <s v=" 8:32:38 am"/>
    <s v="BYJ032-04"/>
    <m/>
    <x v="2"/>
    <s v="Yes"/>
    <n v="71"/>
    <s v="POLLY"/>
    <x v="3"/>
    <s v="PS95"/>
    <s v="LIM CHENG LEONG"/>
    <n v="1250"/>
    <m/>
    <m/>
    <d v="2025-03-05T00:00:00"/>
    <m/>
    <n v="4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s v="BECTON DICKINSON MEDICAL (S) PTE LTD"/>
    <m/>
    <n v="0"/>
    <n v="0"/>
    <n v="0"/>
    <n v="0"/>
    <n v="0"/>
    <n v="0"/>
    <m/>
    <m/>
    <m/>
    <s v="No"/>
    <s v="W662960"/>
    <n v="0"/>
    <m/>
    <s v="B02083"/>
    <m/>
    <m/>
    <s v="S0358240"/>
  </r>
  <r>
    <x v="169"/>
    <n v="10000"/>
    <n v="10000"/>
    <d v="2025-03-06T00:00:00"/>
    <s v="502LAUGH"/>
    <s v=" 8:32:38 am"/>
    <s v="BYJ032-04"/>
    <m/>
    <x v="2"/>
    <s v="Yes"/>
    <n v="71"/>
    <s v="POLLY"/>
    <x v="3"/>
    <s v="PS95"/>
    <s v="LIM CHENG LEONG"/>
    <n v="1250"/>
    <m/>
    <m/>
    <d v="2025-03-05T00:00:00"/>
    <m/>
    <n v="4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s v="BECTON DICKINSON MEDICAL (S) PTE LTD"/>
    <m/>
    <n v="0"/>
    <n v="0"/>
    <n v="0"/>
    <n v="0"/>
    <n v="0"/>
    <n v="0"/>
    <m/>
    <m/>
    <m/>
    <s v="No"/>
    <s v="W662961"/>
    <n v="0"/>
    <m/>
    <s v="B02083"/>
    <m/>
    <m/>
    <s v="S0358241"/>
  </r>
  <r>
    <x v="170"/>
    <n v="10000"/>
    <n v="10000"/>
    <d v="2025-03-06T00:00:00"/>
    <s v="502LAUGH"/>
    <s v=" 8:32:38 am"/>
    <s v="BYJ032-04"/>
    <m/>
    <x v="2"/>
    <s v="Yes"/>
    <n v="71"/>
    <s v="POLLY"/>
    <x v="3"/>
    <s v="PS95"/>
    <s v="LIM CHENG LEONG"/>
    <n v="1250"/>
    <m/>
    <m/>
    <d v="2025-03-05T00:00:00"/>
    <m/>
    <n v="4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s v="BECTON DICKINSON MEDICAL (S) PTE LTD"/>
    <m/>
    <n v="0"/>
    <n v="0"/>
    <n v="0"/>
    <n v="0"/>
    <n v="0"/>
    <n v="0"/>
    <m/>
    <m/>
    <m/>
    <s v="No"/>
    <s v="W662962"/>
    <n v="0"/>
    <m/>
    <s v="B02083"/>
    <m/>
    <m/>
    <s v="S0358242"/>
  </r>
  <r>
    <x v="171"/>
    <n v="10000"/>
    <n v="10000"/>
    <d v="2025-03-06T00:00:00"/>
    <s v="502LAUGH"/>
    <s v=" 8:33:15 am"/>
    <s v="BYJ032-04"/>
    <m/>
    <x v="2"/>
    <s v="Yes"/>
    <n v="71"/>
    <s v="POLLY"/>
    <x v="3"/>
    <s v="PS95"/>
    <s v="LIM CHENG LEONG"/>
    <n v="1250"/>
    <m/>
    <m/>
    <d v="2025-03-05T00:00:00"/>
    <m/>
    <n v="4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s v="BECTON DICKINSON MEDICAL (S) PTE LTD"/>
    <m/>
    <n v="0"/>
    <n v="0"/>
    <n v="0"/>
    <n v="0"/>
    <n v="0"/>
    <n v="0"/>
    <m/>
    <m/>
    <m/>
    <s v="No"/>
    <s v="W662963"/>
    <n v="0"/>
    <m/>
    <s v="B02083"/>
    <m/>
    <m/>
    <s v="S0358243"/>
  </r>
  <r>
    <x v="98"/>
    <n v="10000"/>
    <n v="30000"/>
    <d v="2025-03-06T00:00:00"/>
    <s v="502LAUGH"/>
    <s v=" 8:35:19 am"/>
    <n v="10639931010"/>
    <m/>
    <x v="1"/>
    <s v="Yes"/>
    <n v="85"/>
    <s v="Luster AOI"/>
    <x v="1"/>
    <s v="QM78"/>
    <s v="WONG SEAU JIN"/>
    <n v="10000"/>
    <m/>
    <m/>
    <d v="2025-03-05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01"/>
    <n v="0"/>
    <m/>
    <s v="H08031-JIM-M"/>
    <m/>
    <m/>
    <s v="S0358298"/>
  </r>
  <r>
    <x v="172"/>
    <n v="10000"/>
    <n v="10000"/>
    <d v="2025-03-05T00:00:00"/>
    <s v="502LAUGH"/>
    <s v=" 2:04:33 pm"/>
    <s v="4067S1"/>
    <m/>
    <x v="2"/>
    <s v="Yes"/>
    <n v="12"/>
    <s v="FSK SR520"/>
    <x v="2"/>
    <s v="PP05"/>
    <s v="WONG KIM FATT"/>
    <n v="1000"/>
    <n v="65"/>
    <n v="1.0833333333333333"/>
    <d v="2025-03-05T00:00:00"/>
    <m/>
    <n v="1"/>
    <n v="1000"/>
    <s v="PE"/>
    <s v="806778 REV4010001"/>
    <n v="0"/>
    <n v="1000"/>
    <n v="0"/>
    <n v="0"/>
    <n v="0"/>
    <n v="0"/>
    <m/>
    <m/>
    <n v="0"/>
    <m/>
    <m/>
    <m/>
    <m/>
    <m/>
    <m/>
    <m/>
    <m/>
    <s v="806778 REV401"/>
    <s v="V22000"/>
    <s v="PT VARTA MICROBATTERY INDONESIA"/>
    <m/>
    <n v="0"/>
    <n v="0"/>
    <n v="0"/>
    <n v="0"/>
    <n v="0"/>
    <n v="0"/>
    <m/>
    <m/>
    <m/>
    <s v="No"/>
    <s v="W662442"/>
    <n v="0"/>
    <m/>
    <s v="V22000"/>
    <m/>
    <m/>
    <s v="S0358335"/>
  </r>
  <r>
    <x v="45"/>
    <n v="10000"/>
    <n v="30000"/>
    <d v="2025-03-06T00:00:00"/>
    <s v="502LAUGH"/>
    <s v=" 1:40:04 pm"/>
    <s v="M4B4603BGJAJ119-S248100138/E0531904"/>
    <m/>
    <x v="2"/>
    <s v="Yes"/>
    <n v="67"/>
    <s v="Fujishoko"/>
    <x v="3"/>
    <s v="PMJ0"/>
    <s v="KOR CHEW OR"/>
    <n v="50000"/>
    <m/>
    <m/>
    <d v="2025-03-05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2445"/>
    <n v="0"/>
    <m/>
    <s v="S19081-TH"/>
    <m/>
    <m/>
    <s v="H0064609"/>
  </r>
  <r>
    <x v="100"/>
    <n v="10000"/>
    <n v="20000"/>
    <d v="2025-03-06T00:00:00"/>
    <s v="502LAUGH"/>
    <s v=" 1:42:08 pm"/>
    <n v="12190705006"/>
    <m/>
    <x v="2"/>
    <s v="Yes"/>
    <n v="68"/>
    <s v="SANKI"/>
    <x v="3"/>
    <s v="PM35"/>
    <s v="TAN MIN KANG"/>
    <n v="31000"/>
    <n v="820"/>
    <n v="13.666666666666666"/>
    <d v="2025-03-05T00:00:00"/>
    <m/>
    <n v="2"/>
    <n v="62000"/>
    <s v="PE"/>
    <s v="719007600 REVA0001"/>
    <n v="0"/>
    <n v="62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62446"/>
    <n v="0"/>
    <m/>
    <s v="S19081-TH"/>
    <m/>
    <m/>
    <s v="H0064610"/>
  </r>
  <r>
    <x v="173"/>
    <n v="10000"/>
    <n v="10000"/>
    <d v="2025-03-07T00:00:00"/>
    <s v="502LAUGH"/>
    <s v=" 5:22:54 pm"/>
    <s v="E0801904/M0BSO4470"/>
    <m/>
    <x v="2"/>
    <s v="Yes"/>
    <n v="87"/>
    <s v="SYSCO"/>
    <x v="3"/>
    <s v="PM14"/>
    <s v="GOH CHEN YONG"/>
    <n v="20250"/>
    <m/>
    <m/>
    <d v="2025-03-05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529"/>
    <n v="0"/>
    <m/>
    <s v="S19081-TH"/>
    <m/>
    <m/>
    <s v="H0064626"/>
  </r>
  <r>
    <x v="174"/>
    <n v="10000"/>
    <n v="10000"/>
    <d v="2025-03-05T00:00:00"/>
    <s v="502LAUGH"/>
    <s v=" 4:11:12 pm"/>
    <s v="4100S1"/>
    <m/>
    <x v="2"/>
    <s v="Yes"/>
    <n v="61"/>
    <s v="FSK 520"/>
    <x v="2"/>
    <s v="PM68"/>
    <s v="LEE KIM LIANG"/>
    <n v="400"/>
    <n v="53"/>
    <n v="0.8833333333333333"/>
    <d v="2025-03-05T00:00:00"/>
    <m/>
    <n v="5"/>
    <n v="2000"/>
    <s v="PE"/>
    <s v="711417 INDEX1000001"/>
    <n v="0"/>
    <n v="2000"/>
    <n v="0"/>
    <n v="0"/>
    <n v="0"/>
    <n v="0"/>
    <m/>
    <m/>
    <n v="0"/>
    <m/>
    <m/>
    <m/>
    <m/>
    <m/>
    <m/>
    <m/>
    <m/>
    <s v="711417 INDEX400"/>
    <s v="V22000-RO"/>
    <s v="VARTA MICROBATTERY SRL"/>
    <m/>
    <n v="0"/>
    <n v="0"/>
    <n v="0"/>
    <n v="0"/>
    <n v="0"/>
    <n v="0"/>
    <m/>
    <m/>
    <m/>
    <s v="No"/>
    <s v="W662451"/>
    <n v="0"/>
    <m/>
    <s v="V22000-RO"/>
    <m/>
    <m/>
    <s v="S0358419"/>
  </r>
  <r>
    <x v="175"/>
    <n v="10000"/>
    <n v="20000"/>
    <d v="2025-03-11T00:00:00"/>
    <s v="502LAUGH"/>
    <s v=" 8:36:04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F6V31-80022-FT0001"/>
    <n v="0"/>
    <n v="100000"/>
    <n v="10000"/>
    <n v="0"/>
    <n v="0"/>
    <n v="0"/>
    <m/>
    <m/>
    <n v="0"/>
    <m/>
    <m/>
    <m/>
    <m/>
    <m/>
    <m/>
    <m/>
    <m/>
    <s v="F6V31-80022-FT"/>
    <s v="H08031-JIM-M"/>
    <s v="HP MALAYSIA MANUFACTURING SDN.BHD."/>
    <m/>
    <n v="0"/>
    <n v="0"/>
    <n v="0"/>
    <n v="0"/>
    <n v="0"/>
    <n v="0"/>
    <m/>
    <m/>
    <m/>
    <s v="No"/>
    <s v="W662972"/>
    <n v="0"/>
    <m/>
    <s v="H08031-JIM-M"/>
    <m/>
    <m/>
    <s v="S0358454"/>
  </r>
  <r>
    <x v="176"/>
    <n v="10000"/>
    <n v="20000"/>
    <d v="2025-03-11T00:00:00"/>
    <s v="502LAUGH"/>
    <s v=" 8:36:59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2770"/>
    <n v="0"/>
    <m/>
    <s v="H08031-JIM-M"/>
    <m/>
    <m/>
    <s v="S0358455"/>
  </r>
  <r>
    <x v="177"/>
    <n v="10000"/>
    <n v="20000"/>
    <d v="2025-03-11T00:00:00"/>
    <s v="502LAUGH"/>
    <s v=" 8:38:14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2541"/>
    <n v="0"/>
    <m/>
    <s v="H08031-JIM-M"/>
    <m/>
    <m/>
    <s v="S0358456"/>
  </r>
  <r>
    <x v="178"/>
    <n v="10000"/>
    <n v="20000"/>
    <d v="2025-03-11T00:00:00"/>
    <s v="502LAUGH"/>
    <s v=" 8:40:08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2973"/>
    <n v="0"/>
    <m/>
    <s v="H08031-JIM-M"/>
    <m/>
    <m/>
    <s v="S0358458"/>
  </r>
  <r>
    <x v="179"/>
    <n v="10000"/>
    <n v="20000"/>
    <d v="2025-03-11T00:00:00"/>
    <s v="502LAUGH"/>
    <s v=" 8:39:07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2771"/>
    <n v="0"/>
    <m/>
    <s v="H08031-JIM-M"/>
    <m/>
    <m/>
    <s v="S0358459"/>
  </r>
  <r>
    <x v="180"/>
    <n v="10000"/>
    <n v="20000"/>
    <d v="2025-03-11T00:00:00"/>
    <s v="502LAUGH"/>
    <s v=" 8:42:11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2773"/>
    <n v="0"/>
    <m/>
    <s v="H08031-JIM-M"/>
    <m/>
    <m/>
    <s v="S0358463"/>
  </r>
  <r>
    <x v="181"/>
    <n v="10000"/>
    <n v="20000"/>
    <d v="2025-03-11T00:00:00"/>
    <s v="502LAUGH"/>
    <s v=" 8:43:01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2774"/>
    <n v="0"/>
    <m/>
    <s v="H08031-JIM-M"/>
    <m/>
    <m/>
    <s v="S0358466"/>
  </r>
  <r>
    <x v="182"/>
    <n v="10000"/>
    <n v="20000"/>
    <d v="2025-03-11T00:00:00"/>
    <s v="502LAUGH"/>
    <s v=" 8:41:23 am"/>
    <s v="10567308043/10567308044/10567308039"/>
    <m/>
    <x v="0"/>
    <s v="Yes"/>
    <n v="77"/>
    <s v="Brotech DF330 "/>
    <x v="0"/>
    <s v="PM74"/>
    <s v="YONG CHEE SOON"/>
    <n v="2500"/>
    <n v="86.666666666666657"/>
    <n v="1.4444444444444442"/>
    <d v="2025-03-05T00:00:00"/>
    <m/>
    <n v="88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2775"/>
    <n v="0"/>
    <m/>
    <s v="H08031-JIM-M"/>
    <m/>
    <m/>
    <s v="S0358467"/>
  </r>
  <r>
    <x v="183"/>
    <n v="10000"/>
    <n v="10000"/>
    <d v="2025-03-06T00:00:00"/>
    <s v="502LAUGH"/>
    <s v=" 1:36:34 pm"/>
    <s v="M4B4603BGJAJ115-S248100140/E0926912"/>
    <m/>
    <x v="2"/>
    <s v="Yes"/>
    <n v="75"/>
    <s v="HDS 3"/>
    <x v="3"/>
    <s v="QC04"/>
    <s v="YANG TONGJING"/>
    <n v="18462"/>
    <n v="968.1"/>
    <n v="16.135000000000002"/>
    <d v="2025-03-05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2546"/>
    <n v="0"/>
    <m/>
    <s v="S19081-TH"/>
    <m/>
    <m/>
    <s v="H0064642"/>
  </r>
  <r>
    <x v="184"/>
    <n v="10000"/>
    <n v="10000"/>
    <d v="2025-03-06T00:00:00"/>
    <s v="502LAUGH"/>
    <s v=" 8:43:47 am"/>
    <s v="4111520U5"/>
    <m/>
    <x v="2"/>
    <s v="Yes"/>
    <n v="22"/>
    <s v="FSK B100"/>
    <x v="2"/>
    <s v="PS13"/>
    <s v="YEE CHENG MENG"/>
    <n v="3500"/>
    <n v="115"/>
    <n v="1.9166666666666667"/>
    <d v="2025-03-05T00:00:00"/>
    <m/>
    <n v="2"/>
    <n v="7000"/>
    <s v="PE"/>
    <s v="260-6604-000001"/>
    <n v="0"/>
    <n v="7000"/>
    <n v="0"/>
    <n v="0"/>
    <n v="0"/>
    <n v="0"/>
    <m/>
    <m/>
    <n v="0"/>
    <m/>
    <m/>
    <m/>
    <m/>
    <m/>
    <m/>
    <m/>
    <m/>
    <s v="260-6604-00"/>
    <s v="J10025"/>
    <s v="JMS SINGAPORE PTE LTD"/>
    <m/>
    <n v="0"/>
    <n v="0"/>
    <n v="0"/>
    <n v="0"/>
    <n v="0"/>
    <n v="0"/>
    <m/>
    <m/>
    <m/>
    <s v="No"/>
    <s v="W662550"/>
    <n v="0"/>
    <m/>
    <s v="J10025"/>
    <m/>
    <m/>
    <s v="S0358484"/>
  </r>
  <r>
    <x v="185"/>
    <n v="10000"/>
    <n v="20000"/>
    <d v="2025-03-06T00:00:00"/>
    <s v="502LAUGH"/>
    <s v=" 4:19:43 pm"/>
    <s v="3101S1"/>
    <m/>
    <x v="0"/>
    <s v="Yes"/>
    <n v="92"/>
    <s v="Polly Digital Cut"/>
    <x v="6"/>
    <s v="PM87"/>
    <s v="LEE SHIEN WEI"/>
    <n v="1100"/>
    <m/>
    <m/>
    <d v="2025-03-05T00:00:00"/>
    <m/>
    <n v="1"/>
    <n v="1100"/>
    <s v="PE"/>
    <s v="1581-07-030001"/>
    <n v="0"/>
    <n v="1000"/>
    <n v="100"/>
    <n v="0"/>
    <n v="0"/>
    <n v="0"/>
    <m/>
    <m/>
    <n v="0"/>
    <m/>
    <m/>
    <m/>
    <m/>
    <m/>
    <m/>
    <m/>
    <m/>
    <s v="1581-07-03"/>
    <s v="R18068"/>
    <s v="RFNET TECHNOLOGIES PTE LTD"/>
    <m/>
    <n v="0"/>
    <n v="0"/>
    <n v="0"/>
    <n v="0"/>
    <n v="0"/>
    <n v="0"/>
    <m/>
    <m/>
    <m/>
    <s v="No"/>
    <s v="W662564"/>
    <n v="0"/>
    <m/>
    <s v="R18068"/>
    <m/>
    <m/>
    <s v="S0358491"/>
  </r>
  <r>
    <x v="186"/>
    <n v="10000"/>
    <n v="10000"/>
    <d v="2025-03-10T00:00:00"/>
    <s v="502LAUGH"/>
    <s v=" 4:33:36 pm"/>
    <s v="4081S1"/>
    <m/>
    <x v="2"/>
    <s v="Yes"/>
    <n v="93"/>
    <s v="HP Indigo 6900"/>
    <x v="4"/>
    <s v="PM29"/>
    <s v="JIMMY TNEO WEE SIANG"/>
    <n v="1000"/>
    <n v="80"/>
    <n v="1.3333333333333333"/>
    <d v="2025-03-05T00:00:00"/>
    <m/>
    <n v="20"/>
    <n v="20000"/>
    <s v="PE"/>
    <s v="5183-5638 TESTI0001"/>
    <n v="0"/>
    <n v="20000"/>
    <n v="0"/>
    <n v="0"/>
    <n v="0"/>
    <n v="0"/>
    <m/>
    <m/>
    <n v="0"/>
    <m/>
    <m/>
    <m/>
    <m/>
    <m/>
    <m/>
    <m/>
    <m/>
    <s v="5183-5638"/>
    <s v="H08031-JIM-M"/>
    <s v="HP MALAYSIA MANUFACTURING SDN.BHD."/>
    <m/>
    <n v="0"/>
    <n v="0"/>
    <n v="0"/>
    <n v="0"/>
    <n v="0"/>
    <n v="0"/>
    <m/>
    <m/>
    <m/>
    <s v="No"/>
    <s v="W662979"/>
    <n v="0"/>
    <m/>
    <s v="H08031-JIM-M"/>
    <m/>
    <m/>
    <s v="S0358500"/>
  </r>
  <r>
    <x v="186"/>
    <n v="20000"/>
    <n v="10000"/>
    <d v="2025-03-10T00:00:00"/>
    <s v="502LAUGH"/>
    <s v=" 4:33:36 pm"/>
    <s v="4081S1"/>
    <m/>
    <x v="2"/>
    <s v="Yes"/>
    <n v="93"/>
    <s v="HP Indigo 6900"/>
    <x v="4"/>
    <s v="PM29"/>
    <s v="JIMMY TNEO WEE SIANG"/>
    <n v="1000"/>
    <n v="80"/>
    <n v="1.3333333333333333"/>
    <d v="2025-03-05T00:00:00"/>
    <m/>
    <n v="20"/>
    <n v="20000"/>
    <s v="PE"/>
    <s v="5183-5638 TESTI0001"/>
    <n v="0"/>
    <n v="20000"/>
    <n v="0"/>
    <n v="0"/>
    <n v="0"/>
    <n v="0"/>
    <m/>
    <m/>
    <n v="0"/>
    <m/>
    <m/>
    <m/>
    <m/>
    <m/>
    <m/>
    <m/>
    <m/>
    <s v="5183-5638"/>
    <s v="H08031-JIM-M"/>
    <s v="HP MALAYSIA MANUFACTURING SDN.BHD."/>
    <m/>
    <n v="0"/>
    <n v="0"/>
    <n v="0"/>
    <n v="0"/>
    <n v="0"/>
    <n v="0"/>
    <m/>
    <m/>
    <m/>
    <s v="No"/>
    <s v="W662979"/>
    <n v="0"/>
    <m/>
    <s v="H08031-JIM-M"/>
    <m/>
    <m/>
    <s v="S0358500"/>
  </r>
  <r>
    <x v="187"/>
    <n v="10000"/>
    <n v="10000"/>
    <d v="2025-03-10T00:00:00"/>
    <s v="502LAUGH"/>
    <s v=" 4:33:36 pm"/>
    <s v="4081S1"/>
    <m/>
    <x v="2"/>
    <s v="Yes"/>
    <n v="93"/>
    <s v="HP Indigo 6900"/>
    <x v="4"/>
    <s v="PM29"/>
    <s v="JIMMY TNEO WEE SIANG"/>
    <n v="250"/>
    <n v="42.5"/>
    <n v="0.70833333333333337"/>
    <d v="2025-03-05T00:00:00"/>
    <m/>
    <n v="20"/>
    <n v="5000"/>
    <s v="PE"/>
    <s v="5183-5638 TESTI0001"/>
    <n v="0"/>
    <n v="5000"/>
    <n v="0"/>
    <n v="0"/>
    <n v="0"/>
    <n v="0"/>
    <m/>
    <m/>
    <n v="0"/>
    <m/>
    <m/>
    <m/>
    <m/>
    <m/>
    <m/>
    <m/>
    <m/>
    <s v="5183-5638 (TESTING)"/>
    <s v="H08031-IMS"/>
    <s v="HP SINGAPORE (PRIVATE) LIMITED"/>
    <m/>
    <n v="0"/>
    <n v="0"/>
    <n v="0"/>
    <n v="0"/>
    <n v="0"/>
    <n v="0"/>
    <m/>
    <m/>
    <m/>
    <s v="No"/>
    <s v="W662777"/>
    <n v="0"/>
    <m/>
    <s v="H08031-IMS"/>
    <m/>
    <m/>
    <s v="S0358763"/>
  </r>
  <r>
    <x v="187"/>
    <n v="20000"/>
    <n v="10000"/>
    <d v="2025-03-10T00:00:00"/>
    <s v="502LAUGH"/>
    <s v=" 4:33:36 pm"/>
    <s v="4081S1"/>
    <m/>
    <x v="2"/>
    <s v="Yes"/>
    <n v="93"/>
    <s v="HP Indigo 6900"/>
    <x v="4"/>
    <s v="PM29"/>
    <s v="JIMMY TNEO WEE SIANG"/>
    <n v="250"/>
    <n v="42.5"/>
    <n v="0.70833333333333337"/>
    <d v="2025-03-05T00:00:00"/>
    <m/>
    <n v="20"/>
    <n v="5000"/>
    <s v="PE"/>
    <s v="5183-5638 TESTI0001"/>
    <n v="0"/>
    <n v="5000"/>
    <n v="0"/>
    <n v="0"/>
    <n v="0"/>
    <n v="0"/>
    <m/>
    <m/>
    <n v="0"/>
    <m/>
    <m/>
    <m/>
    <m/>
    <m/>
    <m/>
    <m/>
    <m/>
    <s v="5183-5638 (TESTING)"/>
    <s v="H08031-IMS"/>
    <s v="HP SINGAPORE (PRIVATE) LIMITED"/>
    <m/>
    <n v="0"/>
    <n v="0"/>
    <n v="0"/>
    <n v="0"/>
    <n v="0"/>
    <n v="0"/>
    <m/>
    <m/>
    <m/>
    <s v="No"/>
    <s v="W662777"/>
    <n v="0"/>
    <m/>
    <s v="H08031-IMS"/>
    <m/>
    <m/>
    <s v="S0358763"/>
  </r>
  <r>
    <x v="188"/>
    <n v="10000"/>
    <n v="10000"/>
    <d v="2025-03-07T00:00:00"/>
    <s v="502LAUGH"/>
    <s v=" 5:23:26 pm"/>
    <s v="M0BTH2362"/>
    <m/>
    <x v="2"/>
    <s v="Yes"/>
    <n v="70"/>
    <s v="SANKI"/>
    <x v="3"/>
    <s v="PS84"/>
    <s v="YIP WENG FAI"/>
    <n v="22500"/>
    <n v="607.5"/>
    <n v="10.125"/>
    <d v="2025-03-0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2584"/>
    <n v="0"/>
    <m/>
    <s v="S19314"/>
    <m/>
    <m/>
    <s v="H0064648"/>
  </r>
  <r>
    <x v="114"/>
    <n v="10000"/>
    <n v="20000"/>
    <d v="2025-03-06T00:00:00"/>
    <s v="502LAUGH"/>
    <s v=" 8:42:30 am"/>
    <n v="501222196"/>
    <m/>
    <x v="1"/>
    <s v="Yes"/>
    <n v="60"/>
    <s v="Fujishiko UDP-5000"/>
    <x v="3"/>
    <s v="PM30"/>
    <s v="OH KIAN YUAN"/>
    <n v="10000"/>
    <n v="245"/>
    <n v="4.083333333333333"/>
    <d v="2025-03-05T00:00:00"/>
    <m/>
    <n v="5"/>
    <n v="50000"/>
    <s v="PE"/>
    <s v="Q.C. ACCEPTED LA0001"/>
    <n v="0"/>
    <n v="40000"/>
    <n v="10000"/>
    <n v="0"/>
    <n v="0"/>
    <n v="0"/>
    <m/>
    <m/>
    <n v="0"/>
    <m/>
    <m/>
    <m/>
    <m/>
    <m/>
    <m/>
    <m/>
    <m/>
    <s v="Q.C. ACCEPTED LABEL"/>
    <s v="S19254"/>
    <s v="SINGAPORE ASAHI CHEMICAL &amp; SOLDER IND. PTE LTD"/>
    <m/>
    <n v="0"/>
    <n v="0"/>
    <n v="0"/>
    <n v="0"/>
    <n v="0"/>
    <n v="0"/>
    <m/>
    <m/>
    <m/>
    <s v="No"/>
    <s v="W662217"/>
    <n v="0"/>
    <m/>
    <s v="S19254"/>
    <m/>
    <m/>
    <s v="S0359019"/>
  </r>
  <r>
    <x v="189"/>
    <n v="10000"/>
    <n v="10000"/>
    <d v="2025-03-06T00:00:00"/>
    <s v="502LAUGH"/>
    <d v="1899-12-30T12:52:31"/>
    <s v="4275S1"/>
    <m/>
    <x v="2"/>
    <s v="Yes"/>
    <n v="78"/>
    <s v="Baby Sanki"/>
    <x v="2"/>
    <s v="PM84"/>
    <s v="TAN TAI TOH"/>
    <n v="500"/>
    <n v="57.5"/>
    <n v="0.95833333333333337"/>
    <d v="2025-03-05T00:00:00"/>
    <m/>
    <n v="1"/>
    <n v="500"/>
    <s v="PE"/>
    <s v="2X0.8-3M78710001"/>
    <n v="0"/>
    <n v="500"/>
    <n v="0"/>
    <n v="0"/>
    <n v="0"/>
    <n v="0"/>
    <m/>
    <m/>
    <n v="0"/>
    <m/>
    <m/>
    <m/>
    <m/>
    <m/>
    <m/>
    <m/>
    <m/>
    <s v="2X0.8-3M7871"/>
    <s v="R18111"/>
    <s v="RAYCODE TECHNOLOGIES PTE LTD"/>
    <m/>
    <n v="0"/>
    <n v="0"/>
    <n v="0"/>
    <n v="0"/>
    <n v="0"/>
    <n v="0"/>
    <m/>
    <m/>
    <m/>
    <s v="No"/>
    <s v="W662590"/>
    <n v="0"/>
    <m/>
    <s v="R18111"/>
    <m/>
    <m/>
    <s v="S0359025"/>
  </r>
  <r>
    <x v="189"/>
    <n v="20000"/>
    <n v="10000"/>
    <d v="2025-03-06T00:00:00"/>
    <s v="502LAUGH"/>
    <d v="1899-12-30T12:52:31"/>
    <s v="4275S1"/>
    <m/>
    <x v="2"/>
    <s v="Yes"/>
    <n v="78"/>
    <s v="Baby Sanki"/>
    <x v="2"/>
    <s v="PM84"/>
    <s v="TAN TAI TOH"/>
    <n v="500"/>
    <n v="57.5"/>
    <n v="0.95833333333333337"/>
    <d v="2025-03-05T00:00:00"/>
    <m/>
    <n v="1"/>
    <n v="500"/>
    <s v="PE"/>
    <s v="2X0.8-3M78710001"/>
    <n v="0"/>
    <n v="500"/>
    <n v="0"/>
    <n v="0"/>
    <n v="0"/>
    <n v="0"/>
    <m/>
    <m/>
    <n v="0"/>
    <m/>
    <m/>
    <m/>
    <m/>
    <m/>
    <m/>
    <m/>
    <m/>
    <s v="2X0.8-3M7871"/>
    <s v="R18111"/>
    <s v="RAYCODE TECHNOLOGIES PTE LTD"/>
    <m/>
    <n v="0"/>
    <n v="0"/>
    <n v="0"/>
    <n v="0"/>
    <n v="0"/>
    <n v="0"/>
    <m/>
    <m/>
    <m/>
    <s v="No"/>
    <s v="W662590"/>
    <n v="0"/>
    <m/>
    <s v="R18111"/>
    <m/>
    <m/>
    <s v="S0359025"/>
  </r>
  <r>
    <x v="189"/>
    <n v="30000"/>
    <n v="10000"/>
    <d v="2025-03-06T00:00:00"/>
    <s v="502LAUGH"/>
    <d v="1899-12-30T12:52:31"/>
    <s v="4275S1"/>
    <m/>
    <x v="2"/>
    <s v="Yes"/>
    <n v="78"/>
    <s v="Baby Sanki"/>
    <x v="2"/>
    <s v="PM84"/>
    <s v="TAN TAI TOH"/>
    <n v="500"/>
    <n v="57.5"/>
    <n v="0.95833333333333337"/>
    <d v="2025-03-05T00:00:00"/>
    <m/>
    <n v="1"/>
    <n v="500"/>
    <s v="PE"/>
    <s v="2X0.8-3M78710001"/>
    <n v="0"/>
    <n v="500"/>
    <n v="0"/>
    <n v="0"/>
    <n v="0"/>
    <n v="0"/>
    <m/>
    <m/>
    <n v="0"/>
    <m/>
    <m/>
    <m/>
    <m/>
    <m/>
    <m/>
    <m/>
    <m/>
    <s v="2X0.8-3M7871"/>
    <s v="R18111"/>
    <s v="RAYCODE TECHNOLOGIES PTE LTD"/>
    <m/>
    <n v="0"/>
    <n v="0"/>
    <n v="0"/>
    <n v="0"/>
    <n v="0"/>
    <n v="0"/>
    <m/>
    <m/>
    <m/>
    <s v="No"/>
    <s v="W662590"/>
    <n v="0"/>
    <m/>
    <s v="R18111"/>
    <m/>
    <m/>
    <s v="S0359025"/>
  </r>
  <r>
    <x v="189"/>
    <n v="40000"/>
    <n v="10000"/>
    <d v="2025-03-06T00:00:00"/>
    <s v="502LAUGH"/>
    <d v="1899-12-30T12:52:31"/>
    <s v="4275S1"/>
    <m/>
    <x v="2"/>
    <s v="Yes"/>
    <n v="78"/>
    <s v="Baby Sanki"/>
    <x v="2"/>
    <s v="PM84"/>
    <s v="TAN TAI TOH"/>
    <n v="500"/>
    <n v="57.5"/>
    <n v="0.95833333333333337"/>
    <d v="2025-03-05T00:00:00"/>
    <m/>
    <n v="1"/>
    <n v="500"/>
    <s v="PE"/>
    <s v="2X0.8-3M78710001"/>
    <n v="0"/>
    <n v="500"/>
    <n v="0"/>
    <n v="0"/>
    <n v="0"/>
    <n v="0"/>
    <m/>
    <m/>
    <n v="0"/>
    <m/>
    <m/>
    <m/>
    <m/>
    <m/>
    <m/>
    <m/>
    <m/>
    <s v="2X0.8-3M7871"/>
    <s v="R18111"/>
    <s v="RAYCODE TECHNOLOGIES PTE LTD"/>
    <m/>
    <n v="0"/>
    <n v="0"/>
    <n v="0"/>
    <n v="0"/>
    <n v="0"/>
    <n v="0"/>
    <m/>
    <m/>
    <m/>
    <s v="No"/>
    <s v="W662590"/>
    <n v="0"/>
    <m/>
    <s v="R18111"/>
    <m/>
    <m/>
    <s v="S0359025"/>
  </r>
  <r>
    <x v="119"/>
    <n v="10000"/>
    <n v="20000"/>
    <d v="2025-03-05T00:00:00"/>
    <s v="502LAUGH"/>
    <s v=" 2:52:08 pm"/>
    <s v="M0BVD0511"/>
    <m/>
    <x v="0"/>
    <s v="Yes"/>
    <n v="71"/>
    <s v="POLLY"/>
    <x v="3"/>
    <s v="PS95"/>
    <s v="LIM CHENG LEONG"/>
    <n v="1167"/>
    <m/>
    <m/>
    <d v="2025-03-05T00:00:00"/>
    <m/>
    <n v="90"/>
    <n v="105030"/>
    <s v="PE"/>
    <s v="107-54006900001"/>
    <n v="0"/>
    <n v="105000"/>
    <n v="3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2601"/>
    <n v="0"/>
    <m/>
    <s v="K11180"/>
    <m/>
    <m/>
    <s v="S0359211"/>
  </r>
  <r>
    <x v="190"/>
    <n v="10000"/>
    <n v="20000"/>
    <d v="2025-03-06T00:00:00"/>
    <s v="502LAUGH"/>
    <s v=" 3:02:32 pm"/>
    <s v="T09UF72101525"/>
    <m/>
    <x v="0"/>
    <s v="Yes"/>
    <n v="105"/>
    <s v="Laser"/>
    <x v="5"/>
    <s v="PM87"/>
    <s v="LEE SHIEN WEI"/>
    <n v="100"/>
    <m/>
    <m/>
    <d v="2025-03-05T00:00:00"/>
    <m/>
    <n v="1"/>
    <n v="100"/>
    <s v="PE"/>
    <s v="T8-S-309717-R0001"/>
    <n v="0"/>
    <n v="50"/>
    <n v="5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2602"/>
    <n v="0"/>
    <m/>
    <s v="G07042"/>
    <m/>
    <m/>
    <s v="ZSA101747"/>
  </r>
  <r>
    <x v="191"/>
    <n v="10000"/>
    <n v="10000"/>
    <d v="2025-03-06T00:00:00"/>
    <s v="502LAUGH"/>
    <s v=" 1:34:44 pm"/>
    <n v="501222196"/>
    <m/>
    <x v="2"/>
    <s v="Yes"/>
    <n v="72"/>
    <s v="Xeikon 3500"/>
    <x v="4"/>
    <s v="PM17"/>
    <s v="NG SWEE CHEA"/>
    <n v="1182"/>
    <m/>
    <m/>
    <d v="2025-03-05T00:00:00"/>
    <m/>
    <n v="3"/>
    <n v="3545"/>
    <s v="PE"/>
    <s v="LBL-DELTAMETHRIN0001"/>
    <n v="0"/>
    <n v="2020"/>
    <n v="1525"/>
    <n v="0"/>
    <n v="0"/>
    <n v="0"/>
    <m/>
    <m/>
    <n v="0"/>
    <m/>
    <m/>
    <m/>
    <m/>
    <m/>
    <m/>
    <m/>
    <m/>
    <s v="LBL-DELTAMETHRIN 1.5"/>
    <s v="A01248"/>
    <s v="ASIATIC AGRICULTURAL INDUSTRIES PTE LTD"/>
    <m/>
    <n v="0"/>
    <n v="0"/>
    <n v="0"/>
    <n v="0"/>
    <n v="0"/>
    <n v="0"/>
    <m/>
    <m/>
    <m/>
    <s v="No"/>
    <s v="W662605"/>
    <n v="0"/>
    <m/>
    <s v="A01248"/>
    <m/>
    <m/>
    <s v="S0359220"/>
  </r>
  <r>
    <x v="191"/>
    <n v="20000"/>
    <n v="10000"/>
    <d v="2025-03-06T00:00:00"/>
    <s v="502LAUGH"/>
    <s v=" 1:34:44 pm"/>
    <n v="501222196"/>
    <m/>
    <x v="2"/>
    <s v="Yes"/>
    <n v="72"/>
    <s v="Xeikon 3500"/>
    <x v="4"/>
    <s v="PM17"/>
    <s v="NG SWEE CHEA"/>
    <n v="68"/>
    <m/>
    <m/>
    <d v="2025-03-05T00:00:00"/>
    <m/>
    <n v="3"/>
    <n v="205"/>
    <s v="PE"/>
    <s v="LBL-DELTAMETHRIN0001"/>
    <n v="0"/>
    <n v="205"/>
    <n v="0"/>
    <n v="0"/>
    <n v="0"/>
    <n v="0"/>
    <m/>
    <m/>
    <n v="0"/>
    <m/>
    <m/>
    <m/>
    <m/>
    <m/>
    <m/>
    <m/>
    <m/>
    <s v="LBL-DELTAMETHRIN 1.5"/>
    <s v="A01248"/>
    <s v="ASIATIC AGRICULTURAL INDUSTRIES PTE LTD"/>
    <m/>
    <n v="0"/>
    <n v="0"/>
    <n v="0"/>
    <n v="0"/>
    <n v="0"/>
    <n v="0"/>
    <m/>
    <m/>
    <m/>
    <s v="No"/>
    <s v="W662605"/>
    <n v="0"/>
    <m/>
    <s v="A01248"/>
    <m/>
    <m/>
    <s v="S0359220"/>
  </r>
  <r>
    <x v="192"/>
    <n v="10000"/>
    <n v="10000"/>
    <d v="2025-03-06T00:00:00"/>
    <s v="502LAUGH"/>
    <s v=" 8:41:34 am"/>
    <s v="U530352052/5501241326"/>
    <m/>
    <x v="2"/>
    <s v="Yes"/>
    <n v="32"/>
    <s v="Lintec Intermittent"/>
    <x v="2"/>
    <s v="PM26"/>
    <s v="TAN AIK KEONG"/>
    <n v="5860"/>
    <m/>
    <m/>
    <d v="2025-03-0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994"/>
    <n v="0"/>
    <m/>
    <s v="J10025"/>
    <m/>
    <m/>
    <s v="S0359223"/>
  </r>
  <r>
    <x v="193"/>
    <n v="10000"/>
    <n v="10000"/>
    <d v="2025-03-06T00:00:00"/>
    <s v="502LAUGH"/>
    <s v=" 8:41:34 am"/>
    <s v="U530352052/5501241326"/>
    <m/>
    <x v="2"/>
    <s v="Yes"/>
    <n v="32"/>
    <s v="Lintec Intermittent"/>
    <x v="2"/>
    <s v="PM26"/>
    <s v="TAN AIK KEONG"/>
    <n v="5860"/>
    <m/>
    <m/>
    <d v="2025-03-0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2998"/>
    <n v="0"/>
    <m/>
    <s v="J10025"/>
    <m/>
    <m/>
    <s v="S0359224"/>
  </r>
  <r>
    <x v="194"/>
    <n v="10000"/>
    <n v="10000"/>
    <d v="2025-03-07T00:00:00"/>
    <s v="502LAUGH"/>
    <d v="1899-12-30T11:22:35"/>
    <s v="U4B1958052"/>
    <m/>
    <x v="2"/>
    <s v="Yes"/>
    <n v="72"/>
    <s v="Xeikon 3500"/>
    <x v="4"/>
    <s v="PM17"/>
    <s v="NG SWEE CHEA"/>
    <n v="5920"/>
    <m/>
    <m/>
    <d v="2025-03-05T00:00:00"/>
    <m/>
    <n v="3"/>
    <n v="17760"/>
    <s v="PE"/>
    <s v="SIGA-1000 ML0001"/>
    <n v="0"/>
    <n v="15520"/>
    <n v="2240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2606"/>
    <n v="0"/>
    <m/>
    <s v="A01248"/>
    <m/>
    <m/>
    <s v="S0359229"/>
  </r>
  <r>
    <x v="194"/>
    <n v="20000"/>
    <n v="10000"/>
    <d v="2025-03-07T00:00:00"/>
    <s v="502LAUGH"/>
    <d v="1899-12-30T11:22:35"/>
    <s v="U4B1958052"/>
    <m/>
    <x v="2"/>
    <s v="Yes"/>
    <n v="72"/>
    <s v="Xeikon 3500"/>
    <x v="4"/>
    <s v="PM17"/>
    <s v="NG SWEE CHEA"/>
    <n v="430"/>
    <m/>
    <m/>
    <d v="2025-03-05T00:00:00"/>
    <m/>
    <n v="3"/>
    <n v="1290"/>
    <s v="PE"/>
    <s v="SIGA-1000 ML0001"/>
    <n v="0"/>
    <n v="1290"/>
    <n v="0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2606"/>
    <n v="0"/>
    <m/>
    <s v="A01248"/>
    <m/>
    <m/>
    <s v="S0359229"/>
  </r>
  <r>
    <x v="195"/>
    <n v="10000"/>
    <n v="10000"/>
    <d v="2025-03-06T00:00:00"/>
    <s v="502LAUGH"/>
    <s v=" 1:35:40 pm"/>
    <s v="U4B1958052"/>
    <m/>
    <x v="2"/>
    <s v="Yes"/>
    <n v="72"/>
    <s v="Xeikon 3500"/>
    <x v="4"/>
    <s v="PM17"/>
    <s v="NG SWEE CHEA"/>
    <n v="2410"/>
    <m/>
    <m/>
    <d v="2025-03-05T00:00:00"/>
    <m/>
    <n v="3"/>
    <n v="7230"/>
    <s v="PE"/>
    <s v="SIGA-500 ML0001"/>
    <n v="0"/>
    <n v="5180"/>
    <n v="205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2607"/>
    <n v="0"/>
    <m/>
    <s v="A01248"/>
    <m/>
    <m/>
    <s v="S0359229"/>
  </r>
  <r>
    <x v="195"/>
    <n v="20000"/>
    <n v="10000"/>
    <d v="2025-03-06T00:00:00"/>
    <s v="502LAUGH"/>
    <s v=" 1:35:40 pm"/>
    <s v="U4B1958052"/>
    <m/>
    <x v="2"/>
    <s v="Yes"/>
    <n v="72"/>
    <s v="Xeikon 3500"/>
    <x v="4"/>
    <s v="PM17"/>
    <s v="NG SWEE CHEA"/>
    <n v="90"/>
    <m/>
    <m/>
    <d v="2025-03-05T00:00:00"/>
    <m/>
    <n v="3"/>
    <n v="270"/>
    <s v="PE"/>
    <s v="SIGA-500 ML0001"/>
    <n v="0"/>
    <n v="270"/>
    <n v="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2607"/>
    <n v="0"/>
    <m/>
    <s v="A01248"/>
    <m/>
    <m/>
    <s v="S0359229"/>
  </r>
  <r>
    <x v="120"/>
    <n v="10000"/>
    <n v="20000"/>
    <d v="2025-03-05T00:00:00"/>
    <s v="502LAUGH"/>
    <d v="1899-12-30T11:32:07"/>
    <n v="501222196"/>
    <m/>
    <x v="0"/>
    <s v="Yes"/>
    <n v="71"/>
    <s v="POLLY"/>
    <x v="3"/>
    <s v="PS95"/>
    <s v="LIM CHENG LEONG"/>
    <n v="667"/>
    <m/>
    <m/>
    <d v="2025-03-05T00:00:00"/>
    <m/>
    <n v="15"/>
    <n v="10005"/>
    <s v="PE"/>
    <s v="SQUEEZED LEMON0001"/>
    <n v="0"/>
    <n v="10000"/>
    <n v="5"/>
    <n v="0"/>
    <n v="0"/>
    <n v="0"/>
    <m/>
    <m/>
    <n v="0"/>
    <m/>
    <m/>
    <m/>
    <m/>
    <m/>
    <m/>
    <m/>
    <m/>
    <s v="SQUEEZED LEMON"/>
    <s v="H08138"/>
    <s v="HONEY-LAND INTERNATIONAL PTE LTD"/>
    <m/>
    <n v="0"/>
    <n v="0"/>
    <n v="0"/>
    <n v="0"/>
    <n v="0"/>
    <n v="0"/>
    <m/>
    <m/>
    <m/>
    <s v="No"/>
    <s v="W662220"/>
    <n v="0"/>
    <m/>
    <s v="H08138"/>
    <m/>
    <m/>
    <s v="S0359231"/>
  </r>
  <r>
    <x v="196"/>
    <n v="10000"/>
    <n v="20000"/>
    <d v="2025-03-05T00:00:00"/>
    <s v="502LAUGH"/>
    <s v=" 4:40:04 pm"/>
    <s v="4067S1"/>
    <m/>
    <x v="2"/>
    <s v="Yes"/>
    <n v="12"/>
    <s v="FSK SR520"/>
    <x v="2"/>
    <s v="PP05"/>
    <s v="WONG KIM FATT"/>
    <n v="500"/>
    <n v="55"/>
    <n v="0.91666666666666663"/>
    <d v="2025-03-05T00:00:00"/>
    <m/>
    <n v="2"/>
    <n v="1000"/>
    <s v="PE"/>
    <s v="717742 INDEX4070001"/>
    <n v="0"/>
    <n v="1000"/>
    <n v="0"/>
    <n v="0"/>
    <n v="0"/>
    <n v="0"/>
    <m/>
    <m/>
    <n v="0"/>
    <m/>
    <m/>
    <m/>
    <m/>
    <m/>
    <m/>
    <m/>
    <m/>
    <s v="717742 INDEX407"/>
    <s v="V22000"/>
    <s v="PT VARTA MICROBATTERY INDONESIA"/>
    <m/>
    <n v="0"/>
    <n v="0"/>
    <n v="0"/>
    <n v="0"/>
    <n v="0"/>
    <n v="0"/>
    <m/>
    <m/>
    <m/>
    <s v="No"/>
    <s v="W662221"/>
    <n v="0"/>
    <m/>
    <s v="V22000"/>
    <m/>
    <m/>
    <s v="S0359233"/>
  </r>
  <r>
    <x v="197"/>
    <n v="10000"/>
    <n v="10000"/>
    <d v="2025-03-06T00:00:00"/>
    <s v="502LAUGH"/>
    <s v=" 8:38:57 am"/>
    <s v="41E8C3A182R"/>
    <m/>
    <x v="2"/>
    <s v="Yes"/>
    <n v="31"/>
    <s v="Sanki SKP250 Full Rotary"/>
    <x v="2"/>
    <s v="PS27"/>
    <s v="TAN TECK HEE"/>
    <n v="500"/>
    <n v="57.5"/>
    <n v="0.95833333333333337"/>
    <d v="2025-03-05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63001"/>
    <n v="0"/>
    <m/>
    <s v="L12161"/>
    <m/>
    <m/>
    <s v="S0359265"/>
  </r>
  <r>
    <x v="198"/>
    <n v="10000"/>
    <n v="10000"/>
    <d v="2025-03-06T00:00:00"/>
    <s v="502LAUGH"/>
    <s v=" 8:38:57 am"/>
    <s v="41E8C3A182R"/>
    <m/>
    <x v="2"/>
    <s v="Yes"/>
    <n v="31"/>
    <s v="Sanki SKP250 Full Rotary"/>
    <x v="2"/>
    <s v="PS27"/>
    <s v="TAN TECK HEE"/>
    <n v="500"/>
    <n v="57.5"/>
    <n v="0.95833333333333337"/>
    <d v="2025-03-05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s v="TECAN CDMO SOLUTIONS PN SDN BHD"/>
    <m/>
    <n v="0"/>
    <n v="0"/>
    <n v="0"/>
    <n v="0"/>
    <n v="0"/>
    <n v="0"/>
    <m/>
    <m/>
    <m/>
    <s v="No"/>
    <s v="W663002"/>
    <n v="0"/>
    <m/>
    <s v="L12161"/>
    <m/>
    <m/>
    <s v="S0359266"/>
  </r>
  <r>
    <x v="199"/>
    <n v="10000"/>
    <n v="10000"/>
    <d v="2025-03-06T00:00:00"/>
    <s v="502LAUGH"/>
    <s v=" 8:39:53 am"/>
    <s v="41E8C3A182R"/>
    <m/>
    <x v="2"/>
    <s v="Yes"/>
    <n v="31"/>
    <s v="Sanki SKP250 Full Rotary"/>
    <x v="2"/>
    <s v="PS27"/>
    <s v="TAN TECK HEE"/>
    <n v="1000"/>
    <n v="70"/>
    <n v="1.1666666666666667"/>
    <d v="2025-03-05T00:00:00"/>
    <m/>
    <n v="1"/>
    <n v="1000"/>
    <s v="PE"/>
    <s v="XTR-140.1879.14-0001"/>
    <n v="0"/>
    <n v="10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3003"/>
    <n v="0"/>
    <m/>
    <s v="L12161"/>
    <m/>
    <m/>
    <s v="S0359266"/>
  </r>
  <r>
    <x v="200"/>
    <n v="10000"/>
    <n v="10000"/>
    <d v="2025-03-06T00:00:00"/>
    <s v="502LAUGH"/>
    <s v=" 8:38:57 am"/>
    <s v="41E8C3A182R"/>
    <m/>
    <x v="2"/>
    <s v="Yes"/>
    <n v="31"/>
    <s v="Sanki SKP250 Full Rotary"/>
    <x v="2"/>
    <s v="PS27"/>
    <s v="TAN TECK HEE"/>
    <n v="500"/>
    <n v="57.5"/>
    <n v="0.95833333333333337"/>
    <d v="2025-03-05T00:00:00"/>
    <m/>
    <n v="1"/>
    <n v="500"/>
    <s v="PE"/>
    <s v="XTR-140.1893.12-0001"/>
    <n v="0"/>
    <n v="500"/>
    <n v="0"/>
    <n v="0"/>
    <n v="0"/>
    <n v="0"/>
    <m/>
    <m/>
    <n v="0"/>
    <m/>
    <m/>
    <m/>
    <m/>
    <m/>
    <m/>
    <m/>
    <m/>
    <s v="XTR-140.1893.12-S"/>
    <s v="L12161"/>
    <s v="TECAN CDMO SOLUTIONS PN SDN BHD"/>
    <m/>
    <n v="0"/>
    <n v="0"/>
    <n v="0"/>
    <n v="0"/>
    <n v="0"/>
    <n v="0"/>
    <m/>
    <m/>
    <m/>
    <s v="No"/>
    <s v="W663004"/>
    <n v="0"/>
    <m/>
    <s v="L12161"/>
    <m/>
    <m/>
    <s v="S0359267"/>
  </r>
  <r>
    <x v="201"/>
    <n v="10000"/>
    <n v="20000"/>
    <d v="2025-03-21T00:00:00"/>
    <s v="502LAUGH"/>
    <d v="1899-12-30T11:37:10"/>
    <s v="10620258036/10620258032/106202568030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N9J89-80007-BH180001"/>
    <n v="0"/>
    <n v="200000"/>
    <n v="30016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580"/>
    <n v="0"/>
    <m/>
    <s v="H08031-JIM-M"/>
    <m/>
    <m/>
    <s v="S0359278"/>
  </r>
  <r>
    <x v="202"/>
    <n v="10000"/>
    <n v="20000"/>
    <d v="2025-03-11T00:00:00"/>
    <s v="502LAUGH"/>
    <s v=" 8:33:21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C2P10-80010-FT0001"/>
    <n v="0"/>
    <n v="100000"/>
    <n v="10000"/>
    <n v="0"/>
    <n v="0"/>
    <n v="0"/>
    <m/>
    <m/>
    <n v="0"/>
    <m/>
    <m/>
    <m/>
    <m/>
    <m/>
    <m/>
    <m/>
    <m/>
    <s v="C2P10-80010-FT"/>
    <s v="H08031-JIM-M"/>
    <s v="HP MALAYSIA MANUFACTURING SDN.BHD."/>
    <m/>
    <n v="0"/>
    <n v="0"/>
    <n v="0"/>
    <n v="0"/>
    <n v="0"/>
    <n v="0"/>
    <m/>
    <m/>
    <m/>
    <s v="No"/>
    <s v="W663008"/>
    <n v="0"/>
    <m/>
    <s v="H08031-JIM-M"/>
    <m/>
    <m/>
    <s v="S0359282"/>
  </r>
  <r>
    <x v="203"/>
    <n v="10000"/>
    <n v="10000"/>
    <d v="2025-03-18T00:00:00"/>
    <s v="502LAUGH"/>
    <s v=" 8:37:51 am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N9J90-80007-FT0001"/>
    <n v="0"/>
    <n v="200000"/>
    <n v="30016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3009"/>
    <n v="0"/>
    <m/>
    <s v="H08031-JIM-M"/>
    <m/>
    <m/>
    <s v="S0359283"/>
  </r>
  <r>
    <x v="204"/>
    <n v="10000"/>
    <n v="20000"/>
    <d v="2025-03-10T00:00:00"/>
    <s v="502LAUGH"/>
    <d v="1899-12-30T11:32:40"/>
    <n v="10639931011"/>
    <m/>
    <x v="0"/>
    <s v="Yes"/>
    <n v="77"/>
    <s v="Brotech DF330 "/>
    <x v="0"/>
    <s v="PM74"/>
    <s v="YONG CHEE SOON"/>
    <n v="1364"/>
    <n v="67.733333333333334"/>
    <n v="1.1288888888888888"/>
    <d v="2025-03-05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612"/>
    <n v="0"/>
    <m/>
    <s v="H08031-JIM-M"/>
    <m/>
    <m/>
    <s v="S0359284"/>
  </r>
  <r>
    <x v="205"/>
    <n v="10000"/>
    <n v="20000"/>
    <d v="2025-03-11T00:00:00"/>
    <s v="502LAUGH"/>
    <s v=" 8:34:49 am"/>
    <s v="10567308043/10567308044/10567308039"/>
    <m/>
    <x v="0"/>
    <s v="Yes"/>
    <n v="77"/>
    <s v="Brotech DF330 "/>
    <x v="0"/>
    <s v="PM74"/>
    <s v="YONG CHEE SOON"/>
    <n v="1250"/>
    <n v="65.833333333333329"/>
    <n v="1.0972222222222221"/>
    <d v="2025-03-05T00:00:00"/>
    <m/>
    <n v="88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3011"/>
    <n v="0"/>
    <m/>
    <s v="H08031-JIM-M"/>
    <m/>
    <m/>
    <s v="S0359286"/>
  </r>
  <r>
    <x v="206"/>
    <n v="10000"/>
    <n v="10000"/>
    <d v="2025-03-19T00:00:00"/>
    <s v="505KANGHS"/>
    <s v=" 8:37:16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CH564-80132-FT0001"/>
    <n v="0"/>
    <n v="100000"/>
    <n v="15008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3013"/>
    <n v="0"/>
    <m/>
    <s v="H08031-JIM-M"/>
    <m/>
    <m/>
    <s v="S0359289"/>
  </r>
  <r>
    <x v="207"/>
    <n v="10000"/>
    <n v="20000"/>
    <d v="2025-03-05T00:00:00"/>
    <s v="502LAUGH"/>
    <s v=" 2:50:59 pm"/>
    <n v="10639931005"/>
    <m/>
    <x v="0"/>
    <s v="Yes"/>
    <n v="77"/>
    <s v="Brotech DF330 "/>
    <x v="0"/>
    <s v="PM74"/>
    <s v="YONG CHEE SOON"/>
    <n v="2500"/>
    <n v="86.666666666666657"/>
    <n v="1.4444444444444442"/>
    <d v="2025-03-05T00:00:00"/>
    <m/>
    <n v="88"/>
    <n v="220000"/>
    <s v="PE"/>
    <s v="6ZD61-800010001"/>
    <n v="0"/>
    <n v="200000"/>
    <n v="2000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613"/>
    <n v="0"/>
    <m/>
    <s v="H08031-JIM-M"/>
    <m/>
    <m/>
    <s v="S0359291"/>
  </r>
  <r>
    <x v="207"/>
    <n v="10000"/>
    <n v="30000"/>
    <d v="2025-03-05T00:00:00"/>
    <s v="502LAUGH"/>
    <s v=" 2:50:59 pm"/>
    <n v="10639931005"/>
    <m/>
    <x v="1"/>
    <s v="Yes"/>
    <n v="85"/>
    <s v="Luster AOI"/>
    <x v="1"/>
    <s v="QM78"/>
    <s v="WONG SEAU JIN"/>
    <n v="20000"/>
    <m/>
    <m/>
    <d v="2025-03-05T00:00:00"/>
    <m/>
    <n v="11"/>
    <n v="220000"/>
    <s v="PE"/>
    <s v="6ZD61-800010001"/>
    <n v="0"/>
    <n v="200000"/>
    <n v="20000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2613"/>
    <n v="0"/>
    <m/>
    <s v="H08031-JIM-M"/>
    <m/>
    <m/>
    <s v="S0359291"/>
  </r>
  <r>
    <x v="208"/>
    <n v="10000"/>
    <n v="30000"/>
    <d v="2025-03-06T00:00:00"/>
    <s v="502LAUGH"/>
    <s v=" 8:36:29 am"/>
    <s v="D007Y0330/D007Y0280"/>
    <m/>
    <x v="1"/>
    <s v="Yes"/>
    <n v="101"/>
    <s v="Luster AOI"/>
    <x v="1"/>
    <s v="QM54"/>
    <s v="TAN SWEE LENG"/>
    <n v="62000"/>
    <m/>
    <m/>
    <d v="2025-03-05T00:00:00"/>
    <m/>
    <n v="5"/>
    <n v="310000"/>
    <s v="PE"/>
    <s v="6ZE04-80002-FT0001"/>
    <n v="0"/>
    <n v="325000"/>
    <n v="-15000"/>
    <n v="0"/>
    <n v="0"/>
    <n v="0"/>
    <m/>
    <m/>
    <n v="0"/>
    <m/>
    <m/>
    <m/>
    <m/>
    <m/>
    <m/>
    <m/>
    <m/>
    <s v="6ZE04-80002-FT"/>
    <s v="H08031-JIM-M"/>
    <s v="HP MALAYSIA MANUFACTURING SDN.BHD."/>
    <m/>
    <n v="0"/>
    <n v="0"/>
    <n v="0"/>
    <n v="0"/>
    <n v="0"/>
    <n v="0"/>
    <m/>
    <m/>
    <m/>
    <s v="No"/>
    <s v="W663583"/>
    <n v="0"/>
    <m/>
    <s v="H08031-JIM-M"/>
    <m/>
    <m/>
    <s v="S0359292"/>
  </r>
  <r>
    <x v="209"/>
    <n v="10000"/>
    <n v="10000"/>
    <d v="2025-03-18T00:00:00"/>
    <s v="502LAUGH"/>
    <s v=" 8:38:50 am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3YM38-80003-FT0001"/>
    <n v="0"/>
    <n v="200000"/>
    <n v="30016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3015"/>
    <n v="0"/>
    <m/>
    <s v="H08031-JIM-M"/>
    <m/>
    <m/>
    <s v="S0359294"/>
  </r>
  <r>
    <x v="210"/>
    <n v="10000"/>
    <n v="10000"/>
    <d v="2025-03-18T00:00:00"/>
    <s v="502LAUGH"/>
    <s v=" 8:39:51 am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3YM54-80005-FT0001"/>
    <n v="0"/>
    <n v="200000"/>
    <n v="30016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017"/>
    <n v="0"/>
    <m/>
    <s v="H08031-JIM-M"/>
    <m/>
    <m/>
    <s v="S0359300"/>
  </r>
  <r>
    <x v="211"/>
    <n v="10000"/>
    <n v="10000"/>
    <d v="2025-03-05T00:00:00"/>
    <s v="502LAUGH"/>
    <s v=" 5:41:19 pm"/>
    <s v="4136S1"/>
    <m/>
    <x v="2"/>
    <s v="Yes"/>
    <n v="61"/>
    <s v="FSK 520"/>
    <x v="2"/>
    <s v="PM68"/>
    <s v="LEE KIM LIANG"/>
    <n v="200"/>
    <n v="49"/>
    <n v="0.81666666666666665"/>
    <d v="2025-03-05T00:00:00"/>
    <m/>
    <n v="5"/>
    <n v="1000"/>
    <s v="PE"/>
    <s v="704845 INDEX000001"/>
    <n v="0"/>
    <n v="1000"/>
    <n v="0"/>
    <n v="0"/>
    <n v="0"/>
    <n v="0"/>
    <m/>
    <m/>
    <n v="0"/>
    <m/>
    <m/>
    <m/>
    <m/>
    <m/>
    <m/>
    <m/>
    <m/>
    <s v="704845 INDEX00"/>
    <s v="V22000"/>
    <s v="PT VARTA MICROBATTERY INDONESIA"/>
    <m/>
    <n v="0"/>
    <n v="0"/>
    <n v="0"/>
    <n v="0"/>
    <n v="0"/>
    <n v="0"/>
    <m/>
    <m/>
    <m/>
    <s v="No"/>
    <s v="W662614"/>
    <n v="0"/>
    <m/>
    <s v="V22000"/>
    <m/>
    <m/>
    <s v="S0359311"/>
  </r>
  <r>
    <x v="212"/>
    <n v="10000"/>
    <n v="10000"/>
    <d v="2025-03-21T00:00:00"/>
    <s v="502LAUGH"/>
    <d v="1899-12-30T11:37:10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F6U64-80027-FT0001"/>
    <n v="0"/>
    <n v="100000"/>
    <n v="15008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3588"/>
    <n v="0"/>
    <m/>
    <s v="H08031-JIM-M"/>
    <m/>
    <m/>
    <s v="S0359320"/>
  </r>
  <r>
    <x v="213"/>
    <n v="10000"/>
    <n v="10000"/>
    <d v="2025-03-21T00:00:00"/>
    <s v="502LAUGH"/>
    <d v="1899-12-30T11:37:59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F6U62-80030-FT0001"/>
    <n v="0"/>
    <n v="100000"/>
    <n v="15008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3590"/>
    <n v="0"/>
    <m/>
    <s v="H08031-JIM-M"/>
    <m/>
    <m/>
    <s v="S0359322"/>
  </r>
  <r>
    <x v="214"/>
    <n v="10000"/>
    <n v="10000"/>
    <d v="2025-03-18T00:00:00"/>
    <s v="502LAUGH"/>
    <s v=" 8:36:59 am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N9K06-80021-FT0001"/>
    <n v="0"/>
    <n v="100000"/>
    <n v="15008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021"/>
    <n v="0"/>
    <m/>
    <s v="H08031-JIM-M"/>
    <m/>
    <m/>
    <s v="S0359326"/>
  </r>
  <r>
    <x v="215"/>
    <n v="10000"/>
    <n v="10000"/>
    <d v="2025-03-06T00:00:00"/>
    <s v="502LAUGH"/>
    <d v="1899-12-30T12:51:18"/>
    <s v="E04JO64031065"/>
    <m/>
    <x v="2"/>
    <s v="Yes"/>
    <n v="94"/>
    <s v="Taiyo"/>
    <x v="2"/>
    <s v="PM09"/>
    <s v="PANG JING FULL"/>
    <n v="4000"/>
    <m/>
    <m/>
    <d v="2025-03-05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3593"/>
    <n v="0"/>
    <m/>
    <s v="W23041-TH"/>
    <m/>
    <m/>
    <s v="H0064671"/>
  </r>
  <r>
    <x v="134"/>
    <n v="10000"/>
    <n v="30000"/>
    <d v="2025-03-06T00:00:00"/>
    <s v="502LAUGH"/>
    <d v="1899-12-30T11:42:51"/>
    <n v="59469"/>
    <m/>
    <x v="0"/>
    <s v="Yes"/>
    <n v="96"/>
    <s v="Luster AOI"/>
    <x v="1"/>
    <s v="QM54"/>
    <s v="TAN SWEE LENG"/>
    <n v="83"/>
    <m/>
    <m/>
    <d v="2025-03-05T00:00:00"/>
    <m/>
    <n v="6"/>
    <n v="498"/>
    <s v="PE"/>
    <s v="MT-1000173-00REV0003"/>
    <n v="0"/>
    <n v="100"/>
    <n v="398"/>
    <n v="0"/>
    <n v="0"/>
    <n v="0"/>
    <m/>
    <m/>
    <n v="0"/>
    <m/>
    <m/>
    <m/>
    <m/>
    <m/>
    <m/>
    <m/>
    <m/>
    <s v="MT-1000173-00REV008"/>
    <s v="Z26002"/>
    <s v="CCL DESIGN (PENANG) SDN. BHD."/>
    <m/>
    <n v="0"/>
    <n v="0"/>
    <n v="0"/>
    <n v="0"/>
    <n v="0"/>
    <n v="0"/>
    <m/>
    <m/>
    <m/>
    <s v="No"/>
    <s v="W662222"/>
    <n v="0"/>
    <m/>
    <s v="Z26002"/>
    <m/>
    <m/>
    <s v="ZSA101749"/>
  </r>
  <r>
    <x v="135"/>
    <n v="10000"/>
    <n v="40000"/>
    <d v="2025-03-06T00:00:00"/>
    <s v="502LAUGH"/>
    <s v=" 2:16:59 pm"/>
    <n v="59469"/>
    <m/>
    <x v="0"/>
    <s v="Yes"/>
    <n v="96"/>
    <s v="Luster AOI"/>
    <x v="1"/>
    <s v="QM54"/>
    <s v="TAN SWEE LENG"/>
    <n v="83"/>
    <m/>
    <m/>
    <d v="2025-03-05T00:00:00"/>
    <m/>
    <n v="6"/>
    <n v="498"/>
    <s v="PE"/>
    <s v="MT-1000241-910RE0002"/>
    <n v="0"/>
    <n v="100"/>
    <n v="398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2223"/>
    <n v="0"/>
    <m/>
    <s v="Z26002"/>
    <m/>
    <m/>
    <s v="ZSA101749"/>
  </r>
  <r>
    <x v="216"/>
    <n v="10000"/>
    <n v="10000"/>
    <d v="2025-03-06T00:00:00"/>
    <s v="502LAUGH"/>
    <d v="1899-12-30T10:37:55"/>
    <n v="59469"/>
    <m/>
    <x v="2"/>
    <s v="Yes"/>
    <n v="73"/>
    <s v="Brotech DF330"/>
    <x v="0"/>
    <s v="PM59"/>
    <s v="VOON CHAN PIN"/>
    <n v="42"/>
    <n v="45.7"/>
    <n v="0.76166666666666671"/>
    <d v="2025-03-05T00:00:00"/>
    <m/>
    <n v="12"/>
    <n v="504"/>
    <s v="PE"/>
    <s v="MT-1000407-902RE0005"/>
    <n v="0"/>
    <n v="100"/>
    <n v="404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224"/>
    <n v="0"/>
    <m/>
    <s v="Z26002"/>
    <m/>
    <m/>
    <s v="ZSA101749"/>
  </r>
  <r>
    <x v="216"/>
    <n v="10000"/>
    <n v="20000"/>
    <d v="2025-03-06T00:00:00"/>
    <s v="502LAUGH"/>
    <d v="1899-12-30T10:37:55"/>
    <n v="59469"/>
    <m/>
    <x v="0"/>
    <s v="Yes"/>
    <n v="101"/>
    <s v="Luster AOI"/>
    <x v="1"/>
    <s v="QM54"/>
    <s v="TAN SWEE LENG"/>
    <n v="83"/>
    <m/>
    <m/>
    <d v="2025-03-05T00:00:00"/>
    <m/>
    <n v="6"/>
    <n v="498"/>
    <s v="PE"/>
    <s v="MT-1000407-902RE0005"/>
    <n v="0"/>
    <n v="100"/>
    <n v="398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224"/>
    <n v="0"/>
    <m/>
    <s v="Z26002"/>
    <m/>
    <m/>
    <s v="ZSA101749"/>
  </r>
  <r>
    <x v="217"/>
    <n v="10000"/>
    <n v="30000"/>
    <d v="2025-03-12T00:00:00"/>
    <s v="502LAUGH"/>
    <d v="1899-12-30T11:24:54"/>
    <s v="M0BTC15911524"/>
    <m/>
    <x v="0"/>
    <s v="Yes"/>
    <n v="86"/>
    <s v="Brotech DF330 "/>
    <x v="0"/>
    <s v="PM45"/>
    <s v="TAY CHIN LIONG"/>
    <n v="7994000"/>
    <n v="133278.33333333334"/>
    <n v="2221.3055555555557"/>
    <d v="2025-03-05T00:00:00"/>
    <m/>
    <n v="1"/>
    <n v="7994000"/>
    <s v="PE"/>
    <s v="719708-AD42150001"/>
    <n v="0"/>
    <n v="7140000"/>
    <n v="854000"/>
    <n v="0"/>
    <n v="0"/>
    <n v="0"/>
    <m/>
    <m/>
    <n v="0"/>
    <m/>
    <m/>
    <m/>
    <m/>
    <m/>
    <m/>
    <m/>
    <m/>
    <s v="719708-AD4215"/>
    <s v="V22000-DE"/>
    <s v="VARTA MICROBATTERY GMBH"/>
    <m/>
    <n v="0"/>
    <n v="0"/>
    <n v="0"/>
    <n v="0"/>
    <n v="0"/>
    <n v="0"/>
    <m/>
    <m/>
    <m/>
    <s v="No"/>
    <s v="W663600"/>
    <n v="0"/>
    <m/>
    <s v="V22000-DE"/>
    <m/>
    <m/>
    <s v="S0359336"/>
  </r>
  <r>
    <x v="218"/>
    <n v="10000"/>
    <n v="10000"/>
    <d v="2025-03-05T00:00:00"/>
    <s v="502LAUGH"/>
    <s v=" 9:45:11 am"/>
    <s v="U4A2658022/309103625"/>
    <m/>
    <x v="2"/>
    <s v="Yes"/>
    <n v="61"/>
    <s v="FSK 520"/>
    <x v="2"/>
    <s v="PM68"/>
    <s v="LEE KIM LIANG"/>
    <n v="2000"/>
    <n v="85"/>
    <n v="1.4166666666666667"/>
    <d v="2025-03-05T00:00:00"/>
    <m/>
    <n v="5"/>
    <n v="10000"/>
    <s v="PE"/>
    <s v="2V642190001"/>
    <n v="0"/>
    <n v="10000"/>
    <n v="0"/>
    <n v="0"/>
    <n v="0"/>
    <n v="0"/>
    <m/>
    <m/>
    <n v="0"/>
    <m/>
    <m/>
    <m/>
    <m/>
    <m/>
    <m/>
    <m/>
    <m/>
    <s v="2V64219"/>
    <s v="T20198"/>
    <s v="ST NETWORK"/>
    <m/>
    <n v="0"/>
    <n v="0"/>
    <n v="0"/>
    <n v="0"/>
    <n v="0"/>
    <n v="0"/>
    <m/>
    <m/>
    <m/>
    <s v="No"/>
    <s v="W662225"/>
    <n v="0"/>
    <m/>
    <s v="T20198"/>
    <m/>
    <m/>
    <s v="S0359338"/>
  </r>
  <r>
    <x v="219"/>
    <n v="10000"/>
    <n v="10000"/>
    <d v="2025-03-10T00:00:00"/>
    <s v="502LAUGH"/>
    <d v="1899-12-30T11:25:13"/>
    <s v="BYF039-01"/>
    <m/>
    <x v="2"/>
    <s v="Yes"/>
    <n v="88"/>
    <s v="OKI"/>
    <x v="4"/>
    <s v="PP24"/>
    <s v="HO HON SENG"/>
    <n v="1300"/>
    <m/>
    <m/>
    <d v="2025-03-05T00:00:00"/>
    <m/>
    <n v="1"/>
    <n v="1300"/>
    <s v="PE"/>
    <s v="MEES CPOS-80X20M0001"/>
    <n v="0"/>
    <n v="1000"/>
    <n v="300"/>
    <n v="0"/>
    <n v="0"/>
    <n v="0"/>
    <m/>
    <m/>
    <n v="0"/>
    <m/>
    <m/>
    <m/>
    <m/>
    <m/>
    <m/>
    <m/>
    <m/>
    <s v="MEES CPOS-80X20MM"/>
    <s v="S19671"/>
    <s v="SKB ELECTRICAL ENGINEERING PTE LTD"/>
    <m/>
    <n v="0"/>
    <n v="0"/>
    <n v="0"/>
    <n v="0"/>
    <n v="0"/>
    <n v="0"/>
    <m/>
    <m/>
    <m/>
    <s v="No"/>
    <s v="W662623"/>
    <n v="0"/>
    <m/>
    <s v="S19671"/>
    <m/>
    <m/>
    <s v="S0359340"/>
  </r>
  <r>
    <x v="220"/>
    <n v="10000"/>
    <n v="10000"/>
    <d v="2025-03-07T00:00:00"/>
    <s v="502LAUGH"/>
    <d v="1899-12-30T12:49:07"/>
    <s v="M0BTD2082"/>
    <m/>
    <x v="2"/>
    <s v="Yes"/>
    <n v="29"/>
    <s v="Sanki SKP250 Full Rotary"/>
    <x v="2"/>
    <s v="PS70"/>
    <s v="YEO WOO KEONG"/>
    <n v="24000"/>
    <n v="645"/>
    <n v="10.75"/>
    <d v="2025-03-0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027"/>
    <n v="0"/>
    <m/>
    <s v="S19081-TH"/>
    <m/>
    <m/>
    <s v="H0064687"/>
  </r>
  <r>
    <x v="221"/>
    <n v="10000"/>
    <n v="10000"/>
    <d v="2025-03-19T00:00:00"/>
    <s v="505KANGHS"/>
    <s v=" 8:35:16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CH562-80136-FT0001"/>
    <n v="0"/>
    <n v="100000"/>
    <n v="15008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034"/>
    <n v="0"/>
    <m/>
    <s v="H08031-JIM-M"/>
    <m/>
    <m/>
    <s v="S0359819"/>
  </r>
  <r>
    <x v="222"/>
    <n v="10000"/>
    <n v="10000"/>
    <d v="2025-03-24T00:00:00"/>
    <s v="502LAUGH"/>
    <s v=" 9:06:16 am"/>
    <n v="10620258034"/>
    <m/>
    <x v="2"/>
    <s v="Yes"/>
    <n v="79"/>
    <s v="HP Indigo 6800"/>
    <x v="4"/>
    <s v="PM16"/>
    <s v="TEO KAH JUN"/>
    <n v="228"/>
    <n v="41.4"/>
    <n v="0.69"/>
    <d v="2025-03-05T00:00:00"/>
    <m/>
    <n v="308"/>
    <n v="70224"/>
    <s v="PE"/>
    <s v="7FP22-80007-FT0001"/>
    <n v="0"/>
    <n v="50000"/>
    <n v="20224"/>
    <n v="0"/>
    <n v="0"/>
    <n v="0"/>
    <m/>
    <m/>
    <n v="0"/>
    <m/>
    <m/>
    <m/>
    <m/>
    <m/>
    <m/>
    <m/>
    <m/>
    <s v="7FP22-80007-FT"/>
    <s v="H08031-JIM-M"/>
    <s v="HP MALAYSIA MANUFACTURING SDN.BHD."/>
    <m/>
    <n v="0"/>
    <n v="0"/>
    <n v="0"/>
    <n v="0"/>
    <n v="0"/>
    <n v="0"/>
    <m/>
    <m/>
    <m/>
    <s v="No"/>
    <s v="W663602"/>
    <n v="0"/>
    <m/>
    <s v="H08031-JIM-M"/>
    <m/>
    <m/>
    <s v="S0359822"/>
  </r>
  <r>
    <x v="223"/>
    <n v="10000"/>
    <n v="20000"/>
    <d v="2025-03-24T00:00:00"/>
    <s v="502LAUGH"/>
    <s v=" 9:07:20 am"/>
    <n v="10639931051"/>
    <m/>
    <x v="2"/>
    <s v="Yes"/>
    <n v="79"/>
    <s v="HP Indigo 6800"/>
    <x v="4"/>
    <s v="PM16"/>
    <s v="TEO KAH JUN"/>
    <n v="575"/>
    <n v="58.75"/>
    <n v="0.97916666666666663"/>
    <d v="2025-03-05T00:00:00"/>
    <m/>
    <n v="308"/>
    <n v="177100"/>
    <s v="PE"/>
    <s v="7FP22-80008-FT0001"/>
    <n v="0"/>
    <n v="150000"/>
    <n v="27100"/>
    <n v="0"/>
    <n v="0"/>
    <n v="0"/>
    <m/>
    <m/>
    <n v="0"/>
    <m/>
    <m/>
    <m/>
    <m/>
    <m/>
    <m/>
    <m/>
    <m/>
    <s v="7FP22-80008-FT"/>
    <s v="H08031-JIM-M"/>
    <s v="HP MALAYSIA MANUFACTURING SDN.BHD."/>
    <m/>
    <n v="0"/>
    <n v="0"/>
    <n v="0"/>
    <n v="0"/>
    <n v="0"/>
    <n v="0"/>
    <m/>
    <m/>
    <m/>
    <s v="No"/>
    <s v="W663603"/>
    <n v="0"/>
    <m/>
    <s v="H08031-JIM-M"/>
    <m/>
    <m/>
    <s v="S0359822"/>
  </r>
  <r>
    <x v="224"/>
    <n v="10000"/>
    <n v="10000"/>
    <d v="2025-03-05T00:00:00"/>
    <s v="502LAUGH"/>
    <s v=" 2:05:36 pm"/>
    <s v="4170S1"/>
    <m/>
    <x v="2"/>
    <s v="Yes"/>
    <n v="65"/>
    <s v="Sanki SDR300"/>
    <x v="3"/>
    <s v="PMJ7"/>
    <s v="FOONG SEL YI"/>
    <n v="1000"/>
    <n v="70"/>
    <n v="1.1666666666666667"/>
    <d v="2025-03-05T00:00:00"/>
    <m/>
    <n v="5"/>
    <n v="5000"/>
    <s v="PE"/>
    <s v="TSMB00482020001"/>
    <n v="0"/>
    <n v="5000"/>
    <n v="0"/>
    <n v="0"/>
    <n v="0"/>
    <n v="0"/>
    <m/>
    <m/>
    <n v="0"/>
    <m/>
    <m/>
    <m/>
    <m/>
    <m/>
    <m/>
    <m/>
    <m/>
    <s v="TSMB0048202"/>
    <s v="T20104"/>
    <s v="TOSHIBA TEC SINGAPORE PTE LTD"/>
    <m/>
    <n v="0"/>
    <n v="0"/>
    <n v="0"/>
    <n v="0"/>
    <n v="0"/>
    <n v="0"/>
    <m/>
    <m/>
    <m/>
    <s v="No"/>
    <s v="W662631"/>
    <n v="0"/>
    <m/>
    <s v="T20104"/>
    <m/>
    <m/>
    <s v="S0359823"/>
  </r>
  <r>
    <x v="225"/>
    <n v="10000"/>
    <n v="10000"/>
    <d v="2025-03-05T00:00:00"/>
    <s v="502LAUGH"/>
    <s v=" 9:47:05 am"/>
    <s v="3170S1"/>
    <m/>
    <x v="2"/>
    <s v="Yes"/>
    <n v="65"/>
    <s v="Sanki SDR300"/>
    <x v="3"/>
    <s v="PMJ7"/>
    <s v="FOONG SEL YI"/>
    <n v="667"/>
    <n v="61.674999999999997"/>
    <n v="1.0279166666666666"/>
    <d v="2025-03-05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2632"/>
    <n v="0"/>
    <m/>
    <s v="T20104"/>
    <m/>
    <m/>
    <s v="S0359823"/>
  </r>
  <r>
    <x v="226"/>
    <n v="10000"/>
    <n v="10000"/>
    <d v="2025-03-05T00:00:00"/>
    <s v="502LAUGH"/>
    <s v=" 2:05:36 pm"/>
    <s v="4170S1"/>
    <m/>
    <x v="2"/>
    <s v="Yes"/>
    <n v="65"/>
    <s v="Sanki SDR300"/>
    <x v="3"/>
    <s v="PMJ7"/>
    <s v="FOONG SEL YI"/>
    <n v="3000"/>
    <n v="120"/>
    <n v="2"/>
    <d v="2025-03-05T00:00:00"/>
    <m/>
    <n v="5"/>
    <n v="15000"/>
    <s v="PE"/>
    <s v="TSMB00482020001"/>
    <n v="0"/>
    <n v="15000"/>
    <n v="0"/>
    <n v="0"/>
    <n v="0"/>
    <n v="0"/>
    <m/>
    <m/>
    <n v="0"/>
    <m/>
    <m/>
    <m/>
    <m/>
    <m/>
    <m/>
    <m/>
    <m/>
    <s v="TSMB0048202"/>
    <s v="T20104"/>
    <s v="TOSHIBA TEC SINGAPORE PTE LTD"/>
    <m/>
    <n v="0"/>
    <n v="0"/>
    <n v="0"/>
    <n v="0"/>
    <n v="0"/>
    <n v="0"/>
    <m/>
    <m/>
    <m/>
    <s v="No"/>
    <s v="W662633"/>
    <n v="0"/>
    <m/>
    <s v="T20104"/>
    <m/>
    <m/>
    <s v="PR006403"/>
  </r>
  <r>
    <x v="227"/>
    <n v="10000"/>
    <n v="10000"/>
    <d v="2025-03-05T00:00:00"/>
    <s v="502LAUGH"/>
    <s v=" 9:47:05 am"/>
    <s v="3170S1"/>
    <m/>
    <x v="2"/>
    <s v="Yes"/>
    <n v="65"/>
    <s v="Sanki SDR300"/>
    <x v="3"/>
    <s v="PMJ7"/>
    <s v="FOONG SEL YI"/>
    <n v="667"/>
    <n v="61.674999999999997"/>
    <n v="1.0279166666666666"/>
    <d v="2025-03-05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2634"/>
    <n v="0"/>
    <m/>
    <s v="T20104"/>
    <m/>
    <m/>
    <s v="PR006403"/>
  </r>
  <r>
    <x v="228"/>
    <n v="10000"/>
    <n v="10000"/>
    <d v="2025-03-05T00:00:00"/>
    <s v="502LAUGH"/>
    <s v=" 9:45:11 am"/>
    <s v="3082512U9"/>
    <m/>
    <x v="2"/>
    <s v="Yes"/>
    <n v="61"/>
    <s v="FSK 520"/>
    <x v="2"/>
    <s v="PM68"/>
    <s v="LEE KIM LIANG"/>
    <n v="150"/>
    <n v="48"/>
    <n v="0.8"/>
    <d v="2025-03-05T00:00:00"/>
    <m/>
    <n v="1"/>
    <n v="150"/>
    <s v="PE"/>
    <n v="107324240001"/>
    <n v="0"/>
    <n v="150"/>
    <n v="0"/>
    <n v="0"/>
    <n v="0"/>
    <n v="0"/>
    <m/>
    <m/>
    <n v="0"/>
    <m/>
    <m/>
    <m/>
    <m/>
    <m/>
    <m/>
    <m/>
    <m/>
    <n v="10732424"/>
    <s v="I09109"/>
    <s v="IKE TECHNOLOGY"/>
    <m/>
    <n v="0"/>
    <n v="0"/>
    <n v="0"/>
    <n v="0"/>
    <n v="0"/>
    <n v="0"/>
    <m/>
    <m/>
    <m/>
    <s v="No"/>
    <s v="W662636"/>
    <n v="0"/>
    <m/>
    <s v="I09109"/>
    <m/>
    <m/>
    <s v="S0359837"/>
  </r>
  <r>
    <x v="229"/>
    <n v="10000"/>
    <n v="10000"/>
    <d v="2025-03-05T00:00:00"/>
    <s v="502LAUGH"/>
    <d v="1899-12-30T11:30:26"/>
    <s v="SG-5627551-01"/>
    <m/>
    <x v="2"/>
    <s v="Yes"/>
    <n v="59"/>
    <s v="SANKI SD-300 Intermittent"/>
    <x v="2"/>
    <s v="PS74"/>
    <s v="GOH CHIN TECK"/>
    <n v="5000"/>
    <n v="170"/>
    <n v="2.8333333333333335"/>
    <d v="2025-03-05T00:00:00"/>
    <m/>
    <n v="6"/>
    <n v="30000"/>
    <s v="PE"/>
    <s v="15056431 REVB0001"/>
    <n v="0"/>
    <n v="30000"/>
    <n v="0"/>
    <n v="0"/>
    <n v="0"/>
    <n v="0"/>
    <m/>
    <m/>
    <n v="0"/>
    <m/>
    <m/>
    <m/>
    <m/>
    <m/>
    <m/>
    <m/>
    <m/>
    <s v="M07-15056431"/>
    <s v="I09180-SUNNINGDALE"/>
    <s v="SUNNINGDALE TECH LTD"/>
    <m/>
    <n v="0"/>
    <n v="0"/>
    <n v="0"/>
    <n v="0"/>
    <n v="0"/>
    <n v="0"/>
    <m/>
    <m/>
    <m/>
    <s v="No"/>
    <s v="W662237"/>
    <n v="0"/>
    <m/>
    <s v="I09180-SUNNINGDALE"/>
    <m/>
    <m/>
    <s v="S0359842"/>
  </r>
  <r>
    <x v="151"/>
    <n v="10000"/>
    <n v="20000"/>
    <d v="2025-03-05T00:00:00"/>
    <s v="502LAUGH"/>
    <s v=" 2:07:19 pm"/>
    <s v="4092S1/BYL015-01"/>
    <m/>
    <x v="0"/>
    <s v="Yes"/>
    <n v="105"/>
    <s v="Laser"/>
    <x v="5"/>
    <s v="PM87"/>
    <s v="LEE SHIEN WEI"/>
    <n v="3200"/>
    <m/>
    <m/>
    <d v="2025-03-05T00:00:00"/>
    <m/>
    <n v="1"/>
    <n v="3200"/>
    <s v="PE"/>
    <s v="SECRET-NET0002"/>
    <n v="0"/>
    <n v="3000"/>
    <n v="200"/>
    <n v="0"/>
    <n v="0"/>
    <n v="0"/>
    <m/>
    <m/>
    <n v="0"/>
    <m/>
    <m/>
    <m/>
    <m/>
    <m/>
    <m/>
    <m/>
    <m/>
    <s v="SECRET-NET"/>
    <s v="N14199"/>
    <s v="NCS PTE LTD"/>
    <m/>
    <n v="0"/>
    <n v="0"/>
    <n v="0"/>
    <n v="0"/>
    <n v="0"/>
    <n v="0"/>
    <m/>
    <m/>
    <m/>
    <s v="No"/>
    <s v="W662242"/>
    <n v="0"/>
    <m/>
    <s v="N14199"/>
    <m/>
    <m/>
    <s v="S0359843"/>
  </r>
  <r>
    <x v="230"/>
    <n v="10000"/>
    <n v="10000"/>
    <d v="2025-03-07T00:00:00"/>
    <s v="502LAUGH"/>
    <s v=" 8:36:50 am"/>
    <s v="405172525/3082509U9"/>
    <m/>
    <x v="2"/>
    <s v="Yes"/>
    <n v="88"/>
    <s v="OKI"/>
    <x v="4"/>
    <s v="PP24"/>
    <s v="HO HON SENG"/>
    <n v="300"/>
    <m/>
    <m/>
    <d v="2025-03-05T00:00:00"/>
    <m/>
    <n v="1"/>
    <n v="300"/>
    <s v="PE"/>
    <n v="190067140001"/>
    <n v="0"/>
    <n v="300"/>
    <n v="0"/>
    <n v="0"/>
    <n v="0"/>
    <n v="0"/>
    <m/>
    <m/>
    <n v="0"/>
    <m/>
    <m/>
    <m/>
    <m/>
    <m/>
    <m/>
    <m/>
    <m/>
    <n v="19006714"/>
    <s v="I09109"/>
    <s v="IKE TECHNOLOGY"/>
    <m/>
    <n v="0"/>
    <n v="0"/>
    <n v="0"/>
    <n v="0"/>
    <n v="0"/>
    <n v="0"/>
    <m/>
    <m/>
    <m/>
    <s v="No"/>
    <s v="W662640"/>
    <n v="0"/>
    <m/>
    <s v="I09109"/>
    <m/>
    <m/>
    <s v="S0360713"/>
  </r>
  <r>
    <x v="154"/>
    <n v="10000"/>
    <n v="20000"/>
    <d v="2025-03-05T00:00:00"/>
    <s v="502LAUGH"/>
    <s v=" 9:45:53 am"/>
    <s v="BYM039-02"/>
    <m/>
    <x v="0"/>
    <s v="Yes"/>
    <n v="71"/>
    <s v="POLLY"/>
    <x v="3"/>
    <s v="PS95"/>
    <s v="LIM CHENG LEONG"/>
    <n v="2000"/>
    <m/>
    <m/>
    <d v="2025-03-05T00:00:00"/>
    <m/>
    <n v="21"/>
    <n v="42000"/>
    <s v="PE"/>
    <s v="GR-0880001"/>
    <n v="0"/>
    <n v="40000"/>
    <n v="2000"/>
    <n v="0"/>
    <n v="0"/>
    <n v="0"/>
    <m/>
    <m/>
    <n v="0"/>
    <m/>
    <m/>
    <m/>
    <m/>
    <m/>
    <m/>
    <m/>
    <m/>
    <s v="GR-088"/>
    <s v="G07076"/>
    <s v="GIVAUDAN SINGAPORE PTE LTD"/>
    <m/>
    <n v="0"/>
    <n v="0"/>
    <n v="0"/>
    <n v="0"/>
    <n v="0"/>
    <n v="0"/>
    <m/>
    <m/>
    <m/>
    <s v="No"/>
    <s v="W662641"/>
    <n v="0"/>
    <m/>
    <s v="G07076"/>
    <m/>
    <m/>
    <s v="S0360714"/>
  </r>
  <r>
    <x v="231"/>
    <n v="10000"/>
    <n v="10000"/>
    <d v="2025-03-06T00:00:00"/>
    <s v="502LAUGH"/>
    <s v=" 8:39:53 am"/>
    <s v="41E8C3A182R"/>
    <m/>
    <x v="2"/>
    <s v="Yes"/>
    <n v="31"/>
    <s v="Sanki SKP250 Full Rotary"/>
    <x v="2"/>
    <s v="PS27"/>
    <s v="TAN TECK HEE"/>
    <n v="500"/>
    <n v="57.5"/>
    <n v="0.95833333333333337"/>
    <d v="2025-03-05T00:00:00"/>
    <m/>
    <n v="1"/>
    <n v="500"/>
    <s v="PE"/>
    <s v="XTR-140.1949.12-0001"/>
    <n v="0"/>
    <n v="500"/>
    <n v="0"/>
    <n v="0"/>
    <n v="0"/>
    <n v="0"/>
    <m/>
    <m/>
    <n v="0"/>
    <m/>
    <m/>
    <m/>
    <m/>
    <m/>
    <m/>
    <m/>
    <m/>
    <s v="XTR-140.1949.12-S"/>
    <s v="L12161"/>
    <s v="TECAN CDMO SOLUTIONS PN SDN BHD"/>
    <m/>
    <n v="0"/>
    <n v="0"/>
    <n v="0"/>
    <n v="0"/>
    <n v="0"/>
    <n v="0"/>
    <m/>
    <m/>
    <m/>
    <s v="No"/>
    <s v="W663042"/>
    <n v="0"/>
    <m/>
    <s v="L12161"/>
    <m/>
    <m/>
    <s v="S0360723"/>
  </r>
  <r>
    <x v="155"/>
    <n v="10000"/>
    <n v="20000"/>
    <d v="2025-03-06T00:00:00"/>
    <s v="502LAUGH"/>
    <s v=" 5:32:48 pm"/>
    <s v="401180925/3082510U9"/>
    <m/>
    <x v="0"/>
    <s v="Yes"/>
    <n v="100"/>
    <s v="Vorey Digital Cut"/>
    <x v="6"/>
    <s v="PM87"/>
    <s v="LEE SHIEN WEI"/>
    <n v="1100"/>
    <m/>
    <m/>
    <d v="2025-03-05T00:00:00"/>
    <m/>
    <n v="1"/>
    <n v="1100"/>
    <s v="PE"/>
    <n v="107353930001"/>
    <n v="0"/>
    <n v="1000"/>
    <n v="100"/>
    <n v="0"/>
    <n v="0"/>
    <n v="0"/>
    <m/>
    <m/>
    <n v="0"/>
    <m/>
    <m/>
    <m/>
    <m/>
    <m/>
    <m/>
    <m/>
    <m/>
    <n v="10735393"/>
    <s v="I09109"/>
    <s v="IKE TECHNOLOGY"/>
    <m/>
    <n v="0"/>
    <n v="0"/>
    <n v="0"/>
    <n v="0"/>
    <n v="0"/>
    <n v="0"/>
    <m/>
    <m/>
    <m/>
    <s v="No"/>
    <s v="W662648"/>
    <n v="0"/>
    <m/>
    <s v="I09109"/>
    <m/>
    <m/>
    <s v="S0360742"/>
  </r>
  <r>
    <x v="232"/>
    <n v="10000"/>
    <n v="10000"/>
    <d v="2025-03-06T00:00:00"/>
    <s v="502LAUGH"/>
    <s v=" 5:34:18 pm"/>
    <s v="401180925/3082510U9"/>
    <m/>
    <x v="2"/>
    <s v="Yes"/>
    <n v="88"/>
    <s v="OKI"/>
    <x v="4"/>
    <s v="PP24"/>
    <s v="HO HON SENG"/>
    <n v="240"/>
    <m/>
    <m/>
    <d v="2025-03-05T00:00:00"/>
    <m/>
    <n v="5"/>
    <n v="1200"/>
    <s v="PE"/>
    <n v="107490780001"/>
    <n v="0"/>
    <n v="1000"/>
    <n v="200"/>
    <n v="0"/>
    <n v="0"/>
    <n v="0"/>
    <m/>
    <m/>
    <n v="0"/>
    <m/>
    <m/>
    <m/>
    <m/>
    <m/>
    <m/>
    <m/>
    <m/>
    <n v="10749078"/>
    <s v="I09109"/>
    <s v="IKE TECHNOLOGY"/>
    <m/>
    <n v="0"/>
    <n v="0"/>
    <n v="0"/>
    <n v="0"/>
    <n v="0"/>
    <n v="0"/>
    <m/>
    <m/>
    <m/>
    <s v="No"/>
    <s v="W662650"/>
    <n v="0"/>
    <m/>
    <s v="I09109"/>
    <m/>
    <m/>
    <s v="S0360742"/>
  </r>
  <r>
    <x v="232"/>
    <n v="10000"/>
    <n v="20000"/>
    <d v="2025-03-06T00:00:00"/>
    <s v="502LAUGH"/>
    <s v=" 5:34:18 pm"/>
    <s v="401180925/3082510U9"/>
    <m/>
    <x v="0"/>
    <s v="Yes"/>
    <n v="100"/>
    <s v="Vorey Digital Cut"/>
    <x v="6"/>
    <s v="PM87"/>
    <s v="LEE SHIEN WEI"/>
    <n v="1100"/>
    <m/>
    <m/>
    <d v="2025-03-05T00:00:00"/>
    <m/>
    <n v="1"/>
    <n v="1100"/>
    <s v="PE"/>
    <n v="107490780001"/>
    <n v="0"/>
    <n v="1000"/>
    <n v="100"/>
    <n v="0"/>
    <n v="0"/>
    <n v="0"/>
    <m/>
    <m/>
    <n v="0"/>
    <m/>
    <m/>
    <m/>
    <m/>
    <m/>
    <m/>
    <m/>
    <m/>
    <n v="10749078"/>
    <s v="I09109"/>
    <s v="IKE TECHNOLOGY"/>
    <m/>
    <n v="0"/>
    <n v="0"/>
    <n v="0"/>
    <n v="0"/>
    <n v="0"/>
    <n v="0"/>
    <m/>
    <m/>
    <m/>
    <s v="No"/>
    <s v="W662650"/>
    <n v="0"/>
    <m/>
    <s v="I09109"/>
    <m/>
    <m/>
    <s v="S0360742"/>
  </r>
  <r>
    <x v="156"/>
    <n v="10000"/>
    <n v="20000"/>
    <d v="2025-03-06T00:00:00"/>
    <s v="502LAUGH"/>
    <s v=" 5:32:48 pm"/>
    <s v="401180925/3082510U9"/>
    <m/>
    <x v="0"/>
    <s v="Yes"/>
    <n v="100"/>
    <s v="Vorey Digital Cut"/>
    <x v="6"/>
    <s v="PM87"/>
    <s v="LEE SHIEN WEI"/>
    <n v="20"/>
    <m/>
    <m/>
    <d v="2025-03-05T00:00:00"/>
    <m/>
    <n v="1"/>
    <n v="20"/>
    <s v="PE"/>
    <n v="107353930001"/>
    <n v="0"/>
    <n v="20"/>
    <n v="0"/>
    <n v="0"/>
    <n v="0"/>
    <n v="0"/>
    <m/>
    <m/>
    <n v="0"/>
    <m/>
    <m/>
    <m/>
    <m/>
    <m/>
    <m/>
    <m/>
    <m/>
    <n v="10735393"/>
    <s v="I09109"/>
    <s v="IKE TECHNOLOGY"/>
    <m/>
    <n v="0"/>
    <n v="0"/>
    <n v="0"/>
    <n v="0"/>
    <n v="0"/>
    <n v="0"/>
    <m/>
    <m/>
    <m/>
    <s v="No"/>
    <s v="W662651"/>
    <n v="0"/>
    <m/>
    <s v="I09109"/>
    <m/>
    <m/>
    <s v="ZSA101754"/>
  </r>
  <r>
    <x v="233"/>
    <n v="10000"/>
    <n v="10000"/>
    <d v="2025-03-06T00:00:00"/>
    <s v="502LAUGH"/>
    <s v=" 5:34:18 pm"/>
    <s v="401180925/3082510U9"/>
    <m/>
    <x v="2"/>
    <s v="Yes"/>
    <n v="88"/>
    <s v="OKI"/>
    <x v="4"/>
    <s v="PP24"/>
    <s v="HO HON SENG"/>
    <n v="4"/>
    <m/>
    <m/>
    <d v="2025-03-05T00:00:00"/>
    <m/>
    <n v="5"/>
    <n v="20"/>
    <s v="PE"/>
    <n v="107490780001"/>
    <n v="0"/>
    <n v="20"/>
    <n v="0"/>
    <n v="0"/>
    <n v="0"/>
    <n v="0"/>
    <m/>
    <m/>
    <n v="0"/>
    <m/>
    <m/>
    <m/>
    <m/>
    <m/>
    <m/>
    <m/>
    <m/>
    <n v="10749078"/>
    <s v="I09109"/>
    <s v="IKE TECHNOLOGY"/>
    <m/>
    <n v="0"/>
    <n v="0"/>
    <n v="0"/>
    <n v="0"/>
    <n v="0"/>
    <n v="0"/>
    <m/>
    <m/>
    <m/>
    <s v="No"/>
    <s v="W662653"/>
    <n v="0"/>
    <m/>
    <s v="I09109"/>
    <m/>
    <m/>
    <s v="ZSA101754"/>
  </r>
  <r>
    <x v="233"/>
    <n v="10000"/>
    <n v="20000"/>
    <d v="2025-03-06T00:00:00"/>
    <s v="502LAUGH"/>
    <s v=" 5:34:18 pm"/>
    <s v="401180925/3082510U9"/>
    <m/>
    <x v="0"/>
    <s v="Yes"/>
    <n v="100"/>
    <s v="Vorey Digital Cut"/>
    <x v="6"/>
    <s v="PM87"/>
    <s v="LEE SHIEN WEI"/>
    <n v="20"/>
    <m/>
    <m/>
    <d v="2025-03-05T00:00:00"/>
    <m/>
    <n v="1"/>
    <n v="20"/>
    <s v="PE"/>
    <n v="107490780001"/>
    <n v="0"/>
    <n v="20"/>
    <n v="0"/>
    <n v="0"/>
    <n v="0"/>
    <n v="0"/>
    <m/>
    <m/>
    <n v="0"/>
    <m/>
    <m/>
    <m/>
    <m/>
    <m/>
    <m/>
    <m/>
    <m/>
    <n v="10749078"/>
    <s v="I09109"/>
    <s v="IKE TECHNOLOGY"/>
    <m/>
    <n v="0"/>
    <n v="0"/>
    <n v="0"/>
    <n v="0"/>
    <n v="0"/>
    <n v="0"/>
    <m/>
    <m/>
    <m/>
    <s v="No"/>
    <s v="W662653"/>
    <n v="0"/>
    <m/>
    <s v="I09109"/>
    <m/>
    <m/>
    <s v="ZSA101754"/>
  </r>
  <r>
    <x v="234"/>
    <n v="10000"/>
    <n v="10000"/>
    <d v="2025-03-06T00:00:00"/>
    <s v="502LAUGH"/>
    <s v=" 8:44:15 am"/>
    <s v="4136S1"/>
    <m/>
    <x v="2"/>
    <s v="Yes"/>
    <n v="12"/>
    <s v="FSK SR520"/>
    <x v="2"/>
    <s v="PP05"/>
    <s v="WONG KIM FATT"/>
    <n v="2500"/>
    <n v="95"/>
    <n v="1.5833333333333333"/>
    <d v="2025-03-05T00:00:00"/>
    <m/>
    <n v="2"/>
    <n v="5000"/>
    <s v="PE"/>
    <s v="810790 REV4000001"/>
    <n v="0"/>
    <n v="5000"/>
    <n v="0"/>
    <n v="0"/>
    <n v="0"/>
    <n v="0"/>
    <m/>
    <m/>
    <n v="0"/>
    <m/>
    <m/>
    <m/>
    <m/>
    <m/>
    <m/>
    <m/>
    <m/>
    <s v="810790 REV400"/>
    <s v="V22000"/>
    <s v="PT VARTA MICROBATTERY INDONESIA"/>
    <m/>
    <n v="0"/>
    <n v="0"/>
    <n v="0"/>
    <n v="0"/>
    <n v="0"/>
    <n v="0"/>
    <m/>
    <m/>
    <m/>
    <s v="No"/>
    <s v="W662654"/>
    <n v="0"/>
    <m/>
    <s v="V22000"/>
    <m/>
    <m/>
    <s v="S0360743"/>
  </r>
  <r>
    <x v="235"/>
    <n v="10000"/>
    <n v="10000"/>
    <d v="2025-03-05T00:00:00"/>
    <s v="502LAUGH"/>
    <s v=" 5:24:01 pm"/>
    <s v="SG-562936501"/>
    <m/>
    <x v="2"/>
    <s v="Yes"/>
    <n v="65"/>
    <s v="Sanki SDR300"/>
    <x v="3"/>
    <s v="PMJ7"/>
    <s v="FOONG SEL YI"/>
    <n v="1120"/>
    <n v="73"/>
    <n v="1.2166666666666666"/>
    <d v="2025-03-05T00:00:00"/>
    <m/>
    <n v="44"/>
    <n v="49280"/>
    <s v="PE"/>
    <n v="111699440001"/>
    <n v="0"/>
    <n v="49280"/>
    <n v="0"/>
    <n v="0"/>
    <n v="0"/>
    <n v="0"/>
    <m/>
    <m/>
    <n v="0"/>
    <m/>
    <m/>
    <m/>
    <m/>
    <m/>
    <m/>
    <m/>
    <m/>
    <n v="11169944"/>
    <s v="I09180-US"/>
    <s v="ILLUMINA CAMBRIDGE, LTD"/>
    <m/>
    <n v="0"/>
    <n v="0"/>
    <n v="0"/>
    <n v="0"/>
    <n v="0"/>
    <n v="0"/>
    <m/>
    <m/>
    <m/>
    <s v="No"/>
    <s v="W662657"/>
    <n v="0"/>
    <m/>
    <s v="I09180-US"/>
    <m/>
    <m/>
    <s v="S0360884"/>
  </r>
  <r>
    <x v="236"/>
    <n v="10000"/>
    <n v="10000"/>
    <d v="2025-03-10T00:00:00"/>
    <s v="502LAUGH"/>
    <s v=" 3:04:53 pm"/>
    <s v="J00D31560"/>
    <m/>
    <x v="2"/>
    <s v="Yes"/>
    <n v="88"/>
    <s v="OKI"/>
    <x v="4"/>
    <s v="PP24"/>
    <s v="HO HON SENG"/>
    <n v="1300"/>
    <m/>
    <m/>
    <d v="2025-03-05T00:00:00"/>
    <m/>
    <n v="1"/>
    <n v="1300"/>
    <s v="PE"/>
    <n v="107355870001"/>
    <n v="0"/>
    <n v="1000"/>
    <n v="300"/>
    <n v="0"/>
    <n v="0"/>
    <n v="0"/>
    <m/>
    <m/>
    <n v="0"/>
    <m/>
    <m/>
    <m/>
    <m/>
    <m/>
    <m/>
    <m/>
    <m/>
    <n v="10735587"/>
    <s v="I09109"/>
    <s v="IKE TECHNOLOGY"/>
    <m/>
    <n v="0"/>
    <n v="0"/>
    <n v="0"/>
    <n v="0"/>
    <n v="0"/>
    <n v="0"/>
    <m/>
    <m/>
    <m/>
    <s v="No"/>
    <s v="W662658"/>
    <n v="0"/>
    <m/>
    <s v="I09109"/>
    <m/>
    <m/>
    <s v="S0360887"/>
  </r>
  <r>
    <x v="237"/>
    <n v="10000"/>
    <n v="10000"/>
    <d v="2025-03-10T00:00:00"/>
    <s v="502LAUGH"/>
    <d v="1899-12-30T11:23:57"/>
    <s v="J00D31560"/>
    <m/>
    <x v="2"/>
    <s v="Yes"/>
    <n v="88"/>
    <s v="OKI"/>
    <x v="4"/>
    <s v="PP24"/>
    <s v="HO HON SENG"/>
    <n v="20"/>
    <m/>
    <m/>
    <d v="2025-03-05T00:00:00"/>
    <m/>
    <n v="1"/>
    <n v="20"/>
    <s v="PE"/>
    <n v="107355870001"/>
    <n v="0"/>
    <n v="20"/>
    <n v="0"/>
    <n v="0"/>
    <n v="0"/>
    <n v="0"/>
    <m/>
    <m/>
    <n v="0"/>
    <m/>
    <m/>
    <m/>
    <m/>
    <m/>
    <m/>
    <m/>
    <m/>
    <n v="10735587"/>
    <s v="I09109"/>
    <s v="IKE TECHNOLOGY"/>
    <m/>
    <n v="0"/>
    <n v="0"/>
    <n v="0"/>
    <n v="0"/>
    <n v="0"/>
    <n v="0"/>
    <m/>
    <m/>
    <m/>
    <s v="No"/>
    <s v="W662659"/>
    <n v="0"/>
    <m/>
    <s v="I09109"/>
    <m/>
    <m/>
    <s v="ZSA101756"/>
  </r>
  <r>
    <x v="238"/>
    <n v="10000"/>
    <n v="10000"/>
    <d v="2025-03-18T00:00:00"/>
    <s v="502LAUGH"/>
    <s v=" 8:35:45 am"/>
    <s v="10620258034/10620258035/10620258033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N9J92-80007-FT0001"/>
    <n v="0"/>
    <n v="200000"/>
    <n v="30016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3055"/>
    <n v="0"/>
    <m/>
    <s v="H08031-JIM-M"/>
    <m/>
    <m/>
    <s v="S0360911"/>
  </r>
  <r>
    <x v="239"/>
    <n v="10000"/>
    <n v="10000"/>
    <d v="2025-03-19T00:00:00"/>
    <s v="502LAUGH"/>
    <s v=" 8:37:07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3YM77-80008-FT0001"/>
    <n v="0"/>
    <n v="200000"/>
    <n v="30016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3626"/>
    <n v="0"/>
    <m/>
    <s v="H08031-JIM-M"/>
    <m/>
    <m/>
    <s v="S0360912"/>
  </r>
  <r>
    <x v="240"/>
    <n v="10000"/>
    <n v="20000"/>
    <d v="2025-03-26T00:00:00"/>
    <s v="502LAUGH"/>
    <s v=" 2:59:27 pm"/>
    <n v="10620258036"/>
    <m/>
    <x v="2"/>
    <s v="Yes"/>
    <n v="79"/>
    <s v="HP Indigo 6800"/>
    <x v="4"/>
    <s v="PM16"/>
    <s v="TEO KAH JUN"/>
    <n v="12750"/>
    <n v="667.5"/>
    <n v="11.125"/>
    <d v="2025-03-05T00:00:00"/>
    <m/>
    <n v="308"/>
    <n v="3927000"/>
    <s v="PE"/>
    <s v="3YM56-80009-FT0001"/>
    <n v="0"/>
    <n v="360000"/>
    <n v="3567000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3627"/>
    <n v="0"/>
    <m/>
    <s v="H08031-JIM-M"/>
    <m/>
    <m/>
    <s v="S0360913"/>
  </r>
  <r>
    <x v="241"/>
    <n v="10000"/>
    <n v="10000"/>
    <d v="2025-03-19T00:00:00"/>
    <s v="505KANGHS"/>
    <s v=" 8:33:10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32"/>
    <n v="115008"/>
    <s v="PE"/>
    <s v="C2P06-80052-FT0001"/>
    <n v="0"/>
    <n v="100000"/>
    <n v="15008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3628"/>
    <n v="0"/>
    <m/>
    <s v="H08031-JIM-M"/>
    <m/>
    <m/>
    <s v="S0360914"/>
  </r>
  <r>
    <x v="242"/>
    <n v="10000"/>
    <n v="10000"/>
    <d v="2025-03-19T00:00:00"/>
    <s v="502LAUGH"/>
    <s v=" 8:36:00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3YM54-80005-FT0001"/>
    <n v="0"/>
    <n v="200000"/>
    <n v="30016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630"/>
    <n v="0"/>
    <m/>
    <s v="H08031-JIM-M"/>
    <m/>
    <m/>
    <s v="S0360918"/>
  </r>
  <r>
    <x v="243"/>
    <n v="10000"/>
    <n v="10000"/>
    <d v="2025-03-19T00:00:00"/>
    <s v="505KANGHS"/>
    <s v=" 8:35:16 am"/>
    <s v="10620258036/10620258032/10620258030"/>
    <m/>
    <x v="2"/>
    <s v="Yes"/>
    <n v="79"/>
    <s v="HP Indigo 6800"/>
    <x v="4"/>
    <s v="PM16"/>
    <s v="TEO KAH JUN"/>
    <n v="3594"/>
    <n v="209.7"/>
    <n v="3.4949999999999997"/>
    <d v="2025-03-05T00:00:00"/>
    <m/>
    <n v="64"/>
    <n v="230016"/>
    <s v="PE"/>
    <s v="CH562-80136-FT0001"/>
    <n v="0"/>
    <n v="200000"/>
    <n v="30016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307"/>
    <n v="0"/>
    <m/>
    <s v="H08031-JIM-M"/>
    <m/>
    <m/>
    <s v="S0360919"/>
  </r>
  <r>
    <x v="244"/>
    <n v="10000"/>
    <n v="10000"/>
    <d v="2025-03-05T00:00:00"/>
    <s v="502LAUGH"/>
    <s v=" 2:02:36 pm"/>
    <s v="D005822401525"/>
    <m/>
    <x v="2"/>
    <s v="Yes"/>
    <n v="86"/>
    <s v="Brotech DF330 "/>
    <x v="0"/>
    <s v="PM45"/>
    <s v="TAY CHIN LIONG"/>
    <n v="600"/>
    <n v="55"/>
    <n v="0.91666666666666663"/>
    <d v="2025-03-05T00:00:00"/>
    <m/>
    <n v="5"/>
    <n v="3000"/>
    <s v="PE"/>
    <s v="R370-4221 REV 1.0001"/>
    <n v="0"/>
    <n v="3000"/>
    <n v="0"/>
    <n v="0"/>
    <n v="0"/>
    <n v="0"/>
    <m/>
    <m/>
    <n v="0"/>
    <m/>
    <m/>
    <m/>
    <m/>
    <m/>
    <m/>
    <m/>
    <m/>
    <s v="R370-4221 REV 1.0"/>
    <s v="R18131-AUSTRALIA"/>
    <s v="RESMED PTY LTD"/>
    <m/>
    <n v="0"/>
    <n v="0"/>
    <n v="0"/>
    <n v="0"/>
    <n v="0"/>
    <n v="0"/>
    <m/>
    <m/>
    <m/>
    <s v="No"/>
    <s v="W662251"/>
    <n v="0"/>
    <m/>
    <s v="R18131-AUSTRALIA"/>
    <m/>
    <m/>
    <s v="S0360920"/>
  </r>
  <r>
    <x v="245"/>
    <n v="10000"/>
    <n v="10000"/>
    <d v="2025-03-07T00:00:00"/>
    <s v="502LAUGH"/>
    <s v=" 8:34:07 am"/>
    <s v="U462452089/SG-5553119"/>
    <m/>
    <x v="2"/>
    <s v="Yes"/>
    <n v="72"/>
    <s v="Xeikon 3500"/>
    <x v="4"/>
    <s v="PMJ4"/>
    <s v="LEE JUN HONG"/>
    <n v="1500"/>
    <m/>
    <m/>
    <d v="2025-03-05T00:00:00"/>
    <m/>
    <n v="6"/>
    <n v="9000"/>
    <s v="PE"/>
    <s v="R370-4910001"/>
    <n v="0"/>
    <n v="6000"/>
    <n v="3000"/>
    <n v="0"/>
    <n v="0"/>
    <n v="0"/>
    <m/>
    <m/>
    <n v="0"/>
    <m/>
    <m/>
    <m/>
    <m/>
    <m/>
    <m/>
    <m/>
    <m/>
    <s v="R370-491"/>
    <s v="R18131"/>
    <s v="RESMED ASIA PTE LTD"/>
    <m/>
    <n v="0"/>
    <n v="0"/>
    <n v="0"/>
    <n v="0"/>
    <n v="0"/>
    <n v="0"/>
    <m/>
    <m/>
    <m/>
    <s v="No"/>
    <s v="W662687"/>
    <n v="0"/>
    <m/>
    <s v="R18131"/>
    <m/>
    <m/>
    <s v="S0360922"/>
  </r>
  <r>
    <x v="245"/>
    <n v="10000"/>
    <n v="20000"/>
    <d v="2025-03-07T00:00:00"/>
    <s v="502LAUGH"/>
    <s v=" 8:34:07 am"/>
    <s v="U462452089/SG-5553119"/>
    <m/>
    <x v="0"/>
    <s v="Yes"/>
    <n v="30"/>
    <s v="NewFoil"/>
    <x v="7"/>
    <s v="PS07"/>
    <s v="KANG HOCK SENG"/>
    <n v="3000"/>
    <m/>
    <m/>
    <d v="2025-03-05T00:00:00"/>
    <m/>
    <n v="2"/>
    <n v="6000"/>
    <s v="PE"/>
    <s v="R370-4910001"/>
    <n v="0"/>
    <n v="6000"/>
    <n v="0"/>
    <n v="0"/>
    <n v="0"/>
    <n v="0"/>
    <m/>
    <m/>
    <n v="0"/>
    <m/>
    <m/>
    <m/>
    <m/>
    <m/>
    <m/>
    <m/>
    <m/>
    <s v="R370-491"/>
    <s v="R18131"/>
    <s v="RESMED ASIA PTE LTD"/>
    <m/>
    <n v="0"/>
    <n v="0"/>
    <n v="0"/>
    <n v="0"/>
    <n v="0"/>
    <n v="0"/>
    <m/>
    <m/>
    <m/>
    <s v="No"/>
    <s v="W662687"/>
    <n v="0"/>
    <m/>
    <s v="R18131"/>
    <m/>
    <m/>
    <s v="S0360922"/>
  </r>
  <r>
    <x v="246"/>
    <n v="10000"/>
    <n v="10000"/>
    <d v="2025-03-05T00:00:00"/>
    <s v="502LAUGH"/>
    <s v=" 2:02:36 pm"/>
    <s v="D005822401525"/>
    <m/>
    <x v="2"/>
    <s v="Yes"/>
    <n v="86"/>
    <s v="Brotech DF330 "/>
    <x v="0"/>
    <s v="PM45"/>
    <s v="TAY CHIN LIONG"/>
    <n v="480"/>
    <n v="53"/>
    <n v="0.8833333333333333"/>
    <d v="2025-03-05T00:00:00"/>
    <m/>
    <n v="5"/>
    <n v="2400"/>
    <s v="PE"/>
    <s v="R370-4227 REV 1.0001"/>
    <n v="0"/>
    <n v="2400"/>
    <n v="0"/>
    <n v="0"/>
    <n v="0"/>
    <n v="0"/>
    <m/>
    <m/>
    <n v="0"/>
    <m/>
    <m/>
    <m/>
    <m/>
    <m/>
    <m/>
    <m/>
    <m/>
    <s v="R370-4227 REV 1.0"/>
    <s v="R18131"/>
    <s v="RESMED ASIA PTE LTD"/>
    <m/>
    <n v="0"/>
    <n v="0"/>
    <n v="0"/>
    <n v="0"/>
    <n v="0"/>
    <n v="0"/>
    <m/>
    <m/>
    <m/>
    <s v="No"/>
    <s v="W662252"/>
    <n v="0"/>
    <m/>
    <s v="R18131"/>
    <m/>
    <m/>
    <s v="S0360923"/>
  </r>
  <r>
    <x v="247"/>
    <n v="10000"/>
    <n v="10000"/>
    <d v="2025-03-11T00:00:00"/>
    <s v="502LAUGH"/>
    <s v=" 8:31:59 am"/>
    <s v="2101818U5/M0B7C2220"/>
    <m/>
    <x v="2"/>
    <s v="Yes"/>
    <n v="79"/>
    <s v="HP Indigo 6800"/>
    <x v="4"/>
    <s v="PM16"/>
    <s v="TEO KAH JUN"/>
    <n v="62"/>
    <n v="33.1"/>
    <n v="0.55166666666666664"/>
    <d v="2025-03-05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2688"/>
    <n v="0"/>
    <m/>
    <s v="T20390-PMI"/>
    <m/>
    <m/>
    <s v="S0360931"/>
  </r>
  <r>
    <x v="248"/>
    <n v="10000"/>
    <n v="10000"/>
    <d v="2025-03-06T00:00:00"/>
    <s v="502LAUGH"/>
    <d v="1899-12-30T11:41:04"/>
    <n v="59469"/>
    <m/>
    <x v="2"/>
    <s v="Yes"/>
    <n v="73"/>
    <s v="Brotech DF330"/>
    <x v="0"/>
    <s v="PM59"/>
    <s v="VOON CHAN PIN"/>
    <n v="42"/>
    <n v="45.7"/>
    <n v="0.76166666666666671"/>
    <d v="2025-03-05T00:00:00"/>
    <m/>
    <n v="12"/>
    <n v="504"/>
    <s v="PE"/>
    <s v="MT-1000766-903RE0002"/>
    <n v="0"/>
    <n v="100"/>
    <n v="404"/>
    <n v="0"/>
    <n v="0"/>
    <n v="0"/>
    <m/>
    <m/>
    <n v="0"/>
    <m/>
    <m/>
    <m/>
    <m/>
    <m/>
    <m/>
    <m/>
    <m/>
    <s v="MT-1000766-903REV002"/>
    <s v="Z26002"/>
    <s v="CCL DESIGN (PENANG) SDN. BHD."/>
    <m/>
    <n v="0"/>
    <n v="0"/>
    <n v="0"/>
    <n v="0"/>
    <n v="0"/>
    <n v="0"/>
    <m/>
    <m/>
    <m/>
    <s v="No"/>
    <s v="W662253"/>
    <n v="0"/>
    <m/>
    <s v="Z26002"/>
    <m/>
    <m/>
    <s v="ZSA101749"/>
  </r>
  <r>
    <x v="249"/>
    <n v="10000"/>
    <n v="10000"/>
    <d v="2025-03-06T00:00:00"/>
    <s v="502LAUGH"/>
    <d v="1899-12-30T11:41:59"/>
    <n v="59469"/>
    <m/>
    <x v="2"/>
    <s v="Yes"/>
    <n v="73"/>
    <s v="Brotech DF330"/>
    <x v="0"/>
    <s v="PM59"/>
    <s v="VOON CHAN PIN"/>
    <n v="42"/>
    <n v="45.7"/>
    <n v="0.76166666666666671"/>
    <d v="2025-03-05T00:00:00"/>
    <m/>
    <n v="12"/>
    <n v="504"/>
    <s v="PE"/>
    <s v="MT-1000340-58REV0001"/>
    <n v="0"/>
    <n v="100"/>
    <n v="404"/>
    <n v="0"/>
    <n v="0"/>
    <n v="0"/>
    <m/>
    <m/>
    <n v="0"/>
    <m/>
    <m/>
    <m/>
    <m/>
    <m/>
    <m/>
    <m/>
    <m/>
    <s v="MT-1000340-58REV004"/>
    <s v="Z26002"/>
    <s v="CCL DESIGN (PENANG) SDN. BHD."/>
    <m/>
    <n v="0"/>
    <n v="0"/>
    <n v="0"/>
    <n v="0"/>
    <n v="0"/>
    <n v="0"/>
    <m/>
    <m/>
    <m/>
    <s v="No"/>
    <s v="W662254"/>
    <n v="0"/>
    <m/>
    <s v="Z26002"/>
    <m/>
    <m/>
    <s v="ZSA101757"/>
  </r>
  <r>
    <x v="157"/>
    <n v="10000"/>
    <n v="20000"/>
    <d v="2025-03-06T00:00:00"/>
    <s v="502LAUGH"/>
    <d v="1899-12-30T11:46:05"/>
    <s v="4057S1"/>
    <m/>
    <x v="0"/>
    <s v="Yes"/>
    <n v="105"/>
    <s v="Laser"/>
    <x v="5"/>
    <s v="PM87"/>
    <s v="LEE SHIEN WEI"/>
    <n v="200"/>
    <m/>
    <m/>
    <d v="2025-03-05T00:00:00"/>
    <m/>
    <n v="1"/>
    <n v="200"/>
    <s v="PE"/>
    <s v="CONFIDENTIAL QR 0001"/>
    <n v="0"/>
    <n v="200"/>
    <n v="0"/>
    <n v="0"/>
    <n v="0"/>
    <n v="0"/>
    <m/>
    <m/>
    <n v="0"/>
    <m/>
    <m/>
    <m/>
    <m/>
    <m/>
    <m/>
    <m/>
    <m/>
    <s v="CONFIDENTIAL QR CODE"/>
    <s v="N14199"/>
    <s v="NCS PTE LTD"/>
    <m/>
    <n v="0"/>
    <n v="0"/>
    <n v="0"/>
    <n v="0"/>
    <n v="0"/>
    <n v="0"/>
    <m/>
    <m/>
    <m/>
    <s v="No"/>
    <s v="W662694"/>
    <n v="0"/>
    <m/>
    <s v="N14199"/>
    <m/>
    <m/>
    <s v="S0359843"/>
  </r>
  <r>
    <x v="250"/>
    <n v="10000"/>
    <n v="10000"/>
    <d v="2025-04-04T00:00:00"/>
    <s v="502LAUGH"/>
    <d v="1899-12-30T12:59:09"/>
    <s v="10639931106/10639931103/10639931102/10639931104"/>
    <s v="FSC31311"/>
    <x v="2"/>
    <s v="No"/>
    <n v="79"/>
    <s v="HP Indigo 6800"/>
    <x v="4"/>
    <s v="PM21"/>
    <s v="LIM JIA FAN"/>
    <n v="5050"/>
    <m/>
    <m/>
    <d v="2025-03-06T00:00:00"/>
    <m/>
    <n v="108"/>
    <n v="545400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5320"/>
  </r>
  <r>
    <x v="251"/>
    <n v="10000"/>
    <n v="10000"/>
    <d v="2025-03-06T00:00:00"/>
    <s v="502LAUGH"/>
    <s v=" 4:52:21 pm"/>
    <s v="4103003U5"/>
    <s v="FSC30839A"/>
    <x v="2"/>
    <s v="No"/>
    <n v="82"/>
    <s v="Polly"/>
    <x v="3"/>
    <s v="PM11"/>
    <s v="TEE MENG CHAI"/>
    <n v="3334"/>
    <m/>
    <m/>
    <d v="2025-03-06T00:00:00"/>
    <m/>
    <n v="6"/>
    <n v="20004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680"/>
  </r>
  <r>
    <x v="252"/>
    <n v="10000"/>
    <n v="10000"/>
    <d v="2025-03-07T00:00:00"/>
    <s v="502LAUGH"/>
    <s v=" 8:36:06 am"/>
    <s v="4103003U5"/>
    <s v="FSC30839A"/>
    <x v="2"/>
    <s v="No"/>
    <n v="82"/>
    <s v="Polly"/>
    <x v="3"/>
    <s v="PM11"/>
    <s v="TEE MENG CHAI"/>
    <n v="8000"/>
    <m/>
    <m/>
    <d v="2025-03-0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01"/>
  </r>
  <r>
    <x v="253"/>
    <n v="10000"/>
    <n v="10000"/>
    <d v="2025-03-06T00:00:00"/>
    <s v="502LAUGH"/>
    <s v=" 2:29:44 pm"/>
    <s v="D00636982"/>
    <m/>
    <x v="2"/>
    <s v="Yes"/>
    <n v="65"/>
    <s v="Sanki SDR300"/>
    <x v="3"/>
    <s v="PMJ7"/>
    <s v="FOONG SEL YI"/>
    <n v="13500"/>
    <n v="382.5"/>
    <n v="6.375"/>
    <d v="2025-03-06T00:00:00"/>
    <m/>
    <n v="8"/>
    <n v="108000"/>
    <s v="PE"/>
    <s v="R639-401 REV2.00001"/>
    <n v="0"/>
    <n v="108000"/>
    <n v="0"/>
    <n v="0"/>
    <n v="0"/>
    <n v="0"/>
    <m/>
    <m/>
    <n v="0"/>
    <m/>
    <m/>
    <m/>
    <m/>
    <m/>
    <m/>
    <m/>
    <m/>
    <s v="R639-401 REV2.0"/>
    <s v="R18131"/>
    <s v="RESMED ASIA PTE LTD"/>
    <m/>
    <n v="0"/>
    <n v="0"/>
    <n v="0"/>
    <n v="0"/>
    <n v="0"/>
    <n v="0"/>
    <m/>
    <m/>
    <m/>
    <s v="No"/>
    <s v="W662405"/>
    <n v="0"/>
    <m/>
    <s v="R18131"/>
    <m/>
    <m/>
    <s v="S0352648"/>
  </r>
  <r>
    <x v="254"/>
    <n v="10000"/>
    <n v="10000"/>
    <d v="2025-03-07T00:00:00"/>
    <s v="502LAUGH"/>
    <s v=" 5:12:30 pm"/>
    <s v="D005822401525"/>
    <m/>
    <x v="2"/>
    <s v="Yes"/>
    <n v="86"/>
    <s v="Brotech DF330 "/>
    <x v="0"/>
    <s v="PM45"/>
    <s v="TAY CHIN LIONG"/>
    <n v="40000"/>
    <n v="711.66666666666663"/>
    <n v="11.861111111111111"/>
    <d v="2025-03-06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s v="RESMED ASIA PTE LTD"/>
    <m/>
    <n v="0"/>
    <n v="0"/>
    <n v="0"/>
    <n v="0"/>
    <n v="0"/>
    <n v="0"/>
    <m/>
    <m/>
    <m/>
    <s v="No"/>
    <s v="W662932"/>
    <n v="0"/>
    <m/>
    <s v="R18131"/>
    <m/>
    <m/>
    <s v="S0354104"/>
  </r>
  <r>
    <x v="255"/>
    <n v="10000"/>
    <n v="30000"/>
    <d v="2025-03-20T00:00:00"/>
    <s v="502LAUGH"/>
    <s v=" 2:53:17 pm"/>
    <s v="SG-5619707 01"/>
    <m/>
    <x v="0"/>
    <s v="Yes"/>
    <n v="73"/>
    <s v="Brotech DF330"/>
    <x v="0"/>
    <s v="PM59"/>
    <s v="VOON CHAN PIN"/>
    <n v="112000"/>
    <n v="1911.6666666666667"/>
    <n v="31.861111111111111"/>
    <d v="2025-03-06T00:00:00"/>
    <m/>
    <n v="1"/>
    <n v="112000"/>
    <s v="PE"/>
    <n v="150636040001"/>
    <n v="0"/>
    <n v="112000"/>
    <n v="0"/>
    <n v="0"/>
    <n v="0"/>
    <n v="0"/>
    <m/>
    <m/>
    <n v="0"/>
    <m/>
    <m/>
    <m/>
    <m/>
    <m/>
    <m/>
    <m/>
    <m/>
    <n v="15063604"/>
    <s v="I09180-US"/>
    <s v="ILLUMINA CAMBRIDGE, LTD"/>
    <m/>
    <n v="0"/>
    <n v="0"/>
    <n v="0"/>
    <n v="0"/>
    <n v="0"/>
    <n v="0"/>
    <m/>
    <m/>
    <m/>
    <s v="No"/>
    <s v="W663541"/>
    <n v="0"/>
    <m/>
    <s v="I09180-US"/>
    <m/>
    <m/>
    <s v="S0357465"/>
  </r>
  <r>
    <x v="256"/>
    <n v="10000"/>
    <n v="20000"/>
    <d v="2025-03-10T00:00:00"/>
    <s v="502LAUGH"/>
    <s v=" 8:44:03 am"/>
    <n v="502200327"/>
    <m/>
    <x v="2"/>
    <s v="Yes"/>
    <n v="59"/>
    <s v="SANKI SD-300 Intermittent"/>
    <x v="2"/>
    <s v="PS74"/>
    <s v="GOH CHIN TECK"/>
    <n v="40500"/>
    <n v="1057.5"/>
    <n v="17.625"/>
    <d v="2025-03-06T00:00:00"/>
    <m/>
    <n v="18"/>
    <n v="729000"/>
    <s v="PE"/>
    <n v="7062420001"/>
    <n v="0"/>
    <n v="724500"/>
    <n v="4500"/>
    <n v="0"/>
    <n v="0"/>
    <n v="0"/>
    <m/>
    <m/>
    <n v="0"/>
    <m/>
    <m/>
    <m/>
    <m/>
    <m/>
    <m/>
    <m/>
    <m/>
    <s v="706242 INDEX07"/>
    <s v="V22000-DE"/>
    <s v="VARTA MICROBATTERY GMBH"/>
    <m/>
    <n v="0"/>
    <n v="0"/>
    <n v="0"/>
    <n v="0"/>
    <n v="0"/>
    <n v="0"/>
    <m/>
    <m/>
    <m/>
    <s v="No"/>
    <s v="W662415"/>
    <n v="0"/>
    <m/>
    <s v="V22000-DE"/>
    <m/>
    <m/>
    <s v="S0357493"/>
  </r>
  <r>
    <x v="257"/>
    <n v="10000"/>
    <n v="10000"/>
    <d v="2025-03-07T00:00:00"/>
    <s v="502LAUGH"/>
    <s v=" 8:31:53 am"/>
    <s v="4111520U5"/>
    <m/>
    <x v="2"/>
    <s v="Yes"/>
    <n v="22"/>
    <s v="FSK B100"/>
    <x v="2"/>
    <s v="PS13"/>
    <s v="YEE CHENG MENG"/>
    <n v="3000"/>
    <n v="105"/>
    <n v="1.75"/>
    <d v="2025-03-06T00:00:00"/>
    <m/>
    <n v="2"/>
    <n v="6000"/>
    <s v="PE"/>
    <s v="250-6220-000001"/>
    <n v="0"/>
    <n v="6000"/>
    <n v="0"/>
    <n v="0"/>
    <n v="0"/>
    <n v="0"/>
    <m/>
    <m/>
    <n v="0"/>
    <m/>
    <m/>
    <m/>
    <m/>
    <m/>
    <m/>
    <m/>
    <m/>
    <s v="250-6220-00"/>
    <s v="J10025-PHL-SG"/>
    <s v="JMS SINGAPORE PTE LTD"/>
    <m/>
    <n v="0"/>
    <n v="0"/>
    <n v="0"/>
    <n v="0"/>
    <n v="0"/>
    <n v="0"/>
    <m/>
    <m/>
    <m/>
    <s v="No"/>
    <s v="W662421"/>
    <n v="0"/>
    <m/>
    <s v="J10025-PHL-SG"/>
    <m/>
    <m/>
    <s v="S0357505"/>
  </r>
  <r>
    <x v="166"/>
    <n v="10000"/>
    <n v="30000"/>
    <d v="2025-03-06T00:00:00"/>
    <s v="502LAUGH"/>
    <d v="1899-12-30T12:49:44"/>
    <s v="4067S1"/>
    <m/>
    <x v="1"/>
    <s v="Yes"/>
    <n v="60"/>
    <s v="Fujishiko UDP-5000"/>
    <x v="3"/>
    <s v="PM30"/>
    <s v="OH KIAN YUAN"/>
    <n v="2000"/>
    <n v="85"/>
    <n v="1.4166666666666667"/>
    <d v="2025-03-06T00:00:00"/>
    <m/>
    <n v="1"/>
    <n v="2000"/>
    <s v="PE"/>
    <n v="1871210001"/>
    <n v="0"/>
    <n v="1000"/>
    <n v="1000"/>
    <n v="0"/>
    <n v="0"/>
    <n v="0"/>
    <m/>
    <m/>
    <n v="0"/>
    <m/>
    <m/>
    <m/>
    <m/>
    <m/>
    <m/>
    <m/>
    <m/>
    <n v="187121"/>
    <s v="P16186"/>
    <s v="PEPPERL+FUCHS ASIA PTE. LTD"/>
    <m/>
    <n v="0"/>
    <n v="0"/>
    <n v="0"/>
    <n v="0"/>
    <n v="0"/>
    <n v="0"/>
    <m/>
    <m/>
    <m/>
    <s v="No"/>
    <s v="W662203"/>
    <n v="0"/>
    <m/>
    <s v="P16186"/>
    <m/>
    <m/>
    <s v="S0357788"/>
  </r>
  <r>
    <x v="94"/>
    <n v="10000"/>
    <n v="60000"/>
    <d v="2025-03-07T00:00:00"/>
    <s v="502LAUGH"/>
    <s v=" 5:25:12 pm"/>
    <s v="BXB022-02"/>
    <m/>
    <x v="0"/>
    <s v="Yes"/>
    <n v="62"/>
    <s v="Fujishiko "/>
    <x v="3"/>
    <s v="PM48"/>
    <s v="CHAN TZYY XUAN"/>
    <n v="35000"/>
    <n v="745"/>
    <n v="12.416666666666666"/>
    <d v="2025-03-06T00:00:00"/>
    <m/>
    <n v="1"/>
    <n v="35000"/>
    <s v="PE"/>
    <s v="Y00-0000928-000001"/>
    <n v="0"/>
    <n v="35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2433"/>
    <n v="0"/>
    <m/>
    <s v="F06170-JIANGSU"/>
    <m/>
    <m/>
    <s v="S0357841"/>
  </r>
  <r>
    <x v="258"/>
    <n v="10000"/>
    <n v="30000"/>
    <d v="2025-03-07T00:00:00"/>
    <s v="502LAUGH"/>
    <s v=" 8:52:23 am"/>
    <s v="10639931089/10639931091/10639931092"/>
    <m/>
    <x v="1"/>
    <s v="Yes"/>
    <n v="85"/>
    <s v="Luster AOI"/>
    <x v="1"/>
    <s v="QM78"/>
    <s v="WONG SEAU JIN"/>
    <n v="20000"/>
    <m/>
    <m/>
    <d v="2025-03-06T00:00:00"/>
    <m/>
    <n v="11"/>
    <n v="220000"/>
    <s v="PE"/>
    <s v="CH561-80124-FT0001"/>
    <n v="0"/>
    <n v="200000"/>
    <n v="2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2436"/>
    <n v="0"/>
    <m/>
    <s v="H08031-JIM-M"/>
    <m/>
    <m/>
    <s v="S0358005"/>
  </r>
  <r>
    <x v="259"/>
    <n v="10000"/>
    <n v="30000"/>
    <d v="2025-03-07T00:00:00"/>
    <s v="502LAUGH"/>
    <s v=" 8:49:31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2497"/>
    <n v="0"/>
    <m/>
    <s v="H08031-JIM-M"/>
    <m/>
    <m/>
    <s v="S0358031"/>
  </r>
  <r>
    <x v="260"/>
    <n v="10000"/>
    <n v="30000"/>
    <d v="2025-03-07T00:00:00"/>
    <s v="502LAUGH"/>
    <s v=" 8:53:18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2502"/>
    <n v="0"/>
    <m/>
    <s v="H08031-JIM-M"/>
    <m/>
    <m/>
    <s v="S0358299"/>
  </r>
  <r>
    <x v="261"/>
    <n v="10000"/>
    <n v="30000"/>
    <d v="2025-03-07T00:00:00"/>
    <s v="502LAUGH"/>
    <s v=" 8:48:28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2438"/>
    <n v="0"/>
    <m/>
    <s v="H08031-JIM-M"/>
    <m/>
    <m/>
    <s v="S0358300"/>
  </r>
  <r>
    <x v="262"/>
    <n v="10000"/>
    <n v="30000"/>
    <d v="2025-03-07T00:00:00"/>
    <s v="502LAUGH"/>
    <s v=" 8:54:10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2524"/>
    <n v="0"/>
    <m/>
    <s v="H08031-JIM-M"/>
    <m/>
    <m/>
    <s v="S0358301"/>
  </r>
  <r>
    <x v="263"/>
    <n v="10000"/>
    <n v="30000"/>
    <d v="2025-03-07T00:00:00"/>
    <s v="502LAUGH"/>
    <s v=" 8:46:12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N9K06-80021-FT0001"/>
    <n v="0"/>
    <n v="60000"/>
    <n v="5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2525"/>
    <n v="0"/>
    <m/>
    <s v="H08031-JIM-M"/>
    <m/>
    <m/>
    <s v="S0358302"/>
  </r>
  <r>
    <x v="264"/>
    <n v="10000"/>
    <n v="30000"/>
    <d v="2025-03-07T00:00:00"/>
    <s v="502LAUGH"/>
    <s v=" 8:47:31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2439"/>
    <n v="0"/>
    <m/>
    <s v="H08031-JIM-M"/>
    <m/>
    <m/>
    <s v="S0358303"/>
  </r>
  <r>
    <x v="265"/>
    <n v="10000"/>
    <n v="30000"/>
    <d v="2025-03-07T00:00:00"/>
    <s v="502LAUGH"/>
    <s v=" 8:50:32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2526"/>
    <n v="0"/>
    <m/>
    <s v="H08031-JIM-M"/>
    <m/>
    <m/>
    <s v="S0358305"/>
  </r>
  <r>
    <x v="266"/>
    <n v="10000"/>
    <n v="30000"/>
    <d v="2025-03-07T00:00:00"/>
    <s v="502LAUGH"/>
    <s v=" 8:51:20 am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2527"/>
    <n v="0"/>
    <m/>
    <s v="H08031-JIM-M"/>
    <m/>
    <m/>
    <s v="S0358306"/>
  </r>
  <r>
    <x v="267"/>
    <n v="10000"/>
    <n v="30000"/>
    <d v="2025-03-10T00:00:00"/>
    <s v="502LAUGH"/>
    <d v="1899-12-30T10:07:27"/>
    <s v="10639931089/10639931091/10639931092"/>
    <m/>
    <x v="1"/>
    <s v="Yes"/>
    <n v="85"/>
    <s v="Luster AOI"/>
    <x v="1"/>
    <s v="QM78"/>
    <s v="WONG SEAU JIN"/>
    <n v="10000"/>
    <m/>
    <m/>
    <d v="2025-03-06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62528"/>
    <n v="0"/>
    <m/>
    <s v="H08031-JIM-M"/>
    <m/>
    <m/>
    <s v="S0358307"/>
  </r>
  <r>
    <x v="268"/>
    <n v="10000"/>
    <n v="10000"/>
    <d v="2025-03-06T00:00:00"/>
    <s v="502LAUGH"/>
    <s v=" 8:56:01 am"/>
    <s v="4067S1"/>
    <m/>
    <x v="2"/>
    <s v="Yes"/>
    <n v="59"/>
    <s v="SANKI SD-300 Intermittent"/>
    <x v="2"/>
    <s v="PS74"/>
    <s v="GOH CHIN TECK"/>
    <n v="500"/>
    <n v="57.5"/>
    <n v="0.95833333333333337"/>
    <d v="2025-03-06T00:00:00"/>
    <m/>
    <n v="2"/>
    <n v="1000"/>
    <s v="PE"/>
    <s v="806777 REV4010001"/>
    <n v="0"/>
    <n v="1000"/>
    <n v="0"/>
    <n v="0"/>
    <n v="0"/>
    <n v="0"/>
    <m/>
    <m/>
    <n v="0"/>
    <m/>
    <m/>
    <m/>
    <m/>
    <m/>
    <m/>
    <m/>
    <m/>
    <s v="806777 REV401"/>
    <s v="V22000"/>
    <s v="PT VARTA MICROBATTERY INDONESIA"/>
    <m/>
    <n v="0"/>
    <n v="0"/>
    <n v="0"/>
    <n v="0"/>
    <n v="0"/>
    <n v="0"/>
    <m/>
    <m/>
    <m/>
    <s v="No"/>
    <s v="W662441"/>
    <n v="0"/>
    <m/>
    <s v="V22000"/>
    <m/>
    <m/>
    <s v="S0358335"/>
  </r>
  <r>
    <x v="269"/>
    <n v="10000"/>
    <n v="10000"/>
    <d v="2025-03-10T00:00:00"/>
    <s v="502LAUGH"/>
    <d v="1899-12-30T10:09:57"/>
    <s v="E0425913/M0BSQ4460"/>
    <m/>
    <x v="2"/>
    <s v="Yes"/>
    <n v="87"/>
    <s v="SYSCO"/>
    <x v="3"/>
    <s v="PM14"/>
    <s v="GOH CHEN YONG"/>
    <n v="20250"/>
    <m/>
    <m/>
    <d v="2025-03-06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767"/>
    <n v="0"/>
    <m/>
    <s v="S19081-TH"/>
    <m/>
    <m/>
    <s v="H0064627"/>
  </r>
  <r>
    <x v="270"/>
    <n v="10000"/>
    <n v="10000"/>
    <d v="2025-03-07T00:00:00"/>
    <s v="502LAUGH"/>
    <s v=" 5:22:54 pm"/>
    <n v="234402"/>
    <m/>
    <x v="2"/>
    <s v="Yes"/>
    <n v="90"/>
    <s v="HDS"/>
    <x v="3"/>
    <s v="PM35"/>
    <s v="TAN MIN KANG"/>
    <n v="1167"/>
    <n v="103.35"/>
    <n v="1.7224999999999999"/>
    <d v="2025-03-06T00:00:00"/>
    <m/>
    <n v="180"/>
    <n v="210060"/>
    <s v="PE"/>
    <s v="1113-550-00020 R0001"/>
    <n v="0"/>
    <n v="210000"/>
    <n v="6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2533"/>
    <n v="0"/>
    <m/>
    <s v="M13337-SMD"/>
    <m/>
    <m/>
    <s v="S0358392"/>
  </r>
  <r>
    <x v="271"/>
    <n v="10000"/>
    <n v="10000"/>
    <d v="2025-03-07T00:00:00"/>
    <s v="502LAUGH"/>
    <s v=" 8:37:21 am"/>
    <s v="BYK066-02/0038-1234-2"/>
    <m/>
    <x v="2"/>
    <s v="Yes"/>
    <n v="60"/>
    <s v="Fujishiko UDP-5000"/>
    <x v="3"/>
    <s v="PM30"/>
    <s v="OH KIAN YUAN"/>
    <n v="10000"/>
    <n v="245"/>
    <n v="4.083333333333333"/>
    <d v="2025-03-06T00:00:00"/>
    <m/>
    <n v="1"/>
    <n v="10000"/>
    <s v="PE"/>
    <s v="ROUND LABEL-73MM0001"/>
    <n v="0"/>
    <n v="10000"/>
    <n v="0"/>
    <n v="0"/>
    <n v="0"/>
    <n v="0"/>
    <m/>
    <m/>
    <n v="0"/>
    <m/>
    <m/>
    <m/>
    <m/>
    <m/>
    <m/>
    <m/>
    <m/>
    <s v="ADV6014B"/>
    <s v="M13518"/>
    <s v="MECBA TECHNOLOGY (S) PTE LTD"/>
    <m/>
    <n v="0"/>
    <n v="0"/>
    <n v="0"/>
    <n v="0"/>
    <n v="0"/>
    <n v="0"/>
    <m/>
    <m/>
    <m/>
    <s v="No"/>
    <s v="W662538"/>
    <n v="0"/>
    <m/>
    <s v="M13518"/>
    <m/>
    <m/>
    <s v="S0358439"/>
  </r>
  <r>
    <x v="272"/>
    <n v="10000"/>
    <n v="20000"/>
    <d v="2025-03-07T00:00:00"/>
    <s v="502LAUGH"/>
    <s v=" 5:12:30 pm"/>
    <s v="404112548/4071802U5"/>
    <m/>
    <x v="2"/>
    <s v="Yes"/>
    <n v="78"/>
    <s v="Baby Sanki"/>
    <x v="2"/>
    <s v="PM84"/>
    <s v="TAN TAI TOH"/>
    <n v="25000"/>
    <n v="670"/>
    <n v="11.166666666666666"/>
    <d v="2025-03-06T00:00:00"/>
    <m/>
    <n v="2"/>
    <n v="50000"/>
    <s v="PE"/>
    <s v="810808 INDEX4010001"/>
    <n v="0"/>
    <n v="50000"/>
    <n v="0"/>
    <n v="0"/>
    <n v="0"/>
    <n v="0"/>
    <m/>
    <m/>
    <n v="0"/>
    <m/>
    <m/>
    <m/>
    <m/>
    <m/>
    <m/>
    <m/>
    <m/>
    <s v="810808 INDEX401"/>
    <s v="V22000"/>
    <s v="PT VARTA MICROBATTERY INDONESIA"/>
    <m/>
    <n v="0"/>
    <n v="0"/>
    <n v="0"/>
    <n v="0"/>
    <n v="0"/>
    <n v="0"/>
    <m/>
    <m/>
    <m/>
    <s v="No"/>
    <s v="W662539"/>
    <n v="0"/>
    <m/>
    <s v="V22000"/>
    <m/>
    <m/>
    <s v="S0358443"/>
  </r>
  <r>
    <x v="273"/>
    <n v="10000"/>
    <n v="10000"/>
    <d v="2025-03-11T00:00:00"/>
    <s v="502LAUGH"/>
    <d v="1899-12-30T11:22:40"/>
    <n v="10620258028"/>
    <m/>
    <x v="2"/>
    <s v="Yes"/>
    <n v="79"/>
    <s v="HP Indigo 6800"/>
    <x v="4"/>
    <s v="PM16"/>
    <s v="TEO KAH JUN"/>
    <n v="398"/>
    <n v="49.9"/>
    <n v="0.83166666666666667"/>
    <d v="2025-03-06T00:00:00"/>
    <m/>
    <n v="297"/>
    <n v="118206"/>
    <s v="PE"/>
    <s v="F6V26-80017-FT0001"/>
    <n v="0"/>
    <n v="100000"/>
    <n v="18206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2772"/>
    <n v="0"/>
    <m/>
    <s v="H08031-JIM-M"/>
    <m/>
    <m/>
    <s v="S0358462"/>
  </r>
  <r>
    <x v="274"/>
    <n v="10000"/>
    <n v="10000"/>
    <d v="2025-03-11T00:00:00"/>
    <s v="502LAUGH"/>
    <s v=" 3:48:55 pm"/>
    <n v="10620258028"/>
    <m/>
    <x v="2"/>
    <s v="Yes"/>
    <n v="79"/>
    <s v="HP Indigo 6800"/>
    <x v="4"/>
    <s v="PM16"/>
    <s v="TEO KAH JUN"/>
    <n v="398"/>
    <n v="49.9"/>
    <n v="0.83166666666666667"/>
    <d v="2025-03-06T00:00:00"/>
    <m/>
    <n v="297"/>
    <n v="118206"/>
    <s v="PE"/>
    <s v="N9K05-80021-FT0001"/>
    <n v="0"/>
    <n v="100000"/>
    <n v="18206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43"/>
    <n v="0"/>
    <m/>
    <s v="H08031-JIM-M"/>
    <m/>
    <m/>
    <s v="S0358464"/>
  </r>
  <r>
    <x v="275"/>
    <n v="10000"/>
    <n v="20000"/>
    <d v="2025-03-07T00:00:00"/>
    <s v="502LAUGH"/>
    <s v=" 9:06:29 am"/>
    <s v="E04JO6403"/>
    <m/>
    <x v="2"/>
    <s v="Yes"/>
    <n v="94"/>
    <s v="Taiyo"/>
    <x v="2"/>
    <s v="PM09"/>
    <s v="PANG JING FULL"/>
    <n v="10000"/>
    <m/>
    <m/>
    <d v="2025-03-06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2977"/>
    <n v="0"/>
    <m/>
    <s v="W23041-TH"/>
    <m/>
    <m/>
    <s v="H0064635"/>
  </r>
  <r>
    <x v="276"/>
    <n v="10000"/>
    <n v="10000"/>
    <d v="2025-03-10T00:00:00"/>
    <s v="502LAUGH"/>
    <d v="1899-12-30T10:09:09"/>
    <s v="M4B4603BGJBJ211-S249100174/E0926912"/>
    <m/>
    <x v="2"/>
    <s v="Yes"/>
    <n v="75"/>
    <s v="HDS 3"/>
    <x v="3"/>
    <s v="QC04"/>
    <s v="YANG TONGJING"/>
    <n v="21539"/>
    <m/>
    <m/>
    <d v="2025-03-06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2547"/>
    <n v="0"/>
    <m/>
    <s v="S19081-TH"/>
    <m/>
    <m/>
    <s v="H0064643"/>
  </r>
  <r>
    <x v="277"/>
    <n v="10000"/>
    <n v="10000"/>
    <d v="2025-03-06T00:00:00"/>
    <s v="502LAUGH"/>
    <d v="1899-12-30T12:54:30"/>
    <s v="4111520U5"/>
    <m/>
    <x v="2"/>
    <s v="Yes"/>
    <n v="22"/>
    <s v="FSK B100"/>
    <x v="2"/>
    <s v="PS13"/>
    <s v="YEE CHENG MENG"/>
    <n v="3500"/>
    <n v="115"/>
    <n v="1.9166666666666667"/>
    <d v="2025-03-06T00:00:00"/>
    <m/>
    <n v="2"/>
    <n v="7000"/>
    <s v="PE"/>
    <s v="260-6603-000001"/>
    <n v="0"/>
    <n v="7000"/>
    <n v="0"/>
    <n v="0"/>
    <n v="0"/>
    <n v="0"/>
    <m/>
    <m/>
    <n v="0"/>
    <m/>
    <m/>
    <m/>
    <m/>
    <m/>
    <m/>
    <m/>
    <m/>
    <s v="260-6603-00"/>
    <s v="J10025"/>
    <s v="JMS SINGAPORE PTE LTD"/>
    <m/>
    <n v="0"/>
    <n v="0"/>
    <n v="0"/>
    <n v="0"/>
    <n v="0"/>
    <n v="0"/>
    <m/>
    <m/>
    <m/>
    <s v="No"/>
    <s v="W662549"/>
    <n v="0"/>
    <m/>
    <s v="J10025"/>
    <m/>
    <m/>
    <s v="S0358484"/>
  </r>
  <r>
    <x v="278"/>
    <n v="10000"/>
    <n v="10000"/>
    <d v="2025-03-06T00:00:00"/>
    <s v="502LAUGH"/>
    <s v=" 2:29:44 pm"/>
    <s v="4111520U5"/>
    <m/>
    <x v="2"/>
    <s v="Yes"/>
    <n v="22"/>
    <s v="FSK B100"/>
    <x v="2"/>
    <s v="PS13"/>
    <s v="YEE CHENG MENG"/>
    <n v="3500"/>
    <n v="115"/>
    <n v="1.9166666666666667"/>
    <d v="2025-03-06T00:00:00"/>
    <m/>
    <n v="2"/>
    <n v="7000"/>
    <s v="PE"/>
    <s v="260-6605-000001"/>
    <n v="0"/>
    <n v="7000"/>
    <n v="0"/>
    <n v="0"/>
    <n v="0"/>
    <n v="0"/>
    <m/>
    <m/>
    <n v="0"/>
    <m/>
    <m/>
    <m/>
    <m/>
    <m/>
    <m/>
    <m/>
    <m/>
    <s v="260-6605-00"/>
    <s v="J10025"/>
    <s v="JMS SINGAPORE PTE LTD"/>
    <m/>
    <n v="0"/>
    <n v="0"/>
    <n v="0"/>
    <n v="0"/>
    <n v="0"/>
    <n v="0"/>
    <m/>
    <m/>
    <m/>
    <s v="No"/>
    <s v="W662551"/>
    <n v="0"/>
    <m/>
    <s v="J10025"/>
    <m/>
    <m/>
    <s v="S0358484"/>
  </r>
  <r>
    <x v="279"/>
    <n v="10000"/>
    <n v="10000"/>
    <d v="2025-03-06T00:00:00"/>
    <s v="502LAUGH"/>
    <s v=" 4:18:10 pm"/>
    <s v="4111520U5"/>
    <m/>
    <x v="2"/>
    <s v="Yes"/>
    <n v="22"/>
    <s v="FSK B100"/>
    <x v="2"/>
    <s v="PS13"/>
    <s v="YEE CHENG MENG"/>
    <n v="3500"/>
    <n v="115"/>
    <n v="1.9166666666666667"/>
    <d v="2025-03-06T00:00:00"/>
    <m/>
    <n v="2"/>
    <n v="7000"/>
    <s v="PE"/>
    <s v="260-6606-000001"/>
    <n v="0"/>
    <n v="7000"/>
    <n v="0"/>
    <n v="0"/>
    <n v="0"/>
    <n v="0"/>
    <m/>
    <m/>
    <n v="0"/>
    <m/>
    <m/>
    <m/>
    <m/>
    <m/>
    <m/>
    <m/>
    <m/>
    <s v="260-6606-00"/>
    <s v="J10025"/>
    <s v="JMS SINGAPORE PTE LTD"/>
    <m/>
    <n v="0"/>
    <n v="0"/>
    <n v="0"/>
    <n v="0"/>
    <n v="0"/>
    <n v="0"/>
    <m/>
    <m/>
    <m/>
    <s v="No"/>
    <s v="W662552"/>
    <n v="0"/>
    <m/>
    <s v="J10025"/>
    <m/>
    <m/>
    <s v="S0358484"/>
  </r>
  <r>
    <x v="280"/>
    <n v="10000"/>
    <n v="10000"/>
    <d v="2025-03-07T00:00:00"/>
    <s v="502LAUGH"/>
    <s v=" 8:38:34 am"/>
    <s v="U522458002"/>
    <m/>
    <x v="2"/>
    <s v="Yes"/>
    <n v="93"/>
    <s v="HP Indigo 6900"/>
    <x v="4"/>
    <s v="PM17"/>
    <s v="NG SWEE CHEA"/>
    <n v="1400"/>
    <n v="100"/>
    <n v="1.6666666666666667"/>
    <d v="2025-03-06T00:00:00"/>
    <m/>
    <n v="3"/>
    <n v="4200"/>
    <s v="PE"/>
    <s v="STSS-PACKET0001"/>
    <n v="0"/>
    <n v="2600"/>
    <n v="160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62565"/>
    <n v="0"/>
    <m/>
    <s v="T20300"/>
    <m/>
    <m/>
    <s v="S0358494"/>
  </r>
  <r>
    <x v="280"/>
    <n v="10000"/>
    <n v="20000"/>
    <d v="2025-03-07T00:00:00"/>
    <s v="502LAUGH"/>
    <s v=" 8:38:34 am"/>
    <s v="U522458002"/>
    <m/>
    <x v="0"/>
    <s v="Yes"/>
    <n v="92"/>
    <s v="Polly Digital Cut"/>
    <x v="6"/>
    <s v="PM87"/>
    <s v="LEE SHIEN WEI"/>
    <n v="3000"/>
    <m/>
    <m/>
    <d v="2025-03-06T00:00:00"/>
    <m/>
    <n v="1"/>
    <n v="3000"/>
    <s v="PE"/>
    <s v="STSS-PACKET0001"/>
    <n v="0"/>
    <n v="2600"/>
    <n v="40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62565"/>
    <n v="0"/>
    <m/>
    <s v="T20300"/>
    <m/>
    <m/>
    <s v="S0358494"/>
  </r>
  <r>
    <x v="281"/>
    <n v="10000"/>
    <n v="10000"/>
    <d v="2025-03-11T00:00:00"/>
    <s v="502LAUGH"/>
    <s v=" 9:33:10 am"/>
    <s v="T0AF1219072"/>
    <m/>
    <x v="2"/>
    <s v="Yes"/>
    <n v="78"/>
    <s v="Baby Sanki"/>
    <x v="2"/>
    <s v="PM84"/>
    <s v="TAN TAI TOH"/>
    <n v="2750"/>
    <n v="113.75"/>
    <n v="1.8958333333333333"/>
    <d v="2025-03-06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62585"/>
    <n v="0"/>
    <m/>
    <s v="S19314"/>
    <m/>
    <m/>
    <s v="H0064656"/>
  </r>
  <r>
    <x v="282"/>
    <n v="10000"/>
    <n v="20000"/>
    <d v="2025-03-07T00:00:00"/>
    <s v="502LAUGH"/>
    <s v=" 5:19:07 pm"/>
    <s v="T0AF1219072"/>
    <m/>
    <x v="2"/>
    <s v="Yes"/>
    <n v="78"/>
    <s v="Baby Sanki"/>
    <x v="2"/>
    <s v="PM84"/>
    <s v="TAN TAI TOH"/>
    <n v="5500"/>
    <n v="182.5"/>
    <n v="3.0416666666666665"/>
    <d v="2025-03-06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2586"/>
    <n v="0"/>
    <m/>
    <s v="S19314"/>
    <m/>
    <m/>
    <s v="H0064658"/>
  </r>
  <r>
    <x v="282"/>
    <n v="10000"/>
    <n v="30000"/>
    <d v="2025-03-07T00:00:00"/>
    <s v="502LAUGH"/>
    <s v=" 5:19:07 pm"/>
    <s v="T0AF1219072"/>
    <m/>
    <x v="0"/>
    <s v="Yes"/>
    <n v="63"/>
    <s v="SANKI"/>
    <x v="3"/>
    <s v="PMJ0"/>
    <s v="KOR CHEW OR"/>
    <n v="5000"/>
    <n v="170"/>
    <n v="2.8333333333333335"/>
    <d v="2025-03-06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2586"/>
    <n v="0"/>
    <m/>
    <s v="S19314"/>
    <m/>
    <m/>
    <s v="H0064658"/>
  </r>
  <r>
    <x v="61"/>
    <n v="10000"/>
    <n v="30000"/>
    <d v="2025-03-07T00:00:00"/>
    <s v="502LAUGH"/>
    <s v=" 8:35:36 am"/>
    <s v="U462452089/SG-5553119"/>
    <m/>
    <x v="1"/>
    <s v="Yes"/>
    <n v="12"/>
    <s v="FSK SR520"/>
    <x v="2"/>
    <s v="PP05"/>
    <s v="WONG KIM FATT"/>
    <n v="1500"/>
    <n v="75"/>
    <n v="1.25"/>
    <d v="2025-03-06T00:00:00"/>
    <m/>
    <n v="2"/>
    <n v="3000"/>
    <s v="PE"/>
    <s v="R370-4910001"/>
    <n v="0"/>
    <n v="3000"/>
    <n v="0"/>
    <n v="0"/>
    <n v="0"/>
    <n v="0"/>
    <m/>
    <m/>
    <n v="0"/>
    <m/>
    <m/>
    <m/>
    <m/>
    <m/>
    <m/>
    <m/>
    <m/>
    <s v="R370-491"/>
    <s v="R18131"/>
    <s v="RESMED ASIA PTE LTD"/>
    <m/>
    <n v="0"/>
    <n v="0"/>
    <n v="0"/>
    <n v="0"/>
    <n v="0"/>
    <n v="0"/>
    <m/>
    <m/>
    <m/>
    <s v="No"/>
    <s v="W662588"/>
    <n v="0"/>
    <m/>
    <s v="R18131"/>
    <m/>
    <m/>
    <s v="S0359016"/>
  </r>
  <r>
    <x v="189"/>
    <n v="10000"/>
    <n v="20000"/>
    <d v="2025-03-06T00:00:00"/>
    <s v="502LAUGH"/>
    <d v="1899-12-30T12:52:31"/>
    <s v="4275S1"/>
    <m/>
    <x v="0"/>
    <s v="Yes"/>
    <s v="ZC53"/>
    <s v="Zebra"/>
    <x v="4"/>
    <s v="PP24"/>
    <s v="HO HON SENG"/>
    <n v="2000"/>
    <m/>
    <m/>
    <d v="2025-03-06T00:00:00"/>
    <m/>
    <n v="1"/>
    <n v="2000"/>
    <s v="PE"/>
    <s v="2X0.8-3M78710001"/>
    <n v="0"/>
    <n v="500"/>
    <n v="1500"/>
    <n v="0"/>
    <n v="0"/>
    <n v="0"/>
    <m/>
    <m/>
    <n v="0"/>
    <m/>
    <m/>
    <m/>
    <m/>
    <m/>
    <m/>
    <m/>
    <m/>
    <s v="2X0.8-3M7871"/>
    <s v="R18111"/>
    <s v="RAYCODE TECHNOLOGIES PTE LTD"/>
    <m/>
    <n v="0"/>
    <n v="0"/>
    <n v="0"/>
    <n v="0"/>
    <n v="0"/>
    <n v="0"/>
    <m/>
    <m/>
    <m/>
    <s v="No"/>
    <s v="W662590"/>
    <n v="0"/>
    <m/>
    <s v="R18111"/>
    <m/>
    <m/>
    <s v="S0359025"/>
  </r>
  <r>
    <x v="283"/>
    <n v="10000"/>
    <n v="20000"/>
    <d v="2025-03-10T00:00:00"/>
    <s v="502LAUGH"/>
    <d v="1899-12-30T11:22:33"/>
    <s v="43215A027"/>
    <m/>
    <x v="0"/>
    <s v="Yes"/>
    <n v="100"/>
    <s v="Vorey Digital Cut"/>
    <x v="6"/>
    <s v="PM87"/>
    <s v="LEE SHIEN WEI"/>
    <n v="5200"/>
    <m/>
    <m/>
    <d v="2025-03-06T00:00:00"/>
    <m/>
    <n v="3"/>
    <n v="15600"/>
    <s v="PE"/>
    <s v="PREMIUM LABEL0001"/>
    <n v="0"/>
    <n v="15000"/>
    <n v="600"/>
    <n v="0"/>
    <n v="0"/>
    <n v="0"/>
    <m/>
    <m/>
    <n v="0"/>
    <m/>
    <m/>
    <m/>
    <m/>
    <m/>
    <m/>
    <m/>
    <m/>
    <s v="PREMIUM LABEL"/>
    <s v="V22073"/>
    <s v="V TWO INTERNATIONAL PTE LTD"/>
    <m/>
    <n v="0"/>
    <n v="0"/>
    <n v="0"/>
    <n v="0"/>
    <n v="0"/>
    <n v="0"/>
    <m/>
    <m/>
    <m/>
    <s v="No"/>
    <s v="W662591"/>
    <n v="0"/>
    <m/>
    <s v="V22073"/>
    <m/>
    <m/>
    <s v="S0359026"/>
  </r>
  <r>
    <x v="284"/>
    <n v="10000"/>
    <n v="10000"/>
    <d v="2025-03-11T00:00:00"/>
    <s v="502LAUGH"/>
    <s v=" 8:43:56 am"/>
    <s v="U522458002"/>
    <m/>
    <x v="2"/>
    <s v="Yes"/>
    <n v="72"/>
    <s v="Xeikon 3500"/>
    <x v="4"/>
    <s v="PM17"/>
    <s v="NG SWEE CHEA"/>
    <n v="5000"/>
    <m/>
    <m/>
    <d v="2025-03-06T00:00:00"/>
    <m/>
    <n v="12"/>
    <n v="60000"/>
    <s v="PE"/>
    <s v="CHECKED0001"/>
    <n v="0"/>
    <n v="50000"/>
    <n v="10000"/>
    <n v="0"/>
    <n v="0"/>
    <n v="0"/>
    <m/>
    <m/>
    <n v="0"/>
    <m/>
    <m/>
    <m/>
    <m/>
    <m/>
    <m/>
    <m/>
    <m/>
    <s v="CHECKED"/>
    <s v="S19337"/>
    <s v="ST LOGISTICS PTE LTD"/>
    <m/>
    <n v="0"/>
    <n v="0"/>
    <n v="0"/>
    <n v="0"/>
    <n v="0"/>
    <n v="0"/>
    <m/>
    <m/>
    <m/>
    <s v="No"/>
    <s v="W662597"/>
    <n v="0"/>
    <m/>
    <s v="S19337"/>
    <m/>
    <m/>
    <s v="S0359163"/>
  </r>
  <r>
    <x v="285"/>
    <n v="10000"/>
    <n v="10000"/>
    <d v="2025-03-06T00:00:00"/>
    <s v="502LAUGH"/>
    <s v=" 1:33:30 pm"/>
    <n v="405172525"/>
    <m/>
    <x v="2"/>
    <s v="Yes"/>
    <n v="12"/>
    <s v="FSK SR520"/>
    <x v="2"/>
    <s v="PP05"/>
    <s v="WONG KIM FATT"/>
    <n v="250"/>
    <n v="50"/>
    <n v="0.83333333333333337"/>
    <d v="2025-03-06T00:00:00"/>
    <m/>
    <n v="4"/>
    <n v="1000"/>
    <s v="PE"/>
    <s v="T9048DG0001"/>
    <n v="0"/>
    <n v="1000"/>
    <n v="0"/>
    <n v="0"/>
    <n v="0"/>
    <n v="0"/>
    <m/>
    <m/>
    <n v="0"/>
    <m/>
    <m/>
    <m/>
    <m/>
    <m/>
    <m/>
    <m/>
    <m/>
    <s v="T9048DG"/>
    <s v="Y25022"/>
    <s v="YOKOGAWA ELECTRIC ASIA PTE LTD"/>
    <m/>
    <n v="0"/>
    <n v="0"/>
    <n v="0"/>
    <n v="0"/>
    <n v="0"/>
    <n v="0"/>
    <m/>
    <m/>
    <m/>
    <s v="No"/>
    <s v="W662598"/>
    <n v="0"/>
    <m/>
    <s v="Y25022"/>
    <m/>
    <m/>
    <s v="S0359164"/>
  </r>
  <r>
    <x v="286"/>
    <n v="10000"/>
    <n v="20000"/>
    <d v="2025-03-06T00:00:00"/>
    <s v="502LAUGH"/>
    <s v=" 3:03:13 pm"/>
    <s v="T09UF72101525"/>
    <m/>
    <x v="0"/>
    <s v="Yes"/>
    <n v="105"/>
    <s v="Laser"/>
    <x v="5"/>
    <s v="PM87"/>
    <s v="LEE SHIEN WEI"/>
    <n v="100"/>
    <m/>
    <m/>
    <d v="2025-03-06T00:00:00"/>
    <m/>
    <n v="1"/>
    <n v="100"/>
    <s v="PE"/>
    <s v="T8-S-309718-R0001"/>
    <n v="0"/>
    <n v="50"/>
    <n v="5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2603"/>
    <n v="0"/>
    <m/>
    <s v="G07042"/>
    <m/>
    <m/>
    <s v="ZSA101747"/>
  </r>
  <r>
    <x v="191"/>
    <n v="10000"/>
    <n v="20000"/>
    <d v="2025-03-06T00:00:00"/>
    <s v="502LAUGH"/>
    <s v=" 1:34:44 pm"/>
    <n v="501222196"/>
    <m/>
    <x v="0"/>
    <s v="Yes"/>
    <n v="71"/>
    <s v="POLLY"/>
    <x v="3"/>
    <s v="PS95"/>
    <s v="LIM CHENG LEONG"/>
    <n v="2225"/>
    <m/>
    <m/>
    <d v="2025-03-06T00:00:00"/>
    <m/>
    <n v="1"/>
    <n v="2225"/>
    <s v="PE"/>
    <s v="LBL-DELTAMETHRIN0001"/>
    <n v="0"/>
    <n v="2020"/>
    <n v="205"/>
    <n v="0"/>
    <n v="0"/>
    <n v="0"/>
    <m/>
    <m/>
    <n v="0"/>
    <m/>
    <m/>
    <m/>
    <m/>
    <m/>
    <m/>
    <m/>
    <m/>
    <s v="LBL-DELTAMETHRIN 1.5"/>
    <s v="A01248"/>
    <s v="ASIATIC AGRICULTURAL INDUSTRIES PTE LTD"/>
    <m/>
    <n v="0"/>
    <n v="0"/>
    <n v="0"/>
    <n v="0"/>
    <n v="0"/>
    <n v="0"/>
    <m/>
    <m/>
    <m/>
    <s v="No"/>
    <s v="W662605"/>
    <n v="0"/>
    <m/>
    <s v="A01248"/>
    <m/>
    <m/>
    <s v="S0359220"/>
  </r>
  <r>
    <x v="287"/>
    <n v="10000"/>
    <n v="10000"/>
    <d v="2025-03-07T00:00:00"/>
    <s v="502LAUGH"/>
    <s v=" 8:55:41 am"/>
    <s v="U530352047/501241326"/>
    <m/>
    <x v="2"/>
    <s v="Yes"/>
    <n v="32"/>
    <s v="Lintec Intermittent"/>
    <x v="2"/>
    <s v="PM26"/>
    <s v="TAN AIK KEONG"/>
    <n v="5860"/>
    <m/>
    <m/>
    <d v="2025-03-0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991"/>
    <n v="0"/>
    <m/>
    <s v="J10025"/>
    <m/>
    <m/>
    <s v="S0359222"/>
  </r>
  <r>
    <x v="288"/>
    <n v="10000"/>
    <n v="10000"/>
    <d v="2025-03-07T00:00:00"/>
    <s v="502LAUGH"/>
    <s v=" 8:55:41 am"/>
    <s v="U530352047/501241326"/>
    <m/>
    <x v="2"/>
    <s v="Yes"/>
    <n v="32"/>
    <s v="Lintec Intermittent"/>
    <x v="2"/>
    <s v="PM26"/>
    <s v="TAN AIK KEONG"/>
    <n v="5860"/>
    <m/>
    <m/>
    <d v="2025-03-0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995"/>
    <n v="0"/>
    <m/>
    <s v="J10025"/>
    <m/>
    <m/>
    <s v="S0359223"/>
  </r>
  <r>
    <x v="289"/>
    <n v="10000"/>
    <n v="10000"/>
    <d v="2025-03-07T00:00:00"/>
    <s v="502LAUGH"/>
    <s v=" 8:55:41 am"/>
    <s v="U530352047/501241326"/>
    <m/>
    <x v="2"/>
    <s v="Yes"/>
    <n v="32"/>
    <s v="Lintec Intermittent"/>
    <x v="2"/>
    <s v="PM26"/>
    <s v="TAN AIK KEONG"/>
    <n v="5860"/>
    <m/>
    <m/>
    <d v="2025-03-0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2999"/>
    <n v="0"/>
    <m/>
    <s v="J10025"/>
    <m/>
    <m/>
    <s v="S0359224"/>
  </r>
  <r>
    <x v="194"/>
    <n v="10000"/>
    <n v="20000"/>
    <d v="2025-03-07T00:00:00"/>
    <s v="502LAUGH"/>
    <d v="1899-12-30T11:22:35"/>
    <s v="U4B1958052"/>
    <m/>
    <x v="0"/>
    <s v="Yes"/>
    <n v="71"/>
    <s v="POLLY"/>
    <x v="3"/>
    <s v="PS95"/>
    <s v="LIM CHENG LEONG"/>
    <n v="16810"/>
    <m/>
    <m/>
    <d v="2025-03-06T00:00:00"/>
    <m/>
    <n v="1"/>
    <n v="16810"/>
    <s v="PE"/>
    <s v="SIGA-1000 ML0001"/>
    <n v="0"/>
    <n v="15520"/>
    <n v="1290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2606"/>
    <n v="0"/>
    <m/>
    <s v="A01248"/>
    <m/>
    <m/>
    <s v="S0359229"/>
  </r>
  <r>
    <x v="195"/>
    <n v="10000"/>
    <n v="20000"/>
    <d v="2025-03-06T00:00:00"/>
    <s v="502LAUGH"/>
    <s v=" 1:35:40 pm"/>
    <s v="U4B1958052"/>
    <m/>
    <x v="0"/>
    <s v="Yes"/>
    <n v="71"/>
    <s v="POLLY"/>
    <x v="3"/>
    <s v="PS95"/>
    <s v="LIM CHENG LEONG"/>
    <n v="5450"/>
    <m/>
    <m/>
    <d v="2025-03-06T00:00:00"/>
    <m/>
    <n v="1"/>
    <n v="5450"/>
    <s v="PE"/>
    <s v="SIGA-500 ML0001"/>
    <n v="0"/>
    <n v="5180"/>
    <n v="27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2607"/>
    <n v="0"/>
    <m/>
    <s v="A01248"/>
    <m/>
    <m/>
    <s v="S0359229"/>
  </r>
  <r>
    <x v="290"/>
    <n v="10000"/>
    <n v="10000"/>
    <d v="2025-03-07T00:00:00"/>
    <s v="502LAUGH"/>
    <s v=" 9:06:29 am"/>
    <s v="4136S1"/>
    <m/>
    <x v="2"/>
    <s v="Yes"/>
    <n v="61"/>
    <s v="FSK 520"/>
    <x v="2"/>
    <s v="PM68"/>
    <s v="LEE KIM LIANG"/>
    <n v="6500"/>
    <n v="175"/>
    <n v="2.9166666666666665"/>
    <d v="2025-03-06T00:00:00"/>
    <m/>
    <n v="2"/>
    <n v="13000"/>
    <s v="PE"/>
    <s v="804964 INDEX1000001"/>
    <n v="0"/>
    <n v="6500"/>
    <n v="6500"/>
    <n v="0"/>
    <n v="0"/>
    <n v="0"/>
    <m/>
    <m/>
    <n v="0"/>
    <m/>
    <m/>
    <m/>
    <m/>
    <m/>
    <m/>
    <m/>
    <m/>
    <s v="804964 INDEX100"/>
    <s v="V22000"/>
    <s v="PT VARTA MICROBATTERY INDONESIA"/>
    <m/>
    <n v="0"/>
    <n v="0"/>
    <n v="0"/>
    <n v="0"/>
    <n v="0"/>
    <n v="0"/>
    <m/>
    <m/>
    <m/>
    <s v="No"/>
    <s v="W662610"/>
    <n v="0"/>
    <m/>
    <s v="V22000"/>
    <m/>
    <m/>
    <s v="S0359233"/>
  </r>
  <r>
    <x v="291"/>
    <n v="10000"/>
    <n v="10000"/>
    <d v="2025-03-10T00:00:00"/>
    <s v="502LAUGH"/>
    <s v=" 8:32:40 am"/>
    <s v="J00SB5030"/>
    <m/>
    <x v="2"/>
    <s v="Yes"/>
    <n v="72"/>
    <s v="Xeikon 3500"/>
    <x v="4"/>
    <s v="PM17"/>
    <s v="NG SWEE CHEA"/>
    <n v="19000"/>
    <m/>
    <m/>
    <d v="2025-03-06T00:00:00"/>
    <m/>
    <n v="3"/>
    <n v="57000"/>
    <s v="PE"/>
    <s v="GR-1140001"/>
    <n v="0"/>
    <n v="50000"/>
    <n v="7000"/>
    <n v="0"/>
    <n v="0"/>
    <n v="0"/>
    <m/>
    <m/>
    <n v="0"/>
    <m/>
    <m/>
    <m/>
    <m/>
    <m/>
    <m/>
    <m/>
    <m/>
    <s v="GR-114"/>
    <s v="G07076"/>
    <s v="GIVAUDAN SINGAPORE PTE LTD"/>
    <m/>
    <n v="0"/>
    <n v="0"/>
    <n v="0"/>
    <n v="0"/>
    <n v="0"/>
    <n v="0"/>
    <m/>
    <m/>
    <m/>
    <s v="No"/>
    <s v="W662611"/>
    <n v="0"/>
    <m/>
    <s v="G07076"/>
    <m/>
    <m/>
    <s v="S0359263"/>
  </r>
  <r>
    <x v="292"/>
    <n v="10000"/>
    <n v="30000"/>
    <d v="2025-03-24T00:00:00"/>
    <s v="502LAUGH"/>
    <s v=" 8:52:22 am"/>
    <n v="10567308038"/>
    <m/>
    <x v="0"/>
    <s v="Yes"/>
    <n v="77"/>
    <s v="Brotech DF330 "/>
    <x v="0"/>
    <s v="PM74"/>
    <s v="YONG CHEE SOON"/>
    <n v="1713"/>
    <n v="73.55"/>
    <n v="1.2258333333333333"/>
    <d v="2025-03-06T00:00:00"/>
    <m/>
    <n v="66"/>
    <n v="113058"/>
    <s v="PE"/>
    <s v="7FP43-80004-FT0001"/>
    <n v="0"/>
    <n v="100000"/>
    <n v="13058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63582"/>
    <n v="0"/>
    <m/>
    <s v="H08031-JIM-M"/>
    <m/>
    <m/>
    <s v="S0359281"/>
  </r>
  <r>
    <x v="293"/>
    <n v="10000"/>
    <n v="20000"/>
    <d v="2025-03-24T00:00:00"/>
    <s v="502LAUGH"/>
    <s v=" 8:49:24 am"/>
    <n v="10639931011"/>
    <m/>
    <x v="0"/>
    <s v="Yes"/>
    <n v="77"/>
    <s v="Brotech DF330 "/>
    <x v="0"/>
    <s v="PM74"/>
    <s v="YONG CHEE SOON"/>
    <n v="2598"/>
    <n v="88.3"/>
    <n v="1.4716666666666667"/>
    <d v="2025-03-06T00:00:00"/>
    <m/>
    <n v="77"/>
    <n v="200046"/>
    <s v="PE"/>
    <s v="7FP01-80003-FT0001"/>
    <n v="0"/>
    <n v="180000"/>
    <n v="20046"/>
    <n v="0"/>
    <n v="0"/>
    <n v="0"/>
    <m/>
    <m/>
    <n v="0"/>
    <m/>
    <m/>
    <m/>
    <m/>
    <m/>
    <m/>
    <m/>
    <m/>
    <s v="7FP01-80003-FT"/>
    <s v="H08031-JIM-M"/>
    <s v="HP MALAYSIA MANUFACTURING SDN.BHD."/>
    <m/>
    <n v="0"/>
    <n v="0"/>
    <n v="0"/>
    <n v="0"/>
    <n v="0"/>
    <n v="0"/>
    <m/>
    <m/>
    <m/>
    <s v="No"/>
    <s v="W663587"/>
    <n v="0"/>
    <m/>
    <s v="H08031-JIM-M"/>
    <m/>
    <m/>
    <s v="S0359302"/>
  </r>
  <r>
    <x v="294"/>
    <n v="10000"/>
    <n v="10000"/>
    <d v="2025-03-06T00:00:00"/>
    <s v="502LAUGH"/>
    <s v=" 4:04:27 pm"/>
    <s v="U3B12S049"/>
    <m/>
    <x v="2"/>
    <s v="Yes"/>
    <n v="12"/>
    <s v="FSK SR520"/>
    <x v="2"/>
    <s v="PP05"/>
    <s v="WONG KIM FATT"/>
    <n v="500"/>
    <n v="55"/>
    <n v="0.91666666666666663"/>
    <d v="2025-03-06T00:00:00"/>
    <m/>
    <n v="2"/>
    <n v="1000"/>
    <s v="PE"/>
    <s v="722723 REV4010001"/>
    <n v="0"/>
    <n v="1000"/>
    <n v="0"/>
    <n v="0"/>
    <n v="0"/>
    <n v="0"/>
    <m/>
    <m/>
    <n v="0"/>
    <m/>
    <m/>
    <m/>
    <m/>
    <m/>
    <m/>
    <m/>
    <m/>
    <s v="722723 REV401"/>
    <s v="V22000"/>
    <s v="PT VARTA MICROBATTERY INDONESIA"/>
    <m/>
    <n v="0"/>
    <n v="0"/>
    <n v="0"/>
    <n v="0"/>
    <n v="0"/>
    <n v="0"/>
    <m/>
    <m/>
    <m/>
    <s v="No"/>
    <s v="W662615"/>
    <n v="0"/>
    <m/>
    <s v="V22000"/>
    <m/>
    <m/>
    <s v="S0359311"/>
  </r>
  <r>
    <x v="295"/>
    <n v="10000"/>
    <n v="10000"/>
    <d v="2025-03-06T00:00:00"/>
    <s v="502LAUGH"/>
    <s v=" 4:04:27 pm"/>
    <s v="U3B12S019"/>
    <m/>
    <x v="2"/>
    <s v="Yes"/>
    <n v="12"/>
    <s v="FSK SR520"/>
    <x v="2"/>
    <s v="PP05"/>
    <s v="WONG KIM FATT"/>
    <n v="3000"/>
    <n v="105"/>
    <n v="1.75"/>
    <d v="2025-03-06T00:00:00"/>
    <m/>
    <n v="1"/>
    <n v="3000"/>
    <s v="PE"/>
    <s v="807813 REV1000001"/>
    <n v="0"/>
    <n v="3000"/>
    <n v="0"/>
    <n v="0"/>
    <n v="0"/>
    <n v="0"/>
    <m/>
    <m/>
    <n v="0"/>
    <m/>
    <m/>
    <m/>
    <m/>
    <m/>
    <m/>
    <m/>
    <m/>
    <s v="807813 REV100"/>
    <s v="V22000"/>
    <s v="PT VARTA MICROBATTERY INDONESIA"/>
    <m/>
    <n v="0"/>
    <n v="0"/>
    <n v="0"/>
    <n v="0"/>
    <n v="0"/>
    <n v="0"/>
    <m/>
    <m/>
    <m/>
    <s v="No"/>
    <s v="W662616"/>
    <n v="0"/>
    <m/>
    <s v="V22000"/>
    <m/>
    <m/>
    <s v="S0359312"/>
  </r>
  <r>
    <x v="296"/>
    <n v="10000"/>
    <n v="10000"/>
    <d v="2025-03-10T00:00:00"/>
    <s v="502LAUGH"/>
    <s v=" 9:49:05 am"/>
    <s v="23A1207231"/>
    <m/>
    <x v="2"/>
    <s v="Yes"/>
    <n v="46"/>
    <s v="Sanki 300 Intermittent"/>
    <x v="2"/>
    <s v="PS66"/>
    <s v="SIM ENG KWANG"/>
    <n v="11667"/>
    <n v="336.67500000000001"/>
    <n v="5.6112500000000001"/>
    <d v="2025-03-06T00:00:00"/>
    <m/>
    <n v="6"/>
    <n v="70002"/>
    <s v="PE"/>
    <s v="805023 INDEX4000001"/>
    <n v="0"/>
    <n v="60000"/>
    <n v="10002"/>
    <n v="0"/>
    <n v="0"/>
    <n v="0"/>
    <m/>
    <m/>
    <n v="0"/>
    <m/>
    <m/>
    <m/>
    <m/>
    <m/>
    <m/>
    <m/>
    <m/>
    <s v="805023 INDEX400"/>
    <s v="V22000"/>
    <s v="PT VARTA MICROBATTERY INDONESIA"/>
    <m/>
    <n v="0"/>
    <n v="0"/>
    <n v="0"/>
    <n v="0"/>
    <n v="0"/>
    <n v="0"/>
    <m/>
    <m/>
    <m/>
    <s v="No"/>
    <s v="W662617"/>
    <n v="0"/>
    <m/>
    <s v="V22000"/>
    <m/>
    <m/>
    <s v="S0359318"/>
  </r>
  <r>
    <x v="297"/>
    <n v="10000"/>
    <n v="10000"/>
    <d v="2025-03-10T00:00:00"/>
    <s v="502LAUGH"/>
    <s v=" 8:42:22 am"/>
    <s v="M0BSM3241"/>
    <m/>
    <x v="2"/>
    <s v="Yes"/>
    <n v="72"/>
    <s v="Xeikon 3500"/>
    <x v="4"/>
    <s v="PM17"/>
    <s v="NG SWEE CHEA"/>
    <n v="2000"/>
    <m/>
    <m/>
    <d v="2025-03-06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2618"/>
    <n v="0"/>
    <m/>
    <s v="T20390-PMI"/>
    <m/>
    <m/>
    <s v="S0359328"/>
  </r>
  <r>
    <x v="298"/>
    <n v="10000"/>
    <n v="10000"/>
    <d v="2025-03-06T00:00:00"/>
    <s v="502LAUGH"/>
    <s v=" 3:01:32 pm"/>
    <s v="E04JO64031065"/>
    <m/>
    <x v="2"/>
    <s v="Yes"/>
    <n v="94"/>
    <s v="Taiyo"/>
    <x v="2"/>
    <s v="PM09"/>
    <s v="PANG JING FULL"/>
    <n v="4000"/>
    <m/>
    <m/>
    <d v="2025-03-06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3594"/>
    <n v="0"/>
    <m/>
    <s v="W23041-TH"/>
    <m/>
    <m/>
    <s v="H0064672"/>
  </r>
  <r>
    <x v="299"/>
    <n v="10000"/>
    <n v="10000"/>
    <d v="2025-03-06T00:00:00"/>
    <s v="502LAUGH"/>
    <s v=" 4:52:21 pm"/>
    <s v="4103003U5"/>
    <m/>
    <x v="2"/>
    <s v="Yes"/>
    <n v="82"/>
    <s v="Polly"/>
    <x v="3"/>
    <s v="PM11"/>
    <s v="TEE MENG CHAI"/>
    <n v="3334"/>
    <m/>
    <m/>
    <d v="2025-03-06T00:00:00"/>
    <m/>
    <n v="6"/>
    <n v="20004"/>
    <s v="PE"/>
    <s v="0B31180 EC C04290001"/>
    <n v="0"/>
    <n v="20000"/>
    <n v="4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3023"/>
    <n v="0"/>
    <m/>
    <s v="I09082-TL"/>
    <m/>
    <m/>
    <s v="H0064679"/>
  </r>
  <r>
    <x v="300"/>
    <n v="10000"/>
    <n v="10000"/>
    <d v="2025-03-06T00:00:00"/>
    <s v="502LAUGH"/>
    <s v=" 4:52:21 pm"/>
    <s v="4103003U5"/>
    <m/>
    <x v="2"/>
    <s v="Yes"/>
    <n v="82"/>
    <s v="Polly"/>
    <x v="3"/>
    <s v="PM11"/>
    <s v="TEE MENG CHAI"/>
    <n v="5000"/>
    <m/>
    <m/>
    <d v="2025-03-06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3598"/>
    <n v="0"/>
    <m/>
    <s v="I09082-TL"/>
    <m/>
    <m/>
    <s v="H0064681"/>
  </r>
  <r>
    <x v="301"/>
    <n v="10000"/>
    <n v="10000"/>
    <d v="2025-03-06T00:00:00"/>
    <s v="502LAUGH"/>
    <s v=" 4:52:21 pm"/>
    <s v="4103003U5"/>
    <m/>
    <x v="2"/>
    <s v="Yes"/>
    <n v="82"/>
    <s v="Polly"/>
    <x v="3"/>
    <s v="PM11"/>
    <s v="TEE MENG CHAI"/>
    <n v="5000"/>
    <m/>
    <m/>
    <d v="2025-03-06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s v="WESTERN DIGITAL STORAGE TECHNOLOGIES"/>
    <m/>
    <n v="0"/>
    <n v="0"/>
    <n v="0"/>
    <n v="0"/>
    <n v="0"/>
    <n v="0"/>
    <m/>
    <m/>
    <m/>
    <s v="No"/>
    <s v="W663599"/>
    <n v="0"/>
    <m/>
    <s v="I09082-TL"/>
    <m/>
    <m/>
    <s v="H0064682"/>
  </r>
  <r>
    <x v="217"/>
    <n v="10000"/>
    <n v="40000"/>
    <d v="2025-03-12T00:00:00"/>
    <s v="502LAUGH"/>
    <d v="1899-12-30T11:24:54"/>
    <s v="M0BTC15911524"/>
    <m/>
    <x v="1"/>
    <s v="Yes"/>
    <n v="112"/>
    <s v="Hadesheng"/>
    <x v="3"/>
    <s v="PS07"/>
    <s v="KANG HOCK SENG"/>
    <n v="65715"/>
    <n v="3330.75"/>
    <n v="55.512500000000003"/>
    <d v="2025-03-06T00:00:00"/>
    <m/>
    <n v="112"/>
    <n v="7360080"/>
    <s v="PE"/>
    <s v="719708-AD42150001"/>
    <n v="0"/>
    <n v="7140000"/>
    <n v="220080"/>
    <n v="0"/>
    <n v="0"/>
    <n v="0"/>
    <m/>
    <m/>
    <n v="0"/>
    <m/>
    <m/>
    <m/>
    <m/>
    <m/>
    <m/>
    <m/>
    <m/>
    <s v="719708-AD4215"/>
    <s v="V22000-DE"/>
    <s v="VARTA MICROBATTERY GMBH"/>
    <m/>
    <n v="0"/>
    <n v="0"/>
    <n v="0"/>
    <n v="0"/>
    <n v="0"/>
    <n v="0"/>
    <m/>
    <m/>
    <m/>
    <s v="No"/>
    <s v="W663600"/>
    <n v="0"/>
    <m/>
    <s v="V22000-DE"/>
    <m/>
    <m/>
    <s v="S0359336"/>
  </r>
  <r>
    <x v="302"/>
    <n v="10000"/>
    <n v="10000"/>
    <d v="2025-03-12T00:00:00"/>
    <s v="502LAUGH"/>
    <d v="1899-12-30T11:15:55"/>
    <s v="3342S1"/>
    <m/>
    <x v="2"/>
    <s v="Yes"/>
    <n v="93"/>
    <s v="HP Indigo 6900"/>
    <x v="4"/>
    <s v="PM16"/>
    <s v="TEO KAH JUN"/>
    <n v="250"/>
    <n v="42.5"/>
    <n v="0.70833333333333337"/>
    <d v="2025-03-06T00:00:00"/>
    <m/>
    <n v="3"/>
    <n v="750"/>
    <s v="PE"/>
    <n v="10104870001"/>
    <n v="0"/>
    <n v="500"/>
    <n v="250"/>
    <n v="0"/>
    <n v="0"/>
    <n v="0"/>
    <m/>
    <m/>
    <n v="0"/>
    <m/>
    <m/>
    <m/>
    <m/>
    <m/>
    <m/>
    <m/>
    <m/>
    <n v="1010487"/>
    <s v="E05156"/>
    <s v="ESCO MICRO PTE LTD"/>
    <m/>
    <n v="0"/>
    <n v="0"/>
    <n v="0"/>
    <n v="0"/>
    <n v="0"/>
    <n v="0"/>
    <m/>
    <m/>
    <m/>
    <s v="No"/>
    <s v="W662626"/>
    <n v="0"/>
    <m/>
    <s v="E05156"/>
    <m/>
    <m/>
    <s v="S0359400"/>
  </r>
  <r>
    <x v="222"/>
    <n v="10000"/>
    <n v="20000"/>
    <d v="2025-03-24T00:00:00"/>
    <s v="502LAUGH"/>
    <s v=" 9:06:16 am"/>
    <n v="10620258034"/>
    <m/>
    <x v="0"/>
    <s v="Yes"/>
    <n v="77"/>
    <s v="Brotech DF330 "/>
    <x v="0"/>
    <s v="PM74"/>
    <s v="YONG CHEE SOON"/>
    <n v="858"/>
    <n v="59.3"/>
    <n v="0.98833333333333329"/>
    <d v="2025-03-06T00:00:00"/>
    <m/>
    <n v="77"/>
    <n v="66066"/>
    <s v="PE"/>
    <s v="7FP22-80007-FT0001"/>
    <n v="0"/>
    <n v="50000"/>
    <n v="16066"/>
    <n v="0"/>
    <n v="0"/>
    <n v="0"/>
    <m/>
    <m/>
    <n v="0"/>
    <m/>
    <m/>
    <m/>
    <m/>
    <m/>
    <m/>
    <m/>
    <m/>
    <s v="7FP22-80007-FT"/>
    <s v="H08031-JIM-M"/>
    <s v="HP MALAYSIA MANUFACTURING SDN.BHD."/>
    <m/>
    <n v="0"/>
    <n v="0"/>
    <n v="0"/>
    <n v="0"/>
    <n v="0"/>
    <n v="0"/>
    <m/>
    <m/>
    <m/>
    <s v="No"/>
    <s v="W663602"/>
    <n v="0"/>
    <m/>
    <s v="H08031-JIM-M"/>
    <m/>
    <m/>
    <s v="S0359822"/>
  </r>
  <r>
    <x v="223"/>
    <n v="10000"/>
    <n v="30000"/>
    <d v="2025-03-24T00:00:00"/>
    <s v="502LAUGH"/>
    <s v=" 9:07:20 am"/>
    <n v="10639931051"/>
    <m/>
    <x v="0"/>
    <s v="Yes"/>
    <n v="77"/>
    <s v="Brotech DF330 "/>
    <x v="0"/>
    <s v="PM74"/>
    <s v="YONG CHEE SOON"/>
    <n v="2182"/>
    <n v="81.366666666666674"/>
    <n v="1.3561111111111113"/>
    <d v="2025-03-06T00:00:00"/>
    <m/>
    <n v="77"/>
    <n v="168014"/>
    <s v="PE"/>
    <s v="7FP22-80008-FT0001"/>
    <n v="0"/>
    <n v="150000"/>
    <n v="18014"/>
    <n v="0"/>
    <n v="0"/>
    <n v="0"/>
    <m/>
    <m/>
    <n v="0"/>
    <m/>
    <m/>
    <m/>
    <m/>
    <m/>
    <m/>
    <m/>
    <m/>
    <s v="7FP22-80008-FT"/>
    <s v="H08031-JIM-M"/>
    <s v="HP MALAYSIA MANUFACTURING SDN.BHD."/>
    <m/>
    <n v="0"/>
    <n v="0"/>
    <n v="0"/>
    <n v="0"/>
    <n v="0"/>
    <n v="0"/>
    <m/>
    <m/>
    <m/>
    <s v="No"/>
    <s v="W663603"/>
    <n v="0"/>
    <m/>
    <s v="H08031-JIM-M"/>
    <m/>
    <m/>
    <s v="S0359822"/>
  </r>
  <r>
    <x v="303"/>
    <n v="10000"/>
    <n v="10000"/>
    <d v="2025-03-10T00:00:00"/>
    <s v="502LAUGH"/>
    <d v="1899-12-30T11:23:21"/>
    <s v="U492052090"/>
    <m/>
    <x v="2"/>
    <s v="Yes"/>
    <n v="88"/>
    <s v="OKI"/>
    <x v="4"/>
    <s v="PP24"/>
    <s v="HO HON SENG"/>
    <n v="1300"/>
    <m/>
    <m/>
    <d v="2025-03-06T00:00:00"/>
    <m/>
    <n v="1"/>
    <n v="1300"/>
    <s v="PE"/>
    <s v="RECEIVED LABEL0001"/>
    <n v="0"/>
    <n v="1000"/>
    <n v="300"/>
    <n v="0"/>
    <n v="0"/>
    <n v="0"/>
    <m/>
    <m/>
    <n v="0"/>
    <m/>
    <m/>
    <m/>
    <m/>
    <m/>
    <m/>
    <m/>
    <m/>
    <s v="RECEIVED LABEL"/>
    <s v="G07075"/>
    <s v="GLAXO WELLCOME MANUFACTURING PTE LTD"/>
    <m/>
    <n v="0"/>
    <n v="0"/>
    <n v="0"/>
    <n v="0"/>
    <n v="0"/>
    <n v="0"/>
    <m/>
    <m/>
    <m/>
    <s v="No"/>
    <s v="W662637"/>
    <n v="0"/>
    <m/>
    <s v="G07075"/>
    <m/>
    <m/>
    <s v="S0359838"/>
  </r>
  <r>
    <x v="303"/>
    <n v="10000"/>
    <n v="20000"/>
    <d v="2025-03-10T00:00:00"/>
    <s v="502LAUGH"/>
    <d v="1899-12-30T11:23:21"/>
    <s v="U492052090"/>
    <m/>
    <x v="0"/>
    <s v="Yes"/>
    <n v="92"/>
    <s v="Polly Digital Cut"/>
    <x v="6"/>
    <s v="PM87"/>
    <s v="LEE SHIEN WEI"/>
    <n v="1200"/>
    <m/>
    <m/>
    <d v="2025-03-06T00:00:00"/>
    <m/>
    <n v="1"/>
    <n v="1200"/>
    <s v="PE"/>
    <s v="RECEIVED LABEL0001"/>
    <n v="0"/>
    <n v="1000"/>
    <n v="200"/>
    <n v="0"/>
    <n v="0"/>
    <n v="0"/>
    <m/>
    <m/>
    <n v="0"/>
    <m/>
    <m/>
    <m/>
    <m/>
    <m/>
    <m/>
    <m/>
    <m/>
    <s v="RECEIVED LABEL"/>
    <s v="G07075"/>
    <s v="GLAXO WELLCOME MANUFACTURING PTE LTD"/>
    <m/>
    <n v="0"/>
    <n v="0"/>
    <n v="0"/>
    <n v="0"/>
    <n v="0"/>
    <n v="0"/>
    <m/>
    <m/>
    <m/>
    <s v="No"/>
    <s v="W662637"/>
    <n v="0"/>
    <m/>
    <s v="G07075"/>
    <m/>
    <m/>
    <s v="S0359838"/>
  </r>
  <r>
    <x v="76"/>
    <n v="10000"/>
    <n v="20000"/>
    <d v="2025-03-18T00:00:00"/>
    <s v="502LAUGH"/>
    <s v=" 9:57:59 am"/>
    <n v="10639931060"/>
    <m/>
    <x v="0"/>
    <s v="Yes"/>
    <n v="77"/>
    <s v="Brotech DF330 "/>
    <x v="0"/>
    <s v="PM74"/>
    <s v="YONG CHEE SOON"/>
    <n v="390"/>
    <n v="51.5"/>
    <n v="0.85833333333333328"/>
    <d v="2025-03-06T00:00:00"/>
    <m/>
    <n v="77"/>
    <n v="30030"/>
    <s v="PE"/>
    <s v="7FP13-80001-FT0001"/>
    <n v="0"/>
    <n v="20000"/>
    <n v="10030"/>
    <n v="0"/>
    <n v="0"/>
    <n v="0"/>
    <m/>
    <m/>
    <n v="0"/>
    <m/>
    <m/>
    <m/>
    <m/>
    <m/>
    <m/>
    <m/>
    <m/>
    <s v="7FP13-80001-FT"/>
    <s v="H08031-JIM-M"/>
    <s v="HP MALAYSIA MANUFACTURING SDN.BHD."/>
    <m/>
    <n v="0"/>
    <n v="0"/>
    <n v="0"/>
    <n v="0"/>
    <n v="0"/>
    <n v="0"/>
    <m/>
    <m/>
    <m/>
    <s v="No"/>
    <s v="W663037"/>
    <n v="0"/>
    <m/>
    <s v="H08031-JIM-M"/>
    <m/>
    <m/>
    <s v="S0359858"/>
  </r>
  <r>
    <x v="77"/>
    <n v="10000"/>
    <n v="20000"/>
    <d v="2025-03-13T00:00:00"/>
    <s v="502LAUGH"/>
    <s v=" 1:34:03 pm"/>
    <n v="10639931060"/>
    <m/>
    <x v="0"/>
    <s v="Yes"/>
    <n v="77"/>
    <s v="Brotech DF330 "/>
    <x v="0"/>
    <s v="PM74"/>
    <s v="YONG CHEE SOON"/>
    <n v="949"/>
    <n v="60.816666666666663"/>
    <n v="1.013611111111111"/>
    <d v="2025-03-06T00:00:00"/>
    <m/>
    <n v="77"/>
    <n v="73073"/>
    <s v="PE"/>
    <s v="7FP37-80003-FT0001"/>
    <n v="0"/>
    <n v="50000"/>
    <n v="23073"/>
    <n v="0"/>
    <n v="0"/>
    <n v="0"/>
    <m/>
    <m/>
    <n v="0"/>
    <m/>
    <m/>
    <m/>
    <m/>
    <m/>
    <m/>
    <m/>
    <m/>
    <s v="7FP37-80003-FT"/>
    <s v="H08031-JIM-M"/>
    <s v="HP MALAYSIA MANUFACTURING SDN.BHD."/>
    <m/>
    <n v="0"/>
    <n v="0"/>
    <n v="0"/>
    <n v="0"/>
    <n v="0"/>
    <n v="0"/>
    <m/>
    <m/>
    <m/>
    <s v="No"/>
    <s v="W662780"/>
    <n v="0"/>
    <m/>
    <s v="H08031-JIM-M"/>
    <m/>
    <m/>
    <s v="S0359859"/>
  </r>
  <r>
    <x v="78"/>
    <n v="10000"/>
    <n v="20000"/>
    <d v="2025-03-13T00:00:00"/>
    <s v="502LAUGH"/>
    <s v=" 2:57:25 pm"/>
    <n v="10639931060"/>
    <m/>
    <x v="0"/>
    <s v="Yes"/>
    <n v="77"/>
    <s v="Brotech DF330 "/>
    <x v="0"/>
    <s v="PM74"/>
    <s v="YONG CHEE SOON"/>
    <n v="425"/>
    <n v="52.083333333333336"/>
    <n v="0.86805555555555558"/>
    <d v="2025-03-06T00:00:00"/>
    <m/>
    <n v="66"/>
    <n v="28050"/>
    <s v="PE"/>
    <s v="7FP45-80001-FT0001"/>
    <n v="0"/>
    <n v="20000"/>
    <n v="8050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3038"/>
    <n v="0"/>
    <m/>
    <s v="H08031-JIM-M"/>
    <m/>
    <m/>
    <s v="S0359860"/>
  </r>
  <r>
    <x v="79"/>
    <n v="10000"/>
    <n v="20000"/>
    <d v="2025-03-13T00:00:00"/>
    <s v="502LAUGH"/>
    <s v=" 4:09:26 pm"/>
    <n v="10639931060"/>
    <m/>
    <x v="0"/>
    <s v="Yes"/>
    <n v="77"/>
    <s v="Brotech DF330 "/>
    <x v="0"/>
    <s v="PM74"/>
    <s v="YONG CHEE SOON"/>
    <n v="390"/>
    <n v="51.5"/>
    <n v="0.85833333333333328"/>
    <d v="2025-03-06T00:00:00"/>
    <m/>
    <n v="77"/>
    <n v="30030"/>
    <s v="PE"/>
    <s v="7FP21-80008-FT0001"/>
    <n v="0"/>
    <n v="20000"/>
    <n v="10030"/>
    <n v="0"/>
    <n v="0"/>
    <n v="0"/>
    <m/>
    <m/>
    <n v="0"/>
    <m/>
    <m/>
    <m/>
    <m/>
    <m/>
    <m/>
    <m/>
    <m/>
    <s v="7FP21-80008-FT"/>
    <s v="H08031-JIM-M"/>
    <s v="HP MALAYSIA MANUFACTURING SDN.BHD."/>
    <m/>
    <n v="0"/>
    <n v="0"/>
    <n v="0"/>
    <n v="0"/>
    <n v="0"/>
    <n v="0"/>
    <m/>
    <m/>
    <m/>
    <s v="No"/>
    <s v="W663039"/>
    <n v="0"/>
    <m/>
    <s v="H08031-JIM-M"/>
    <m/>
    <m/>
    <s v="S0359861"/>
  </r>
  <r>
    <x v="80"/>
    <n v="10000"/>
    <n v="20000"/>
    <d v="2025-03-13T00:00:00"/>
    <s v="502LAUGH"/>
    <s v=" 3:58:04 pm"/>
    <n v="10639931060"/>
    <m/>
    <x v="0"/>
    <s v="Yes"/>
    <n v="77"/>
    <s v="Brotech DF330 "/>
    <x v="0"/>
    <s v="PM74"/>
    <s v="YONG CHEE SOON"/>
    <n v="390"/>
    <n v="51.5"/>
    <n v="0.85833333333333328"/>
    <d v="2025-03-06T00:00:00"/>
    <m/>
    <n v="77"/>
    <n v="30030"/>
    <s v="PE"/>
    <s v="7FP05-80003-FT0001"/>
    <n v="0"/>
    <n v="20000"/>
    <n v="10030"/>
    <n v="0"/>
    <n v="0"/>
    <n v="0"/>
    <m/>
    <m/>
    <n v="0"/>
    <m/>
    <m/>
    <m/>
    <m/>
    <m/>
    <m/>
    <m/>
    <m/>
    <s v="7FP05-80003-FT"/>
    <s v="H08031-JIM-M"/>
    <s v="HP MALAYSIA MANUFACTURING SDN.BHD."/>
    <m/>
    <n v="0"/>
    <n v="0"/>
    <n v="0"/>
    <n v="0"/>
    <n v="0"/>
    <n v="0"/>
    <m/>
    <m/>
    <m/>
    <s v="No"/>
    <s v="W663040"/>
    <n v="0"/>
    <m/>
    <s v="H08031-JIM-M"/>
    <m/>
    <m/>
    <s v="S0359862"/>
  </r>
  <r>
    <x v="230"/>
    <n v="10000"/>
    <n v="20000"/>
    <d v="2025-03-07T00:00:00"/>
    <s v="502LAUGH"/>
    <s v=" 8:36:50 am"/>
    <s v="405172525/3082509U9"/>
    <m/>
    <x v="0"/>
    <s v="Yes"/>
    <n v="100"/>
    <s v="Vorey Digital Cut"/>
    <x v="6"/>
    <s v="PM87"/>
    <s v="LEE SHIEN WEI"/>
    <n v="300"/>
    <m/>
    <m/>
    <d v="2025-03-06T00:00:00"/>
    <m/>
    <n v="1"/>
    <n v="300"/>
    <s v="PE"/>
    <n v="190067140001"/>
    <n v="0"/>
    <n v="300"/>
    <n v="0"/>
    <n v="0"/>
    <n v="0"/>
    <n v="0"/>
    <m/>
    <m/>
    <n v="0"/>
    <m/>
    <m/>
    <m/>
    <m/>
    <m/>
    <m/>
    <m/>
    <m/>
    <n v="19006714"/>
    <s v="I09109"/>
    <s v="IKE TECHNOLOGY"/>
    <m/>
    <n v="0"/>
    <n v="0"/>
    <n v="0"/>
    <n v="0"/>
    <n v="0"/>
    <n v="0"/>
    <m/>
    <m/>
    <m/>
    <s v="No"/>
    <s v="W662640"/>
    <n v="0"/>
    <m/>
    <s v="I09109"/>
    <m/>
    <m/>
    <s v="S0360713"/>
  </r>
  <r>
    <x v="304"/>
    <n v="10000"/>
    <n v="10000"/>
    <d v="2025-03-06T00:00:00"/>
    <s v="502LAUGH"/>
    <s v=" 4:04:27 pm"/>
    <s v="J00788540"/>
    <m/>
    <x v="2"/>
    <s v="Yes"/>
    <n v="86"/>
    <s v="Brotech DF330 "/>
    <x v="0"/>
    <s v="PM45"/>
    <s v="TAY CHIN LIONG"/>
    <n v="27500"/>
    <n v="503.33333333333331"/>
    <n v="8.3888888888888893"/>
    <d v="2025-03-06T00:00:00"/>
    <m/>
    <n v="2"/>
    <n v="55000"/>
    <s v="PE"/>
    <s v="PRODUCT-188X74-30001"/>
    <n v="0"/>
    <n v="55000"/>
    <n v="0"/>
    <n v="0"/>
    <n v="0"/>
    <n v="0"/>
    <m/>
    <m/>
    <n v="0"/>
    <m/>
    <m/>
    <m/>
    <m/>
    <m/>
    <m/>
    <m/>
    <m/>
    <s v="PRODUCT-188X74-379 U"/>
    <s v="A01259"/>
    <s v="OLAM COCOA PTE LTD"/>
    <m/>
    <n v="0"/>
    <n v="0"/>
    <n v="0"/>
    <n v="0"/>
    <n v="0"/>
    <n v="0"/>
    <m/>
    <m/>
    <m/>
    <s v="No"/>
    <s v="W662642"/>
    <n v="0"/>
    <m/>
    <s v="A01259"/>
    <m/>
    <m/>
    <s v="S0360725"/>
  </r>
  <r>
    <x v="305"/>
    <n v="10000"/>
    <n v="10000"/>
    <d v="2025-03-06T00:00:00"/>
    <s v="502LAUGH"/>
    <d v="1899-12-30T12:53:28"/>
    <s v="4136S1"/>
    <m/>
    <x v="2"/>
    <s v="Yes"/>
    <n v="12"/>
    <s v="FSK SR520"/>
    <x v="2"/>
    <s v="PP05"/>
    <s v="WONG KIM FATT"/>
    <n v="1667"/>
    <n v="78.34"/>
    <n v="1.3056666666666668"/>
    <d v="2025-03-06T00:00:00"/>
    <m/>
    <n v="3"/>
    <n v="5001"/>
    <s v="PE"/>
    <s v="810792 REV4010001"/>
    <n v="0"/>
    <n v="5000"/>
    <n v="1"/>
    <n v="0"/>
    <n v="0"/>
    <n v="0"/>
    <m/>
    <m/>
    <n v="0"/>
    <m/>
    <m/>
    <m/>
    <m/>
    <m/>
    <m/>
    <m/>
    <m/>
    <s v="810792 REV401"/>
    <s v="V22000"/>
    <s v="PT VARTA MICROBATTERY INDONESIA"/>
    <m/>
    <n v="0"/>
    <n v="0"/>
    <n v="0"/>
    <n v="0"/>
    <n v="0"/>
    <n v="0"/>
    <m/>
    <m/>
    <m/>
    <s v="No"/>
    <s v="W662655"/>
    <n v="0"/>
    <m/>
    <s v="V22000"/>
    <m/>
    <m/>
    <s v="S0360743"/>
  </r>
  <r>
    <x v="236"/>
    <n v="10000"/>
    <n v="20000"/>
    <d v="2025-03-10T00:00:00"/>
    <s v="502LAUGH"/>
    <s v=" 3:04:53 pm"/>
    <s v="J00D31560"/>
    <m/>
    <x v="0"/>
    <s v="Yes"/>
    <n v="92"/>
    <s v="Polly Digital Cut"/>
    <x v="6"/>
    <s v="PM87"/>
    <s v="LEE SHIEN WEI"/>
    <n v="1100"/>
    <m/>
    <m/>
    <d v="2025-03-06T00:00:00"/>
    <m/>
    <n v="1"/>
    <n v="1100"/>
    <s v="PE"/>
    <n v="107355870001"/>
    <n v="0"/>
    <n v="1000"/>
    <n v="100"/>
    <n v="0"/>
    <n v="0"/>
    <n v="0"/>
    <m/>
    <m/>
    <n v="0"/>
    <m/>
    <m/>
    <m/>
    <m/>
    <m/>
    <m/>
    <m/>
    <m/>
    <n v="10735587"/>
    <s v="I09109"/>
    <s v="IKE TECHNOLOGY"/>
    <m/>
    <n v="0"/>
    <n v="0"/>
    <n v="0"/>
    <n v="0"/>
    <n v="0"/>
    <n v="0"/>
    <m/>
    <m/>
    <m/>
    <s v="No"/>
    <s v="W662658"/>
    <n v="0"/>
    <m/>
    <s v="I09109"/>
    <m/>
    <m/>
    <s v="S0360887"/>
  </r>
  <r>
    <x v="237"/>
    <n v="10000"/>
    <n v="20000"/>
    <d v="2025-03-10T00:00:00"/>
    <s v="502LAUGH"/>
    <d v="1899-12-30T11:23:57"/>
    <s v="J00D31560"/>
    <m/>
    <x v="0"/>
    <s v="Yes"/>
    <n v="92"/>
    <s v="Polly Digital Cut"/>
    <x v="6"/>
    <s v="PM87"/>
    <s v="LEE SHIEN WEI"/>
    <n v="20"/>
    <m/>
    <m/>
    <d v="2025-03-06T00:00:00"/>
    <m/>
    <n v="1"/>
    <n v="20"/>
    <s v="PE"/>
    <n v="107355870001"/>
    <n v="0"/>
    <n v="20"/>
    <n v="0"/>
    <n v="0"/>
    <n v="0"/>
    <n v="0"/>
    <m/>
    <m/>
    <n v="0"/>
    <m/>
    <m/>
    <m/>
    <m/>
    <m/>
    <m/>
    <m/>
    <m/>
    <n v="10735587"/>
    <s v="I09109"/>
    <s v="IKE TECHNOLOGY"/>
    <m/>
    <n v="0"/>
    <n v="0"/>
    <n v="0"/>
    <n v="0"/>
    <n v="0"/>
    <n v="0"/>
    <m/>
    <m/>
    <m/>
    <s v="No"/>
    <s v="W662659"/>
    <n v="0"/>
    <m/>
    <s v="I09109"/>
    <m/>
    <m/>
    <s v="ZSA101756"/>
  </r>
  <r>
    <x v="306"/>
    <n v="10000"/>
    <n v="20000"/>
    <d v="2025-03-07T00:00:00"/>
    <s v="502LAUGH"/>
    <s v=" 5:18:28 pm"/>
    <s v="T0AF1219072"/>
    <m/>
    <x v="2"/>
    <s v="Yes"/>
    <n v="78"/>
    <s v="Baby Sanki"/>
    <x v="2"/>
    <s v="PM84"/>
    <s v="TAN TAI TOH"/>
    <n v="1000"/>
    <n v="70"/>
    <n v="1.1666666666666667"/>
    <d v="2025-03-06T00:00:00"/>
    <m/>
    <n v="16"/>
    <n v="16000"/>
    <s v="PE"/>
    <s v="714370212-ADS1360001"/>
    <n v="0"/>
    <n v="10000"/>
    <n v="6000"/>
    <n v="0"/>
    <n v="0"/>
    <n v="0"/>
    <m/>
    <m/>
    <n v="0"/>
    <m/>
    <m/>
    <m/>
    <m/>
    <m/>
    <m/>
    <m/>
    <m/>
    <s v="714370212 REVA"/>
    <s v="S19314"/>
    <s v="SEAGATE TECHNOLOGY INTERNATIONAL (WUXI) CO., LTD"/>
    <m/>
    <n v="0"/>
    <n v="0"/>
    <n v="0"/>
    <n v="0"/>
    <n v="0"/>
    <n v="0"/>
    <m/>
    <m/>
    <m/>
    <s v="No"/>
    <s v="W662667"/>
    <n v="0"/>
    <m/>
    <s v="S19314"/>
    <m/>
    <m/>
    <s v="H0064700"/>
  </r>
  <r>
    <x v="306"/>
    <n v="10000"/>
    <n v="30000"/>
    <d v="2025-03-07T00:00:00"/>
    <s v="502LAUGH"/>
    <s v=" 5:18:28 pm"/>
    <s v="T0AF1219072"/>
    <m/>
    <x v="0"/>
    <s v="Yes"/>
    <n v="63"/>
    <s v="SANKI"/>
    <x v="3"/>
    <s v="PMJ0"/>
    <s v="KOR CHEW OR"/>
    <n v="625"/>
    <n v="60.625"/>
    <n v="1.0104166666666667"/>
    <d v="2025-03-06T00:00:00"/>
    <m/>
    <n v="16"/>
    <n v="10000"/>
    <s v="PE"/>
    <s v="714370212-ADS1360001"/>
    <n v="0"/>
    <n v="10000"/>
    <n v="0"/>
    <n v="0"/>
    <n v="0"/>
    <n v="0"/>
    <m/>
    <m/>
    <n v="0"/>
    <m/>
    <m/>
    <m/>
    <m/>
    <m/>
    <m/>
    <m/>
    <m/>
    <s v="714370212 REVA"/>
    <s v="S19314"/>
    <s v="SEAGATE TECHNOLOGY INTERNATIONAL (WUXI) CO., LTD"/>
    <m/>
    <n v="0"/>
    <n v="0"/>
    <n v="0"/>
    <n v="0"/>
    <n v="0"/>
    <n v="0"/>
    <m/>
    <m/>
    <m/>
    <s v="No"/>
    <s v="W662667"/>
    <n v="0"/>
    <m/>
    <s v="S19314"/>
    <m/>
    <m/>
    <s v="H0064700"/>
  </r>
  <r>
    <x v="307"/>
    <n v="10000"/>
    <n v="10000"/>
    <d v="2025-03-06T00:00:00"/>
    <s v="502LAUGH"/>
    <s v=" 2:29:44 pm"/>
    <s v="SG-5638265 01"/>
    <m/>
    <x v="2"/>
    <s v="Yes"/>
    <n v="31"/>
    <s v="Sanki SKP250 Full Rotary"/>
    <x v="2"/>
    <s v="PS27"/>
    <s v="TAN TECK HEE"/>
    <n v="1000"/>
    <n v="70"/>
    <n v="1.1666666666666667"/>
    <d v="2025-03-06T00:00:00"/>
    <m/>
    <n v="2"/>
    <n v="2000"/>
    <s v="PE"/>
    <n v="30030002"/>
    <n v="0"/>
    <n v="2000"/>
    <n v="0"/>
    <n v="0"/>
    <n v="0"/>
    <n v="0"/>
    <m/>
    <m/>
    <n v="0"/>
    <m/>
    <m/>
    <m/>
    <m/>
    <m/>
    <m/>
    <m/>
    <m/>
    <n v="3003"/>
    <s v="I09099"/>
    <s v="IRS ( S ) PTE LTD"/>
    <m/>
    <n v="0"/>
    <n v="0"/>
    <n v="0"/>
    <n v="0"/>
    <n v="0"/>
    <n v="0"/>
    <m/>
    <m/>
    <m/>
    <s v="No"/>
    <s v="W662668"/>
    <n v="0"/>
    <m/>
    <s v="I09099"/>
    <m/>
    <m/>
    <s v="S0360890"/>
  </r>
  <r>
    <x v="308"/>
    <n v="10000"/>
    <n v="10000"/>
    <d v="2025-03-06T00:00:00"/>
    <s v="502LAUGH"/>
    <d v="1899-12-30T12:53:28"/>
    <s v="SG-5638265 01"/>
    <m/>
    <x v="2"/>
    <s v="Yes"/>
    <n v="31"/>
    <s v="Sanki SKP250 Full Rotary"/>
    <x v="2"/>
    <s v="PS27"/>
    <s v="TAN TECK HEE"/>
    <n v="1000"/>
    <n v="70"/>
    <n v="1.1666666666666667"/>
    <d v="2025-03-06T00:00:00"/>
    <m/>
    <n v="6"/>
    <n v="6000"/>
    <s v="PE"/>
    <n v="9919310002"/>
    <n v="0"/>
    <n v="6000"/>
    <n v="0"/>
    <n v="0"/>
    <n v="0"/>
    <n v="0"/>
    <m/>
    <m/>
    <n v="0"/>
    <m/>
    <m/>
    <m/>
    <m/>
    <m/>
    <m/>
    <m/>
    <m/>
    <n v="991931"/>
    <s v="I09099"/>
    <s v="IRS ( S ) PTE LTD"/>
    <m/>
    <n v="0"/>
    <n v="0"/>
    <n v="0"/>
    <n v="0"/>
    <n v="0"/>
    <n v="0"/>
    <m/>
    <m/>
    <m/>
    <s v="No"/>
    <s v="W662669"/>
    <n v="0"/>
    <m/>
    <s v="I09099"/>
    <m/>
    <m/>
    <s v="S0360890"/>
  </r>
  <r>
    <x v="309"/>
    <n v="10000"/>
    <n v="10000"/>
    <d v="2025-03-12T00:00:00"/>
    <s v="502LAUGH"/>
    <d v="1899-12-30T10:32:41"/>
    <s v="D10074850"/>
    <m/>
    <x v="2"/>
    <s v="Yes"/>
    <n v="88"/>
    <s v="OKI"/>
    <x v="4"/>
    <s v="PP24"/>
    <s v="HO HON SENG"/>
    <n v="1000"/>
    <m/>
    <m/>
    <d v="2025-03-06T00:00:00"/>
    <m/>
    <n v="1"/>
    <n v="1000"/>
    <s v="PE"/>
    <s v="PRTN-1463077491-0003"/>
    <n v="0"/>
    <n v="1000"/>
    <n v="0"/>
    <n v="0"/>
    <n v="0"/>
    <n v="0"/>
    <m/>
    <m/>
    <n v="0"/>
    <m/>
    <m/>
    <m/>
    <m/>
    <m/>
    <m/>
    <m/>
    <m/>
    <s v="MDRM0345"/>
    <s v="A01486"/>
    <s v="AMT PTE LTD"/>
    <m/>
    <n v="0"/>
    <n v="0"/>
    <n v="0"/>
    <n v="0"/>
    <n v="0"/>
    <n v="0"/>
    <m/>
    <m/>
    <m/>
    <s v="No"/>
    <s v="W662670"/>
    <n v="0"/>
    <m/>
    <s v="A01486"/>
    <m/>
    <m/>
    <s v="S0360886"/>
  </r>
  <r>
    <x v="310"/>
    <n v="10000"/>
    <n v="10000"/>
    <d v="2025-03-18T00:00:00"/>
    <s v="502LAUGH"/>
    <s v=" 8:34:33 am"/>
    <s v="4239S1/U4010218"/>
    <m/>
    <x v="2"/>
    <s v="Yes"/>
    <n v="88"/>
    <s v="OKI"/>
    <x v="4"/>
    <s v="PP24"/>
    <s v="HO HON SENG"/>
    <n v="1594"/>
    <m/>
    <m/>
    <d v="2025-03-06T00:00:00"/>
    <m/>
    <n v="1"/>
    <n v="1594"/>
    <s v="PE"/>
    <s v="PRTN-2037351818-0001"/>
    <n v="0"/>
    <n v="1594"/>
    <n v="0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3046"/>
    <n v="0"/>
    <m/>
    <s v="A01486"/>
    <m/>
    <m/>
    <s v="S0360886"/>
  </r>
  <r>
    <x v="310"/>
    <n v="20000"/>
    <n v="10000"/>
    <d v="2025-03-18T00:00:00"/>
    <s v="502LAUGH"/>
    <s v=" 8:34:33 am"/>
    <s v="4239S1/U4010218"/>
    <m/>
    <x v="2"/>
    <s v="Yes"/>
    <n v="88"/>
    <s v="OKI"/>
    <x v="4"/>
    <s v="PP24"/>
    <s v="HO HON SENG"/>
    <n v="606"/>
    <m/>
    <m/>
    <d v="2025-03-06T00:00:00"/>
    <m/>
    <n v="1"/>
    <n v="606"/>
    <s v="PE"/>
    <s v="PRTN-2037351818-0001"/>
    <n v="0"/>
    <n v="606"/>
    <n v="0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3046"/>
    <n v="0"/>
    <m/>
    <s v="A01486"/>
    <m/>
    <m/>
    <s v="S0360886"/>
  </r>
  <r>
    <x v="311"/>
    <n v="10000"/>
    <n v="10000"/>
    <d v="2025-03-06T00:00:00"/>
    <s v="502LAUGH"/>
    <s v=" 5:35:51 pm"/>
    <s v="BYJ032-04"/>
    <m/>
    <x v="2"/>
    <s v="Yes"/>
    <n v="65"/>
    <s v="Sanki SDR300"/>
    <x v="3"/>
    <s v="PMJ7"/>
    <s v="FOONG SEL YI"/>
    <n v="4167"/>
    <n v="149.17500000000001"/>
    <n v="2.4862500000000001"/>
    <d v="2025-03-06T00:00:00"/>
    <m/>
    <n v="3"/>
    <n v="12501"/>
    <s v="PE"/>
    <s v="LABEL0040001"/>
    <n v="0"/>
    <n v="12500"/>
    <n v="1"/>
    <n v="0"/>
    <n v="0"/>
    <n v="0"/>
    <m/>
    <m/>
    <n v="0"/>
    <m/>
    <m/>
    <m/>
    <m/>
    <m/>
    <m/>
    <m/>
    <m/>
    <s v="LABEL004"/>
    <s v="H08216"/>
    <s v="HYPERCOAT ENTERPRISES PTE LTD"/>
    <m/>
    <n v="0"/>
    <n v="0"/>
    <n v="0"/>
    <n v="0"/>
    <n v="0"/>
    <n v="0"/>
    <m/>
    <m/>
    <m/>
    <s v="No"/>
    <s v="W662788"/>
    <n v="0"/>
    <m/>
    <s v="H08216"/>
    <m/>
    <m/>
    <s v="S0360892"/>
  </r>
  <r>
    <x v="312"/>
    <n v="10000"/>
    <n v="10000"/>
    <d v="2025-03-07T00:00:00"/>
    <s v="502LAUGH"/>
    <s v=" 8:44:41 am"/>
    <n v="10620258026"/>
    <m/>
    <x v="2"/>
    <s v="Yes"/>
    <n v="79"/>
    <s v="HP Indigo 6800"/>
    <x v="4"/>
    <s v="PM16"/>
    <s v="TEO KAH JUN"/>
    <n v="639"/>
    <n v="61.95"/>
    <n v="1.0325"/>
    <d v="2025-03-06T00:00:00"/>
    <m/>
    <n v="36"/>
    <n v="23004"/>
    <s v="PE"/>
    <s v="CZ630-800110001"/>
    <n v="0"/>
    <n v="20000"/>
    <n v="3004"/>
    <n v="0"/>
    <n v="0"/>
    <n v="0"/>
    <m/>
    <m/>
    <n v="0"/>
    <m/>
    <m/>
    <m/>
    <m/>
    <m/>
    <m/>
    <m/>
    <m/>
    <s v="CZ630-80011"/>
    <s v="H08031-JIM"/>
    <s v="HP SINGAPORE (PRIVATE) LIMITED"/>
    <m/>
    <n v="0"/>
    <n v="0"/>
    <n v="0"/>
    <n v="0"/>
    <n v="0"/>
    <n v="0"/>
    <m/>
    <m/>
    <m/>
    <s v="No"/>
    <s v="W664087"/>
    <n v="0"/>
    <m/>
    <s v="H08031-JIM"/>
    <m/>
    <m/>
    <s v="S0360902"/>
  </r>
  <r>
    <x v="312"/>
    <n v="10000"/>
    <n v="20000"/>
    <d v="2025-03-07T00:00:00"/>
    <s v="502LAUGH"/>
    <s v=" 8:44:41 am"/>
    <n v="10620258026"/>
    <m/>
    <x v="0"/>
    <s v="Yes"/>
    <n v="77"/>
    <s v="Brotech DF330 "/>
    <x v="0"/>
    <s v="PM74"/>
    <s v="YONG CHEE SOON"/>
    <n v="1467"/>
    <n v="69.45"/>
    <n v="1.1575"/>
    <d v="2025-03-06T00:00:00"/>
    <m/>
    <n v="15"/>
    <n v="22005"/>
    <s v="PE"/>
    <s v="CZ630-800110001"/>
    <n v="0"/>
    <n v="20000"/>
    <n v="2005"/>
    <n v="0"/>
    <n v="0"/>
    <n v="0"/>
    <m/>
    <m/>
    <n v="0"/>
    <m/>
    <m/>
    <m/>
    <m/>
    <m/>
    <m/>
    <m/>
    <m/>
    <s v="CZ630-80011"/>
    <s v="H08031-JIM"/>
    <s v="HP SINGAPORE (PRIVATE) LIMITED"/>
    <m/>
    <n v="0"/>
    <n v="0"/>
    <n v="0"/>
    <n v="0"/>
    <n v="0"/>
    <n v="0"/>
    <m/>
    <m/>
    <m/>
    <s v="No"/>
    <s v="W664087"/>
    <n v="0"/>
    <m/>
    <s v="H08031-JIM"/>
    <m/>
    <m/>
    <s v="S0360902"/>
  </r>
  <r>
    <x v="313"/>
    <n v="10000"/>
    <n v="10000"/>
    <d v="2025-03-07T00:00:00"/>
    <s v="502LAUGH"/>
    <s v=" 8:31:53 am"/>
    <s v="5011623U5"/>
    <m/>
    <x v="2"/>
    <s v="Yes"/>
    <n v="61"/>
    <s v="FSK 520"/>
    <x v="2"/>
    <s v="PM61"/>
    <s v="HO CHAN LE"/>
    <n v="1000"/>
    <n v="65"/>
    <n v="1.0833333333333333"/>
    <d v="2025-03-06T00:00:00"/>
    <m/>
    <n v="6"/>
    <n v="6000"/>
    <s v="PE"/>
    <s v="260-6314-000001"/>
    <n v="0"/>
    <n v="6000"/>
    <n v="0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2675"/>
    <n v="0"/>
    <m/>
    <s v="J10025"/>
    <m/>
    <m/>
    <s v="S0360904"/>
  </r>
  <r>
    <x v="314"/>
    <n v="10000"/>
    <n v="10000"/>
    <d v="2025-03-06T00:00:00"/>
    <s v="502LAUGH"/>
    <s v=" 4:19:43 pm"/>
    <s v="5011623U5"/>
    <m/>
    <x v="2"/>
    <s v="Yes"/>
    <n v="61"/>
    <s v="FSK 520"/>
    <x v="2"/>
    <s v="PM61"/>
    <s v="HO CHAN LE"/>
    <n v="667"/>
    <n v="58.34"/>
    <n v="0.97233333333333338"/>
    <d v="2025-03-06T00:00:00"/>
    <m/>
    <n v="6"/>
    <n v="4002"/>
    <s v="PE"/>
    <s v="260-6316-000001"/>
    <n v="0"/>
    <n v="4000"/>
    <n v="2"/>
    <n v="0"/>
    <n v="0"/>
    <n v="0"/>
    <m/>
    <m/>
    <n v="0"/>
    <m/>
    <m/>
    <m/>
    <m/>
    <m/>
    <m/>
    <m/>
    <m/>
    <s v="260-6316-00"/>
    <s v="J10025"/>
    <s v="JMS SINGAPORE PTE LTD"/>
    <m/>
    <n v="0"/>
    <n v="0"/>
    <n v="0"/>
    <n v="0"/>
    <n v="0"/>
    <n v="0"/>
    <m/>
    <m/>
    <m/>
    <s v="No"/>
    <s v="W662676"/>
    <n v="0"/>
    <m/>
    <s v="J10025"/>
    <m/>
    <m/>
    <s v="S0360904"/>
  </r>
  <r>
    <x v="315"/>
    <n v="10000"/>
    <n v="10000"/>
    <d v="2025-03-06T00:00:00"/>
    <s v="502LAUGH"/>
    <s v=" 2:06:54 pm"/>
    <s v="5011623U5"/>
    <m/>
    <x v="2"/>
    <s v="Yes"/>
    <n v="61"/>
    <s v="FSK 520"/>
    <x v="2"/>
    <s v="PM61"/>
    <s v="HO CHAN LE"/>
    <n v="667"/>
    <n v="58.34"/>
    <n v="0.97233333333333338"/>
    <d v="2025-03-06T00:00:00"/>
    <m/>
    <n v="6"/>
    <n v="4002"/>
    <s v="PE"/>
    <s v="260-6317-000001"/>
    <n v="0"/>
    <n v="4000"/>
    <n v="2"/>
    <n v="0"/>
    <n v="0"/>
    <n v="0"/>
    <m/>
    <m/>
    <n v="0"/>
    <m/>
    <m/>
    <m/>
    <m/>
    <m/>
    <m/>
    <m/>
    <m/>
    <s v="260-6317-00"/>
    <s v="J10025"/>
    <s v="JMS SINGAPORE PTE LTD"/>
    <m/>
    <n v="0"/>
    <n v="0"/>
    <n v="0"/>
    <n v="0"/>
    <n v="0"/>
    <n v="0"/>
    <m/>
    <m/>
    <m/>
    <s v="No"/>
    <s v="W662677"/>
    <n v="0"/>
    <m/>
    <s v="J10025"/>
    <m/>
    <m/>
    <s v="S0360904"/>
  </r>
  <r>
    <x v="316"/>
    <n v="10000"/>
    <n v="10000"/>
    <d v="2025-03-07T00:00:00"/>
    <s v="502LAUGH"/>
    <d v="1899-12-30T12:48:37"/>
    <s v="5011623U5"/>
    <m/>
    <x v="2"/>
    <s v="Yes"/>
    <n v="61"/>
    <s v="FSK 520"/>
    <x v="2"/>
    <s v="PM61"/>
    <s v="HO CHAN LE"/>
    <n v="3667"/>
    <n v="118.34"/>
    <n v="1.9723333333333335"/>
    <d v="2025-03-06T00:00:00"/>
    <m/>
    <n v="6"/>
    <n v="22002"/>
    <s v="PE"/>
    <s v="260-6314-000001"/>
    <n v="0"/>
    <n v="22000"/>
    <n v="2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3054"/>
    <n v="0"/>
    <m/>
    <s v="J10025"/>
    <m/>
    <m/>
    <s v="S0360906"/>
  </r>
  <r>
    <x v="317"/>
    <n v="10000"/>
    <n v="10000"/>
    <d v="2025-03-06T00:00:00"/>
    <s v="502LAUGH"/>
    <s v=" 5:35:51 pm"/>
    <s v="SG-5408830-01"/>
    <m/>
    <x v="2"/>
    <s v="Yes"/>
    <n v="31"/>
    <s v="Sanki SKP250 Full Rotary"/>
    <x v="2"/>
    <s v="PS27"/>
    <s v="TAN TECK HEE"/>
    <n v="500"/>
    <n v="57.5"/>
    <n v="0.95833333333333337"/>
    <d v="2025-03-06T00:00:00"/>
    <m/>
    <n v="56"/>
    <n v="28000"/>
    <s v="PE"/>
    <s v="3037-RFT11080001"/>
    <n v="0"/>
    <n v="28000"/>
    <n v="0"/>
    <n v="0"/>
    <n v="0"/>
    <n v="0"/>
    <m/>
    <m/>
    <n v="0"/>
    <m/>
    <m/>
    <m/>
    <m/>
    <m/>
    <m/>
    <m/>
    <m/>
    <s v="3037-RFT1108"/>
    <s v="J10025"/>
    <s v="JMS SINGAPORE PTE LTD"/>
    <m/>
    <n v="0"/>
    <n v="0"/>
    <n v="0"/>
    <n v="0"/>
    <n v="0"/>
    <n v="0"/>
    <m/>
    <m/>
    <m/>
    <s v="No"/>
    <s v="W662686"/>
    <n v="0"/>
    <m/>
    <s v="J10025"/>
    <m/>
    <m/>
    <s v="S0360907"/>
  </r>
  <r>
    <x v="318"/>
    <n v="10000"/>
    <n v="10000"/>
    <d v="2025-03-07T00:00:00"/>
    <s v="502LAUGH"/>
    <s v=" 8:41:28 am"/>
    <n v="10620258026"/>
    <m/>
    <x v="2"/>
    <s v="Yes"/>
    <n v="79"/>
    <s v="HP Indigo 6800"/>
    <x v="4"/>
    <s v="PM16"/>
    <s v="TEO KAH JUN"/>
    <n v="682"/>
    <n v="64.099999999999994"/>
    <n v="1.0683333333333331"/>
    <d v="2025-03-06T00:00:00"/>
    <m/>
    <n v="660"/>
    <n v="450120"/>
    <s v="PE"/>
    <s v="X4E75-80015-FT0001"/>
    <n v="0"/>
    <n v="400000"/>
    <n v="5012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3623"/>
    <n v="0"/>
    <m/>
    <s v="H08031-JIM-M"/>
    <m/>
    <m/>
    <s v="S0360908"/>
  </r>
  <r>
    <x v="318"/>
    <n v="10000"/>
    <n v="20000"/>
    <d v="2025-03-07T00:00:00"/>
    <s v="502LAUGH"/>
    <s v=" 8:41:28 am"/>
    <n v="10620258026"/>
    <m/>
    <x v="0"/>
    <s v="Yes"/>
    <n v="77"/>
    <s v="Brotech DF330 "/>
    <x v="0"/>
    <s v="PM74"/>
    <s v="YONG CHEE SOON"/>
    <n v="2445"/>
    <n v="85.75"/>
    <n v="1.4291666666666667"/>
    <d v="2025-03-06T00:00:00"/>
    <m/>
    <n v="180"/>
    <n v="440100"/>
    <s v="PE"/>
    <s v="X4E75-80015-FT0001"/>
    <n v="0"/>
    <n v="400000"/>
    <n v="40100"/>
    <n v="0"/>
    <n v="0"/>
    <n v="0"/>
    <m/>
    <m/>
    <n v="0"/>
    <m/>
    <m/>
    <m/>
    <m/>
    <m/>
    <m/>
    <m/>
    <m/>
    <s v="X4E75-80015-FT"/>
    <s v="H08031-JIM-M"/>
    <s v="HP MALAYSIA MANUFACTURING SDN.BHD."/>
    <m/>
    <n v="0"/>
    <n v="0"/>
    <n v="0"/>
    <n v="0"/>
    <n v="0"/>
    <n v="0"/>
    <m/>
    <m/>
    <m/>
    <s v="No"/>
    <s v="W663623"/>
    <n v="0"/>
    <m/>
    <s v="H08031-JIM-M"/>
    <m/>
    <m/>
    <s v="S0360908"/>
  </r>
  <r>
    <x v="319"/>
    <n v="10000"/>
    <n v="10000"/>
    <d v="2025-03-07T00:00:00"/>
    <s v="502LAUGH"/>
    <s v=" 8:40:37 am"/>
    <n v="10620258028"/>
    <m/>
    <x v="2"/>
    <s v="Yes"/>
    <n v="79"/>
    <s v="HP Indigo 6800"/>
    <x v="4"/>
    <s v="PM16"/>
    <s v="TEO KAH JUN"/>
    <n v="31"/>
    <n v="31.55"/>
    <n v="0.52583333333333337"/>
    <d v="2025-03-06T00:00:00"/>
    <m/>
    <n v="660"/>
    <n v="20460"/>
    <s v="PE"/>
    <s v="7FN99-80003-FT0001"/>
    <n v="0"/>
    <n v="10000"/>
    <n v="10460"/>
    <n v="0"/>
    <n v="0"/>
    <n v="0"/>
    <m/>
    <m/>
    <n v="0"/>
    <m/>
    <m/>
    <m/>
    <m/>
    <m/>
    <m/>
    <m/>
    <m/>
    <s v="7FN99-80003-FT"/>
    <s v="H08031-JIM-M"/>
    <s v="HP MALAYSIA MANUFACTURING SDN.BHD."/>
    <m/>
    <n v="0"/>
    <n v="0"/>
    <n v="0"/>
    <n v="0"/>
    <n v="0"/>
    <n v="0"/>
    <m/>
    <m/>
    <m/>
    <s v="No"/>
    <s v="W663625"/>
    <n v="0"/>
    <m/>
    <s v="H08031-JIM-M"/>
    <m/>
    <m/>
    <s v="S0360910"/>
  </r>
  <r>
    <x v="319"/>
    <n v="10000"/>
    <n v="20000"/>
    <d v="2025-03-07T00:00:00"/>
    <s v="502LAUGH"/>
    <s v=" 8:40:37 am"/>
    <n v="10620258028"/>
    <m/>
    <x v="0"/>
    <s v="Yes"/>
    <n v="77"/>
    <s v="Brotech DF330 "/>
    <x v="0"/>
    <s v="PM74"/>
    <s v="YONG CHEE SOON"/>
    <n v="100"/>
    <n v="46.666666666666664"/>
    <n v="0.77777777777777779"/>
    <d v="2025-03-06T00:00:00"/>
    <m/>
    <n v="180"/>
    <n v="18000"/>
    <s v="PE"/>
    <s v="7FN99-80003-FT0001"/>
    <n v="0"/>
    <n v="10000"/>
    <n v="8000"/>
    <n v="0"/>
    <n v="0"/>
    <n v="0"/>
    <m/>
    <m/>
    <n v="0"/>
    <m/>
    <m/>
    <m/>
    <m/>
    <m/>
    <m/>
    <m/>
    <m/>
    <s v="7FN99-80003-FT"/>
    <s v="H08031-JIM-M"/>
    <s v="HP MALAYSIA MANUFACTURING SDN.BHD."/>
    <m/>
    <n v="0"/>
    <n v="0"/>
    <n v="0"/>
    <n v="0"/>
    <n v="0"/>
    <n v="0"/>
    <m/>
    <m/>
    <m/>
    <s v="No"/>
    <s v="W663625"/>
    <n v="0"/>
    <m/>
    <s v="H08031-JIM-M"/>
    <m/>
    <m/>
    <s v="S0360910"/>
  </r>
  <r>
    <x v="320"/>
    <n v="10000"/>
    <n v="10000"/>
    <d v="2025-03-07T00:00:00"/>
    <s v="502LAUGH"/>
    <s v=" 8:39:32 am"/>
    <n v="10620258026"/>
    <m/>
    <x v="2"/>
    <s v="Yes"/>
    <n v="79"/>
    <s v="HP Indigo 6800"/>
    <x v="4"/>
    <s v="PM16"/>
    <s v="TEO KAH JUN"/>
    <n v="167"/>
    <n v="38.35"/>
    <n v="0.63916666666666666"/>
    <d v="2025-03-06T00:00:00"/>
    <m/>
    <n v="66"/>
    <n v="11022"/>
    <s v="PE"/>
    <s v="3YP17-80012-FT0001"/>
    <n v="0"/>
    <n v="80000"/>
    <n v="-68978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3629"/>
    <n v="0"/>
    <m/>
    <s v="H08031-JIM-M"/>
    <m/>
    <m/>
    <s v="S0360915"/>
  </r>
  <r>
    <x v="320"/>
    <n v="10000"/>
    <n v="20000"/>
    <d v="2025-03-07T00:00:00"/>
    <s v="502LAUGH"/>
    <s v=" 8:39:32 am"/>
    <n v="10620258026"/>
    <m/>
    <x v="0"/>
    <s v="Yes"/>
    <n v="77"/>
    <s v="Brotech DF330 "/>
    <x v="0"/>
    <s v="PM74"/>
    <s v="YONG CHEE SOON"/>
    <n v="573"/>
    <n v="54.55"/>
    <n v="0.90916666666666657"/>
    <d v="2025-03-06T00:00:00"/>
    <m/>
    <n v="180"/>
    <n v="103140"/>
    <s v="PE"/>
    <s v="3YP17-80012-FT0001"/>
    <n v="0"/>
    <n v="80000"/>
    <n v="23140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3629"/>
    <n v="0"/>
    <m/>
    <s v="H08031-JIM-M"/>
    <m/>
    <m/>
    <s v="S0360915"/>
  </r>
  <r>
    <x v="321"/>
    <n v="10000"/>
    <n v="10000"/>
    <d v="2025-03-17T00:00:00"/>
    <s v="502LAUGH"/>
    <s v=" 8:37:15 am"/>
    <n v="10620258028"/>
    <m/>
    <x v="2"/>
    <s v="Yes"/>
    <n v="79"/>
    <s v="HP Indigo 6800"/>
    <x v="4"/>
    <s v="PM16"/>
    <s v="TEO KAH JUN"/>
    <n v="671"/>
    <n v="63.55"/>
    <n v="1.0591666666666666"/>
    <d v="2025-03-06T00:00:00"/>
    <m/>
    <n v="176"/>
    <n v="118096"/>
    <s v="PE"/>
    <s v="7FP42-80004-FT0001"/>
    <n v="0"/>
    <n v="100000"/>
    <n v="18096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3056"/>
    <n v="0"/>
    <m/>
    <s v="H08031-JIM-M"/>
    <m/>
    <m/>
    <s v="S0360916"/>
  </r>
  <r>
    <x v="321"/>
    <n v="10000"/>
    <n v="20000"/>
    <d v="2025-03-17T00:00:00"/>
    <s v="502LAUGH"/>
    <s v=" 8:37:15 am"/>
    <n v="10620258028"/>
    <m/>
    <x v="0"/>
    <s v="Yes"/>
    <n v="77"/>
    <s v="Brotech DF330 "/>
    <x v="0"/>
    <s v="PM74"/>
    <s v="YONG CHEE SOON"/>
    <n v="1713"/>
    <n v="73.55"/>
    <n v="1.2258333333333333"/>
    <d v="2025-03-06T00:00:00"/>
    <m/>
    <n v="66"/>
    <n v="113058"/>
    <s v="PE"/>
    <s v="7FP42-80004-FT0001"/>
    <n v="0"/>
    <n v="100000"/>
    <n v="13058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3056"/>
    <n v="0"/>
    <m/>
    <s v="H08031-JIM-M"/>
    <m/>
    <m/>
    <s v="S0360916"/>
  </r>
  <r>
    <x v="322"/>
    <n v="10000"/>
    <n v="10000"/>
    <d v="2025-03-17T00:00:00"/>
    <s v="502LAUGH"/>
    <s v=" 8:34:05 am"/>
    <n v="10639931107"/>
    <m/>
    <x v="2"/>
    <s v="Yes"/>
    <n v="79"/>
    <s v="HP Indigo 6800"/>
    <x v="4"/>
    <s v="PM16"/>
    <s v="TEO KAH JUN"/>
    <n v="537"/>
    <n v="56.85"/>
    <n v="0.94750000000000001"/>
    <d v="2025-03-06T00:00:00"/>
    <m/>
    <n v="176"/>
    <n v="94512"/>
    <s v="PE"/>
    <s v="CZ637-80024-FT0001"/>
    <n v="0"/>
    <n v="80000"/>
    <n v="14512"/>
    <n v="0"/>
    <n v="0"/>
    <n v="0"/>
    <m/>
    <m/>
    <n v="0"/>
    <m/>
    <m/>
    <m/>
    <m/>
    <m/>
    <m/>
    <m/>
    <m/>
    <s v="CZ637-80024-FT"/>
    <s v="H08031-JIM-M"/>
    <s v="HP MALAYSIA MANUFACTURING SDN.BHD."/>
    <m/>
    <n v="0"/>
    <n v="0"/>
    <n v="0"/>
    <n v="0"/>
    <n v="0"/>
    <n v="0"/>
    <m/>
    <m/>
    <m/>
    <s v="No"/>
    <s v="W663057"/>
    <n v="0"/>
    <m/>
    <s v="H08031-JIM-M"/>
    <m/>
    <m/>
    <s v="S0360917"/>
  </r>
  <r>
    <x v="245"/>
    <n v="10000"/>
    <n v="30000"/>
    <d v="2025-03-07T00:00:00"/>
    <s v="502LAUGH"/>
    <s v=" 8:34:07 am"/>
    <s v="U462452089/SG-5553119"/>
    <m/>
    <x v="1"/>
    <s v="Yes"/>
    <n v="12"/>
    <s v="FSK SR520"/>
    <x v="2"/>
    <s v="PP05"/>
    <s v="WONG KIM FATT"/>
    <n v="3000"/>
    <n v="105"/>
    <n v="1.75"/>
    <d v="2025-03-06T00:00:00"/>
    <m/>
    <n v="2"/>
    <n v="6000"/>
    <s v="PE"/>
    <s v="R370-4910001"/>
    <n v="0"/>
    <n v="6000"/>
    <n v="0"/>
    <n v="0"/>
    <n v="0"/>
    <n v="0"/>
    <m/>
    <m/>
    <n v="0"/>
    <m/>
    <m/>
    <m/>
    <m/>
    <m/>
    <m/>
    <m/>
    <m/>
    <s v="R370-491"/>
    <s v="R18131"/>
    <s v="RESMED ASIA PTE LTD"/>
    <m/>
    <n v="0"/>
    <n v="0"/>
    <n v="0"/>
    <n v="0"/>
    <n v="0"/>
    <n v="0"/>
    <m/>
    <m/>
    <m/>
    <s v="No"/>
    <s v="W662687"/>
    <n v="0"/>
    <m/>
    <s v="R18131"/>
    <m/>
    <m/>
    <s v="S0360922"/>
  </r>
  <r>
    <x v="323"/>
    <n v="10000"/>
    <n v="10000"/>
    <d v="2025-03-10T00:00:00"/>
    <s v="502LAUGH"/>
    <s v=" 8:41:12 am"/>
    <s v="M0BSM3241"/>
    <m/>
    <x v="2"/>
    <s v="Yes"/>
    <n v="72"/>
    <s v="Xeikon 3500"/>
    <x v="4"/>
    <s v="PM17"/>
    <s v="NG SWEE CHEA"/>
    <n v="2000"/>
    <m/>
    <m/>
    <d v="2025-03-06T00:00:00"/>
    <m/>
    <n v="4"/>
    <n v="8000"/>
    <s v="PE"/>
    <s v="86.J7350001"/>
    <n v="0"/>
    <n v="5000"/>
    <n v="3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2689"/>
    <n v="0"/>
    <m/>
    <s v="T20390-PMI"/>
    <m/>
    <m/>
    <s v="S0360932"/>
  </r>
  <r>
    <x v="248"/>
    <n v="10000"/>
    <n v="20000"/>
    <d v="2025-03-06T00:00:00"/>
    <s v="502LAUGH"/>
    <d v="1899-12-30T11:41:05"/>
    <n v="59469"/>
    <m/>
    <x v="0"/>
    <s v="Yes"/>
    <n v="96"/>
    <s v="Luster AOI"/>
    <x v="1"/>
    <s v="QM54"/>
    <s v="TAN SWEE LENG"/>
    <n v="83"/>
    <m/>
    <m/>
    <d v="2025-03-06T00:00:00"/>
    <m/>
    <n v="6"/>
    <n v="498"/>
    <s v="PE"/>
    <s v="MT-1000766-903RE0002"/>
    <n v="0"/>
    <n v="100"/>
    <n v="398"/>
    <n v="0"/>
    <n v="0"/>
    <n v="0"/>
    <m/>
    <m/>
    <n v="0"/>
    <m/>
    <m/>
    <m/>
    <m/>
    <m/>
    <m/>
    <m/>
    <m/>
    <s v="MT-1000766-903REV002"/>
    <s v="Z26002"/>
    <s v="CCL DESIGN (PENANG) SDN. BHD."/>
    <m/>
    <n v="0"/>
    <n v="0"/>
    <n v="0"/>
    <n v="0"/>
    <n v="0"/>
    <n v="0"/>
    <m/>
    <m/>
    <m/>
    <s v="No"/>
    <s v="W662253"/>
    <n v="0"/>
    <m/>
    <s v="Z26002"/>
    <m/>
    <m/>
    <s v="ZSA101749"/>
  </r>
  <r>
    <x v="249"/>
    <n v="10000"/>
    <n v="20000"/>
    <d v="2025-03-06T00:00:00"/>
    <s v="502LAUGH"/>
    <d v="1899-12-30T11:41:59"/>
    <n v="59469"/>
    <m/>
    <x v="0"/>
    <s v="Yes"/>
    <n v="96"/>
    <s v="Luster AOI"/>
    <x v="1"/>
    <s v="QM54"/>
    <s v="TAN SWEE LENG"/>
    <n v="83"/>
    <m/>
    <m/>
    <d v="2025-03-06T00:00:00"/>
    <m/>
    <n v="6"/>
    <n v="498"/>
    <s v="PE"/>
    <s v="MT-1000340-58REV0001"/>
    <n v="0"/>
    <n v="100"/>
    <n v="398"/>
    <n v="0"/>
    <n v="0"/>
    <n v="0"/>
    <m/>
    <m/>
    <n v="0"/>
    <m/>
    <m/>
    <m/>
    <m/>
    <m/>
    <m/>
    <m/>
    <m/>
    <s v="MT-1000340-58REV004"/>
    <s v="Z26002"/>
    <s v="CCL DESIGN (PENANG) SDN. BHD."/>
    <m/>
    <n v="0"/>
    <n v="0"/>
    <n v="0"/>
    <n v="0"/>
    <n v="0"/>
    <n v="0"/>
    <m/>
    <m/>
    <m/>
    <s v="No"/>
    <s v="W662254"/>
    <n v="0"/>
    <m/>
    <s v="Z26002"/>
    <m/>
    <m/>
    <s v="ZSA101757"/>
  </r>
  <r>
    <x v="324"/>
    <n v="10000"/>
    <n v="10000"/>
    <d v="2025-03-07T00:00:00"/>
    <s v="502LAUGH"/>
    <s v=" 5:17:30 pm"/>
    <s v="MOBN5031/XHX2411140015/XHX2406210211"/>
    <m/>
    <x v="2"/>
    <s v="Yes"/>
    <n v="79"/>
    <s v="HP Indigo 6800"/>
    <x v="4"/>
    <s v="PM16"/>
    <s v="TEO KAH JUN"/>
    <n v="11112"/>
    <n v="585.6"/>
    <n v="9.76"/>
    <d v="2025-03-06T00:00:00"/>
    <m/>
    <n v="180"/>
    <n v="2000160"/>
    <s v="PE"/>
    <s v="719705 INDEX4000001"/>
    <n v="0"/>
    <n v="1440000"/>
    <n v="560160"/>
    <n v="0"/>
    <n v="0"/>
    <n v="0"/>
    <m/>
    <m/>
    <n v="0"/>
    <m/>
    <m/>
    <m/>
    <m/>
    <m/>
    <m/>
    <m/>
    <m/>
    <s v="719705 INDEX403"/>
    <s v="V22000"/>
    <s v="PT VARTA MICROBATTERY INDONESIA"/>
    <m/>
    <n v="0"/>
    <n v="0"/>
    <n v="0"/>
    <n v="0"/>
    <n v="0"/>
    <n v="0"/>
    <m/>
    <m/>
    <m/>
    <s v="No"/>
    <s v="W663064"/>
    <n v="0"/>
    <m/>
    <s v="V22000"/>
    <m/>
    <m/>
    <s v="S0360945"/>
  </r>
  <r>
    <x v="325"/>
    <n v="10000"/>
    <n v="10000"/>
    <d v="2025-03-10T00:00:00"/>
    <s v="502LAUGH"/>
    <s v=" 9:28:44 am"/>
    <n v="59469"/>
    <m/>
    <x v="2"/>
    <s v="Yes"/>
    <n v="73"/>
    <s v="Brotech DF330"/>
    <x v="0"/>
    <s v="PM59"/>
    <s v="VOON CHAN PIN"/>
    <n v="84750"/>
    <n v="1457.5"/>
    <n v="24.291666666666668"/>
    <d v="2025-03-06T00:00:00"/>
    <m/>
    <n v="12"/>
    <n v="1017000"/>
    <s v="PE"/>
    <s v="MT-1000407-902RE0005"/>
    <n v="0"/>
    <n v="1036840"/>
    <n v="-19840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692"/>
    <n v="0"/>
    <m/>
    <s v="Z26002"/>
    <m/>
    <m/>
    <s v="S0361002"/>
  </r>
  <r>
    <x v="325"/>
    <n v="10000"/>
    <n v="20000"/>
    <d v="2025-03-10T00:00:00"/>
    <s v="502LAUGH"/>
    <s v=" 9:28:44 am"/>
    <n v="59469"/>
    <m/>
    <x v="2"/>
    <s v="Yes"/>
    <n v="73"/>
    <s v="Brotech DF330"/>
    <x v="0"/>
    <s v="PM18"/>
    <s v="LAI CHIN YANG"/>
    <n v="98917"/>
    <m/>
    <m/>
    <d v="2025-03-06T00:00:00"/>
    <m/>
    <n v="12"/>
    <n v="1187004"/>
    <s v="PE"/>
    <s v="MT-1000407-902RE0005"/>
    <n v="0"/>
    <n v="1210160"/>
    <n v="-23156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692"/>
    <n v="0"/>
    <m/>
    <s v="Z26002"/>
    <m/>
    <m/>
    <s v="S0361002"/>
  </r>
  <r>
    <x v="326"/>
    <n v="10000"/>
    <n v="10000"/>
    <d v="2025-03-07T00:00:00"/>
    <s v="502LAUGH"/>
    <s v=" 2:49:16 pm"/>
    <n v="59469"/>
    <m/>
    <x v="2"/>
    <s v="Yes"/>
    <n v="73"/>
    <s v="Brotech DF330"/>
    <x v="0"/>
    <s v="PM59"/>
    <s v="VOON CHAN PIN"/>
    <n v="15313"/>
    <n v="300.2166666666667"/>
    <n v="5.0036111111111117"/>
    <d v="2025-03-06T00:00:00"/>
    <m/>
    <n v="12"/>
    <n v="183756"/>
    <s v="PE"/>
    <s v="MT-1000170-903RE0002"/>
    <n v="0"/>
    <n v="183750"/>
    <n v="6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62693"/>
    <n v="0"/>
    <m/>
    <s v="Z26002"/>
    <m/>
    <m/>
    <s v="S0361004"/>
  </r>
  <r>
    <x v="327"/>
    <n v="10000"/>
    <n v="10000"/>
    <d v="2025-03-07T00:00:00"/>
    <s v="502LAUGH"/>
    <s v=" 5:12:30 pm"/>
    <s v="U481252037"/>
    <m/>
    <x v="2"/>
    <s v="Yes"/>
    <n v="61"/>
    <s v="FSK 520"/>
    <x v="2"/>
    <s v="PM68"/>
    <s v="LEE KIM LIANG"/>
    <n v="500"/>
    <n v="55"/>
    <n v="0.91666666666666663"/>
    <d v="2025-03-07T00:00:00"/>
    <m/>
    <n v="1"/>
    <n v="500"/>
    <s v="PE"/>
    <s v="WA-WAT006277-70001"/>
    <n v="0"/>
    <n v="500"/>
    <n v="0"/>
    <n v="0"/>
    <n v="0"/>
    <n v="0"/>
    <m/>
    <m/>
    <n v="0"/>
    <m/>
    <m/>
    <m/>
    <m/>
    <m/>
    <m/>
    <m/>
    <m/>
    <s v="WA-WAT006277-7"/>
    <s v="C03043"/>
    <s v="CEI PTE LTD"/>
    <m/>
    <n v="0"/>
    <n v="0"/>
    <n v="0"/>
    <n v="0"/>
    <n v="0"/>
    <n v="0"/>
    <m/>
    <m/>
    <m/>
    <s v="No"/>
    <s v="W662406"/>
    <n v="0"/>
    <m/>
    <s v="C03043"/>
    <m/>
    <m/>
    <s v="S0352960"/>
  </r>
  <r>
    <x v="37"/>
    <n v="20000"/>
    <n v="20000"/>
    <d v="2025-03-12T00:00:00"/>
    <s v="502LAUGH"/>
    <s v=" 8:47:17 am"/>
    <s v="1000221/1000219/80116793/1012643/XHX24A13A0809/XHX2412190201"/>
    <m/>
    <x v="2"/>
    <s v="Yes"/>
    <n v="103"/>
    <s v="HDS"/>
    <x v="3"/>
    <s v="PM23"/>
    <s v="LAI SHI LIN"/>
    <n v="61875"/>
    <n v="3138.75"/>
    <n v="52.3125"/>
    <d v="2025-03-07T00:00:00"/>
    <m/>
    <n v="8"/>
    <n v="495000"/>
    <s v="PE"/>
    <s v="MT273730001"/>
    <n v="0"/>
    <n v="49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2937"/>
    <n v="0"/>
    <m/>
    <s v="Z26002"/>
    <m/>
    <m/>
    <s v="S0355389"/>
  </r>
  <r>
    <x v="328"/>
    <n v="10000"/>
    <n v="10000"/>
    <d v="2025-03-13T00:00:00"/>
    <s v="502LAUGH"/>
    <s v=" 5:49:29 pm"/>
    <s v="J00T40070/J00WA6671"/>
    <m/>
    <x v="2"/>
    <s v="Yes"/>
    <n v="111"/>
    <s v="Brotech"/>
    <x v="0"/>
    <s v="PM46"/>
    <s v="TAN CHEE CHUN"/>
    <n v="43500"/>
    <n v="770"/>
    <n v="12.833333333333334"/>
    <d v="2025-03-07T00:00:00"/>
    <m/>
    <n v="10"/>
    <n v="435000"/>
    <s v="PE"/>
    <s v="Z512-M0001"/>
    <n v="0"/>
    <n v="435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942"/>
    <n v="0"/>
    <m/>
    <s v="R18131-MEIBAN MICRO"/>
    <m/>
    <m/>
    <s v="S0356568"/>
  </r>
  <r>
    <x v="329"/>
    <n v="10000"/>
    <n v="10000"/>
    <d v="2025-03-11T00:00:00"/>
    <s v="502LAUGH"/>
    <s v=" 8:45:01 am"/>
    <s v="U522658026"/>
    <m/>
    <x v="2"/>
    <s v="Yes"/>
    <n v="65"/>
    <s v="Sanki SDR300"/>
    <x v="3"/>
    <s v="PMJ7"/>
    <s v="FOONG SEL YI"/>
    <n v="32000"/>
    <n v="845"/>
    <n v="14.083333333333334"/>
    <d v="2025-03-07T00:00:00"/>
    <m/>
    <n v="1"/>
    <n v="32000"/>
    <s v="PE"/>
    <s v="NSI-0020001"/>
    <n v="0"/>
    <n v="34000"/>
    <n v="-2000"/>
    <n v="0"/>
    <n v="0"/>
    <n v="0"/>
    <m/>
    <m/>
    <n v="0"/>
    <m/>
    <m/>
    <m/>
    <m/>
    <m/>
    <m/>
    <m/>
    <m/>
    <s v="NSI-002"/>
    <s v="T20198"/>
    <s v="ST NETWORK"/>
    <m/>
    <n v="0"/>
    <n v="0"/>
    <n v="0"/>
    <n v="0"/>
    <n v="0"/>
    <n v="0"/>
    <m/>
    <m/>
    <m/>
    <s v="No"/>
    <s v="W662953"/>
    <n v="0"/>
    <m/>
    <s v="T20198"/>
    <m/>
    <m/>
    <s v="S0357648"/>
  </r>
  <r>
    <x v="330"/>
    <n v="10000"/>
    <n v="30000"/>
    <d v="2025-03-07T00:00:00"/>
    <s v="502LAUGH"/>
    <s v=" 5:10:40 pm"/>
    <s v="10639931093/10639931095"/>
    <m/>
    <x v="1"/>
    <s v="Yes"/>
    <n v="85"/>
    <s v="Luster AOI"/>
    <x v="1"/>
    <s v="QM78"/>
    <s v="WONG SEAU JIN"/>
    <n v="16000"/>
    <m/>
    <m/>
    <d v="2025-03-07T00:00:00"/>
    <m/>
    <n v="11"/>
    <n v="176000"/>
    <s v="PE"/>
    <s v="3JB27-800010001"/>
    <n v="0"/>
    <n v="160000"/>
    <n v="1600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2493"/>
    <n v="0"/>
    <m/>
    <s v="H08031-JIM-M"/>
    <m/>
    <m/>
    <s v="S0358006"/>
  </r>
  <r>
    <x v="331"/>
    <n v="10000"/>
    <n v="20000"/>
    <d v="2025-03-07T00:00:00"/>
    <s v="502LAUGH"/>
    <s v=" 2:47:17 pm"/>
    <s v="10639931096/10639931093"/>
    <m/>
    <x v="0"/>
    <s v="Yes"/>
    <n v="77"/>
    <s v="Brotech DF330 "/>
    <x v="0"/>
    <s v="PM74"/>
    <s v="YONG CHEE SOON"/>
    <n v="3955"/>
    <n v="110.91666666666667"/>
    <n v="1.8486111111111112"/>
    <d v="2025-03-07T00:00:00"/>
    <m/>
    <n v="88"/>
    <n v="348040"/>
    <s v="PE"/>
    <s v="B7RT7-80001-FT0001"/>
    <n v="0"/>
    <n v="320000"/>
    <n v="28040"/>
    <n v="0"/>
    <n v="0"/>
    <n v="0"/>
    <m/>
    <m/>
    <n v="0"/>
    <m/>
    <m/>
    <m/>
    <m/>
    <m/>
    <m/>
    <m/>
    <m/>
    <s v="B7RT7-80001-FT"/>
    <s v="H08031-JIM-M"/>
    <s v="HP MALAYSIA MANUFACTURING SDN.BHD."/>
    <m/>
    <n v="0"/>
    <n v="0"/>
    <n v="0"/>
    <n v="0"/>
    <n v="0"/>
    <n v="0"/>
    <m/>
    <m/>
    <m/>
    <s v="No"/>
    <s v="W662498"/>
    <n v="0"/>
    <m/>
    <s v="H08031-JIM-M"/>
    <m/>
    <m/>
    <s v="S0358092"/>
  </r>
  <r>
    <x v="331"/>
    <n v="10000"/>
    <n v="30000"/>
    <d v="2025-03-07T00:00:00"/>
    <s v="502LAUGH"/>
    <s v=" 2:47:17 pm"/>
    <s v="10639931096/10639931093"/>
    <m/>
    <x v="1"/>
    <s v="Yes"/>
    <n v="85"/>
    <s v="Luster AOI"/>
    <x v="1"/>
    <s v="QM78"/>
    <s v="WONG SEAU JIN"/>
    <n v="31819"/>
    <m/>
    <m/>
    <d v="2025-03-07T00:00:00"/>
    <m/>
    <n v="11"/>
    <n v="350009"/>
    <s v="PE"/>
    <s v="B7RT7-80001-FT0001"/>
    <n v="0"/>
    <n v="320000"/>
    <n v="30009"/>
    <n v="0"/>
    <n v="0"/>
    <n v="0"/>
    <m/>
    <m/>
    <n v="0"/>
    <m/>
    <m/>
    <m/>
    <m/>
    <m/>
    <m/>
    <m/>
    <m/>
    <s v="B7RT7-80001-FT"/>
    <s v="H08031-JIM-M"/>
    <s v="HP MALAYSIA MANUFACTURING SDN.BHD."/>
    <m/>
    <n v="0"/>
    <n v="0"/>
    <n v="0"/>
    <n v="0"/>
    <n v="0"/>
    <n v="0"/>
    <m/>
    <m/>
    <m/>
    <s v="No"/>
    <s v="W662498"/>
    <n v="0"/>
    <m/>
    <s v="H08031-JIM-M"/>
    <m/>
    <m/>
    <s v="S0358092"/>
  </r>
  <r>
    <x v="332"/>
    <n v="10000"/>
    <n v="10000"/>
    <d v="2025-03-11T00:00:00"/>
    <s v="502LAUGH"/>
    <s v=" 9:28:36 am"/>
    <s v="E0801904/M0BSO4460"/>
    <m/>
    <x v="2"/>
    <s v="Yes"/>
    <n v="87"/>
    <s v="SYSCO"/>
    <x v="3"/>
    <s v="PM14"/>
    <s v="GOH CHEN YONG"/>
    <n v="20250"/>
    <m/>
    <m/>
    <d v="2025-03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2768"/>
    <n v="0"/>
    <m/>
    <s v="S19081-TH"/>
    <m/>
    <m/>
    <s v="H0064628"/>
  </r>
  <r>
    <x v="333"/>
    <n v="10000"/>
    <n v="10000"/>
    <d v="2025-03-11T00:00:00"/>
    <s v="502LAUGH"/>
    <s v=" 9:32:21 am"/>
    <n v="407222225"/>
    <m/>
    <x v="2"/>
    <s v="Yes"/>
    <n v="90"/>
    <s v="HDS"/>
    <x v="3"/>
    <s v="PM35"/>
    <s v="TAN MIN KANG"/>
    <n v="37046"/>
    <n v="1897.3"/>
    <n v="31.621666666666666"/>
    <d v="2025-03-07T00:00:00"/>
    <m/>
    <n v="132"/>
    <n v="4890072"/>
    <s v="PE"/>
    <s v="1114-670-00003 R0001"/>
    <n v="0"/>
    <n v="4890000"/>
    <n v="72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62769"/>
    <n v="0"/>
    <m/>
    <s v="M13337-SMD"/>
    <m/>
    <m/>
    <s v="S0358392"/>
  </r>
  <r>
    <x v="334"/>
    <n v="10000"/>
    <n v="10000"/>
    <d v="2025-03-07T00:00:00"/>
    <s v="502LAUGH"/>
    <s v=" 5:39:04 pm"/>
    <s v="49109/23L11010522"/>
    <m/>
    <x v="2"/>
    <s v="Yes"/>
    <n v="60"/>
    <s v="Fujishiko UDP-5000"/>
    <x v="3"/>
    <s v="PM30"/>
    <s v="OH KIAN YUAN"/>
    <n v="6200"/>
    <n v="169"/>
    <n v="2.8166666666666669"/>
    <d v="2025-03-07T00:00:00"/>
    <m/>
    <n v="10"/>
    <n v="62000"/>
    <s v="PE"/>
    <s v="TPK-884535-00200001"/>
    <n v="0"/>
    <n v="620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2535"/>
    <n v="0"/>
    <m/>
    <s v="Z26002"/>
    <m/>
    <m/>
    <s v="S0358425"/>
  </r>
  <r>
    <x v="334"/>
    <n v="20000"/>
    <n v="10000"/>
    <d v="2025-03-07T00:00:00"/>
    <s v="502LAUGH"/>
    <s v=" 5:39:04 pm"/>
    <s v="49109/23L11010522"/>
    <m/>
    <x v="2"/>
    <s v="Yes"/>
    <n v="60"/>
    <s v="Fujishiko UDP-5000"/>
    <x v="3"/>
    <s v="PM30"/>
    <s v="OH KIAN YUAN"/>
    <n v="3300"/>
    <n v="111"/>
    <n v="1.85"/>
    <d v="2025-03-07T00:00:00"/>
    <m/>
    <n v="10"/>
    <n v="33000"/>
    <s v="PE"/>
    <s v="TPK-884535-00200001"/>
    <n v="0"/>
    <n v="330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2535"/>
    <n v="0"/>
    <m/>
    <s v="Z26002"/>
    <m/>
    <m/>
    <s v="S0358425"/>
  </r>
  <r>
    <x v="335"/>
    <n v="10000"/>
    <n v="20000"/>
    <d v="2025-03-07T00:00:00"/>
    <s v="502LAUGH"/>
    <s v=" 5:41:01 pm"/>
    <s v="404112548/4071802U5"/>
    <m/>
    <x v="0"/>
    <s v="Yes"/>
    <s v="ZC53"/>
    <s v="Zebra"/>
    <x v="4"/>
    <s v="PP24"/>
    <s v="HO HON SENG"/>
    <n v="3000"/>
    <m/>
    <m/>
    <d v="2025-03-07T00:00:00"/>
    <m/>
    <n v="1"/>
    <n v="3000"/>
    <s v="PE"/>
    <s v="706694 INDEX4100001"/>
    <n v="0"/>
    <n v="3000"/>
    <n v="0"/>
    <n v="0"/>
    <n v="0"/>
    <n v="0"/>
    <m/>
    <m/>
    <n v="0"/>
    <m/>
    <m/>
    <m/>
    <m/>
    <m/>
    <m/>
    <m/>
    <m/>
    <s v="706694 INDEX410"/>
    <s v="V22000"/>
    <s v="PT VARTA MICROBATTERY INDONESIA"/>
    <m/>
    <n v="0"/>
    <n v="0"/>
    <n v="0"/>
    <n v="0"/>
    <n v="0"/>
    <n v="0"/>
    <m/>
    <m/>
    <m/>
    <s v="No"/>
    <s v="W662540"/>
    <n v="0"/>
    <m/>
    <s v="V22000"/>
    <m/>
    <m/>
    <s v="S0358444"/>
  </r>
  <r>
    <x v="336"/>
    <n v="10000"/>
    <n v="30000"/>
    <d v="2025-03-10T00:00:00"/>
    <s v="502LAUGH"/>
    <s v=" 8:33:38 am"/>
    <n v="10620258085"/>
    <m/>
    <x v="1"/>
    <s v="Yes"/>
    <n v="85"/>
    <s v="Luster AOI"/>
    <x v="1"/>
    <s v="QM78"/>
    <s v="WONG SEAU JIN"/>
    <n v="16000"/>
    <m/>
    <m/>
    <d v="2025-03-07T00:00:00"/>
    <m/>
    <n v="11"/>
    <n v="176000"/>
    <s v="PE"/>
    <s v="T0A86-80005-FT0001"/>
    <n v="0"/>
    <n v="160000"/>
    <n v="16000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2542"/>
    <n v="0"/>
    <m/>
    <s v="H08031-JIM-M"/>
    <m/>
    <m/>
    <s v="S0358457"/>
  </r>
  <r>
    <x v="102"/>
    <n v="10000"/>
    <n v="30000"/>
    <d v="2025-03-13T00:00:00"/>
    <s v="502LAUGH"/>
    <s v=" 5:02:00 pm"/>
    <n v="10639931052"/>
    <m/>
    <x v="0"/>
    <s v="Yes"/>
    <n v="77"/>
    <s v="Brotech DF330 "/>
    <x v="0"/>
    <s v="PM74"/>
    <s v="YONG CHEE SOON"/>
    <n v="955"/>
    <n v="60.916666666666664"/>
    <n v="1.0152777777777777"/>
    <d v="2025-03-07T00:00:00"/>
    <m/>
    <n v="88"/>
    <n v="84040"/>
    <s v="PE"/>
    <s v="F6U65-80033-FT0001"/>
    <n v="0"/>
    <n v="70000"/>
    <n v="1404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2974"/>
    <n v="0"/>
    <m/>
    <s v="H08031-JIM-M"/>
    <m/>
    <m/>
    <s v="S0358460"/>
  </r>
  <r>
    <x v="273"/>
    <n v="10000"/>
    <n v="20000"/>
    <d v="2025-03-11T00:00:00"/>
    <s v="502LAUGH"/>
    <d v="1899-12-30T11:22:40"/>
    <n v="10620258028"/>
    <m/>
    <x v="0"/>
    <s v="Yes"/>
    <n v="77"/>
    <s v="Brotech DF330 "/>
    <x v="0"/>
    <s v="PM74"/>
    <s v="YONG CHEE SOON"/>
    <n v="1285"/>
    <n v="66.416666666666671"/>
    <n v="1.1069444444444445"/>
    <d v="2025-03-07T00:00:00"/>
    <m/>
    <n v="88"/>
    <n v="113080"/>
    <s v="PE"/>
    <s v="F6V26-80017-FT0001"/>
    <n v="0"/>
    <n v="100000"/>
    <n v="1308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2772"/>
    <n v="0"/>
    <m/>
    <s v="H08031-JIM-M"/>
    <m/>
    <m/>
    <s v="S0358462"/>
  </r>
  <r>
    <x v="274"/>
    <n v="10000"/>
    <n v="20000"/>
    <d v="2025-03-11T00:00:00"/>
    <s v="502LAUGH"/>
    <s v=" 3:48:55 pm"/>
    <n v="10620258028"/>
    <m/>
    <x v="0"/>
    <s v="Yes"/>
    <n v="77"/>
    <s v="Brotech DF330 "/>
    <x v="0"/>
    <s v="PM74"/>
    <s v="YONG CHEE SOON"/>
    <n v="1285"/>
    <n v="66.416666666666671"/>
    <n v="1.1069444444444445"/>
    <d v="2025-03-07T00:00:00"/>
    <m/>
    <n v="88"/>
    <n v="113080"/>
    <s v="PE"/>
    <s v="N9K05-80021-FT0001"/>
    <n v="0"/>
    <n v="100000"/>
    <n v="1308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43"/>
    <n v="0"/>
    <m/>
    <s v="H08031-JIM-M"/>
    <m/>
    <m/>
    <s v="S0358464"/>
  </r>
  <r>
    <x v="104"/>
    <n v="10000"/>
    <n v="30000"/>
    <d v="2025-03-13T00:00:00"/>
    <s v="502LAUGH"/>
    <s v=" 5:03:33 pm"/>
    <n v="10639931052"/>
    <m/>
    <x v="0"/>
    <s v="Yes"/>
    <n v="77"/>
    <s v="Brotech DF330 "/>
    <x v="0"/>
    <s v="PM74"/>
    <s v="YONG CHEE SOON"/>
    <n v="1057"/>
    <n v="62.616666666666667"/>
    <n v="1.043611111111111"/>
    <d v="2025-03-07T00:00:00"/>
    <m/>
    <n v="88"/>
    <n v="93016"/>
    <s v="PE"/>
    <s v="F6U61-80027-FT0001"/>
    <n v="0"/>
    <n v="80000"/>
    <n v="13016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2975"/>
    <n v="0"/>
    <m/>
    <s v="H08031-JIM-M"/>
    <m/>
    <m/>
    <s v="S0358468"/>
  </r>
  <r>
    <x v="337"/>
    <n v="10000"/>
    <n v="10000"/>
    <d v="2025-03-12T00:00:00"/>
    <s v="502LAUGH"/>
    <s v=" 8:52:43 am"/>
    <s v="M4B4603BGJBJ211-S249100174/E0926912"/>
    <m/>
    <x v="2"/>
    <s v="Yes"/>
    <n v="75"/>
    <s v="HDS 3"/>
    <x v="3"/>
    <s v="QC04"/>
    <s v="YANG TONGJING"/>
    <n v="18462"/>
    <m/>
    <m/>
    <d v="2025-03-07T00:00:00"/>
    <m/>
    <n v="13"/>
    <n v="240006"/>
    <s v="PE"/>
    <s v="723009600 REVA0001"/>
    <n v="0"/>
    <n v="240000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2563"/>
    <n v="0"/>
    <m/>
    <s v="S19081-TH"/>
    <m/>
    <m/>
    <s v="H0064641"/>
  </r>
  <r>
    <x v="338"/>
    <n v="10000"/>
    <n v="10000"/>
    <d v="2025-03-10T00:00:00"/>
    <s v="502LAUGH"/>
    <s v=" 8:43:24 am"/>
    <s v="M0BTD2082"/>
    <m/>
    <x v="2"/>
    <s v="Yes"/>
    <n v="60"/>
    <s v="Fujishiko UDP-5000"/>
    <x v="3"/>
    <s v="PM30"/>
    <s v="OH KIAN YUAN"/>
    <n v="2500"/>
    <n v="95"/>
    <n v="1.5833333333333333"/>
    <d v="2025-03-07T00:00:00"/>
    <m/>
    <n v="2"/>
    <n v="5000"/>
    <s v="PE"/>
    <s v="BLANK LABEL-65X40002"/>
    <n v="0"/>
    <n v="5000"/>
    <n v="0"/>
    <n v="0"/>
    <n v="0"/>
    <n v="0"/>
    <m/>
    <m/>
    <n v="0"/>
    <m/>
    <m/>
    <m/>
    <m/>
    <m/>
    <m/>
    <m/>
    <m/>
    <s v="BLANK LABEL-65X45MM"/>
    <s v="S19749"/>
    <s v="SINGAPORE SAFETY GLASS PTE LTD"/>
    <m/>
    <n v="0"/>
    <n v="0"/>
    <n v="0"/>
    <n v="0"/>
    <n v="0"/>
    <n v="0"/>
    <m/>
    <m/>
    <m/>
    <s v="No"/>
    <s v="W662599"/>
    <n v="0"/>
    <m/>
    <s v="S19749"/>
    <m/>
    <m/>
    <s v="S0359212"/>
  </r>
  <r>
    <x v="339"/>
    <n v="10000"/>
    <n v="10000"/>
    <d v="2025-03-10T00:00:00"/>
    <s v="502LAUGH"/>
    <s v=" 8:35:05 am"/>
    <s v="SG-5612655 01"/>
    <m/>
    <x v="2"/>
    <s v="Yes"/>
    <n v="78"/>
    <s v="Baby Sanki"/>
    <x v="2"/>
    <s v="PM84"/>
    <s v="TAN TAI TOH"/>
    <n v="1200"/>
    <n v="75"/>
    <n v="1.25"/>
    <d v="2025-03-07T00:00:00"/>
    <m/>
    <n v="15"/>
    <n v="18000"/>
    <s v="PE"/>
    <s v="20041049-WIDTH 10001"/>
    <n v="0"/>
    <n v="18000"/>
    <n v="0"/>
    <n v="0"/>
    <n v="0"/>
    <n v="0"/>
    <m/>
    <m/>
    <n v="0"/>
    <m/>
    <m/>
    <m/>
    <m/>
    <m/>
    <m/>
    <m/>
    <m/>
    <s v="20041049-WIDTH 1-07"/>
    <s v="I09180-SUNNINGDALE"/>
    <s v="SUNNINGDALE TECH LTD"/>
    <m/>
    <n v="0"/>
    <n v="0"/>
    <n v="0"/>
    <n v="0"/>
    <n v="0"/>
    <n v="0"/>
    <m/>
    <m/>
    <m/>
    <s v="No"/>
    <s v="W662600"/>
    <n v="0"/>
    <m/>
    <s v="I09180-SUNNINGDALE"/>
    <m/>
    <m/>
    <s v="S0359214"/>
  </r>
  <r>
    <x v="340"/>
    <n v="10000"/>
    <n v="10000"/>
    <d v="2025-03-07T00:00:00"/>
    <s v="502LAUGH"/>
    <s v=" 5:40:00 pm"/>
    <s v="U530352047/501241326"/>
    <m/>
    <x v="2"/>
    <s v="Yes"/>
    <n v="32"/>
    <s v="Lintec Intermittent"/>
    <x v="2"/>
    <s v="PM26"/>
    <s v="TAN AIK KEONG"/>
    <n v="5860"/>
    <m/>
    <m/>
    <d v="2025-03-07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989"/>
    <n v="0"/>
    <m/>
    <s v="J10025"/>
    <m/>
    <m/>
    <s v="S0359222"/>
  </r>
  <r>
    <x v="341"/>
    <n v="10000"/>
    <n v="10000"/>
    <d v="2025-03-07T00:00:00"/>
    <s v="502LAUGH"/>
    <s v=" 5:40:00 pm"/>
    <s v="U530352047/501241326"/>
    <m/>
    <x v="2"/>
    <s v="Yes"/>
    <n v="32"/>
    <s v="Lintec Intermittent"/>
    <x v="2"/>
    <s v="PM26"/>
    <s v="TAN AIK KEONG"/>
    <n v="5860"/>
    <m/>
    <m/>
    <d v="2025-03-07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993"/>
    <n v="0"/>
    <m/>
    <s v="J10025"/>
    <m/>
    <m/>
    <s v="S0359223"/>
  </r>
  <r>
    <x v="291"/>
    <n v="10000"/>
    <n v="20000"/>
    <d v="2025-03-10T00:00:00"/>
    <s v="502LAUGH"/>
    <s v=" 8:32:40 am"/>
    <s v="J00SB5030"/>
    <m/>
    <x v="0"/>
    <s v="Yes"/>
    <n v="71"/>
    <s v="POLLY"/>
    <x v="3"/>
    <s v="PS95"/>
    <s v="LIM CHENG LEONG"/>
    <n v="16667"/>
    <m/>
    <m/>
    <d v="2025-03-07T00:00:00"/>
    <m/>
    <n v="3"/>
    <n v="50001"/>
    <s v="PE"/>
    <s v="GR-1140001"/>
    <n v="0"/>
    <n v="50000"/>
    <n v="1"/>
    <n v="0"/>
    <n v="0"/>
    <n v="0"/>
    <m/>
    <m/>
    <n v="0"/>
    <m/>
    <m/>
    <m/>
    <m/>
    <m/>
    <m/>
    <m/>
    <m/>
    <s v="GR-114"/>
    <s v="G07076"/>
    <s v="GIVAUDAN SINGAPORE PTE LTD"/>
    <m/>
    <n v="0"/>
    <n v="0"/>
    <n v="0"/>
    <n v="0"/>
    <n v="0"/>
    <n v="0"/>
    <m/>
    <m/>
    <m/>
    <s v="No"/>
    <s v="W662611"/>
    <n v="0"/>
    <m/>
    <s v="G07076"/>
    <m/>
    <m/>
    <s v="S0359263"/>
  </r>
  <r>
    <x v="130"/>
    <n v="10000"/>
    <n v="20000"/>
    <d v="2025-03-13T00:00:00"/>
    <s v="502LAUGH"/>
    <s v=" 2:34:49 pm"/>
    <n v="10639931050"/>
    <m/>
    <x v="0"/>
    <s v="Yes"/>
    <n v="77"/>
    <s v="Brotech DF330 "/>
    <x v="0"/>
    <s v="PM74"/>
    <s v="YONG CHEE SOON"/>
    <n v="2023"/>
    <n v="78.716666666666669"/>
    <n v="1.3119444444444446"/>
    <d v="2025-03-07T00:00:00"/>
    <m/>
    <n v="88"/>
    <n v="178024"/>
    <s v="PE"/>
    <s v="3YM63-80017-FT0001"/>
    <n v="0"/>
    <n v="180000"/>
    <n v="-1976"/>
    <n v="0"/>
    <n v="0"/>
    <n v="0"/>
    <m/>
    <m/>
    <n v="0"/>
    <m/>
    <m/>
    <m/>
    <m/>
    <m/>
    <m/>
    <m/>
    <m/>
    <s v="3YM63-80017-FT"/>
    <s v="H08031-JIM-M"/>
    <s v="HP MALAYSIA MANUFACTURING SDN.BHD."/>
    <m/>
    <n v="0"/>
    <n v="0"/>
    <n v="0"/>
    <n v="0"/>
    <n v="0"/>
    <n v="0"/>
    <m/>
    <m/>
    <m/>
    <s v="No"/>
    <s v="W663586"/>
    <n v="0"/>
    <m/>
    <s v="H08031-JIM-M"/>
    <m/>
    <m/>
    <s v="S0359299"/>
  </r>
  <r>
    <x v="131"/>
    <n v="10000"/>
    <n v="20000"/>
    <d v="2025-03-13T00:00:00"/>
    <s v="502LAUGH"/>
    <s v=" 1:38:36 pm"/>
    <n v="10639931052"/>
    <m/>
    <x v="0"/>
    <s v="Yes"/>
    <n v="77"/>
    <s v="Brotech DF330 "/>
    <x v="0"/>
    <s v="PM74"/>
    <s v="YONG CHEE SOON"/>
    <n v="2887"/>
    <n v="93.116666666666674"/>
    <n v="1.5519444444444446"/>
    <d v="2025-03-07T00:00:00"/>
    <m/>
    <n v="88"/>
    <n v="254056"/>
    <s v="PE"/>
    <s v="6ZD61-800010001"/>
    <n v="0"/>
    <n v="230000"/>
    <n v="24056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3020"/>
    <n v="0"/>
    <m/>
    <s v="H08031-JIM-M"/>
    <m/>
    <m/>
    <s v="S0359323"/>
  </r>
  <r>
    <x v="132"/>
    <n v="10000"/>
    <n v="20000"/>
    <d v="2025-03-13T00:00:00"/>
    <s v="502LAUGH"/>
    <s v=" 1:35:33 pm"/>
    <s v="10639931050/10639931049"/>
    <m/>
    <x v="0"/>
    <s v="Yes"/>
    <n v="77"/>
    <s v="Brotech DF330 "/>
    <x v="0"/>
    <s v="PM74"/>
    <s v="YONG CHEE SOON"/>
    <n v="3523"/>
    <n v="103.71666666666667"/>
    <n v="1.7286111111111111"/>
    <d v="2025-03-07T00:00:00"/>
    <m/>
    <n v="88"/>
    <n v="310024"/>
    <s v="PE"/>
    <s v="3YM55-80009-FT0001"/>
    <n v="0"/>
    <n v="310000"/>
    <n v="24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591"/>
    <n v="0"/>
    <m/>
    <s v="H08031-JIM-M"/>
    <m/>
    <m/>
    <s v="S0359324"/>
  </r>
  <r>
    <x v="342"/>
    <n v="10000"/>
    <n v="10000"/>
    <d v="2025-03-07T00:00:00"/>
    <s v="502LAUGH"/>
    <s v=" 5:12:30 pm"/>
    <s v="E04JO6403"/>
    <m/>
    <x v="2"/>
    <s v="Yes"/>
    <n v="94"/>
    <s v="Taiyo"/>
    <x v="2"/>
    <s v="PM09"/>
    <s v="PANG JING FULL"/>
    <n v="10000"/>
    <m/>
    <m/>
    <d v="2025-03-07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3022"/>
    <n v="0"/>
    <m/>
    <s v="W23041-TH"/>
    <m/>
    <m/>
    <s v="H0064676"/>
  </r>
  <r>
    <x v="343"/>
    <n v="10000"/>
    <n v="10000"/>
    <d v="2025-03-10T00:00:00"/>
    <s v="502LAUGH"/>
    <s v=" 8:36:27 am"/>
    <s v="M0BSO3780"/>
    <m/>
    <x v="2"/>
    <s v="Yes"/>
    <n v="94"/>
    <s v="Taiyo"/>
    <x v="2"/>
    <s v="PM09"/>
    <s v="PANG JING FULL"/>
    <n v="10000"/>
    <m/>
    <m/>
    <d v="2025-03-07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3596"/>
    <n v="0"/>
    <m/>
    <s v="W23041-TH"/>
    <m/>
    <m/>
    <s v="H0064677"/>
  </r>
  <r>
    <x v="217"/>
    <n v="10000"/>
    <n v="20000"/>
    <d v="2025-03-12T00:00:00"/>
    <s v="502LAUGH"/>
    <d v="1899-12-30T11:24:54"/>
    <s v="M0BTC15911524"/>
    <m/>
    <x v="2"/>
    <s v="Yes"/>
    <n v="71"/>
    <s v="POLLY"/>
    <x v="3"/>
    <s v="PM16"/>
    <s v="TEO KAH JUN"/>
    <n v="2698"/>
    <m/>
    <m/>
    <d v="2025-03-07T00:00:00"/>
    <m/>
    <n v="1344"/>
    <n v="3626112"/>
    <s v="PE"/>
    <s v="719708-AD42150001"/>
    <n v="0"/>
    <n v="3238689"/>
    <n v="387423"/>
    <n v="0"/>
    <n v="0"/>
    <n v="0"/>
    <m/>
    <m/>
    <n v="0"/>
    <m/>
    <m/>
    <m/>
    <m/>
    <m/>
    <m/>
    <m/>
    <m/>
    <s v="719708-AD4215"/>
    <s v="V22000-DE"/>
    <s v="VARTA MICROBATTERY GMBH"/>
    <m/>
    <n v="0"/>
    <n v="0"/>
    <n v="0"/>
    <n v="0"/>
    <n v="0"/>
    <n v="0"/>
    <m/>
    <m/>
    <m/>
    <s v="No"/>
    <s v="W663600"/>
    <n v="0"/>
    <m/>
    <s v="V22000-DE"/>
    <m/>
    <m/>
    <s v="S0359336"/>
  </r>
  <r>
    <x v="344"/>
    <n v="10000"/>
    <n v="20000"/>
    <d v="2025-03-10T00:00:00"/>
    <s v="502LAUGH"/>
    <s v=" 1:18:28 pm"/>
    <s v="BXH040-01"/>
    <m/>
    <x v="0"/>
    <s v="Yes"/>
    <n v="105"/>
    <s v="Laser"/>
    <x v="5"/>
    <s v="PM87"/>
    <s v="LEE SHIEN WEI"/>
    <n v="600"/>
    <m/>
    <m/>
    <d v="2025-03-07T00:00:00"/>
    <m/>
    <n v="1"/>
    <n v="600"/>
    <s v="PE"/>
    <s v="MEES CPOS FIBRE0001"/>
    <n v="0"/>
    <n v="500"/>
    <n v="100"/>
    <n v="0"/>
    <n v="0"/>
    <n v="0"/>
    <m/>
    <m/>
    <n v="0"/>
    <m/>
    <m/>
    <m/>
    <m/>
    <m/>
    <m/>
    <m/>
    <m/>
    <s v="MEES CPOS FIBRE"/>
    <s v="S19671"/>
    <s v="SKB ELECTRICAL ENGINEERING PTE LTD"/>
    <m/>
    <n v="0"/>
    <n v="0"/>
    <n v="0"/>
    <n v="0"/>
    <n v="0"/>
    <n v="0"/>
    <m/>
    <m/>
    <m/>
    <s v="No"/>
    <s v="W662620"/>
    <n v="0"/>
    <m/>
    <s v="S19671"/>
    <m/>
    <m/>
    <s v="S0359340"/>
  </r>
  <r>
    <x v="345"/>
    <n v="10000"/>
    <n v="20000"/>
    <d v="2025-03-10T00:00:00"/>
    <s v="502LAUGH"/>
    <d v="1899-12-30T11:24:36"/>
    <s v="BXH040-01"/>
    <m/>
    <x v="0"/>
    <s v="Yes"/>
    <n v="105"/>
    <s v="Laser"/>
    <x v="5"/>
    <s v="PM87"/>
    <s v="LEE SHIEN WEI"/>
    <n v="1200"/>
    <m/>
    <m/>
    <d v="2025-03-07T00:00:00"/>
    <m/>
    <n v="1"/>
    <n v="1200"/>
    <s v="PE"/>
    <s v="MEES CPOS-124X380001"/>
    <n v="0"/>
    <n v="1000"/>
    <n v="200"/>
    <n v="0"/>
    <n v="0"/>
    <n v="0"/>
    <m/>
    <m/>
    <n v="0"/>
    <m/>
    <m/>
    <m/>
    <m/>
    <m/>
    <m/>
    <m/>
    <m/>
    <s v="MEES CPOS-124X38MM"/>
    <s v="S19671"/>
    <s v="SKB ELECTRICAL ENGINEERING PTE LTD"/>
    <m/>
    <n v="0"/>
    <n v="0"/>
    <n v="0"/>
    <n v="0"/>
    <n v="0"/>
    <n v="0"/>
    <m/>
    <m/>
    <m/>
    <s v="No"/>
    <s v="W662621"/>
    <n v="0"/>
    <m/>
    <s v="S19671"/>
    <m/>
    <m/>
    <s v="S0359340"/>
  </r>
  <r>
    <x v="346"/>
    <n v="10000"/>
    <n v="20000"/>
    <d v="2025-03-10T00:00:00"/>
    <s v="502LAUGH"/>
    <d v="1899-12-30T11:21:31"/>
    <s v="BXH040-01"/>
    <m/>
    <x v="0"/>
    <s v="Yes"/>
    <n v="105"/>
    <s v="Laser"/>
    <x v="5"/>
    <s v="PM87"/>
    <s v="LEE SHIEN WEI"/>
    <n v="600"/>
    <m/>
    <m/>
    <d v="2025-03-07T00:00:00"/>
    <m/>
    <n v="1"/>
    <n v="600"/>
    <s v="PE"/>
    <s v="MEES CPOS-230X480001"/>
    <n v="0"/>
    <n v="500"/>
    <n v="100"/>
    <n v="0"/>
    <n v="0"/>
    <n v="0"/>
    <m/>
    <m/>
    <n v="0"/>
    <m/>
    <m/>
    <m/>
    <m/>
    <m/>
    <m/>
    <m/>
    <m/>
    <s v="MEES CPOS-230X48MM"/>
    <s v="S19671"/>
    <s v="SKB ELECTRICAL ENGINEERING PTE LTD"/>
    <m/>
    <n v="0"/>
    <n v="0"/>
    <n v="0"/>
    <n v="0"/>
    <n v="0"/>
    <n v="0"/>
    <m/>
    <m/>
    <m/>
    <s v="No"/>
    <s v="W662622"/>
    <n v="0"/>
    <m/>
    <s v="S19671"/>
    <m/>
    <m/>
    <s v="S0359340"/>
  </r>
  <r>
    <x v="219"/>
    <n v="10000"/>
    <n v="20000"/>
    <d v="2025-03-10T00:00:00"/>
    <s v="502LAUGH"/>
    <d v="1899-12-30T11:25:13"/>
    <s v="BYF039-01"/>
    <m/>
    <x v="0"/>
    <s v="Yes"/>
    <n v="105"/>
    <s v="Laser"/>
    <x v="5"/>
    <s v="PM87"/>
    <s v="LEE SHIEN WEI"/>
    <n v="1200"/>
    <m/>
    <m/>
    <d v="2025-03-07T00:00:00"/>
    <m/>
    <n v="1"/>
    <n v="1200"/>
    <s v="PE"/>
    <s v="MEES CPOS-80X20M0001"/>
    <n v="0"/>
    <n v="1000"/>
    <n v="200"/>
    <n v="0"/>
    <n v="0"/>
    <n v="0"/>
    <m/>
    <m/>
    <n v="0"/>
    <m/>
    <m/>
    <m/>
    <m/>
    <m/>
    <m/>
    <m/>
    <m/>
    <s v="MEES CPOS-80X20MM"/>
    <s v="S19671"/>
    <s v="SKB ELECTRICAL ENGINEERING PTE LTD"/>
    <m/>
    <n v="0"/>
    <n v="0"/>
    <n v="0"/>
    <n v="0"/>
    <n v="0"/>
    <n v="0"/>
    <m/>
    <m/>
    <m/>
    <s v="No"/>
    <s v="W662623"/>
    <n v="0"/>
    <m/>
    <s v="S19671"/>
    <m/>
    <m/>
    <s v="S0359340"/>
  </r>
  <r>
    <x v="139"/>
    <n v="10000"/>
    <n v="20000"/>
    <d v="2025-03-10T00:00:00"/>
    <s v="502LAUGH"/>
    <s v=" 2:12:59 pm"/>
    <n v="925200"/>
    <m/>
    <x v="0"/>
    <s v="Yes"/>
    <n v="92"/>
    <s v="Polly Digital Cut"/>
    <x v="6"/>
    <s v="PM87"/>
    <s v="LEE SHIEN WEI"/>
    <n v="3200"/>
    <m/>
    <m/>
    <d v="2025-03-07T00:00:00"/>
    <m/>
    <n v="1"/>
    <n v="3200"/>
    <s v="PE"/>
    <n v="10258252000001"/>
    <n v="0"/>
    <n v="3000"/>
    <n v="200"/>
    <n v="0"/>
    <n v="0"/>
    <n v="0"/>
    <m/>
    <m/>
    <n v="0"/>
    <m/>
    <m/>
    <m/>
    <m/>
    <m/>
    <m/>
    <m/>
    <m/>
    <n v="1025825200"/>
    <s v="M13755"/>
    <s v="MEIBAN MOLD MANUFACTURE PTE LTD"/>
    <m/>
    <n v="0"/>
    <n v="0"/>
    <n v="0"/>
    <n v="0"/>
    <n v="0"/>
    <n v="0"/>
    <m/>
    <m/>
    <m/>
    <s v="No"/>
    <s v="W662627"/>
    <n v="0"/>
    <m/>
    <s v="M13755"/>
    <m/>
    <m/>
    <s v="S0359807"/>
  </r>
  <r>
    <x v="149"/>
    <n v="10000"/>
    <n v="20000"/>
    <d v="2025-03-24T00:00:00"/>
    <s v="502LAUGH"/>
    <s v=" 8:55:11 am"/>
    <n v="10639931050"/>
    <m/>
    <x v="0"/>
    <s v="Yes"/>
    <n v="77"/>
    <s v="Brotech DF330 "/>
    <x v="0"/>
    <s v="PM74"/>
    <s v="YONG CHEE SOON"/>
    <n v="523"/>
    <n v="53.716666666666669"/>
    <n v="0.89527777777777784"/>
    <d v="2025-03-07T00:00:00"/>
    <m/>
    <n v="88"/>
    <n v="46024"/>
    <s v="PE"/>
    <s v="CH562-80153-FT0001"/>
    <n v="0"/>
    <n v="30000"/>
    <n v="16024"/>
    <n v="0"/>
    <n v="0"/>
    <n v="0"/>
    <m/>
    <m/>
    <n v="0"/>
    <m/>
    <m/>
    <m/>
    <m/>
    <m/>
    <m/>
    <m/>
    <m/>
    <s v="CH562-80153-FT"/>
    <s v="H08031-JIM-M"/>
    <s v="HP MALAYSIA MANUFACTURING SDN.BHD."/>
    <m/>
    <n v="0"/>
    <n v="0"/>
    <n v="0"/>
    <n v="0"/>
    <n v="0"/>
    <n v="0"/>
    <m/>
    <m/>
    <m/>
    <s v="No"/>
    <s v="W663605"/>
    <n v="0"/>
    <m/>
    <s v="H08031-JIM-M"/>
    <m/>
    <m/>
    <s v="S0359840"/>
  </r>
  <r>
    <x v="347"/>
    <n v="10000"/>
    <n v="10000"/>
    <d v="2025-03-10T00:00:00"/>
    <s v="502LAUGH"/>
    <s v=" 4:36:20 pm"/>
    <s v="SG-5644655 01"/>
    <m/>
    <x v="2"/>
    <s v="Yes"/>
    <n v="31"/>
    <s v="Sanki SKP250 Full Rotary"/>
    <x v="2"/>
    <s v="PS27"/>
    <s v="TAN TECK HEE"/>
    <n v="2500"/>
    <n v="107.5"/>
    <n v="1.7916666666666667"/>
    <d v="2025-03-07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2639"/>
    <n v="0"/>
    <m/>
    <s v="I09180"/>
    <m/>
    <m/>
    <s v="S0359879"/>
  </r>
  <r>
    <x v="347"/>
    <n v="20000"/>
    <n v="10000"/>
    <d v="2025-03-10T00:00:00"/>
    <s v="502LAUGH"/>
    <s v=" 4:36:20 pm"/>
    <s v="SG-5644655 01"/>
    <m/>
    <x v="2"/>
    <s v="Yes"/>
    <n v="31"/>
    <s v="Sanki SKP250 Full Rotary"/>
    <x v="2"/>
    <s v="PS27"/>
    <s v="TAN TECK HEE"/>
    <n v="2500"/>
    <n v="107.5"/>
    <n v="1.7916666666666667"/>
    <d v="2025-03-07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2639"/>
    <n v="0"/>
    <m/>
    <s v="I09180"/>
    <m/>
    <m/>
    <s v="S0359879"/>
  </r>
  <r>
    <x v="348"/>
    <n v="10000"/>
    <n v="10000"/>
    <d v="2025-03-18T00:00:00"/>
    <s v="502LAUGH"/>
    <s v=" 2:45:58 pm"/>
    <s v="M0BSM9430/M0BSM94101524/M0BSM9461"/>
    <m/>
    <x v="2"/>
    <s v="Yes"/>
    <n v="29"/>
    <s v="Sanki SKP250 Full Rotary"/>
    <x v="2"/>
    <s v="PS70"/>
    <s v="YEO WOO KEONG"/>
    <n v="80000"/>
    <n v="2045"/>
    <n v="34.083333333333336"/>
    <d v="2025-03-07T00:00:00"/>
    <m/>
    <n v="28"/>
    <n v="2240000"/>
    <s v="PE"/>
    <n v="6622480001"/>
    <n v="0"/>
    <n v="2218146"/>
    <n v="21854"/>
    <n v="0"/>
    <n v="0"/>
    <n v="0"/>
    <m/>
    <m/>
    <n v="0"/>
    <m/>
    <m/>
    <m/>
    <m/>
    <m/>
    <m/>
    <m/>
    <m/>
    <n v="662248"/>
    <s v="V22000-DE"/>
    <s v="VARTA MICROBATTERY GMBH"/>
    <m/>
    <n v="0"/>
    <n v="0"/>
    <n v="0"/>
    <n v="0"/>
    <n v="0"/>
    <n v="0"/>
    <m/>
    <m/>
    <m/>
    <s v="No"/>
    <s v="W663617"/>
    <n v="0"/>
    <m/>
    <s v="V22000-DE"/>
    <m/>
    <m/>
    <s v="S0360711"/>
  </r>
  <r>
    <x v="349"/>
    <n v="10000"/>
    <n v="10000"/>
    <d v="2025-03-10T00:00:00"/>
    <s v="502LAUGH"/>
    <s v=" 8:35:05 am"/>
    <s v="SG-5612655 01"/>
    <m/>
    <x v="2"/>
    <s v="Yes"/>
    <n v="78"/>
    <s v="Baby Sanki"/>
    <x v="2"/>
    <s v="PM84"/>
    <s v="TAN TAI TOH"/>
    <n v="800"/>
    <n v="65"/>
    <n v="1.0833333333333333"/>
    <d v="2025-03-07T00:00:00"/>
    <m/>
    <n v="15"/>
    <n v="12000"/>
    <s v="PE"/>
    <s v="20041049-WIDTH 10001"/>
    <n v="0"/>
    <n v="12000"/>
    <n v="0"/>
    <n v="0"/>
    <n v="0"/>
    <n v="0"/>
    <m/>
    <m/>
    <n v="0"/>
    <m/>
    <m/>
    <m/>
    <m/>
    <m/>
    <m/>
    <m/>
    <m/>
    <s v="20041049-WIDTH 1-07"/>
    <s v="I09180-SUNNINGDALE"/>
    <s v="SUNNINGDALE TECH LTD"/>
    <m/>
    <n v="0"/>
    <n v="0"/>
    <n v="0"/>
    <n v="0"/>
    <n v="0"/>
    <n v="0"/>
    <m/>
    <m/>
    <m/>
    <s v="No"/>
    <s v="W662646"/>
    <n v="0"/>
    <m/>
    <s v="I09180-SUNNINGDALE"/>
    <m/>
    <m/>
    <s v="S0360735"/>
  </r>
  <r>
    <x v="350"/>
    <n v="10000"/>
    <n v="10000"/>
    <d v="2025-03-07T00:00:00"/>
    <s v="502LAUGH"/>
    <s v=" 2:48:23 pm"/>
    <s v="3082509U9"/>
    <m/>
    <x v="2"/>
    <s v="Yes"/>
    <n v="61"/>
    <s v="FSK 520"/>
    <x v="2"/>
    <s v="PM68"/>
    <s v="LEE KIM LIANG"/>
    <n v="100"/>
    <n v="47"/>
    <n v="0.78333333333333333"/>
    <d v="2025-03-07T00:00:00"/>
    <m/>
    <n v="1"/>
    <n v="100"/>
    <s v="PE"/>
    <n v="107353950001"/>
    <n v="0"/>
    <n v="100"/>
    <n v="0"/>
    <n v="0"/>
    <n v="0"/>
    <n v="0"/>
    <m/>
    <m/>
    <n v="0"/>
    <m/>
    <m/>
    <m/>
    <m/>
    <m/>
    <m/>
    <m/>
    <m/>
    <n v="10735395"/>
    <s v="I09109"/>
    <s v="IKE TECHNOLOGY"/>
    <m/>
    <n v="0"/>
    <n v="0"/>
    <n v="0"/>
    <n v="0"/>
    <n v="0"/>
    <n v="0"/>
    <m/>
    <m/>
    <m/>
    <s v="No"/>
    <s v="W662649"/>
    <n v="0"/>
    <m/>
    <s v="I09109"/>
    <m/>
    <m/>
    <s v="S0360742"/>
  </r>
  <r>
    <x v="351"/>
    <n v="10000"/>
    <n v="10000"/>
    <d v="2025-03-07T00:00:00"/>
    <s v="502LAUGH"/>
    <s v=" 2:48:23 pm"/>
    <s v="3082509U9"/>
    <m/>
    <x v="2"/>
    <s v="Yes"/>
    <n v="61"/>
    <s v="FSK 520"/>
    <x v="2"/>
    <s v="PM68"/>
    <s v="LEE KIM LIANG"/>
    <n v="5"/>
    <n v="45.1"/>
    <n v="0.75166666666666671"/>
    <d v="2025-03-07T00:00:00"/>
    <m/>
    <n v="1"/>
    <n v="5"/>
    <s v="PE"/>
    <n v="107353950001"/>
    <n v="0"/>
    <n v="5"/>
    <n v="0"/>
    <n v="0"/>
    <n v="0"/>
    <n v="0"/>
    <m/>
    <m/>
    <n v="0"/>
    <m/>
    <m/>
    <m/>
    <m/>
    <m/>
    <m/>
    <m/>
    <m/>
    <n v="10735395"/>
    <s v="I09109"/>
    <s v="IKE TECHNOLOGY"/>
    <m/>
    <n v="0"/>
    <n v="0"/>
    <n v="0"/>
    <n v="0"/>
    <n v="0"/>
    <n v="0"/>
    <m/>
    <m/>
    <m/>
    <s v="No"/>
    <s v="W662652"/>
    <n v="0"/>
    <m/>
    <s v="I09109"/>
    <m/>
    <m/>
    <s v="ZSA101754"/>
  </r>
  <r>
    <x v="352"/>
    <n v="10000"/>
    <n v="10000"/>
    <d v="2025-03-14T00:00:00"/>
    <s v="502LAUGH"/>
    <s v=" 8:43:21 am"/>
    <s v="D10072851"/>
    <m/>
    <x v="2"/>
    <s v="Yes"/>
    <n v="88"/>
    <s v="OKI"/>
    <x v="4"/>
    <s v="PP24"/>
    <s v="HO HON SENG"/>
    <n v="1594"/>
    <m/>
    <m/>
    <d v="2025-03-07T00:00:00"/>
    <m/>
    <n v="1"/>
    <n v="1594"/>
    <s v="PE"/>
    <s v="PRTN2037351818-20001"/>
    <n v="0"/>
    <n v="1594"/>
    <n v="0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3045"/>
    <n v="0"/>
    <m/>
    <s v="A01486"/>
    <m/>
    <m/>
    <s v="S0360886"/>
  </r>
  <r>
    <x v="352"/>
    <n v="20000"/>
    <n v="10000"/>
    <d v="2025-03-14T00:00:00"/>
    <s v="502LAUGH"/>
    <s v=" 8:43:21 am"/>
    <s v="D10072851"/>
    <m/>
    <x v="2"/>
    <s v="Yes"/>
    <n v="88"/>
    <s v="OKI"/>
    <x v="4"/>
    <s v="PP24"/>
    <s v="HO HON SENG"/>
    <n v="606"/>
    <m/>
    <m/>
    <d v="2025-03-07T00:00:00"/>
    <m/>
    <n v="1"/>
    <n v="606"/>
    <s v="PE"/>
    <s v="PRTN2037351818-20001"/>
    <n v="0"/>
    <n v="606"/>
    <n v="0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3045"/>
    <n v="0"/>
    <m/>
    <s v="A01486"/>
    <m/>
    <m/>
    <s v="S0360886"/>
  </r>
  <r>
    <x v="353"/>
    <n v="10000"/>
    <n v="10000"/>
    <d v="2025-03-10T00:00:00"/>
    <s v="502LAUGH"/>
    <s v=" 2:14:41 pm"/>
    <s v="4111523U5"/>
    <m/>
    <x v="2"/>
    <s v="Yes"/>
    <n v="12"/>
    <s v="FSK SR520"/>
    <x v="2"/>
    <s v="PP05"/>
    <s v="WONG KIM FATT"/>
    <n v="32000"/>
    <n v="685"/>
    <n v="11.416666666666666"/>
    <d v="2025-03-07T00:00:00"/>
    <m/>
    <n v="1"/>
    <n v="32000"/>
    <s v="PE"/>
    <s v="250-6222-000001"/>
    <n v="0"/>
    <n v="32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2671"/>
    <n v="0"/>
    <m/>
    <s v="J10025"/>
    <m/>
    <m/>
    <s v="S0360904"/>
  </r>
  <r>
    <x v="354"/>
    <n v="10000"/>
    <n v="10000"/>
    <d v="2025-03-07T00:00:00"/>
    <s v="502LAUGH"/>
    <d v="1899-12-30T12:48:37"/>
    <s v="4111520U5"/>
    <m/>
    <x v="2"/>
    <s v="Yes"/>
    <n v="22"/>
    <s v="FSK B100"/>
    <x v="2"/>
    <s v="PS13"/>
    <s v="YEE CHENG MENG"/>
    <n v="3000"/>
    <n v="105"/>
    <n v="1.75"/>
    <d v="2025-03-07T00:00:00"/>
    <m/>
    <n v="2"/>
    <n v="6000"/>
    <s v="PE"/>
    <s v="260-6306-000001"/>
    <n v="0"/>
    <n v="6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2673"/>
    <n v="0"/>
    <m/>
    <s v="J10025"/>
    <m/>
    <m/>
    <s v="S0360904"/>
  </r>
  <r>
    <x v="355"/>
    <n v="10000"/>
    <n v="10000"/>
    <d v="2025-03-07T00:00:00"/>
    <s v="502LAUGH"/>
    <s v=" 2:50:06 pm"/>
    <s v="4111525U5A"/>
    <m/>
    <x v="2"/>
    <s v="Yes"/>
    <n v="61"/>
    <s v="FSK 520"/>
    <x v="2"/>
    <s v="PM61"/>
    <s v="HO CHAN LE"/>
    <n v="1667"/>
    <n v="78.34"/>
    <n v="1.3056666666666668"/>
    <d v="2025-03-07T00:00:00"/>
    <m/>
    <n v="6"/>
    <n v="10002"/>
    <s v="PE"/>
    <s v="260-6310-000001"/>
    <n v="0"/>
    <n v="10000"/>
    <n v="2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2674"/>
    <n v="0"/>
    <m/>
    <s v="J10025"/>
    <m/>
    <m/>
    <s v="S0360904"/>
  </r>
  <r>
    <x v="356"/>
    <n v="10000"/>
    <n v="10000"/>
    <d v="2025-03-07T00:00:00"/>
    <s v="502LAUGH"/>
    <s v=" 5:40:30 pm"/>
    <s v="4111520U5/4111522U5A"/>
    <m/>
    <x v="2"/>
    <s v="Yes"/>
    <n v="22"/>
    <s v="FSK B100"/>
    <x v="2"/>
    <s v="PS13"/>
    <s v="YEE CHENG MENG"/>
    <n v="11500"/>
    <n v="275"/>
    <n v="4.583333333333333"/>
    <d v="2025-03-07T00:00:00"/>
    <m/>
    <n v="2"/>
    <n v="23000"/>
    <s v="PE"/>
    <s v="260-6306-000001"/>
    <n v="0"/>
    <n v="23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2685"/>
    <n v="0"/>
    <m/>
    <s v="J10025"/>
    <m/>
    <m/>
    <s v="S0360906"/>
  </r>
  <r>
    <x v="357"/>
    <n v="10000"/>
    <n v="10000"/>
    <d v="2025-03-07T00:00:00"/>
    <s v="502LAUGH"/>
    <s v=" 5:12:56 pm"/>
    <s v="4111525U5A"/>
    <m/>
    <x v="2"/>
    <s v="Yes"/>
    <n v="61"/>
    <s v="FSK 520"/>
    <x v="2"/>
    <s v="PM61"/>
    <s v="HO CHAN LE"/>
    <n v="3667"/>
    <n v="118.34"/>
    <n v="1.9723333333333335"/>
    <d v="2025-03-07T00:00:00"/>
    <m/>
    <n v="6"/>
    <n v="22002"/>
    <s v="PE"/>
    <s v="260-6310-000001"/>
    <n v="0"/>
    <n v="22000"/>
    <n v="2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3053"/>
    <n v="0"/>
    <m/>
    <s v="J10025"/>
    <m/>
    <m/>
    <s v="S0360906"/>
  </r>
  <r>
    <x v="358"/>
    <n v="10000"/>
    <n v="10000"/>
    <d v="2025-03-07T00:00:00"/>
    <s v="502LAUGH"/>
    <s v=" 2:50:06 pm"/>
    <s v="U481252037"/>
    <m/>
    <x v="2"/>
    <s v="Yes"/>
    <n v="65"/>
    <s v="Sanki SDR300"/>
    <x v="3"/>
    <s v="PMJ7"/>
    <s v="FOONG SEL YI"/>
    <n v="12000"/>
    <n v="345"/>
    <n v="5.75"/>
    <d v="2025-03-07T00:00:00"/>
    <m/>
    <n v="2"/>
    <n v="24000"/>
    <s v="PE"/>
    <s v="BLANK-101.6X72.50001"/>
    <n v="0"/>
    <n v="24000"/>
    <n v="0"/>
    <n v="0"/>
    <n v="0"/>
    <n v="0"/>
    <m/>
    <m/>
    <n v="0"/>
    <m/>
    <m/>
    <m/>
    <m/>
    <m/>
    <m/>
    <m/>
    <m/>
    <s v="BLANK-101.6X72.5MM"/>
    <s v="S19718"/>
    <s v="STSS INTEGRATED PTE LTD"/>
    <m/>
    <n v="0"/>
    <n v="0"/>
    <n v="0"/>
    <n v="0"/>
    <n v="0"/>
    <n v="0"/>
    <m/>
    <m/>
    <m/>
    <s v="No"/>
    <s v="W663063"/>
    <n v="0"/>
    <m/>
    <s v="S19718"/>
    <m/>
    <m/>
    <s v="S0360944"/>
  </r>
  <r>
    <x v="324"/>
    <n v="10000"/>
    <n v="20000"/>
    <d v="2025-03-07T00:00:00"/>
    <s v="502LAUGH"/>
    <s v=" 5:17:30 pm"/>
    <s v="MOBN5031/XHX2411140015/XHX2406210211"/>
    <m/>
    <x v="0"/>
    <s v="Yes"/>
    <n v="112"/>
    <s v="Hadesheng"/>
    <x v="3"/>
    <s v="PS07"/>
    <s v="KANG HOCK SENG"/>
    <n v="13000"/>
    <n v="695"/>
    <n v="11.583333333333334"/>
    <d v="2025-03-07T00:00:00"/>
    <m/>
    <n v="90"/>
    <n v="1170000"/>
    <s v="PE"/>
    <s v="719705 INDEX4000001"/>
    <n v="0"/>
    <n v="1440000"/>
    <n v="-270000"/>
    <n v="0"/>
    <n v="0"/>
    <n v="0"/>
    <m/>
    <m/>
    <n v="0"/>
    <m/>
    <m/>
    <m/>
    <m/>
    <m/>
    <m/>
    <m/>
    <m/>
    <s v="719705 INDEX403"/>
    <s v="V22000"/>
    <s v="PT VARTA MICROBATTERY INDONESIA"/>
    <m/>
    <n v="0"/>
    <n v="0"/>
    <n v="0"/>
    <n v="0"/>
    <n v="0"/>
    <n v="0"/>
    <m/>
    <m/>
    <m/>
    <s v="No"/>
    <s v="W663064"/>
    <n v="0"/>
    <m/>
    <s v="V22000"/>
    <m/>
    <m/>
    <s v="S0360945"/>
  </r>
  <r>
    <x v="359"/>
    <n v="10000"/>
    <n v="10000"/>
    <d v="2025-03-07T00:00:00"/>
    <s v="502LAUGH"/>
    <s v=" 5:39:04 pm"/>
    <s v="49109/23L11010522"/>
    <m/>
    <x v="2"/>
    <s v="Yes"/>
    <n v="60"/>
    <s v="Fujishiko UDP-5000"/>
    <x v="3"/>
    <s v="PM30"/>
    <s v="OH KIAN YUAN"/>
    <n v="9300"/>
    <n v="231"/>
    <n v="3.85"/>
    <d v="2025-03-07T00:00:00"/>
    <m/>
    <n v="10"/>
    <n v="93000"/>
    <s v="PE"/>
    <s v="TPK-884535-00200001"/>
    <n v="0"/>
    <n v="930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2691"/>
    <n v="0"/>
    <m/>
    <s v="Z26002"/>
    <m/>
    <m/>
    <s v="S0360998"/>
  </r>
  <r>
    <x v="325"/>
    <n v="10000"/>
    <n v="40000"/>
    <d v="2025-03-11T00:00:00"/>
    <s v="502LAUGH"/>
    <d v="1899-12-30T10:45:16"/>
    <n v="59469"/>
    <m/>
    <x v="0"/>
    <s v="Yes"/>
    <n v="96"/>
    <s v="Luster AOI"/>
    <x v="1"/>
    <s v="QM38"/>
    <s v="YIP SIEW CHING"/>
    <n v="167834"/>
    <m/>
    <m/>
    <d v="2025-03-07T00:00:00"/>
    <m/>
    <n v="6"/>
    <n v="1007004"/>
    <s v="PE"/>
    <s v="MT-1000407-902RE0005"/>
    <n v="0"/>
    <n v="1026649"/>
    <n v="-19645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692"/>
    <n v="0"/>
    <m/>
    <s v="Z26002"/>
    <m/>
    <m/>
    <s v="S0361002"/>
  </r>
  <r>
    <x v="326"/>
    <n v="10000"/>
    <n v="20000"/>
    <d v="2025-03-07T00:00:00"/>
    <s v="502LAUGH"/>
    <s v=" 2:49:16 pm"/>
    <n v="59469"/>
    <m/>
    <x v="0"/>
    <s v="Yes"/>
    <n v="96"/>
    <s v="Luster AOI"/>
    <x v="1"/>
    <s v="QM54"/>
    <s v="TAN SWEE LENG"/>
    <n v="30625"/>
    <m/>
    <m/>
    <d v="2025-03-07T00:00:00"/>
    <m/>
    <n v="6"/>
    <n v="183750"/>
    <s v="PE"/>
    <s v="MT-1000170-903RE0002"/>
    <n v="0"/>
    <n v="183750"/>
    <n v="0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62693"/>
    <n v="0"/>
    <m/>
    <s v="Z26002"/>
    <m/>
    <m/>
    <s v="S0361004"/>
  </r>
  <r>
    <x v="360"/>
    <n v="10000"/>
    <n v="10000"/>
    <d v="2025-03-11T00:00:00"/>
    <s v="502LAUGH"/>
    <s v=" 9:32:21 am"/>
    <s v="M4B4A05BGJCJ122-S24Y100279/E0531904"/>
    <m/>
    <x v="2"/>
    <s v="Yes"/>
    <n v="67"/>
    <s v="Fujishoko"/>
    <x v="3"/>
    <s v="PM42"/>
    <s v="ALEXANDER YAP KEE NYEN"/>
    <n v="45000"/>
    <n v="945"/>
    <n v="15.75"/>
    <d v="2025-03-07T00:00:00"/>
    <m/>
    <n v="1"/>
    <n v="45000"/>
    <s v="PE"/>
    <s v="716626800 REVC0001"/>
    <n v="0"/>
    <n v="45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698"/>
    <n v="0"/>
    <m/>
    <s v="S19314"/>
    <m/>
    <m/>
    <s v="H0064732"/>
  </r>
  <r>
    <x v="161"/>
    <n v="10000"/>
    <n v="20000"/>
    <d v="2025-03-13T00:00:00"/>
    <s v="502LAUGH"/>
    <s v=" 8:34:20 am"/>
    <s v="JOOTP98411525/J00WA6862"/>
    <m/>
    <x v="2"/>
    <s v="Yes"/>
    <n v="110"/>
    <s v="Brotech"/>
    <x v="0"/>
    <s v="PM46"/>
    <s v="TAN CHEE CHUN"/>
    <n v="89500"/>
    <n v="1536.6666666666667"/>
    <n v="25.611111111111111"/>
    <d v="2025-03-08T00:00:00"/>
    <m/>
    <n v="4"/>
    <n v="358000"/>
    <s v="PE"/>
    <s v="Z980 REV11.00001"/>
    <n v="0"/>
    <n v="358000"/>
    <n v="0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2939"/>
    <n v="0"/>
    <m/>
    <s v="R18131"/>
    <m/>
    <m/>
    <s v="S0355673"/>
  </r>
  <r>
    <x v="328"/>
    <n v="10000"/>
    <n v="20000"/>
    <d v="2025-03-13T00:00:00"/>
    <s v="502LAUGH"/>
    <s v=" 5:49:29 pm"/>
    <s v="J00T40070/J00WA6671"/>
    <m/>
    <x v="2"/>
    <s v="Yes"/>
    <n v="111"/>
    <s v="Brotech"/>
    <x v="0"/>
    <s v="PM40"/>
    <s v="NGOI CHUN YONG"/>
    <n v="16500"/>
    <n v="320"/>
    <n v="5.333333333333333"/>
    <d v="2025-03-08T00:00:00"/>
    <m/>
    <n v="10"/>
    <n v="165000"/>
    <s v="PE"/>
    <s v="Z512-M0001"/>
    <n v="0"/>
    <n v="165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942"/>
    <n v="0"/>
    <m/>
    <s v="R18131-MEIBAN MICRO"/>
    <m/>
    <m/>
    <s v="S0356568"/>
  </r>
  <r>
    <x v="361"/>
    <n v="10000"/>
    <n v="10000"/>
    <d v="2025-03-10T00:00:00"/>
    <s v="502LAUGH"/>
    <s v=" 2:11:59 pm"/>
    <s v="49109/24G1207183"/>
    <m/>
    <x v="2"/>
    <s v="Yes"/>
    <n v="60"/>
    <s v="Fujishiko UDP-5000"/>
    <x v="3"/>
    <s v="PM30"/>
    <s v="OH KIAN YUAN"/>
    <n v="7000"/>
    <n v="185"/>
    <n v="3.0833333333333335"/>
    <d v="2025-03-08T00:00:00"/>
    <m/>
    <n v="10"/>
    <n v="70000"/>
    <s v="PE"/>
    <s v="TPK-884535-00100001"/>
    <n v="0"/>
    <n v="70000"/>
    <n v="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2416"/>
    <n v="0"/>
    <m/>
    <s v="Z26002"/>
    <m/>
    <m/>
    <s v="S0357500"/>
  </r>
  <r>
    <x v="362"/>
    <n v="10000"/>
    <n v="10000"/>
    <d v="2025-03-10T00:00:00"/>
    <s v="502LAUGH"/>
    <s v=" 8:39:51 am"/>
    <s v="4017803U5/3082510U9"/>
    <m/>
    <x v="2"/>
    <s v="Yes"/>
    <n v="61"/>
    <s v="FSK 520"/>
    <x v="2"/>
    <s v="PM68"/>
    <s v="LEE KIM LIANG"/>
    <n v="500"/>
    <n v="55"/>
    <n v="0.91666666666666663"/>
    <d v="2025-03-08T00:00:00"/>
    <m/>
    <n v="1"/>
    <n v="500"/>
    <s v="PE"/>
    <s v="298055A0001"/>
    <n v="0"/>
    <n v="500"/>
    <n v="0"/>
    <n v="0"/>
    <n v="0"/>
    <n v="0"/>
    <m/>
    <m/>
    <n v="0"/>
    <m/>
    <m/>
    <m/>
    <m/>
    <m/>
    <m/>
    <m/>
    <m/>
    <s v="298055A"/>
    <s v="E05185"/>
    <s v="ELECTRO SCIENTIFIC INDUSTRIES (S) PTE LTD"/>
    <m/>
    <n v="0"/>
    <n v="0"/>
    <n v="0"/>
    <n v="0"/>
    <n v="0"/>
    <n v="0"/>
    <m/>
    <m/>
    <m/>
    <s v="No"/>
    <s v="W662536"/>
    <n v="0"/>
    <m/>
    <s v="E05185"/>
    <m/>
    <m/>
    <s v="S0358430"/>
  </r>
  <r>
    <x v="363"/>
    <n v="10000"/>
    <n v="10000"/>
    <d v="2025-03-10T00:00:00"/>
    <s v="502LAUGH"/>
    <s v=" 8:31:35 am"/>
    <s v="4017803U5/3082510U9"/>
    <m/>
    <x v="2"/>
    <s v="Yes"/>
    <n v="61"/>
    <s v="FSK 520"/>
    <x v="2"/>
    <s v="PM68"/>
    <s v="LEE KIM LIANG"/>
    <n v="500"/>
    <n v="55"/>
    <n v="0.91666666666666663"/>
    <d v="2025-03-08T00:00:00"/>
    <m/>
    <n v="1"/>
    <n v="500"/>
    <s v="PE"/>
    <s v="298391A0001"/>
    <n v="0"/>
    <n v="500"/>
    <n v="0"/>
    <n v="0"/>
    <n v="0"/>
    <n v="0"/>
    <m/>
    <m/>
    <n v="0"/>
    <m/>
    <m/>
    <m/>
    <m/>
    <m/>
    <m/>
    <m/>
    <m/>
    <s v="298391A"/>
    <s v="E05185"/>
    <s v="ELECTRO SCIENTIFIC INDUSTRIES (S) PTE LTD"/>
    <m/>
    <n v="0"/>
    <n v="0"/>
    <n v="0"/>
    <n v="0"/>
    <n v="0"/>
    <n v="0"/>
    <m/>
    <m/>
    <m/>
    <s v="No"/>
    <s v="W662537"/>
    <n v="0"/>
    <m/>
    <s v="E05185"/>
    <m/>
    <m/>
    <s v="S0358430"/>
  </r>
  <r>
    <x v="364"/>
    <n v="10000"/>
    <n v="20000"/>
    <d v="2025-03-11T00:00:00"/>
    <s v="502LAUGH"/>
    <d v="1899-12-30T11:23:48"/>
    <s v="J00788540"/>
    <m/>
    <x v="2"/>
    <s v="Yes"/>
    <n v="86"/>
    <s v="Brotech DF330 "/>
    <x v="0"/>
    <s v="PM45"/>
    <s v="TAY CHIN LIONG"/>
    <n v="56667"/>
    <n v="989.45"/>
    <n v="16.490833333333335"/>
    <d v="2025-03-08T00:00:00"/>
    <m/>
    <n v="3"/>
    <n v="170001"/>
    <s v="PE"/>
    <s v="R001-4965 REV 2.0001"/>
    <n v="0"/>
    <n v="170000"/>
    <n v="1"/>
    <n v="0"/>
    <n v="0"/>
    <n v="0"/>
    <m/>
    <m/>
    <n v="0"/>
    <m/>
    <m/>
    <m/>
    <m/>
    <m/>
    <m/>
    <m/>
    <m/>
    <s v="R001-4965 REV 2.0"/>
    <s v="R18131-MEIBAN MICRO"/>
    <s v="MEIBAN MICRO PTE LTD"/>
    <m/>
    <n v="0"/>
    <n v="0"/>
    <n v="0"/>
    <n v="0"/>
    <n v="0"/>
    <n v="0"/>
    <m/>
    <m/>
    <m/>
    <s v="No"/>
    <s v="W662566"/>
    <n v="0"/>
    <m/>
    <s v="R18131-MEIBAN MICRO"/>
    <m/>
    <m/>
    <s v="S0358495"/>
  </r>
  <r>
    <x v="365"/>
    <n v="10000"/>
    <n v="30000"/>
    <d v="2025-03-10T00:00:00"/>
    <s v="502LAUGH"/>
    <s v=" 8:37:42 am"/>
    <n v="10620258085"/>
    <m/>
    <x v="1"/>
    <s v="Yes"/>
    <n v="85"/>
    <s v="Luster AOI"/>
    <x v="1"/>
    <s v="QM78"/>
    <s v="WONG SEAU JIN"/>
    <n v="7273"/>
    <m/>
    <m/>
    <d v="2025-03-08T00:00:00"/>
    <m/>
    <n v="11"/>
    <n v="80003"/>
    <s v="PE"/>
    <s v="E5Z02-80008-FT0001"/>
    <n v="0"/>
    <n v="64000"/>
    <n v="16003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567"/>
    <n v="0"/>
    <m/>
    <s v="H08031-JIM-M"/>
    <m/>
    <m/>
    <s v="S0358496"/>
  </r>
  <r>
    <x v="366"/>
    <n v="10000"/>
    <n v="10000"/>
    <d v="2025-03-10T00:00:00"/>
    <s v="502LAUGH"/>
    <s v=" 8:43:24 am"/>
    <s v="4103001U5"/>
    <m/>
    <x v="2"/>
    <s v="Yes"/>
    <n v="94"/>
    <s v="Taiyo"/>
    <x v="2"/>
    <s v="PM09"/>
    <s v="PANG JING FULL"/>
    <n v="3000"/>
    <m/>
    <m/>
    <d v="2025-03-08T00:00:00"/>
    <m/>
    <n v="4"/>
    <n v="12000"/>
    <s v="PE"/>
    <s v="0B49096 REVAA0001"/>
    <n v="0"/>
    <n v="12000"/>
    <n v="0"/>
    <n v="0"/>
    <n v="0"/>
    <n v="0"/>
    <m/>
    <m/>
    <n v="0"/>
    <m/>
    <m/>
    <m/>
    <m/>
    <m/>
    <m/>
    <m/>
    <m/>
    <s v="0B49096 REVAA"/>
    <s v="W23041-TH"/>
    <s v="WESTERN DIGITAL STORAGE TECHNOLOGIES"/>
    <m/>
    <n v="0"/>
    <n v="0"/>
    <n v="0"/>
    <n v="0"/>
    <n v="0"/>
    <n v="0"/>
    <m/>
    <m/>
    <m/>
    <s v="No"/>
    <s v="W664077"/>
    <n v="0"/>
    <m/>
    <s v="W23041-TH"/>
    <m/>
    <m/>
    <s v="H0064661"/>
  </r>
  <r>
    <x v="367"/>
    <n v="10000"/>
    <n v="10000"/>
    <d v="2025-03-10T00:00:00"/>
    <s v="502LAUGH"/>
    <s v=" 8:38:09 am"/>
    <s v="4103001U5"/>
    <m/>
    <x v="2"/>
    <s v="Yes"/>
    <n v="94"/>
    <s v="Taiyo"/>
    <x v="2"/>
    <s v="PM09"/>
    <s v="PANG JING FULL"/>
    <n v="50"/>
    <m/>
    <m/>
    <d v="2025-03-08T00:00:00"/>
    <m/>
    <n v="4"/>
    <n v="200"/>
    <s v="PE"/>
    <s v="0B49096 REVAA0001"/>
    <n v="0"/>
    <n v="200"/>
    <n v="0"/>
    <n v="0"/>
    <n v="0"/>
    <n v="0"/>
    <m/>
    <m/>
    <n v="0"/>
    <m/>
    <m/>
    <m/>
    <m/>
    <m/>
    <m/>
    <m/>
    <m/>
    <s v="0B49096 REVAA"/>
    <s v="W23041-TH"/>
    <s v="WESTERN DIGITAL STORAGE TECHNOLOGIES"/>
    <m/>
    <n v="0"/>
    <n v="0"/>
    <n v="0"/>
    <n v="0"/>
    <n v="0"/>
    <n v="0"/>
    <m/>
    <m/>
    <m/>
    <s v="No"/>
    <s v="W662589"/>
    <n v="0"/>
    <m/>
    <s v="W23041-TH"/>
    <m/>
    <m/>
    <s v="ZSA101745"/>
  </r>
  <r>
    <x v="368"/>
    <n v="10000"/>
    <n v="10000"/>
    <d v="2025-03-11T00:00:00"/>
    <s v="502LAUGH"/>
    <s v=" 8:55:25 am"/>
    <s v="U530352047/501241326"/>
    <m/>
    <x v="2"/>
    <s v="Yes"/>
    <n v="32"/>
    <s v="Lintec Intermittent"/>
    <x v="2"/>
    <s v="PM26"/>
    <s v="TAN AIK KEONG"/>
    <n v="5860"/>
    <m/>
    <m/>
    <d v="2025-03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992"/>
    <n v="0"/>
    <m/>
    <s v="J10025"/>
    <m/>
    <m/>
    <s v="S0359222"/>
  </r>
  <r>
    <x v="369"/>
    <n v="10000"/>
    <n v="10000"/>
    <d v="2025-03-11T00:00:00"/>
    <s v="502LAUGH"/>
    <s v=" 8:55:25 am"/>
    <s v="U530352047/501241326"/>
    <m/>
    <x v="2"/>
    <s v="Yes"/>
    <n v="32"/>
    <s v="Lintec Intermittent"/>
    <x v="2"/>
    <s v="PM26"/>
    <s v="TAN AIK KEONG"/>
    <n v="5860"/>
    <m/>
    <m/>
    <d v="2025-03-0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2997"/>
    <n v="0"/>
    <m/>
    <s v="J10025"/>
    <m/>
    <m/>
    <s v="S0359224"/>
  </r>
  <r>
    <x v="203"/>
    <n v="10000"/>
    <n v="20000"/>
    <d v="2025-03-18T00:00:00"/>
    <s v="502LAUGH"/>
    <s v=" 8:37:51 am"/>
    <s v="10620258034/10620258035/10620258033"/>
    <m/>
    <x v="0"/>
    <s v="Yes"/>
    <n v="77"/>
    <s v="Brotech DF330 "/>
    <x v="0"/>
    <s v="PM74"/>
    <s v="YONG CHEE SOON"/>
    <n v="2500"/>
    <n v="86.666666666666657"/>
    <n v="1.4444444444444442"/>
    <d v="2025-03-08T00:00:00"/>
    <m/>
    <n v="88"/>
    <n v="220000"/>
    <s v="PE"/>
    <s v="N9J90-80007-FT0001"/>
    <n v="0"/>
    <n v="200000"/>
    <n v="2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3009"/>
    <n v="0"/>
    <m/>
    <s v="H08031-JIM-M"/>
    <m/>
    <m/>
    <s v="S0359283"/>
  </r>
  <r>
    <x v="204"/>
    <n v="10000"/>
    <n v="30000"/>
    <d v="2025-03-10T00:00:00"/>
    <s v="502LAUGH"/>
    <d v="1899-12-30T11:32:40"/>
    <n v="10639931011"/>
    <m/>
    <x v="1"/>
    <s v="Yes"/>
    <n v="85"/>
    <s v="Luster AOI"/>
    <x v="1"/>
    <s v="QM78"/>
    <s v="WONG SEAU JIN"/>
    <n v="7273"/>
    <m/>
    <m/>
    <d v="2025-03-08T00:00:00"/>
    <m/>
    <n v="11"/>
    <n v="80003"/>
    <s v="PE"/>
    <s v="E5Z02-80008-FT0001"/>
    <n v="0"/>
    <n v="80000"/>
    <n v="3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2612"/>
    <n v="0"/>
    <m/>
    <s v="H08031-JIM-M"/>
    <m/>
    <m/>
    <s v="S0359284"/>
  </r>
  <r>
    <x v="128"/>
    <n v="10000"/>
    <n v="20000"/>
    <d v="2025-03-18T00:00:00"/>
    <s v="502LAUGH"/>
    <s v=" 8:32:47 am"/>
    <n v="10639931051"/>
    <m/>
    <x v="0"/>
    <s v="Yes"/>
    <n v="77"/>
    <s v="Brotech DF330 "/>
    <x v="0"/>
    <s v="PM74"/>
    <s v="YONG CHEE SOON"/>
    <n v="410"/>
    <n v="51.833333333333336"/>
    <n v="0.86388888888888893"/>
    <d v="2025-03-08T00:00:00"/>
    <m/>
    <n v="88"/>
    <n v="36080"/>
    <s v="PE"/>
    <s v="6ZD36-800010001"/>
    <n v="0"/>
    <n v="20000"/>
    <n v="16080"/>
    <n v="0"/>
    <n v="0"/>
    <n v="0"/>
    <m/>
    <m/>
    <n v="0"/>
    <m/>
    <m/>
    <m/>
    <m/>
    <m/>
    <m/>
    <m/>
    <m/>
    <s v="6ZD36-80001"/>
    <s v="H08031-JIM-M"/>
    <s v="HP MALAYSIA MANUFACTURING SDN.BHD."/>
    <m/>
    <n v="0"/>
    <n v="0"/>
    <n v="0"/>
    <n v="0"/>
    <n v="0"/>
    <n v="0"/>
    <m/>
    <m/>
    <m/>
    <s v="No"/>
    <s v="W663010"/>
    <n v="0"/>
    <m/>
    <s v="H08031-JIM-M"/>
    <m/>
    <m/>
    <s v="S0359285"/>
  </r>
  <r>
    <x v="209"/>
    <n v="10000"/>
    <n v="20000"/>
    <d v="2025-03-18T00:00:00"/>
    <s v="502LAUGH"/>
    <s v=" 8:38:50 am"/>
    <s v="10620258034/10620258035/10620258033"/>
    <m/>
    <x v="0"/>
    <s v="Yes"/>
    <n v="77"/>
    <s v="Brotech DF330 "/>
    <x v="0"/>
    <s v="PM74"/>
    <s v="YONG CHEE SOON"/>
    <n v="2500"/>
    <n v="86.666666666666657"/>
    <n v="1.4444444444444442"/>
    <d v="2025-03-08T00:00:00"/>
    <m/>
    <n v="88"/>
    <n v="220000"/>
    <s v="PE"/>
    <s v="3YM38-80003-FT0001"/>
    <n v="0"/>
    <n v="200000"/>
    <n v="20000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3015"/>
    <n v="0"/>
    <m/>
    <s v="H08031-JIM-M"/>
    <m/>
    <m/>
    <s v="S0359294"/>
  </r>
  <r>
    <x v="210"/>
    <n v="10000"/>
    <n v="20000"/>
    <d v="2025-03-18T00:00:00"/>
    <s v="502LAUGH"/>
    <s v=" 8:39:51 am"/>
    <s v="10620258034/10620258035/10620258033"/>
    <m/>
    <x v="0"/>
    <s v="Yes"/>
    <n v="77"/>
    <s v="Brotech DF330 "/>
    <x v="0"/>
    <s v="PM74"/>
    <s v="YONG CHEE SOON"/>
    <n v="2500"/>
    <n v="86.666666666666657"/>
    <n v="1.4444444444444442"/>
    <d v="2025-03-08T00:00:00"/>
    <m/>
    <n v="88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017"/>
    <n v="0"/>
    <m/>
    <s v="H08031-JIM-M"/>
    <m/>
    <m/>
    <s v="S0359300"/>
  </r>
  <r>
    <x v="212"/>
    <n v="10000"/>
    <n v="20000"/>
    <d v="2025-03-24T00:00:00"/>
    <s v="502LAUGH"/>
    <d v="1899-12-30T10:41:07"/>
    <s v="10620258034/10620258035/10620258033"/>
    <m/>
    <x v="0"/>
    <s v="Yes"/>
    <n v="77"/>
    <s v="Brotech DF330 "/>
    <x v="0"/>
    <s v="PM74"/>
    <s v="YONG CHEE SOON"/>
    <n v="1250"/>
    <n v="65.833333333333329"/>
    <n v="1.0972222222222221"/>
    <d v="2025-03-08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3588"/>
    <n v="0"/>
    <m/>
    <s v="H08031-JIM-M"/>
    <m/>
    <m/>
    <s v="S0359320"/>
  </r>
  <r>
    <x v="213"/>
    <n v="10000"/>
    <n v="20000"/>
    <d v="2025-03-24T00:00:00"/>
    <s v="502LAUGH"/>
    <s v=" 8:51:04 am"/>
    <s v="10620258034/10620258035/10620258033"/>
    <m/>
    <x v="0"/>
    <s v="Yes"/>
    <n v="77"/>
    <s v="Brotech DF330 "/>
    <x v="0"/>
    <s v="PM74"/>
    <s v="YONG CHEE SOON"/>
    <n v="1250"/>
    <n v="65.833333333333329"/>
    <n v="1.0972222222222221"/>
    <d v="2025-03-0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3590"/>
    <n v="0"/>
    <m/>
    <s v="H08031-JIM-M"/>
    <m/>
    <m/>
    <s v="S0359322"/>
  </r>
  <r>
    <x v="214"/>
    <n v="10000"/>
    <n v="20000"/>
    <d v="2025-03-18T00:00:00"/>
    <s v="502LAUGH"/>
    <s v=" 8:36:59 am"/>
    <s v="10620258034/10620258035/10620258033"/>
    <m/>
    <x v="0"/>
    <s v="Yes"/>
    <n v="77"/>
    <s v="Brotech DF330 "/>
    <x v="0"/>
    <s v="PM74"/>
    <s v="YONG CHEE SOON"/>
    <n v="1250"/>
    <n v="65.833333333333329"/>
    <n v="1.0972222222222221"/>
    <d v="2025-03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021"/>
    <n v="0"/>
    <m/>
    <s v="H08031-JIM-M"/>
    <m/>
    <m/>
    <s v="S0359326"/>
  </r>
  <r>
    <x v="297"/>
    <n v="10000"/>
    <n v="20000"/>
    <d v="2025-03-10T00:00:00"/>
    <s v="502LAUGH"/>
    <s v=" 8:42:22 am"/>
    <s v="M0BSM3241"/>
    <m/>
    <x v="0"/>
    <s v="Yes"/>
    <n v="71"/>
    <s v="POLLY"/>
    <x v="3"/>
    <s v="PS95"/>
    <s v="LIM CHENG LEONG"/>
    <n v="625"/>
    <m/>
    <m/>
    <d v="2025-03-08T00:00:00"/>
    <m/>
    <n v="8"/>
    <n v="5000"/>
    <s v="PE"/>
    <s v="86.J7460001"/>
    <n v="0"/>
    <n v="5000"/>
    <n v="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2618"/>
    <n v="0"/>
    <m/>
    <s v="T20390-PMI"/>
    <m/>
    <m/>
    <s v="S0359328"/>
  </r>
  <r>
    <x v="370"/>
    <n v="10000"/>
    <n v="10000"/>
    <d v="2025-03-10T00:00:00"/>
    <s v="502LAUGH"/>
    <s v=" 8:39:16 am"/>
    <s v="M0BSO3780"/>
    <m/>
    <x v="2"/>
    <s v="Yes"/>
    <n v="94"/>
    <s v="Taiyo"/>
    <x v="2"/>
    <s v="PM09"/>
    <s v="PANG JING FULL"/>
    <n v="10000"/>
    <m/>
    <m/>
    <d v="2025-03-08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3597"/>
    <n v="0"/>
    <m/>
    <s v="W23041-TH"/>
    <m/>
    <m/>
    <s v="H0064678"/>
  </r>
  <r>
    <x v="371"/>
    <n v="10000"/>
    <n v="10000"/>
    <d v="2025-03-10T00:00:00"/>
    <s v="502LAUGH"/>
    <s v=" 9:49:50 am"/>
    <s v="J00NN0080/L5205U8036"/>
    <m/>
    <x v="2"/>
    <s v="Yes"/>
    <n v="61"/>
    <s v="FSK 520"/>
    <x v="2"/>
    <s v="PM68"/>
    <s v="LEE KIM LIANG"/>
    <n v="5000"/>
    <n v="145"/>
    <n v="2.4166666666666665"/>
    <d v="2025-03-08T00:00:00"/>
    <m/>
    <n v="1"/>
    <n v="5000"/>
    <s v="PE"/>
    <s v="001-025-8221-00 0001"/>
    <n v="0"/>
    <n v="5000"/>
    <n v="0"/>
    <n v="0"/>
    <n v="0"/>
    <n v="0"/>
    <m/>
    <m/>
    <n v="0"/>
    <m/>
    <m/>
    <m/>
    <m/>
    <m/>
    <m/>
    <m/>
    <m/>
    <s v="001-025-8221-00 R00"/>
    <s v="M13755"/>
    <s v="MEIBAN MOLD MANUFACTURE PTE LTD"/>
    <m/>
    <n v="0"/>
    <n v="0"/>
    <n v="0"/>
    <n v="0"/>
    <n v="0"/>
    <n v="0"/>
    <m/>
    <m/>
    <m/>
    <s v="No"/>
    <s v="W662628"/>
    <n v="0"/>
    <m/>
    <s v="M13755"/>
    <m/>
    <m/>
    <s v="S0359807"/>
  </r>
  <r>
    <x v="372"/>
    <n v="10000"/>
    <n v="10000"/>
    <d v="2025-03-10T00:00:00"/>
    <s v="502LAUGH"/>
    <s v=" 3:09:20 pm"/>
    <s v="J00PI09011000"/>
    <m/>
    <x v="2"/>
    <s v="Yes"/>
    <n v="46"/>
    <s v="Sanki 300 Intermittent"/>
    <x v="2"/>
    <s v="PS66"/>
    <s v="SIM ENG KWANG"/>
    <n v="6000"/>
    <n v="195"/>
    <n v="3.25"/>
    <d v="2025-03-08T00:00:00"/>
    <m/>
    <n v="1"/>
    <n v="6000"/>
    <s v="PE"/>
    <s v="001-420-4246-00R0002"/>
    <n v="0"/>
    <n v="6000"/>
    <n v="0"/>
    <n v="0"/>
    <n v="0"/>
    <n v="0"/>
    <m/>
    <m/>
    <n v="0"/>
    <m/>
    <m/>
    <m/>
    <m/>
    <m/>
    <m/>
    <m/>
    <m/>
    <s v="001-420-4246-00R03"/>
    <s v="M13755"/>
    <s v="MEIBAN MOLD MANUFACTURE PTE LTD"/>
    <m/>
    <n v="0"/>
    <n v="0"/>
    <n v="0"/>
    <n v="0"/>
    <n v="0"/>
    <n v="0"/>
    <m/>
    <m/>
    <m/>
    <s v="No"/>
    <s v="W662629"/>
    <n v="0"/>
    <m/>
    <s v="M13755"/>
    <m/>
    <m/>
    <s v="S0359807"/>
  </r>
  <r>
    <x v="373"/>
    <n v="10000"/>
    <n v="10000"/>
    <d v="2025-03-10T00:00:00"/>
    <s v="502LAUGH"/>
    <s v=" 8:36:27 am"/>
    <s v="4111522U5A"/>
    <m/>
    <x v="2"/>
    <s v="Yes"/>
    <n v="22"/>
    <s v="FSK B100"/>
    <x v="2"/>
    <s v="PS13"/>
    <s v="YEE CHENG MENG"/>
    <n v="2500"/>
    <n v="95"/>
    <n v="1.5833333333333333"/>
    <d v="2025-03-08T00:00:00"/>
    <m/>
    <n v="2"/>
    <n v="5000"/>
    <s v="PE"/>
    <s v="260-6338-000001"/>
    <n v="0"/>
    <n v="5000"/>
    <n v="0"/>
    <n v="0"/>
    <n v="0"/>
    <n v="0"/>
    <m/>
    <m/>
    <n v="0"/>
    <m/>
    <m/>
    <m/>
    <m/>
    <m/>
    <m/>
    <m/>
    <m/>
    <s v="260-6338-00"/>
    <s v="J10025"/>
    <s v="JMS SINGAPORE PTE LTD"/>
    <m/>
    <n v="0"/>
    <n v="0"/>
    <n v="0"/>
    <n v="0"/>
    <n v="0"/>
    <n v="0"/>
    <m/>
    <m/>
    <m/>
    <s v="No"/>
    <s v="W662678"/>
    <n v="0"/>
    <m/>
    <s v="J10025"/>
    <m/>
    <m/>
    <s v="S0360904"/>
  </r>
  <r>
    <x v="374"/>
    <n v="10000"/>
    <n v="10000"/>
    <d v="2025-03-10T00:00:00"/>
    <s v="502LAUGH"/>
    <s v=" 8:39:16 am"/>
    <s v="4111522U5A"/>
    <m/>
    <x v="2"/>
    <s v="Yes"/>
    <n v="22"/>
    <s v="FSK B100"/>
    <x v="2"/>
    <s v="PS13"/>
    <s v="YEE CHENG MENG"/>
    <n v="2500"/>
    <n v="95"/>
    <n v="1.5833333333333333"/>
    <d v="2025-03-08T00:00:00"/>
    <m/>
    <n v="2"/>
    <n v="5000"/>
    <s v="PE"/>
    <s v="250-6188-000001"/>
    <n v="0"/>
    <n v="5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62679"/>
    <n v="0"/>
    <m/>
    <s v="J10025"/>
    <m/>
    <m/>
    <s v="S0360905"/>
  </r>
  <r>
    <x v="375"/>
    <n v="10000"/>
    <n v="10000"/>
    <d v="2025-03-10T00:00:00"/>
    <s v="502LAUGH"/>
    <d v="1899-12-30T11:20:39"/>
    <s v="4111522U5A"/>
    <m/>
    <x v="2"/>
    <s v="Yes"/>
    <n v="22"/>
    <s v="FSK B100"/>
    <x v="2"/>
    <s v="PS13"/>
    <s v="YEE CHENG MENG"/>
    <n v="11000"/>
    <n v="265"/>
    <n v="4.416666666666667"/>
    <d v="2025-03-08T00:00:00"/>
    <m/>
    <n v="2"/>
    <n v="22000"/>
    <s v="PE"/>
    <s v="250-6306-000001"/>
    <n v="0"/>
    <n v="22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3050"/>
    <n v="0"/>
    <m/>
    <s v="J10025"/>
    <m/>
    <m/>
    <s v="S0360905"/>
  </r>
  <r>
    <x v="238"/>
    <n v="10000"/>
    <n v="20000"/>
    <d v="2025-03-18T00:00:00"/>
    <s v="502LAUGH"/>
    <s v=" 8:35:45 am"/>
    <s v="10620258034/10620258035/10620258033"/>
    <m/>
    <x v="0"/>
    <s v="Yes"/>
    <n v="77"/>
    <s v="Brotech DF330 "/>
    <x v="0"/>
    <s v="PM74"/>
    <s v="YONG CHEE SOON"/>
    <n v="2500"/>
    <n v="86.666666666666657"/>
    <n v="1.4444444444444442"/>
    <d v="2025-03-08T00:00:00"/>
    <m/>
    <n v="88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3055"/>
    <n v="0"/>
    <m/>
    <s v="H08031-JIM-M"/>
    <m/>
    <m/>
    <s v="S0360911"/>
  </r>
  <r>
    <x v="323"/>
    <n v="10000"/>
    <n v="20000"/>
    <d v="2025-03-10T00:00:00"/>
    <s v="502LAUGH"/>
    <s v=" 8:41:12 am"/>
    <s v="M0BSM3241"/>
    <m/>
    <x v="0"/>
    <s v="Yes"/>
    <n v="71"/>
    <s v="POLLY"/>
    <x v="3"/>
    <s v="PS95"/>
    <s v="LIM CHENG LEONG"/>
    <n v="625"/>
    <m/>
    <m/>
    <d v="2025-03-08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2689"/>
    <n v="0"/>
    <m/>
    <s v="T20390-PMI"/>
    <m/>
    <m/>
    <s v="S0360932"/>
  </r>
  <r>
    <x v="376"/>
    <n v="10000"/>
    <n v="10000"/>
    <d v="2025-03-10T00:00:00"/>
    <s v="502LAUGH"/>
    <s v=" 1:17:42 pm"/>
    <s v="I51245H008"/>
    <m/>
    <x v="2"/>
    <s v="Yes"/>
    <n v="71"/>
    <s v="POLLY"/>
    <x v="3"/>
    <s v="PS95"/>
    <s v="LIM CHENG LEONG"/>
    <n v="20000"/>
    <m/>
    <m/>
    <d v="2025-03-08T00:00:00"/>
    <m/>
    <n v="1"/>
    <n v="20000"/>
    <s v="PE"/>
    <s v="BLANK LBL-170X270001"/>
    <n v="0"/>
    <n v="20000"/>
    <n v="0"/>
    <n v="0"/>
    <n v="0"/>
    <n v="0"/>
    <m/>
    <m/>
    <n v="0"/>
    <m/>
    <m/>
    <m/>
    <m/>
    <m/>
    <m/>
    <m/>
    <m/>
    <s v="LBL1135"/>
    <s v="L12118"/>
    <s v="LVMH FRAGRANCES &amp; COSMETICS (SINGAPORE) PTE LTD"/>
    <m/>
    <n v="0"/>
    <n v="0"/>
    <n v="0"/>
    <n v="0"/>
    <n v="0"/>
    <n v="0"/>
    <m/>
    <m/>
    <m/>
    <s v="No"/>
    <s v="W662690"/>
    <n v="0"/>
    <m/>
    <s v="L12118"/>
    <m/>
    <m/>
    <s v="S0360933"/>
  </r>
  <r>
    <x v="325"/>
    <n v="10000"/>
    <n v="50000"/>
    <d v="2025-03-11T00:00:00"/>
    <s v="502LAUGH"/>
    <d v="1899-12-30T10:45:16"/>
    <n v="59469"/>
    <m/>
    <x v="0"/>
    <s v="Yes"/>
    <n v="96"/>
    <s v="Luster AOI"/>
    <x v="1"/>
    <s v="QM45"/>
    <s v="-"/>
    <n v="157500"/>
    <m/>
    <m/>
    <d v="2025-03-08T00:00:00"/>
    <m/>
    <n v="6"/>
    <n v="945000"/>
    <s v="PE"/>
    <s v="MT-1000407-902RE0005"/>
    <n v="0"/>
    <n v="963435"/>
    <n v="-18435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692"/>
    <n v="0"/>
    <m/>
    <s v="Z26002"/>
    <m/>
    <m/>
    <s v="S0361002"/>
  </r>
  <r>
    <x v="377"/>
    <n v="10000"/>
    <n v="30000"/>
    <d v="2025-03-11T00:00:00"/>
    <s v="502LAUGH"/>
    <s v=" 5:11:59 pm"/>
    <s v="U4815S047/M0BSM95701372"/>
    <m/>
    <x v="0"/>
    <s v="Yes"/>
    <n v="82"/>
    <s v="Polly"/>
    <x v="3"/>
    <s v="PM11"/>
    <s v="TEE MENG CHAI"/>
    <n v="6250"/>
    <m/>
    <m/>
    <d v="2025-03-10T00:00:00"/>
    <m/>
    <n v="8"/>
    <n v="50000"/>
    <s v="PE"/>
    <s v="R370-4156 REV1.00002"/>
    <n v="0"/>
    <n v="50000"/>
    <n v="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62761"/>
    <n v="0"/>
    <m/>
    <s v="R18131"/>
    <m/>
    <m/>
    <s v="S0349923"/>
  </r>
  <r>
    <x v="88"/>
    <n v="10000"/>
    <n v="40000"/>
    <d v="2025-03-14T00:00:00"/>
    <s v="502LAUGH"/>
    <s v=" 8:40:59 am"/>
    <s v="10639931075/10639931076/10639931074/10639931073/10639931072"/>
    <m/>
    <x v="1"/>
    <s v="Yes"/>
    <n v="91"/>
    <s v="Luster AOI"/>
    <x v="1"/>
    <s v="QM87"/>
    <s v="GOH SING JOO"/>
    <n v="111000"/>
    <m/>
    <m/>
    <d v="2025-03-10T00:00:00"/>
    <m/>
    <n v="9"/>
    <n v="999000"/>
    <s v="PE"/>
    <s v="5180-0101-BH2120001"/>
    <n v="0"/>
    <n v="940678"/>
    <n v="58322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2930"/>
    <n v="0"/>
    <m/>
    <s v="H08031-JIM"/>
    <m/>
    <m/>
    <s v="S0353198"/>
  </r>
  <r>
    <x v="378"/>
    <n v="10000"/>
    <n v="10000"/>
    <d v="2025-03-10T00:00:00"/>
    <s v="502LAUGH"/>
    <s v=" 4:34:56 pm"/>
    <s v="SG-5627551-01"/>
    <m/>
    <x v="2"/>
    <s v="Yes"/>
    <n v="59"/>
    <s v="SANKI SD-300 Intermittent"/>
    <x v="2"/>
    <s v="PS74"/>
    <s v="GOH CHIN TECK"/>
    <n v="7500"/>
    <n v="232.5"/>
    <n v="3.875"/>
    <d v="2025-03-10T00:00:00"/>
    <m/>
    <n v="6"/>
    <n v="45000"/>
    <s v="PE"/>
    <s v="15058363-3K-R8LT0001"/>
    <n v="0"/>
    <n v="45000"/>
    <n v="0"/>
    <n v="0"/>
    <n v="0"/>
    <n v="0"/>
    <m/>
    <m/>
    <n v="0"/>
    <m/>
    <m/>
    <m/>
    <m/>
    <m/>
    <m/>
    <m/>
    <m/>
    <n v="15058363"/>
    <s v="I09180-US"/>
    <s v="ILLUMINA CAMBRIDGE, LTD"/>
    <m/>
    <n v="0"/>
    <n v="0"/>
    <n v="0"/>
    <n v="0"/>
    <n v="0"/>
    <n v="0"/>
    <m/>
    <m/>
    <m/>
    <s v="No"/>
    <s v="W662487"/>
    <n v="0"/>
    <m/>
    <s v="I09180-US"/>
    <m/>
    <m/>
    <s v="S0354719"/>
  </r>
  <r>
    <x v="379"/>
    <n v="10000"/>
    <n v="10000"/>
    <d v="2025-03-11T00:00:00"/>
    <s v="502LAUGH"/>
    <s v=" 3:46:17 pm"/>
    <s v="SG-5644655 01"/>
    <m/>
    <x v="2"/>
    <s v="Yes"/>
    <n v="31"/>
    <s v="Sanki SKP250 Full Rotary"/>
    <x v="2"/>
    <s v="PS27"/>
    <s v="TAN TECK HEE"/>
    <n v="30125"/>
    <n v="798.125"/>
    <n v="13.302083333333334"/>
    <d v="2025-03-10T00:00:00"/>
    <m/>
    <n v="4"/>
    <n v="120500"/>
    <s v="PE"/>
    <n v="200129790001"/>
    <n v="0"/>
    <n v="120500"/>
    <n v="0"/>
    <n v="0"/>
    <n v="0"/>
    <n v="0"/>
    <m/>
    <m/>
    <n v="0"/>
    <m/>
    <m/>
    <m/>
    <m/>
    <m/>
    <m/>
    <m/>
    <m/>
    <n v="20012979"/>
    <s v="I09180-US"/>
    <s v="ILLUMINA CAMBRIDGE, LTD"/>
    <m/>
    <n v="0"/>
    <n v="0"/>
    <n v="0"/>
    <n v="0"/>
    <n v="0"/>
    <n v="0"/>
    <m/>
    <m/>
    <m/>
    <s v="No"/>
    <s v="W662933"/>
    <n v="0"/>
    <m/>
    <s v="I09180-US"/>
    <m/>
    <m/>
    <s v="S0354724"/>
  </r>
  <r>
    <x v="380"/>
    <n v="10000"/>
    <n v="10000"/>
    <d v="2025-03-11T00:00:00"/>
    <s v="502LAUGH"/>
    <s v=" 9:29:40 am"/>
    <s v="1762-012"/>
    <m/>
    <x v="2"/>
    <s v="Yes"/>
    <n v="63"/>
    <s v="SANKI"/>
    <x v="3"/>
    <s v="PM80"/>
    <s v="YAP ZHI PING"/>
    <n v="5000"/>
    <n v="170"/>
    <n v="2.8333333333333335"/>
    <d v="2025-03-10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s v="BELTON INDUSTRIAL ( THAILAND ) LTD"/>
    <m/>
    <n v="0"/>
    <n v="0"/>
    <n v="0"/>
    <n v="0"/>
    <n v="0"/>
    <n v="0"/>
    <m/>
    <m/>
    <m/>
    <s v="No"/>
    <s v="W662489"/>
    <n v="0"/>
    <m/>
    <s v="B02144"/>
    <m/>
    <m/>
    <s v="S0356871"/>
  </r>
  <r>
    <x v="381"/>
    <n v="10000"/>
    <n v="20000"/>
    <d v="2025-03-10T00:00:00"/>
    <s v="502LAUGH"/>
    <s v=" 1:19:17 pm"/>
    <s v="M0BQW8240"/>
    <m/>
    <x v="2"/>
    <s v="Yes"/>
    <n v="94"/>
    <s v="Taiyo"/>
    <x v="2"/>
    <s v="PM09"/>
    <s v="PANG JING FULL"/>
    <n v="4500"/>
    <m/>
    <m/>
    <d v="2025-03-10T00:00:00"/>
    <m/>
    <n v="4"/>
    <n v="18000"/>
    <s v="PE"/>
    <s v="2063-772785-046-0003"/>
    <n v="0"/>
    <n v="9000"/>
    <n v="9000"/>
    <n v="0"/>
    <n v="0"/>
    <n v="0"/>
    <m/>
    <m/>
    <n v="0"/>
    <m/>
    <m/>
    <m/>
    <m/>
    <m/>
    <m/>
    <m/>
    <m/>
    <s v="2063-772785-046-CG"/>
    <s v="W23041-TH"/>
    <s v="WESTERN DIGITAL STORAGE TECHNOLOGIES"/>
    <m/>
    <n v="0"/>
    <n v="0"/>
    <n v="0"/>
    <n v="0"/>
    <n v="0"/>
    <n v="0"/>
    <m/>
    <m/>
    <m/>
    <s v="No"/>
    <s v="W663296"/>
    <n v="0"/>
    <m/>
    <s v="W23041-TH"/>
    <m/>
    <m/>
    <s v="H0064483"/>
  </r>
  <r>
    <x v="382"/>
    <n v="10000"/>
    <n v="10000"/>
    <d v="2025-03-12T00:00:00"/>
    <s v="502LAUGH"/>
    <s v=" 8:36:23 am"/>
    <s v="24G1207183/49109"/>
    <m/>
    <x v="2"/>
    <s v="Yes"/>
    <n v="60"/>
    <s v="Fujishiko UDP-5000"/>
    <x v="3"/>
    <s v="PM30"/>
    <s v="OH KIAN YUAN"/>
    <n v="5100"/>
    <n v="147"/>
    <n v="2.4500000000000002"/>
    <d v="2025-03-10T00:00:00"/>
    <m/>
    <n v="10"/>
    <n v="51000"/>
    <s v="PE"/>
    <s v="TPK-884535-00100001"/>
    <n v="0"/>
    <n v="51000"/>
    <n v="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2534"/>
    <n v="0"/>
    <m/>
    <s v="Z26002"/>
    <m/>
    <m/>
    <s v="S0358424"/>
  </r>
  <r>
    <x v="175"/>
    <n v="10000"/>
    <n v="30000"/>
    <d v="2025-03-11T00:00:00"/>
    <s v="502LAUGH"/>
    <s v=" 8:36:04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F6V31-80022-FT0001"/>
    <n v="0"/>
    <n v="100000"/>
    <n v="10000"/>
    <n v="0"/>
    <n v="0"/>
    <n v="0"/>
    <m/>
    <m/>
    <n v="0"/>
    <m/>
    <m/>
    <m/>
    <m/>
    <m/>
    <m/>
    <m/>
    <m/>
    <s v="F6V31-80022-FT"/>
    <s v="H08031-JIM-M"/>
    <s v="HP MALAYSIA MANUFACTURING SDN.BHD."/>
    <m/>
    <n v="0"/>
    <n v="0"/>
    <n v="0"/>
    <n v="0"/>
    <n v="0"/>
    <n v="0"/>
    <m/>
    <m/>
    <m/>
    <s v="No"/>
    <s v="W662972"/>
    <n v="0"/>
    <m/>
    <s v="H08031-JIM-M"/>
    <m/>
    <m/>
    <s v="S0358454"/>
  </r>
  <r>
    <x v="176"/>
    <n v="10000"/>
    <n v="30000"/>
    <d v="2025-03-11T00:00:00"/>
    <s v="502LAUGH"/>
    <s v=" 8:36:59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2770"/>
    <n v="0"/>
    <m/>
    <s v="H08031-JIM-M"/>
    <m/>
    <m/>
    <s v="S0358455"/>
  </r>
  <r>
    <x v="177"/>
    <n v="10000"/>
    <n v="30000"/>
    <d v="2025-03-11T00:00:00"/>
    <s v="502LAUGH"/>
    <s v=" 8:38:14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2541"/>
    <n v="0"/>
    <m/>
    <s v="H08031-JIM-M"/>
    <m/>
    <m/>
    <s v="S0358456"/>
  </r>
  <r>
    <x v="178"/>
    <n v="10000"/>
    <n v="30000"/>
    <d v="2025-03-11T00:00:00"/>
    <s v="502LAUGH"/>
    <s v=" 8:40:08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s v="HP MALAYSIA MANUFACTURING SDN.BHD."/>
    <m/>
    <n v="0"/>
    <n v="0"/>
    <n v="0"/>
    <n v="0"/>
    <n v="0"/>
    <n v="0"/>
    <m/>
    <m/>
    <m/>
    <s v="No"/>
    <s v="W662973"/>
    <n v="0"/>
    <m/>
    <s v="H08031-JIM-M"/>
    <m/>
    <m/>
    <s v="S0358458"/>
  </r>
  <r>
    <x v="179"/>
    <n v="10000"/>
    <n v="30000"/>
    <d v="2025-03-11T00:00:00"/>
    <s v="502LAUGH"/>
    <s v=" 8:39:07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2771"/>
    <n v="0"/>
    <m/>
    <s v="H08031-JIM-M"/>
    <m/>
    <m/>
    <s v="S0358459"/>
  </r>
  <r>
    <x v="180"/>
    <n v="10000"/>
    <n v="30000"/>
    <d v="2025-03-11T00:00:00"/>
    <s v="502LAUGH"/>
    <s v=" 8:42:11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2773"/>
    <n v="0"/>
    <m/>
    <s v="H08031-JIM-M"/>
    <m/>
    <m/>
    <s v="S0358463"/>
  </r>
  <r>
    <x v="181"/>
    <n v="10000"/>
    <n v="30000"/>
    <d v="2025-03-11T00:00:00"/>
    <s v="502LAUGH"/>
    <s v=" 8:43:01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2774"/>
    <n v="0"/>
    <m/>
    <s v="H08031-JIM-M"/>
    <m/>
    <m/>
    <s v="S0358466"/>
  </r>
  <r>
    <x v="182"/>
    <n v="10000"/>
    <n v="30000"/>
    <d v="2025-03-11T00:00:00"/>
    <s v="502LAUGH"/>
    <s v=" 8:41:23 am"/>
    <s v="10567308043/10567308044/10567308039"/>
    <m/>
    <x v="1"/>
    <s v="Yes"/>
    <n v="85"/>
    <s v="Luster AOI"/>
    <x v="1"/>
    <s v="QM78"/>
    <s v="WONG SEAU JIN"/>
    <n v="20000"/>
    <m/>
    <m/>
    <d v="2025-03-10T00:00:00"/>
    <m/>
    <n v="11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2775"/>
    <n v="0"/>
    <m/>
    <s v="H08031-JIM-M"/>
    <m/>
    <m/>
    <s v="S0358467"/>
  </r>
  <r>
    <x v="186"/>
    <n v="10000"/>
    <n v="20000"/>
    <d v="2025-03-10T00:00:00"/>
    <s v="502LAUGH"/>
    <s v=" 4:33:36 pm"/>
    <s v="4081S1"/>
    <m/>
    <x v="0"/>
    <s v="Yes"/>
    <n v="82"/>
    <s v="Polly"/>
    <x v="3"/>
    <s v="PM11"/>
    <s v="TEE MENG CHAI"/>
    <n v="5000"/>
    <m/>
    <m/>
    <d v="2025-03-10T00:00:00"/>
    <m/>
    <n v="8"/>
    <n v="40000"/>
    <s v="PE"/>
    <s v="5183-5638 TESTI0001"/>
    <n v="0"/>
    <n v="20000"/>
    <n v="20000"/>
    <n v="0"/>
    <n v="0"/>
    <n v="0"/>
    <m/>
    <m/>
    <n v="0"/>
    <m/>
    <m/>
    <m/>
    <m/>
    <m/>
    <m/>
    <m/>
    <m/>
    <s v="5183-5638"/>
    <s v="H08031-JIM-M"/>
    <s v="HP MALAYSIA MANUFACTURING SDN.BHD."/>
    <m/>
    <n v="0"/>
    <n v="0"/>
    <n v="0"/>
    <n v="0"/>
    <n v="0"/>
    <n v="0"/>
    <m/>
    <m/>
    <m/>
    <s v="No"/>
    <s v="W662979"/>
    <n v="0"/>
    <m/>
    <s v="H08031-JIM-M"/>
    <m/>
    <m/>
    <s v="S0358500"/>
  </r>
  <r>
    <x v="383"/>
    <n v="10000"/>
    <n v="10000"/>
    <d v="2025-03-11T00:00:00"/>
    <s v="502LAUGH"/>
    <s v=" 8:45:23 am"/>
    <s v="SG-5612655 01"/>
    <m/>
    <x v="2"/>
    <s v="Yes"/>
    <n v="59"/>
    <s v="SANKI SD-300 Intermittent"/>
    <x v="2"/>
    <s v="PS74"/>
    <s v="GOH CHIN TECK"/>
    <n v="1118"/>
    <n v="72.95"/>
    <n v="1.2158333333333333"/>
    <d v="2025-03-10T00:00:00"/>
    <m/>
    <n v="4"/>
    <n v="4472"/>
    <s v="PE"/>
    <n v="112888470001"/>
    <n v="0"/>
    <n v="4470"/>
    <n v="2"/>
    <n v="0"/>
    <n v="0"/>
    <n v="0"/>
    <m/>
    <m/>
    <n v="0"/>
    <m/>
    <m/>
    <m/>
    <m/>
    <m/>
    <m/>
    <m/>
    <m/>
    <n v="11288847"/>
    <s v="I09180"/>
    <s v="ILLUMINA SINGAPORE PTE LTD"/>
    <m/>
    <n v="0"/>
    <n v="0"/>
    <n v="0"/>
    <n v="0"/>
    <n v="0"/>
    <n v="0"/>
    <m/>
    <m/>
    <m/>
    <s v="No"/>
    <s v="W662581"/>
    <n v="0"/>
    <m/>
    <s v="I09180"/>
    <m/>
    <m/>
    <s v="S0358749"/>
  </r>
  <r>
    <x v="384"/>
    <n v="10000"/>
    <n v="10000"/>
    <d v="2025-03-11T00:00:00"/>
    <s v="502LAUGH"/>
    <s v=" 8:45:01 am"/>
    <s v="SG-5612655 01"/>
    <m/>
    <x v="2"/>
    <s v="Yes"/>
    <n v="59"/>
    <s v="SANKI SD-300 Intermittent"/>
    <x v="2"/>
    <s v="PS74"/>
    <s v="GOH CHIN TECK"/>
    <n v="1118"/>
    <n v="72.95"/>
    <n v="1.2158333333333333"/>
    <d v="2025-03-10T00:00:00"/>
    <m/>
    <n v="4"/>
    <n v="4472"/>
    <s v="PE"/>
    <n v="112887910001"/>
    <n v="0"/>
    <n v="4470"/>
    <n v="2"/>
    <n v="0"/>
    <n v="0"/>
    <n v="0"/>
    <m/>
    <m/>
    <n v="0"/>
    <m/>
    <m/>
    <m/>
    <m/>
    <m/>
    <m/>
    <m/>
    <m/>
    <n v="11288791"/>
    <s v="I09180"/>
    <s v="ILLUMINA SINGAPORE PTE LTD"/>
    <m/>
    <n v="0"/>
    <n v="0"/>
    <n v="0"/>
    <n v="0"/>
    <n v="0"/>
    <n v="0"/>
    <m/>
    <m/>
    <m/>
    <s v="No"/>
    <s v="W662582"/>
    <n v="0"/>
    <m/>
    <s v="I09180"/>
    <m/>
    <m/>
    <s v="S0358749"/>
  </r>
  <r>
    <x v="187"/>
    <n v="10000"/>
    <n v="20000"/>
    <d v="2025-03-10T00:00:00"/>
    <s v="502LAUGH"/>
    <s v=" 4:33:36 pm"/>
    <s v="4081S1"/>
    <m/>
    <x v="0"/>
    <s v="Yes"/>
    <n v="82"/>
    <s v="Polly"/>
    <x v="3"/>
    <s v="PM11"/>
    <s v="TEE MENG CHAI"/>
    <n v="1250"/>
    <m/>
    <m/>
    <d v="2025-03-10T00:00:00"/>
    <m/>
    <n v="8"/>
    <n v="10000"/>
    <s v="PE"/>
    <s v="5183-5638 TESTI0001"/>
    <n v="0"/>
    <n v="5000"/>
    <n v="5000"/>
    <n v="0"/>
    <n v="0"/>
    <n v="0"/>
    <m/>
    <m/>
    <n v="0"/>
    <m/>
    <m/>
    <m/>
    <m/>
    <m/>
    <m/>
    <m/>
    <m/>
    <s v="5183-5638 (TESTING)"/>
    <s v="H08031-IMS"/>
    <s v="HP SINGAPORE (PRIVATE) LIMITED"/>
    <m/>
    <n v="0"/>
    <n v="0"/>
    <n v="0"/>
    <n v="0"/>
    <n v="0"/>
    <n v="0"/>
    <m/>
    <m/>
    <m/>
    <s v="No"/>
    <s v="W662777"/>
    <n v="0"/>
    <m/>
    <s v="H08031-IMS"/>
    <m/>
    <m/>
    <s v="S0358763"/>
  </r>
  <r>
    <x v="281"/>
    <n v="10000"/>
    <n v="20000"/>
    <d v="2025-03-11T00:00:00"/>
    <s v="502LAUGH"/>
    <s v=" 9:33:10 am"/>
    <s v="T0AF1219072"/>
    <m/>
    <x v="0"/>
    <s v="Yes"/>
    <n v="63"/>
    <s v="SANKI"/>
    <x v="3"/>
    <s v="PM80"/>
    <s v="YAP ZHI PING"/>
    <n v="2500"/>
    <n v="107.5"/>
    <n v="1.7916666666666667"/>
    <d v="2025-03-10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s v="SEAGATE TECHNOLOGY INTERNATIONAL (WUXI) CO., LTD"/>
    <m/>
    <n v="0"/>
    <n v="0"/>
    <n v="0"/>
    <n v="0"/>
    <n v="0"/>
    <n v="0"/>
    <m/>
    <m/>
    <m/>
    <s v="No"/>
    <s v="W662585"/>
    <n v="0"/>
    <m/>
    <s v="S19314"/>
    <m/>
    <m/>
    <s v="H0064656"/>
  </r>
  <r>
    <x v="385"/>
    <n v="10000"/>
    <n v="10000"/>
    <d v="2025-03-14T00:00:00"/>
    <s v="502LAUGH"/>
    <s v=" 9:40:30 am"/>
    <s v="M0BFL2381"/>
    <m/>
    <x v="2"/>
    <s v="Yes"/>
    <n v="78"/>
    <s v="Baby Sanki"/>
    <x v="2"/>
    <s v="PM84"/>
    <s v="TAN TAI TOH"/>
    <n v="5500"/>
    <n v="182.5"/>
    <n v="3.0416666666666665"/>
    <d v="2025-03-10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2983"/>
    <n v="0"/>
    <m/>
    <s v="S19314"/>
    <m/>
    <m/>
    <s v="H0064657"/>
  </r>
  <r>
    <x v="386"/>
    <n v="10000"/>
    <n v="10000"/>
    <d v="2025-03-10T00:00:00"/>
    <s v="502LAUGH"/>
    <s v=" 4:34:56 pm"/>
    <s v="SG-5622228 01"/>
    <m/>
    <x v="2"/>
    <s v="Yes"/>
    <n v="59"/>
    <s v="SANKI SD-300 Intermittent"/>
    <x v="2"/>
    <s v="PS74"/>
    <s v="GOH CHIN TECK"/>
    <n v="1000"/>
    <n v="70"/>
    <n v="1.1666666666666667"/>
    <d v="2025-03-10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2593"/>
    <n v="0"/>
    <m/>
    <s v="I09180"/>
    <m/>
    <m/>
    <s v="S0359036"/>
  </r>
  <r>
    <x v="284"/>
    <n v="10000"/>
    <n v="20000"/>
    <d v="2025-03-11T00:00:00"/>
    <s v="502LAUGH"/>
    <s v=" 8:43:56 am"/>
    <s v="U522458002"/>
    <m/>
    <x v="0"/>
    <s v="Yes"/>
    <n v="105"/>
    <s v="Laser"/>
    <x v="5"/>
    <s v="PM87"/>
    <s v="LEE SHIEN WEI"/>
    <n v="19000"/>
    <m/>
    <m/>
    <d v="2025-03-10T00:00:00"/>
    <m/>
    <n v="3"/>
    <n v="57000"/>
    <s v="PE"/>
    <s v="CHECKED0001"/>
    <n v="0"/>
    <n v="50000"/>
    <n v="7000"/>
    <n v="0"/>
    <n v="0"/>
    <n v="0"/>
    <m/>
    <m/>
    <n v="0"/>
    <m/>
    <m/>
    <m/>
    <m/>
    <m/>
    <m/>
    <m/>
    <m/>
    <s v="CHECKED"/>
    <s v="S19337"/>
    <s v="ST LOGISTICS PTE LTD"/>
    <m/>
    <n v="0"/>
    <n v="0"/>
    <n v="0"/>
    <n v="0"/>
    <n v="0"/>
    <n v="0"/>
    <m/>
    <m/>
    <m/>
    <s v="No"/>
    <s v="W662597"/>
    <n v="0"/>
    <m/>
    <s v="S19337"/>
    <m/>
    <m/>
    <s v="S0359163"/>
  </r>
  <r>
    <x v="387"/>
    <n v="10000"/>
    <n v="10000"/>
    <d v="2025-03-10T00:00:00"/>
    <s v="502LAUGH"/>
    <s v=" 2:14:41 pm"/>
    <s v="4047SE"/>
    <m/>
    <x v="2"/>
    <s v="Yes"/>
    <n v="61"/>
    <s v="FSK 520"/>
    <x v="2"/>
    <s v="PM68"/>
    <s v="LEE KIM LIANG"/>
    <n v="2000"/>
    <n v="85"/>
    <n v="1.4166666666666667"/>
    <d v="2025-03-10T00:00:00"/>
    <m/>
    <n v="1"/>
    <n v="2000"/>
    <s v="PE"/>
    <s v="802289 INDEX4000001"/>
    <n v="0"/>
    <n v="2000"/>
    <n v="0"/>
    <n v="0"/>
    <n v="0"/>
    <n v="0"/>
    <m/>
    <m/>
    <n v="0"/>
    <m/>
    <m/>
    <m/>
    <m/>
    <m/>
    <m/>
    <m/>
    <m/>
    <s v="802289 INDEX400"/>
    <s v="V22000"/>
    <s v="PT VARTA MICROBATTERY INDONESIA"/>
    <m/>
    <n v="0"/>
    <n v="0"/>
    <n v="0"/>
    <n v="0"/>
    <n v="0"/>
    <n v="0"/>
    <m/>
    <m/>
    <m/>
    <s v="No"/>
    <s v="W662609"/>
    <n v="0"/>
    <m/>
    <s v="V22000"/>
    <m/>
    <m/>
    <s v="S0359233"/>
  </r>
  <r>
    <x v="290"/>
    <n v="10000"/>
    <n v="30000"/>
    <d v="2025-03-12T00:00:00"/>
    <s v="502LAUGH"/>
    <s v=" 8:34:17 am"/>
    <s v="4136S1"/>
    <m/>
    <x v="2"/>
    <s v="Yes"/>
    <n v="46"/>
    <s v="Sanki 300 Intermittent"/>
    <x v="2"/>
    <s v="PS66"/>
    <s v="SIM ENG KWANG"/>
    <n v="6500"/>
    <n v="207.5"/>
    <n v="3.4583333333333335"/>
    <d v="2025-03-10T00:00:00"/>
    <m/>
    <n v="2"/>
    <n v="13000"/>
    <s v="PE"/>
    <s v="804964 INDEX1000001"/>
    <n v="0"/>
    <n v="6500"/>
    <n v="6500"/>
    <n v="0"/>
    <n v="0"/>
    <n v="0"/>
    <m/>
    <m/>
    <n v="0"/>
    <m/>
    <m/>
    <m/>
    <m/>
    <m/>
    <m/>
    <m/>
    <m/>
    <s v="804964 INDEX100"/>
    <s v="V22000"/>
    <s v="PT VARTA MICROBATTERY INDONESIA"/>
    <m/>
    <n v="0"/>
    <n v="0"/>
    <n v="0"/>
    <n v="0"/>
    <n v="0"/>
    <n v="0"/>
    <m/>
    <m/>
    <m/>
    <s v="No"/>
    <s v="W662610"/>
    <n v="0"/>
    <m/>
    <s v="V22000"/>
    <m/>
    <m/>
    <s v="S0359233"/>
  </r>
  <r>
    <x v="201"/>
    <n v="10000"/>
    <n v="30000"/>
    <d v="2025-03-24T00:00:00"/>
    <s v="502LAUGH"/>
    <s v=" 9:00:01 am"/>
    <s v="10620258036/10620258032/106202568030"/>
    <m/>
    <x v="0"/>
    <s v="Yes"/>
    <n v="77"/>
    <s v="Brotech DF330 "/>
    <x v="0"/>
    <s v="PM74"/>
    <s v="YONG CHEE SOON"/>
    <n v="2500"/>
    <n v="86.666666666666657"/>
    <n v="1.4444444444444442"/>
    <d v="2025-03-10T00:00:00"/>
    <m/>
    <n v="88"/>
    <n v="220000"/>
    <s v="PE"/>
    <s v="N9J89-80007-BH180001"/>
    <n v="0"/>
    <n v="200000"/>
    <n v="2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580"/>
    <n v="0"/>
    <m/>
    <s v="H08031-JIM-M"/>
    <m/>
    <m/>
    <s v="S0359278"/>
  </r>
  <r>
    <x v="202"/>
    <n v="10000"/>
    <n v="30000"/>
    <d v="2025-03-11T00:00:00"/>
    <s v="502LAUGH"/>
    <s v=" 8:33:21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C2P10-80010-FT0001"/>
    <n v="0"/>
    <n v="100000"/>
    <n v="10000"/>
    <n v="0"/>
    <n v="0"/>
    <n v="0"/>
    <m/>
    <m/>
    <n v="0"/>
    <m/>
    <m/>
    <m/>
    <m/>
    <m/>
    <m/>
    <m/>
    <m/>
    <s v="C2P10-80010-FT"/>
    <s v="H08031-JIM-M"/>
    <s v="HP MALAYSIA MANUFACTURING SDN.BHD."/>
    <m/>
    <n v="0"/>
    <n v="0"/>
    <n v="0"/>
    <n v="0"/>
    <n v="0"/>
    <n v="0"/>
    <m/>
    <m/>
    <m/>
    <s v="No"/>
    <s v="W663008"/>
    <n v="0"/>
    <m/>
    <s v="H08031-JIM-M"/>
    <m/>
    <m/>
    <s v="S0359282"/>
  </r>
  <r>
    <x v="205"/>
    <n v="10000"/>
    <n v="30000"/>
    <d v="2025-03-11T00:00:00"/>
    <s v="502LAUGH"/>
    <s v=" 8:34:49 am"/>
    <s v="10567308043/10567308044/10567308039"/>
    <m/>
    <x v="1"/>
    <s v="Yes"/>
    <n v="85"/>
    <s v="Luster AOI"/>
    <x v="1"/>
    <s v="QM78"/>
    <s v="WONG SEAU JIN"/>
    <n v="10000"/>
    <m/>
    <m/>
    <d v="2025-03-10T00:00:00"/>
    <m/>
    <n v="11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s v="HP MALAYSIA MANUFACTURING SDN.BHD."/>
    <m/>
    <n v="0"/>
    <n v="0"/>
    <n v="0"/>
    <n v="0"/>
    <n v="0"/>
    <n v="0"/>
    <m/>
    <m/>
    <m/>
    <s v="No"/>
    <s v="W663011"/>
    <n v="0"/>
    <m/>
    <s v="H08031-JIM-M"/>
    <m/>
    <m/>
    <s v="S0359286"/>
  </r>
  <r>
    <x v="206"/>
    <n v="10000"/>
    <n v="20000"/>
    <d v="2025-03-19T00:00:00"/>
    <s v="505KANGHS"/>
    <s v=" 8:37:16 am"/>
    <s v="10620258036/10620258032/10620258030"/>
    <m/>
    <x v="0"/>
    <s v="Yes"/>
    <n v="77"/>
    <s v="Brotech DF330 "/>
    <x v="0"/>
    <s v="PM74"/>
    <s v="YONG CHEE SOON"/>
    <n v="1250"/>
    <n v="65.833333333333329"/>
    <n v="1.0972222222222221"/>
    <d v="2025-03-10T00:00:00"/>
    <m/>
    <n v="88"/>
    <n v="110000"/>
    <s v="PE"/>
    <s v="CH564-80132-FT0001"/>
    <n v="0"/>
    <n v="100000"/>
    <n v="10000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3013"/>
    <n v="0"/>
    <m/>
    <s v="H08031-JIM-M"/>
    <m/>
    <m/>
    <s v="S0359289"/>
  </r>
  <r>
    <x v="388"/>
    <n v="10000"/>
    <n v="20000"/>
    <d v="2025-03-13T00:00:00"/>
    <s v="502LAUGH"/>
    <s v=" 1:40:25 pm"/>
    <s v="10567308039/10567308040"/>
    <m/>
    <x v="0"/>
    <s v="Yes"/>
    <n v="77"/>
    <s v="Brotech DF330 "/>
    <x v="0"/>
    <s v="PM74"/>
    <s v="YONG CHEE SOON"/>
    <n v="3705"/>
    <n v="106.75"/>
    <n v="1.7791666666666666"/>
    <d v="2025-03-10T00:00:00"/>
    <m/>
    <n v="88"/>
    <n v="326040"/>
    <s v="PE"/>
    <s v="3YM62-80017-FT0001"/>
    <n v="0"/>
    <n v="300000"/>
    <n v="2604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3016"/>
    <n v="0"/>
    <m/>
    <s v="H08031-JIM-M"/>
    <m/>
    <m/>
    <s v="S0359297"/>
  </r>
  <r>
    <x v="296"/>
    <n v="10000"/>
    <n v="20000"/>
    <d v="2025-03-10T00:00:00"/>
    <s v="502LAUGH"/>
    <s v=" 9:49:05 am"/>
    <s v="23A1207231"/>
    <m/>
    <x v="0"/>
    <s v="Yes"/>
    <n v="60"/>
    <s v="Fujishiko UDP-5000"/>
    <x v="3"/>
    <s v="PM30"/>
    <s v="OH KIAN YUAN"/>
    <n v="5000"/>
    <n v="145"/>
    <n v="2.4166666666666665"/>
    <d v="2025-03-10T00:00:00"/>
    <m/>
    <n v="6"/>
    <n v="30000"/>
    <s v="PE"/>
    <s v="805023 INDEX4000001"/>
    <n v="0"/>
    <n v="30000"/>
    <n v="0"/>
    <n v="0"/>
    <n v="0"/>
    <n v="0"/>
    <m/>
    <m/>
    <n v="0"/>
    <m/>
    <m/>
    <m/>
    <m/>
    <m/>
    <m/>
    <m/>
    <m/>
    <s v="805023 INDEX400"/>
    <s v="V22000"/>
    <s v="PT VARTA MICROBATTERY INDONESIA"/>
    <m/>
    <n v="0"/>
    <n v="0"/>
    <n v="0"/>
    <n v="0"/>
    <n v="0"/>
    <n v="0"/>
    <m/>
    <m/>
    <m/>
    <s v="No"/>
    <s v="W662617"/>
    <n v="0"/>
    <m/>
    <s v="V22000"/>
    <m/>
    <m/>
    <s v="S0359318"/>
  </r>
  <r>
    <x v="296"/>
    <n v="10000"/>
    <n v="40000"/>
    <d v="2025-03-11T00:00:00"/>
    <s v="502LAUGH"/>
    <s v=" 2:05:04 pm"/>
    <s v="23A1207231"/>
    <m/>
    <x v="0"/>
    <s v="Yes"/>
    <n v="60"/>
    <s v="Fujishiko UDP-5000"/>
    <x v="3"/>
    <s v="PM30"/>
    <s v="OH KIAN YUAN"/>
    <n v="5000"/>
    <n v="145"/>
    <n v="2.4166666666666665"/>
    <d v="2025-03-10T00:00:00"/>
    <m/>
    <n v="6"/>
    <n v="30000"/>
    <s v="PE"/>
    <s v="805023 INDEX4000001"/>
    <n v="0"/>
    <n v="30000"/>
    <n v="0"/>
    <n v="0"/>
    <n v="0"/>
    <n v="0"/>
    <m/>
    <m/>
    <n v="0"/>
    <m/>
    <m/>
    <m/>
    <m/>
    <m/>
    <m/>
    <m/>
    <m/>
    <s v="805023 INDEX400"/>
    <s v="V22000"/>
    <s v="PT VARTA MICROBATTERY INDONESIA"/>
    <m/>
    <n v="0"/>
    <n v="0"/>
    <n v="0"/>
    <n v="0"/>
    <n v="0"/>
    <n v="0"/>
    <m/>
    <m/>
    <m/>
    <s v="No"/>
    <s v="W662617"/>
    <n v="0"/>
    <m/>
    <s v="V22000"/>
    <m/>
    <m/>
    <s v="S0359318"/>
  </r>
  <r>
    <x v="133"/>
    <n v="10000"/>
    <n v="20000"/>
    <d v="2025-03-11T00:00:00"/>
    <s v="502LAUGH"/>
    <d v="1899-12-30T11:20:22"/>
    <s v="4100514U5A"/>
    <m/>
    <x v="0"/>
    <s v="Yes"/>
    <n v="92"/>
    <s v="Polly Digital Cut"/>
    <x v="6"/>
    <s v="PM87"/>
    <s v="LEE SHIEN WEI"/>
    <n v="300"/>
    <m/>
    <m/>
    <d v="2025-03-10T00:00:00"/>
    <m/>
    <n v="4"/>
    <n v="1200"/>
    <s v="PE"/>
    <s v="PE-LABB00300001"/>
    <n v="0"/>
    <n v="1000"/>
    <n v="200"/>
    <n v="0"/>
    <n v="0"/>
    <n v="0"/>
    <m/>
    <m/>
    <n v="0"/>
    <m/>
    <m/>
    <m/>
    <m/>
    <m/>
    <m/>
    <m/>
    <m/>
    <s v="PE-LABB0030"/>
    <s v="S19652"/>
    <s v="SCIENTIFIC GLASS TECHNOLOGY SINGAPORE PTE LTD"/>
    <m/>
    <n v="0"/>
    <n v="0"/>
    <n v="0"/>
    <n v="0"/>
    <n v="0"/>
    <n v="0"/>
    <m/>
    <m/>
    <m/>
    <s v="No"/>
    <s v="W662619"/>
    <n v="0"/>
    <m/>
    <s v="S19652"/>
    <m/>
    <m/>
    <s v="S0359331"/>
  </r>
  <r>
    <x v="389"/>
    <n v="10000"/>
    <n v="10000"/>
    <d v="2025-03-14T00:00:00"/>
    <s v="502LAUGH"/>
    <s v=" 2:32:25 pm"/>
    <s v="U4B16S037/M0BTC15911524"/>
    <m/>
    <x v="2"/>
    <s v="Yes"/>
    <n v="93"/>
    <s v="HP Indigo 6900"/>
    <x v="4"/>
    <s v="PC02"/>
    <s v="GAO BINJIE"/>
    <n v="2800"/>
    <m/>
    <m/>
    <d v="2025-03-10T00:00:00"/>
    <m/>
    <n v="1344"/>
    <n v="3763200"/>
    <s v="PE"/>
    <s v="719709-AD42150001"/>
    <n v="0"/>
    <n v="3040000"/>
    <n v="723200"/>
    <n v="0"/>
    <n v="0"/>
    <n v="0"/>
    <m/>
    <m/>
    <n v="0"/>
    <m/>
    <m/>
    <m/>
    <m/>
    <m/>
    <m/>
    <m/>
    <m/>
    <s v="719709-AD4215"/>
    <s v="V22000-DE"/>
    <s v="VARTA MICROBATTERY GMBH"/>
    <m/>
    <n v="0"/>
    <n v="0"/>
    <n v="0"/>
    <n v="0"/>
    <n v="0"/>
    <n v="0"/>
    <m/>
    <m/>
    <m/>
    <s v="No"/>
    <s v="W663601"/>
    <n v="0"/>
    <m/>
    <s v="V22000-DE"/>
    <m/>
    <m/>
    <s v="S0359336"/>
  </r>
  <r>
    <x v="390"/>
    <n v="10000"/>
    <n v="10000"/>
    <d v="2025-03-17T00:00:00"/>
    <s v="502LAUGH"/>
    <s v=" 8:47:57 am"/>
    <s v="M0BFL2381"/>
    <m/>
    <x v="2"/>
    <s v="Yes"/>
    <n v="78"/>
    <s v="Baby Sanki"/>
    <x v="2"/>
    <s v="PM84"/>
    <s v="TAN TAI TOH"/>
    <n v="2750"/>
    <n v="113.75"/>
    <n v="1.8958333333333333"/>
    <d v="2025-03-10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3031"/>
    <n v="0"/>
    <m/>
    <s v="S19081-TH"/>
    <m/>
    <m/>
    <s v="H0064692"/>
  </r>
  <r>
    <x v="391"/>
    <n v="10000"/>
    <n v="10000"/>
    <d v="2025-03-17T00:00:00"/>
    <s v="502LAUGH"/>
    <s v=" 8:47:57 am"/>
    <s v="M0BFL2381"/>
    <m/>
    <x v="2"/>
    <s v="Yes"/>
    <n v="78"/>
    <s v="Baby Sanki"/>
    <x v="2"/>
    <s v="PM84"/>
    <s v="TAN TAI TOH"/>
    <n v="2750"/>
    <n v="113.75"/>
    <n v="1.8958333333333333"/>
    <d v="2025-03-10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3032"/>
    <n v="0"/>
    <m/>
    <s v="S19081-TH"/>
    <m/>
    <m/>
    <s v="H0064693"/>
  </r>
  <r>
    <x v="221"/>
    <n v="10000"/>
    <n v="20000"/>
    <d v="2025-03-19T00:00:00"/>
    <s v="505KANGHS"/>
    <s v=" 8:35:16 am"/>
    <s v="10620258036/10620258032/10620258030"/>
    <m/>
    <x v="0"/>
    <s v="Yes"/>
    <n v="77"/>
    <s v="Brotech DF330 "/>
    <x v="0"/>
    <s v="PM74"/>
    <s v="YONG CHEE SOON"/>
    <n v="1250"/>
    <n v="65.833333333333329"/>
    <n v="1.0972222222222221"/>
    <d v="2025-03-10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034"/>
    <n v="0"/>
    <m/>
    <s v="H08031-JIM-M"/>
    <m/>
    <m/>
    <s v="S0359819"/>
  </r>
  <r>
    <x v="141"/>
    <n v="10000"/>
    <n v="20000"/>
    <d v="2025-03-11T00:00:00"/>
    <s v="502LAUGH"/>
    <s v=" 4:17:13 pm"/>
    <s v="JOOV80140"/>
    <m/>
    <x v="2"/>
    <s v="Yes"/>
    <n v="71"/>
    <s v="POLLY"/>
    <x v="3"/>
    <s v="PS95"/>
    <s v="LIM CHENG LEONG"/>
    <n v="22500"/>
    <m/>
    <m/>
    <d v="2025-03-10T00:00:00"/>
    <m/>
    <n v="6"/>
    <n v="135000"/>
    <s v="PE"/>
    <s v="5185-07330001"/>
    <n v="0"/>
    <n v="134997"/>
    <n v="3"/>
    <n v="0"/>
    <n v="0"/>
    <n v="0"/>
    <m/>
    <m/>
    <n v="0"/>
    <m/>
    <m/>
    <m/>
    <m/>
    <m/>
    <m/>
    <m/>
    <m/>
    <s v="5185-0733"/>
    <s v="H08031-JIM-M"/>
    <s v="HP MALAYSIA MANUFACTURING SDN.BHD."/>
    <m/>
    <n v="0"/>
    <n v="0"/>
    <n v="0"/>
    <n v="0"/>
    <n v="0"/>
    <n v="0"/>
    <m/>
    <m/>
    <m/>
    <s v="No"/>
    <s v="W663035"/>
    <n v="0"/>
    <m/>
    <s v="H08031-JIM-M"/>
    <m/>
    <m/>
    <s v="S0359820"/>
  </r>
  <r>
    <x v="69"/>
    <n v="10000"/>
    <n v="20000"/>
    <d v="2025-03-24T00:00:00"/>
    <s v="502LAUGH"/>
    <s v=" 8:50:13 am"/>
    <n v="10639931001"/>
    <m/>
    <x v="0"/>
    <s v="Yes"/>
    <n v="77"/>
    <s v="Brotech DF330 "/>
    <x v="0"/>
    <s v="PM74"/>
    <s v="YONG CHEE SOON"/>
    <n v="750"/>
    <n v="57.5"/>
    <n v="0.95833333333333337"/>
    <d v="2025-03-10T00:00:00"/>
    <m/>
    <n v="88"/>
    <n v="66000"/>
    <s v="PE"/>
    <s v="CH561-80140-FT0001"/>
    <n v="0"/>
    <n v="25385"/>
    <n v="40615"/>
    <n v="0"/>
    <n v="0"/>
    <n v="0"/>
    <m/>
    <m/>
    <n v="0"/>
    <m/>
    <m/>
    <m/>
    <m/>
    <m/>
    <m/>
    <m/>
    <m/>
    <s v="CH561-80140-FT"/>
    <s v="H08031-JIM-M"/>
    <s v="HP MALAYSIA MANUFACTURING SDN.BHD."/>
    <m/>
    <n v="0"/>
    <n v="0"/>
    <n v="0"/>
    <n v="0"/>
    <n v="0"/>
    <n v="0"/>
    <m/>
    <m/>
    <m/>
    <s v="No"/>
    <s v="W663604"/>
    <n v="0"/>
    <m/>
    <s v="H08031-JIM-M"/>
    <m/>
    <m/>
    <s v="S0359840"/>
  </r>
  <r>
    <x v="392"/>
    <n v="10000"/>
    <n v="10000"/>
    <d v="2025-03-10T00:00:00"/>
    <s v="502LAUGH"/>
    <s v=" 4:34:56 pm"/>
    <s v="SG-5627551 01"/>
    <m/>
    <x v="2"/>
    <s v="Yes"/>
    <n v="59"/>
    <s v="SANKI SD-300 Intermittent"/>
    <x v="2"/>
    <s v="PS74"/>
    <s v="GOH CHIN TECK"/>
    <n v="1500"/>
    <n v="82.5"/>
    <n v="1.375"/>
    <d v="2025-03-10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2638"/>
    <n v="0"/>
    <m/>
    <s v="I09180"/>
    <m/>
    <m/>
    <s v="S0359869"/>
  </r>
  <r>
    <x v="348"/>
    <n v="10000"/>
    <n v="20000"/>
    <d v="2025-03-18T00:00:00"/>
    <s v="502LAUGH"/>
    <s v=" 2:45:58 pm"/>
    <s v="M0BSM9430/M0BSM94101524/M0BSM9461"/>
    <m/>
    <x v="2"/>
    <s v="Yes"/>
    <n v="29"/>
    <s v="Sanki SKP250 Full Rotary"/>
    <x v="2"/>
    <s v="PS19"/>
    <s v="SNG KOK CHENG"/>
    <n v="62822"/>
    <n v="1615.55"/>
    <n v="26.925833333333333"/>
    <d v="2025-03-10T00:00:00"/>
    <m/>
    <n v="28"/>
    <n v="1759016"/>
    <s v="PE"/>
    <n v="6622480001"/>
    <n v="0"/>
    <n v="1741854"/>
    <n v="17162"/>
    <n v="0"/>
    <n v="0"/>
    <n v="0"/>
    <m/>
    <m/>
    <n v="0"/>
    <m/>
    <m/>
    <m/>
    <m/>
    <m/>
    <m/>
    <m/>
    <m/>
    <n v="662248"/>
    <s v="V22000-DE"/>
    <s v="VARTA MICROBATTERY GMBH"/>
    <m/>
    <n v="0"/>
    <n v="0"/>
    <n v="0"/>
    <n v="0"/>
    <n v="0"/>
    <n v="0"/>
    <m/>
    <m/>
    <m/>
    <s v="No"/>
    <s v="W663617"/>
    <n v="0"/>
    <m/>
    <s v="V22000-DE"/>
    <m/>
    <m/>
    <s v="S0360711"/>
  </r>
  <r>
    <x v="393"/>
    <n v="10000"/>
    <n v="10000"/>
    <d v="2025-03-10T00:00:00"/>
    <s v="502LAUGH"/>
    <s v=" 2:16:15 pm"/>
    <s v="4052209U5/U3927S101"/>
    <m/>
    <x v="2"/>
    <s v="Yes"/>
    <n v="78"/>
    <s v="Baby Sanki"/>
    <x v="2"/>
    <s v="PM84"/>
    <s v="TAN TAI TOH"/>
    <n v="500"/>
    <n v="57.5"/>
    <n v="0.95833333333333337"/>
    <d v="2025-03-10T00:00:00"/>
    <m/>
    <n v="2"/>
    <n v="1000"/>
    <s v="PE"/>
    <s v="SDPPI2025-IX13000001"/>
    <n v="0"/>
    <n v="1000"/>
    <n v="0"/>
    <n v="0"/>
    <n v="0"/>
    <n v="0"/>
    <m/>
    <m/>
    <n v="0"/>
    <m/>
    <m/>
    <m/>
    <m/>
    <m/>
    <m/>
    <m/>
    <m/>
    <s v="SDPPI2025-IX1300"/>
    <s v="P16257"/>
    <s v="PFU ASIA PACIFIC PTE LTD"/>
    <m/>
    <n v="0"/>
    <n v="0"/>
    <n v="0"/>
    <n v="0"/>
    <n v="0"/>
    <n v="0"/>
    <m/>
    <m/>
    <m/>
    <s v="No"/>
    <s v="W662644"/>
    <n v="0"/>
    <m/>
    <s v="P16257"/>
    <m/>
    <m/>
    <s v="S0360732"/>
  </r>
  <r>
    <x v="394"/>
    <n v="10000"/>
    <n v="10000"/>
    <d v="2025-03-10T00:00:00"/>
    <s v="502LAUGH"/>
    <s v=" 2:16:15 pm"/>
    <s v="4052209U5/U3927S101"/>
    <m/>
    <x v="2"/>
    <s v="Yes"/>
    <n v="78"/>
    <s v="Baby Sanki"/>
    <x v="2"/>
    <s v="PM84"/>
    <s v="TAN TAI TOH"/>
    <n v="500"/>
    <n v="57.5"/>
    <n v="0.95833333333333337"/>
    <d v="2025-03-10T00:00:00"/>
    <m/>
    <n v="2"/>
    <n v="1000"/>
    <s v="PE"/>
    <s v="SDPPI2025-IX16000001"/>
    <n v="0"/>
    <n v="1000"/>
    <n v="0"/>
    <n v="0"/>
    <n v="0"/>
    <n v="0"/>
    <m/>
    <m/>
    <n v="0"/>
    <m/>
    <m/>
    <m/>
    <m/>
    <m/>
    <m/>
    <m/>
    <m/>
    <s v="SDPPI2025-IX1600"/>
    <s v="P16257"/>
    <s v="PFU ASIA PACIFIC PTE LTD"/>
    <m/>
    <n v="0"/>
    <n v="0"/>
    <n v="0"/>
    <n v="0"/>
    <n v="0"/>
    <n v="0"/>
    <m/>
    <m/>
    <m/>
    <s v="No"/>
    <s v="W662645"/>
    <n v="0"/>
    <m/>
    <s v="P16257"/>
    <m/>
    <m/>
    <s v="S0360732"/>
  </r>
  <r>
    <x v="395"/>
    <n v="10000"/>
    <n v="10000"/>
    <d v="2025-03-10T00:00:00"/>
    <s v="502LAUGH"/>
    <s v=" 3:09:20 pm"/>
    <s v="4236S1"/>
    <m/>
    <x v="2"/>
    <s v="Yes"/>
    <n v="71"/>
    <s v="POLLY"/>
    <x v="3"/>
    <s v="PS95"/>
    <s v="LIM CHENG LEONG"/>
    <n v="1000"/>
    <m/>
    <m/>
    <d v="2025-03-10T00:00:00"/>
    <m/>
    <n v="2"/>
    <n v="2000"/>
    <s v="PE"/>
    <s v="BLANK LABEL-36X20001"/>
    <n v="0"/>
    <n v="2000"/>
    <n v="0"/>
    <n v="0"/>
    <n v="0"/>
    <n v="0"/>
    <m/>
    <m/>
    <n v="0"/>
    <m/>
    <m/>
    <m/>
    <m/>
    <m/>
    <m/>
    <m/>
    <m/>
    <s v="SM-90 NAMEPLATE"/>
    <s v="T20096"/>
    <s v="DIGI SINGAPORE PTE LTD"/>
    <m/>
    <n v="0"/>
    <n v="0"/>
    <n v="0"/>
    <n v="0"/>
    <n v="0"/>
    <n v="0"/>
    <m/>
    <m/>
    <m/>
    <s v="No"/>
    <s v="W662647"/>
    <n v="0"/>
    <m/>
    <s v="T20096"/>
    <m/>
    <m/>
    <s v="S0360740"/>
  </r>
  <r>
    <x v="396"/>
    <n v="10000"/>
    <n v="10000"/>
    <d v="2025-03-10T00:00:00"/>
    <s v="502LAUGH"/>
    <s v=" 5:10:16 pm"/>
    <s v="4071802U5/3082510U9"/>
    <m/>
    <x v="2"/>
    <s v="Yes"/>
    <n v="61"/>
    <s v="FSK 520"/>
    <x v="2"/>
    <s v="PM68"/>
    <s v="LEE KIM LIANG"/>
    <n v="750"/>
    <n v="60"/>
    <n v="1"/>
    <d v="2025-03-10T00:00:00"/>
    <m/>
    <n v="2"/>
    <n v="1500"/>
    <s v="PE"/>
    <s v="SM-P1999-D0050R00001"/>
    <n v="0"/>
    <n v="1500"/>
    <n v="0"/>
    <n v="0"/>
    <n v="0"/>
    <n v="0"/>
    <m/>
    <m/>
    <n v="0"/>
    <m/>
    <m/>
    <m/>
    <m/>
    <m/>
    <m/>
    <m/>
    <m/>
    <s v="SM-P1999-D0050R00"/>
    <s v="S19586"/>
    <s v="SYS-MAC AUTOMATION ENGINEERING PTE LTD"/>
    <m/>
    <n v="0"/>
    <n v="0"/>
    <n v="0"/>
    <n v="0"/>
    <n v="0"/>
    <n v="0"/>
    <m/>
    <m/>
    <m/>
    <s v="No"/>
    <s v="W662656"/>
    <n v="0"/>
    <m/>
    <s v="S19586"/>
    <m/>
    <m/>
    <s v="S0360744"/>
  </r>
  <r>
    <x v="397"/>
    <n v="10000"/>
    <n v="10000"/>
    <d v="2025-03-11T00:00:00"/>
    <s v="502LAUGH"/>
    <s v=" 4:56:00 pm"/>
    <s v="U530558077"/>
    <m/>
    <x v="2"/>
    <s v="Yes"/>
    <n v="79"/>
    <s v="HP Indigo 6800"/>
    <x v="4"/>
    <s v="PM16"/>
    <s v="TEO KAH JUN"/>
    <n v="100"/>
    <n v="35"/>
    <n v="0.58333333333333337"/>
    <d v="2025-03-10T00:00:00"/>
    <m/>
    <n v="66"/>
    <n v="6600"/>
    <s v="PE"/>
    <s v="36X73MM-ORANGE0001"/>
    <n v="0"/>
    <n v="3000"/>
    <n v="3600"/>
    <n v="0"/>
    <n v="0"/>
    <n v="0"/>
    <m/>
    <m/>
    <n v="0"/>
    <m/>
    <m/>
    <m/>
    <m/>
    <m/>
    <m/>
    <m/>
    <m/>
    <s v="36X73MM-ORANGE"/>
    <s v="S19254"/>
    <s v="SINGAPORE ASAHI CHEMICAL &amp; SOLDER IND. PTE LTD"/>
    <m/>
    <n v="0"/>
    <n v="0"/>
    <n v="0"/>
    <n v="0"/>
    <n v="0"/>
    <n v="0"/>
    <m/>
    <m/>
    <m/>
    <s v="No"/>
    <s v="W662660"/>
    <n v="0"/>
    <m/>
    <s v="S19254"/>
    <m/>
    <m/>
    <s v="S0360888"/>
  </r>
  <r>
    <x v="398"/>
    <n v="10000"/>
    <n v="10000"/>
    <d v="2025-03-11T00:00:00"/>
    <s v="502LAUGH"/>
    <s v=" 4:56:41 pm"/>
    <s v="U530558077"/>
    <m/>
    <x v="2"/>
    <s v="Yes"/>
    <n v="79"/>
    <s v="HP Indigo 6800"/>
    <x v="4"/>
    <s v="PM16"/>
    <s v="TEO KAH JUN"/>
    <n v="100"/>
    <n v="35"/>
    <n v="0.58333333333333337"/>
    <d v="2025-03-10T00:00:00"/>
    <m/>
    <n v="66"/>
    <n v="6600"/>
    <s v="PE"/>
    <s v="36X73MM-PINK0001"/>
    <n v="0"/>
    <n v="3000"/>
    <n v="3600"/>
    <n v="0"/>
    <n v="0"/>
    <n v="0"/>
    <m/>
    <m/>
    <n v="0"/>
    <m/>
    <m/>
    <m/>
    <m/>
    <m/>
    <m/>
    <m/>
    <m/>
    <s v="36X73MM-PINK"/>
    <s v="S19254"/>
    <s v="SINGAPORE ASAHI CHEMICAL &amp; SOLDER IND. PTE LTD"/>
    <m/>
    <n v="0"/>
    <n v="0"/>
    <n v="0"/>
    <n v="0"/>
    <n v="0"/>
    <n v="0"/>
    <m/>
    <m/>
    <m/>
    <s v="No"/>
    <s v="W662661"/>
    <n v="0"/>
    <m/>
    <s v="S19254"/>
    <m/>
    <m/>
    <s v="S0360888"/>
  </r>
  <r>
    <x v="399"/>
    <n v="10000"/>
    <n v="10000"/>
    <d v="2025-03-11T00:00:00"/>
    <s v="502LAUGH"/>
    <s v=" 4:57:20 pm"/>
    <s v="U530558077"/>
    <m/>
    <x v="2"/>
    <s v="Yes"/>
    <n v="79"/>
    <s v="HP Indigo 6800"/>
    <x v="4"/>
    <s v="PM16"/>
    <s v="TEO KAH JUN"/>
    <n v="100"/>
    <n v="35"/>
    <n v="0.58333333333333337"/>
    <d v="2025-03-10T00:00:00"/>
    <m/>
    <n v="66"/>
    <n v="6600"/>
    <s v="PE"/>
    <s v="36X73MM-YELLOW0001"/>
    <n v="0"/>
    <n v="3000"/>
    <n v="3600"/>
    <n v="0"/>
    <n v="0"/>
    <n v="0"/>
    <m/>
    <m/>
    <n v="0"/>
    <m/>
    <m/>
    <m/>
    <m/>
    <m/>
    <m/>
    <m/>
    <m/>
    <s v="36X73MM-YELLOW"/>
    <s v="S19254"/>
    <s v="SINGAPORE ASAHI CHEMICAL &amp; SOLDER IND. PTE LTD"/>
    <m/>
    <n v="0"/>
    <n v="0"/>
    <n v="0"/>
    <n v="0"/>
    <n v="0"/>
    <n v="0"/>
    <m/>
    <m/>
    <m/>
    <s v="No"/>
    <s v="W662662"/>
    <n v="0"/>
    <m/>
    <s v="S19254"/>
    <m/>
    <m/>
    <s v="S0360888"/>
  </r>
  <r>
    <x v="400"/>
    <n v="10000"/>
    <n v="10000"/>
    <d v="2025-03-10T00:00:00"/>
    <s v="502LAUGH"/>
    <s v=" 3:58:45 pm"/>
    <s v="4111522U5A"/>
    <m/>
    <x v="2"/>
    <s v="Yes"/>
    <n v="22"/>
    <s v="FSK B100"/>
    <x v="2"/>
    <s v="PS13"/>
    <s v="YEE CHENG MENG"/>
    <n v="500"/>
    <n v="55"/>
    <n v="0.91666666666666663"/>
    <d v="2025-03-10T00:00:00"/>
    <m/>
    <n v="2"/>
    <n v="1000"/>
    <s v="PE"/>
    <s v="260-6372-000001"/>
    <n v="0"/>
    <n v="1000"/>
    <n v="0"/>
    <n v="0"/>
    <n v="0"/>
    <n v="0"/>
    <m/>
    <m/>
    <n v="0"/>
    <m/>
    <m/>
    <m/>
    <m/>
    <m/>
    <m/>
    <m/>
    <m/>
    <s v="260-6372-00"/>
    <s v="J10025"/>
    <s v="JMS SINGAPORE PTE LTD"/>
    <m/>
    <n v="0"/>
    <n v="0"/>
    <n v="0"/>
    <n v="0"/>
    <n v="0"/>
    <n v="0"/>
    <m/>
    <m/>
    <m/>
    <s v="No"/>
    <s v="W662663"/>
    <n v="0"/>
    <m/>
    <s v="J10025"/>
    <m/>
    <m/>
    <s v="S0360889"/>
  </r>
  <r>
    <x v="401"/>
    <n v="10000"/>
    <n v="10000"/>
    <d v="2025-03-10T00:00:00"/>
    <s v="502LAUGH"/>
    <s v=" 3:58:45 pm"/>
    <s v="4111522U5A"/>
    <m/>
    <x v="2"/>
    <s v="Yes"/>
    <n v="22"/>
    <s v="FSK B100"/>
    <x v="2"/>
    <s v="PS13"/>
    <s v="YEE CHENG MENG"/>
    <n v="500"/>
    <n v="55"/>
    <n v="0.91666666666666663"/>
    <d v="2025-03-10T00:00:00"/>
    <m/>
    <n v="2"/>
    <n v="1000"/>
    <s v="PE"/>
    <s v="260-6373-000001"/>
    <n v="0"/>
    <n v="1000"/>
    <n v="0"/>
    <n v="0"/>
    <n v="0"/>
    <n v="0"/>
    <m/>
    <m/>
    <n v="0"/>
    <m/>
    <m/>
    <m/>
    <m/>
    <m/>
    <m/>
    <m/>
    <m/>
    <s v="260-6373-00"/>
    <s v="J10025"/>
    <s v="JMS SINGAPORE PTE LTD"/>
    <m/>
    <n v="0"/>
    <n v="0"/>
    <n v="0"/>
    <n v="0"/>
    <n v="0"/>
    <n v="0"/>
    <m/>
    <m/>
    <m/>
    <s v="No"/>
    <s v="W662664"/>
    <n v="0"/>
    <m/>
    <s v="J10025"/>
    <m/>
    <m/>
    <s v="S0360889"/>
  </r>
  <r>
    <x v="402"/>
    <n v="10000"/>
    <n v="10000"/>
    <d v="2025-03-10T00:00:00"/>
    <s v="502LAUGH"/>
    <s v=" 3:58:45 pm"/>
    <s v="4111522U5A"/>
    <m/>
    <x v="2"/>
    <s v="Yes"/>
    <n v="22"/>
    <s v="FSK B100"/>
    <x v="2"/>
    <s v="PS13"/>
    <s v="YEE CHENG MENG"/>
    <n v="500"/>
    <n v="55"/>
    <n v="0.91666666666666663"/>
    <d v="2025-03-10T00:00:00"/>
    <m/>
    <n v="2"/>
    <n v="1000"/>
    <s v="PE"/>
    <s v="260-6374-000001"/>
    <n v="0"/>
    <n v="1000"/>
    <n v="0"/>
    <n v="0"/>
    <n v="0"/>
    <n v="0"/>
    <m/>
    <m/>
    <n v="0"/>
    <m/>
    <m/>
    <m/>
    <m/>
    <m/>
    <m/>
    <m/>
    <m/>
    <s v="260-6374-00"/>
    <s v="J10025"/>
    <s v="JMS SINGAPORE PTE LTD"/>
    <m/>
    <n v="0"/>
    <n v="0"/>
    <n v="0"/>
    <n v="0"/>
    <n v="0"/>
    <n v="0"/>
    <m/>
    <m/>
    <m/>
    <s v="No"/>
    <s v="W662665"/>
    <n v="0"/>
    <m/>
    <s v="J10025"/>
    <m/>
    <m/>
    <s v="S0360889"/>
  </r>
  <r>
    <x v="403"/>
    <n v="10000"/>
    <n v="10000"/>
    <d v="2025-03-10T00:00:00"/>
    <s v="502LAUGH"/>
    <s v=" 3:58:45 pm"/>
    <s v="4111522U5A"/>
    <m/>
    <x v="2"/>
    <s v="Yes"/>
    <n v="22"/>
    <s v="FSK B100"/>
    <x v="2"/>
    <s v="PS13"/>
    <s v="YEE CHENG MENG"/>
    <n v="500"/>
    <n v="55"/>
    <n v="0.91666666666666663"/>
    <d v="2025-03-10T00:00:00"/>
    <m/>
    <n v="2"/>
    <n v="1000"/>
    <s v="PE"/>
    <s v="260-6375-000001"/>
    <n v="0"/>
    <n v="1000"/>
    <n v="0"/>
    <n v="0"/>
    <n v="0"/>
    <n v="0"/>
    <m/>
    <m/>
    <n v="0"/>
    <m/>
    <m/>
    <m/>
    <m/>
    <m/>
    <m/>
    <m/>
    <m/>
    <s v="260-6375-00"/>
    <s v="J10025"/>
    <s v="JMS SINGAPORE PTE LTD"/>
    <m/>
    <n v="0"/>
    <n v="0"/>
    <n v="0"/>
    <n v="0"/>
    <n v="0"/>
    <n v="0"/>
    <m/>
    <m/>
    <m/>
    <s v="No"/>
    <s v="W662666"/>
    <n v="0"/>
    <m/>
    <s v="J10025"/>
    <m/>
    <m/>
    <s v="S0360889"/>
  </r>
  <r>
    <x v="404"/>
    <n v="10000"/>
    <n v="10000"/>
    <d v="2025-03-12T00:00:00"/>
    <s v="502LAUGH"/>
    <s v=" 8:32:45 am"/>
    <s v="D007I6641"/>
    <m/>
    <x v="2"/>
    <s v="Yes"/>
    <n v="93"/>
    <s v="HP Indigo 6900"/>
    <x v="4"/>
    <s v="PC02"/>
    <s v="GAO BINJIE"/>
    <n v="60"/>
    <m/>
    <m/>
    <d v="2025-03-10T00:00:00"/>
    <m/>
    <n v="686"/>
    <n v="41160"/>
    <s v="PE"/>
    <s v="5189-80950001"/>
    <n v="0"/>
    <n v="20000"/>
    <n v="21160"/>
    <n v="0"/>
    <n v="0"/>
    <n v="0"/>
    <m/>
    <m/>
    <n v="0"/>
    <m/>
    <m/>
    <m/>
    <m/>
    <m/>
    <m/>
    <m/>
    <m/>
    <s v="5189-8095"/>
    <s v="H08031-JIM"/>
    <s v="HP SINGAPORE (PRIVATE) LIMITED"/>
    <m/>
    <n v="0"/>
    <n v="0"/>
    <n v="0"/>
    <n v="0"/>
    <n v="0"/>
    <n v="0"/>
    <m/>
    <m/>
    <m/>
    <s v="No"/>
    <s v="W663621"/>
    <n v="0"/>
    <m/>
    <s v="H08031-JIM"/>
    <m/>
    <m/>
    <s v="S0360901"/>
  </r>
  <r>
    <x v="405"/>
    <n v="10000"/>
    <n v="10000"/>
    <d v="2025-03-12T00:00:00"/>
    <s v="502LAUGH"/>
    <s v=" 8:31:49 am"/>
    <s v="D007I6641"/>
    <m/>
    <x v="2"/>
    <s v="Yes"/>
    <n v="93"/>
    <s v="HP Indigo 6900"/>
    <x v="4"/>
    <s v="PC02"/>
    <s v="GAO BINJIE"/>
    <n v="80"/>
    <m/>
    <m/>
    <d v="2025-03-10T00:00:00"/>
    <m/>
    <n v="75"/>
    <n v="6000"/>
    <s v="PE"/>
    <s v="W3T11-800050001"/>
    <n v="0"/>
    <n v="1000"/>
    <n v="5000"/>
    <n v="0"/>
    <n v="0"/>
    <n v="0"/>
    <m/>
    <m/>
    <n v="0"/>
    <m/>
    <m/>
    <m/>
    <m/>
    <m/>
    <m/>
    <m/>
    <m/>
    <s v="W3T11-80005"/>
    <s v="H08031-JIM"/>
    <s v="HP SINGAPORE (PRIVATE) LIMITED"/>
    <m/>
    <n v="0"/>
    <n v="0"/>
    <n v="0"/>
    <n v="0"/>
    <n v="0"/>
    <n v="0"/>
    <m/>
    <m/>
    <m/>
    <s v="No"/>
    <s v="W663622"/>
    <n v="0"/>
    <m/>
    <s v="H08031-JIM"/>
    <m/>
    <m/>
    <s v="S0360903"/>
  </r>
  <r>
    <x v="406"/>
    <n v="10000"/>
    <n v="10000"/>
    <d v="2025-03-12T00:00:00"/>
    <s v="502LAUGH"/>
    <s v=" 8:37:20 am"/>
    <s v="4111523U5"/>
    <m/>
    <x v="2"/>
    <s v="Yes"/>
    <n v="12"/>
    <s v="FSK SR520"/>
    <x v="2"/>
    <s v="PP05"/>
    <s v="WONG KIM FATT"/>
    <n v="32000"/>
    <n v="685"/>
    <n v="11.416666666666666"/>
    <d v="2025-03-10T00:00:00"/>
    <m/>
    <n v="1"/>
    <n v="32000"/>
    <s v="PE"/>
    <s v="250-6223-000001"/>
    <n v="0"/>
    <n v="32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2672"/>
    <n v="0"/>
    <m/>
    <s v="J10025"/>
    <m/>
    <m/>
    <s v="S0360904"/>
  </r>
  <r>
    <x v="407"/>
    <n v="10000"/>
    <n v="10000"/>
    <d v="2025-03-10T00:00:00"/>
    <s v="502LAUGH"/>
    <s v=" 4:36:20 pm"/>
    <s v="5011625U5"/>
    <m/>
    <x v="2"/>
    <s v="Yes"/>
    <n v="61"/>
    <s v="FSK 520"/>
    <x v="2"/>
    <s v="PM61"/>
    <s v="HO CHAN LE"/>
    <n v="1834"/>
    <n v="81.680000000000007"/>
    <n v="1.3613333333333335"/>
    <d v="2025-03-10T00:00:00"/>
    <m/>
    <n v="6"/>
    <n v="11004"/>
    <s v="PE"/>
    <s v="250-6191-000001"/>
    <n v="0"/>
    <n v="11000"/>
    <n v="4"/>
    <n v="0"/>
    <n v="0"/>
    <n v="0"/>
    <m/>
    <m/>
    <n v="0"/>
    <m/>
    <m/>
    <m/>
    <m/>
    <m/>
    <m/>
    <m/>
    <m/>
    <s v="250-6191-00"/>
    <s v="J10025"/>
    <s v="JMS SINGAPORE PTE LTD"/>
    <m/>
    <n v="0"/>
    <n v="0"/>
    <n v="0"/>
    <n v="0"/>
    <n v="0"/>
    <n v="0"/>
    <m/>
    <m/>
    <m/>
    <s v="No"/>
    <s v="W662680"/>
    <n v="0"/>
    <m/>
    <s v="J10025"/>
    <m/>
    <m/>
    <s v="S0360905"/>
  </r>
  <r>
    <x v="408"/>
    <n v="10000"/>
    <n v="10000"/>
    <d v="2025-03-11T00:00:00"/>
    <s v="502LAUGH"/>
    <s v=" 3:45:32 pm"/>
    <s v="5011625U5"/>
    <m/>
    <x v="2"/>
    <s v="Yes"/>
    <n v="61"/>
    <s v="FSK 520"/>
    <x v="2"/>
    <s v="PM61"/>
    <s v="HO CHAN LE"/>
    <n v="8334"/>
    <n v="211.68"/>
    <n v="3.528"/>
    <d v="2025-03-10T00:00:00"/>
    <m/>
    <n v="6"/>
    <n v="50004"/>
    <s v="PE"/>
    <s v="250-6237-000001"/>
    <n v="0"/>
    <n v="50000"/>
    <n v="4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3049"/>
    <n v="0"/>
    <m/>
    <s v="J10025"/>
    <m/>
    <m/>
    <s v="S0360905"/>
  </r>
  <r>
    <x v="409"/>
    <n v="10000"/>
    <n v="10000"/>
    <d v="2025-03-10T00:00:00"/>
    <s v="502LAUGH"/>
    <s v=" 2:14:41 pm"/>
    <s v="5011623U5"/>
    <m/>
    <x v="2"/>
    <s v="Yes"/>
    <n v="61"/>
    <s v="FSK 520"/>
    <x v="2"/>
    <s v="PM61"/>
    <s v="HO CHAN LE"/>
    <n v="3667"/>
    <n v="118.34"/>
    <n v="1.9723333333333335"/>
    <d v="2025-03-10T00:00:00"/>
    <m/>
    <n v="6"/>
    <n v="22002"/>
    <s v="PE"/>
    <s v="250-6241-000001"/>
    <n v="0"/>
    <n v="22000"/>
    <n v="2"/>
    <n v="0"/>
    <n v="0"/>
    <n v="0"/>
    <m/>
    <m/>
    <n v="0"/>
    <m/>
    <m/>
    <m/>
    <m/>
    <m/>
    <m/>
    <m/>
    <m/>
    <s v="250-6241-00"/>
    <s v="J10025"/>
    <s v="JMS SINGAPORE PTE LTD"/>
    <m/>
    <n v="0"/>
    <n v="0"/>
    <n v="0"/>
    <n v="0"/>
    <n v="0"/>
    <n v="0"/>
    <m/>
    <m/>
    <m/>
    <s v="No"/>
    <s v="W662789"/>
    <n v="0"/>
    <m/>
    <s v="J10025"/>
    <m/>
    <m/>
    <s v="S0360905"/>
  </r>
  <r>
    <x v="410"/>
    <n v="10000"/>
    <n v="20000"/>
    <d v="2025-03-26T00:00:00"/>
    <s v="502LAUGH"/>
    <s v=" 5:44:45 pm"/>
    <s v="D006O6500"/>
    <m/>
    <x v="2"/>
    <s v="Yes"/>
    <n v="79"/>
    <s v="HP Indigo 6800"/>
    <x v="4"/>
    <s v="PM16"/>
    <s v="TEO KAH JUN"/>
    <n v="534"/>
    <n v="56.7"/>
    <n v="0.94500000000000006"/>
    <d v="2025-03-10T00:00:00"/>
    <m/>
    <n v="15"/>
    <n v="8010"/>
    <s v="PE"/>
    <s v="5180-4652-FT0001"/>
    <n v="0"/>
    <n v="5000"/>
    <n v="3010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3624"/>
    <n v="0"/>
    <m/>
    <s v="H08031-JIM-M"/>
    <m/>
    <m/>
    <s v="S0360909"/>
  </r>
  <r>
    <x v="239"/>
    <n v="10000"/>
    <n v="20000"/>
    <d v="2025-03-19T00:00:00"/>
    <s v="502LAUGH"/>
    <s v=" 8:37:08 am"/>
    <s v="10620258036/10620258032/10620258030"/>
    <m/>
    <x v="0"/>
    <s v="Yes"/>
    <n v="77"/>
    <s v="Brotech DF330 "/>
    <x v="0"/>
    <s v="PM74"/>
    <s v="YONG CHEE SOON"/>
    <n v="2500"/>
    <n v="86.666666666666657"/>
    <n v="1.4444444444444442"/>
    <d v="2025-03-10T00:00:00"/>
    <m/>
    <n v="88"/>
    <n v="220000"/>
    <s v="PE"/>
    <s v="3YM77-80008-FT0001"/>
    <n v="0"/>
    <n v="200000"/>
    <n v="2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3626"/>
    <n v="0"/>
    <m/>
    <s v="H08031-JIM-M"/>
    <m/>
    <m/>
    <s v="S0360912"/>
  </r>
  <r>
    <x v="240"/>
    <n v="10000"/>
    <n v="30000"/>
    <d v="2025-03-26T00:00:00"/>
    <s v="502LAUGH"/>
    <s v=" 2:59:27 pm"/>
    <n v="10620258036"/>
    <m/>
    <x v="0"/>
    <s v="Yes"/>
    <n v="77"/>
    <s v="Brotech DF330 "/>
    <x v="0"/>
    <s v="PM74"/>
    <s v="YONG CHEE SOON"/>
    <n v="4319"/>
    <n v="116.98333333333333"/>
    <n v="1.9497222222222221"/>
    <d v="2025-03-10T00:00:00"/>
    <m/>
    <n v="88"/>
    <n v="380072"/>
    <s v="PE"/>
    <s v="3YM56-80009-FT0001"/>
    <n v="0"/>
    <n v="360000"/>
    <n v="20072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3627"/>
    <n v="0"/>
    <m/>
    <s v="H08031-JIM-M"/>
    <m/>
    <m/>
    <s v="S0360913"/>
  </r>
  <r>
    <x v="241"/>
    <n v="10000"/>
    <n v="20000"/>
    <d v="2025-03-19T00:00:00"/>
    <s v="505KANGHS"/>
    <s v=" 8:33:10 am"/>
    <s v="10620258036/10620258032/10620258030"/>
    <m/>
    <x v="0"/>
    <s v="Yes"/>
    <n v="77"/>
    <s v="Brotech DF330 "/>
    <x v="0"/>
    <s v="PM74"/>
    <s v="YONG CHEE SOON"/>
    <n v="1250"/>
    <n v="65.833333333333329"/>
    <n v="1.0972222222222221"/>
    <d v="2025-03-10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3628"/>
    <n v="0"/>
    <m/>
    <s v="H08031-JIM-M"/>
    <m/>
    <m/>
    <s v="S0360914"/>
  </r>
  <r>
    <x v="242"/>
    <n v="10000"/>
    <n v="20000"/>
    <d v="2025-03-19T00:00:00"/>
    <s v="502LAUGH"/>
    <s v=" 8:36:00 am"/>
    <s v="10620258036/10620258032/10620258030"/>
    <m/>
    <x v="0"/>
    <s v="Yes"/>
    <n v="77"/>
    <s v="Brotech DF330 "/>
    <x v="0"/>
    <s v="PM74"/>
    <s v="YONG CHEE SOON"/>
    <n v="2500"/>
    <n v="86.666666666666657"/>
    <n v="1.4444444444444442"/>
    <d v="2025-03-10T00:00:00"/>
    <m/>
    <n v="88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630"/>
    <n v="0"/>
    <m/>
    <s v="H08031-JIM-M"/>
    <m/>
    <m/>
    <s v="S0360918"/>
  </r>
  <r>
    <x v="243"/>
    <n v="10000"/>
    <n v="20000"/>
    <d v="2025-03-19T00:00:00"/>
    <s v="505KANGHS"/>
    <s v=" 8:35:16 am"/>
    <s v="10620258036/10620258032/10620258030"/>
    <m/>
    <x v="0"/>
    <s v="Yes"/>
    <n v="77"/>
    <s v="Brotech DF330 "/>
    <x v="0"/>
    <s v="PM74"/>
    <s v="YONG CHEE SOON"/>
    <n v="2500"/>
    <n v="86.666666666666657"/>
    <n v="1.4444444444444442"/>
    <d v="2025-03-10T00:00:00"/>
    <m/>
    <n v="88"/>
    <n v="220000"/>
    <s v="PE"/>
    <s v="CH562-80136-FT0001"/>
    <n v="0"/>
    <n v="200000"/>
    <n v="2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307"/>
    <n v="0"/>
    <m/>
    <s v="H08031-JIM-M"/>
    <m/>
    <m/>
    <s v="S0360919"/>
  </r>
  <r>
    <x v="247"/>
    <n v="10000"/>
    <n v="20000"/>
    <d v="2025-03-11T00:00:00"/>
    <s v="502LAUGH"/>
    <s v=" 8:31:59 am"/>
    <s v="2101818U5/M0B7C2220"/>
    <m/>
    <x v="0"/>
    <s v="Yes"/>
    <n v="82"/>
    <s v="Polly"/>
    <x v="3"/>
    <s v="PM11"/>
    <s v="TEE MENG CHAI"/>
    <n v="1250"/>
    <m/>
    <m/>
    <d v="2025-03-10T00:00:00"/>
    <m/>
    <n v="8"/>
    <n v="10000"/>
    <s v="PE"/>
    <s v="86.B9480001"/>
    <n v="0"/>
    <n v="10000"/>
    <n v="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2688"/>
    <n v="0"/>
    <m/>
    <s v="T20390-PMI"/>
    <m/>
    <m/>
    <s v="S0360931"/>
  </r>
  <r>
    <x v="325"/>
    <n v="10000"/>
    <n v="30000"/>
    <d v="2025-03-11T00:00:00"/>
    <s v="502LAUGH"/>
    <d v="1899-12-30T10:45:16"/>
    <n v="59469"/>
    <m/>
    <x v="0"/>
    <s v="Yes"/>
    <n v="96"/>
    <s v="Luster AOI"/>
    <x v="1"/>
    <s v="QM10"/>
    <s v="KHOO YEE MUN"/>
    <n v="42000"/>
    <m/>
    <m/>
    <d v="2025-03-10T00:00:00"/>
    <m/>
    <n v="6"/>
    <n v="252000"/>
    <s v="PE"/>
    <s v="MT-1000407-902RE0005"/>
    <n v="0"/>
    <n v="256916"/>
    <n v="-4916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2692"/>
    <n v="0"/>
    <m/>
    <s v="Z26002"/>
    <m/>
    <m/>
    <s v="S0361002"/>
  </r>
  <r>
    <x v="411"/>
    <n v="10000"/>
    <n v="10000"/>
    <d v="2025-03-11T00:00:00"/>
    <s v="502LAUGH"/>
    <s v=" 4:33:26 pm"/>
    <n v="59469"/>
    <m/>
    <x v="2"/>
    <s v="Yes"/>
    <n v="73"/>
    <s v="Brotech DF330"/>
    <x v="0"/>
    <s v="PM59"/>
    <s v="VOON CHAN PIN"/>
    <n v="54105"/>
    <n v="946.75"/>
    <n v="15.779166666666667"/>
    <d v="2025-03-10T00:00:00"/>
    <m/>
    <n v="12"/>
    <n v="649260"/>
    <s v="PE"/>
    <s v="MT-1000173-00REV0003"/>
    <n v="0"/>
    <n v="649249"/>
    <n v="11"/>
    <n v="0"/>
    <n v="0"/>
    <n v="0"/>
    <m/>
    <m/>
    <n v="0"/>
    <m/>
    <m/>
    <m/>
    <m/>
    <m/>
    <m/>
    <m/>
    <m/>
    <s v="MT-1000173-00REV008"/>
    <s v="Z26002"/>
    <s v="CCL DESIGN (PENANG) SDN. BHD."/>
    <m/>
    <n v="0"/>
    <n v="0"/>
    <n v="0"/>
    <n v="0"/>
    <n v="0"/>
    <n v="0"/>
    <m/>
    <m/>
    <m/>
    <s v="No"/>
    <s v="W663066"/>
    <n v="0"/>
    <m/>
    <s v="Z26002"/>
    <m/>
    <m/>
    <s v="S0361003"/>
  </r>
  <r>
    <x v="411"/>
    <n v="10000"/>
    <n v="20000"/>
    <d v="2025-03-11T00:00:00"/>
    <s v="502LAUGH"/>
    <s v=" 4:33:26 pm"/>
    <n v="59869"/>
    <m/>
    <x v="2"/>
    <s v="Yes"/>
    <n v="73"/>
    <s v="Brotech DF330"/>
    <x v="0"/>
    <s v="PM18"/>
    <s v="LAI CHIN YANG"/>
    <n v="35584"/>
    <m/>
    <m/>
    <d v="2025-03-10T00:00:00"/>
    <m/>
    <n v="12"/>
    <n v="427008"/>
    <s v="PE"/>
    <s v="MT-1000173-00REV0003"/>
    <n v="0"/>
    <n v="427001"/>
    <n v="7"/>
    <n v="0"/>
    <n v="0"/>
    <n v="0"/>
    <m/>
    <m/>
    <n v="0"/>
    <m/>
    <m/>
    <m/>
    <m/>
    <m/>
    <m/>
    <m/>
    <m/>
    <s v="MT-1000173-00REV008"/>
    <s v="Z26002"/>
    <s v="CCL DESIGN (PENANG) SDN. BHD."/>
    <m/>
    <n v="0"/>
    <n v="0"/>
    <n v="0"/>
    <n v="0"/>
    <n v="0"/>
    <n v="0"/>
    <m/>
    <m/>
    <m/>
    <s v="No"/>
    <s v="W663066"/>
    <n v="0"/>
    <m/>
    <s v="Z26002"/>
    <m/>
    <m/>
    <s v="S0361003"/>
  </r>
  <r>
    <x v="412"/>
    <n v="10000"/>
    <n v="30000"/>
    <d v="2025-03-18T00:00:00"/>
    <s v="502LAUGH"/>
    <s v=" 3:57:50 pm"/>
    <s v="S249100174/E0926912"/>
    <m/>
    <x v="2"/>
    <s v="Yes"/>
    <n v="75"/>
    <s v="HDS 3"/>
    <x v="3"/>
    <s v="QC04"/>
    <s v="YANG TONGJING"/>
    <n v="17"/>
    <m/>
    <m/>
    <d v="2025-03-10T00:00:00"/>
    <m/>
    <n v="12"/>
    <n v="204"/>
    <s v="PE"/>
    <s v="723009600 REVA0001"/>
    <n v="0"/>
    <n v="200"/>
    <n v="4"/>
    <n v="0"/>
    <n v="0"/>
    <n v="0"/>
    <m/>
    <m/>
    <n v="0"/>
    <m/>
    <m/>
    <m/>
    <m/>
    <m/>
    <m/>
    <m/>
    <m/>
    <s v="723009600 REVA"/>
    <s v="S19081"/>
    <s v="SEAGATE SINGAPORE INTERNATIONAL HEADQUARTERS"/>
    <m/>
    <n v="0"/>
    <n v="0"/>
    <n v="0"/>
    <n v="0"/>
    <n v="0"/>
    <n v="0"/>
    <m/>
    <m/>
    <m/>
    <s v="No"/>
    <s v="W663074"/>
    <n v="0"/>
    <m/>
    <s v="S19081"/>
    <m/>
    <m/>
    <s v="ZSA101759"/>
  </r>
  <r>
    <x v="413"/>
    <n v="10000"/>
    <n v="10000"/>
    <d v="2025-03-12T00:00:00"/>
    <s v="502LAUGH"/>
    <s v=" 4:43:47 pm"/>
    <s v="SG115773-1"/>
    <m/>
    <x v="2"/>
    <s v="Yes"/>
    <n v="88"/>
    <s v="OKI"/>
    <x v="4"/>
    <s v="PP24"/>
    <s v="HO HON SENG"/>
    <n v="330"/>
    <m/>
    <m/>
    <d v="2025-03-10T00:00:00"/>
    <m/>
    <n v="1"/>
    <n v="330"/>
    <s v="PE"/>
    <s v="OVERALL 25X15MM0001"/>
    <n v="0"/>
    <n v="33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62793"/>
    <n v="0"/>
    <m/>
    <s v="S19663"/>
    <m/>
    <m/>
    <s v="S0361038"/>
  </r>
  <r>
    <x v="413"/>
    <n v="20000"/>
    <n v="10000"/>
    <d v="2025-03-12T00:00:00"/>
    <s v="502LAUGH"/>
    <s v=" 4:43:47 pm"/>
    <s v="SG115773-1"/>
    <m/>
    <x v="2"/>
    <s v="Yes"/>
    <n v="88"/>
    <s v="OKI"/>
    <x v="4"/>
    <s v="PP24"/>
    <s v="HO HON SENG"/>
    <n v="540"/>
    <m/>
    <m/>
    <d v="2025-03-10T00:00:00"/>
    <m/>
    <n v="1"/>
    <n v="540"/>
    <s v="PE"/>
    <s v="OVERALL 25X15MM0001"/>
    <n v="0"/>
    <n v="54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62793"/>
    <n v="0"/>
    <m/>
    <s v="S19663"/>
    <m/>
    <m/>
    <s v="S0361038"/>
  </r>
  <r>
    <x v="413"/>
    <n v="30000"/>
    <n v="10000"/>
    <d v="2025-03-12T00:00:00"/>
    <s v="502LAUGH"/>
    <s v=" 4:43:47 pm"/>
    <s v="SG115773-1"/>
    <m/>
    <x v="2"/>
    <s v="Yes"/>
    <n v="88"/>
    <s v="OKI"/>
    <x v="4"/>
    <s v="PP24"/>
    <s v="HO HON SENG"/>
    <n v="150"/>
    <m/>
    <m/>
    <d v="2025-03-10T00:00:00"/>
    <m/>
    <n v="1"/>
    <n v="150"/>
    <s v="PE"/>
    <s v="OVERALL 25X15MM0001"/>
    <n v="0"/>
    <n v="150"/>
    <n v="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62793"/>
    <n v="0"/>
    <m/>
    <s v="S19663"/>
    <m/>
    <m/>
    <s v="S0361038"/>
  </r>
  <r>
    <x v="414"/>
    <n v="10000"/>
    <n v="20000"/>
    <d v="2025-03-12T00:00:00"/>
    <s v="502LAUGH"/>
    <s v=" 4:47:35 pm"/>
    <s v="SG115773-1"/>
    <m/>
    <x v="2"/>
    <s v="Yes"/>
    <n v="88"/>
    <s v="OKI"/>
    <x v="4"/>
    <s v="PP24"/>
    <s v="HO HON SENG"/>
    <n v="60"/>
    <m/>
    <m/>
    <d v="2025-03-10T00:00:00"/>
    <m/>
    <n v="1"/>
    <n v="60"/>
    <s v="PE"/>
    <s v="OVERALL 70X15MM0001"/>
    <n v="0"/>
    <n v="6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62795"/>
    <n v="0"/>
    <m/>
    <s v="S19663"/>
    <m/>
    <m/>
    <s v="S0361038"/>
  </r>
  <r>
    <x v="414"/>
    <n v="20000"/>
    <n v="10000"/>
    <d v="2025-03-12T00:00:00"/>
    <s v="502LAUGH"/>
    <s v=" 4:47:35 pm"/>
    <s v="SG115773-1"/>
    <m/>
    <x v="2"/>
    <s v="Yes"/>
    <n v="88"/>
    <s v="OKI"/>
    <x v="4"/>
    <s v="PP24"/>
    <s v="HO HON SENG"/>
    <n v="150"/>
    <m/>
    <m/>
    <d v="2025-03-10T00:00:00"/>
    <m/>
    <n v="1"/>
    <n v="150"/>
    <s v="PE"/>
    <s v="OVERALL 70X15MM0001"/>
    <n v="0"/>
    <n v="15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62795"/>
    <n v="0"/>
    <m/>
    <s v="S19663"/>
    <m/>
    <m/>
    <s v="S0361038"/>
  </r>
  <r>
    <x v="414"/>
    <n v="30000"/>
    <n v="10000"/>
    <d v="2025-03-12T00:00:00"/>
    <s v="502LAUGH"/>
    <s v=" 4:47:35 pm"/>
    <s v="SG115773-1"/>
    <m/>
    <x v="2"/>
    <s v="Yes"/>
    <n v="88"/>
    <s v="OKI"/>
    <x v="4"/>
    <s v="PP24"/>
    <s v="HO HON SENG"/>
    <n v="30"/>
    <m/>
    <m/>
    <d v="2025-03-10T00:00:00"/>
    <m/>
    <n v="1"/>
    <n v="30"/>
    <s v="PE"/>
    <s v="OVERALL 70X15MM0001"/>
    <n v="0"/>
    <n v="30"/>
    <n v="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62795"/>
    <n v="0"/>
    <m/>
    <s v="S19663"/>
    <m/>
    <m/>
    <s v="S0361038"/>
  </r>
  <r>
    <x v="415"/>
    <n v="10000"/>
    <n v="10000"/>
    <d v="2025-03-12T00:00:00"/>
    <s v="502LAUGH"/>
    <s v=" 8:49:40 am"/>
    <s v="M0BTH2362/M0BUF4311"/>
    <m/>
    <x v="2"/>
    <s v="Yes"/>
    <n v="70"/>
    <s v="SANKI"/>
    <x v="3"/>
    <s v="PS84"/>
    <s v="YIP WENG FAI"/>
    <n v="22500"/>
    <n v="607.5"/>
    <n v="10.125"/>
    <d v="2025-03-10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2796"/>
    <n v="0"/>
    <m/>
    <s v="S19314"/>
    <m/>
    <m/>
    <s v="H0064711"/>
  </r>
  <r>
    <x v="416"/>
    <n v="10000"/>
    <n v="10000"/>
    <d v="2025-03-10T00:00:00"/>
    <s v="502LAUGH"/>
    <s v=" 5:32:40 pm"/>
    <s v="M0BTH2362"/>
    <m/>
    <x v="2"/>
    <s v="Yes"/>
    <n v="26"/>
    <s v="Sanki SKP250 Full Rotary"/>
    <x v="2"/>
    <s v="PS70"/>
    <s v="YEO WOO KEONG"/>
    <n v="9000"/>
    <n v="270"/>
    <n v="4.5"/>
    <d v="2025-03-10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63086"/>
    <n v="0"/>
    <m/>
    <s v="S19314"/>
    <m/>
    <m/>
    <s v="H0064714"/>
  </r>
  <r>
    <x v="417"/>
    <n v="10000"/>
    <n v="10000"/>
    <d v="2025-03-12T00:00:00"/>
    <s v="502LAUGH"/>
    <s v=" 8:52:43 am"/>
    <n v="1006323"/>
    <m/>
    <x v="2"/>
    <s v="Yes"/>
    <n v="63"/>
    <s v="SANKI"/>
    <x v="3"/>
    <s v="PM80"/>
    <s v="YAP ZHI PING"/>
    <n v="5000"/>
    <n v="170"/>
    <n v="2.8333333333333335"/>
    <d v="2025-03-10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2798"/>
    <n v="0"/>
    <m/>
    <s v="S19314"/>
    <m/>
    <m/>
    <s v="H0064718"/>
  </r>
  <r>
    <x v="418"/>
    <n v="10000"/>
    <n v="10000"/>
    <d v="2025-03-11T00:00:00"/>
    <s v="502LAUGH"/>
    <s v=" 9:28:36 am"/>
    <s v="E053912079"/>
    <m/>
    <x v="2"/>
    <s v="Yes"/>
    <n v="63"/>
    <s v="SANKI"/>
    <x v="3"/>
    <s v="PM80"/>
    <s v="YAP ZHI PING"/>
    <n v="2000"/>
    <n v="95"/>
    <n v="1.5833333333333333"/>
    <d v="2025-03-10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2695"/>
    <n v="0"/>
    <m/>
    <s v="S19314"/>
    <m/>
    <m/>
    <s v="H0064723"/>
  </r>
  <r>
    <x v="419"/>
    <n v="10000"/>
    <n v="10000"/>
    <d v="2025-03-11T00:00:00"/>
    <s v="502LAUGH"/>
    <s v=" 9:28:36 am"/>
    <s v="E053912079"/>
    <m/>
    <x v="2"/>
    <s v="Yes"/>
    <n v="63"/>
    <s v="SANKI"/>
    <x v="3"/>
    <s v="PM80"/>
    <s v="YAP ZHI PING"/>
    <n v="2000"/>
    <n v="95"/>
    <n v="1.5833333333333333"/>
    <d v="2025-03-10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2696"/>
    <n v="0"/>
    <m/>
    <s v="S19314"/>
    <m/>
    <m/>
    <s v="H0064724"/>
  </r>
  <r>
    <x v="420"/>
    <n v="10000"/>
    <n v="10000"/>
    <d v="2025-03-11T00:00:00"/>
    <s v="502LAUGH"/>
    <s v=" 9:29:40 am"/>
    <s v="E053912079"/>
    <m/>
    <x v="2"/>
    <s v="Yes"/>
    <n v="63"/>
    <s v="SANKI"/>
    <x v="3"/>
    <s v="PM80"/>
    <s v="YAP ZHI PING"/>
    <n v="2000"/>
    <n v="95"/>
    <n v="1.5833333333333333"/>
    <d v="2025-03-10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2697"/>
    <n v="0"/>
    <m/>
    <s v="S19314"/>
    <m/>
    <m/>
    <s v="H0064725"/>
  </r>
  <r>
    <x v="360"/>
    <n v="10000"/>
    <n v="20000"/>
    <d v="2025-03-11T00:00:00"/>
    <s v="502LAUGH"/>
    <s v=" 9:32:21 am"/>
    <s v="M4B4A05BGJCJ122-S24Y100279/E0531904"/>
    <m/>
    <x v="2"/>
    <s v="Yes"/>
    <n v="66"/>
    <s v="Fujishiko "/>
    <x v="3"/>
    <s v="PM48"/>
    <s v="CHAN TZYY XUAN"/>
    <n v="35000"/>
    <n v="745"/>
    <n v="12.416666666666666"/>
    <d v="2025-03-10T00:00:00"/>
    <m/>
    <n v="1"/>
    <n v="35000"/>
    <s v="PE"/>
    <s v="716626800 REVC0001"/>
    <n v="0"/>
    <n v="35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2698"/>
    <n v="0"/>
    <m/>
    <s v="S19314"/>
    <m/>
    <m/>
    <s v="H0064732"/>
  </r>
  <r>
    <x v="421"/>
    <n v="10000"/>
    <n v="10000"/>
    <d v="2025-03-12T00:00:00"/>
    <s v="502LAUGH"/>
    <s v=" 8:52:43 am"/>
    <n v="12190705005"/>
    <m/>
    <x v="2"/>
    <s v="Yes"/>
    <n v="68"/>
    <s v="SANKI"/>
    <x v="3"/>
    <s v="QC04"/>
    <s v="YANG TONGJING"/>
    <n v="25000"/>
    <m/>
    <m/>
    <d v="2025-03-10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63096"/>
    <n v="0"/>
    <m/>
    <s v="S19314"/>
    <m/>
    <m/>
    <s v="H0064734"/>
  </r>
  <r>
    <x v="422"/>
    <n v="10000"/>
    <n v="10000"/>
    <d v="2025-03-12T00:00:00"/>
    <s v="502LAUGH"/>
    <s v=" 8:50:51 am"/>
    <s v="M4B4603BGJAJ102-S248100180/E0531904"/>
    <m/>
    <x v="2"/>
    <s v="Yes"/>
    <n v="62"/>
    <s v="Fujishiko "/>
    <x v="3"/>
    <s v="PMJ0"/>
    <s v="KOR CHEW OR"/>
    <n v="60000"/>
    <n v="1245"/>
    <n v="20.75"/>
    <d v="2025-03-10T00:00:00"/>
    <m/>
    <n v="1"/>
    <n v="60000"/>
    <s v="PE"/>
    <s v="725428400-NEWPRO0001"/>
    <n v="0"/>
    <n v="6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2699"/>
    <n v="0"/>
    <m/>
    <s v="S19314"/>
    <m/>
    <m/>
    <s v="H0064738"/>
  </r>
  <r>
    <x v="423"/>
    <n v="10000"/>
    <n v="10000"/>
    <d v="2025-03-13T00:00:00"/>
    <s v="502LAUGH"/>
    <s v=" 8:47:50 am"/>
    <s v="E0730911/490833"/>
    <m/>
    <x v="2"/>
    <s v="Yes"/>
    <n v="87"/>
    <s v="SYSCO"/>
    <x v="3"/>
    <s v="PM14"/>
    <s v="GOH CHEN YONG"/>
    <n v="20250"/>
    <m/>
    <m/>
    <d v="2025-03-1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3102"/>
    <n v="0"/>
    <m/>
    <s v="S19314"/>
    <m/>
    <m/>
    <s v="H0064746"/>
  </r>
  <r>
    <x v="424"/>
    <n v="10000"/>
    <n v="10000"/>
    <d v="2025-03-14T00:00:00"/>
    <s v="502LAUGH"/>
    <s v=" 9:34:17 am"/>
    <s v="M4B4603BGJAJ119-S248100138/E0531904"/>
    <m/>
    <x v="2"/>
    <s v="Yes"/>
    <n v="66"/>
    <s v="Fujishiko "/>
    <x v="3"/>
    <s v="PM48"/>
    <s v="CHAN TZYY XUAN"/>
    <n v="150000"/>
    <n v="3045"/>
    <n v="50.75"/>
    <d v="2025-03-10T00:00:00"/>
    <m/>
    <n v="1"/>
    <n v="150000"/>
    <s v="PE"/>
    <s v="716626800 REVC0001"/>
    <n v="0"/>
    <n v="15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3108"/>
    <n v="0"/>
    <m/>
    <s v="S19081-TH"/>
    <m/>
    <m/>
    <s v="H0064761"/>
  </r>
  <r>
    <x v="424"/>
    <n v="10000"/>
    <n v="20000"/>
    <d v="2025-03-14T00:00:00"/>
    <s v="502LAUGH"/>
    <s v=" 9:34:17 am"/>
    <s v="M4B4603BGJAJ119-S248100138/E0531904"/>
    <m/>
    <x v="2"/>
    <s v="Yes"/>
    <n v="67"/>
    <s v="Fujishoko"/>
    <x v="3"/>
    <s v="PM42"/>
    <s v="ALEXANDER YAP KEE NYEN"/>
    <n v="130000"/>
    <n v="2645"/>
    <n v="44.083333333333336"/>
    <d v="2025-03-10T00:00:00"/>
    <m/>
    <n v="1"/>
    <n v="130000"/>
    <s v="PE"/>
    <s v="716626800 REVC0001"/>
    <n v="0"/>
    <n v="13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3108"/>
    <n v="0"/>
    <m/>
    <s v="S19081-TH"/>
    <m/>
    <m/>
    <s v="H0064761"/>
  </r>
  <r>
    <x v="425"/>
    <n v="10000"/>
    <n v="30000"/>
    <d v="2025-03-21T00:00:00"/>
    <s v="502LAUGH"/>
    <d v="1899-12-30T11:33:26"/>
    <n v="10639931036"/>
    <m/>
    <x v="2"/>
    <s v="Yes"/>
    <n v="93"/>
    <s v="HP Indigo 6900"/>
    <x v="4"/>
    <s v="PC02"/>
    <s v="GAO BINJIE"/>
    <n v="230"/>
    <m/>
    <m/>
    <d v="2025-03-10T00:00:00"/>
    <m/>
    <n v="352"/>
    <n v="80960"/>
    <s v="PE"/>
    <s v="T0B17-800030001"/>
    <n v="0"/>
    <n v="70000"/>
    <n v="10960"/>
    <n v="0"/>
    <n v="0"/>
    <n v="0"/>
    <m/>
    <m/>
    <n v="0"/>
    <m/>
    <m/>
    <m/>
    <m/>
    <m/>
    <m/>
    <m/>
    <m/>
    <s v="T0B17-80003"/>
    <s v="H08031-JIM-M"/>
    <s v="HP MALAYSIA MANUFACTURING SDN.BHD."/>
    <m/>
    <n v="0"/>
    <n v="0"/>
    <n v="0"/>
    <n v="0"/>
    <n v="0"/>
    <n v="0"/>
    <m/>
    <m/>
    <m/>
    <s v="No"/>
    <s v="W663661"/>
    <n v="0"/>
    <m/>
    <s v="H08031-JIM-M"/>
    <m/>
    <m/>
    <s v="S0361058"/>
  </r>
  <r>
    <x v="426"/>
    <n v="10000"/>
    <n v="30000"/>
    <d v="2025-03-21T00:00:00"/>
    <s v="502LAUGH"/>
    <d v="1899-12-30T11:33:26"/>
    <n v="10639931036"/>
    <m/>
    <x v="2"/>
    <s v="Yes"/>
    <n v="93"/>
    <s v="HP Indigo 6900"/>
    <x v="4"/>
    <s v="PC02"/>
    <s v="GAO BINJIE"/>
    <n v="230"/>
    <m/>
    <m/>
    <d v="2025-03-10T00:00:00"/>
    <m/>
    <n v="352"/>
    <n v="80960"/>
    <s v="PE"/>
    <s v="T0B18-800030001"/>
    <n v="0"/>
    <n v="50000"/>
    <n v="30960"/>
    <n v="0"/>
    <n v="0"/>
    <n v="0"/>
    <m/>
    <m/>
    <n v="0"/>
    <m/>
    <m/>
    <m/>
    <m/>
    <m/>
    <m/>
    <m/>
    <m/>
    <s v="T0B18-80003"/>
    <s v="H08031-JIM-M"/>
    <s v="HP MALAYSIA MANUFACTURING SDN.BHD."/>
    <m/>
    <n v="0"/>
    <n v="0"/>
    <n v="0"/>
    <n v="0"/>
    <n v="0"/>
    <n v="0"/>
    <m/>
    <m/>
    <m/>
    <s v="No"/>
    <s v="W663662"/>
    <n v="0"/>
    <m/>
    <s v="H08031-JIM-M"/>
    <m/>
    <m/>
    <s v="S0361058"/>
  </r>
  <r>
    <x v="427"/>
    <n v="10000"/>
    <n v="10000"/>
    <d v="2025-03-10T00:00:00"/>
    <s v="502LAUGH"/>
    <s v=" 5:10:16 pm"/>
    <s v="SG-5630465 02"/>
    <m/>
    <x v="2"/>
    <s v="Yes"/>
    <n v="79"/>
    <s v="HP Indigo 6800"/>
    <x v="4"/>
    <s v="PM16"/>
    <s v="TEO KAH JUN"/>
    <n v="64"/>
    <n v="33.200000000000003"/>
    <n v="0.55333333333333334"/>
    <d v="2025-03-10T00:00:00"/>
    <m/>
    <n v="126"/>
    <n v="8064"/>
    <s v="PE"/>
    <n v="200717140001"/>
    <n v="0"/>
    <n v="4000"/>
    <n v="4064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2710"/>
    <n v="0"/>
    <m/>
    <s v="I09180"/>
    <m/>
    <m/>
    <s v="S0361125"/>
  </r>
  <r>
    <x v="427"/>
    <n v="10000"/>
    <n v="20000"/>
    <d v="2025-03-10T00:00:00"/>
    <s v="502LAUGH"/>
    <s v=" 5:10:16 pm"/>
    <s v="SG-5630465 02"/>
    <m/>
    <x v="0"/>
    <s v="Yes"/>
    <n v="86"/>
    <s v="Brotech DF330 "/>
    <x v="0"/>
    <s v="PM45"/>
    <s v="TAY CHIN LIONG"/>
    <n v="334"/>
    <n v="50.566666666666663"/>
    <n v="0.84277777777777774"/>
    <d v="2025-03-10T00:00:00"/>
    <m/>
    <n v="21"/>
    <n v="7014"/>
    <s v="PE"/>
    <n v="200717140001"/>
    <n v="0"/>
    <n v="4000"/>
    <n v="3014"/>
    <n v="0"/>
    <n v="0"/>
    <n v="0"/>
    <m/>
    <m/>
    <n v="0"/>
    <m/>
    <m/>
    <m/>
    <m/>
    <m/>
    <m/>
    <m/>
    <m/>
    <n v="20071714"/>
    <s v="I09180"/>
    <s v="ILLUMINA SINGAPORE PTE LTD"/>
    <m/>
    <n v="0"/>
    <n v="0"/>
    <n v="0"/>
    <n v="0"/>
    <n v="0"/>
    <n v="0"/>
    <m/>
    <m/>
    <m/>
    <s v="No"/>
    <s v="W662710"/>
    <n v="0"/>
    <m/>
    <s v="I09180"/>
    <m/>
    <m/>
    <s v="S0361125"/>
  </r>
  <r>
    <x v="428"/>
    <n v="10000"/>
    <n v="10000"/>
    <d v="2025-04-09T00:00:00"/>
    <s v="502LAUGH"/>
    <s v=" 1:11:08 pm"/>
    <n v="860909190840"/>
    <s v="FSC32057"/>
    <x v="2"/>
    <s v="No"/>
    <n v="79"/>
    <s v="HP Indigo 6800"/>
    <x v="4"/>
    <s v="PM16"/>
    <s v="TEO KAH JUN"/>
    <n v="185"/>
    <n v="39.25"/>
    <n v="0.65416666666666667"/>
    <d v="2025-03-11T00:00:00"/>
    <m/>
    <n v="38"/>
    <n v="7034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23"/>
  </r>
  <r>
    <x v="428"/>
    <n v="20000"/>
    <n v="10000"/>
    <d v="2025-04-09T00:00:00"/>
    <s v="502LAUGH"/>
    <s v=" 1:11:08 pm"/>
    <n v="860909190840"/>
    <s v="FSC32057"/>
    <x v="2"/>
    <s v="No"/>
    <n v="79"/>
    <s v="HP Indigo 6800"/>
    <x v="4"/>
    <s v="PM16"/>
    <s v="TEO KAH JUN"/>
    <n v="79"/>
    <n v="33.950000000000003"/>
    <n v="0.56583333333333341"/>
    <d v="2025-03-11T00:00:00"/>
    <m/>
    <n v="38"/>
    <n v="3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23"/>
  </r>
  <r>
    <x v="428"/>
    <n v="30000"/>
    <n v="10000"/>
    <d v="2025-04-09T00:00:00"/>
    <s v="502LAUGH"/>
    <s v=" 1:11:08 pm"/>
    <n v="860909190840"/>
    <s v="FSC32057"/>
    <x v="2"/>
    <s v="No"/>
    <n v="79"/>
    <s v="HP Indigo 6800"/>
    <x v="4"/>
    <s v="PM16"/>
    <s v="TEO KAH JUN"/>
    <n v="79"/>
    <n v="33.950000000000003"/>
    <n v="0.56583333333333341"/>
    <d v="2025-03-11T00:00:00"/>
    <m/>
    <n v="38"/>
    <n v="3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23"/>
  </r>
  <r>
    <x v="429"/>
    <n v="10000"/>
    <n v="10000"/>
    <d v="2025-03-26T00:00:00"/>
    <s v="502LAUGH"/>
    <s v=" 8:44:39 am"/>
    <n v="860909190840"/>
    <s v="FSC32057"/>
    <x v="2"/>
    <s v="No"/>
    <n v="79"/>
    <s v="HP Indigo 6800"/>
    <x v="4"/>
    <s v="PM16"/>
    <s v="TEO KAH JUN"/>
    <n v="237"/>
    <n v="41.85"/>
    <n v="0.69750000000000001"/>
    <d v="2025-03-11T00:00:00"/>
    <m/>
    <n v="38"/>
    <n v="9012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429"/>
    <n v="20000"/>
    <n v="10000"/>
    <d v="2025-03-26T00:00:00"/>
    <s v="502LAUGH"/>
    <s v=" 8:44:39 am"/>
    <n v="860909190840"/>
    <s v="FSC32057"/>
    <x v="2"/>
    <s v="No"/>
    <n v="79"/>
    <s v="HP Indigo 6800"/>
    <x v="4"/>
    <s v="PM16"/>
    <s v="TEO KAH JUN"/>
    <n v="79"/>
    <n v="33.950000000000003"/>
    <n v="0.56583333333333341"/>
    <d v="2025-03-11T00:00:00"/>
    <m/>
    <n v="38"/>
    <n v="3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429"/>
    <n v="30000"/>
    <n v="10000"/>
    <d v="2025-03-26T00:00:00"/>
    <s v="502LAUGH"/>
    <s v=" 8:44:39 am"/>
    <n v="860909190840"/>
    <s v="FSC32057"/>
    <x v="2"/>
    <s v="No"/>
    <n v="79"/>
    <s v="HP Indigo 6800"/>
    <x v="4"/>
    <s v="PM16"/>
    <s v="TEO KAH JUN"/>
    <n v="158"/>
    <n v="37.9"/>
    <n v="0.6316666666666666"/>
    <d v="2025-03-11T00:00:00"/>
    <m/>
    <n v="38"/>
    <n v="6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430"/>
    <n v="10000"/>
    <n v="20000"/>
    <d v="2025-03-12T00:00:00"/>
    <s v="502LAUGH"/>
    <s v=" 5:16:26 pm"/>
    <s v="4180S1"/>
    <m/>
    <x v="2"/>
    <s v="Yes"/>
    <n v="82"/>
    <s v="Polly"/>
    <x v="3"/>
    <s v="PM11"/>
    <s v="TEE MENG CHAI"/>
    <n v="7353"/>
    <m/>
    <m/>
    <d v="2025-03-11T00:00:00"/>
    <m/>
    <n v="17"/>
    <n v="125001"/>
    <s v="PE"/>
    <s v="R390-404 REV1.00001"/>
    <n v="0"/>
    <n v="125000"/>
    <n v="1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2762"/>
    <n v="0"/>
    <m/>
    <s v="R18131"/>
    <m/>
    <m/>
    <s v="S0350213"/>
  </r>
  <r>
    <x v="431"/>
    <n v="10000"/>
    <n v="20000"/>
    <d v="2025-03-11T00:00:00"/>
    <s v="502LAUGH"/>
    <s v=" 5:13:02 pm"/>
    <s v="U4815S047/M0BSM9371"/>
    <m/>
    <x v="0"/>
    <s v="Yes"/>
    <n v="82"/>
    <s v="Polly"/>
    <x v="3"/>
    <s v="PM11"/>
    <s v="TEE MENG CHAI"/>
    <n v="7500"/>
    <m/>
    <m/>
    <d v="2025-03-11T00:00:00"/>
    <m/>
    <n v="8"/>
    <n v="60000"/>
    <s v="PE"/>
    <s v="R370-4156 REV1.00002"/>
    <n v="0"/>
    <n v="60000"/>
    <n v="0"/>
    <n v="0"/>
    <n v="0"/>
    <n v="0"/>
    <m/>
    <m/>
    <n v="0"/>
    <m/>
    <m/>
    <m/>
    <m/>
    <m/>
    <m/>
    <m/>
    <m/>
    <s v="R370-4156 REV1.0-USA"/>
    <s v="R18131"/>
    <s v="RESMED ASIA PTE LTD"/>
    <m/>
    <n v="0"/>
    <n v="0"/>
    <n v="0"/>
    <n v="0"/>
    <n v="0"/>
    <n v="0"/>
    <m/>
    <m/>
    <m/>
    <s v="No"/>
    <s v="W662561"/>
    <n v="0"/>
    <m/>
    <s v="R18131"/>
    <m/>
    <m/>
    <s v="S0350214"/>
  </r>
  <r>
    <x v="432"/>
    <n v="10000"/>
    <n v="30000"/>
    <d v="2025-03-11T00:00:00"/>
    <s v="502LAUGH"/>
    <d v="1899-12-30T11:21:26"/>
    <s v="M0BQW8240"/>
    <m/>
    <x v="2"/>
    <s v="Yes"/>
    <n v="94"/>
    <s v="Taiyo"/>
    <x v="2"/>
    <s v="PM09"/>
    <s v="PANG JING FULL"/>
    <n v="4500"/>
    <m/>
    <m/>
    <d v="2025-03-11T00:00:00"/>
    <m/>
    <n v="4"/>
    <n v="18000"/>
    <s v="PE"/>
    <s v="L001-772785-00000006"/>
    <n v="0"/>
    <n v="12000"/>
    <n v="6000"/>
    <n v="0"/>
    <n v="0"/>
    <n v="0"/>
    <m/>
    <m/>
    <n v="0"/>
    <m/>
    <m/>
    <m/>
    <m/>
    <m/>
    <m/>
    <m/>
    <m/>
    <s v="L001-772785-000006CG"/>
    <s v="W23041-TH"/>
    <s v="WESTERN DIGITAL STORAGE TECHNOLOGIES"/>
    <m/>
    <n v="0"/>
    <n v="0"/>
    <n v="0"/>
    <n v="0"/>
    <n v="0"/>
    <n v="0"/>
    <m/>
    <m/>
    <m/>
    <s v="No"/>
    <s v="W662928"/>
    <n v="0"/>
    <m/>
    <s v="W23041-TH"/>
    <m/>
    <m/>
    <s v="H0064090"/>
  </r>
  <r>
    <x v="433"/>
    <n v="10000"/>
    <n v="10000"/>
    <d v="2025-03-11T00:00:00"/>
    <s v="502LAUGH"/>
    <s v=" 4:55:01 pm"/>
    <s v="M0BQW8240"/>
    <m/>
    <x v="2"/>
    <s v="Yes"/>
    <n v="94"/>
    <s v="Taiyo"/>
    <x v="2"/>
    <s v="PM09"/>
    <s v="PANG JING FULL"/>
    <n v="9000"/>
    <m/>
    <m/>
    <d v="2025-03-11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s v="WESTERN DIGITAL STORAGE TECHNOLOGIES"/>
    <m/>
    <n v="0"/>
    <n v="0"/>
    <n v="0"/>
    <n v="0"/>
    <n v="0"/>
    <n v="0"/>
    <m/>
    <m/>
    <m/>
    <s v="No"/>
    <s v="W663293"/>
    <n v="0"/>
    <m/>
    <s v="W23041-TH"/>
    <m/>
    <m/>
    <s v="H0064091"/>
  </r>
  <r>
    <x v="434"/>
    <n v="10000"/>
    <n v="10000"/>
    <d v="2025-03-12T00:00:00"/>
    <s v="502LAUGH"/>
    <s v=" 8:36:23 am"/>
    <s v="M0B0G60221000"/>
    <m/>
    <x v="2"/>
    <s v="Yes"/>
    <n v="60"/>
    <s v="Fujishiko UDP-5000"/>
    <x v="3"/>
    <s v="PM30"/>
    <s v="OH KIAN YUAN"/>
    <n v="2000"/>
    <n v="85"/>
    <n v="1.4166666666666667"/>
    <d v="2025-03-11T00:00:00"/>
    <m/>
    <n v="1"/>
    <n v="2000"/>
    <s v="PE"/>
    <s v="70-0878290001"/>
    <n v="0"/>
    <n v="1000"/>
    <n v="1000"/>
    <n v="0"/>
    <n v="0"/>
    <n v="0"/>
    <m/>
    <m/>
    <n v="0"/>
    <m/>
    <m/>
    <m/>
    <m/>
    <m/>
    <m/>
    <m/>
    <m/>
    <s v="70-087829"/>
    <s v="F06184"/>
    <s v="FLINTEC TRANSDUCERS (PVT) LTD"/>
    <m/>
    <n v="0"/>
    <n v="0"/>
    <n v="0"/>
    <n v="0"/>
    <n v="0"/>
    <n v="0"/>
    <m/>
    <m/>
    <m/>
    <s v="No"/>
    <s v="W662764"/>
    <n v="0"/>
    <m/>
    <s v="F06184"/>
    <m/>
    <m/>
    <s v="S0354993"/>
  </r>
  <r>
    <x v="435"/>
    <n v="10000"/>
    <n v="10000"/>
    <d v="2025-03-14T00:00:00"/>
    <s v="502LAUGH"/>
    <s v=" 8:47:51 am"/>
    <s v="SG-564141001"/>
    <m/>
    <x v="2"/>
    <s v="Yes"/>
    <n v="73"/>
    <s v="Brotech DF330"/>
    <x v="0"/>
    <s v="PM18"/>
    <s v="LAI CHIN YANG"/>
    <n v="57000"/>
    <m/>
    <m/>
    <d v="2025-03-11T00:00:00"/>
    <m/>
    <n v="12"/>
    <n v="684000"/>
    <s v="PE"/>
    <n v="80256230001"/>
    <n v="0"/>
    <n v="68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539"/>
    <n v="0"/>
    <m/>
    <s v="B02083"/>
    <m/>
    <m/>
    <s v="S0357133"/>
  </r>
  <r>
    <x v="436"/>
    <n v="10000"/>
    <n v="20000"/>
    <d v="2025-03-12T00:00:00"/>
    <s v="502LAUGH"/>
    <s v=" 8:34:17 am"/>
    <s v="U522658026"/>
    <m/>
    <x v="2"/>
    <s v="Yes"/>
    <n v="65"/>
    <s v="Sanki SDR300"/>
    <x v="3"/>
    <s v="PMJ7"/>
    <s v="FOONG SEL YI"/>
    <n v="24000"/>
    <n v="645"/>
    <n v="10.75"/>
    <d v="2025-03-11T00:00:00"/>
    <m/>
    <n v="1"/>
    <n v="24000"/>
    <s v="PE"/>
    <s v="PAPER SEPARATOR 0001"/>
    <n v="0"/>
    <n v="24000"/>
    <n v="0"/>
    <n v="0"/>
    <n v="0"/>
    <n v="0"/>
    <m/>
    <m/>
    <n v="0"/>
    <m/>
    <m/>
    <m/>
    <m/>
    <m/>
    <m/>
    <m/>
    <m/>
    <s v="PAPER SEPARATOR ROHM"/>
    <s v="T20198"/>
    <s v="ST NETWORK"/>
    <m/>
    <n v="0"/>
    <n v="0"/>
    <n v="0"/>
    <n v="0"/>
    <n v="0"/>
    <n v="0"/>
    <m/>
    <m/>
    <m/>
    <s v="No"/>
    <s v="W662965"/>
    <n v="0"/>
    <m/>
    <s v="T20198"/>
    <m/>
    <m/>
    <s v="S0358338"/>
  </r>
  <r>
    <x v="102"/>
    <n v="10000"/>
    <n v="40000"/>
    <d v="2025-03-13T00:00:00"/>
    <s v="502LAUGH"/>
    <s v=" 5:02:00 pm"/>
    <n v="10639931052"/>
    <m/>
    <x v="1"/>
    <s v="Yes"/>
    <n v="85"/>
    <s v="Luster AOI"/>
    <x v="1"/>
    <s v="QM54"/>
    <s v="TAN SWEE LENG"/>
    <n v="7273"/>
    <m/>
    <m/>
    <d v="2025-03-11T00:00:00"/>
    <m/>
    <n v="11"/>
    <n v="80003"/>
    <s v="PE"/>
    <s v="F6U65-80033-FT0001"/>
    <n v="0"/>
    <n v="70000"/>
    <n v="10003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2974"/>
    <n v="0"/>
    <m/>
    <s v="H08031-JIM-M"/>
    <m/>
    <m/>
    <s v="S0358460"/>
  </r>
  <r>
    <x v="273"/>
    <n v="10000"/>
    <n v="30000"/>
    <d v="2025-03-11T00:00:00"/>
    <s v="502LAUGH"/>
    <d v="1899-12-30T11:22:40"/>
    <n v="10620258028"/>
    <m/>
    <x v="1"/>
    <s v="Yes"/>
    <n v="85"/>
    <s v="Luster AOI"/>
    <x v="1"/>
    <s v="QM78"/>
    <s v="WONG SEAU JIN"/>
    <n v="10000"/>
    <m/>
    <m/>
    <d v="2025-03-11T00:00:00"/>
    <m/>
    <n v="11"/>
    <n v="110000"/>
    <s v="PE"/>
    <s v="F6V26-80017-FT0001"/>
    <n v="0"/>
    <n v="100000"/>
    <n v="10000"/>
    <n v="0"/>
    <n v="0"/>
    <n v="0"/>
    <m/>
    <m/>
    <n v="0"/>
    <m/>
    <m/>
    <m/>
    <m/>
    <m/>
    <m/>
    <m/>
    <m/>
    <s v="F6V26-80017-FT"/>
    <s v="H08031-JIM-M"/>
    <s v="HP MALAYSIA MANUFACTURING SDN.BHD."/>
    <m/>
    <n v="0"/>
    <n v="0"/>
    <n v="0"/>
    <n v="0"/>
    <n v="0"/>
    <n v="0"/>
    <m/>
    <m/>
    <m/>
    <s v="No"/>
    <s v="W662772"/>
    <n v="0"/>
    <m/>
    <s v="H08031-JIM-M"/>
    <m/>
    <m/>
    <s v="S0358462"/>
  </r>
  <r>
    <x v="274"/>
    <n v="10000"/>
    <n v="30000"/>
    <d v="2025-03-11T00:00:00"/>
    <s v="502LAUGH"/>
    <s v=" 3:48:55 pm"/>
    <n v="10620258028"/>
    <m/>
    <x v="1"/>
    <s v="Yes"/>
    <n v="85"/>
    <s v="Luster AOI"/>
    <x v="1"/>
    <s v="QM78"/>
    <s v="WONG SEAU JIN"/>
    <n v="10000"/>
    <m/>
    <m/>
    <d v="2025-03-11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s v="HP MALAYSIA MANUFACTURING SDN.BHD."/>
    <m/>
    <n v="0"/>
    <n v="0"/>
    <n v="0"/>
    <n v="0"/>
    <n v="0"/>
    <n v="0"/>
    <m/>
    <m/>
    <m/>
    <s v="No"/>
    <s v="W662543"/>
    <n v="0"/>
    <m/>
    <s v="H08031-JIM-M"/>
    <m/>
    <m/>
    <s v="S0358464"/>
  </r>
  <r>
    <x v="104"/>
    <n v="10000"/>
    <n v="40000"/>
    <d v="2025-03-13T00:00:00"/>
    <s v="502LAUGH"/>
    <s v=" 5:03:33 pm"/>
    <n v="10639931052"/>
    <m/>
    <x v="1"/>
    <s v="Yes"/>
    <n v="85"/>
    <s v="Luster AOI"/>
    <x v="1"/>
    <s v="QM78"/>
    <s v="WONG SEAU JIN"/>
    <n v="8182"/>
    <m/>
    <m/>
    <d v="2025-03-11T00:00:00"/>
    <m/>
    <n v="11"/>
    <n v="90002"/>
    <s v="PE"/>
    <s v="F6U61-80027-FT0001"/>
    <n v="0"/>
    <n v="80000"/>
    <n v="10002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2975"/>
    <n v="0"/>
    <m/>
    <s v="H08031-JIM-M"/>
    <m/>
    <m/>
    <s v="S0358468"/>
  </r>
  <r>
    <x v="437"/>
    <n v="10000"/>
    <n v="10000"/>
    <d v="2025-03-14T00:00:00"/>
    <s v="502LAUGH"/>
    <s v=" 9:40:30 am"/>
    <s v="M0BFL2381"/>
    <m/>
    <x v="2"/>
    <s v="Yes"/>
    <n v="78"/>
    <s v="Baby Sanki"/>
    <x v="2"/>
    <s v="PM84"/>
    <s v="TAN TAI TOH"/>
    <n v="5500"/>
    <n v="182.5"/>
    <n v="3.0416666666666665"/>
    <d v="2025-03-11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2984"/>
    <n v="0"/>
    <m/>
    <s v="S19314"/>
    <m/>
    <m/>
    <s v="H0064659"/>
  </r>
  <r>
    <x v="438"/>
    <n v="10000"/>
    <n v="10000"/>
    <d v="2025-03-11T00:00:00"/>
    <s v="502LAUGH"/>
    <d v="1899-12-30T10:32:43"/>
    <s v="SG-5612655 01"/>
    <m/>
    <x v="2"/>
    <s v="Yes"/>
    <n v="59"/>
    <s v="SANKI SD-300 Intermittent"/>
    <x v="2"/>
    <s v="PS74"/>
    <s v="GOH CHIN TECK"/>
    <n v="373"/>
    <n v="54.325000000000003"/>
    <n v="0.90541666666666676"/>
    <d v="2025-03-11T00:00:00"/>
    <m/>
    <n v="4"/>
    <n v="1492"/>
    <s v="PE"/>
    <n v="112888630001"/>
    <n v="0"/>
    <n v="1490"/>
    <n v="2"/>
    <n v="0"/>
    <n v="0"/>
    <n v="0"/>
    <m/>
    <m/>
    <n v="0"/>
    <m/>
    <m/>
    <m/>
    <m/>
    <m/>
    <m/>
    <m/>
    <m/>
    <n v="11288863"/>
    <s v="I09180"/>
    <s v="ILLUMINA SINGAPORE PTE LTD"/>
    <m/>
    <n v="0"/>
    <n v="0"/>
    <n v="0"/>
    <n v="0"/>
    <n v="0"/>
    <n v="0"/>
    <m/>
    <m/>
    <m/>
    <s v="No"/>
    <s v="W662594"/>
    <n v="0"/>
    <m/>
    <s v="I09180"/>
    <m/>
    <m/>
    <s v="S0359038"/>
  </r>
  <r>
    <x v="439"/>
    <n v="10000"/>
    <n v="10000"/>
    <d v="2025-03-11T00:00:00"/>
    <s v="502LAUGH"/>
    <s v=" 4:36:23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63620001"/>
    <n v="0"/>
    <n v="2000"/>
    <n v="0"/>
    <n v="0"/>
    <n v="0"/>
    <n v="0"/>
    <m/>
    <m/>
    <n v="0"/>
    <m/>
    <m/>
    <m/>
    <m/>
    <m/>
    <m/>
    <m/>
    <m/>
    <n v="11206362"/>
    <s v="I09180"/>
    <s v="ILLUMINA SINGAPORE PTE LTD"/>
    <m/>
    <n v="0"/>
    <n v="0"/>
    <n v="0"/>
    <n v="0"/>
    <n v="0"/>
    <n v="0"/>
    <m/>
    <m/>
    <m/>
    <s v="No"/>
    <s v="W662595"/>
    <n v="0"/>
    <m/>
    <s v="I09180"/>
    <m/>
    <m/>
    <s v="S0359042"/>
  </r>
  <r>
    <x v="439"/>
    <n v="20000"/>
    <n v="10000"/>
    <d v="2025-03-11T00:00:00"/>
    <s v="502LAUGH"/>
    <s v=" 4:36:23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63620001"/>
    <n v="0"/>
    <n v="2000"/>
    <n v="0"/>
    <n v="0"/>
    <n v="0"/>
    <n v="0"/>
    <m/>
    <m/>
    <n v="0"/>
    <m/>
    <m/>
    <m/>
    <m/>
    <m/>
    <m/>
    <m/>
    <m/>
    <n v="11206362"/>
    <s v="I09180"/>
    <s v="ILLUMINA SINGAPORE PTE LTD"/>
    <m/>
    <n v="0"/>
    <n v="0"/>
    <n v="0"/>
    <n v="0"/>
    <n v="0"/>
    <n v="0"/>
    <m/>
    <m/>
    <m/>
    <s v="No"/>
    <s v="W662595"/>
    <n v="0"/>
    <m/>
    <s v="I09180"/>
    <m/>
    <m/>
    <s v="S0359042"/>
  </r>
  <r>
    <x v="439"/>
    <n v="30000"/>
    <n v="10000"/>
    <d v="2025-03-11T00:00:00"/>
    <s v="502LAUGH"/>
    <s v=" 4:36:23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63620001"/>
    <n v="0"/>
    <n v="2000"/>
    <n v="0"/>
    <n v="0"/>
    <n v="0"/>
    <n v="0"/>
    <m/>
    <m/>
    <n v="0"/>
    <m/>
    <m/>
    <m/>
    <m/>
    <m/>
    <m/>
    <m/>
    <m/>
    <n v="11206362"/>
    <s v="I09180"/>
    <s v="ILLUMINA SINGAPORE PTE LTD"/>
    <m/>
    <n v="0"/>
    <n v="0"/>
    <n v="0"/>
    <n v="0"/>
    <n v="0"/>
    <n v="0"/>
    <m/>
    <m/>
    <m/>
    <s v="No"/>
    <s v="W662595"/>
    <n v="0"/>
    <m/>
    <s v="I09180"/>
    <m/>
    <m/>
    <s v="S0359042"/>
  </r>
  <r>
    <x v="440"/>
    <n v="10000"/>
    <n v="10000"/>
    <d v="2025-03-11T00:00:00"/>
    <s v="502LAUGH"/>
    <s v=" 3:47:42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62596"/>
    <n v="0"/>
    <m/>
    <s v="I09180"/>
    <m/>
    <m/>
    <s v="S0359043"/>
  </r>
  <r>
    <x v="441"/>
    <n v="10000"/>
    <n v="10000"/>
    <d v="2025-03-11T00:00:00"/>
    <s v="502LAUGH"/>
    <s v=" 5:48:11 pm"/>
    <s v="U530352047/501241326"/>
    <m/>
    <x v="2"/>
    <s v="Yes"/>
    <n v="32"/>
    <s v="Lintec Intermittent"/>
    <x v="2"/>
    <s v="PM26"/>
    <s v="TAN AIK KEONG"/>
    <n v="5860"/>
    <m/>
    <m/>
    <d v="2025-03-1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2996"/>
    <n v="0"/>
    <m/>
    <s v="J10025"/>
    <m/>
    <m/>
    <s v="S0359223"/>
  </r>
  <r>
    <x v="442"/>
    <n v="10000"/>
    <n v="10000"/>
    <d v="2025-03-11T00:00:00"/>
    <s v="502LAUGH"/>
    <s v=" 5:48:11 pm"/>
    <s v="U530352047/501241326"/>
    <m/>
    <x v="2"/>
    <s v="Yes"/>
    <n v="32"/>
    <s v="Lintec Intermittent"/>
    <x v="2"/>
    <s v="PM26"/>
    <s v="TAN AIK KEONG"/>
    <n v="5860"/>
    <m/>
    <m/>
    <d v="2025-03-1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3000"/>
    <n v="0"/>
    <m/>
    <s v="J10025"/>
    <m/>
    <m/>
    <s v="S0359224"/>
  </r>
  <r>
    <x v="443"/>
    <n v="10000"/>
    <n v="10000"/>
    <d v="2025-03-19T00:00:00"/>
    <s v="502LAUGH"/>
    <s v=" 8:56:31 am"/>
    <s v="WO2024/5284/1012643/XHX24A25A1403/80116793/XHX2412190201"/>
    <m/>
    <x v="2"/>
    <s v="Yes"/>
    <n v="103"/>
    <s v="HDS"/>
    <x v="3"/>
    <s v="PM23"/>
    <s v="LAI SHI LIN"/>
    <n v="31875"/>
    <n v="1638.75"/>
    <n v="27.3125"/>
    <d v="2025-03-11T00:00:00"/>
    <m/>
    <n v="8"/>
    <n v="255000"/>
    <s v="PE"/>
    <s v="MT273730001"/>
    <n v="0"/>
    <n v="254986"/>
    <n v="14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43"/>
    <n v="10000"/>
    <n v="20000"/>
    <d v="2025-03-19T00:00:00"/>
    <s v="502LAUGH"/>
    <s v=" 8:56:31 am"/>
    <s v="WO2024/5284/1012643/XHX24A25A1403/80116793/XHX2412190201"/>
    <m/>
    <x v="2"/>
    <s v="Yes"/>
    <n v="103"/>
    <s v="HDS"/>
    <x v="3"/>
    <s v="PM55"/>
    <s v="CHAN SAU PENG"/>
    <n v="37500"/>
    <m/>
    <m/>
    <d v="2025-03-11T00:00:00"/>
    <m/>
    <n v="8"/>
    <n v="300000"/>
    <s v="PE"/>
    <s v="MT273730001"/>
    <n v="0"/>
    <n v="299983"/>
    <n v="17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44"/>
    <n v="10000"/>
    <n v="10000"/>
    <d v="2025-03-11T00:00:00"/>
    <s v="502LAUGH"/>
    <d v="1899-12-30T11:36:40"/>
    <s v="SG-5612655 01"/>
    <m/>
    <x v="2"/>
    <s v="Yes"/>
    <n v="59"/>
    <s v="SANKI SD-300 Intermittent"/>
    <x v="2"/>
    <s v="PS74"/>
    <s v="GOH CHIN TECK"/>
    <n v="745"/>
    <n v="63.625"/>
    <n v="1.0604166666666666"/>
    <d v="2025-03-11T00:00:00"/>
    <m/>
    <n v="4"/>
    <n v="2980"/>
    <s v="PE"/>
    <n v="112966280001"/>
    <n v="0"/>
    <n v="2980"/>
    <n v="0"/>
    <n v="0"/>
    <n v="0"/>
    <n v="0"/>
    <m/>
    <m/>
    <n v="0"/>
    <m/>
    <m/>
    <m/>
    <m/>
    <m/>
    <m/>
    <m/>
    <m/>
    <n v="11296628"/>
    <s v="I09180"/>
    <s v="ILLUMINA SINGAPORE PTE LTD"/>
    <m/>
    <n v="0"/>
    <n v="0"/>
    <n v="0"/>
    <n v="0"/>
    <n v="0"/>
    <n v="0"/>
    <m/>
    <m/>
    <m/>
    <s v="No"/>
    <s v="W662608"/>
    <n v="0"/>
    <m/>
    <s v="I09180"/>
    <m/>
    <m/>
    <s v="S0359230"/>
  </r>
  <r>
    <x v="445"/>
    <n v="10000"/>
    <n v="10000"/>
    <d v="2025-03-13T00:00:00"/>
    <s v="502LAUGH"/>
    <s v=" 2:55:58 pm"/>
    <s v="J00WA6671"/>
    <m/>
    <x v="2"/>
    <s v="Yes"/>
    <n v="71"/>
    <s v="POLLY"/>
    <x v="3"/>
    <s v="PS95"/>
    <s v="LIM CHENG LEONG"/>
    <n v="28667"/>
    <m/>
    <m/>
    <d v="2025-03-11T00:00:00"/>
    <m/>
    <n v="6"/>
    <n v="172002"/>
    <s v="PE"/>
    <s v="5185-07330001"/>
    <n v="0"/>
    <n v="171999"/>
    <n v="3"/>
    <n v="0"/>
    <n v="0"/>
    <n v="0"/>
    <m/>
    <m/>
    <n v="0"/>
    <m/>
    <m/>
    <m/>
    <m/>
    <m/>
    <m/>
    <m/>
    <m/>
    <s v="5185-0733"/>
    <s v="H08031-IMS"/>
    <s v="HP SINGAPORE (PRIVATE) LIMITED"/>
    <m/>
    <n v="0"/>
    <n v="0"/>
    <n v="0"/>
    <n v="0"/>
    <n v="0"/>
    <n v="0"/>
    <m/>
    <m/>
    <m/>
    <s v="No"/>
    <s v="W663006"/>
    <n v="0"/>
    <m/>
    <s v="H08031-IMS"/>
    <m/>
    <m/>
    <s v="S0359276"/>
  </r>
  <r>
    <x v="127"/>
    <n v="10000"/>
    <n v="20000"/>
    <d v="2025-03-13T00:00:00"/>
    <s v="502LAUGH"/>
    <s v=" 1:37:12 pm"/>
    <n v="10639931049"/>
    <m/>
    <x v="0"/>
    <s v="Yes"/>
    <n v="77"/>
    <s v="Brotech DF330 "/>
    <x v="0"/>
    <s v="PM74"/>
    <s v="YONG CHEE SOON"/>
    <n v="2697"/>
    <n v="89.95"/>
    <n v="1.4991666666666668"/>
    <d v="2025-03-11T00:00:00"/>
    <m/>
    <n v="66"/>
    <n v="178002"/>
    <s v="PE"/>
    <s v="T0A86-80005-FT0001"/>
    <n v="0"/>
    <n v="160000"/>
    <n v="18002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3007"/>
    <n v="0"/>
    <m/>
    <s v="H08031-JIM-M"/>
    <m/>
    <m/>
    <s v="S0359280"/>
  </r>
  <r>
    <x v="128"/>
    <n v="10000"/>
    <n v="30000"/>
    <d v="2025-03-18T00:00:00"/>
    <s v="502LAUGH"/>
    <s v=" 8:32:47 am"/>
    <n v="10639931051"/>
    <m/>
    <x v="1"/>
    <s v="Yes"/>
    <n v="85"/>
    <s v="Luster AOI"/>
    <x v="1"/>
    <s v="QM78"/>
    <s v="WONG SEAU JIN"/>
    <n v="1819"/>
    <m/>
    <m/>
    <d v="2025-03-11T00:00:00"/>
    <m/>
    <n v="11"/>
    <n v="20009"/>
    <s v="PE"/>
    <s v="6ZD36-800010001"/>
    <n v="0"/>
    <n v="20000"/>
    <n v="9"/>
    <n v="0"/>
    <n v="0"/>
    <n v="0"/>
    <m/>
    <m/>
    <n v="0"/>
    <m/>
    <m/>
    <m/>
    <m/>
    <m/>
    <m/>
    <m/>
    <m/>
    <s v="6ZD36-80001"/>
    <s v="H08031-JIM-M"/>
    <s v="HP MALAYSIA MANUFACTURING SDN.BHD."/>
    <m/>
    <n v="0"/>
    <n v="0"/>
    <n v="0"/>
    <n v="0"/>
    <n v="0"/>
    <n v="0"/>
    <m/>
    <m/>
    <m/>
    <s v="No"/>
    <s v="W663010"/>
    <n v="0"/>
    <m/>
    <s v="H08031-JIM-M"/>
    <m/>
    <m/>
    <s v="S0359285"/>
  </r>
  <r>
    <x v="129"/>
    <n v="10000"/>
    <n v="20000"/>
    <d v="2025-03-17T00:00:00"/>
    <s v="502LAUGH"/>
    <s v=" 8:35:01 am"/>
    <s v="10639931049/10639931051"/>
    <m/>
    <x v="0"/>
    <s v="Yes"/>
    <n v="77"/>
    <s v="Brotech DF330 "/>
    <x v="0"/>
    <s v="PM74"/>
    <s v="YONG CHEE SOON"/>
    <n v="1455"/>
    <n v="69.25"/>
    <n v="1.1541666666666666"/>
    <d v="2025-03-11T00:00:00"/>
    <m/>
    <n v="66"/>
    <n v="96030"/>
    <s v="PE"/>
    <s v="C2P09-80007-FT0001"/>
    <n v="0"/>
    <n v="80000"/>
    <n v="16030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3012"/>
    <n v="0"/>
    <m/>
    <s v="H08031-JIM-M"/>
    <m/>
    <m/>
    <s v="S0359288"/>
  </r>
  <r>
    <x v="130"/>
    <n v="10000"/>
    <n v="30000"/>
    <d v="2025-03-13T00:00:00"/>
    <s v="502LAUGH"/>
    <s v=" 2:34:49 pm"/>
    <n v="10639931050"/>
    <m/>
    <x v="1"/>
    <s v="Yes"/>
    <n v="85"/>
    <s v="Luster AOI"/>
    <x v="1"/>
    <s v="QM78"/>
    <s v="WONG SEAU JIN"/>
    <n v="15910"/>
    <m/>
    <m/>
    <d v="2025-03-11T00:00:00"/>
    <m/>
    <n v="11"/>
    <n v="175010"/>
    <s v="PE"/>
    <s v="3YM63-80017-FT0001"/>
    <n v="0"/>
    <n v="180000"/>
    <n v="-4990"/>
    <n v="0"/>
    <n v="0"/>
    <n v="0"/>
    <m/>
    <m/>
    <n v="0"/>
    <m/>
    <m/>
    <m/>
    <m/>
    <m/>
    <m/>
    <m/>
    <m/>
    <s v="3YM63-80017-FT"/>
    <s v="H08031-JIM-M"/>
    <s v="HP MALAYSIA MANUFACTURING SDN.BHD."/>
    <m/>
    <n v="0"/>
    <n v="0"/>
    <n v="0"/>
    <n v="0"/>
    <n v="0"/>
    <n v="0"/>
    <m/>
    <m/>
    <m/>
    <s v="No"/>
    <s v="W663586"/>
    <n v="0"/>
    <m/>
    <s v="H08031-JIM-M"/>
    <m/>
    <m/>
    <s v="S0359299"/>
  </r>
  <r>
    <x v="446"/>
    <n v="10000"/>
    <n v="10000"/>
    <d v="2025-03-14T00:00:00"/>
    <s v="502LAUGH"/>
    <s v=" 9:40:30 am"/>
    <s v="M0BFL2381"/>
    <m/>
    <x v="2"/>
    <s v="Yes"/>
    <n v="78"/>
    <s v="Baby Sanki"/>
    <x v="2"/>
    <s v="PM84"/>
    <s v="TAN TAI TOH"/>
    <n v="2750"/>
    <n v="113.75"/>
    <n v="1.8958333333333333"/>
    <d v="2025-03-11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3030"/>
    <n v="0"/>
    <m/>
    <s v="S19081-TH"/>
    <m/>
    <m/>
    <s v="H0064691"/>
  </r>
  <r>
    <x v="447"/>
    <n v="10000"/>
    <n v="10000"/>
    <d v="2025-03-14T00:00:00"/>
    <s v="502LAUGH"/>
    <s v=" 9:40:30 am"/>
    <s v="M0BFL2381"/>
    <m/>
    <x v="2"/>
    <s v="Yes"/>
    <n v="78"/>
    <s v="Baby Sanki"/>
    <x v="2"/>
    <s v="PM84"/>
    <s v="TAN TAI TOH"/>
    <n v="2750"/>
    <n v="113.75"/>
    <n v="1.8958333333333333"/>
    <d v="2025-03-11T00:00:00"/>
    <m/>
    <n v="16"/>
    <n v="44000"/>
    <s v="PE"/>
    <s v="714370207-ADS1360001"/>
    <n v="0"/>
    <n v="40000"/>
    <n v="400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3033"/>
    <n v="0"/>
    <m/>
    <s v="S19081-TH"/>
    <m/>
    <m/>
    <s v="H0064694"/>
  </r>
  <r>
    <x v="302"/>
    <n v="10000"/>
    <n v="20000"/>
    <d v="2025-03-12T00:00:00"/>
    <s v="502LAUGH"/>
    <d v="1899-12-30T11:15:55"/>
    <s v="3342S1"/>
    <m/>
    <x v="0"/>
    <s v="Yes"/>
    <n v="105"/>
    <s v="Laser"/>
    <x v="5"/>
    <s v="PM87"/>
    <s v="LEE SHIEN WEI"/>
    <n v="550"/>
    <m/>
    <m/>
    <d v="2025-03-11T00:00:00"/>
    <m/>
    <n v="1"/>
    <n v="550"/>
    <s v="PE"/>
    <n v="10104870001"/>
    <n v="0"/>
    <n v="500"/>
    <n v="50"/>
    <n v="0"/>
    <n v="0"/>
    <n v="0"/>
    <m/>
    <m/>
    <n v="0"/>
    <m/>
    <m/>
    <m/>
    <m/>
    <m/>
    <m/>
    <m/>
    <m/>
    <n v="1010487"/>
    <s v="E05156"/>
    <s v="ESCO MICRO PTE LTD"/>
    <m/>
    <n v="0"/>
    <n v="0"/>
    <n v="0"/>
    <n v="0"/>
    <n v="0"/>
    <n v="0"/>
    <m/>
    <m/>
    <m/>
    <s v="No"/>
    <s v="W662626"/>
    <n v="0"/>
    <m/>
    <s v="E05156"/>
    <m/>
    <m/>
    <s v="S0359400"/>
  </r>
  <r>
    <x v="67"/>
    <n v="10000"/>
    <n v="20000"/>
    <d v="2025-03-14T00:00:00"/>
    <s v="502LAUGH"/>
    <s v=" 8:33:43 am"/>
    <n v="10639931002"/>
    <m/>
    <x v="0"/>
    <s v="Yes"/>
    <n v="77"/>
    <s v="Brotech DF330 "/>
    <x v="0"/>
    <s v="PM74"/>
    <s v="YONG CHEE SOON"/>
    <n v="4410"/>
    <n v="118.5"/>
    <n v="1.9750000000000001"/>
    <d v="2025-03-11T00:00:00"/>
    <m/>
    <n v="66"/>
    <n v="291060"/>
    <s v="PE"/>
    <s v="6ZD21-800010001"/>
    <n v="0"/>
    <n v="260000"/>
    <n v="31060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3036"/>
    <n v="0"/>
    <m/>
    <s v="H08031-JIM-M"/>
    <m/>
    <m/>
    <s v="S0359821"/>
  </r>
  <r>
    <x v="76"/>
    <n v="10000"/>
    <n v="30000"/>
    <d v="2025-03-18T00:00:00"/>
    <s v="502LAUGH"/>
    <s v=" 9:57:59 am"/>
    <n v="10639931060"/>
    <m/>
    <x v="1"/>
    <s v="Yes"/>
    <n v="85"/>
    <s v="Luster AOI"/>
    <x v="1"/>
    <s v="QM78"/>
    <s v="WONG SEAU JIN"/>
    <n v="1819"/>
    <m/>
    <m/>
    <d v="2025-03-11T00:00:00"/>
    <m/>
    <n v="11"/>
    <n v="20009"/>
    <s v="PE"/>
    <s v="7FP13-80001-FT0001"/>
    <n v="0"/>
    <n v="20000"/>
    <n v="9"/>
    <n v="0"/>
    <n v="0"/>
    <n v="0"/>
    <m/>
    <m/>
    <n v="0"/>
    <m/>
    <m/>
    <m/>
    <m/>
    <m/>
    <m/>
    <m/>
    <m/>
    <s v="7FP13-80001-FT"/>
    <s v="H08031-JIM-M"/>
    <s v="HP MALAYSIA MANUFACTURING SDN.BHD."/>
    <m/>
    <n v="0"/>
    <n v="0"/>
    <n v="0"/>
    <n v="0"/>
    <n v="0"/>
    <n v="0"/>
    <m/>
    <m/>
    <m/>
    <s v="No"/>
    <s v="W663037"/>
    <n v="0"/>
    <m/>
    <s v="H08031-JIM-M"/>
    <m/>
    <m/>
    <s v="S0359858"/>
  </r>
  <r>
    <x v="77"/>
    <n v="10000"/>
    <n v="30000"/>
    <d v="2025-03-13T00:00:00"/>
    <s v="502LAUGH"/>
    <s v=" 1:34:03 pm"/>
    <n v="10639931060"/>
    <m/>
    <x v="1"/>
    <s v="Yes"/>
    <n v="85"/>
    <s v="Luster AOI"/>
    <x v="1"/>
    <s v="QM78"/>
    <s v="WONG SEAU JIN"/>
    <n v="4546"/>
    <m/>
    <m/>
    <d v="2025-03-11T00:00:00"/>
    <m/>
    <n v="11"/>
    <n v="50006"/>
    <s v="PE"/>
    <s v="7FP37-80003-FT0001"/>
    <n v="0"/>
    <n v="50000"/>
    <n v="6"/>
    <n v="0"/>
    <n v="0"/>
    <n v="0"/>
    <m/>
    <m/>
    <n v="0"/>
    <m/>
    <m/>
    <m/>
    <m/>
    <m/>
    <m/>
    <m/>
    <m/>
    <s v="7FP37-80003-FT"/>
    <s v="H08031-JIM-M"/>
    <s v="HP MALAYSIA MANUFACTURING SDN.BHD."/>
    <m/>
    <n v="0"/>
    <n v="0"/>
    <n v="0"/>
    <n v="0"/>
    <n v="0"/>
    <n v="0"/>
    <m/>
    <m/>
    <m/>
    <s v="No"/>
    <s v="W662780"/>
    <n v="0"/>
    <m/>
    <s v="H08031-JIM-M"/>
    <m/>
    <m/>
    <s v="S0359859"/>
  </r>
  <r>
    <x v="78"/>
    <n v="10000"/>
    <n v="30000"/>
    <d v="2025-03-13T00:00:00"/>
    <s v="502LAUGH"/>
    <s v=" 2:57:25 pm"/>
    <n v="10639931060"/>
    <m/>
    <x v="1"/>
    <s v="Yes"/>
    <n v="85"/>
    <s v="Luster AOI"/>
    <x v="1"/>
    <s v="QM78"/>
    <s v="WONG SEAU JIN"/>
    <n v="1819"/>
    <m/>
    <m/>
    <d v="2025-03-11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3038"/>
    <n v="0"/>
    <m/>
    <s v="H08031-JIM-M"/>
    <m/>
    <m/>
    <s v="S0359860"/>
  </r>
  <r>
    <x v="79"/>
    <n v="10000"/>
    <n v="30000"/>
    <d v="2025-03-13T00:00:00"/>
    <s v="502LAUGH"/>
    <s v=" 4:09:26 pm"/>
    <n v="10639931060"/>
    <m/>
    <x v="1"/>
    <s v="Yes"/>
    <n v="85"/>
    <s v="Luster AOI"/>
    <x v="1"/>
    <s v="QM78"/>
    <s v="WONG SEAU JIN"/>
    <n v="1819"/>
    <m/>
    <m/>
    <d v="2025-03-11T00:00:00"/>
    <m/>
    <n v="11"/>
    <n v="20009"/>
    <s v="PE"/>
    <s v="7FP21-80008-FT0001"/>
    <n v="0"/>
    <n v="20000"/>
    <n v="9"/>
    <n v="0"/>
    <n v="0"/>
    <n v="0"/>
    <m/>
    <m/>
    <n v="0"/>
    <m/>
    <m/>
    <m/>
    <m/>
    <m/>
    <m/>
    <m/>
    <m/>
    <s v="7FP21-80008-FT"/>
    <s v="H08031-JIM-M"/>
    <s v="HP MALAYSIA MANUFACTURING SDN.BHD."/>
    <m/>
    <n v="0"/>
    <n v="0"/>
    <n v="0"/>
    <n v="0"/>
    <n v="0"/>
    <n v="0"/>
    <m/>
    <m/>
    <m/>
    <s v="No"/>
    <s v="W663039"/>
    <n v="0"/>
    <m/>
    <s v="H08031-JIM-M"/>
    <m/>
    <m/>
    <s v="S0359861"/>
  </r>
  <r>
    <x v="80"/>
    <n v="10000"/>
    <n v="30000"/>
    <d v="2025-03-13T00:00:00"/>
    <s v="502LAUGH"/>
    <s v=" 3:58:04 pm"/>
    <n v="10639931060"/>
    <m/>
    <x v="1"/>
    <s v="Yes"/>
    <n v="85"/>
    <s v="Luster AOI"/>
    <x v="1"/>
    <s v="QM78"/>
    <s v="WONG SEAU JIN"/>
    <n v="1819"/>
    <m/>
    <m/>
    <d v="2025-03-11T00:00:00"/>
    <m/>
    <n v="11"/>
    <n v="20009"/>
    <s v="PE"/>
    <s v="7FP05-80003-FT0001"/>
    <n v="0"/>
    <n v="20000"/>
    <n v="9"/>
    <n v="0"/>
    <n v="0"/>
    <n v="0"/>
    <m/>
    <m/>
    <n v="0"/>
    <m/>
    <m/>
    <m/>
    <m/>
    <m/>
    <m/>
    <m/>
    <m/>
    <s v="7FP05-80003-FT"/>
    <s v="H08031-JIM-M"/>
    <s v="HP MALAYSIA MANUFACTURING SDN.BHD."/>
    <m/>
    <n v="0"/>
    <n v="0"/>
    <n v="0"/>
    <n v="0"/>
    <n v="0"/>
    <n v="0"/>
    <m/>
    <m/>
    <m/>
    <s v="No"/>
    <s v="W663040"/>
    <n v="0"/>
    <m/>
    <s v="H08031-JIM-M"/>
    <m/>
    <m/>
    <s v="S0359862"/>
  </r>
  <r>
    <x v="448"/>
    <n v="10000"/>
    <n v="10000"/>
    <d v="2025-03-12T00:00:00"/>
    <s v="502LAUGH"/>
    <d v="1899-12-30T11:15:10"/>
    <s v="J00788540"/>
    <m/>
    <x v="2"/>
    <s v="Yes"/>
    <n v="86"/>
    <s v="Brotech DF330 "/>
    <x v="0"/>
    <s v="PM45"/>
    <s v="TAY CHIN LIONG"/>
    <n v="27500"/>
    <n v="503.33333333333331"/>
    <n v="8.3888888888888893"/>
    <d v="2025-03-11T00:00:00"/>
    <m/>
    <n v="2"/>
    <n v="55000"/>
    <s v="PE"/>
    <s v="PRODUCT-188X74-G0001"/>
    <n v="0"/>
    <n v="55000"/>
    <n v="0"/>
    <n v="0"/>
    <n v="0"/>
    <n v="0"/>
    <m/>
    <m/>
    <n v="0"/>
    <m/>
    <m/>
    <m/>
    <m/>
    <m/>
    <m/>
    <m/>
    <m/>
    <s v="PRODUCT-188X74-GREEN"/>
    <s v="A01259"/>
    <s v="OLAM COCOA PTE LTD"/>
    <m/>
    <n v="0"/>
    <n v="0"/>
    <n v="0"/>
    <n v="0"/>
    <n v="0"/>
    <n v="0"/>
    <m/>
    <m/>
    <m/>
    <s v="No"/>
    <s v="W662643"/>
    <n v="0"/>
    <m/>
    <s v="A01259"/>
    <m/>
    <m/>
    <s v="S0360727"/>
  </r>
  <r>
    <x v="397"/>
    <n v="10000"/>
    <n v="20000"/>
    <d v="2025-03-11T00:00:00"/>
    <s v="502LAUGH"/>
    <s v=" 4:56:00 pm"/>
    <s v="U530558077"/>
    <m/>
    <x v="0"/>
    <s v="Yes"/>
    <n v="105"/>
    <s v="Laser"/>
    <x v="5"/>
    <s v="PM87"/>
    <s v="LEE SHIEN WEI"/>
    <n v="1300"/>
    <m/>
    <m/>
    <d v="2025-03-11T00:00:00"/>
    <m/>
    <n v="3"/>
    <n v="3900"/>
    <s v="PE"/>
    <s v="36X73MM-ORANGE0001"/>
    <n v="0"/>
    <n v="3000"/>
    <n v="900"/>
    <n v="0"/>
    <n v="0"/>
    <n v="0"/>
    <m/>
    <m/>
    <n v="0"/>
    <m/>
    <m/>
    <m/>
    <m/>
    <m/>
    <m/>
    <m/>
    <m/>
    <s v="36X73MM-ORANGE"/>
    <s v="S19254"/>
    <s v="SINGAPORE ASAHI CHEMICAL &amp; SOLDER IND. PTE LTD"/>
    <m/>
    <n v="0"/>
    <n v="0"/>
    <n v="0"/>
    <n v="0"/>
    <n v="0"/>
    <n v="0"/>
    <m/>
    <m/>
    <m/>
    <s v="No"/>
    <s v="W662660"/>
    <n v="0"/>
    <m/>
    <s v="S19254"/>
    <m/>
    <m/>
    <s v="S0360888"/>
  </r>
  <r>
    <x v="398"/>
    <n v="10000"/>
    <n v="20000"/>
    <d v="2025-03-11T00:00:00"/>
    <s v="502LAUGH"/>
    <s v=" 4:56:41 pm"/>
    <s v="U530558077"/>
    <m/>
    <x v="0"/>
    <s v="Yes"/>
    <n v="105"/>
    <s v="Laser"/>
    <x v="5"/>
    <s v="PM87"/>
    <s v="LEE SHIEN WEI"/>
    <n v="1300"/>
    <m/>
    <m/>
    <d v="2025-03-11T00:00:00"/>
    <m/>
    <n v="3"/>
    <n v="3900"/>
    <s v="PE"/>
    <s v="36X73MM-PINK0001"/>
    <n v="0"/>
    <n v="3000"/>
    <n v="900"/>
    <n v="0"/>
    <n v="0"/>
    <n v="0"/>
    <m/>
    <m/>
    <n v="0"/>
    <m/>
    <m/>
    <m/>
    <m/>
    <m/>
    <m/>
    <m/>
    <m/>
    <s v="36X73MM-PINK"/>
    <s v="S19254"/>
    <s v="SINGAPORE ASAHI CHEMICAL &amp; SOLDER IND. PTE LTD"/>
    <m/>
    <n v="0"/>
    <n v="0"/>
    <n v="0"/>
    <n v="0"/>
    <n v="0"/>
    <n v="0"/>
    <m/>
    <m/>
    <m/>
    <s v="No"/>
    <s v="W662661"/>
    <n v="0"/>
    <m/>
    <s v="S19254"/>
    <m/>
    <m/>
    <s v="S0360888"/>
  </r>
  <r>
    <x v="399"/>
    <n v="10000"/>
    <n v="20000"/>
    <d v="2025-03-11T00:00:00"/>
    <s v="502LAUGH"/>
    <s v=" 4:57:20 pm"/>
    <s v="U530558077"/>
    <m/>
    <x v="0"/>
    <s v="Yes"/>
    <n v="105"/>
    <s v="Laser"/>
    <x v="5"/>
    <s v="PM87"/>
    <s v="LEE SHIEN WEI"/>
    <n v="1300"/>
    <m/>
    <m/>
    <d v="2025-03-11T00:00:00"/>
    <m/>
    <n v="3"/>
    <n v="3900"/>
    <s v="PE"/>
    <s v="36X73MM-YELLOW0001"/>
    <n v="0"/>
    <n v="3000"/>
    <n v="900"/>
    <n v="0"/>
    <n v="0"/>
    <n v="0"/>
    <m/>
    <m/>
    <n v="0"/>
    <m/>
    <m/>
    <m/>
    <m/>
    <m/>
    <m/>
    <m/>
    <m/>
    <s v="36X73MM-YELLOW"/>
    <s v="S19254"/>
    <s v="SINGAPORE ASAHI CHEMICAL &amp; SOLDER IND. PTE LTD"/>
    <m/>
    <n v="0"/>
    <n v="0"/>
    <n v="0"/>
    <n v="0"/>
    <n v="0"/>
    <n v="0"/>
    <m/>
    <m/>
    <m/>
    <s v="No"/>
    <s v="W662662"/>
    <n v="0"/>
    <m/>
    <s v="S19254"/>
    <m/>
    <m/>
    <s v="S0360888"/>
  </r>
  <r>
    <x v="309"/>
    <n v="10000"/>
    <n v="20000"/>
    <d v="2025-03-12T00:00:00"/>
    <s v="502LAUGH"/>
    <d v="1899-12-30T10:32:41"/>
    <s v="D10074850"/>
    <m/>
    <x v="0"/>
    <s v="Yes"/>
    <n v="92"/>
    <s v="Polly Digital Cut"/>
    <x v="6"/>
    <s v="PM87"/>
    <s v="LEE SHIEN WEI"/>
    <n v="1000"/>
    <m/>
    <m/>
    <d v="2025-03-11T00:00:00"/>
    <m/>
    <n v="1"/>
    <n v="1000"/>
    <s v="PE"/>
    <s v="PRTN-1463077491-0003"/>
    <n v="0"/>
    <n v="1000"/>
    <n v="0"/>
    <n v="0"/>
    <n v="0"/>
    <n v="0"/>
    <m/>
    <m/>
    <n v="0"/>
    <m/>
    <m/>
    <m/>
    <m/>
    <m/>
    <m/>
    <m/>
    <m/>
    <s v="MDRM0345"/>
    <s v="A01486"/>
    <s v="AMT PTE LTD"/>
    <m/>
    <n v="0"/>
    <n v="0"/>
    <n v="0"/>
    <n v="0"/>
    <n v="0"/>
    <n v="0"/>
    <m/>
    <m/>
    <m/>
    <s v="No"/>
    <s v="W662670"/>
    <n v="0"/>
    <m/>
    <s v="A01486"/>
    <m/>
    <m/>
    <s v="S0360886"/>
  </r>
  <r>
    <x v="404"/>
    <n v="10000"/>
    <n v="20000"/>
    <d v="2025-03-12T00:00:00"/>
    <s v="502LAUGH"/>
    <s v=" 8:32:45 am"/>
    <s v="D007I6641"/>
    <m/>
    <x v="0"/>
    <s v="Yes"/>
    <n v="77"/>
    <s v="Brotech DF330 "/>
    <x v="0"/>
    <s v="PM74"/>
    <s v="YONG CHEE SOON"/>
    <n v="227"/>
    <n v="48.783333333333331"/>
    <n v="0.81305555555555553"/>
    <d v="2025-03-11T00:00:00"/>
    <m/>
    <n v="168"/>
    <n v="38136"/>
    <s v="PE"/>
    <s v="5189-80950001"/>
    <n v="0"/>
    <n v="20000"/>
    <n v="18136"/>
    <n v="0"/>
    <n v="0"/>
    <n v="0"/>
    <m/>
    <m/>
    <n v="0"/>
    <m/>
    <m/>
    <m/>
    <m/>
    <m/>
    <m/>
    <m/>
    <m/>
    <s v="5189-8095"/>
    <s v="H08031-JIM"/>
    <s v="HP SINGAPORE (PRIVATE) LIMITED"/>
    <m/>
    <n v="0"/>
    <n v="0"/>
    <n v="0"/>
    <n v="0"/>
    <n v="0"/>
    <n v="0"/>
    <m/>
    <m/>
    <m/>
    <s v="No"/>
    <s v="W663621"/>
    <n v="0"/>
    <m/>
    <s v="H08031-JIM"/>
    <m/>
    <m/>
    <s v="S0360901"/>
  </r>
  <r>
    <x v="405"/>
    <n v="10000"/>
    <n v="20000"/>
    <d v="2025-03-12T00:00:00"/>
    <s v="502LAUGH"/>
    <s v=" 8:31:49 am"/>
    <s v="D007I6641"/>
    <m/>
    <x v="0"/>
    <s v="Yes"/>
    <n v="77"/>
    <s v="Brotech DF330 "/>
    <x v="0"/>
    <s v="PM74"/>
    <s v="YONG CHEE SOON"/>
    <n v="220"/>
    <n v="48.666666666666664"/>
    <n v="0.81111111111111112"/>
    <d v="2025-03-11T00:00:00"/>
    <m/>
    <n v="25"/>
    <n v="5500"/>
    <s v="PE"/>
    <s v="W3T11-800050001"/>
    <n v="0"/>
    <n v="1000"/>
    <n v="4500"/>
    <n v="0"/>
    <n v="0"/>
    <n v="0"/>
    <m/>
    <m/>
    <n v="0"/>
    <m/>
    <m/>
    <m/>
    <m/>
    <m/>
    <m/>
    <m/>
    <m/>
    <s v="W3T11-80005"/>
    <s v="H08031-JIM"/>
    <s v="HP SINGAPORE (PRIVATE) LIMITED"/>
    <m/>
    <n v="0"/>
    <n v="0"/>
    <n v="0"/>
    <n v="0"/>
    <n v="0"/>
    <n v="0"/>
    <m/>
    <m/>
    <m/>
    <s v="No"/>
    <s v="W663622"/>
    <n v="0"/>
    <m/>
    <s v="H08031-JIM"/>
    <m/>
    <m/>
    <s v="S0360903"/>
  </r>
  <r>
    <x v="449"/>
    <n v="10000"/>
    <n v="10000"/>
    <d v="2025-03-13T00:00:00"/>
    <s v="502LAUGH"/>
    <s v=" 1:41:52 pm"/>
    <s v="4111523U5"/>
    <m/>
    <x v="2"/>
    <s v="Yes"/>
    <n v="12"/>
    <s v="FSK SR520"/>
    <x v="2"/>
    <s v="PP05"/>
    <s v="WONG KIM FATT"/>
    <n v="32000"/>
    <n v="685"/>
    <n v="11.416666666666666"/>
    <d v="2025-03-11T00:00:00"/>
    <m/>
    <n v="1"/>
    <n v="32000"/>
    <s v="PE"/>
    <s v="250-6259-000001"/>
    <n v="0"/>
    <n v="32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3048"/>
    <n v="0"/>
    <m/>
    <s v="J10025"/>
    <m/>
    <m/>
    <s v="S0360904"/>
  </r>
  <r>
    <x v="450"/>
    <n v="10000"/>
    <n v="10000"/>
    <d v="2025-03-11T00:00:00"/>
    <s v="502LAUGH"/>
    <s v=" 9:34:00 am"/>
    <s v="4111526U5A"/>
    <m/>
    <x v="2"/>
    <s v="Yes"/>
    <n v="22"/>
    <s v="FSK B100"/>
    <x v="2"/>
    <s v="PS13"/>
    <s v="YEE CHENG MENG"/>
    <n v="2000"/>
    <n v="85"/>
    <n v="1.4166666666666667"/>
    <d v="2025-03-11T00:00:00"/>
    <m/>
    <n v="1"/>
    <n v="2000"/>
    <s v="PE"/>
    <s v="250-6208-000001"/>
    <n v="0"/>
    <n v="2000"/>
    <n v="0"/>
    <n v="0"/>
    <n v="0"/>
    <n v="0"/>
    <m/>
    <m/>
    <n v="0"/>
    <m/>
    <m/>
    <m/>
    <m/>
    <m/>
    <m/>
    <m/>
    <m/>
    <s v="250-6208-00"/>
    <s v="J10025"/>
    <s v="JMS SINGAPORE PTE LTD"/>
    <m/>
    <n v="0"/>
    <n v="0"/>
    <n v="0"/>
    <n v="0"/>
    <n v="0"/>
    <n v="0"/>
    <m/>
    <m/>
    <m/>
    <s v="No"/>
    <s v="W662681"/>
    <n v="0"/>
    <m/>
    <s v="J10025"/>
    <m/>
    <m/>
    <s v="S0360905"/>
  </r>
  <r>
    <x v="451"/>
    <n v="10000"/>
    <n v="10000"/>
    <d v="2025-03-11T00:00:00"/>
    <s v="502LAUGH"/>
    <s v=" 5:13:26 pm"/>
    <s v="4090405U5"/>
    <m/>
    <x v="2"/>
    <s v="Yes"/>
    <n v="22"/>
    <s v="FSK B100"/>
    <x v="2"/>
    <s v="PS13"/>
    <s v="YEE CHENG MENG"/>
    <n v="6000"/>
    <n v="165"/>
    <n v="2.75"/>
    <d v="2025-03-11T00:00:00"/>
    <m/>
    <n v="1"/>
    <n v="6000"/>
    <s v="PE"/>
    <s v="260-6013-000001"/>
    <n v="0"/>
    <n v="6000"/>
    <n v="0"/>
    <n v="0"/>
    <n v="0"/>
    <n v="0"/>
    <m/>
    <m/>
    <n v="0"/>
    <m/>
    <m/>
    <m/>
    <m/>
    <m/>
    <m/>
    <m/>
    <m/>
    <s v="260-6013-00"/>
    <s v="J10025"/>
    <s v="JMS SINGAPORE PTE LTD"/>
    <m/>
    <n v="0"/>
    <n v="0"/>
    <n v="0"/>
    <n v="0"/>
    <n v="0"/>
    <n v="0"/>
    <m/>
    <m/>
    <m/>
    <s v="No"/>
    <s v="W662682"/>
    <n v="0"/>
    <m/>
    <s v="J10025"/>
    <m/>
    <m/>
    <s v="S0360905"/>
  </r>
  <r>
    <x v="452"/>
    <n v="10000"/>
    <n v="10000"/>
    <d v="2025-03-12T00:00:00"/>
    <s v="502LAUGH"/>
    <s v=" 8:37:20 am"/>
    <s v="4090368U5"/>
    <m/>
    <x v="2"/>
    <s v="Yes"/>
    <n v="22"/>
    <s v="FSK B100"/>
    <x v="2"/>
    <s v="PS13"/>
    <s v="YEE CHENG MENG"/>
    <n v="4000"/>
    <n v="125"/>
    <n v="2.0833333333333335"/>
    <d v="2025-03-11T00:00:00"/>
    <m/>
    <n v="1"/>
    <n v="4000"/>
    <s v="PE"/>
    <s v="260-6164-000001"/>
    <n v="0"/>
    <n v="4000"/>
    <n v="0"/>
    <n v="0"/>
    <n v="0"/>
    <n v="0"/>
    <m/>
    <m/>
    <n v="0"/>
    <m/>
    <m/>
    <m/>
    <m/>
    <m/>
    <m/>
    <m/>
    <m/>
    <s v="260-6164-00"/>
    <s v="J10025"/>
    <s v="JMS SINGAPORE PTE LTD"/>
    <m/>
    <n v="0"/>
    <n v="0"/>
    <n v="0"/>
    <n v="0"/>
    <n v="0"/>
    <n v="0"/>
    <m/>
    <m/>
    <m/>
    <s v="No"/>
    <s v="W662683"/>
    <n v="0"/>
    <m/>
    <s v="J10025"/>
    <m/>
    <m/>
    <s v="S0360905"/>
  </r>
  <r>
    <x v="453"/>
    <n v="10000"/>
    <n v="10000"/>
    <d v="2025-03-11T00:00:00"/>
    <s v="502LAUGH"/>
    <s v=" 3:45:32 pm"/>
    <s v="4090405U5"/>
    <m/>
    <x v="2"/>
    <s v="Yes"/>
    <n v="22"/>
    <s v="FSK B100"/>
    <x v="2"/>
    <s v="PS13"/>
    <s v="YEE CHENG MENG"/>
    <n v="4000"/>
    <n v="125"/>
    <n v="2.0833333333333335"/>
    <d v="2025-03-11T00:00:00"/>
    <m/>
    <n v="1"/>
    <n v="4000"/>
    <s v="PE"/>
    <s v="260-6166-000001"/>
    <n v="0"/>
    <n v="4000"/>
    <n v="0"/>
    <n v="0"/>
    <n v="0"/>
    <n v="0"/>
    <m/>
    <m/>
    <n v="0"/>
    <m/>
    <m/>
    <m/>
    <m/>
    <m/>
    <m/>
    <m/>
    <m/>
    <s v="260-6166-00"/>
    <s v="J10025"/>
    <s v="JMS SINGAPORE PTE LTD"/>
    <m/>
    <n v="0"/>
    <n v="0"/>
    <n v="0"/>
    <n v="0"/>
    <n v="0"/>
    <n v="0"/>
    <m/>
    <m/>
    <m/>
    <s v="No"/>
    <s v="W662684"/>
    <n v="0"/>
    <m/>
    <s v="J10025"/>
    <m/>
    <m/>
    <s v="S0360906"/>
  </r>
  <r>
    <x v="410"/>
    <n v="10000"/>
    <n v="30000"/>
    <d v="2025-03-26T00:00:00"/>
    <s v="502LAUGH"/>
    <s v=" 5:44:45 pm"/>
    <s v="D006O6500"/>
    <m/>
    <x v="0"/>
    <s v="Yes"/>
    <n v="77"/>
    <s v="Brotech DF330 "/>
    <x v="0"/>
    <s v="PM74"/>
    <s v="YONG CHEE SOON"/>
    <n v="1167"/>
    <n v="64.45"/>
    <n v="1.0741666666666667"/>
    <d v="2025-03-11T00:00:00"/>
    <m/>
    <n v="6"/>
    <n v="7002"/>
    <s v="PE"/>
    <s v="5180-4652-FT0001"/>
    <n v="0"/>
    <n v="5000"/>
    <n v="2002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3624"/>
    <n v="0"/>
    <m/>
    <s v="H08031-JIM-M"/>
    <m/>
    <m/>
    <s v="S0360909"/>
  </r>
  <r>
    <x v="322"/>
    <n v="10000"/>
    <n v="20000"/>
    <d v="2025-03-17T00:00:00"/>
    <s v="502LAUGH"/>
    <s v=" 8:34:05 am"/>
    <n v="10639931107"/>
    <m/>
    <x v="0"/>
    <s v="Yes"/>
    <n v="77"/>
    <s v="Brotech DF330 "/>
    <x v="0"/>
    <s v="PM74"/>
    <s v="YONG CHEE SOON"/>
    <n v="1364"/>
    <n v="67.733333333333334"/>
    <n v="1.1288888888888888"/>
    <d v="2025-03-11T00:00:00"/>
    <m/>
    <n v="66"/>
    <n v="90024"/>
    <s v="PE"/>
    <s v="CZ637-80024-FT0001"/>
    <n v="0"/>
    <n v="80000"/>
    <n v="10024"/>
    <n v="0"/>
    <n v="0"/>
    <n v="0"/>
    <m/>
    <m/>
    <n v="0"/>
    <m/>
    <m/>
    <m/>
    <m/>
    <m/>
    <m/>
    <m/>
    <m/>
    <s v="CZ637-80024-FT"/>
    <s v="H08031-JIM-M"/>
    <s v="HP MALAYSIA MANUFACTURING SDN.BHD."/>
    <m/>
    <n v="0"/>
    <n v="0"/>
    <n v="0"/>
    <n v="0"/>
    <n v="0"/>
    <n v="0"/>
    <m/>
    <m/>
    <m/>
    <s v="No"/>
    <s v="W663057"/>
    <n v="0"/>
    <m/>
    <s v="H08031-JIM-M"/>
    <m/>
    <m/>
    <s v="S0360917"/>
  </r>
  <r>
    <x v="411"/>
    <n v="10000"/>
    <n v="30000"/>
    <d v="2025-03-13T00:00:00"/>
    <s v="502LAUGH"/>
    <s v=" 8:51:14 am"/>
    <n v="59469"/>
    <m/>
    <x v="0"/>
    <s v="Yes"/>
    <n v="96"/>
    <s v="Luster AOI"/>
    <x v="1"/>
    <s v="QM54"/>
    <s v="TAN SWEE LENG"/>
    <n v="179375"/>
    <m/>
    <m/>
    <d v="2025-03-11T00:00:00"/>
    <m/>
    <n v="6"/>
    <n v="1076250"/>
    <s v="PE"/>
    <s v="MT-1000173-00REV0003"/>
    <n v="0"/>
    <n v="1076250"/>
    <n v="0"/>
    <n v="0"/>
    <n v="0"/>
    <n v="0"/>
    <m/>
    <m/>
    <n v="0"/>
    <m/>
    <m/>
    <m/>
    <m/>
    <m/>
    <m/>
    <m/>
    <m/>
    <s v="MT-1000173-00REV008"/>
    <s v="Z26002"/>
    <s v="CCL DESIGN (PENANG) SDN. BHD."/>
    <m/>
    <n v="0"/>
    <n v="0"/>
    <n v="0"/>
    <n v="0"/>
    <n v="0"/>
    <n v="0"/>
    <m/>
    <m/>
    <m/>
    <s v="No"/>
    <s v="W663066"/>
    <n v="0"/>
    <m/>
    <s v="Z26002"/>
    <m/>
    <m/>
    <s v="S0361003"/>
  </r>
  <r>
    <x v="454"/>
    <n v="10000"/>
    <n v="10000"/>
    <d v="2025-03-12T00:00:00"/>
    <s v="502LAUGH"/>
    <s v=" 2:37:36 pm"/>
    <s v="SG-5645615-01"/>
    <m/>
    <x v="2"/>
    <s v="Yes"/>
    <n v="31"/>
    <s v="Sanki SKP250 Full Rotary"/>
    <x v="2"/>
    <s v="PS27"/>
    <s v="TAN TECK HEE"/>
    <n v="5000"/>
    <n v="170"/>
    <n v="2.8333333333333335"/>
    <d v="2025-03-11T00:00:00"/>
    <m/>
    <n v="6"/>
    <n v="30000"/>
    <s v="PE"/>
    <s v="A4 (6PCS/SHEET)0001"/>
    <n v="0"/>
    <n v="25000"/>
    <n v="5000"/>
    <n v="0"/>
    <n v="0"/>
    <n v="0"/>
    <m/>
    <m/>
    <n v="0"/>
    <m/>
    <m/>
    <m/>
    <m/>
    <m/>
    <m/>
    <m/>
    <m/>
    <s v="A4 (6PCS/SHEET)"/>
    <s v="S19487"/>
    <s v="SANTEH TECHNOLOGY PTE LTD"/>
    <m/>
    <n v="0"/>
    <n v="0"/>
    <n v="0"/>
    <n v="0"/>
    <n v="0"/>
    <n v="0"/>
    <m/>
    <m/>
    <m/>
    <s v="No"/>
    <s v="W663067"/>
    <n v="0"/>
    <m/>
    <s v="S19487"/>
    <m/>
    <m/>
    <s v="S0361005"/>
  </r>
  <r>
    <x v="455"/>
    <n v="10000"/>
    <n v="10000"/>
    <d v="2025-03-12T00:00:00"/>
    <s v="502LAUGH"/>
    <s v=" 8:54:47 am"/>
    <s v="E053912079"/>
    <m/>
    <x v="2"/>
    <s v="Yes"/>
    <n v="63"/>
    <s v="SANKI"/>
    <x v="3"/>
    <s v="PM80"/>
    <s v="YAP ZHI PING"/>
    <n v="14"/>
    <n v="45.35"/>
    <n v="0.75583333333333336"/>
    <d v="2025-03-11T00:00:00"/>
    <m/>
    <n v="15"/>
    <n v="210"/>
    <s v="PE"/>
    <s v="709898816 REVB0001"/>
    <n v="0"/>
    <n v="200"/>
    <n v="10"/>
    <n v="0"/>
    <n v="0"/>
    <n v="0"/>
    <m/>
    <m/>
    <n v="0"/>
    <m/>
    <m/>
    <m/>
    <m/>
    <m/>
    <m/>
    <m/>
    <m/>
    <s v="709898816 REVB"/>
    <s v="S19081"/>
    <s v="SEAGATE SINGAPORE INTERNATIONAL HEADQUARTERS"/>
    <m/>
    <n v="0"/>
    <n v="0"/>
    <n v="0"/>
    <n v="0"/>
    <n v="0"/>
    <n v="0"/>
    <m/>
    <m/>
    <m/>
    <s v="No"/>
    <s v="W663073"/>
    <n v="0"/>
    <m/>
    <s v="S19081"/>
    <m/>
    <m/>
    <s v="ZSA101758"/>
  </r>
  <r>
    <x v="456"/>
    <n v="10000"/>
    <n v="10000"/>
    <d v="2025-03-12T00:00:00"/>
    <s v="502LAUGH"/>
    <s v=" 8:54:47 am"/>
    <s v="E0730911/490833"/>
    <m/>
    <x v="2"/>
    <s v="Yes"/>
    <n v="87"/>
    <s v="SYSCO"/>
    <x v="3"/>
    <s v="PM14"/>
    <s v="GOH CHEN YONG"/>
    <n v="100"/>
    <m/>
    <m/>
    <d v="2025-03-11T00:00:00"/>
    <m/>
    <n v="2"/>
    <n v="200"/>
    <s v="PE"/>
    <s v="755800100-DWG-D0001"/>
    <n v="0"/>
    <n v="200"/>
    <n v="0"/>
    <n v="0"/>
    <n v="0"/>
    <n v="0"/>
    <m/>
    <m/>
    <n v="0"/>
    <m/>
    <m/>
    <m/>
    <m/>
    <m/>
    <m/>
    <m/>
    <m/>
    <s v="755800100-DWG-D"/>
    <s v="S19081"/>
    <s v="SEAGATE SINGAPORE INTERNATIONAL HEADQUARTERS"/>
    <m/>
    <n v="0"/>
    <n v="0"/>
    <n v="0"/>
    <n v="0"/>
    <n v="0"/>
    <n v="0"/>
    <m/>
    <m/>
    <m/>
    <s v="No"/>
    <s v="W663076"/>
    <n v="0"/>
    <m/>
    <s v="S19081"/>
    <m/>
    <m/>
    <s v="ZSA101761"/>
  </r>
  <r>
    <x v="457"/>
    <n v="10000"/>
    <n v="10000"/>
    <d v="2025-03-19T00:00:00"/>
    <s v="502LAUGH"/>
    <d v="1899-12-30T10:50:18"/>
    <s v="U530558077/4816U8013"/>
    <m/>
    <x v="2"/>
    <s v="Yes"/>
    <n v="79"/>
    <s v="HP Indigo 6800"/>
    <x v="4"/>
    <s v="PM16"/>
    <s v="TEO KAH JUN"/>
    <n v="100"/>
    <n v="35"/>
    <n v="0.58333333333333337"/>
    <d v="2025-03-11T00:00:00"/>
    <m/>
    <n v="20"/>
    <n v="2000"/>
    <s v="PE"/>
    <s v="CHUBB- 65MMX95MM0001"/>
    <n v="0"/>
    <n v="2000"/>
    <n v="0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3079"/>
    <n v="0"/>
    <m/>
    <s v="P16194"/>
    <m/>
    <m/>
    <s v="S0361028"/>
  </r>
  <r>
    <x v="458"/>
    <n v="10000"/>
    <n v="10000"/>
    <d v="2025-03-12T00:00:00"/>
    <s v="502LAUGH"/>
    <s v=" 4:46:31 pm"/>
    <s v="SG115773-1"/>
    <m/>
    <x v="2"/>
    <s v="Yes"/>
    <n v="88"/>
    <s v="OKI"/>
    <x v="4"/>
    <s v="PP24"/>
    <s v="HO HON SENG"/>
    <n v="1090"/>
    <m/>
    <m/>
    <d v="2025-03-11T00:00:00"/>
    <m/>
    <n v="1"/>
    <n v="1090"/>
    <s v="PE"/>
    <s v="OVERALL 50X15MM0001"/>
    <n v="0"/>
    <n v="109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62794"/>
    <n v="0"/>
    <m/>
    <s v="S19663"/>
    <m/>
    <m/>
    <s v="S0361038"/>
  </r>
  <r>
    <x v="458"/>
    <n v="20000"/>
    <n v="10000"/>
    <d v="2025-03-12T00:00:00"/>
    <s v="502LAUGH"/>
    <s v=" 4:46:31 pm"/>
    <s v="SG115773-1"/>
    <m/>
    <x v="2"/>
    <s v="Yes"/>
    <n v="88"/>
    <s v="OKI"/>
    <x v="4"/>
    <s v="PP24"/>
    <s v="HO HON SENG"/>
    <n v="450"/>
    <m/>
    <m/>
    <d v="2025-03-11T00:00:00"/>
    <m/>
    <n v="1"/>
    <n v="450"/>
    <s v="PE"/>
    <s v="OVERALL 50X15MM0001"/>
    <n v="0"/>
    <n v="45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62794"/>
    <n v="0"/>
    <m/>
    <s v="S19663"/>
    <m/>
    <m/>
    <s v="S0361038"/>
  </r>
  <r>
    <x v="458"/>
    <n v="30000"/>
    <n v="10000"/>
    <d v="2025-03-12T00:00:00"/>
    <s v="502LAUGH"/>
    <s v=" 4:46:31 pm"/>
    <s v="SG115773-1"/>
    <m/>
    <x v="2"/>
    <s v="Yes"/>
    <n v="88"/>
    <s v="OKI"/>
    <x v="4"/>
    <s v="PP24"/>
    <s v="HO HON SENG"/>
    <n v="150"/>
    <m/>
    <m/>
    <d v="2025-03-11T00:00:00"/>
    <m/>
    <n v="1"/>
    <n v="150"/>
    <s v="PE"/>
    <s v="OVERALL 50X15MM0001"/>
    <n v="0"/>
    <n v="150"/>
    <n v="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62794"/>
    <n v="0"/>
    <m/>
    <s v="S19663"/>
    <m/>
    <m/>
    <s v="S0361038"/>
  </r>
  <r>
    <x v="459"/>
    <n v="10000"/>
    <n v="10000"/>
    <d v="2025-03-12T00:00:00"/>
    <s v="502LAUGH"/>
    <s v=" 8:49:40 am"/>
    <s v="E053912079"/>
    <m/>
    <x v="2"/>
    <s v="Yes"/>
    <n v="63"/>
    <s v="SANKI"/>
    <x v="3"/>
    <s v="PM80"/>
    <s v="YAP ZHI PING"/>
    <n v="3000"/>
    <n v="120"/>
    <n v="2"/>
    <d v="2025-03-11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3083"/>
    <n v="0"/>
    <m/>
    <s v="S19314"/>
    <m/>
    <m/>
    <s v="H0064710"/>
  </r>
  <r>
    <x v="460"/>
    <n v="10000"/>
    <n v="10000"/>
    <d v="2025-03-13T00:00:00"/>
    <s v="502LAUGH"/>
    <s v=" 8:47:50 am"/>
    <s v="E053912079"/>
    <m/>
    <x v="2"/>
    <s v="Yes"/>
    <n v="63"/>
    <s v="SANKI"/>
    <x v="3"/>
    <s v="PM80"/>
    <s v="YAP ZHI PING"/>
    <n v="5000"/>
    <n v="170"/>
    <n v="2.8333333333333335"/>
    <d v="2025-03-11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2797"/>
    <n v="0"/>
    <m/>
    <s v="S19314"/>
    <m/>
    <m/>
    <s v="H0064716"/>
  </r>
  <r>
    <x v="461"/>
    <n v="10000"/>
    <n v="10000"/>
    <d v="2025-03-12T00:00:00"/>
    <s v="502LAUGH"/>
    <s v=" 8:49:40 am"/>
    <n v="1006323"/>
    <m/>
    <x v="2"/>
    <s v="Yes"/>
    <n v="63"/>
    <s v="SANKI"/>
    <x v="3"/>
    <s v="PM80"/>
    <s v="YAP ZHI PING"/>
    <n v="5000"/>
    <n v="170"/>
    <n v="2.8333333333333335"/>
    <d v="2025-03-1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2799"/>
    <n v="0"/>
    <m/>
    <s v="S19314"/>
    <m/>
    <m/>
    <s v="H0064719"/>
  </r>
  <r>
    <x v="462"/>
    <n v="10000"/>
    <n v="10000"/>
    <d v="2025-03-12T00:00:00"/>
    <s v="502LAUGH"/>
    <s v=" 8:49:40 am"/>
    <n v="1006323"/>
    <m/>
    <x v="2"/>
    <s v="Yes"/>
    <n v="63"/>
    <s v="SANKI"/>
    <x v="3"/>
    <s v="PM80"/>
    <s v="YAP ZHI PING"/>
    <n v="5000"/>
    <n v="170"/>
    <n v="2.8333333333333335"/>
    <d v="2025-03-11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2800"/>
    <n v="0"/>
    <m/>
    <s v="S19314"/>
    <m/>
    <m/>
    <s v="H0064720"/>
  </r>
  <r>
    <x v="463"/>
    <n v="10000"/>
    <n v="10000"/>
    <d v="2025-03-12T00:00:00"/>
    <s v="502LAUGH"/>
    <s v=" 8:49:40 am"/>
    <s v="E053912079"/>
    <m/>
    <x v="2"/>
    <s v="Yes"/>
    <n v="63"/>
    <s v="SANKI"/>
    <x v="3"/>
    <s v="PM80"/>
    <s v="YAP ZHI PING"/>
    <n v="2000"/>
    <n v="95"/>
    <n v="1.5833333333333333"/>
    <d v="2025-03-11T00:00:00"/>
    <m/>
    <n v="60"/>
    <n v="120000"/>
    <s v="PE"/>
    <s v="709898816 REVB0001"/>
    <n v="0"/>
    <n v="120000"/>
    <n v="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63089"/>
    <n v="0"/>
    <m/>
    <s v="S19314"/>
    <m/>
    <m/>
    <s v="H0064722"/>
  </r>
  <r>
    <x v="464"/>
    <n v="10000"/>
    <n v="10000"/>
    <d v="2025-03-17T00:00:00"/>
    <s v="502LAUGH"/>
    <s v=" 8:50:13 am"/>
    <s v="M0BFL2381"/>
    <m/>
    <x v="2"/>
    <s v="Yes"/>
    <n v="78"/>
    <s v="Baby Sanki"/>
    <x v="2"/>
    <s v="PM84"/>
    <s v="TAN TAI TOH"/>
    <n v="5500"/>
    <n v="182.5"/>
    <n v="3.0416666666666665"/>
    <d v="2025-03-11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093"/>
    <n v="0"/>
    <m/>
    <s v="S19314"/>
    <m/>
    <m/>
    <s v="H0064729"/>
  </r>
  <r>
    <x v="465"/>
    <n v="10000"/>
    <n v="10000"/>
    <d v="2025-03-14T00:00:00"/>
    <s v="502LAUGH"/>
    <s v=" 9:42:05 am"/>
    <s v="M0BFL2381"/>
    <m/>
    <x v="2"/>
    <s v="Yes"/>
    <n v="78"/>
    <s v="Baby Sanki"/>
    <x v="2"/>
    <s v="PM84"/>
    <s v="TAN TAI TOH"/>
    <n v="5500"/>
    <n v="182.5"/>
    <n v="3.0416666666666665"/>
    <d v="2025-03-11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3094"/>
    <n v="0"/>
    <m/>
    <s v="S19314"/>
    <m/>
    <m/>
    <s v="H0064730"/>
  </r>
  <r>
    <x v="466"/>
    <n v="10000"/>
    <n v="10000"/>
    <d v="2025-03-14T00:00:00"/>
    <s v="502LAUGH"/>
    <s v=" 9:42:05 am"/>
    <s v="M0BFL2381"/>
    <m/>
    <x v="2"/>
    <s v="Yes"/>
    <n v="78"/>
    <s v="Baby Sanki"/>
    <x v="2"/>
    <s v="PM84"/>
    <s v="TAN TAI TOH"/>
    <n v="5500"/>
    <n v="182.5"/>
    <n v="3.0416666666666665"/>
    <d v="2025-03-11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3095"/>
    <n v="0"/>
    <m/>
    <s v="S19314"/>
    <m/>
    <m/>
    <s v="H0064731"/>
  </r>
  <r>
    <x v="467"/>
    <n v="10000"/>
    <n v="10000"/>
    <d v="2025-03-14T00:00:00"/>
    <s v="502LAUGH"/>
    <s v=" 9:37:40 am"/>
    <n v="12190705006"/>
    <m/>
    <x v="2"/>
    <s v="Yes"/>
    <n v="68"/>
    <s v="SANKI"/>
    <x v="3"/>
    <s v="QC04"/>
    <s v="YANG TONGJING"/>
    <n v="35000"/>
    <m/>
    <m/>
    <d v="2025-03-11T00:00:00"/>
    <m/>
    <n v="2"/>
    <n v="70000"/>
    <s v="PE"/>
    <s v="719007600 REVA0001"/>
    <n v="0"/>
    <n v="70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63097"/>
    <n v="0"/>
    <m/>
    <s v="S19314"/>
    <m/>
    <m/>
    <s v="H0064735"/>
  </r>
  <r>
    <x v="468"/>
    <n v="10000"/>
    <n v="10000"/>
    <d v="2025-03-12T00:00:00"/>
    <s v="502LAUGH"/>
    <s v=" 8:34:17 am"/>
    <s v="M0BUF4311"/>
    <m/>
    <x v="2"/>
    <s v="Yes"/>
    <n v="26"/>
    <s v="Sanki SKP250 Full Rotary"/>
    <x v="2"/>
    <s v="PS70"/>
    <s v="YEO WOO KEONG"/>
    <n v="4500"/>
    <n v="157.5"/>
    <n v="2.625"/>
    <d v="2025-03-11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s v="SEAGATE TECHNOLOGY (THAILAND) LTD."/>
    <m/>
    <n v="0"/>
    <n v="0"/>
    <n v="0"/>
    <n v="0"/>
    <n v="0"/>
    <n v="0"/>
    <m/>
    <m/>
    <m/>
    <s v="No"/>
    <s v="W663104"/>
    <n v="0"/>
    <m/>
    <s v="S19081-TH"/>
    <m/>
    <m/>
    <s v="H0064748"/>
  </r>
  <r>
    <x v="469"/>
    <n v="10000"/>
    <n v="10000"/>
    <d v="2025-03-11T00:00:00"/>
    <s v="502LAUGH"/>
    <s v=" 2:06:29 pm"/>
    <s v="M0BUF4311"/>
    <m/>
    <x v="2"/>
    <s v="Yes"/>
    <n v="26"/>
    <s v="Sanki SKP250 Full Rotary"/>
    <x v="2"/>
    <s v="PS70"/>
    <s v="YEO WOO KEONG"/>
    <n v="4500"/>
    <n v="157.5"/>
    <n v="2.625"/>
    <d v="2025-03-11T00:00:00"/>
    <m/>
    <n v="4"/>
    <n v="18000"/>
    <s v="PE"/>
    <s v="202659300 REVA0001"/>
    <n v="0"/>
    <n v="18000"/>
    <n v="0"/>
    <n v="0"/>
    <n v="0"/>
    <n v="0"/>
    <m/>
    <m/>
    <n v="0"/>
    <m/>
    <m/>
    <m/>
    <m/>
    <m/>
    <m/>
    <m/>
    <m/>
    <s v="202659300 REVA"/>
    <s v="S19081-TH"/>
    <s v="SEAGATE TECHNOLOGY (THAILAND) LTD."/>
    <m/>
    <n v="0"/>
    <n v="0"/>
    <n v="0"/>
    <n v="0"/>
    <n v="0"/>
    <n v="0"/>
    <m/>
    <m/>
    <m/>
    <s v="No"/>
    <s v="W663105"/>
    <n v="0"/>
    <m/>
    <s v="S19081-TH"/>
    <m/>
    <m/>
    <s v="H0064755"/>
  </r>
  <r>
    <x v="470"/>
    <n v="10000"/>
    <n v="10000"/>
    <d v="2025-03-12T00:00:00"/>
    <s v="502LAUGH"/>
    <s v=" 8:50:51 am"/>
    <s v="E053912079"/>
    <m/>
    <x v="2"/>
    <s v="Yes"/>
    <n v="63"/>
    <s v="SANKI"/>
    <x v="3"/>
    <s v="PM80"/>
    <s v="YAP ZHI PING"/>
    <n v="2000"/>
    <n v="95"/>
    <n v="1.5833333333333333"/>
    <d v="2025-03-11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62805"/>
    <n v="0"/>
    <m/>
    <s v="S19081-TH"/>
    <m/>
    <m/>
    <s v="H0064757"/>
  </r>
  <r>
    <x v="471"/>
    <n v="10000"/>
    <n v="10000"/>
    <d v="2025-03-17T00:00:00"/>
    <s v="502LAUGH"/>
    <s v=" 8:43:04 am"/>
    <s v="M4B4408BGJ9J309-S247200005/E0531904"/>
    <m/>
    <x v="2"/>
    <s v="Yes"/>
    <n v="62"/>
    <s v="Fujishiko "/>
    <x v="3"/>
    <s v="PMJ0"/>
    <s v="KOR CHEW OR"/>
    <n v="150000"/>
    <n v="3045"/>
    <n v="50.75"/>
    <d v="2025-03-11T00:00:00"/>
    <m/>
    <n v="1"/>
    <n v="150000"/>
    <s v="PE"/>
    <s v="725428400-NEWPRO0001"/>
    <n v="0"/>
    <n v="1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3656"/>
    <n v="0"/>
    <m/>
    <s v="S19081-TH"/>
    <m/>
    <m/>
    <s v="H0064767"/>
  </r>
  <r>
    <x v="472"/>
    <n v="10000"/>
    <n v="10000"/>
    <d v="2025-03-12T00:00:00"/>
    <s v="502LAUGH"/>
    <d v="1899-12-30T10:34:21"/>
    <s v="U4A043S213/3082509U9"/>
    <m/>
    <x v="2"/>
    <s v="Yes"/>
    <n v="88"/>
    <s v="OKI"/>
    <x v="4"/>
    <s v="PP24"/>
    <s v="HO HON SENG"/>
    <n v="20"/>
    <m/>
    <m/>
    <d v="2025-03-11T00:00:00"/>
    <m/>
    <n v="1"/>
    <n v="20"/>
    <s v="PE"/>
    <n v="107456090001"/>
    <n v="0"/>
    <n v="10"/>
    <n v="1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1"/>
    <n v="0"/>
    <m/>
    <s v="I09109"/>
    <m/>
    <m/>
    <s v="ZSA101763"/>
  </r>
  <r>
    <x v="472"/>
    <n v="10000"/>
    <n v="20000"/>
    <d v="2025-03-12T00:00:00"/>
    <s v="502LAUGH"/>
    <d v="1899-12-30T10:34:21"/>
    <s v="U4A043S213/3082509U9"/>
    <m/>
    <x v="0"/>
    <s v="Yes"/>
    <n v="100"/>
    <s v="Vorey Digital Cut"/>
    <x v="6"/>
    <s v="PM87"/>
    <s v="LEE SHIEN WEI"/>
    <n v="20"/>
    <m/>
    <m/>
    <d v="2025-03-11T00:00:00"/>
    <m/>
    <n v="1"/>
    <n v="20"/>
    <s v="PE"/>
    <n v="107456090001"/>
    <n v="0"/>
    <n v="10"/>
    <n v="1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1"/>
    <n v="0"/>
    <m/>
    <s v="I09109"/>
    <m/>
    <m/>
    <s v="ZSA101763"/>
  </r>
  <r>
    <x v="473"/>
    <n v="10000"/>
    <n v="10000"/>
    <d v="2025-03-12T00:00:00"/>
    <s v="502LAUGH"/>
    <s v=" 4:06:10 pm"/>
    <s v="SG-5630465"/>
    <m/>
    <x v="2"/>
    <s v="Yes"/>
    <n v="59"/>
    <s v="SANKI SD-300 Intermittent"/>
    <x v="2"/>
    <s v="PS74"/>
    <s v="GOH CHIN TECK"/>
    <n v="15000"/>
    <n v="420"/>
    <n v="7"/>
    <d v="2025-03-11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2702"/>
    <n v="0"/>
    <m/>
    <s v="I09180"/>
    <m/>
    <m/>
    <s v="S0361094"/>
  </r>
  <r>
    <x v="474"/>
    <n v="10000"/>
    <n v="10000"/>
    <d v="2025-03-11T00:00:00"/>
    <s v="502LAUGH"/>
    <d v="1899-12-30T10:32:43"/>
    <s v="SG-5612655 01"/>
    <m/>
    <x v="2"/>
    <s v="Yes"/>
    <n v="59"/>
    <s v="SANKI SD-300 Intermittent"/>
    <x v="2"/>
    <s v="PS74"/>
    <s v="GOH CHIN TECK"/>
    <n v="373"/>
    <n v="54.325000000000003"/>
    <n v="0.90541666666666676"/>
    <d v="2025-03-11T00:00:00"/>
    <m/>
    <n v="4"/>
    <n v="1492"/>
    <s v="PE"/>
    <n v="112888630001"/>
    <n v="0"/>
    <n v="1490"/>
    <n v="2"/>
    <n v="0"/>
    <n v="0"/>
    <n v="0"/>
    <m/>
    <m/>
    <n v="0"/>
    <m/>
    <m/>
    <m/>
    <m/>
    <m/>
    <m/>
    <m/>
    <m/>
    <n v="11288863"/>
    <s v="I09180"/>
    <s v="ILLUMINA SINGAPORE PTE LTD"/>
    <m/>
    <n v="0"/>
    <n v="0"/>
    <n v="0"/>
    <n v="0"/>
    <n v="0"/>
    <n v="0"/>
    <m/>
    <m/>
    <m/>
    <s v="No"/>
    <s v="W662703"/>
    <n v="0"/>
    <m/>
    <s v="I09180"/>
    <m/>
    <m/>
    <s v="S0361096"/>
  </r>
  <r>
    <x v="475"/>
    <n v="10000"/>
    <n v="10000"/>
    <d v="2025-03-11T00:00:00"/>
    <s v="502LAUGH"/>
    <s v=" 2:06:29 pm"/>
    <s v="SG-5612655 01"/>
    <m/>
    <x v="2"/>
    <s v="Yes"/>
    <n v="59"/>
    <s v="SANKI SD-300 Intermittent"/>
    <x v="2"/>
    <s v="PS74"/>
    <s v="GOH CHIN TECK"/>
    <n v="373"/>
    <n v="54.325000000000003"/>
    <n v="0.90541666666666676"/>
    <d v="2025-03-11T00:00:00"/>
    <m/>
    <n v="4"/>
    <n v="1490"/>
    <s v="PE"/>
    <n v="112888120001"/>
    <n v="0"/>
    <n v="149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62704"/>
    <n v="0"/>
    <m/>
    <s v="I09180"/>
    <m/>
    <m/>
    <s v="S0361097"/>
  </r>
  <r>
    <x v="475"/>
    <n v="20000"/>
    <n v="10000"/>
    <d v="2025-03-11T00:00:00"/>
    <s v="502LAUGH"/>
    <s v=" 2:06:29 pm"/>
    <s v="SG-5612655 01"/>
    <m/>
    <x v="2"/>
    <s v="Yes"/>
    <n v="59"/>
    <s v="SANKI SD-300 Intermittent"/>
    <x v="2"/>
    <s v="PS74"/>
    <s v="GOH CHIN TECK"/>
    <n v="373"/>
    <n v="54.325000000000003"/>
    <n v="0.90541666666666676"/>
    <d v="2025-03-11T00:00:00"/>
    <m/>
    <n v="4"/>
    <n v="1490"/>
    <s v="PE"/>
    <n v="112888120001"/>
    <n v="0"/>
    <n v="149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62704"/>
    <n v="0"/>
    <m/>
    <s v="I09180"/>
    <m/>
    <m/>
    <s v="S0361097"/>
  </r>
  <r>
    <x v="476"/>
    <n v="10000"/>
    <n v="10000"/>
    <d v="2025-03-11T00:00:00"/>
    <s v="502LAUGH"/>
    <d v="1899-12-30T11:23:07"/>
    <s v="SG-5612655 01"/>
    <m/>
    <x v="2"/>
    <s v="Yes"/>
    <n v="59"/>
    <s v="SANKI SD-300 Intermittent"/>
    <x v="2"/>
    <s v="PS74"/>
    <s v="GOH CHIN TECK"/>
    <n v="373"/>
    <n v="54.325000000000003"/>
    <n v="0.90541666666666676"/>
    <d v="2025-03-11T00:00:00"/>
    <m/>
    <n v="4"/>
    <n v="1492"/>
    <s v="PE"/>
    <n v="113275270001"/>
    <n v="0"/>
    <n v="1490"/>
    <n v="2"/>
    <n v="0"/>
    <n v="0"/>
    <n v="0"/>
    <m/>
    <m/>
    <n v="0"/>
    <m/>
    <m/>
    <m/>
    <m/>
    <m/>
    <m/>
    <m/>
    <m/>
    <n v="11327527"/>
    <s v="I09180"/>
    <s v="ILLUMINA SINGAPORE PTE LTD"/>
    <m/>
    <n v="0"/>
    <n v="0"/>
    <n v="0"/>
    <n v="0"/>
    <n v="0"/>
    <n v="0"/>
    <m/>
    <m/>
    <m/>
    <s v="No"/>
    <s v="W662705"/>
    <n v="0"/>
    <m/>
    <s v="I09180"/>
    <m/>
    <m/>
    <s v="S0361098"/>
  </r>
  <r>
    <x v="477"/>
    <n v="10000"/>
    <n v="10000"/>
    <d v="2025-03-11T00:00:00"/>
    <s v="502LAUGH"/>
    <s v=" 4:36:23 pm"/>
    <s v="SG-5622228 01"/>
    <m/>
    <x v="2"/>
    <s v="Yes"/>
    <n v="59"/>
    <s v="SANKI SD-300 Intermittent"/>
    <x v="2"/>
    <s v="PS74"/>
    <s v="GOH CHIN TECK"/>
    <n v="400"/>
    <n v="55"/>
    <n v="0.91666666666666663"/>
    <d v="2025-03-11T00:00:00"/>
    <m/>
    <n v="10"/>
    <n v="4000"/>
    <s v="PE"/>
    <n v="112063620001"/>
    <n v="0"/>
    <n v="4000"/>
    <n v="0"/>
    <n v="0"/>
    <n v="0"/>
    <n v="0"/>
    <m/>
    <m/>
    <n v="0"/>
    <m/>
    <m/>
    <m/>
    <m/>
    <m/>
    <m/>
    <m/>
    <m/>
    <n v="11206362"/>
    <s v="I09180"/>
    <s v="ILLUMINA SINGAPORE PTE LTD"/>
    <m/>
    <n v="0"/>
    <n v="0"/>
    <n v="0"/>
    <n v="0"/>
    <n v="0"/>
    <n v="0"/>
    <m/>
    <m/>
    <m/>
    <s v="No"/>
    <s v="W662706"/>
    <n v="0"/>
    <m/>
    <s v="I09180"/>
    <m/>
    <m/>
    <s v="S0361108"/>
  </r>
  <r>
    <x v="478"/>
    <n v="10000"/>
    <n v="10000"/>
    <d v="2025-03-11T00:00:00"/>
    <s v="502LAUGH"/>
    <s v=" 3:47:42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62707"/>
    <n v="0"/>
    <m/>
    <s v="I09180"/>
    <m/>
    <m/>
    <s v="S0361109"/>
  </r>
  <r>
    <x v="479"/>
    <n v="10000"/>
    <n v="10000"/>
    <d v="2025-03-11T00:00:00"/>
    <s v="502LAUGH"/>
    <s v=" 3:47:42 pm"/>
    <s v="SG-5622228 01"/>
    <m/>
    <x v="2"/>
    <s v="Yes"/>
    <n v="59"/>
    <s v="SANKI SD-300 Intermittent"/>
    <x v="2"/>
    <s v="PS74"/>
    <s v="GOH CHIN TECK"/>
    <n v="200"/>
    <n v="50"/>
    <n v="0.83333333333333337"/>
    <d v="2025-03-11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62708"/>
    <n v="0"/>
    <m/>
    <s v="I09180"/>
    <m/>
    <m/>
    <s v="S0361110"/>
  </r>
  <r>
    <x v="480"/>
    <n v="10000"/>
    <n v="10000"/>
    <d v="2025-03-12T00:00:00"/>
    <s v="502LAUGH"/>
    <s v=" 2:36:03 pm"/>
    <n v="860909190840"/>
    <m/>
    <x v="2"/>
    <s v="Yes"/>
    <n v="79"/>
    <s v="HP Indigo 6800"/>
    <x v="4"/>
    <s v="PM16"/>
    <s v="TEO KAH JUN"/>
    <n v="96"/>
    <n v="34.799999999999997"/>
    <n v="0.57999999999999996"/>
    <d v="2025-03-11T00:00:00"/>
    <m/>
    <n v="42"/>
    <n v="4032"/>
    <s v="PE"/>
    <n v="200909620001"/>
    <n v="0"/>
    <n v="2000"/>
    <n v="2032"/>
    <n v="0"/>
    <n v="0"/>
    <n v="0"/>
    <m/>
    <m/>
    <n v="0"/>
    <m/>
    <m/>
    <m/>
    <m/>
    <m/>
    <m/>
    <m/>
    <m/>
    <n v="20090962"/>
    <s v="I09180"/>
    <s v="ILLUMINA SINGAPORE PTE LTD"/>
    <m/>
    <n v="0"/>
    <n v="0"/>
    <n v="0"/>
    <n v="0"/>
    <n v="0"/>
    <n v="0"/>
    <m/>
    <m/>
    <m/>
    <s v="No"/>
    <s v="W662709"/>
    <n v="0"/>
    <m/>
    <s v="I09180"/>
    <m/>
    <m/>
    <s v="S0361118"/>
  </r>
  <r>
    <x v="481"/>
    <n v="10000"/>
    <n v="10000"/>
    <d v="2025-03-12T00:00:00"/>
    <s v="502LAUGH"/>
    <s v=" 2:37:03 pm"/>
    <n v="860909190840"/>
    <m/>
    <x v="2"/>
    <s v="Yes"/>
    <n v="79"/>
    <s v="HP Indigo 6800"/>
    <x v="4"/>
    <s v="PM16"/>
    <s v="TEO KAH JUN"/>
    <n v="239"/>
    <n v="41.95"/>
    <n v="0.69916666666666671"/>
    <d v="2025-03-11T00:00:00"/>
    <m/>
    <n v="42"/>
    <n v="10038"/>
    <s v="PE"/>
    <n v="200909620001"/>
    <n v="0"/>
    <n v="9000"/>
    <n v="1038"/>
    <n v="0"/>
    <n v="0"/>
    <n v="0"/>
    <m/>
    <m/>
    <n v="0"/>
    <m/>
    <m/>
    <m/>
    <m/>
    <m/>
    <m/>
    <m/>
    <m/>
    <n v="20090962"/>
    <s v="I09180"/>
    <s v="ILLUMINA SINGAPORE PTE LTD"/>
    <m/>
    <n v="0"/>
    <n v="0"/>
    <n v="0"/>
    <n v="0"/>
    <n v="0"/>
    <n v="0"/>
    <m/>
    <m/>
    <m/>
    <s v="No"/>
    <s v="W662814"/>
    <n v="0"/>
    <m/>
    <s v="I09180"/>
    <m/>
    <m/>
    <s v="S0361119"/>
  </r>
  <r>
    <x v="482"/>
    <n v="10000"/>
    <n v="10000"/>
    <d v="2025-03-12T00:00:00"/>
    <s v="502LAUGH"/>
    <s v=" 2:35:05 pm"/>
    <n v="860909190840"/>
    <m/>
    <x v="2"/>
    <s v="Yes"/>
    <n v="79"/>
    <s v="HP Indigo 6800"/>
    <x v="4"/>
    <s v="PM16"/>
    <s v="TEO KAH JUN"/>
    <n v="143"/>
    <n v="37.15"/>
    <n v="0.61916666666666664"/>
    <d v="2025-03-11T00:00:00"/>
    <m/>
    <n v="42"/>
    <n v="6022"/>
    <s v="PE"/>
    <n v="200717170001"/>
    <n v="0"/>
    <n v="7000"/>
    <n v="-978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62816"/>
    <n v="0"/>
    <m/>
    <s v="I09180"/>
    <m/>
    <m/>
    <s v="S0361124"/>
  </r>
  <r>
    <x v="482"/>
    <n v="20000"/>
    <n v="10000"/>
    <d v="2025-03-12T00:00:00"/>
    <s v="502LAUGH"/>
    <s v=" 2:35:05 pm"/>
    <n v="860909190840"/>
    <m/>
    <x v="2"/>
    <s v="Yes"/>
    <n v="79"/>
    <s v="HP Indigo 6800"/>
    <x v="4"/>
    <s v="PM16"/>
    <s v="TEO KAH JUN"/>
    <n v="48"/>
    <n v="32.4"/>
    <n v="0.53999999999999992"/>
    <d v="2025-03-11T00:00:00"/>
    <m/>
    <n v="42"/>
    <n v="2000"/>
    <s v="PE"/>
    <n v="200717170001"/>
    <n v="0"/>
    <n v="2000"/>
    <n v="0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62816"/>
    <n v="0"/>
    <m/>
    <s v="I09180"/>
    <m/>
    <m/>
    <s v="S0361124"/>
  </r>
  <r>
    <x v="483"/>
    <n v="10000"/>
    <n v="10000"/>
    <d v="2025-03-12T00:00:00"/>
    <s v="502LAUGH"/>
    <s v=" 2:48:11 pm"/>
    <n v="860909190840"/>
    <m/>
    <x v="2"/>
    <s v="Yes"/>
    <n v="79"/>
    <s v="HP Indigo 6800"/>
    <x v="4"/>
    <s v="PM16"/>
    <s v="TEO KAH JUN"/>
    <n v="334"/>
    <n v="46.7"/>
    <n v="0.77833333333333343"/>
    <d v="2025-03-11T00:00:00"/>
    <m/>
    <n v="36"/>
    <n v="12024"/>
    <s v="PE"/>
    <n v="200717150001"/>
    <n v="0"/>
    <n v="14000"/>
    <n v="-1976"/>
    <n v="0"/>
    <n v="0"/>
    <n v="0"/>
    <m/>
    <m/>
    <n v="0"/>
    <m/>
    <m/>
    <m/>
    <m/>
    <m/>
    <m/>
    <m/>
    <m/>
    <n v="20071715"/>
    <s v="I09180"/>
    <s v="ILLUMINA SINGAPORE PTE LTD"/>
    <m/>
    <n v="0"/>
    <n v="0"/>
    <n v="0"/>
    <n v="0"/>
    <n v="0"/>
    <n v="0"/>
    <m/>
    <m/>
    <m/>
    <s v="No"/>
    <s v="W663149"/>
    <n v="0"/>
    <m/>
    <s v="I09180"/>
    <m/>
    <m/>
    <s v="S0361126"/>
  </r>
  <r>
    <x v="484"/>
    <n v="10000"/>
    <n v="10000"/>
    <d v="2025-03-12T00:00:00"/>
    <s v="502LAUGH"/>
    <s v=" 8:36:23 am"/>
    <s v="MDRLR4W211124"/>
    <m/>
    <x v="2"/>
    <s v="Yes"/>
    <n v="65"/>
    <s v="Sanki SDR300"/>
    <x v="3"/>
    <s v="PMJ7"/>
    <s v="FOONG SEL YI"/>
    <n v="715"/>
    <n v="62.875"/>
    <n v="1.0479166666666666"/>
    <d v="2025-03-11T00:00:00"/>
    <m/>
    <n v="14"/>
    <n v="10010"/>
    <s v="PE"/>
    <s v="722476 REV4000001"/>
    <n v="0"/>
    <n v="10000"/>
    <n v="10"/>
    <n v="0"/>
    <n v="0"/>
    <n v="0"/>
    <m/>
    <m/>
    <n v="0"/>
    <m/>
    <m/>
    <m/>
    <m/>
    <m/>
    <m/>
    <m/>
    <m/>
    <s v="722476 REV402"/>
    <s v="V22000"/>
    <s v="PT VARTA MICROBATTERY INDONESIA"/>
    <m/>
    <n v="0"/>
    <n v="0"/>
    <n v="0"/>
    <n v="0"/>
    <n v="0"/>
    <n v="0"/>
    <m/>
    <m/>
    <m/>
    <s v="No"/>
    <s v="W662711"/>
    <n v="0"/>
    <m/>
    <s v="V22000"/>
    <m/>
    <m/>
    <s v="S0361149"/>
  </r>
  <r>
    <x v="485"/>
    <n v="10000"/>
    <n v="10000"/>
    <d v="2025-03-12T00:00:00"/>
    <s v="502LAUGH"/>
    <s v=" 5:43:38 pm"/>
    <s v="U530352047/501241326"/>
    <m/>
    <x v="2"/>
    <s v="Yes"/>
    <n v="32"/>
    <s v="Lintec Intermittent"/>
    <x v="2"/>
    <s v="PM26"/>
    <s v="TAN AIK KEONG"/>
    <n v="5860"/>
    <m/>
    <m/>
    <d v="2025-03-1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3317"/>
    <n v="0"/>
    <m/>
    <s v="J10025"/>
    <m/>
    <m/>
    <s v="S0361160"/>
  </r>
  <r>
    <x v="486"/>
    <n v="10000"/>
    <n v="10000"/>
    <d v="2025-03-17T00:00:00"/>
    <s v="502LAUGH"/>
    <s v=" 8:31:20 am"/>
    <s v="U511458102/U4129S060/XHX2412190201"/>
    <s v="SC27717SET"/>
    <x v="2"/>
    <s v="No"/>
    <n v="95"/>
    <s v="HDS 8"/>
    <x v="3"/>
    <s v="PM40"/>
    <s v="NGOI CHUN YONG"/>
    <n v="87000"/>
    <n v="4395"/>
    <n v="73.25"/>
    <d v="2025-03-12T00:00:00"/>
    <m/>
    <n v="28"/>
    <n v="2436000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s v="JMS SINGAPORE PTE LTD"/>
    <m/>
    <n v="0"/>
    <n v="0"/>
    <n v="0"/>
    <n v="0"/>
    <n v="0"/>
    <n v="0"/>
    <m/>
    <m/>
    <m/>
    <s v="No"/>
    <m/>
    <m/>
    <m/>
    <s v="J10025"/>
    <m/>
    <m/>
    <s v="S0358317"/>
  </r>
  <r>
    <x v="487"/>
    <n v="10000"/>
    <n v="10000"/>
    <d v="2025-03-13T00:00:00"/>
    <s v="502LAUGH"/>
    <s v=" 8:35:20 am"/>
    <s v="4103005U5A"/>
    <s v="FSC30839A"/>
    <x v="2"/>
    <s v="No"/>
    <n v="94"/>
    <s v="Taiyo"/>
    <x v="2"/>
    <s v="PM09"/>
    <s v="PANG JING FULL"/>
    <n v="3000"/>
    <m/>
    <m/>
    <d v="2025-03-12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03"/>
  </r>
  <r>
    <x v="488"/>
    <n v="10000"/>
    <n v="10000"/>
    <d v="2025-03-12T00:00:00"/>
    <s v="502LAUGH"/>
    <s v=" 3:14:06 pm"/>
    <s v="4103001U5"/>
    <s v="FSC30839A"/>
    <x v="2"/>
    <s v="No"/>
    <n v="94"/>
    <s v="Taiyo"/>
    <x v="2"/>
    <s v="PM09"/>
    <s v="PANG JING FULL"/>
    <n v="3000"/>
    <m/>
    <m/>
    <d v="2025-03-1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77"/>
  </r>
  <r>
    <x v="428"/>
    <n v="10000"/>
    <n v="20000"/>
    <d v="2025-04-09T00:00:00"/>
    <s v="502LAUGH"/>
    <s v=" 1:11:08 pm"/>
    <n v="860909190840"/>
    <s v="FSC32057"/>
    <x v="0"/>
    <s v="No"/>
    <n v="86"/>
    <s v="Brotech DF330 "/>
    <x v="0"/>
    <s v="PM45"/>
    <s v="TAY CHIN LIONG"/>
    <n v="3000"/>
    <n v="95"/>
    <n v="1.5833333333333333"/>
    <d v="2025-03-12T00:00:00"/>
    <m/>
    <n v="1"/>
    <n v="3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23"/>
  </r>
  <r>
    <x v="429"/>
    <n v="10000"/>
    <n v="20000"/>
    <d v="2025-03-26T00:00:00"/>
    <s v="502LAUGH"/>
    <s v=" 8:44:39 am"/>
    <n v="860909190840"/>
    <s v="FSC32057"/>
    <x v="0"/>
    <s v="No"/>
    <n v="86"/>
    <s v="Brotech DF330 "/>
    <x v="0"/>
    <s v="PM45"/>
    <s v="TAY CHIN LIONG"/>
    <n v="18000"/>
    <n v="345"/>
    <n v="5.75"/>
    <d v="2025-03-12T00:00:00"/>
    <m/>
    <n v="1"/>
    <n v="18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489"/>
    <n v="10000"/>
    <n v="10000"/>
    <d v="2025-03-27T00:00:00"/>
    <s v="502LAUGH"/>
    <s v=" 4:37:07 pm"/>
    <s v="D006O6500"/>
    <s v="FDC31617"/>
    <x v="2"/>
    <s v="No"/>
    <n v="79"/>
    <s v="HP Indigo 6800"/>
    <x v="4"/>
    <s v="PM16"/>
    <s v="TEO KAH JUN"/>
    <n v="1934"/>
    <n v="126.7"/>
    <n v="2.1116666666666668"/>
    <d v="2025-03-12T00:00:00"/>
    <m/>
    <n v="15"/>
    <n v="2901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89"/>
  </r>
  <r>
    <x v="489"/>
    <n v="10000"/>
    <n v="20000"/>
    <d v="2025-03-27T00:00:00"/>
    <s v="502LAUGH"/>
    <s v=" 4:37:07 pm"/>
    <s v="D006O6500"/>
    <s v="FDC31617"/>
    <x v="2"/>
    <s v="No"/>
    <n v="79"/>
    <s v="HP Indigo 6800"/>
    <x v="4"/>
    <s v="PM21"/>
    <s v="LIM JIA FAN"/>
    <n v="11467"/>
    <m/>
    <m/>
    <d v="2025-03-12T00:00:00"/>
    <m/>
    <n v="15"/>
    <n v="172005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89"/>
  </r>
  <r>
    <x v="490"/>
    <n v="10000"/>
    <n v="10000"/>
    <d v="2025-04-01T00:00:00"/>
    <s v="502LAUGH"/>
    <s v=" 3:01:06 pm"/>
    <s v="10639931032/10639931026"/>
    <s v="FBC30652"/>
    <x v="2"/>
    <s v="No"/>
    <n v="93"/>
    <s v="HP Indigo 6900"/>
    <x v="4"/>
    <s v="PM16"/>
    <s v="TEO KAH JUN"/>
    <n v="964"/>
    <n v="78.2"/>
    <n v="1.3033333333333335"/>
    <d v="2025-03-12T00:00:00"/>
    <m/>
    <n v="352"/>
    <n v="339328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94"/>
  </r>
  <r>
    <x v="491"/>
    <n v="10000"/>
    <n v="20000"/>
    <d v="2025-03-12T00:00:00"/>
    <s v="502LAUGH"/>
    <s v=" 4:18:56 pm"/>
    <s v="D005H7770"/>
    <m/>
    <x v="2"/>
    <s v="Yes"/>
    <n v="73"/>
    <s v="Brotech DF330"/>
    <x v="0"/>
    <s v="PM59"/>
    <s v="VOON CHAN PIN"/>
    <n v="6834"/>
    <n v="158.9"/>
    <n v="2.6483333333333334"/>
    <d v="2025-03-12T00:00:00"/>
    <m/>
    <n v="30"/>
    <n v="205020"/>
    <s v="PE"/>
    <s v="R390-411 REV1.00001"/>
    <n v="0"/>
    <n v="195239"/>
    <n v="9781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4003"/>
    <n v="0"/>
    <m/>
    <s v="R18131-MEIBAN MIC-M"/>
    <m/>
    <m/>
    <s v="S0348898"/>
  </r>
  <r>
    <x v="491"/>
    <n v="10000"/>
    <n v="30000"/>
    <d v="2025-03-12T00:00:00"/>
    <s v="502LAUGH"/>
    <s v=" 4:18:56 pm"/>
    <s v="D005H7770"/>
    <m/>
    <x v="0"/>
    <s v="Yes"/>
    <n v="73"/>
    <s v="Brotech DF330"/>
    <x v="0"/>
    <s v="PM59"/>
    <s v="VOON CHAN PIN"/>
    <n v="6667"/>
    <n v="156.11666666666667"/>
    <n v="2.6019444444444444"/>
    <d v="2025-03-12T00:00:00"/>
    <m/>
    <n v="30"/>
    <n v="200010"/>
    <s v="PE"/>
    <s v="R390-411 REV1.00001"/>
    <n v="0"/>
    <n v="199990"/>
    <n v="20"/>
    <n v="0"/>
    <n v="0"/>
    <n v="0"/>
    <m/>
    <m/>
    <n v="0"/>
    <m/>
    <m/>
    <m/>
    <m/>
    <m/>
    <m/>
    <m/>
    <m/>
    <s v="R390-411 REV1.0"/>
    <s v="R18131-MEIBAN MIC-M"/>
    <s v="MEIBAN MICRO SDN BHD"/>
    <m/>
    <n v="0"/>
    <n v="0"/>
    <n v="0"/>
    <n v="0"/>
    <n v="0"/>
    <n v="0"/>
    <m/>
    <m/>
    <m/>
    <s v="No"/>
    <s v="W664003"/>
    <n v="0"/>
    <m/>
    <s v="R18131-MEIBAN MIC-M"/>
    <m/>
    <m/>
    <s v="S0348898"/>
  </r>
  <r>
    <x v="492"/>
    <n v="10000"/>
    <n v="10000"/>
    <d v="2025-03-18T00:00:00"/>
    <s v="502LAUGH"/>
    <s v=" 5:33:54 pm"/>
    <s v="4180S1"/>
    <m/>
    <x v="2"/>
    <s v="Yes"/>
    <n v="82"/>
    <s v="Polly"/>
    <x v="3"/>
    <s v="PM11"/>
    <s v="TEE MENG CHAI"/>
    <n v="5883"/>
    <m/>
    <m/>
    <d v="2025-03-12T00:00:00"/>
    <m/>
    <n v="17"/>
    <n v="100011"/>
    <s v="PE"/>
    <s v="R390-404 REV1.00001"/>
    <n v="0"/>
    <n v="92310"/>
    <n v="7701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5"/>
    <n v="0"/>
    <m/>
    <s v="R18131"/>
    <m/>
    <m/>
    <s v="S0350338"/>
  </r>
  <r>
    <x v="1"/>
    <n v="10000"/>
    <n v="40000"/>
    <d v="2025-03-13T00:00:00"/>
    <s v="502LAUGH"/>
    <s v=" 3:35:14 pm"/>
    <s v="10584752088/10584752089/10584752090/10584752091/10584752092"/>
    <m/>
    <x v="1"/>
    <s v="Yes"/>
    <n v="91"/>
    <s v="Luster AOI"/>
    <x v="1"/>
    <s v="QM87"/>
    <s v="GOH SING JOO"/>
    <n v="12000"/>
    <m/>
    <m/>
    <d v="2025-03-12T00:00:00"/>
    <m/>
    <n v="9"/>
    <n v="108000"/>
    <s v="PE"/>
    <s v="5180-0103-BH2120001"/>
    <n v="0"/>
    <n v="107143"/>
    <n v="857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2929"/>
    <n v="0"/>
    <m/>
    <s v="H08031-JIM"/>
    <m/>
    <m/>
    <s v="S0353172"/>
  </r>
  <r>
    <x v="434"/>
    <n v="10000"/>
    <n v="20000"/>
    <d v="2025-03-13T00:00:00"/>
    <s v="502LAUGH"/>
    <s v=" 1:46:21 pm"/>
    <s v="M0B0G60221000"/>
    <m/>
    <x v="2"/>
    <s v="Yes"/>
    <n v="65"/>
    <s v="Sanki SDR300"/>
    <x v="3"/>
    <s v="PMJ7"/>
    <s v="FOONG SEL YI"/>
    <n v="2000"/>
    <n v="95"/>
    <n v="1.5833333333333333"/>
    <d v="2025-03-12T00:00:00"/>
    <m/>
    <n v="1"/>
    <n v="2000"/>
    <s v="PE"/>
    <s v="70-0878290001"/>
    <n v="0"/>
    <n v="1000"/>
    <n v="1000"/>
    <n v="0"/>
    <n v="0"/>
    <n v="0"/>
    <m/>
    <m/>
    <n v="0"/>
    <m/>
    <m/>
    <m/>
    <m/>
    <m/>
    <m/>
    <m/>
    <m/>
    <s v="70-087829"/>
    <s v="F06184"/>
    <s v="FLINTEC TRANSDUCERS (PVT) LTD"/>
    <m/>
    <n v="0"/>
    <n v="0"/>
    <n v="0"/>
    <n v="0"/>
    <n v="0"/>
    <n v="0"/>
    <m/>
    <m/>
    <m/>
    <s v="No"/>
    <s v="W662764"/>
    <n v="0"/>
    <m/>
    <s v="F06184"/>
    <m/>
    <m/>
    <s v="S0354993"/>
  </r>
  <r>
    <x v="493"/>
    <n v="10000"/>
    <n v="10000"/>
    <d v="2025-03-12T00:00:00"/>
    <s v="502LAUGH"/>
    <s v=" 4:43:07 pm"/>
    <s v="J00T40070"/>
    <m/>
    <x v="2"/>
    <s v="Yes"/>
    <n v="73"/>
    <s v="Brotech DF330"/>
    <x v="0"/>
    <s v="PM59"/>
    <s v="VOON CHAN PIN"/>
    <n v="15750"/>
    <n v="307.5"/>
    <n v="5.125"/>
    <d v="2025-03-12T00:00:00"/>
    <m/>
    <n v="8"/>
    <n v="126000"/>
    <s v="PE"/>
    <s v="R001-41074 REV1.0001"/>
    <n v="0"/>
    <n v="126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2936"/>
    <n v="0"/>
    <m/>
    <s v="R18131"/>
    <m/>
    <m/>
    <s v="S0355340"/>
  </r>
  <r>
    <x v="494"/>
    <n v="10000"/>
    <n v="30000"/>
    <d v="2025-03-12T00:00:00"/>
    <s v="502LAUGH"/>
    <s v=" 4:42:23 pm"/>
    <s v="D007Y0330"/>
    <m/>
    <x v="1"/>
    <s v="Yes"/>
    <n v="101"/>
    <s v="Luster AOI"/>
    <x v="1"/>
    <s v="QM54"/>
    <s v="TAN SWEE LENG"/>
    <n v="6667"/>
    <m/>
    <m/>
    <d v="2025-03-12T00:00:00"/>
    <m/>
    <n v="3"/>
    <n v="20001"/>
    <s v="PE"/>
    <s v="1VV03-80010-FT0001"/>
    <n v="0"/>
    <n v="20000"/>
    <n v="1"/>
    <n v="0"/>
    <n v="0"/>
    <n v="0"/>
    <m/>
    <m/>
    <n v="0"/>
    <m/>
    <m/>
    <m/>
    <m/>
    <m/>
    <m/>
    <m/>
    <m/>
    <s v="1VV03-80010-FT"/>
    <s v="H08031-JIM-M"/>
    <s v="HP MALAYSIA MANUFACTURING SDN.BHD."/>
    <m/>
    <n v="0"/>
    <n v="0"/>
    <n v="0"/>
    <n v="0"/>
    <n v="0"/>
    <n v="0"/>
    <m/>
    <m/>
    <m/>
    <s v="No"/>
    <s v="W662776"/>
    <n v="0"/>
    <m/>
    <s v="H08031-JIM-M"/>
    <m/>
    <m/>
    <s v="S0358497"/>
  </r>
  <r>
    <x v="495"/>
    <n v="10000"/>
    <n v="10000"/>
    <d v="2025-03-12T00:00:00"/>
    <s v="502LAUGH"/>
    <s v=" 5:44:31 pm"/>
    <s v="4071802U5"/>
    <m/>
    <x v="2"/>
    <s v="Yes"/>
    <n v="61"/>
    <s v="FSK 520"/>
    <x v="2"/>
    <s v="PM68"/>
    <s v="LEE KIM LIANG"/>
    <n v="1000"/>
    <n v="65"/>
    <n v="1.0833333333333333"/>
    <d v="2025-03-12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s v="PT VARTA MICROBATTERY INDONESIA"/>
    <m/>
    <n v="0"/>
    <n v="0"/>
    <n v="0"/>
    <n v="0"/>
    <n v="0"/>
    <n v="0"/>
    <m/>
    <m/>
    <m/>
    <s v="No"/>
    <s v="W662981"/>
    <n v="0"/>
    <m/>
    <s v="V22000"/>
    <m/>
    <m/>
    <s v="S0358742"/>
  </r>
  <r>
    <x v="496"/>
    <n v="10000"/>
    <n v="10000"/>
    <d v="2025-03-12T00:00:00"/>
    <s v="502LAUGH"/>
    <s v=" 2:33:53 pm"/>
    <s v="SG-5630465"/>
    <m/>
    <x v="2"/>
    <s v="Yes"/>
    <n v="61"/>
    <s v="FSK 520"/>
    <x v="2"/>
    <s v="PM68"/>
    <s v="LEE KIM LIANG"/>
    <n v="2000"/>
    <n v="85"/>
    <n v="1.4166666666666667"/>
    <d v="2025-03-12T00:00:00"/>
    <m/>
    <n v="1"/>
    <n v="2000"/>
    <s v="PE"/>
    <n v="200094640001"/>
    <n v="0"/>
    <n v="2000"/>
    <n v="0"/>
    <n v="0"/>
    <n v="0"/>
    <n v="0"/>
    <m/>
    <m/>
    <n v="0"/>
    <m/>
    <m/>
    <m/>
    <m/>
    <m/>
    <m/>
    <m/>
    <m/>
    <n v="20009464"/>
    <s v="U21088"/>
    <s v="UNIVAC PRECISION ENGINEERING PTE LTD"/>
    <m/>
    <n v="0"/>
    <n v="0"/>
    <n v="0"/>
    <n v="0"/>
    <n v="0"/>
    <n v="0"/>
    <m/>
    <m/>
    <m/>
    <s v="No"/>
    <s v="W662778"/>
    <n v="0"/>
    <m/>
    <s v="U21088"/>
    <m/>
    <m/>
    <s v="S0359023"/>
  </r>
  <r>
    <x v="497"/>
    <n v="10000"/>
    <n v="30000"/>
    <d v="2025-03-12T00:00:00"/>
    <s v="502LAUGH"/>
    <s v=" 5:45:29 pm"/>
    <s v="U4815S047/M0BSM95701372"/>
    <m/>
    <x v="2"/>
    <s v="Yes"/>
    <n v="31"/>
    <s v="Sanki SKP250 Full Rotary"/>
    <x v="2"/>
    <s v="PS27"/>
    <s v="TAN TECK HEE"/>
    <n v="7"/>
    <n v="45.174999999999997"/>
    <n v="0.75291666666666657"/>
    <d v="2025-03-12T00:00:00"/>
    <m/>
    <n v="8"/>
    <n v="56"/>
    <s v="PE"/>
    <s v="R370-4228 REV1.00001"/>
    <n v="0"/>
    <n v="5"/>
    <n v="51"/>
    <n v="0"/>
    <n v="0"/>
    <n v="0"/>
    <m/>
    <m/>
    <n v="0"/>
    <m/>
    <m/>
    <m/>
    <m/>
    <m/>
    <m/>
    <m/>
    <m/>
    <s v="R370-4228 REV1.0"/>
    <s v="R18131"/>
    <s v="RESMED ASIA PTE LTD"/>
    <m/>
    <n v="0"/>
    <n v="0"/>
    <n v="0"/>
    <n v="0"/>
    <n v="0"/>
    <n v="0"/>
    <m/>
    <m/>
    <m/>
    <s v="No"/>
    <s v="W662592"/>
    <n v="0"/>
    <m/>
    <s v="R18131"/>
    <m/>
    <m/>
    <s v="ZSA101746"/>
  </r>
  <r>
    <x v="498"/>
    <n v="10000"/>
    <n v="10000"/>
    <d v="2025-03-12T00:00:00"/>
    <s v="502LAUGH"/>
    <s v=" 4:05:35 pm"/>
    <s v="L4A18U8022"/>
    <m/>
    <x v="2"/>
    <s v="Yes"/>
    <n v="46"/>
    <s v="Sanki 300 Intermittent"/>
    <x v="2"/>
    <s v="PS66"/>
    <s v="SIM ENG KWANG"/>
    <n v="3000"/>
    <n v="120"/>
    <n v="2"/>
    <d v="2025-03-1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2604"/>
    <n v="0"/>
    <m/>
    <s v="I09146"/>
    <m/>
    <m/>
    <s v="S0359216"/>
  </r>
  <r>
    <x v="443"/>
    <n v="10000"/>
    <n v="30000"/>
    <d v="2025-03-19T00:00:00"/>
    <s v="502LAUGH"/>
    <s v=" 8:56:31 am"/>
    <s v="WO2024/5284/1012643/XHX24A25A1403/80116793/XHX2412190201"/>
    <m/>
    <x v="2"/>
    <s v="Yes"/>
    <n v="103"/>
    <s v="HDS"/>
    <x v="3"/>
    <s v="PM41"/>
    <s v="CHONG WEN XUEN"/>
    <n v="20625"/>
    <m/>
    <m/>
    <d v="2025-03-12T00:00:00"/>
    <m/>
    <n v="8"/>
    <n v="165000"/>
    <s v="PE"/>
    <s v="MT273730001"/>
    <n v="0"/>
    <n v="164991"/>
    <n v="9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43"/>
    <n v="20000"/>
    <n v="10000"/>
    <d v="2025-03-19T00:00:00"/>
    <s v="502LAUGH"/>
    <s v=" 8:56:31 am"/>
    <s v="WO2024/5284/1012643/XHX24A25A1403/80116793/XHX2412190201"/>
    <m/>
    <x v="2"/>
    <s v="Yes"/>
    <n v="103"/>
    <s v="HDS"/>
    <x v="3"/>
    <s v="PM41"/>
    <s v="CHONG WEN XUEN"/>
    <n v="31875"/>
    <m/>
    <m/>
    <d v="2025-03-12T00:00:00"/>
    <m/>
    <n v="8"/>
    <n v="255000"/>
    <s v="PE"/>
    <s v="MT273730001"/>
    <n v="0"/>
    <n v="25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99"/>
    <n v="10000"/>
    <n v="10000"/>
    <d v="2025-03-12T00:00:00"/>
    <s v="502LAUGH"/>
    <s v=" 4:05:35 pm"/>
    <s v="L4A18U8022"/>
    <m/>
    <x v="2"/>
    <s v="Yes"/>
    <n v="46"/>
    <s v="Sanki 300 Intermittent"/>
    <x v="2"/>
    <s v="PS66"/>
    <s v="SIM ENG KWANG"/>
    <n v="3000"/>
    <n v="120"/>
    <n v="2"/>
    <d v="2025-03-12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2779"/>
    <n v="0"/>
    <m/>
    <s v="I09146"/>
    <m/>
    <m/>
    <s v="S0359268"/>
  </r>
  <r>
    <x v="500"/>
    <n v="10000"/>
    <n v="20000"/>
    <d v="2025-03-20T00:00:00"/>
    <s v="502LAUGH"/>
    <s v=" 8:32:47 am"/>
    <s v="10639931005/10639931006"/>
    <m/>
    <x v="0"/>
    <s v="Yes"/>
    <n v="77"/>
    <s v="Brotech DF330 "/>
    <x v="0"/>
    <s v="PM74"/>
    <s v="YONG CHEE SOON"/>
    <n v="9319"/>
    <n v="200.31666666666666"/>
    <n v="3.3386111111111112"/>
    <d v="2025-03-12T00:00:00"/>
    <m/>
    <n v="88"/>
    <n v="820072"/>
    <s v="PE"/>
    <s v="3YM60-80017-FT0001"/>
    <n v="0"/>
    <n v="770000"/>
    <n v="50072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3301"/>
    <n v="0"/>
    <m/>
    <s v="H08031-JIM-M"/>
    <m/>
    <m/>
    <s v="S0359295"/>
  </r>
  <r>
    <x v="63"/>
    <n v="10000"/>
    <n v="40000"/>
    <d v="2025-03-24T00:00:00"/>
    <s v="502LAUGH"/>
    <s v=" 8:56:07 am"/>
    <s v="10639931001/10639931060"/>
    <m/>
    <x v="0"/>
    <s v="Yes"/>
    <n v="77"/>
    <s v="Brotech DF330 "/>
    <x v="0"/>
    <s v="PM74"/>
    <s v="YONG CHEE SOON"/>
    <n v="6023"/>
    <n v="145.38333333333333"/>
    <n v="2.4230555555555555"/>
    <d v="2025-03-12T00:00:00"/>
    <m/>
    <n v="88"/>
    <n v="530024"/>
    <s v="PE"/>
    <s v="3YM51-80004-FT0001"/>
    <n v="0"/>
    <n v="500000"/>
    <n v="30024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3584"/>
    <n v="0"/>
    <m/>
    <s v="H08031-JIM-M"/>
    <m/>
    <m/>
    <s v="S0359296"/>
  </r>
  <r>
    <x v="388"/>
    <n v="10000"/>
    <n v="30000"/>
    <d v="2025-03-13T00:00:00"/>
    <s v="502LAUGH"/>
    <s v=" 1:40:25 pm"/>
    <s v="10567308039/10567308040"/>
    <m/>
    <x v="1"/>
    <s v="Yes"/>
    <n v="85"/>
    <s v="Luster AOI"/>
    <x v="1"/>
    <s v="QM78"/>
    <s v="WONG SEAU JIN"/>
    <n v="27273"/>
    <m/>
    <m/>
    <d v="2025-03-12T00:00:00"/>
    <m/>
    <n v="11"/>
    <n v="300003"/>
    <s v="PE"/>
    <s v="3YM62-80017-FT0001"/>
    <n v="0"/>
    <n v="300000"/>
    <n v="3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3016"/>
    <n v="0"/>
    <m/>
    <s v="H08031-JIM-M"/>
    <m/>
    <m/>
    <s v="S0359297"/>
  </r>
  <r>
    <x v="501"/>
    <n v="10000"/>
    <n v="30000"/>
    <d v="2025-03-24T00:00:00"/>
    <s v="502LAUGH"/>
    <d v="1899-12-30T11:35:46"/>
    <s v="10567308040/10567308038"/>
    <m/>
    <x v="0"/>
    <s v="Yes"/>
    <n v="77"/>
    <s v="Brotech DF330 "/>
    <x v="0"/>
    <s v="PM74"/>
    <s v="YONG CHEE SOON"/>
    <n v="3705"/>
    <n v="106.75"/>
    <n v="1.7791666666666666"/>
    <d v="2025-03-12T00:00:00"/>
    <m/>
    <n v="88"/>
    <n v="326040"/>
    <s v="PE"/>
    <s v="C2P04-80053-FT0001"/>
    <n v="0"/>
    <n v="300000"/>
    <n v="26040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3585"/>
    <n v="0"/>
    <m/>
    <s v="H08031-JIM-M"/>
    <m/>
    <m/>
    <s v="S0359298"/>
  </r>
  <r>
    <x v="502"/>
    <n v="10000"/>
    <n v="20000"/>
    <d v="2025-03-13T00:00:00"/>
    <s v="502LAUGH"/>
    <s v=" 3:37:17 pm"/>
    <n v="10639931012"/>
    <m/>
    <x v="0"/>
    <s v="Yes"/>
    <n v="77"/>
    <s v="Brotech DF330 "/>
    <x v="0"/>
    <s v="PM74"/>
    <s v="YONG CHEE SOON"/>
    <n v="4061"/>
    <n v="112.68333333333334"/>
    <n v="1.8780555555555556"/>
    <d v="2025-03-12T00:00:00"/>
    <m/>
    <n v="66"/>
    <n v="268026"/>
    <s v="PE"/>
    <s v="T0A87-80005-FT0001"/>
    <n v="0"/>
    <n v="240000"/>
    <n v="28026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3018"/>
    <n v="0"/>
    <m/>
    <s v="H08031-JIM-M"/>
    <m/>
    <m/>
    <s v="S0359301"/>
  </r>
  <r>
    <x v="502"/>
    <n v="10000"/>
    <n v="30000"/>
    <d v="2025-03-13T00:00:00"/>
    <s v="502LAUGH"/>
    <s v=" 3:37:17 pm"/>
    <n v="10639931012"/>
    <m/>
    <x v="1"/>
    <s v="Yes"/>
    <n v="85"/>
    <s v="Luster AOI"/>
    <x v="1"/>
    <s v="QM78"/>
    <s v="WONG SEAU JIN"/>
    <n v="24000"/>
    <m/>
    <m/>
    <d v="2025-03-12T00:00:00"/>
    <m/>
    <n v="11"/>
    <n v="264000"/>
    <s v="PE"/>
    <s v="T0A87-80005-FT0001"/>
    <n v="0"/>
    <n v="240000"/>
    <n v="24000"/>
    <n v="0"/>
    <n v="0"/>
    <n v="0"/>
    <m/>
    <m/>
    <n v="0"/>
    <m/>
    <m/>
    <m/>
    <m/>
    <m/>
    <m/>
    <m/>
    <m/>
    <s v="T0A87-80005-FT"/>
    <s v="H08031-JIM-M"/>
    <s v="HP MALAYSIA MANUFACTURING SDN.BHD."/>
    <m/>
    <n v="0"/>
    <n v="0"/>
    <n v="0"/>
    <n v="0"/>
    <n v="0"/>
    <n v="0"/>
    <m/>
    <m/>
    <m/>
    <s v="No"/>
    <s v="W663018"/>
    <n v="0"/>
    <m/>
    <s v="H08031-JIM-M"/>
    <m/>
    <m/>
    <s v="S0359301"/>
  </r>
  <r>
    <x v="131"/>
    <n v="10000"/>
    <n v="30000"/>
    <d v="2025-03-13T00:00:00"/>
    <s v="502LAUGH"/>
    <s v=" 1:38:36 pm"/>
    <n v="10639931052"/>
    <m/>
    <x v="1"/>
    <s v="Yes"/>
    <n v="85"/>
    <s v="Luster AOI"/>
    <x v="1"/>
    <s v="QM78"/>
    <s v="WONG SEAU JIN"/>
    <n v="22728"/>
    <m/>
    <m/>
    <d v="2025-03-12T00:00:00"/>
    <m/>
    <n v="11"/>
    <n v="250008"/>
    <s v="PE"/>
    <s v="6ZD61-800010001"/>
    <n v="0"/>
    <n v="230000"/>
    <n v="20008"/>
    <n v="0"/>
    <n v="0"/>
    <n v="0"/>
    <m/>
    <m/>
    <n v="0"/>
    <m/>
    <m/>
    <m/>
    <m/>
    <m/>
    <m/>
    <m/>
    <m/>
    <s v="6ZD61-80001"/>
    <s v="H08031-JIM-M"/>
    <s v="HP MALAYSIA MANUFACTURING SDN.BHD."/>
    <m/>
    <n v="0"/>
    <n v="0"/>
    <n v="0"/>
    <n v="0"/>
    <n v="0"/>
    <n v="0"/>
    <m/>
    <m/>
    <m/>
    <s v="No"/>
    <s v="W663020"/>
    <n v="0"/>
    <m/>
    <s v="H08031-JIM-M"/>
    <m/>
    <m/>
    <s v="S0359323"/>
  </r>
  <r>
    <x v="132"/>
    <n v="10000"/>
    <n v="30000"/>
    <d v="2025-03-13T00:00:00"/>
    <s v="502LAUGH"/>
    <s v=" 1:35:33 pm"/>
    <s v="10639931050/10639931049"/>
    <m/>
    <x v="1"/>
    <s v="Yes"/>
    <n v="85"/>
    <s v="Luster AOI"/>
    <x v="1"/>
    <s v="QM78"/>
    <s v="WONG SEAU JIN"/>
    <n v="27273"/>
    <m/>
    <m/>
    <d v="2025-03-12T00:00:00"/>
    <m/>
    <n v="11"/>
    <n v="300003"/>
    <s v="PE"/>
    <s v="3YM55-80009-FT0001"/>
    <n v="0"/>
    <n v="310000"/>
    <n v="-9997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591"/>
    <n v="0"/>
    <m/>
    <s v="H08031-JIM-M"/>
    <m/>
    <m/>
    <s v="S0359324"/>
  </r>
  <r>
    <x v="389"/>
    <n v="10000"/>
    <n v="20000"/>
    <d v="2025-03-14T00:00:00"/>
    <s v="502LAUGH"/>
    <s v=" 2:32:25 pm"/>
    <s v="U4B16S037/M0BTC15911524"/>
    <m/>
    <x v="0"/>
    <s v="Yes"/>
    <n v="112"/>
    <s v="Hadesheng"/>
    <x v="3"/>
    <s v="PS07"/>
    <s v="KANG HOCK SENG"/>
    <n v="33598"/>
    <n v="1724.9"/>
    <n v="28.748333333333335"/>
    <d v="2025-03-12T00:00:00"/>
    <m/>
    <n v="112"/>
    <n v="3762976"/>
    <s v="PE"/>
    <s v="719709-AD42150001"/>
    <n v="0"/>
    <n v="3040000"/>
    <n v="722976"/>
    <n v="0"/>
    <n v="0"/>
    <n v="0"/>
    <m/>
    <m/>
    <n v="0"/>
    <m/>
    <m/>
    <m/>
    <m/>
    <m/>
    <m/>
    <m/>
    <m/>
    <s v="719709-AD4215"/>
    <s v="V22000-DE"/>
    <s v="VARTA MICROBATTERY GMBH"/>
    <m/>
    <n v="0"/>
    <n v="0"/>
    <n v="0"/>
    <n v="0"/>
    <n v="0"/>
    <n v="0"/>
    <m/>
    <m/>
    <m/>
    <s v="No"/>
    <s v="W663601"/>
    <n v="0"/>
    <m/>
    <s v="V22000-DE"/>
    <m/>
    <m/>
    <s v="S0359336"/>
  </r>
  <r>
    <x v="503"/>
    <n v="10000"/>
    <n v="10000"/>
    <d v="2025-03-17T00:00:00"/>
    <s v="502LAUGH"/>
    <s v=" 8:47:23 am"/>
    <s v="M0BFL2381"/>
    <m/>
    <x v="2"/>
    <s v="Yes"/>
    <n v="78"/>
    <s v="Baby Sanki"/>
    <x v="2"/>
    <s v="PM84"/>
    <s v="TAN TAI TOH"/>
    <n v="8000"/>
    <n v="245"/>
    <n v="4.083333333333333"/>
    <d v="2025-03-12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028"/>
    <n v="0"/>
    <m/>
    <s v="S19081-TH"/>
    <m/>
    <m/>
    <s v="H0064689"/>
  </r>
  <r>
    <x v="504"/>
    <n v="10000"/>
    <n v="10000"/>
    <d v="2025-03-17T00:00:00"/>
    <s v="502LAUGH"/>
    <s v=" 8:47:57 am"/>
    <s v="M0BFL2381"/>
    <m/>
    <x v="2"/>
    <s v="Yes"/>
    <n v="78"/>
    <s v="Baby Sanki"/>
    <x v="2"/>
    <s v="PM84"/>
    <s v="TAN TAI TOH"/>
    <n v="8000"/>
    <n v="245"/>
    <n v="4.083333333333333"/>
    <d v="2025-03-12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029"/>
    <n v="0"/>
    <m/>
    <s v="S19081-TH"/>
    <m/>
    <m/>
    <s v="H0064690"/>
  </r>
  <r>
    <x v="67"/>
    <n v="10000"/>
    <n v="30000"/>
    <d v="2025-03-14T00:00:00"/>
    <s v="502LAUGH"/>
    <s v=" 8:33:43 am"/>
    <n v="10639931002"/>
    <m/>
    <x v="1"/>
    <s v="Yes"/>
    <n v="85"/>
    <s v="Luster AOI"/>
    <x v="1"/>
    <s v="QM78"/>
    <s v="WONG SEAU JIN"/>
    <n v="23637"/>
    <m/>
    <m/>
    <d v="2025-03-12T00:00:00"/>
    <m/>
    <n v="11"/>
    <n v="260007"/>
    <s v="PE"/>
    <s v="6ZD21-800010001"/>
    <n v="0"/>
    <n v="260000"/>
    <n v="7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3036"/>
    <n v="0"/>
    <m/>
    <s v="H08031-JIM-M"/>
    <m/>
    <m/>
    <s v="S0359821"/>
  </r>
  <r>
    <x v="505"/>
    <n v="10000"/>
    <n v="10000"/>
    <d v="2025-03-12T00:00:00"/>
    <s v="502LAUGH"/>
    <s v=" 2:33:53 pm"/>
    <s v="D82907A156R/4052209U5"/>
    <m/>
    <x v="2"/>
    <s v="Yes"/>
    <n v="61"/>
    <s v="FSK 520"/>
    <x v="2"/>
    <s v="PM68"/>
    <s v="LEE KIM LIANG"/>
    <n v="500"/>
    <n v="55"/>
    <n v="0.91666666666666663"/>
    <d v="2025-03-12T00:00:00"/>
    <m/>
    <n v="1"/>
    <n v="500"/>
    <s v="PE"/>
    <s v="TSMC00373090001"/>
    <n v="0"/>
    <n v="500"/>
    <n v="0"/>
    <n v="0"/>
    <n v="0"/>
    <n v="0"/>
    <m/>
    <m/>
    <n v="0"/>
    <m/>
    <m/>
    <m/>
    <m/>
    <m/>
    <m/>
    <m/>
    <m/>
    <s v="TSMC0037309"/>
    <s v="T20104"/>
    <s v="TOSHIBA TEC SINGAPORE PTE LTD"/>
    <m/>
    <n v="0"/>
    <n v="0"/>
    <n v="0"/>
    <n v="0"/>
    <n v="0"/>
    <n v="0"/>
    <m/>
    <m/>
    <m/>
    <s v="No"/>
    <s v="W662635"/>
    <n v="0"/>
    <m/>
    <s v="T20104"/>
    <m/>
    <m/>
    <s v="S0359823"/>
  </r>
  <r>
    <x v="506"/>
    <n v="10000"/>
    <n v="10000"/>
    <d v="2025-03-13T00:00:00"/>
    <s v="502LAUGH"/>
    <d v="1899-12-30T10:09:53"/>
    <s v="5205U8036/3830U7060"/>
    <m/>
    <x v="2"/>
    <s v="Yes"/>
    <n v="61"/>
    <s v="FSK 520"/>
    <x v="2"/>
    <s v="PM68"/>
    <s v="LEE KIM LIANG"/>
    <n v="1000"/>
    <n v="65"/>
    <n v="1.0833333333333333"/>
    <d v="2025-03-12T00:00:00"/>
    <m/>
    <n v="2"/>
    <n v="2000"/>
    <s v="PE"/>
    <n v="701527430001"/>
    <n v="0"/>
    <n v="2000"/>
    <n v="0"/>
    <n v="0"/>
    <n v="0"/>
    <n v="0"/>
    <m/>
    <m/>
    <n v="0"/>
    <m/>
    <m/>
    <m/>
    <m/>
    <m/>
    <m/>
    <m/>
    <m/>
    <n v="70152743"/>
    <s v="P16186"/>
    <s v="PEPPERL+FUCHS ASIA PTE. LTD"/>
    <m/>
    <n v="0"/>
    <n v="0"/>
    <n v="0"/>
    <n v="0"/>
    <n v="0"/>
    <n v="0"/>
    <m/>
    <m/>
    <m/>
    <s v="No"/>
    <s v="W662781"/>
    <n v="0"/>
    <m/>
    <s v="P16186"/>
    <m/>
    <m/>
    <s v="S0360728"/>
  </r>
  <r>
    <x v="507"/>
    <n v="10000"/>
    <n v="10000"/>
    <d v="2025-03-13T00:00:00"/>
    <s v="502LAUGH"/>
    <s v=" 8:40:05 am"/>
    <s v="U0B16S141/MOB0G5991"/>
    <m/>
    <x v="2"/>
    <s v="Yes"/>
    <n v="60"/>
    <s v="Fujishiko UDP-5000"/>
    <x v="3"/>
    <s v="PM30"/>
    <s v="OH KIAN YUAN"/>
    <n v="1000"/>
    <n v="65"/>
    <n v="1.0833333333333333"/>
    <d v="2025-03-12T00:00:00"/>
    <m/>
    <n v="2"/>
    <n v="2000"/>
    <s v="PE"/>
    <n v="4.49053061001E+17"/>
    <n v="0"/>
    <n v="2000"/>
    <n v="0"/>
    <n v="0"/>
    <n v="0"/>
    <n v="0"/>
    <m/>
    <m/>
    <n v="0"/>
    <m/>
    <m/>
    <m/>
    <m/>
    <m/>
    <m/>
    <m/>
    <m/>
    <n v="44905306100100"/>
    <s v="T20096"/>
    <s v="DIGI SINGAPORE PTE LTD"/>
    <m/>
    <n v="0"/>
    <n v="0"/>
    <n v="0"/>
    <n v="0"/>
    <n v="0"/>
    <n v="0"/>
    <m/>
    <m/>
    <m/>
    <s v="No"/>
    <s v="W662784"/>
    <n v="0"/>
    <m/>
    <s v="T20096"/>
    <m/>
    <m/>
    <s v="S0360740"/>
  </r>
  <r>
    <x v="508"/>
    <n v="10000"/>
    <n v="10000"/>
    <d v="2025-03-13T00:00:00"/>
    <s v="502LAUGH"/>
    <d v="1899-12-30T10:43:06"/>
    <s v="U4B1958052"/>
    <m/>
    <x v="2"/>
    <s v="Yes"/>
    <n v="72"/>
    <s v="Xeikon 3500"/>
    <x v="4"/>
    <s v="PM17"/>
    <s v="NG SWEE CHEA"/>
    <n v="948"/>
    <m/>
    <m/>
    <d v="2025-03-12T00:00:00"/>
    <m/>
    <n v="3"/>
    <n v="2845"/>
    <s v="PE"/>
    <s v="LBL-CYPERMETHRIN0001"/>
    <n v="0"/>
    <n v="1515"/>
    <n v="1330"/>
    <n v="0"/>
    <n v="0"/>
    <n v="0"/>
    <m/>
    <m/>
    <n v="0"/>
    <m/>
    <m/>
    <m/>
    <m/>
    <m/>
    <m/>
    <m/>
    <m/>
    <s v="LBL-CYPERMETHRIN 20E"/>
    <s v="A01248"/>
    <s v="ASIATIC AGRICULTURAL INDUSTRIES PTE LTD"/>
    <m/>
    <n v="0"/>
    <n v="0"/>
    <n v="0"/>
    <n v="0"/>
    <n v="0"/>
    <n v="0"/>
    <m/>
    <m/>
    <m/>
    <s v="No"/>
    <s v="W662785"/>
    <n v="0"/>
    <m/>
    <s v="A01248"/>
    <m/>
    <m/>
    <s v="S0360880"/>
  </r>
  <r>
    <x v="508"/>
    <n v="20000"/>
    <n v="10000"/>
    <d v="2025-03-13T00:00:00"/>
    <s v="502LAUGH"/>
    <d v="1899-12-30T10:43:06"/>
    <s v="U4B1958052"/>
    <m/>
    <x v="2"/>
    <s v="Yes"/>
    <n v="72"/>
    <s v="Xeikon 3500"/>
    <x v="4"/>
    <s v="PM17"/>
    <s v="NG SWEE CHEA"/>
    <n v="52"/>
    <m/>
    <m/>
    <d v="2025-03-12T00:00:00"/>
    <m/>
    <n v="3"/>
    <n v="155"/>
    <s v="PE"/>
    <s v="LBL-CYPERMETHRIN0001"/>
    <n v="0"/>
    <n v="155"/>
    <n v="0"/>
    <n v="0"/>
    <n v="0"/>
    <n v="0"/>
    <m/>
    <m/>
    <n v="0"/>
    <m/>
    <m/>
    <m/>
    <m/>
    <m/>
    <m/>
    <m/>
    <m/>
    <s v="LBL-CYPERMETHRIN 20E"/>
    <s v="A01248"/>
    <s v="ASIATIC AGRICULTURAL INDUSTRIES PTE LTD"/>
    <m/>
    <n v="0"/>
    <n v="0"/>
    <n v="0"/>
    <n v="0"/>
    <n v="0"/>
    <n v="0"/>
    <m/>
    <m/>
    <m/>
    <s v="No"/>
    <s v="W662785"/>
    <n v="0"/>
    <m/>
    <s v="A01248"/>
    <m/>
    <m/>
    <s v="S0360880"/>
  </r>
  <r>
    <x v="509"/>
    <n v="10000"/>
    <n v="10000"/>
    <d v="2025-03-13T00:00:00"/>
    <s v="502LAUGH"/>
    <s v=" 8:49:13 am"/>
    <s v="D00096650"/>
    <m/>
    <x v="2"/>
    <s v="Yes"/>
    <n v="46"/>
    <s v="Sanki 300 Intermittent"/>
    <x v="2"/>
    <s v="PS66"/>
    <s v="SIM ENG KWANG"/>
    <n v="1000"/>
    <n v="70"/>
    <n v="1.1666666666666667"/>
    <d v="2025-03-12T00:00:00"/>
    <m/>
    <n v="1"/>
    <n v="1000"/>
    <s v="PE"/>
    <s v="260-5390-000001"/>
    <n v="0"/>
    <n v="1000"/>
    <n v="0"/>
    <n v="0"/>
    <n v="0"/>
    <n v="0"/>
    <m/>
    <m/>
    <n v="0"/>
    <m/>
    <m/>
    <m/>
    <m/>
    <m/>
    <m/>
    <m/>
    <m/>
    <s v="260-5390-00"/>
    <s v="J10025"/>
    <s v="JMS SINGAPORE PTE LTD"/>
    <m/>
    <n v="0"/>
    <n v="0"/>
    <n v="0"/>
    <n v="0"/>
    <n v="0"/>
    <n v="0"/>
    <m/>
    <m/>
    <m/>
    <s v="No"/>
    <s v="W662786"/>
    <n v="0"/>
    <m/>
    <s v="J10025"/>
    <m/>
    <m/>
    <s v="S0360889"/>
  </r>
  <r>
    <x v="510"/>
    <n v="10000"/>
    <n v="10000"/>
    <d v="2025-03-12T00:00:00"/>
    <s v="502LAUGH"/>
    <s v=" 2:32:02 pm"/>
    <s v="5011623U5"/>
    <m/>
    <x v="2"/>
    <s v="Yes"/>
    <n v="61"/>
    <s v="FSK 520"/>
    <x v="2"/>
    <s v="PM61"/>
    <s v="HO CHAN LE"/>
    <n v="7500"/>
    <n v="195"/>
    <n v="3.25"/>
    <d v="2025-03-12T00:00:00"/>
    <m/>
    <n v="6"/>
    <n v="45000"/>
    <s v="PE"/>
    <s v="260-6012-000001"/>
    <n v="0"/>
    <n v="45000"/>
    <n v="0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3051"/>
    <n v="0"/>
    <m/>
    <s v="J10025"/>
    <m/>
    <m/>
    <s v="S0360905"/>
  </r>
  <r>
    <x v="511"/>
    <n v="10000"/>
    <n v="10000"/>
    <d v="2025-03-13T00:00:00"/>
    <s v="502LAUGH"/>
    <s v=" 2:57:56 pm"/>
    <s v="4111522U5A/5011622U5"/>
    <m/>
    <x v="2"/>
    <s v="Yes"/>
    <n v="22"/>
    <s v="FSK B100"/>
    <x v="2"/>
    <s v="PS13"/>
    <s v="YEE CHENG MENG"/>
    <n v="28000"/>
    <n v="605"/>
    <n v="10.083333333333334"/>
    <d v="2025-03-12T00:00:00"/>
    <m/>
    <n v="2"/>
    <n v="56000"/>
    <s v="PE"/>
    <s v="260-6165-000001"/>
    <n v="0"/>
    <n v="56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052"/>
    <n v="0"/>
    <m/>
    <s v="J10025"/>
    <m/>
    <m/>
    <s v="S0360906"/>
  </r>
  <r>
    <x v="512"/>
    <n v="10000"/>
    <n v="20000"/>
    <d v="2025-03-13T00:00:00"/>
    <s v="502LAUGH"/>
    <s v=" 8:32:21 am"/>
    <s v="4103005U5A"/>
    <m/>
    <x v="2"/>
    <s v="Yes"/>
    <n v="94"/>
    <s v="Taiyo"/>
    <x v="2"/>
    <s v="PM09"/>
    <s v="PANG JING FULL"/>
    <n v="3000"/>
    <m/>
    <m/>
    <d v="2025-03-12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63060"/>
    <n v="0"/>
    <m/>
    <s v="W23041-TH"/>
    <m/>
    <m/>
    <s v="H0064702"/>
  </r>
  <r>
    <x v="513"/>
    <n v="10000"/>
    <n v="10000"/>
    <d v="2025-03-12T00:00:00"/>
    <s v="502LAUGH"/>
    <s v=" 4:48:26 pm"/>
    <s v="MOBT17990"/>
    <m/>
    <x v="2"/>
    <s v="Yes"/>
    <n v="65"/>
    <s v="Sanki SDR300"/>
    <x v="3"/>
    <s v="PMJ7"/>
    <s v="FOONG SEL YI"/>
    <n v="13334"/>
    <n v="378.35"/>
    <n v="6.3058333333333341"/>
    <d v="2025-03-12T00:00:00"/>
    <m/>
    <n v="3"/>
    <n v="40002"/>
    <s v="PE"/>
    <s v="BL-2.4X4.20001"/>
    <n v="0"/>
    <n v="40000"/>
    <n v="2"/>
    <n v="0"/>
    <n v="0"/>
    <n v="0"/>
    <m/>
    <m/>
    <n v="0"/>
    <m/>
    <m/>
    <m/>
    <m/>
    <m/>
    <m/>
    <m/>
    <m/>
    <s v="BL-2.4X4.2"/>
    <s v="C03266"/>
    <s v="CT SCIENTIFIC PRIVATE LIMITED"/>
    <m/>
    <n v="0"/>
    <n v="0"/>
    <n v="0"/>
    <n v="0"/>
    <n v="0"/>
    <n v="0"/>
    <m/>
    <m/>
    <m/>
    <s v="No"/>
    <s v="W662792"/>
    <n v="0"/>
    <m/>
    <s v="C03266"/>
    <m/>
    <m/>
    <s v="S0361011"/>
  </r>
  <r>
    <x v="413"/>
    <n v="10000"/>
    <n v="20000"/>
    <d v="2025-03-12T00:00:00"/>
    <s v="502LAUGH"/>
    <s v=" 4:45:24 pm"/>
    <s v="SG115773-1"/>
    <m/>
    <x v="0"/>
    <s v="Yes"/>
    <n v="105"/>
    <s v="Laser"/>
    <x v="5"/>
    <s v="PM87"/>
    <s v="LEE SHIEN WEI"/>
    <n v="510"/>
    <m/>
    <m/>
    <d v="2025-03-12T00:00:00"/>
    <m/>
    <n v="2"/>
    <n v="1020"/>
    <s v="PE"/>
    <s v="OVERALL 25X15MM0001"/>
    <n v="0"/>
    <n v="330"/>
    <n v="690"/>
    <n v="0"/>
    <n v="0"/>
    <n v="0"/>
    <m/>
    <m/>
    <n v="0"/>
    <m/>
    <m/>
    <m/>
    <m/>
    <m/>
    <m/>
    <m/>
    <m/>
    <s v="OVERALL 25X15MM"/>
    <s v="S19663"/>
    <s v="SYSMATIC INTERNATIONAL PTE LTD"/>
    <m/>
    <n v="0"/>
    <n v="0"/>
    <n v="0"/>
    <n v="0"/>
    <n v="0"/>
    <n v="0"/>
    <m/>
    <m/>
    <m/>
    <s v="No"/>
    <s v="W662793"/>
    <n v="0"/>
    <m/>
    <s v="S19663"/>
    <m/>
    <m/>
    <s v="S0361038"/>
  </r>
  <r>
    <x v="458"/>
    <n v="10000"/>
    <n v="20000"/>
    <d v="2025-03-12T00:00:00"/>
    <s v="502LAUGH"/>
    <s v=" 4:46:31 pm"/>
    <s v="SG115773-1"/>
    <m/>
    <x v="0"/>
    <s v="Yes"/>
    <n v="105"/>
    <s v="Laser"/>
    <x v="5"/>
    <s v="PM87"/>
    <s v="LEE SHIEN WEI"/>
    <n v="845"/>
    <m/>
    <m/>
    <d v="2025-03-12T00:00:00"/>
    <m/>
    <n v="2"/>
    <n v="1690"/>
    <s v="PE"/>
    <s v="OVERALL 50X15MM0001"/>
    <n v="0"/>
    <n v="1090"/>
    <n v="600"/>
    <n v="0"/>
    <n v="0"/>
    <n v="0"/>
    <m/>
    <m/>
    <n v="0"/>
    <m/>
    <m/>
    <m/>
    <m/>
    <m/>
    <m/>
    <m/>
    <m/>
    <s v="OVERALL 50X15MM"/>
    <s v="S19663"/>
    <s v="SYSMATIC INTERNATIONAL PTE LTD"/>
    <m/>
    <n v="0"/>
    <n v="0"/>
    <n v="0"/>
    <n v="0"/>
    <n v="0"/>
    <n v="0"/>
    <m/>
    <m/>
    <m/>
    <s v="No"/>
    <s v="W662794"/>
    <n v="0"/>
    <m/>
    <s v="S19663"/>
    <m/>
    <m/>
    <s v="S0361038"/>
  </r>
  <r>
    <x v="414"/>
    <n v="10000"/>
    <n v="30000"/>
    <d v="2025-03-12T00:00:00"/>
    <s v="502LAUGH"/>
    <s v=" 4:47:35 pm"/>
    <s v="SG115773-1"/>
    <m/>
    <x v="0"/>
    <s v="Yes"/>
    <n v="105"/>
    <s v="Laser"/>
    <x v="5"/>
    <s v="PM87"/>
    <s v="LEE SHIEN WEI"/>
    <n v="120"/>
    <m/>
    <m/>
    <d v="2025-03-12T00:00:00"/>
    <m/>
    <n v="2"/>
    <n v="240"/>
    <s v="PE"/>
    <s v="OVERALL 70X15MM0001"/>
    <n v="0"/>
    <n v="60"/>
    <n v="180"/>
    <n v="0"/>
    <n v="0"/>
    <n v="0"/>
    <m/>
    <m/>
    <n v="0"/>
    <m/>
    <m/>
    <m/>
    <m/>
    <m/>
    <m/>
    <m/>
    <m/>
    <s v="OVERALL 70X15MM"/>
    <s v="S19663"/>
    <s v="SYSMATIC INTERNATIONAL PTE LTD"/>
    <m/>
    <n v="0"/>
    <n v="0"/>
    <n v="0"/>
    <n v="0"/>
    <n v="0"/>
    <n v="0"/>
    <m/>
    <m/>
    <m/>
    <s v="No"/>
    <s v="W662795"/>
    <n v="0"/>
    <m/>
    <s v="S19663"/>
    <m/>
    <m/>
    <s v="S0361038"/>
  </r>
  <r>
    <x v="514"/>
    <n v="10000"/>
    <n v="10000"/>
    <d v="2025-03-13T00:00:00"/>
    <s v="502LAUGH"/>
    <s v=" 8:32:21 am"/>
    <s v="M0BTH2362"/>
    <m/>
    <x v="2"/>
    <s v="Yes"/>
    <n v="26"/>
    <s v="Sanki SKP250 Full Rotary"/>
    <x v="2"/>
    <s v="PS70"/>
    <s v="YEO WOO KEONG"/>
    <n v="9000"/>
    <n v="270"/>
    <n v="4.5"/>
    <d v="2025-03-12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s v="SEAGATE TECHNOLOGY INTERNATIONAL (WUXI) CO., LTD"/>
    <m/>
    <n v="0"/>
    <n v="0"/>
    <n v="0"/>
    <n v="0"/>
    <n v="0"/>
    <n v="0"/>
    <m/>
    <m/>
    <m/>
    <s v="No"/>
    <s v="W663085"/>
    <n v="0"/>
    <m/>
    <s v="S19314"/>
    <m/>
    <m/>
    <s v="H0064713"/>
  </r>
  <r>
    <x v="515"/>
    <n v="10000"/>
    <n v="10000"/>
    <d v="2025-03-13T00:00:00"/>
    <s v="502LAUGH"/>
    <s v=" 8:47:50 am"/>
    <s v="E053912079"/>
    <m/>
    <x v="2"/>
    <s v="Yes"/>
    <n v="63"/>
    <s v="SANKI"/>
    <x v="3"/>
    <s v="PM80"/>
    <s v="YAP ZHI PING"/>
    <n v="5000"/>
    <n v="170"/>
    <n v="2.8333333333333335"/>
    <d v="2025-03-12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3088"/>
    <n v="0"/>
    <m/>
    <s v="S19314"/>
    <m/>
    <m/>
    <s v="H0064717"/>
  </r>
  <r>
    <x v="516"/>
    <n v="10000"/>
    <n v="10000"/>
    <d v="2025-03-14T00:00:00"/>
    <s v="502LAUGH"/>
    <s v=" 9:35:32 am"/>
    <n v="1006323"/>
    <m/>
    <x v="2"/>
    <s v="Yes"/>
    <n v="63"/>
    <s v="SANKI"/>
    <x v="3"/>
    <s v="PM80"/>
    <s v="YAP ZHI PING"/>
    <n v="4000"/>
    <n v="145"/>
    <n v="2.4166666666666665"/>
    <d v="2025-03-12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62801"/>
    <n v="0"/>
    <m/>
    <s v="S19314"/>
    <m/>
    <m/>
    <s v="H0064721"/>
  </r>
  <r>
    <x v="517"/>
    <n v="10000"/>
    <n v="10000"/>
    <d v="2025-03-18T00:00:00"/>
    <s v="502LAUGH"/>
    <s v=" 8:45:36 am"/>
    <s v="M0BFL2381"/>
    <m/>
    <x v="2"/>
    <s v="Yes"/>
    <n v="78"/>
    <s v="Baby Sanki"/>
    <x v="2"/>
    <s v="PM84"/>
    <s v="TAN TAI TOH"/>
    <n v="2750"/>
    <n v="113.75"/>
    <n v="1.8958333333333333"/>
    <d v="2025-03-12T00:00:00"/>
    <m/>
    <n v="16"/>
    <n v="44000"/>
    <s v="PE"/>
    <s v="714370201-ADS1360001"/>
    <n v="0"/>
    <n v="4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091"/>
    <n v="0"/>
    <m/>
    <s v="S19314"/>
    <m/>
    <m/>
    <s v="H0064727"/>
  </r>
  <r>
    <x v="518"/>
    <n v="10000"/>
    <n v="10000"/>
    <d v="2025-03-14T00:00:00"/>
    <s v="502LAUGH"/>
    <s v=" 9:42:05 am"/>
    <s v="M0BFL2381"/>
    <m/>
    <x v="2"/>
    <s v="Yes"/>
    <n v="78"/>
    <s v="Baby Sanki"/>
    <x v="2"/>
    <s v="PM84"/>
    <s v="TAN TAI TOH"/>
    <n v="5500"/>
    <n v="182.5"/>
    <n v="3.0416666666666665"/>
    <d v="2025-03-12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3092"/>
    <n v="0"/>
    <m/>
    <s v="S19314"/>
    <m/>
    <m/>
    <s v="H0064728"/>
  </r>
  <r>
    <x v="519"/>
    <n v="10000"/>
    <n v="10000"/>
    <d v="2025-03-14T00:00:00"/>
    <s v="502LAUGH"/>
    <s v=" 9:30:53 am"/>
    <s v="M4B4603BGJBJ201-S249100152/E0531904"/>
    <m/>
    <x v="2"/>
    <s v="Yes"/>
    <n v="67"/>
    <s v="Fujishoko"/>
    <x v="3"/>
    <s v="PM42"/>
    <s v="ALEXANDER YAP KEE NYEN"/>
    <n v="50000"/>
    <n v="1045"/>
    <n v="17.416666666666668"/>
    <d v="2025-03-12T00:00:00"/>
    <m/>
    <n v="1"/>
    <n v="50000"/>
    <s v="PE"/>
    <s v="716626800 REVC0001"/>
    <n v="0"/>
    <n v="5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3646"/>
    <n v="0"/>
    <m/>
    <s v="S19314"/>
    <m/>
    <m/>
    <s v="H0064733"/>
  </r>
  <r>
    <x v="520"/>
    <n v="10000"/>
    <n v="10000"/>
    <d v="2025-03-14T00:00:00"/>
    <s v="502LAUGH"/>
    <s v=" 9:35:32 am"/>
    <n v="8628207"/>
    <m/>
    <x v="2"/>
    <s v="Yes"/>
    <n v="63"/>
    <s v="SANKI"/>
    <x v="3"/>
    <s v="PM80"/>
    <s v="YAP ZHI PING"/>
    <n v="1760"/>
    <n v="89"/>
    <n v="1.4833333333333334"/>
    <d v="2025-03-12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62802"/>
    <n v="0"/>
    <m/>
    <s v="S19314"/>
    <m/>
    <m/>
    <s v="H0064740"/>
  </r>
  <r>
    <x v="521"/>
    <n v="10000"/>
    <n v="10000"/>
    <d v="2025-03-14T00:00:00"/>
    <s v="502LAUGH"/>
    <s v=" 9:30:53 am"/>
    <n v="8628207"/>
    <m/>
    <x v="2"/>
    <s v="Yes"/>
    <n v="63"/>
    <s v="SANKI"/>
    <x v="3"/>
    <s v="PM80"/>
    <s v="YAP ZHI PING"/>
    <n v="2347"/>
    <n v="103.675"/>
    <n v="1.7279166666666665"/>
    <d v="2025-03-12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63099"/>
    <n v="0"/>
    <m/>
    <s v="S19314"/>
    <m/>
    <m/>
    <s v="H0064741"/>
  </r>
  <r>
    <x v="522"/>
    <n v="10000"/>
    <n v="10000"/>
    <d v="2025-03-14T00:00:00"/>
    <s v="502LAUGH"/>
    <s v=" 9:36:28 am"/>
    <n v="1006323"/>
    <m/>
    <x v="2"/>
    <s v="Yes"/>
    <n v="90"/>
    <s v="HDS"/>
    <x v="3"/>
    <s v="QC04"/>
    <s v="YANG TONGJING"/>
    <n v="5264"/>
    <m/>
    <m/>
    <d v="2025-03-12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2803"/>
    <n v="0"/>
    <m/>
    <s v="S19314"/>
    <m/>
    <m/>
    <s v="H0064742"/>
  </r>
  <r>
    <x v="523"/>
    <n v="10000"/>
    <n v="10000"/>
    <d v="2025-03-13T00:00:00"/>
    <s v="502LAUGH"/>
    <s v=" 8:48:40 am"/>
    <n v="8628207"/>
    <m/>
    <x v="2"/>
    <s v="Yes"/>
    <n v="63"/>
    <s v="SANKI"/>
    <x v="3"/>
    <s v="PM80"/>
    <s v="YAP ZHI PING"/>
    <n v="2000"/>
    <n v="95"/>
    <n v="1.5833333333333333"/>
    <d v="2025-03-12T00:00:00"/>
    <m/>
    <n v="60"/>
    <n v="120000"/>
    <s v="PE"/>
    <s v="740921700-32PC E0001"/>
    <n v="0"/>
    <n v="120000"/>
    <n v="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62804"/>
    <n v="0"/>
    <m/>
    <s v="S19314"/>
    <m/>
    <m/>
    <s v="H0064743"/>
  </r>
  <r>
    <x v="524"/>
    <n v="10000"/>
    <n v="10000"/>
    <d v="2025-03-14T00:00:00"/>
    <s v="502LAUGH"/>
    <s v=" 9:30:53 am"/>
    <n v="8628207"/>
    <m/>
    <x v="2"/>
    <s v="Yes"/>
    <n v="63"/>
    <s v="SANKI"/>
    <x v="3"/>
    <s v="PM80"/>
    <s v="YAP ZHI PING"/>
    <n v="1174"/>
    <n v="74.349999999999994"/>
    <n v="1.2391666666666665"/>
    <d v="2025-03-12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62806"/>
    <n v="0"/>
    <m/>
    <s v="S19081-TH"/>
    <m/>
    <m/>
    <s v="H0064769"/>
  </r>
  <r>
    <x v="525"/>
    <n v="10000"/>
    <n v="10000"/>
    <d v="2025-03-12T00:00:00"/>
    <s v="502LAUGH"/>
    <s v=" 3:14:06 pm"/>
    <s v="4103001U5"/>
    <m/>
    <x v="2"/>
    <s v="Yes"/>
    <n v="94"/>
    <s v="Taiyo"/>
    <x v="2"/>
    <s v="PM09"/>
    <s v="PANG JING FULL"/>
    <n v="3000"/>
    <m/>
    <m/>
    <d v="2025-03-12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s v="WESTERN DIGITAL STORAGE TECHNOLOGIES"/>
    <m/>
    <n v="0"/>
    <n v="0"/>
    <n v="0"/>
    <n v="0"/>
    <n v="0"/>
    <n v="0"/>
    <m/>
    <m/>
    <m/>
    <s v="No"/>
    <s v="W663310"/>
    <n v="0"/>
    <m/>
    <s v="W23041-TH"/>
    <m/>
    <m/>
    <s v="H0064776"/>
  </r>
  <r>
    <x v="425"/>
    <n v="10000"/>
    <n v="50000"/>
    <d v="2025-03-24T00:00:00"/>
    <s v="502LAUGH"/>
    <s v=" 8:58:20 am"/>
    <n v="10639931036"/>
    <m/>
    <x v="0"/>
    <s v="Yes"/>
    <n v="77"/>
    <s v="Brotech DF330 "/>
    <x v="0"/>
    <s v="PM74"/>
    <s v="YONG CHEE SOON"/>
    <n v="864"/>
    <n v="59.4"/>
    <n v="0.99"/>
    <d v="2025-03-12T00:00:00"/>
    <m/>
    <n v="88"/>
    <n v="76032"/>
    <s v="PE"/>
    <s v="T0B17-800030001"/>
    <n v="0"/>
    <n v="70000"/>
    <n v="6032"/>
    <n v="0"/>
    <n v="0"/>
    <n v="0"/>
    <m/>
    <m/>
    <n v="0"/>
    <m/>
    <m/>
    <m/>
    <m/>
    <m/>
    <m/>
    <m/>
    <m/>
    <s v="T0B17-80003"/>
    <s v="H08031-JIM-M"/>
    <s v="HP MALAYSIA MANUFACTURING SDN.BHD."/>
    <m/>
    <n v="0"/>
    <n v="0"/>
    <n v="0"/>
    <n v="0"/>
    <n v="0"/>
    <n v="0"/>
    <m/>
    <m/>
    <m/>
    <s v="No"/>
    <s v="W663661"/>
    <n v="0"/>
    <m/>
    <s v="H08031-JIM-M"/>
    <m/>
    <m/>
    <s v="S0361058"/>
  </r>
  <r>
    <x v="426"/>
    <n v="10000"/>
    <n v="40000"/>
    <d v="2025-03-24T00:00:00"/>
    <s v="502LAUGH"/>
    <s v=" 8:59:13 am"/>
    <n v="10639931036"/>
    <m/>
    <x v="0"/>
    <s v="Yes"/>
    <n v="77"/>
    <s v="Brotech DF330 "/>
    <x v="0"/>
    <s v="PM74"/>
    <s v="YONG CHEE SOON"/>
    <n v="864"/>
    <n v="59.4"/>
    <n v="0.99"/>
    <d v="2025-03-12T00:00:00"/>
    <m/>
    <n v="88"/>
    <n v="76032"/>
    <s v="PE"/>
    <s v="T0B18-800030001"/>
    <n v="0"/>
    <n v="50000"/>
    <n v="26032"/>
    <n v="0"/>
    <n v="0"/>
    <n v="0"/>
    <m/>
    <m/>
    <n v="0"/>
    <m/>
    <m/>
    <m/>
    <m/>
    <m/>
    <m/>
    <m/>
    <m/>
    <s v="T0B18-80003"/>
    <s v="H08031-JIM-M"/>
    <s v="HP MALAYSIA MANUFACTURING SDN.BHD."/>
    <m/>
    <n v="0"/>
    <n v="0"/>
    <n v="0"/>
    <n v="0"/>
    <n v="0"/>
    <n v="0"/>
    <m/>
    <m/>
    <m/>
    <s v="No"/>
    <s v="W663662"/>
    <n v="0"/>
    <m/>
    <s v="H08031-JIM-M"/>
    <m/>
    <m/>
    <s v="S0361058"/>
  </r>
  <r>
    <x v="526"/>
    <n v="10000"/>
    <n v="10000"/>
    <d v="2025-03-20T00:00:00"/>
    <s v="502LAUGH"/>
    <s v=" 4:25:34 pm"/>
    <s v="T29MA9700"/>
    <m/>
    <x v="2"/>
    <s v="Yes"/>
    <n v="88"/>
    <s v="OKI"/>
    <x v="4"/>
    <s v="PP24"/>
    <s v="HO HON SENG"/>
    <n v="2100"/>
    <m/>
    <m/>
    <d v="2025-03-12T00:00:00"/>
    <m/>
    <n v="5"/>
    <n v="10500"/>
    <s v="PE"/>
    <s v="WARNING -50X30MM0001"/>
    <n v="0"/>
    <n v="10000"/>
    <n v="500"/>
    <n v="0"/>
    <n v="0"/>
    <n v="0"/>
    <m/>
    <m/>
    <n v="0"/>
    <m/>
    <m/>
    <m/>
    <m/>
    <m/>
    <m/>
    <m/>
    <m/>
    <s v="WARNING -50X30MM"/>
    <s v="Z26000"/>
    <s v="CCL DESIGN SINGAPORE PTE LTD"/>
    <m/>
    <n v="0"/>
    <n v="0"/>
    <n v="0"/>
    <n v="0"/>
    <n v="0"/>
    <n v="0"/>
    <m/>
    <m/>
    <m/>
    <s v="No"/>
    <s v="W663115"/>
    <n v="0"/>
    <m/>
    <s v="Z26000"/>
    <m/>
    <m/>
    <s v="ZSA101762"/>
  </r>
  <r>
    <x v="527"/>
    <n v="10000"/>
    <n v="10000"/>
    <d v="2025-03-13T00:00:00"/>
    <s v="502LAUGH"/>
    <s v=" 8:38:25 am"/>
    <s v="3082509U9/U4A043S213"/>
    <m/>
    <x v="2"/>
    <s v="Yes"/>
    <n v="88"/>
    <s v="OKI"/>
    <x v="4"/>
    <s v="PP24"/>
    <s v="HO HON SENG"/>
    <n v="1000"/>
    <m/>
    <m/>
    <d v="2025-03-12T00:00:00"/>
    <m/>
    <n v="1"/>
    <n v="1000"/>
    <s v="PE"/>
    <n v="107456090001"/>
    <n v="0"/>
    <n v="1000"/>
    <n v="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0"/>
    <n v="0"/>
    <m/>
    <s v="I09109"/>
    <m/>
    <m/>
    <s v="S0361069"/>
  </r>
  <r>
    <x v="527"/>
    <n v="10000"/>
    <n v="20000"/>
    <d v="2025-03-13T00:00:00"/>
    <s v="502LAUGH"/>
    <s v=" 8:38:25 am"/>
    <s v="3082509U9/U4A043S213"/>
    <m/>
    <x v="0"/>
    <s v="Yes"/>
    <n v="100"/>
    <s v="Vorey Digital Cut"/>
    <x v="6"/>
    <s v="PM87"/>
    <s v="LEE SHIEN WEI"/>
    <n v="1000"/>
    <m/>
    <m/>
    <d v="2025-03-12T00:00:00"/>
    <m/>
    <n v="1"/>
    <n v="1000"/>
    <s v="PE"/>
    <n v="107456090001"/>
    <n v="0"/>
    <n v="1000"/>
    <n v="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0"/>
    <n v="0"/>
    <m/>
    <s v="I09109"/>
    <m/>
    <m/>
    <s v="S0361069"/>
  </r>
  <r>
    <x v="472"/>
    <n v="10000"/>
    <n v="30000"/>
    <d v="2025-03-13T00:00:00"/>
    <s v="502LAUGH"/>
    <s v=" 8:36:54 am"/>
    <s v="3082509U9/U4A043S213"/>
    <m/>
    <x v="2"/>
    <s v="Yes"/>
    <n v="88"/>
    <s v="OKI"/>
    <x v="4"/>
    <s v="PP24"/>
    <s v="HO HON SENG"/>
    <n v="20"/>
    <m/>
    <m/>
    <d v="2025-03-12T00:00:00"/>
    <m/>
    <n v="1"/>
    <n v="20"/>
    <s v="PE"/>
    <n v="107456090001"/>
    <n v="0"/>
    <n v="10"/>
    <n v="1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1"/>
    <n v="0"/>
    <m/>
    <s v="I09109"/>
    <m/>
    <m/>
    <s v="ZSA101763"/>
  </r>
  <r>
    <x v="472"/>
    <n v="10000"/>
    <n v="40000"/>
    <d v="2025-03-13T00:00:00"/>
    <s v="502LAUGH"/>
    <s v=" 8:36:54 am"/>
    <s v="3082509U9/U4A043S213"/>
    <m/>
    <x v="0"/>
    <s v="Yes"/>
    <n v="100"/>
    <s v="Vorey Digital Cut"/>
    <x v="6"/>
    <s v="PM87"/>
    <s v="LEE SHIEN WEI"/>
    <n v="20"/>
    <m/>
    <m/>
    <d v="2025-03-12T00:00:00"/>
    <m/>
    <n v="1"/>
    <n v="20"/>
    <s v="PE"/>
    <n v="107456090001"/>
    <n v="0"/>
    <n v="10"/>
    <n v="10"/>
    <n v="0"/>
    <n v="0"/>
    <n v="0"/>
    <m/>
    <m/>
    <n v="0"/>
    <m/>
    <m/>
    <m/>
    <m/>
    <m/>
    <m/>
    <m/>
    <m/>
    <n v="10745609"/>
    <s v="I09109"/>
    <s v="IKE TECHNOLOGY"/>
    <m/>
    <n v="0"/>
    <n v="0"/>
    <n v="0"/>
    <n v="0"/>
    <n v="0"/>
    <n v="0"/>
    <m/>
    <m/>
    <m/>
    <s v="No"/>
    <s v="W662701"/>
    <n v="0"/>
    <m/>
    <s v="I09109"/>
    <m/>
    <m/>
    <s v="ZSA101763"/>
  </r>
  <r>
    <x v="528"/>
    <n v="10000"/>
    <n v="10000"/>
    <d v="2025-03-13T00:00:00"/>
    <s v="502LAUGH"/>
    <s v=" 8:40:05 am"/>
    <s v="3236S1"/>
    <m/>
    <x v="2"/>
    <s v="Yes"/>
    <n v="65"/>
    <s v="Sanki SDR300"/>
    <x v="3"/>
    <s v="PMJ7"/>
    <s v="FOONG SEL YI"/>
    <n v="334"/>
    <n v="53.35"/>
    <n v="0.88916666666666666"/>
    <d v="2025-03-12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s v="TOSHIBA TEC SINGAPORE PTE LTD"/>
    <m/>
    <n v="0"/>
    <n v="0"/>
    <n v="0"/>
    <n v="0"/>
    <n v="0"/>
    <n v="0"/>
    <m/>
    <m/>
    <m/>
    <s v="No"/>
    <s v="W662809"/>
    <n v="0"/>
    <m/>
    <s v="T20104"/>
    <m/>
    <m/>
    <s v="S0361067"/>
  </r>
  <r>
    <x v="529"/>
    <n v="10000"/>
    <n v="10000"/>
    <d v="2025-03-13T00:00:00"/>
    <s v="502LAUGH"/>
    <s v=" 8:40:05 am"/>
    <s v="3236S1"/>
    <m/>
    <x v="2"/>
    <s v="Yes"/>
    <n v="65"/>
    <s v="Sanki SDR300"/>
    <x v="3"/>
    <s v="PMJ7"/>
    <s v="FOONG SEL YI"/>
    <n v="334"/>
    <n v="53.35"/>
    <n v="0.88916666666666666"/>
    <d v="2025-03-12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s v="TOSHIBA TEC SINGAPORE PTE LTD"/>
    <m/>
    <n v="0"/>
    <n v="0"/>
    <n v="0"/>
    <n v="0"/>
    <n v="0"/>
    <n v="0"/>
    <m/>
    <m/>
    <m/>
    <s v="No"/>
    <s v="W662812"/>
    <n v="0"/>
    <m/>
    <s v="T20104"/>
    <m/>
    <m/>
    <s v="PR006404"/>
  </r>
  <r>
    <x v="530"/>
    <n v="10000"/>
    <n v="10000"/>
    <d v="2025-03-13T00:00:00"/>
    <s v="502LAUGH"/>
    <s v=" 1:42:54 pm"/>
    <s v="U4B1958052"/>
    <m/>
    <x v="2"/>
    <s v="Yes"/>
    <n v="72"/>
    <s v="Xeikon 3500"/>
    <x v="4"/>
    <s v="PM17"/>
    <s v="NG SWEE CHEA"/>
    <n v="1000"/>
    <m/>
    <m/>
    <d v="2025-03-12T00:00:00"/>
    <m/>
    <n v="10"/>
    <n v="10000"/>
    <s v="PE"/>
    <s v="MANGO JUICE0001"/>
    <n v="0"/>
    <n v="5000"/>
    <n v="5000"/>
    <n v="0"/>
    <n v="0"/>
    <n v="0"/>
    <m/>
    <m/>
    <n v="0"/>
    <m/>
    <m/>
    <m/>
    <m/>
    <m/>
    <m/>
    <m/>
    <m/>
    <s v="MANGO JUICE"/>
    <s v="H08138"/>
    <s v="HONEY-LAND INTERNATIONAL PTE LTD"/>
    <m/>
    <n v="0"/>
    <n v="0"/>
    <n v="0"/>
    <n v="0"/>
    <n v="0"/>
    <n v="0"/>
    <m/>
    <m/>
    <m/>
    <s v="No"/>
    <s v="W663128"/>
    <n v="0"/>
    <m/>
    <s v="H08138"/>
    <m/>
    <m/>
    <s v="S0361081"/>
  </r>
  <r>
    <x v="531"/>
    <n v="10000"/>
    <n v="10000"/>
    <d v="2025-03-13T00:00:00"/>
    <s v="502LAUGH"/>
    <s v=" 8:35:20 am"/>
    <s v="M0BA89700"/>
    <m/>
    <x v="2"/>
    <s v="Yes"/>
    <n v="82"/>
    <s v="Polly"/>
    <x v="3"/>
    <s v="PM11"/>
    <s v="TEE MENG CHAI"/>
    <n v="3000"/>
    <m/>
    <m/>
    <d v="2025-03-12T00:00:00"/>
    <m/>
    <n v="2"/>
    <n v="6000"/>
    <s v="PE"/>
    <s v="250-8000-000001"/>
    <n v="0"/>
    <n v="6000"/>
    <n v="0"/>
    <n v="0"/>
    <n v="0"/>
    <n v="0"/>
    <m/>
    <m/>
    <n v="0"/>
    <m/>
    <m/>
    <m/>
    <m/>
    <m/>
    <m/>
    <m/>
    <m/>
    <s v="250-8000-00"/>
    <s v="J10025"/>
    <s v="JMS SINGAPORE PTE LTD"/>
    <m/>
    <n v="0"/>
    <n v="0"/>
    <n v="0"/>
    <n v="0"/>
    <n v="0"/>
    <n v="0"/>
    <m/>
    <m/>
    <m/>
    <s v="No"/>
    <s v="W663139"/>
    <n v="0"/>
    <m/>
    <s v="J10025"/>
    <m/>
    <m/>
    <s v="S0361086"/>
  </r>
  <r>
    <x v="532"/>
    <n v="10000"/>
    <n v="10000"/>
    <d v="2025-03-14T00:00:00"/>
    <s v="502LAUGH"/>
    <s v=" 2:26:03 pm"/>
    <s v="SG-5630465"/>
    <m/>
    <x v="2"/>
    <s v="Yes"/>
    <n v="59"/>
    <s v="SANKI SD-300 Intermittent"/>
    <x v="2"/>
    <s v="PS74"/>
    <s v="GOH CHIN TECK"/>
    <n v="15000"/>
    <n v="420"/>
    <n v="7"/>
    <d v="2025-03-12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3144"/>
    <n v="0"/>
    <m/>
    <s v="I09180"/>
    <m/>
    <m/>
    <s v="S0361095"/>
  </r>
  <r>
    <x v="532"/>
    <n v="20000"/>
    <n v="10000"/>
    <d v="2025-03-14T00:00:00"/>
    <s v="502LAUGH"/>
    <s v=" 2:26:03 pm"/>
    <s v="SG-5630465"/>
    <m/>
    <x v="2"/>
    <s v="Yes"/>
    <n v="59"/>
    <s v="SANKI SD-300 Intermittent"/>
    <x v="2"/>
    <s v="PS74"/>
    <s v="GOH CHIN TECK"/>
    <n v="15000"/>
    <n v="420"/>
    <n v="7"/>
    <d v="2025-03-12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3144"/>
    <n v="0"/>
    <m/>
    <s v="I09180"/>
    <m/>
    <m/>
    <s v="S0361095"/>
  </r>
  <r>
    <x v="533"/>
    <n v="10000"/>
    <n v="10000"/>
    <d v="2025-03-13T00:00:00"/>
    <s v="502LAUGH"/>
    <s v=" 8:32:21 am"/>
    <s v="SG-562754701"/>
    <m/>
    <x v="2"/>
    <s v="Yes"/>
    <n v="82"/>
    <s v="Polly"/>
    <x v="3"/>
    <s v="PM11"/>
    <s v="TEE MENG CHAI"/>
    <n v="434"/>
    <m/>
    <m/>
    <d v="2025-03-12T00:00:00"/>
    <m/>
    <n v="30"/>
    <n v="13020"/>
    <s v="PE"/>
    <n v="150570120001"/>
    <n v="0"/>
    <n v="13000"/>
    <n v="20"/>
    <n v="0"/>
    <n v="0"/>
    <n v="0"/>
    <m/>
    <m/>
    <n v="0"/>
    <m/>
    <m/>
    <m/>
    <m/>
    <m/>
    <m/>
    <m/>
    <m/>
    <n v="15057012"/>
    <s v="I09180"/>
    <s v="ILLUMINA SINGAPORE PTE LTD"/>
    <m/>
    <n v="0"/>
    <n v="0"/>
    <n v="0"/>
    <n v="0"/>
    <n v="0"/>
    <n v="0"/>
    <m/>
    <m/>
    <m/>
    <s v="No"/>
    <s v="W662813"/>
    <n v="0"/>
    <m/>
    <s v="I09180"/>
    <m/>
    <m/>
    <s v="S0361099"/>
  </r>
  <r>
    <x v="534"/>
    <n v="10000"/>
    <n v="10000"/>
    <d v="2025-03-13T00:00:00"/>
    <s v="502LAUGH"/>
    <d v="1899-12-30T10:41:58"/>
    <s v="M0BSM95701372"/>
    <m/>
    <x v="2"/>
    <s v="Yes"/>
    <n v="31"/>
    <s v="Sanki SKP250 Full Rotary"/>
    <x v="2"/>
    <s v="PS27"/>
    <s v="TAN TECK HEE"/>
    <n v="39870"/>
    <n v="1041.75"/>
    <n v="17.362500000000001"/>
    <d v="2025-03-12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3147"/>
    <n v="0"/>
    <m/>
    <s v="I09180"/>
    <m/>
    <m/>
    <s v="S0361111"/>
  </r>
  <r>
    <x v="534"/>
    <n v="20000"/>
    <n v="10000"/>
    <d v="2025-03-13T00:00:00"/>
    <s v="502LAUGH"/>
    <d v="1899-12-30T10:41:58"/>
    <s v="M0BSM95701372"/>
    <m/>
    <x v="2"/>
    <s v="Yes"/>
    <n v="31"/>
    <s v="Sanki SKP250 Full Rotary"/>
    <x v="2"/>
    <s v="PS27"/>
    <s v="TAN TECK HEE"/>
    <n v="39870"/>
    <n v="1041.75"/>
    <n v="17.362500000000001"/>
    <d v="2025-03-12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3147"/>
    <n v="0"/>
    <m/>
    <s v="I09180"/>
    <m/>
    <m/>
    <s v="S0361111"/>
  </r>
  <r>
    <x v="534"/>
    <n v="30000"/>
    <n v="10000"/>
    <d v="2025-03-13T00:00:00"/>
    <s v="502LAUGH"/>
    <d v="1899-12-30T10:41:58"/>
    <s v="M0BSM95701372"/>
    <m/>
    <x v="2"/>
    <s v="Yes"/>
    <n v="31"/>
    <s v="Sanki SKP250 Full Rotary"/>
    <x v="2"/>
    <s v="PS27"/>
    <s v="TAN TECK HEE"/>
    <n v="39870"/>
    <n v="1041.75"/>
    <n v="17.362500000000001"/>
    <d v="2025-03-12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3147"/>
    <n v="0"/>
    <m/>
    <s v="I09180"/>
    <m/>
    <m/>
    <s v="S0361111"/>
  </r>
  <r>
    <x v="480"/>
    <n v="10000"/>
    <n v="20000"/>
    <d v="2025-03-12T00:00:00"/>
    <s v="502LAUGH"/>
    <s v=" 2:36:03 pm"/>
    <n v="860909190840"/>
    <m/>
    <x v="0"/>
    <s v="Yes"/>
    <n v="86"/>
    <s v="Brotech DF330 "/>
    <x v="0"/>
    <s v="PM45"/>
    <s v="TAY CHIN LIONG"/>
    <n v="250"/>
    <n v="49.166666666666664"/>
    <n v="0.81944444444444442"/>
    <d v="2025-03-12T00:00:00"/>
    <m/>
    <n v="14"/>
    <n v="3500"/>
    <s v="PE"/>
    <n v="200909620001"/>
    <n v="0"/>
    <n v="2000"/>
    <n v="1500"/>
    <n v="0"/>
    <n v="0"/>
    <n v="0"/>
    <m/>
    <m/>
    <n v="0"/>
    <m/>
    <m/>
    <m/>
    <m/>
    <m/>
    <m/>
    <m/>
    <m/>
    <n v="20090962"/>
    <s v="I09180"/>
    <s v="ILLUMINA SINGAPORE PTE LTD"/>
    <m/>
    <n v="0"/>
    <n v="0"/>
    <n v="0"/>
    <n v="0"/>
    <n v="0"/>
    <n v="0"/>
    <m/>
    <m/>
    <m/>
    <s v="No"/>
    <s v="W662709"/>
    <n v="0"/>
    <m/>
    <s v="I09180"/>
    <m/>
    <m/>
    <s v="S0361118"/>
  </r>
  <r>
    <x v="481"/>
    <n v="10000"/>
    <n v="20000"/>
    <d v="2025-03-12T00:00:00"/>
    <s v="502LAUGH"/>
    <s v=" 2:37:03 pm"/>
    <n v="860909190840"/>
    <m/>
    <x v="0"/>
    <s v="Yes"/>
    <n v="86"/>
    <s v="Brotech DF330 "/>
    <x v="0"/>
    <s v="PM45"/>
    <s v="TAY CHIN LIONG"/>
    <n v="642"/>
    <n v="55.7"/>
    <n v="0.92833333333333334"/>
    <d v="2025-03-12T00:00:00"/>
    <m/>
    <n v="14"/>
    <n v="8988"/>
    <s v="PE"/>
    <n v="200909620001"/>
    <n v="0"/>
    <n v="9000"/>
    <n v="-12"/>
    <n v="0"/>
    <n v="0"/>
    <n v="0"/>
    <m/>
    <m/>
    <n v="0"/>
    <m/>
    <m/>
    <m/>
    <m/>
    <m/>
    <m/>
    <m/>
    <m/>
    <n v="20090962"/>
    <s v="I09180"/>
    <s v="ILLUMINA SINGAPORE PTE LTD"/>
    <m/>
    <n v="0"/>
    <n v="0"/>
    <n v="0"/>
    <n v="0"/>
    <n v="0"/>
    <n v="0"/>
    <m/>
    <m/>
    <m/>
    <s v="No"/>
    <s v="W662814"/>
    <n v="0"/>
    <m/>
    <s v="I09180"/>
    <m/>
    <m/>
    <s v="S0361119"/>
  </r>
  <r>
    <x v="535"/>
    <n v="10000"/>
    <n v="10000"/>
    <d v="2025-03-13T00:00:00"/>
    <s v="502LAUGH"/>
    <s v=" 8:40:50 am"/>
    <s v="4275S1"/>
    <m/>
    <x v="2"/>
    <s v="Yes"/>
    <n v="60"/>
    <s v="Fujishiko UDP-5000"/>
    <x v="3"/>
    <s v="PM30"/>
    <s v="OH KIAN YUAN"/>
    <n v="100"/>
    <n v="47"/>
    <n v="0.78333333333333333"/>
    <d v="2025-03-12T00:00:00"/>
    <m/>
    <n v="1"/>
    <n v="100"/>
    <s v="PE"/>
    <s v="UL ZP-1810001"/>
    <n v="0"/>
    <n v="100"/>
    <n v="0"/>
    <n v="0"/>
    <n v="0"/>
    <n v="0"/>
    <m/>
    <m/>
    <n v="0"/>
    <m/>
    <m/>
    <m/>
    <m/>
    <m/>
    <m/>
    <m/>
    <m/>
    <s v="UL ZP-181"/>
    <s v="Z26000"/>
    <s v="CCL DESIGN SINGAPORE PTE LTD"/>
    <m/>
    <n v="0"/>
    <n v="0"/>
    <n v="0"/>
    <n v="0"/>
    <n v="0"/>
    <n v="0"/>
    <m/>
    <m/>
    <m/>
    <s v="No"/>
    <s v="W662815"/>
    <n v="0"/>
    <m/>
    <s v="Z26000"/>
    <m/>
    <m/>
    <s v="ZSA101765"/>
  </r>
  <r>
    <x v="482"/>
    <n v="10000"/>
    <n v="20000"/>
    <d v="2025-03-12T00:00:00"/>
    <s v="502LAUGH"/>
    <s v=" 2:35:05 pm"/>
    <n v="860909190840"/>
    <m/>
    <x v="0"/>
    <s v="Yes"/>
    <n v="86"/>
    <s v="Brotech DF330 "/>
    <x v="0"/>
    <s v="PM45"/>
    <s v="TAY CHIN LIONG"/>
    <n v="500"/>
    <n v="53.333333333333336"/>
    <n v="0.88888888888888895"/>
    <d v="2025-03-12T00:00:00"/>
    <m/>
    <n v="14"/>
    <n v="7000"/>
    <s v="PE"/>
    <n v="200717170001"/>
    <n v="0"/>
    <n v="7000"/>
    <n v="0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62816"/>
    <n v="0"/>
    <m/>
    <s v="I09180"/>
    <m/>
    <m/>
    <s v="S0361124"/>
  </r>
  <r>
    <x v="483"/>
    <n v="10000"/>
    <n v="20000"/>
    <d v="2025-03-12T00:00:00"/>
    <s v="502LAUGH"/>
    <s v=" 2:48:11 pm"/>
    <n v="860909190840"/>
    <m/>
    <x v="0"/>
    <s v="Yes"/>
    <n v="86"/>
    <s v="Brotech DF330 "/>
    <x v="0"/>
    <s v="PM45"/>
    <s v="TAY CHIN LIONG"/>
    <n v="1112"/>
    <n v="63.533333333333331"/>
    <n v="1.0588888888888888"/>
    <d v="2025-03-12T00:00:00"/>
    <m/>
    <n v="9"/>
    <n v="10008"/>
    <s v="PE"/>
    <n v="200717150001"/>
    <n v="0"/>
    <n v="14000"/>
    <n v="-3992"/>
    <n v="0"/>
    <n v="0"/>
    <n v="0"/>
    <m/>
    <m/>
    <n v="0"/>
    <m/>
    <m/>
    <m/>
    <m/>
    <m/>
    <m/>
    <m/>
    <m/>
    <n v="20071715"/>
    <s v="I09180"/>
    <s v="ILLUMINA SINGAPORE PTE LTD"/>
    <m/>
    <n v="0"/>
    <n v="0"/>
    <n v="0"/>
    <n v="0"/>
    <n v="0"/>
    <n v="0"/>
    <m/>
    <m/>
    <m/>
    <s v="No"/>
    <s v="W663149"/>
    <n v="0"/>
    <m/>
    <s v="I09180"/>
    <m/>
    <m/>
    <s v="S0361126"/>
  </r>
  <r>
    <x v="536"/>
    <n v="10000"/>
    <n v="10000"/>
    <d v="2025-03-14T00:00:00"/>
    <s v="502LAUGH"/>
    <s v=" 9:53:31 am"/>
    <s v="U3927S101/3082509U9"/>
    <m/>
    <x v="2"/>
    <s v="Yes"/>
    <n v="88"/>
    <s v="OKI"/>
    <x v="4"/>
    <s v="PP24"/>
    <s v="HO HON SENG"/>
    <n v="650"/>
    <m/>
    <m/>
    <d v="2025-03-12T00:00:00"/>
    <m/>
    <n v="2"/>
    <n v="1300"/>
    <s v="PE"/>
    <n v="107343410001"/>
    <n v="0"/>
    <n v="700"/>
    <n v="600"/>
    <n v="0"/>
    <n v="0"/>
    <n v="0"/>
    <m/>
    <m/>
    <n v="0"/>
    <m/>
    <m/>
    <m/>
    <m/>
    <m/>
    <m/>
    <m/>
    <m/>
    <n v="10734341"/>
    <s v="I09109"/>
    <s v="IKE TECHNOLOGY"/>
    <m/>
    <n v="0"/>
    <n v="0"/>
    <n v="0"/>
    <n v="0"/>
    <n v="0"/>
    <n v="0"/>
    <m/>
    <m/>
    <m/>
    <s v="No"/>
    <s v="W663150"/>
    <n v="0"/>
    <m/>
    <s v="I09109"/>
    <m/>
    <m/>
    <s v="S0361128"/>
  </r>
  <r>
    <x v="536"/>
    <n v="20000"/>
    <n v="10000"/>
    <d v="2025-03-14T00:00:00"/>
    <s v="502LAUGH"/>
    <s v=" 9:53:31 am"/>
    <s v="U3927S101/3082509U9"/>
    <m/>
    <x v="2"/>
    <s v="Yes"/>
    <n v="88"/>
    <s v="OKI"/>
    <x v="4"/>
    <s v="PP24"/>
    <s v="HO HON SENG"/>
    <n v="350"/>
    <m/>
    <m/>
    <d v="2025-03-12T00:00:00"/>
    <m/>
    <n v="2"/>
    <n v="700"/>
    <s v="PE"/>
    <n v="107343410001"/>
    <n v="0"/>
    <n v="700"/>
    <n v="0"/>
    <n v="0"/>
    <n v="0"/>
    <n v="0"/>
    <m/>
    <m/>
    <n v="0"/>
    <m/>
    <m/>
    <m/>
    <m/>
    <m/>
    <m/>
    <m/>
    <m/>
    <n v="10734341"/>
    <s v="I09109"/>
    <s v="IKE TECHNOLOGY"/>
    <m/>
    <n v="0"/>
    <n v="0"/>
    <n v="0"/>
    <n v="0"/>
    <n v="0"/>
    <n v="0"/>
    <m/>
    <m/>
    <m/>
    <s v="No"/>
    <s v="W663150"/>
    <n v="0"/>
    <m/>
    <s v="I09109"/>
    <m/>
    <m/>
    <s v="S0361128"/>
  </r>
  <r>
    <x v="537"/>
    <n v="10000"/>
    <n v="10000"/>
    <d v="2025-03-13T00:00:00"/>
    <s v="502LAUGH"/>
    <s v=" 2:33:35 pm"/>
    <s v="J00Q283701525"/>
    <m/>
    <x v="2"/>
    <s v="Yes"/>
    <n v="86"/>
    <s v="Brotech DF330 "/>
    <x v="0"/>
    <s v="PM45"/>
    <s v="TAY CHIN LIONG"/>
    <n v="27500"/>
    <n v="503.33333333333331"/>
    <n v="8.3888888888888893"/>
    <d v="2025-03-12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s v="PRODUCT-188X74-RED"/>
    <s v="A01259"/>
    <s v="OLAM COCOA PTE LTD"/>
    <m/>
    <n v="0"/>
    <n v="0"/>
    <n v="0"/>
    <n v="0"/>
    <n v="0"/>
    <n v="0"/>
    <m/>
    <m/>
    <m/>
    <s v="No"/>
    <s v="W663152"/>
    <n v="0"/>
    <m/>
    <s v="A01259"/>
    <m/>
    <m/>
    <s v="S0361134"/>
  </r>
  <r>
    <x v="538"/>
    <n v="10000"/>
    <n v="10000"/>
    <d v="2025-03-14T00:00:00"/>
    <s v="502LAUGH"/>
    <d v="1899-12-30T12:49:28"/>
    <s v="M0BVD0511"/>
    <m/>
    <x v="2"/>
    <s v="Yes"/>
    <n v="93"/>
    <s v="HP Indigo 6900"/>
    <x v="4"/>
    <s v="PM16"/>
    <s v="TEO KAH JUN"/>
    <n v="439"/>
    <n v="51.95"/>
    <n v="0.86583333333333334"/>
    <d v="2025-03-12T00:00:00"/>
    <m/>
    <n v="342"/>
    <n v="150138"/>
    <s v="PE"/>
    <s v="107-54006900001"/>
    <n v="0"/>
    <n v="120000"/>
    <n v="30138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3155"/>
    <n v="0"/>
    <m/>
    <s v="K11180"/>
    <m/>
    <m/>
    <s v="S0361150"/>
  </r>
  <r>
    <x v="539"/>
    <n v="10000"/>
    <n v="10000"/>
    <d v="2025-03-12T00:00:00"/>
    <s v="502LAUGH"/>
    <s v=" 2:33:53 pm"/>
    <s v="U3801S017"/>
    <m/>
    <x v="2"/>
    <s v="Yes"/>
    <n v="61"/>
    <s v="FSK 520"/>
    <x v="2"/>
    <s v="PM68"/>
    <s v="LEE KIM LIANG"/>
    <n v="3"/>
    <n v="45.06"/>
    <n v="0.751"/>
    <d v="2025-03-12T00:00:00"/>
    <m/>
    <n v="10"/>
    <n v="30"/>
    <s v="PE"/>
    <s v="057-03289-0003 R0001"/>
    <n v="0"/>
    <n v="25"/>
    <n v="5"/>
    <n v="0"/>
    <n v="0"/>
    <n v="0"/>
    <m/>
    <m/>
    <n v="0"/>
    <m/>
    <m/>
    <m/>
    <m/>
    <m/>
    <m/>
    <m/>
    <m/>
    <s v="057-03289-0003 REV02"/>
    <s v="S19351"/>
    <s v="ADVANCED MANUFACTURING CORPORATION PTE LTD"/>
    <m/>
    <n v="0"/>
    <n v="0"/>
    <n v="0"/>
    <n v="0"/>
    <n v="0"/>
    <n v="0"/>
    <m/>
    <m/>
    <m/>
    <s v="No"/>
    <s v="W662712"/>
    <n v="0"/>
    <m/>
    <s v="S19351"/>
    <m/>
    <m/>
    <s v="S0361017"/>
  </r>
  <r>
    <x v="540"/>
    <n v="10000"/>
    <n v="10000"/>
    <d v="2025-03-12T00:00:00"/>
    <s v="502LAUGH"/>
    <d v="1899-12-30T10:33:27"/>
    <s v="L4306U8002"/>
    <m/>
    <x v="2"/>
    <s v="Yes"/>
    <n v="65"/>
    <s v="Sanki SDR300"/>
    <x v="3"/>
    <s v="PMJ7"/>
    <s v="FOONG SEL YI"/>
    <n v="17"/>
    <n v="45.424999999999997"/>
    <n v="0.75708333333333333"/>
    <d v="2025-03-12T00:00:00"/>
    <m/>
    <n v="6"/>
    <n v="102"/>
    <s v="PE"/>
    <s v="TSQB01148020001"/>
    <n v="0"/>
    <n v="100"/>
    <n v="2"/>
    <n v="0"/>
    <n v="0"/>
    <n v="0"/>
    <m/>
    <m/>
    <n v="0"/>
    <m/>
    <m/>
    <m/>
    <m/>
    <m/>
    <m/>
    <m/>
    <m/>
    <s v="ZR-8"/>
    <s v="Z26000"/>
    <s v="CCL DESIGN SINGAPORE PTE LTD"/>
    <m/>
    <n v="0"/>
    <n v="0"/>
    <n v="0"/>
    <n v="0"/>
    <n v="0"/>
    <n v="0"/>
    <m/>
    <m/>
    <m/>
    <s v="No"/>
    <s v="W662713"/>
    <n v="0"/>
    <m/>
    <s v="Z26000"/>
    <m/>
    <m/>
    <s v="ZSA101764"/>
  </r>
  <r>
    <x v="541"/>
    <n v="10000"/>
    <n v="10000"/>
    <d v="2025-03-14T00:00:00"/>
    <s v="502LAUGH"/>
    <s v=" 8:42:00 am"/>
    <s v="J00LU70911000"/>
    <m/>
    <x v="2"/>
    <s v="Yes"/>
    <n v="88"/>
    <s v="OKI"/>
    <x v="4"/>
    <s v="PP24"/>
    <s v="HO HON SENG"/>
    <n v="2500"/>
    <m/>
    <m/>
    <d v="2025-03-12T00:00:00"/>
    <m/>
    <n v="1"/>
    <n v="2500"/>
    <s v="PE"/>
    <s v="BARCODE LABEL-7X0001"/>
    <n v="0"/>
    <n v="2000"/>
    <n v="500"/>
    <n v="0"/>
    <n v="0"/>
    <n v="0"/>
    <m/>
    <m/>
    <n v="0"/>
    <m/>
    <m/>
    <m/>
    <m/>
    <m/>
    <m/>
    <m/>
    <m/>
    <s v="BARCODE LABEL-7X34"/>
    <s v="B02117"/>
    <s v="BANSHING INDUSTRIAL CO. PTE LTD."/>
    <m/>
    <n v="0"/>
    <n v="0"/>
    <n v="0"/>
    <n v="0"/>
    <n v="0"/>
    <n v="0"/>
    <m/>
    <m/>
    <m/>
    <s v="No"/>
    <s v="W663165"/>
    <n v="0"/>
    <m/>
    <s v="B02117"/>
    <m/>
    <m/>
    <s v="S0361158"/>
  </r>
  <r>
    <x v="542"/>
    <n v="10000"/>
    <n v="10000"/>
    <d v="2025-03-14T00:00:00"/>
    <s v="502LAUGH"/>
    <s v=" 8:42:40 am"/>
    <s v="J00LU70911000"/>
    <m/>
    <x v="2"/>
    <s v="Yes"/>
    <n v="88"/>
    <s v="OKI"/>
    <x v="4"/>
    <s v="PP24"/>
    <s v="HO HON SENG"/>
    <n v="1500"/>
    <m/>
    <m/>
    <d v="2025-03-12T00:00:00"/>
    <m/>
    <n v="1"/>
    <n v="1500"/>
    <s v="PE"/>
    <s v="LBHN001841A020001"/>
    <n v="0"/>
    <n v="1000"/>
    <n v="500"/>
    <n v="0"/>
    <n v="0"/>
    <n v="0"/>
    <m/>
    <m/>
    <n v="0"/>
    <m/>
    <m/>
    <m/>
    <m/>
    <m/>
    <m/>
    <m/>
    <m/>
    <s v="LBHN001841A02"/>
    <s v="B02117"/>
    <s v="BANSHING INDUSTRIAL CO. PTE LTD."/>
    <m/>
    <n v="0"/>
    <n v="0"/>
    <n v="0"/>
    <n v="0"/>
    <n v="0"/>
    <n v="0"/>
    <m/>
    <m/>
    <m/>
    <s v="No"/>
    <s v="W663166"/>
    <n v="0"/>
    <m/>
    <s v="B02117"/>
    <m/>
    <m/>
    <s v="S0361158"/>
  </r>
  <r>
    <x v="542"/>
    <n v="10000"/>
    <n v="20000"/>
    <d v="2025-03-14T00:00:00"/>
    <s v="502LAUGH"/>
    <s v=" 8:42:40 am"/>
    <s v="J00LU70911000"/>
    <m/>
    <x v="0"/>
    <s v="Yes"/>
    <n v="92"/>
    <s v="Polly Digital Cut"/>
    <x v="6"/>
    <s v="PM87"/>
    <s v="LEE SHIEN WEI"/>
    <n v="1400"/>
    <m/>
    <m/>
    <d v="2025-03-12T00:00:00"/>
    <m/>
    <n v="1"/>
    <n v="1400"/>
    <s v="PE"/>
    <s v="LBHN001841A020001"/>
    <n v="0"/>
    <n v="1000"/>
    <n v="400"/>
    <n v="0"/>
    <n v="0"/>
    <n v="0"/>
    <m/>
    <m/>
    <n v="0"/>
    <m/>
    <m/>
    <m/>
    <m/>
    <m/>
    <m/>
    <m/>
    <m/>
    <s v="LBHN001841A02"/>
    <s v="B02117"/>
    <s v="BANSHING INDUSTRIAL CO. PTE LTD."/>
    <m/>
    <n v="0"/>
    <n v="0"/>
    <n v="0"/>
    <n v="0"/>
    <n v="0"/>
    <n v="0"/>
    <m/>
    <m/>
    <m/>
    <s v="No"/>
    <s v="W663166"/>
    <n v="0"/>
    <m/>
    <s v="B02117"/>
    <m/>
    <m/>
    <s v="S0361158"/>
  </r>
  <r>
    <x v="543"/>
    <n v="10000"/>
    <n v="10000"/>
    <d v="2025-03-13T00:00:00"/>
    <s v="502LAUGH"/>
    <s v=" 8:40:50 am"/>
    <s v="U272252099"/>
    <m/>
    <x v="2"/>
    <s v="Yes"/>
    <n v="60"/>
    <s v="Fujishiko UDP-5000"/>
    <x v="3"/>
    <s v="PM30"/>
    <s v="OH KIAN YUAN"/>
    <n v="100"/>
    <n v="47"/>
    <n v="0.78333333333333333"/>
    <d v="2025-03-12T00:00:00"/>
    <m/>
    <n v="1"/>
    <n v="100"/>
    <s v="PE"/>
    <s v="ZR-6A0001"/>
    <n v="0"/>
    <n v="100"/>
    <n v="0"/>
    <n v="0"/>
    <n v="0"/>
    <n v="0"/>
    <m/>
    <m/>
    <n v="0"/>
    <m/>
    <m/>
    <m/>
    <m/>
    <m/>
    <m/>
    <m/>
    <m/>
    <s v="ZR-6A"/>
    <s v="Z26000"/>
    <s v="CCL DESIGN SINGAPORE PTE LTD"/>
    <m/>
    <n v="0"/>
    <n v="0"/>
    <n v="0"/>
    <n v="0"/>
    <n v="0"/>
    <n v="0"/>
    <m/>
    <m/>
    <m/>
    <s v="No"/>
    <s v="W662817"/>
    <n v="0"/>
    <m/>
    <s v="Z26000"/>
    <m/>
    <m/>
    <s v="ZSA101764"/>
  </r>
  <r>
    <x v="544"/>
    <n v="10000"/>
    <n v="10000"/>
    <d v="2025-03-12T00:00:00"/>
    <s v="502LAUGH"/>
    <s v=" 5:43:38 pm"/>
    <s v="U530352047/501241326"/>
    <m/>
    <x v="2"/>
    <s v="Yes"/>
    <n v="32"/>
    <s v="Lintec Intermittent"/>
    <x v="2"/>
    <s v="PM26"/>
    <s v="TAN AIK KEONG"/>
    <n v="5860"/>
    <m/>
    <m/>
    <d v="2025-03-1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3314"/>
    <n v="0"/>
    <m/>
    <s v="J10025"/>
    <m/>
    <m/>
    <s v="S0361160"/>
  </r>
  <r>
    <x v="545"/>
    <n v="10000"/>
    <n v="10000"/>
    <d v="2025-03-12T00:00:00"/>
    <s v="502LAUGH"/>
    <s v=" 5:44:31 pm"/>
    <s v="411525U5A"/>
    <m/>
    <x v="2"/>
    <s v="Yes"/>
    <n v="61"/>
    <s v="FSK 520"/>
    <x v="2"/>
    <s v="PM61"/>
    <s v="HO CHAN LE"/>
    <n v="6667"/>
    <n v="178.34"/>
    <n v="2.9723333333333333"/>
    <d v="2025-03-12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3318"/>
    <n v="0"/>
    <m/>
    <s v="J10025"/>
    <m/>
    <m/>
    <s v="S0361170"/>
  </r>
  <r>
    <x v="546"/>
    <n v="10000"/>
    <n v="10000"/>
    <d v="2025-03-19T00:00:00"/>
    <s v="502LAUGH"/>
    <s v=" 5:23:36 pm"/>
    <n v="10639931032"/>
    <m/>
    <x v="2"/>
    <s v="Yes"/>
    <n v="93"/>
    <s v="HP Indigo 6900"/>
    <x v="4"/>
    <s v="PM16"/>
    <s v="TEO KAH JUN"/>
    <n v="107"/>
    <n v="35.35"/>
    <n v="0.58916666666666673"/>
    <d v="2025-03-12T00:00:00"/>
    <m/>
    <n v="75"/>
    <n v="8025"/>
    <s v="PE"/>
    <s v="5190-27200001"/>
    <n v="0"/>
    <n v="5000"/>
    <n v="3025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4100"/>
    <n v="0"/>
    <m/>
    <s v="H08031-JIM"/>
    <m/>
    <m/>
    <s v="S0361182"/>
  </r>
  <r>
    <x v="547"/>
    <n v="10000"/>
    <n v="10000"/>
    <d v="2025-03-19T00:00:00"/>
    <s v="502LAUGH"/>
    <s v=" 5:22:58 pm"/>
    <n v="10639931032"/>
    <m/>
    <x v="2"/>
    <s v="Yes"/>
    <n v="79"/>
    <s v="HP Indigo 6800"/>
    <x v="4"/>
    <s v="PM16"/>
    <s v="TEO KAH JUN"/>
    <n v="107"/>
    <n v="35.35"/>
    <n v="0.58916666666666673"/>
    <d v="2025-03-12T00:00:00"/>
    <m/>
    <n v="75"/>
    <n v="8025"/>
    <s v="PE"/>
    <s v="5190-26260001"/>
    <n v="0"/>
    <n v="5000"/>
    <n v="3025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64101"/>
    <n v="0"/>
    <m/>
    <s v="H08031-JIM"/>
    <m/>
    <m/>
    <s v="S0361183"/>
  </r>
  <r>
    <x v="548"/>
    <n v="10000"/>
    <n v="10000"/>
    <d v="2025-03-19T00:00:00"/>
    <s v="502LAUGH"/>
    <s v=" 5:22:16 pm"/>
    <n v="10639931032"/>
    <m/>
    <x v="2"/>
    <s v="Yes"/>
    <n v="93"/>
    <s v="HP Indigo 6900"/>
    <x v="4"/>
    <s v="PM16"/>
    <s v="TEO KAH JUN"/>
    <n v="50"/>
    <n v="32.5"/>
    <n v="0.54166666666666663"/>
    <d v="2025-03-12T00:00:00"/>
    <m/>
    <n v="42"/>
    <n v="2100"/>
    <s v="PE"/>
    <s v="CR328-800170001"/>
    <n v="0"/>
    <n v="1000"/>
    <n v="1100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4102"/>
    <n v="0"/>
    <m/>
    <s v="H08031-JIM"/>
    <m/>
    <m/>
    <s v="S0361184"/>
  </r>
  <r>
    <x v="549"/>
    <n v="10000"/>
    <n v="10000"/>
    <d v="2025-04-07T00:00:00"/>
    <s v="502LAUGH"/>
    <s v=" 8:42:04 am"/>
    <s v="U522458002"/>
    <s v="SC02887"/>
    <x v="2"/>
    <s v="No"/>
    <n v="72"/>
    <s v="Xeikon 3500"/>
    <x v="4"/>
    <s v="PM17"/>
    <s v="NG SWEE CHEA"/>
    <n v="1000"/>
    <m/>
    <m/>
    <d v="2025-03-13T00:00:00"/>
    <m/>
    <n v="3"/>
    <n v="3000"/>
    <s v="PE"/>
    <s v="250-0412-000001"/>
    <n v="0"/>
    <n v="0"/>
    <n v="0"/>
    <n v="0"/>
    <n v="0"/>
    <n v="0"/>
    <m/>
    <m/>
    <n v="0"/>
    <m/>
    <m/>
    <m/>
    <s v="No"/>
    <n v="0"/>
    <s v="No"/>
    <m/>
    <m/>
    <s v="250-04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007"/>
  </r>
  <r>
    <x v="550"/>
    <n v="10000"/>
    <n v="10000"/>
    <d v="2025-04-07T00:00:00"/>
    <s v="502LAUGH"/>
    <s v=" 8:41:10 am"/>
    <s v="U522458002"/>
    <s v="SC02887"/>
    <x v="2"/>
    <s v="No"/>
    <n v="72"/>
    <s v="Xeikon 3500"/>
    <x v="4"/>
    <s v="PM17"/>
    <s v="NG SWEE CHEA"/>
    <n v="1500"/>
    <m/>
    <m/>
    <d v="2025-03-13T00:00:00"/>
    <m/>
    <n v="3"/>
    <n v="4500"/>
    <s v="PE"/>
    <s v="250-0412-000001"/>
    <n v="0"/>
    <n v="0"/>
    <n v="0"/>
    <n v="0"/>
    <n v="0"/>
    <n v="0"/>
    <m/>
    <m/>
    <n v="0"/>
    <m/>
    <m/>
    <m/>
    <s v="No"/>
    <n v="0"/>
    <s v="No"/>
    <m/>
    <m/>
    <s v="250-04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009"/>
  </r>
  <r>
    <x v="551"/>
    <n v="10000"/>
    <n v="50000"/>
    <d v="2025-03-17T00:00:00"/>
    <s v="502LAUGH"/>
    <s v=" 8:36:04 am"/>
    <s v="10639931084/10639931015/10639931016"/>
    <m/>
    <x v="0"/>
    <s v="Yes"/>
    <n v="77"/>
    <s v="Brotech DF330 "/>
    <x v="0"/>
    <s v="PM74"/>
    <s v="YONG CHEE SOON"/>
    <n v="14862"/>
    <n v="292.7"/>
    <n v="4.878333333333333"/>
    <d v="2025-03-13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6"/>
    <n v="0"/>
    <m/>
    <s v="H08031-JIM"/>
    <m/>
    <m/>
    <s v="S0350611"/>
  </r>
  <r>
    <x v="1"/>
    <n v="10000"/>
    <n v="50000"/>
    <d v="2025-03-13T00:00:00"/>
    <s v="502LAUGH"/>
    <s v=" 3:35:14 pm"/>
    <s v="10584752088/10584752089/10584752090/10584752091/10584752092"/>
    <m/>
    <x v="1"/>
    <s v="Yes"/>
    <n v="91"/>
    <s v="Luster AOI"/>
    <x v="1"/>
    <s v="QM54"/>
    <s v="TAN SWEE LENG"/>
    <n v="44000"/>
    <m/>
    <m/>
    <d v="2025-03-13T00:00:00"/>
    <m/>
    <n v="9"/>
    <n v="396000"/>
    <s v="PE"/>
    <s v="5180-0103-BH2120001"/>
    <n v="0"/>
    <n v="392857"/>
    <n v="3143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2929"/>
    <n v="0"/>
    <m/>
    <s v="H08031-JIM"/>
    <m/>
    <m/>
    <s v="S0353172"/>
  </r>
  <r>
    <x v="88"/>
    <n v="10000"/>
    <n v="50000"/>
    <d v="2025-03-14T00:00:00"/>
    <s v="502LAUGH"/>
    <s v=" 8:40:59 am"/>
    <s v="10639931075/10639931076/10639931074/10639931073/10639931072"/>
    <m/>
    <x v="1"/>
    <s v="Yes"/>
    <n v="91"/>
    <s v="Luster AOI"/>
    <x v="1"/>
    <s v="QM87"/>
    <s v="GOH SING JOO"/>
    <n v="7000"/>
    <m/>
    <m/>
    <d v="2025-03-13T00:00:00"/>
    <m/>
    <n v="9"/>
    <n v="63000"/>
    <s v="PE"/>
    <s v="5180-0101-BH2120001"/>
    <n v="0"/>
    <n v="59322"/>
    <n v="3678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2930"/>
    <n v="0"/>
    <m/>
    <s v="H08031-JIM"/>
    <m/>
    <m/>
    <s v="S0353198"/>
  </r>
  <r>
    <x v="2"/>
    <n v="10000"/>
    <n v="50000"/>
    <d v="2025-03-14T00:00:00"/>
    <s v="502LAUGH"/>
    <s v=" 8:37:26 am"/>
    <s v="10639931087/10639931085/10620258096/10620258095/10620258094"/>
    <m/>
    <x v="1"/>
    <s v="Yes"/>
    <n v="91"/>
    <s v="Luster AOI"/>
    <x v="1"/>
    <s v="QM54"/>
    <s v="TAN SWEE LENG"/>
    <n v="12000"/>
    <m/>
    <m/>
    <d v="2025-03-13T00:00:00"/>
    <m/>
    <n v="9"/>
    <n v="108000"/>
    <s v="PE"/>
    <s v="5180-0102-BH2120001"/>
    <n v="0"/>
    <n v="107143"/>
    <n v="857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2931"/>
    <n v="0"/>
    <m/>
    <s v="H08031-JIM"/>
    <m/>
    <m/>
    <s v="S0353204"/>
  </r>
  <r>
    <x v="552"/>
    <n v="10000"/>
    <n v="20000"/>
    <d v="2025-03-13T00:00:00"/>
    <s v="502LAUGH"/>
    <s v=" 9:46:17 am"/>
    <s v="M0BKV5087"/>
    <m/>
    <x v="2"/>
    <s v="Yes"/>
    <n v="65"/>
    <s v="Sanki SDR300"/>
    <x v="3"/>
    <s v="PMJ7"/>
    <s v="FOONG SEL YI"/>
    <n v="6750"/>
    <n v="213.75"/>
    <n v="3.5625"/>
    <d v="2025-03-13T00:00:00"/>
    <m/>
    <n v="12"/>
    <n v="81000"/>
    <s v="PE"/>
    <s v="R630-401 REV2.00001"/>
    <n v="0"/>
    <n v="81000"/>
    <n v="0"/>
    <n v="0"/>
    <n v="0"/>
    <n v="0"/>
    <m/>
    <m/>
    <n v="0"/>
    <m/>
    <m/>
    <m/>
    <m/>
    <m/>
    <m/>
    <m/>
    <m/>
    <s v="R630-401 REV2.0"/>
    <s v="R18131"/>
    <s v="RESMED ASIA PTE LTD"/>
    <m/>
    <n v="0"/>
    <n v="0"/>
    <n v="0"/>
    <n v="0"/>
    <n v="0"/>
    <n v="0"/>
    <m/>
    <m/>
    <m/>
    <s v="No"/>
    <s v="W663523"/>
    <n v="0"/>
    <m/>
    <s v="R18131"/>
    <m/>
    <m/>
    <s v="S0353972"/>
  </r>
  <r>
    <x v="434"/>
    <n v="10000"/>
    <n v="30000"/>
    <d v="2025-03-13T00:00:00"/>
    <s v="502LAUGH"/>
    <s v=" 1:46:21 pm"/>
    <s v="M0B0G60221000"/>
    <m/>
    <x v="0"/>
    <s v="Yes"/>
    <n v="60"/>
    <s v="Fujishiko UDP-5000"/>
    <x v="3"/>
    <s v="PM30"/>
    <s v="OH KIAN YUAN"/>
    <n v="2000"/>
    <n v="85"/>
    <n v="1.4166666666666667"/>
    <d v="2025-03-13T00:00:00"/>
    <m/>
    <n v="1"/>
    <n v="2000"/>
    <s v="PE"/>
    <s v="70-0878290001"/>
    <n v="0"/>
    <n v="2000"/>
    <n v="0"/>
    <n v="0"/>
    <n v="0"/>
    <n v="0"/>
    <m/>
    <m/>
    <n v="0"/>
    <m/>
    <m/>
    <m/>
    <m/>
    <m/>
    <m/>
    <m/>
    <m/>
    <s v="70-087829"/>
    <s v="F06184"/>
    <s v="FLINTEC TRANSDUCERS (PVT) LTD"/>
    <m/>
    <n v="0"/>
    <n v="0"/>
    <n v="0"/>
    <n v="0"/>
    <n v="0"/>
    <n v="0"/>
    <m/>
    <m/>
    <m/>
    <s v="No"/>
    <s v="W662764"/>
    <n v="0"/>
    <m/>
    <s v="F06184"/>
    <m/>
    <m/>
    <s v="S0354993"/>
  </r>
  <r>
    <x v="435"/>
    <n v="10000"/>
    <n v="20000"/>
    <d v="2025-03-14T00:00:00"/>
    <s v="502LAUGH"/>
    <s v=" 8:47:51 am"/>
    <s v="SG-564141001"/>
    <m/>
    <x v="2"/>
    <s v="Yes"/>
    <n v="73"/>
    <s v="Brotech DF330"/>
    <x v="0"/>
    <s v="PM59"/>
    <s v="VOON CHAN PIN"/>
    <n v="3000"/>
    <n v="95"/>
    <n v="1.5833333333333333"/>
    <d v="2025-03-13T00:00:00"/>
    <m/>
    <n v="12"/>
    <n v="36000"/>
    <s v="PE"/>
    <n v="80256230001"/>
    <n v="0"/>
    <n v="3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539"/>
    <n v="0"/>
    <m/>
    <s v="B02083"/>
    <m/>
    <m/>
    <s v="S0357133"/>
  </r>
  <r>
    <x v="553"/>
    <n v="10000"/>
    <n v="10000"/>
    <d v="2025-03-14T00:00:00"/>
    <s v="502LAUGH"/>
    <s v=" 5:42:28 pm"/>
    <s v="SG-564141001"/>
    <m/>
    <x v="2"/>
    <s v="Yes"/>
    <n v="73"/>
    <s v="Brotech DF330"/>
    <x v="0"/>
    <s v="PM59"/>
    <s v="VOON CHAN PIN"/>
    <n v="30000"/>
    <n v="545"/>
    <n v="9.0833333333333339"/>
    <d v="2025-03-13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540"/>
    <n v="0"/>
    <m/>
    <s v="B02083"/>
    <m/>
    <m/>
    <s v="S0357134"/>
  </r>
  <r>
    <x v="553"/>
    <n v="10000"/>
    <n v="20000"/>
    <d v="2025-03-14T00:00:00"/>
    <s v="502LAUGH"/>
    <s v=" 5:42:28 pm"/>
    <s v="SG-564141001"/>
    <m/>
    <x v="2"/>
    <s v="Yes"/>
    <n v="73"/>
    <s v="Brotech DF330"/>
    <x v="0"/>
    <s v="PM18"/>
    <s v="LAI CHIN YANG"/>
    <n v="30000"/>
    <m/>
    <m/>
    <d v="2025-03-13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540"/>
    <n v="0"/>
    <m/>
    <s v="B02083"/>
    <m/>
    <m/>
    <s v="S0357134"/>
  </r>
  <r>
    <x v="554"/>
    <n v="10000"/>
    <n v="10000"/>
    <d v="2025-03-14T00:00:00"/>
    <s v="502LAUGH"/>
    <s v=" 9:56:53 am"/>
    <s v="MOBSL38001000"/>
    <m/>
    <x v="2"/>
    <s v="Yes"/>
    <n v="86"/>
    <s v="Brotech DF330 "/>
    <x v="0"/>
    <s v="PM45"/>
    <s v="TAY CHIN LIONG"/>
    <n v="6750"/>
    <n v="157.5"/>
    <n v="2.625"/>
    <d v="2025-03-13T00:00:00"/>
    <m/>
    <n v="4"/>
    <n v="27000"/>
    <s v="PE"/>
    <s v="Z9245 REV30001"/>
    <n v="0"/>
    <n v="27000"/>
    <n v="0"/>
    <n v="0"/>
    <n v="0"/>
    <n v="0"/>
    <m/>
    <m/>
    <n v="0"/>
    <m/>
    <m/>
    <m/>
    <m/>
    <m/>
    <m/>
    <m/>
    <m/>
    <s v="Z9245 REV3"/>
    <s v="R18131"/>
    <s v="RESMED ASIA PTE LTD"/>
    <m/>
    <n v="0"/>
    <n v="0"/>
    <n v="0"/>
    <n v="0"/>
    <n v="0"/>
    <n v="0"/>
    <m/>
    <m/>
    <m/>
    <s v="No"/>
    <s v="W662954"/>
    <n v="0"/>
    <m/>
    <s v="R18131"/>
    <m/>
    <m/>
    <s v="S0357729"/>
  </r>
  <r>
    <x v="555"/>
    <n v="10000"/>
    <n v="10000"/>
    <d v="2025-03-14T00:00:00"/>
    <s v="502LAUGH"/>
    <s v=" 4:13:44 pm"/>
    <s v="J00U110901525"/>
    <m/>
    <x v="2"/>
    <s v="Yes"/>
    <n v="31"/>
    <s v="Sanki SKP250 Full Rotary"/>
    <x v="2"/>
    <s v="PS27"/>
    <s v="TAN TECK HEE"/>
    <n v="27000"/>
    <n v="720"/>
    <n v="12"/>
    <d v="2025-03-13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s v="RESMED ASIA PTE LTD"/>
    <m/>
    <n v="0"/>
    <n v="0"/>
    <n v="0"/>
    <n v="0"/>
    <n v="0"/>
    <n v="0"/>
    <m/>
    <m/>
    <m/>
    <s v="No"/>
    <s v="W662958"/>
    <n v="0"/>
    <m/>
    <s v="R18131"/>
    <m/>
    <m/>
    <s v="S0357795"/>
  </r>
  <r>
    <x v="556"/>
    <n v="10000"/>
    <n v="20000"/>
    <d v="2025-03-13T00:00:00"/>
    <s v="502LAUGH"/>
    <s v=" 1:39:07 pm"/>
    <s v="4103005U5A"/>
    <m/>
    <x v="2"/>
    <s v="Yes"/>
    <n v="94"/>
    <s v="Taiyo"/>
    <x v="2"/>
    <s v="PM09"/>
    <s v="PANG JING FULL"/>
    <n v="3000"/>
    <m/>
    <m/>
    <d v="2025-03-13T00:00:00"/>
    <m/>
    <n v="4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s v="WESTERN DIGITAL STORAGE TECHNOLOGIES"/>
    <m/>
    <n v="0"/>
    <n v="0"/>
    <n v="0"/>
    <n v="0"/>
    <n v="0"/>
    <n v="0"/>
    <m/>
    <m/>
    <m/>
    <s v="No"/>
    <s v="W663552"/>
    <n v="0"/>
    <m/>
    <s v="W23041-TH"/>
    <m/>
    <m/>
    <s v="H0064550"/>
  </r>
  <r>
    <x v="557"/>
    <n v="10000"/>
    <n v="20000"/>
    <d v="2025-03-14T00:00:00"/>
    <s v="502LAUGH"/>
    <s v=" 8:46:20 am"/>
    <s v="M0BQW8240"/>
    <m/>
    <x v="2"/>
    <s v="Yes"/>
    <n v="94"/>
    <s v="Taiyo"/>
    <x v="2"/>
    <s v="PM09"/>
    <s v="PANG JING FULL"/>
    <n v="9000"/>
    <m/>
    <m/>
    <d v="2025-03-13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2959"/>
    <n v="0"/>
    <m/>
    <s v="W23041-TH"/>
    <m/>
    <m/>
    <s v="H0064555"/>
  </r>
  <r>
    <x v="558"/>
    <n v="10000"/>
    <n v="30000"/>
    <d v="2025-03-18T00:00:00"/>
    <s v="502LAUGH"/>
    <s v=" 1:26:18 pm"/>
    <s v="M0BJB0050"/>
    <m/>
    <x v="2"/>
    <s v="Yes"/>
    <n v="79"/>
    <s v="HP Indigo 6800"/>
    <x v="4"/>
    <s v="PM16"/>
    <s v="TEO KAH JUN"/>
    <n v="228"/>
    <n v="41.4"/>
    <n v="0.69"/>
    <d v="2025-03-13T00:00:00"/>
    <m/>
    <n v="132"/>
    <n v="30096"/>
    <s v="PE"/>
    <s v="70106701-000001"/>
    <n v="0"/>
    <n v="9322"/>
    <n v="20774"/>
    <n v="0"/>
    <n v="0"/>
    <n v="0"/>
    <m/>
    <m/>
    <n v="0"/>
    <m/>
    <m/>
    <m/>
    <m/>
    <m/>
    <m/>
    <m/>
    <m/>
    <s v="70106701-00"/>
    <s v="S19403"/>
    <s v="MSD INTERNATIONAL GMBH"/>
    <m/>
    <n v="0"/>
    <n v="0"/>
    <n v="0"/>
    <n v="0"/>
    <n v="0"/>
    <n v="0"/>
    <m/>
    <m/>
    <m/>
    <s v="No"/>
    <s v="W662971"/>
    <n v="0"/>
    <m/>
    <s v="S19403"/>
    <m/>
    <m/>
    <s v="S0358451"/>
  </r>
  <r>
    <x v="385"/>
    <n v="10000"/>
    <n v="20000"/>
    <d v="2025-03-14T00:00:00"/>
    <s v="502LAUGH"/>
    <s v=" 9:40:30 am"/>
    <s v="M0BFL2381"/>
    <m/>
    <x v="0"/>
    <s v="Yes"/>
    <n v="63"/>
    <s v="SANKI"/>
    <x v="3"/>
    <s v="PM80"/>
    <s v="YAP ZHI PING"/>
    <n v="5000"/>
    <n v="170"/>
    <n v="2.8333333333333335"/>
    <d v="2025-03-13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2983"/>
    <n v="0"/>
    <m/>
    <s v="S19314"/>
    <m/>
    <m/>
    <s v="H0064657"/>
  </r>
  <r>
    <x v="437"/>
    <n v="10000"/>
    <n v="20000"/>
    <d v="2025-03-14T00:00:00"/>
    <s v="502LAUGH"/>
    <s v=" 9:40:30 am"/>
    <s v="M0BFL2381"/>
    <m/>
    <x v="0"/>
    <s v="Yes"/>
    <n v="63"/>
    <s v="SANKI"/>
    <x v="3"/>
    <s v="PM80"/>
    <s v="YAP ZHI PING"/>
    <n v="5000"/>
    <n v="170"/>
    <n v="2.8333333333333335"/>
    <d v="2025-03-13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2984"/>
    <n v="0"/>
    <m/>
    <s v="S19314"/>
    <m/>
    <m/>
    <s v="H0064659"/>
  </r>
  <r>
    <x v="443"/>
    <n v="10000"/>
    <n v="40000"/>
    <d v="2025-03-19T00:00:00"/>
    <s v="502LAUGH"/>
    <s v=" 8:56:31 am"/>
    <s v="WO2024/5284/1012643/XHX24A25A1403/80116793/XHX2412190201"/>
    <m/>
    <x v="2"/>
    <s v="Yes"/>
    <n v="103"/>
    <s v="HDS"/>
    <x v="3"/>
    <s v="PM47"/>
    <s v="CHEAN WEI KEONG"/>
    <n v="5"/>
    <n v="45.25"/>
    <n v="0.75416666666666665"/>
    <d v="2025-03-13T00:00:00"/>
    <m/>
    <n v="8"/>
    <n v="40"/>
    <s v="PE"/>
    <s v="MT273730001"/>
    <n v="0"/>
    <n v="4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43"/>
    <n v="20000"/>
    <n v="20000"/>
    <d v="2025-03-19T00:00:00"/>
    <s v="502LAUGH"/>
    <s v=" 8:56:31 am"/>
    <s v="WO2024/5284/1012643/XHX24A25A1403/80116793/XHX2412190201"/>
    <m/>
    <x v="2"/>
    <s v="Yes"/>
    <n v="103"/>
    <s v="HDS"/>
    <x v="3"/>
    <s v="PM47"/>
    <s v="CHEAN WEI KEONG"/>
    <n v="58125"/>
    <n v="2951.25"/>
    <n v="49.1875"/>
    <d v="2025-03-13T00:00:00"/>
    <m/>
    <n v="8"/>
    <n v="465000"/>
    <s v="PE"/>
    <s v="MT273730001"/>
    <n v="0"/>
    <n v="46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300"/>
    <n v="0"/>
    <m/>
    <s v="Z26002"/>
    <m/>
    <m/>
    <s v="S0359225"/>
  </r>
  <r>
    <x v="445"/>
    <n v="10000"/>
    <n v="20000"/>
    <d v="2025-03-13T00:00:00"/>
    <s v="502LAUGH"/>
    <s v=" 2:55:58 pm"/>
    <s v="J00WA6671"/>
    <m/>
    <x v="2"/>
    <s v="Yes"/>
    <n v="71"/>
    <s v="POLLY"/>
    <x v="3"/>
    <s v="PS95"/>
    <s v="LIM CHENG LEONG"/>
    <n v="9334"/>
    <m/>
    <m/>
    <d v="2025-03-13T00:00:00"/>
    <m/>
    <n v="3"/>
    <n v="28002"/>
    <s v="PE"/>
    <s v="5185-07330001"/>
    <n v="0"/>
    <n v="28001"/>
    <n v="1"/>
    <n v="0"/>
    <n v="0"/>
    <n v="0"/>
    <m/>
    <m/>
    <n v="0"/>
    <m/>
    <m/>
    <m/>
    <m/>
    <m/>
    <m/>
    <m/>
    <m/>
    <s v="5185-0733"/>
    <s v="H08031-IMS"/>
    <s v="HP SINGAPORE (PRIVATE) LIMITED"/>
    <m/>
    <n v="0"/>
    <n v="0"/>
    <n v="0"/>
    <n v="0"/>
    <n v="0"/>
    <n v="0"/>
    <m/>
    <m/>
    <m/>
    <s v="No"/>
    <s v="W663006"/>
    <n v="0"/>
    <m/>
    <s v="H08031-IMS"/>
    <m/>
    <m/>
    <s v="S0359276"/>
  </r>
  <r>
    <x v="127"/>
    <n v="10000"/>
    <n v="30000"/>
    <d v="2025-03-13T00:00:00"/>
    <s v="502LAUGH"/>
    <s v=" 1:37:12 pm"/>
    <n v="10639931049"/>
    <m/>
    <x v="1"/>
    <s v="Yes"/>
    <n v="85"/>
    <s v="Luster AOI"/>
    <x v="1"/>
    <s v="QM78"/>
    <s v="WONG SEAU JIN"/>
    <n v="16000"/>
    <m/>
    <m/>
    <d v="2025-03-13T00:00:00"/>
    <m/>
    <n v="11"/>
    <n v="176000"/>
    <s v="PE"/>
    <s v="T0A86-80005-FT0001"/>
    <n v="0"/>
    <n v="160000"/>
    <n v="16000"/>
    <n v="0"/>
    <n v="0"/>
    <n v="0"/>
    <m/>
    <m/>
    <n v="0"/>
    <m/>
    <m/>
    <m/>
    <m/>
    <m/>
    <m/>
    <m/>
    <m/>
    <s v="T0A86-80005-FT"/>
    <s v="H08031-JIM-M"/>
    <s v="HP MALAYSIA MANUFACTURING SDN.BHD."/>
    <m/>
    <n v="0"/>
    <n v="0"/>
    <n v="0"/>
    <n v="0"/>
    <n v="0"/>
    <n v="0"/>
    <m/>
    <m/>
    <m/>
    <s v="No"/>
    <s v="W663007"/>
    <n v="0"/>
    <m/>
    <s v="H08031-JIM-M"/>
    <m/>
    <m/>
    <s v="S0359280"/>
  </r>
  <r>
    <x v="446"/>
    <n v="10000"/>
    <n v="20000"/>
    <d v="2025-03-14T00:00:00"/>
    <s v="502LAUGH"/>
    <s v=" 9:40:30 am"/>
    <s v="M0BFL2381"/>
    <m/>
    <x v="0"/>
    <s v="Yes"/>
    <n v="63"/>
    <s v="SANKI"/>
    <x v="3"/>
    <s v="PM80"/>
    <s v="YAP ZHI PING"/>
    <n v="2500"/>
    <n v="107.5"/>
    <n v="1.7916666666666667"/>
    <d v="2025-03-13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3030"/>
    <n v="0"/>
    <m/>
    <s v="S19081-TH"/>
    <m/>
    <m/>
    <s v="H0064691"/>
  </r>
  <r>
    <x v="390"/>
    <n v="10000"/>
    <n v="20000"/>
    <d v="2025-03-17T00:00:00"/>
    <s v="502LAUGH"/>
    <s v=" 8:47:57 am"/>
    <s v="M0BFL2381"/>
    <m/>
    <x v="0"/>
    <s v="Yes"/>
    <n v="63"/>
    <s v="SANKI"/>
    <x v="3"/>
    <s v="PM80"/>
    <s v="YAP ZHI PING"/>
    <n v="2500"/>
    <n v="107.5"/>
    <n v="1.7916666666666667"/>
    <d v="2025-03-13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3031"/>
    <n v="0"/>
    <m/>
    <s v="S19081-TH"/>
    <m/>
    <m/>
    <s v="H0064692"/>
  </r>
  <r>
    <x v="391"/>
    <n v="10000"/>
    <n v="20000"/>
    <d v="2025-03-17T00:00:00"/>
    <s v="502LAUGH"/>
    <s v=" 8:47:57 am"/>
    <s v="M0BFL2381"/>
    <m/>
    <x v="0"/>
    <s v="Yes"/>
    <n v="63"/>
    <s v="SANKI"/>
    <x v="3"/>
    <s v="PM80"/>
    <s v="YAP ZHI PING"/>
    <n v="2500"/>
    <n v="107.5"/>
    <n v="1.7916666666666667"/>
    <d v="2025-03-13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3032"/>
    <n v="0"/>
    <m/>
    <s v="S19081-TH"/>
    <m/>
    <m/>
    <s v="H0064693"/>
  </r>
  <r>
    <x v="447"/>
    <n v="10000"/>
    <n v="20000"/>
    <d v="2025-03-14T00:00:00"/>
    <s v="502LAUGH"/>
    <s v=" 9:40:30 am"/>
    <s v="M0BFL2381"/>
    <m/>
    <x v="0"/>
    <s v="Yes"/>
    <n v="63"/>
    <s v="SANKI"/>
    <x v="3"/>
    <s v="PM80"/>
    <s v="YAP ZHI PING"/>
    <n v="2500"/>
    <n v="107.5"/>
    <n v="1.7916666666666667"/>
    <d v="2025-03-13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3033"/>
    <n v="0"/>
    <m/>
    <s v="S19081-TH"/>
    <m/>
    <m/>
    <s v="H0064694"/>
  </r>
  <r>
    <x v="559"/>
    <n v="10000"/>
    <n v="10000"/>
    <d v="2025-03-14T00:00:00"/>
    <s v="502LAUGH"/>
    <s v=" 9:16:22 am"/>
    <s v="U230952034"/>
    <m/>
    <x v="2"/>
    <s v="Yes"/>
    <n v="78"/>
    <s v="Baby Sanki"/>
    <x v="2"/>
    <s v="PM84"/>
    <s v="TAN TAI TOH"/>
    <n v="4"/>
    <n v="45.1"/>
    <n v="0.75166666666666671"/>
    <d v="2025-03-13T00:00:00"/>
    <m/>
    <n v="3"/>
    <n v="12"/>
    <s v="PE"/>
    <s v="38623-44BN0001"/>
    <n v="0"/>
    <n v="10"/>
    <n v="2"/>
    <n v="0"/>
    <n v="0"/>
    <n v="0"/>
    <m/>
    <m/>
    <n v="0"/>
    <m/>
    <m/>
    <m/>
    <m/>
    <m/>
    <m/>
    <m/>
    <m/>
    <s v="38623-44BN"/>
    <s v="A01254"/>
    <s v="SP MANUFACTURING PTE LTD"/>
    <m/>
    <n v="0"/>
    <n v="0"/>
    <n v="0"/>
    <n v="0"/>
    <n v="0"/>
    <n v="0"/>
    <m/>
    <m/>
    <m/>
    <s v="No"/>
    <s v="W662782"/>
    <n v="0"/>
    <m/>
    <s v="A01254"/>
    <m/>
    <m/>
    <s v="ZSA101753"/>
  </r>
  <r>
    <x v="560"/>
    <n v="10000"/>
    <n v="20000"/>
    <d v="2025-03-14T00:00:00"/>
    <s v="502LAUGH"/>
    <s v=" 9:16:22 am"/>
    <s v="U230952034"/>
    <m/>
    <x v="2"/>
    <s v="Yes"/>
    <n v="78"/>
    <s v="Baby Sanki"/>
    <x v="2"/>
    <s v="PM84"/>
    <s v="TAN TAI TOH"/>
    <n v="1667"/>
    <n v="86.674999999999997"/>
    <n v="1.4445833333333333"/>
    <d v="2025-03-13T00:00:00"/>
    <m/>
    <n v="3"/>
    <n v="5001"/>
    <s v="PE"/>
    <s v="38623-44BN0001"/>
    <n v="0"/>
    <n v="5000"/>
    <n v="1"/>
    <n v="0"/>
    <n v="0"/>
    <n v="0"/>
    <m/>
    <m/>
    <n v="0"/>
    <m/>
    <m/>
    <m/>
    <m/>
    <m/>
    <m/>
    <m/>
    <m/>
    <s v="38623-44BN"/>
    <s v="A01254"/>
    <s v="SP MANUFACTURING PTE LTD"/>
    <m/>
    <n v="0"/>
    <n v="0"/>
    <n v="0"/>
    <n v="0"/>
    <n v="0"/>
    <n v="0"/>
    <m/>
    <m/>
    <m/>
    <s v="No"/>
    <s v="W662783"/>
    <n v="0"/>
    <m/>
    <s v="A01254"/>
    <m/>
    <m/>
    <s v="S0360734"/>
  </r>
  <r>
    <x v="508"/>
    <n v="10000"/>
    <n v="20000"/>
    <d v="2025-03-13T00:00:00"/>
    <s v="502LAUGH"/>
    <d v="1899-12-30T10:43:06"/>
    <s v="U4B1958052"/>
    <m/>
    <x v="0"/>
    <s v="Yes"/>
    <n v="82"/>
    <s v="Polly"/>
    <x v="3"/>
    <s v="PM11"/>
    <s v="TEE MENG CHAI"/>
    <n v="1670"/>
    <m/>
    <m/>
    <d v="2025-03-13T00:00:00"/>
    <m/>
    <n v="1"/>
    <n v="1670"/>
    <s v="PE"/>
    <s v="LBL-CYPERMETHRIN0001"/>
    <n v="0"/>
    <n v="1515"/>
    <n v="155"/>
    <n v="0"/>
    <n v="0"/>
    <n v="0"/>
    <m/>
    <m/>
    <n v="0"/>
    <m/>
    <m/>
    <m/>
    <m/>
    <m/>
    <m/>
    <m/>
    <m/>
    <s v="LBL-CYPERMETHRIN 20E"/>
    <s v="A01248"/>
    <s v="ASIATIC AGRICULTURAL INDUSTRIES PTE LTD"/>
    <m/>
    <n v="0"/>
    <n v="0"/>
    <n v="0"/>
    <n v="0"/>
    <n v="0"/>
    <n v="0"/>
    <m/>
    <m/>
    <m/>
    <s v="No"/>
    <s v="W662785"/>
    <n v="0"/>
    <m/>
    <s v="A01248"/>
    <m/>
    <m/>
    <s v="S0360880"/>
  </r>
  <r>
    <x v="561"/>
    <n v="10000"/>
    <n v="10000"/>
    <d v="2025-03-13T00:00:00"/>
    <s v="502LAUGH"/>
    <s v=" 2:36:14 pm"/>
    <s v="4103026U5A"/>
    <m/>
    <x v="2"/>
    <s v="Yes"/>
    <n v="46"/>
    <s v="Sanki 300 Intermittent"/>
    <x v="2"/>
    <s v="PS66"/>
    <s v="SIM ENG KWANG"/>
    <n v="1000"/>
    <n v="70"/>
    <n v="1.1666666666666667"/>
    <d v="2025-03-13T00:00:00"/>
    <m/>
    <n v="1"/>
    <n v="1000"/>
    <s v="PE"/>
    <s v="260-6484-000001"/>
    <n v="0"/>
    <n v="1000"/>
    <n v="0"/>
    <n v="0"/>
    <n v="0"/>
    <n v="0"/>
    <m/>
    <m/>
    <n v="0"/>
    <m/>
    <m/>
    <m/>
    <m/>
    <m/>
    <m/>
    <m/>
    <m/>
    <s v="260-6484-00"/>
    <s v="J10025"/>
    <s v="JMS SINGAPORE PTE LTD"/>
    <m/>
    <n v="0"/>
    <n v="0"/>
    <n v="0"/>
    <n v="0"/>
    <n v="0"/>
    <n v="0"/>
    <m/>
    <m/>
    <m/>
    <s v="No"/>
    <s v="W662787"/>
    <n v="0"/>
    <m/>
    <s v="J10025"/>
    <m/>
    <m/>
    <s v="S0360889"/>
  </r>
  <r>
    <x v="352"/>
    <n v="10000"/>
    <n v="20000"/>
    <d v="2025-03-14T00:00:00"/>
    <s v="502LAUGH"/>
    <s v=" 8:43:21 am"/>
    <s v="D10072851"/>
    <m/>
    <x v="0"/>
    <s v="Yes"/>
    <n v="105"/>
    <s v="Laser"/>
    <x v="5"/>
    <s v="PM87"/>
    <s v="LEE SHIEN WEI"/>
    <n v="2200"/>
    <m/>
    <m/>
    <d v="2025-03-13T00:00:00"/>
    <m/>
    <n v="1"/>
    <n v="2200"/>
    <s v="PE"/>
    <s v="PRTN2037351818-20001"/>
    <n v="0"/>
    <n v="1594"/>
    <n v="606"/>
    <n v="0"/>
    <n v="0"/>
    <n v="0"/>
    <m/>
    <m/>
    <n v="0"/>
    <m/>
    <m/>
    <m/>
    <m/>
    <m/>
    <m/>
    <m/>
    <m/>
    <s v="MDRM0222"/>
    <s v="A01486"/>
    <s v="AMT PTE LTD"/>
    <m/>
    <n v="0"/>
    <n v="0"/>
    <n v="0"/>
    <n v="0"/>
    <n v="0"/>
    <n v="0"/>
    <m/>
    <m/>
    <m/>
    <s v="No"/>
    <s v="W663045"/>
    <n v="0"/>
    <m/>
    <s v="A01486"/>
    <m/>
    <m/>
    <s v="S0360886"/>
  </r>
  <r>
    <x v="562"/>
    <n v="10000"/>
    <n v="10000"/>
    <d v="2025-03-14T00:00:00"/>
    <s v="502LAUGH"/>
    <s v=" 3:56:33 pm"/>
    <n v="860908144578"/>
    <m/>
    <x v="2"/>
    <s v="Yes"/>
    <n v="79"/>
    <s v="HP Indigo 6800"/>
    <x v="4"/>
    <s v="PM16"/>
    <s v="TEO KAH JUN"/>
    <n v="550"/>
    <n v="57.5"/>
    <n v="0.95833333333333337"/>
    <d v="2025-03-13T00:00:00"/>
    <m/>
    <n v="8"/>
    <n v="4400"/>
    <s v="PE"/>
    <s v="TI01030001"/>
    <n v="0"/>
    <n v="3300"/>
    <n v="1100"/>
    <n v="0"/>
    <n v="0"/>
    <n v="0"/>
    <m/>
    <m/>
    <n v="0"/>
    <m/>
    <m/>
    <m/>
    <m/>
    <m/>
    <m/>
    <m/>
    <m/>
    <s v="TI0103"/>
    <s v="T20144-FLAVOR"/>
    <s v="TAKASAGO INTERNATIONAL (SINGAPORE) PTE LTD"/>
    <m/>
    <n v="0"/>
    <n v="0"/>
    <n v="0"/>
    <n v="0"/>
    <n v="0"/>
    <n v="0"/>
    <m/>
    <m/>
    <m/>
    <s v="No"/>
    <s v="W663047"/>
    <n v="0"/>
    <m/>
    <s v="T20144-FLAVOR"/>
    <m/>
    <m/>
    <s v="S0360894"/>
  </r>
  <r>
    <x v="563"/>
    <n v="10000"/>
    <n v="10000"/>
    <d v="2025-03-14T00:00:00"/>
    <s v="502LAUGH"/>
    <s v=" 8:44:54 am"/>
    <s v="XHX2410080002/48412"/>
    <m/>
    <x v="2"/>
    <s v="Yes"/>
    <n v="60"/>
    <s v="Fujishiko UDP-5000"/>
    <x v="3"/>
    <s v="PM30"/>
    <s v="OH KIAN YUAN"/>
    <n v="4000"/>
    <n v="125"/>
    <n v="2.0833333333333335"/>
    <d v="2025-03-13T00:00:00"/>
    <m/>
    <n v="5"/>
    <n v="20000"/>
    <s v="PE"/>
    <s v="5MM DIA TAPE0001"/>
    <n v="0"/>
    <n v="20000"/>
    <n v="0"/>
    <n v="0"/>
    <n v="0"/>
    <n v="0"/>
    <m/>
    <m/>
    <n v="0"/>
    <m/>
    <m/>
    <m/>
    <m/>
    <m/>
    <m/>
    <m/>
    <m/>
    <s v="5MM DIA TAPE"/>
    <s v="F06180"/>
    <s v="FULL-MASK TECHNOLOGIES PTE LTD"/>
    <m/>
    <n v="0"/>
    <n v="0"/>
    <n v="0"/>
    <n v="0"/>
    <n v="0"/>
    <n v="0"/>
    <m/>
    <m/>
    <m/>
    <s v="No"/>
    <s v="W663058"/>
    <n v="0"/>
    <m/>
    <s v="F06180"/>
    <m/>
    <m/>
    <s v="S0360921"/>
  </r>
  <r>
    <x v="564"/>
    <n v="10000"/>
    <n v="10000"/>
    <d v="2025-03-14T00:00:00"/>
    <s v="502LAUGH"/>
    <s v=" 8:44:54 am"/>
    <s v="XHX2410080002/48412"/>
    <m/>
    <x v="2"/>
    <s v="Yes"/>
    <n v="60"/>
    <s v="Fujishiko UDP-5000"/>
    <x v="3"/>
    <s v="PM30"/>
    <s v="OH KIAN YUAN"/>
    <n v="2500"/>
    <n v="95"/>
    <n v="1.5833333333333333"/>
    <d v="2025-03-13T00:00:00"/>
    <m/>
    <n v="8"/>
    <n v="20000"/>
    <s v="PE"/>
    <s v="8MM DIA TAPE0001"/>
    <n v="0"/>
    <n v="20000"/>
    <n v="0"/>
    <n v="0"/>
    <n v="0"/>
    <n v="0"/>
    <m/>
    <m/>
    <n v="0"/>
    <m/>
    <m/>
    <m/>
    <m/>
    <m/>
    <m/>
    <m/>
    <m/>
    <s v="8MM DIA TAPE"/>
    <s v="F06180"/>
    <s v="FULL-MASK TECHNOLOGIES PTE LTD"/>
    <m/>
    <n v="0"/>
    <n v="0"/>
    <n v="0"/>
    <n v="0"/>
    <n v="0"/>
    <n v="0"/>
    <m/>
    <m/>
    <m/>
    <s v="No"/>
    <s v="W663059"/>
    <n v="0"/>
    <m/>
    <s v="F06180"/>
    <m/>
    <m/>
    <s v="S0360921"/>
  </r>
  <r>
    <x v="565"/>
    <n v="10000"/>
    <n v="10000"/>
    <d v="2025-03-13T00:00:00"/>
    <s v="502LAUGH"/>
    <s v=" 1:41:52 pm"/>
    <s v="3830U7060"/>
    <m/>
    <x v="2"/>
    <s v="Yes"/>
    <n v="61"/>
    <s v="FSK 520"/>
    <x v="2"/>
    <s v="PM68"/>
    <s v="LEE KIM LIANG"/>
    <n v="200"/>
    <n v="49"/>
    <n v="0.81666666666666665"/>
    <d v="2025-03-13T00:00:00"/>
    <m/>
    <n v="1"/>
    <n v="200"/>
    <s v="PE"/>
    <n v="107440870001"/>
    <n v="0"/>
    <n v="200"/>
    <n v="0"/>
    <n v="0"/>
    <n v="0"/>
    <n v="0"/>
    <m/>
    <m/>
    <n v="0"/>
    <m/>
    <m/>
    <m/>
    <m/>
    <m/>
    <m/>
    <m/>
    <m/>
    <n v="10744087"/>
    <s v="I09109"/>
    <s v="IKE TECHNOLOGY"/>
    <m/>
    <n v="0"/>
    <n v="0"/>
    <n v="0"/>
    <n v="0"/>
    <n v="0"/>
    <n v="0"/>
    <m/>
    <m/>
    <m/>
    <s v="No"/>
    <s v="W662790"/>
    <n v="0"/>
    <m/>
    <s v="I09109"/>
    <m/>
    <m/>
    <s v="S0360927"/>
  </r>
  <r>
    <x v="566"/>
    <n v="10000"/>
    <n v="10000"/>
    <d v="2025-03-13T00:00:00"/>
    <s v="502LAUGH"/>
    <s v=" 1:41:52 pm"/>
    <s v="3830U7060"/>
    <m/>
    <x v="2"/>
    <s v="Yes"/>
    <n v="61"/>
    <s v="FSK 520"/>
    <x v="2"/>
    <s v="PM68"/>
    <s v="LEE KIM LIANG"/>
    <n v="250"/>
    <n v="50"/>
    <n v="0.83333333333333337"/>
    <d v="2025-03-13T00:00:00"/>
    <m/>
    <n v="1"/>
    <n v="250"/>
    <s v="PE"/>
    <n v="107133730001"/>
    <n v="0"/>
    <n v="250"/>
    <n v="0"/>
    <n v="0"/>
    <n v="0"/>
    <n v="0"/>
    <m/>
    <m/>
    <n v="0"/>
    <m/>
    <m/>
    <m/>
    <m/>
    <m/>
    <m/>
    <m/>
    <m/>
    <n v="10713373"/>
    <s v="I09109"/>
    <s v="IKE TECHNOLOGY"/>
    <m/>
    <n v="0"/>
    <n v="0"/>
    <n v="0"/>
    <n v="0"/>
    <n v="0"/>
    <n v="0"/>
    <m/>
    <m/>
    <m/>
    <s v="No"/>
    <s v="W662791"/>
    <n v="0"/>
    <m/>
    <s v="I09109"/>
    <m/>
    <m/>
    <s v="S0360928"/>
  </r>
  <r>
    <x v="567"/>
    <n v="10000"/>
    <n v="10000"/>
    <d v="2025-03-14T00:00:00"/>
    <s v="502LAUGH"/>
    <d v="1899-12-30T10:55:03"/>
    <s v="3830U7060"/>
    <m/>
    <x v="2"/>
    <s v="Yes"/>
    <n v="61"/>
    <s v="FSK 520"/>
    <x v="2"/>
    <s v="PM68"/>
    <s v="LEE KIM LIANG"/>
    <n v="500"/>
    <n v="55"/>
    <n v="0.91666666666666663"/>
    <d v="2025-03-13T00:00:00"/>
    <m/>
    <n v="1"/>
    <n v="500"/>
    <s v="PE"/>
    <n v="107458060001"/>
    <n v="0"/>
    <n v="500"/>
    <n v="0"/>
    <n v="0"/>
    <n v="0"/>
    <n v="0"/>
    <m/>
    <m/>
    <n v="0"/>
    <m/>
    <m/>
    <m/>
    <m/>
    <m/>
    <m/>
    <m/>
    <m/>
    <n v="10745806"/>
    <s v="I09109"/>
    <s v="IKE TECHNOLOGY"/>
    <m/>
    <n v="0"/>
    <n v="0"/>
    <n v="0"/>
    <n v="0"/>
    <n v="0"/>
    <n v="0"/>
    <m/>
    <m/>
    <m/>
    <s v="No"/>
    <s v="W663061"/>
    <n v="0"/>
    <m/>
    <s v="I09109"/>
    <m/>
    <m/>
    <s v="S0360929"/>
  </r>
  <r>
    <x v="568"/>
    <n v="10000"/>
    <n v="10000"/>
    <d v="2025-03-14T00:00:00"/>
    <s v="502LAUGH"/>
    <s v=" 3:37:48 pm"/>
    <s v="U522458002"/>
    <m/>
    <x v="2"/>
    <s v="Yes"/>
    <n v="72"/>
    <s v="Xeikon 3500"/>
    <x v="4"/>
    <s v="PM17"/>
    <s v="NG SWEE CHEA"/>
    <n v="7500"/>
    <m/>
    <m/>
    <d v="2025-03-13T00:00:00"/>
    <m/>
    <n v="4"/>
    <n v="30000"/>
    <s v="PE"/>
    <s v="HP-Y0U21-801900001"/>
    <n v="0"/>
    <n v="25000"/>
    <n v="5000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3062"/>
    <n v="0"/>
    <m/>
    <s v="Z26005"/>
    <m/>
    <m/>
    <s v="S0360930"/>
  </r>
  <r>
    <x v="568"/>
    <n v="10000"/>
    <n v="20000"/>
    <d v="2025-03-14T00:00:00"/>
    <s v="502LAUGH"/>
    <s v=" 3:37:48 pm"/>
    <s v="U522458002"/>
    <m/>
    <x v="0"/>
    <s v="Yes"/>
    <n v="82"/>
    <s v="Polly"/>
    <x v="3"/>
    <s v="PM11"/>
    <s v="TEE MENG CHAI"/>
    <n v="4667"/>
    <m/>
    <m/>
    <d v="2025-03-13T00:00:00"/>
    <m/>
    <n v="6"/>
    <n v="28002"/>
    <s v="PE"/>
    <s v="HP-Y0U21-801900001"/>
    <n v="0"/>
    <n v="25000"/>
    <n v="3002"/>
    <n v="0"/>
    <n v="0"/>
    <n v="0"/>
    <m/>
    <m/>
    <n v="0"/>
    <m/>
    <m/>
    <m/>
    <m/>
    <m/>
    <m/>
    <m/>
    <m/>
    <s v="HP-Y0U21-80190"/>
    <s v="Z26005"/>
    <s v="CCL DESIGN SDN. BHD."/>
    <m/>
    <n v="0"/>
    <n v="0"/>
    <n v="0"/>
    <n v="0"/>
    <n v="0"/>
    <n v="0"/>
    <m/>
    <m/>
    <m/>
    <s v="No"/>
    <s v="W663062"/>
    <n v="0"/>
    <m/>
    <s v="Z26005"/>
    <m/>
    <m/>
    <s v="S0360930"/>
  </r>
  <r>
    <x v="569"/>
    <n v="10000"/>
    <n v="10000"/>
    <d v="2025-03-14T00:00:00"/>
    <s v="502LAUGH"/>
    <s v=" 8:32:15 am"/>
    <s v="U522458002"/>
    <m/>
    <x v="2"/>
    <s v="Yes"/>
    <n v="72"/>
    <s v="Xeikon 3500"/>
    <x v="4"/>
    <s v="PM17"/>
    <s v="NG SWEE CHEA"/>
    <n v="15000"/>
    <m/>
    <m/>
    <d v="2025-03-13T00:00:00"/>
    <m/>
    <n v="2"/>
    <n v="30000"/>
    <s v="PE"/>
    <s v="EXPIRED-4X80001"/>
    <n v="0"/>
    <n v="25000"/>
    <n v="5000"/>
    <n v="0"/>
    <n v="0"/>
    <n v="0"/>
    <m/>
    <m/>
    <n v="0"/>
    <m/>
    <m/>
    <m/>
    <m/>
    <m/>
    <m/>
    <m/>
    <m/>
    <s v="EXPIRED-4X8"/>
    <s v="S19337"/>
    <s v="ST LOGISTICS PTE LTD"/>
    <m/>
    <n v="0"/>
    <n v="0"/>
    <n v="0"/>
    <n v="0"/>
    <n v="0"/>
    <n v="0"/>
    <m/>
    <m/>
    <m/>
    <s v="No"/>
    <s v="W663080"/>
    <n v="0"/>
    <m/>
    <s v="S19337"/>
    <m/>
    <m/>
    <s v="S0361029"/>
  </r>
  <r>
    <x v="569"/>
    <n v="10000"/>
    <n v="20000"/>
    <d v="2025-03-14T00:00:00"/>
    <s v="502LAUGH"/>
    <s v=" 8:32:15 am"/>
    <s v="U522458002"/>
    <m/>
    <x v="0"/>
    <s v="Yes"/>
    <n v="71"/>
    <s v="POLLY"/>
    <x v="3"/>
    <s v="PS95"/>
    <s v="LIM CHENG LEONG"/>
    <n v="12500"/>
    <m/>
    <m/>
    <d v="2025-03-13T00:00:00"/>
    <m/>
    <n v="2"/>
    <n v="25000"/>
    <s v="PE"/>
    <s v="EXPIRED-4X80001"/>
    <n v="0"/>
    <n v="25000"/>
    <n v="0"/>
    <n v="0"/>
    <n v="0"/>
    <n v="0"/>
    <m/>
    <m/>
    <n v="0"/>
    <m/>
    <m/>
    <m/>
    <m/>
    <m/>
    <m/>
    <m/>
    <m/>
    <s v="EXPIRED-4X8"/>
    <s v="S19337"/>
    <s v="ST LOGISTICS PTE LTD"/>
    <m/>
    <n v="0"/>
    <n v="0"/>
    <n v="0"/>
    <n v="0"/>
    <n v="0"/>
    <n v="0"/>
    <m/>
    <m/>
    <m/>
    <s v="No"/>
    <s v="W663080"/>
    <n v="0"/>
    <m/>
    <s v="S19337"/>
    <m/>
    <m/>
    <s v="S0361029"/>
  </r>
  <r>
    <x v="570"/>
    <n v="10000"/>
    <n v="10000"/>
    <d v="2025-03-17T00:00:00"/>
    <s v="502LAUGH"/>
    <s v=" 8:50:13 am"/>
    <s v="M0BFL2381"/>
    <m/>
    <x v="2"/>
    <s v="Yes"/>
    <n v="78"/>
    <s v="Baby Sanki"/>
    <x v="2"/>
    <s v="PM84"/>
    <s v="TAN TAI TOH"/>
    <n v="2750"/>
    <n v="113.75"/>
    <n v="1.8958333333333333"/>
    <d v="2025-03-13T00:00:00"/>
    <m/>
    <n v="16"/>
    <n v="44000"/>
    <s v="PE"/>
    <s v="714370201-ADS1360001"/>
    <n v="0"/>
    <n v="4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090"/>
    <n v="0"/>
    <m/>
    <s v="S19314"/>
    <m/>
    <m/>
    <s v="H0064726"/>
  </r>
  <r>
    <x v="518"/>
    <n v="10000"/>
    <n v="20000"/>
    <d v="2025-03-14T00:00:00"/>
    <s v="502LAUGH"/>
    <s v=" 9:42:05 am"/>
    <s v="M0BFL2381"/>
    <m/>
    <x v="0"/>
    <s v="Yes"/>
    <n v="63"/>
    <s v="SANKI"/>
    <x v="3"/>
    <s v="PM80"/>
    <s v="YAP ZHI PING"/>
    <n v="5000"/>
    <n v="170"/>
    <n v="2.8333333333333335"/>
    <d v="2025-03-13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3092"/>
    <n v="0"/>
    <m/>
    <s v="S19314"/>
    <m/>
    <m/>
    <s v="H0064728"/>
  </r>
  <r>
    <x v="465"/>
    <n v="10000"/>
    <n v="20000"/>
    <d v="2025-03-14T00:00:00"/>
    <s v="502LAUGH"/>
    <s v=" 9:42:05 am"/>
    <s v="M0BFL2381"/>
    <m/>
    <x v="0"/>
    <s v="Yes"/>
    <n v="63"/>
    <s v="SANKI"/>
    <x v="3"/>
    <s v="PM80"/>
    <s v="YAP ZHI PING"/>
    <n v="5000"/>
    <n v="170"/>
    <n v="2.8333333333333335"/>
    <d v="2025-03-13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3094"/>
    <n v="0"/>
    <m/>
    <s v="S19314"/>
    <m/>
    <m/>
    <s v="H0064730"/>
  </r>
  <r>
    <x v="466"/>
    <n v="10000"/>
    <n v="20000"/>
    <d v="2025-03-14T00:00:00"/>
    <s v="502LAUGH"/>
    <s v=" 9:42:05 am"/>
    <s v="M0BFL2381"/>
    <m/>
    <x v="0"/>
    <s v="Yes"/>
    <n v="63"/>
    <s v="SANKI"/>
    <x v="3"/>
    <s v="PM80"/>
    <s v="YAP ZHI PING"/>
    <n v="5000"/>
    <n v="170"/>
    <n v="2.8333333333333335"/>
    <d v="2025-03-13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3095"/>
    <n v="0"/>
    <m/>
    <s v="S19314"/>
    <m/>
    <m/>
    <s v="H0064731"/>
  </r>
  <r>
    <x v="519"/>
    <n v="10000"/>
    <n v="20000"/>
    <d v="2025-03-14T00:00:00"/>
    <s v="502LAUGH"/>
    <s v=" 9:30:53 am"/>
    <s v="M4B4603BGJBJ201-S249100152/E0531904"/>
    <m/>
    <x v="2"/>
    <s v="Yes"/>
    <n v="66"/>
    <s v="Fujishiko "/>
    <x v="3"/>
    <s v="PM48"/>
    <s v="CHAN TZYY XUAN"/>
    <n v="30000"/>
    <n v="645"/>
    <n v="10.75"/>
    <d v="2025-03-13T00:00:00"/>
    <m/>
    <n v="1"/>
    <n v="30000"/>
    <s v="PE"/>
    <s v="716626800 REVC0001"/>
    <n v="0"/>
    <n v="3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3646"/>
    <n v="0"/>
    <m/>
    <s v="S19314"/>
    <m/>
    <m/>
    <s v="H0064733"/>
  </r>
  <r>
    <x v="467"/>
    <n v="10000"/>
    <n v="20000"/>
    <d v="2025-03-14T00:00:00"/>
    <s v="502LAUGH"/>
    <s v=" 9:37:40 am"/>
    <n v="12190705006"/>
    <m/>
    <x v="2"/>
    <s v="Yes"/>
    <n v="68"/>
    <s v="SANKI"/>
    <x v="3"/>
    <s v="PM35"/>
    <s v="TAN MIN KANG"/>
    <n v="15000"/>
    <n v="420"/>
    <n v="7"/>
    <d v="2025-03-13T00:00:00"/>
    <m/>
    <n v="2"/>
    <n v="30000"/>
    <s v="PE"/>
    <s v="719007600 REVA0001"/>
    <n v="0"/>
    <n v="30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63097"/>
    <n v="0"/>
    <m/>
    <s v="S19314"/>
    <m/>
    <m/>
    <s v="H0064735"/>
  </r>
  <r>
    <x v="571"/>
    <n v="10000"/>
    <n v="10000"/>
    <d v="2025-03-18T00:00:00"/>
    <s v="502LAUGH"/>
    <s v=" 8:46:16 am"/>
    <s v="M0BFL2381"/>
    <m/>
    <x v="2"/>
    <s v="Yes"/>
    <n v="78"/>
    <s v="Baby Sanki"/>
    <x v="2"/>
    <s v="PM84"/>
    <s v="TAN TAI TOH"/>
    <n v="8000"/>
    <n v="245"/>
    <n v="4.083333333333333"/>
    <d v="2025-03-1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652"/>
    <n v="0"/>
    <m/>
    <s v="S19081-TH"/>
    <m/>
    <m/>
    <s v="H0064758"/>
  </r>
  <r>
    <x v="572"/>
    <n v="10000"/>
    <n v="10000"/>
    <d v="2025-03-18T00:00:00"/>
    <s v="502LAUGH"/>
    <s v=" 8:46:52 am"/>
    <s v="M0BFL2381"/>
    <m/>
    <x v="2"/>
    <s v="Yes"/>
    <n v="78"/>
    <s v="Baby Sanki"/>
    <x v="2"/>
    <s v="PM84"/>
    <s v="TAN TAI TOH"/>
    <n v="8000"/>
    <n v="245"/>
    <n v="4.083333333333333"/>
    <d v="2025-03-13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653"/>
    <n v="0"/>
    <m/>
    <s v="S19081-TH"/>
    <m/>
    <m/>
    <s v="H0064759"/>
  </r>
  <r>
    <x v="573"/>
    <n v="10000"/>
    <n v="10000"/>
    <d v="2025-03-21T00:00:00"/>
    <s v="502LAUGH"/>
    <s v=" 8:51:55 am"/>
    <s v="M4B4603BGJBJ217-S249100193/E0209912"/>
    <m/>
    <x v="2"/>
    <s v="Yes"/>
    <n v="66"/>
    <s v="Fujishiko "/>
    <x v="3"/>
    <s v="PM48"/>
    <s v="CHAN TZYY XUAN"/>
    <n v="280000"/>
    <n v="5645"/>
    <n v="94.083333333333329"/>
    <d v="2025-03-13T00:00:00"/>
    <m/>
    <n v="1"/>
    <n v="280000"/>
    <s v="PE"/>
    <s v="716626800 REVC0001"/>
    <n v="0"/>
    <n v="28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3654"/>
    <n v="0"/>
    <m/>
    <s v="S19081-TH"/>
    <m/>
    <m/>
    <s v="H0064762"/>
  </r>
  <r>
    <x v="574"/>
    <n v="10000"/>
    <n v="10000"/>
    <d v="2025-03-17T00:00:00"/>
    <s v="502LAUGH"/>
    <s v=" 8:40:38 am"/>
    <n v="12190705005"/>
    <m/>
    <x v="2"/>
    <s v="Yes"/>
    <n v="68"/>
    <s v="SANKI"/>
    <x v="3"/>
    <s v="PM35"/>
    <s v="TAN MIN KANG"/>
    <n v="15000"/>
    <n v="420"/>
    <n v="7"/>
    <d v="2025-03-13T00:00:00"/>
    <m/>
    <n v="2"/>
    <n v="30000"/>
    <s v="PE"/>
    <s v="719007600 REVA0001"/>
    <n v="0"/>
    <n v="30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63109"/>
    <n v="0"/>
    <m/>
    <s v="S19081-TH"/>
    <m/>
    <m/>
    <s v="H0064763"/>
  </r>
  <r>
    <x v="574"/>
    <n v="10000"/>
    <n v="20000"/>
    <d v="2025-03-17T00:00:00"/>
    <s v="502LAUGH"/>
    <s v=" 8:40:38 am"/>
    <n v="12190705005"/>
    <m/>
    <x v="2"/>
    <s v="Yes"/>
    <n v="68"/>
    <s v="SANKI"/>
    <x v="3"/>
    <s v="QC04"/>
    <s v="YANG TONGJING"/>
    <n v="35000"/>
    <m/>
    <m/>
    <d v="2025-03-13T00:00:00"/>
    <m/>
    <n v="2"/>
    <n v="70000"/>
    <s v="PE"/>
    <s v="719007600 REVA0001"/>
    <n v="0"/>
    <n v="70000"/>
    <n v="0"/>
    <n v="0"/>
    <n v="0"/>
    <n v="0"/>
    <m/>
    <m/>
    <n v="0"/>
    <m/>
    <m/>
    <m/>
    <m/>
    <m/>
    <m/>
    <m/>
    <m/>
    <s v="719007600 REVA"/>
    <s v="S19081-TH"/>
    <s v="SEAGATE TECHNOLOGY (THAILAND) LTD."/>
    <m/>
    <n v="0"/>
    <n v="0"/>
    <n v="0"/>
    <n v="0"/>
    <n v="0"/>
    <n v="0"/>
    <m/>
    <m/>
    <m/>
    <s v="No"/>
    <s v="W663109"/>
    <n v="0"/>
    <m/>
    <s v="S19081-TH"/>
    <m/>
    <m/>
    <s v="H0064763"/>
  </r>
  <r>
    <x v="471"/>
    <n v="10000"/>
    <n v="20000"/>
    <d v="2025-03-17T00:00:00"/>
    <s v="502LAUGH"/>
    <s v=" 8:43:04 am"/>
    <s v="M4B4408BGJ9J309-S247200005/E0531904"/>
    <m/>
    <x v="2"/>
    <s v="Yes"/>
    <n v="62"/>
    <s v="Fujishiko "/>
    <x v="3"/>
    <s v="PM42"/>
    <s v="ALEXANDER YAP KEE NYEN"/>
    <n v="50000"/>
    <m/>
    <m/>
    <d v="2025-03-13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3656"/>
    <n v="0"/>
    <m/>
    <s v="S19081-TH"/>
    <m/>
    <m/>
    <s v="H0064767"/>
  </r>
  <r>
    <x v="575"/>
    <n v="10000"/>
    <n v="10000"/>
    <d v="2025-03-13T00:00:00"/>
    <s v="502LAUGH"/>
    <s v=" 4:11:23 pm"/>
    <s v="4236S1"/>
    <m/>
    <x v="2"/>
    <s v="Yes"/>
    <n v="65"/>
    <s v="Sanki SDR300"/>
    <x v="3"/>
    <s v="PMJ7"/>
    <s v="FOONG SEL YI"/>
    <n v="39"/>
    <n v="45.975000000000001"/>
    <n v="0.76624999999999999"/>
    <d v="2025-03-13T00:00:00"/>
    <m/>
    <n v="26"/>
    <n v="1014"/>
    <s v="PE"/>
    <s v="FMMB00272010001"/>
    <n v="0"/>
    <n v="1000"/>
    <n v="14"/>
    <n v="0"/>
    <n v="0"/>
    <n v="0"/>
    <m/>
    <m/>
    <n v="0"/>
    <m/>
    <m/>
    <m/>
    <m/>
    <m/>
    <m/>
    <m/>
    <m/>
    <s v="FMMB0027201"/>
    <s v="T20104"/>
    <s v="TOSHIBA TEC SINGAPORE PTE LTD"/>
    <m/>
    <n v="0"/>
    <n v="0"/>
    <n v="0"/>
    <n v="0"/>
    <n v="0"/>
    <n v="0"/>
    <m/>
    <m/>
    <m/>
    <s v="No"/>
    <s v="W663116"/>
    <n v="0"/>
    <m/>
    <s v="T20104"/>
    <m/>
    <m/>
    <s v="S0361067"/>
  </r>
  <r>
    <x v="576"/>
    <n v="10000"/>
    <n v="10000"/>
    <d v="2025-03-13T00:00:00"/>
    <s v="502LAUGH"/>
    <s v=" 1:44:32 pm"/>
    <s v="3236S1"/>
    <m/>
    <x v="2"/>
    <s v="Yes"/>
    <n v="65"/>
    <s v="Sanki SDR300"/>
    <x v="3"/>
    <s v="PMJ7"/>
    <s v="FOONG SEL YI"/>
    <n v="231"/>
    <n v="50.774999999999999"/>
    <n v="0.84624999999999995"/>
    <d v="2025-03-13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2807"/>
    <n v="0"/>
    <m/>
    <s v="T20104"/>
    <m/>
    <m/>
    <s v="S0361067"/>
  </r>
  <r>
    <x v="577"/>
    <n v="10000"/>
    <n v="10000"/>
    <d v="2025-03-14T00:00:00"/>
    <s v="502LAUGH"/>
    <s v=" 9:54:54 am"/>
    <s v="4136S1"/>
    <m/>
    <x v="2"/>
    <s v="Yes"/>
    <n v="65"/>
    <s v="Sanki SDR300"/>
    <x v="3"/>
    <s v="PMJ7"/>
    <s v="FOONG SEL YI"/>
    <n v="539"/>
    <n v="58.475000000000001"/>
    <n v="0.97458333333333336"/>
    <d v="2025-03-13T00:00:00"/>
    <m/>
    <n v="26"/>
    <n v="14014"/>
    <s v="PE"/>
    <s v="TSMB00666010001"/>
    <n v="0"/>
    <n v="14000"/>
    <n v="14"/>
    <n v="0"/>
    <n v="0"/>
    <n v="0"/>
    <m/>
    <m/>
    <n v="0"/>
    <m/>
    <m/>
    <m/>
    <m/>
    <m/>
    <m/>
    <m/>
    <m/>
    <s v="TSMB0066601"/>
    <s v="T20104"/>
    <s v="TOSHIBA TEC SINGAPORE PTE LTD"/>
    <m/>
    <n v="0"/>
    <n v="0"/>
    <n v="0"/>
    <n v="0"/>
    <n v="0"/>
    <n v="0"/>
    <m/>
    <m/>
    <m/>
    <s v="No"/>
    <s v="W663118"/>
    <n v="0"/>
    <m/>
    <s v="T20104"/>
    <m/>
    <m/>
    <s v="S0361067"/>
  </r>
  <r>
    <x v="578"/>
    <n v="10000"/>
    <n v="10000"/>
    <d v="2025-03-13T00:00:00"/>
    <s v="502LAUGH"/>
    <s v=" 3:55:39 pm"/>
    <s v="4236S1"/>
    <m/>
    <x v="2"/>
    <s v="Yes"/>
    <n v="65"/>
    <s v="Sanki SDR300"/>
    <x v="3"/>
    <s v="PMJ7"/>
    <s v="FOONG SEL YI"/>
    <n v="313"/>
    <n v="52.825000000000003"/>
    <n v="0.88041666666666674"/>
    <d v="2025-03-13T00:00:00"/>
    <m/>
    <n v="8"/>
    <n v="2504"/>
    <s v="PE"/>
    <s v="TSMB00709010001"/>
    <n v="0"/>
    <n v="2500"/>
    <n v="4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63119"/>
    <n v="0"/>
    <m/>
    <s v="T20104"/>
    <m/>
    <m/>
    <s v="S0361067"/>
  </r>
  <r>
    <x v="579"/>
    <n v="10000"/>
    <n v="10000"/>
    <d v="2025-03-13T00:00:00"/>
    <s v="502LAUGH"/>
    <s v=" 2:36:14 pm"/>
    <s v="3236S1"/>
    <m/>
    <x v="2"/>
    <s v="Yes"/>
    <n v="65"/>
    <s v="Sanki SDR300"/>
    <x v="3"/>
    <s v="PMJ7"/>
    <s v="FOONG SEL YI"/>
    <n v="313"/>
    <n v="52.825000000000003"/>
    <n v="0.88041666666666674"/>
    <d v="2025-03-13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2808"/>
    <n v="0"/>
    <m/>
    <s v="T20104"/>
    <m/>
    <m/>
    <s v="S0361067"/>
  </r>
  <r>
    <x v="580"/>
    <n v="10000"/>
    <n v="10000"/>
    <d v="2025-03-14T00:00:00"/>
    <s v="502LAUGH"/>
    <s v=" 5:34:16 pm"/>
    <s v="D001F2410/4052209U5"/>
    <m/>
    <x v="2"/>
    <s v="Yes"/>
    <s v="ZC53"/>
    <s v="Zebra"/>
    <x v="4"/>
    <s v="PP24"/>
    <s v="HO HON SENG"/>
    <n v="1000"/>
    <m/>
    <m/>
    <d v="2025-03-13T00:00:00"/>
    <m/>
    <n v="1"/>
    <n v="1000"/>
    <s v="PE"/>
    <s v="TSMC00333070001"/>
    <n v="0"/>
    <n v="1000"/>
    <n v="0"/>
    <n v="0"/>
    <n v="0"/>
    <n v="0"/>
    <m/>
    <m/>
    <n v="0"/>
    <m/>
    <m/>
    <m/>
    <m/>
    <m/>
    <m/>
    <m/>
    <m/>
    <s v="TSMC0033307"/>
    <s v="T20104"/>
    <s v="TOSHIBA TEC SINGAPORE PTE LTD"/>
    <m/>
    <n v="0"/>
    <n v="0"/>
    <n v="0"/>
    <n v="0"/>
    <n v="0"/>
    <n v="0"/>
    <m/>
    <m/>
    <m/>
    <s v="No"/>
    <s v="W663121"/>
    <n v="0"/>
    <m/>
    <s v="T20104"/>
    <m/>
    <m/>
    <s v="S0361067"/>
  </r>
  <r>
    <x v="581"/>
    <n v="10000"/>
    <n v="10000"/>
    <d v="2025-03-14T00:00:00"/>
    <s v="502LAUGH"/>
    <s v=" 5:32:13 pm"/>
    <s v="E04L961001000"/>
    <m/>
    <x v="2"/>
    <s v="Yes"/>
    <s v="ZC51"/>
    <s v="Zebra"/>
    <x v="4"/>
    <s v="PP24"/>
    <s v="HO HON SENG"/>
    <n v="1000"/>
    <m/>
    <m/>
    <d v="2025-03-13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s v="TOSHIBA TEC SINGAPORE PTE LTD"/>
    <m/>
    <n v="0"/>
    <n v="0"/>
    <n v="0"/>
    <n v="0"/>
    <n v="0"/>
    <n v="0"/>
    <m/>
    <m/>
    <m/>
    <s v="No"/>
    <s v="W663123"/>
    <n v="0"/>
    <m/>
    <s v="T20104"/>
    <m/>
    <m/>
    <s v="S0361067"/>
  </r>
  <r>
    <x v="582"/>
    <n v="10000"/>
    <n v="10000"/>
    <d v="2025-03-13T00:00:00"/>
    <s v="502LAUGH"/>
    <s v=" 4:11:23 pm"/>
    <s v="4236S1"/>
    <m/>
    <x v="2"/>
    <s v="Yes"/>
    <n v="65"/>
    <s v="Sanki SDR300"/>
    <x v="3"/>
    <s v="PMJ7"/>
    <s v="FOONG SEL YI"/>
    <n v="110"/>
    <n v="47.75"/>
    <n v="0.79583333333333328"/>
    <d v="2025-03-13T00:00:00"/>
    <m/>
    <n v="26"/>
    <n v="2860"/>
    <s v="PE"/>
    <s v="FMMB00272010001"/>
    <n v="0"/>
    <n v="2840"/>
    <n v="20"/>
    <n v="0"/>
    <n v="0"/>
    <n v="0"/>
    <m/>
    <m/>
    <n v="0"/>
    <m/>
    <m/>
    <m/>
    <m/>
    <m/>
    <m/>
    <m/>
    <m/>
    <s v="FMMB0027201"/>
    <s v="T20104"/>
    <s v="TOSHIBA TEC SINGAPORE PTE LTD"/>
    <m/>
    <n v="0"/>
    <n v="0"/>
    <n v="0"/>
    <n v="0"/>
    <n v="0"/>
    <n v="0"/>
    <m/>
    <m/>
    <m/>
    <s v="No"/>
    <s v="W663125"/>
    <n v="0"/>
    <m/>
    <s v="T20104"/>
    <m/>
    <m/>
    <s v="PR006404"/>
  </r>
  <r>
    <x v="583"/>
    <n v="10000"/>
    <n v="10000"/>
    <d v="2025-03-13T00:00:00"/>
    <s v="502LAUGH"/>
    <s v=" 1:44:32 pm"/>
    <s v="3236S1"/>
    <m/>
    <x v="2"/>
    <s v="Yes"/>
    <n v="65"/>
    <s v="Sanki SDR300"/>
    <x v="3"/>
    <s v="PMJ7"/>
    <s v="FOONG SEL YI"/>
    <n v="924"/>
    <n v="68.099999999999994"/>
    <n v="1.135"/>
    <d v="2025-03-13T00:00:00"/>
    <m/>
    <n v="13"/>
    <n v="12012"/>
    <s v="PE"/>
    <s v="TSMB00661020001"/>
    <n v="0"/>
    <n v="12000"/>
    <n v="12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2810"/>
    <n v="0"/>
    <m/>
    <s v="T20104"/>
    <m/>
    <m/>
    <s v="PR006404"/>
  </r>
  <r>
    <x v="584"/>
    <n v="10000"/>
    <n v="10000"/>
    <d v="2025-03-13T00:00:00"/>
    <s v="502LAUGH"/>
    <s v=" 3:55:39 pm"/>
    <s v="4236S1"/>
    <m/>
    <x v="2"/>
    <s v="Yes"/>
    <n v="65"/>
    <s v="Sanki SDR300"/>
    <x v="3"/>
    <s v="PMJ7"/>
    <s v="FOONG SEL YI"/>
    <n v="625"/>
    <n v="60.625"/>
    <n v="1.0104166666666667"/>
    <d v="2025-03-13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63127"/>
    <n v="0"/>
    <m/>
    <s v="T20104"/>
    <m/>
    <m/>
    <s v="PR006404"/>
  </r>
  <r>
    <x v="585"/>
    <n v="10000"/>
    <n v="10000"/>
    <d v="2025-03-13T00:00:00"/>
    <s v="502LAUGH"/>
    <s v=" 2:36:14 pm"/>
    <s v="3236S1"/>
    <m/>
    <x v="2"/>
    <s v="Yes"/>
    <n v="65"/>
    <s v="Sanki SDR300"/>
    <x v="3"/>
    <s v="PMJ7"/>
    <s v="FOONG SEL YI"/>
    <n v="313"/>
    <n v="52.825000000000003"/>
    <n v="0.88041666666666674"/>
    <d v="2025-03-13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2811"/>
    <n v="0"/>
    <m/>
    <s v="T20104"/>
    <m/>
    <m/>
    <s v="PR006404"/>
  </r>
  <r>
    <x v="530"/>
    <n v="10000"/>
    <n v="20000"/>
    <d v="2025-03-13T00:00:00"/>
    <s v="502LAUGH"/>
    <s v=" 1:42:54 pm"/>
    <s v="U4B1958052"/>
    <m/>
    <x v="0"/>
    <s v="Yes"/>
    <n v="82"/>
    <s v="Polly"/>
    <x v="3"/>
    <s v="PM11"/>
    <s v="TEE MENG CHAI"/>
    <n v="467"/>
    <m/>
    <m/>
    <d v="2025-03-13T00:00:00"/>
    <m/>
    <n v="15"/>
    <n v="7005"/>
    <s v="PE"/>
    <s v="MANGO JUICE0001"/>
    <n v="0"/>
    <n v="5000"/>
    <n v="2005"/>
    <n v="0"/>
    <n v="0"/>
    <n v="0"/>
    <m/>
    <m/>
    <n v="0"/>
    <m/>
    <m/>
    <m/>
    <m/>
    <m/>
    <m/>
    <m/>
    <m/>
    <s v="MANGO JUICE"/>
    <s v="H08138"/>
    <s v="HONEY-LAND INTERNATIONAL PTE LTD"/>
    <m/>
    <n v="0"/>
    <n v="0"/>
    <n v="0"/>
    <n v="0"/>
    <n v="0"/>
    <n v="0"/>
    <m/>
    <m/>
    <m/>
    <s v="No"/>
    <s v="W663128"/>
    <n v="0"/>
    <m/>
    <s v="H08138"/>
    <m/>
    <m/>
    <s v="S0361081"/>
  </r>
  <r>
    <x v="586"/>
    <n v="10000"/>
    <n v="10000"/>
    <d v="2025-03-13T00:00:00"/>
    <s v="502LAUGH"/>
    <s v=" 5:48:17 pm"/>
    <s v="4103026U5A"/>
    <m/>
    <x v="2"/>
    <s v="Yes"/>
    <n v="46"/>
    <s v="Sanki 300 Intermittent"/>
    <x v="2"/>
    <s v="PS66"/>
    <s v="SIM ENG KWANG"/>
    <n v="2000"/>
    <n v="95"/>
    <n v="1.5833333333333333"/>
    <d v="2025-03-13T00:00:00"/>
    <m/>
    <n v="1"/>
    <n v="2000"/>
    <s v="PE"/>
    <s v="260-6411-000001"/>
    <n v="0"/>
    <n v="2000"/>
    <n v="0"/>
    <n v="0"/>
    <n v="0"/>
    <n v="0"/>
    <m/>
    <m/>
    <n v="0"/>
    <m/>
    <m/>
    <m/>
    <m/>
    <m/>
    <m/>
    <m/>
    <m/>
    <s v="260-6411-00"/>
    <s v="J10025"/>
    <s v="JMS SINGAPORE PTE LTD"/>
    <m/>
    <n v="0"/>
    <n v="0"/>
    <n v="0"/>
    <n v="0"/>
    <n v="0"/>
    <n v="0"/>
    <m/>
    <m/>
    <m/>
    <s v="No"/>
    <s v="W663129"/>
    <n v="0"/>
    <m/>
    <s v="J10025"/>
    <m/>
    <m/>
    <s v="S0361084"/>
  </r>
  <r>
    <x v="587"/>
    <n v="10000"/>
    <n v="10000"/>
    <d v="2025-03-14T00:00:00"/>
    <s v="502LAUGH"/>
    <s v=" 3:54:52 pm"/>
    <s v="4112304U5A"/>
    <m/>
    <x v="2"/>
    <s v="Yes"/>
    <n v="46"/>
    <s v="Sanki 300 Intermittent"/>
    <x v="2"/>
    <s v="PS66"/>
    <s v="SIM ENG KWANG"/>
    <n v="10000"/>
    <n v="295"/>
    <n v="4.916666666666667"/>
    <d v="2025-03-13T00:00:00"/>
    <m/>
    <n v="1"/>
    <n v="10000"/>
    <s v="PE"/>
    <s v="260-6443-000001"/>
    <n v="0"/>
    <n v="10000"/>
    <n v="0"/>
    <n v="0"/>
    <n v="0"/>
    <n v="0"/>
    <m/>
    <m/>
    <n v="0"/>
    <m/>
    <m/>
    <m/>
    <m/>
    <m/>
    <m/>
    <m/>
    <m/>
    <s v="260-6443-00"/>
    <s v="J10025"/>
    <s v="JMS SINGAPORE PTE LTD"/>
    <m/>
    <n v="0"/>
    <n v="0"/>
    <n v="0"/>
    <n v="0"/>
    <n v="0"/>
    <n v="0"/>
    <m/>
    <m/>
    <m/>
    <s v="No"/>
    <s v="W663137"/>
    <n v="0"/>
    <m/>
    <s v="J10025"/>
    <m/>
    <m/>
    <s v="S0361085"/>
  </r>
  <r>
    <x v="534"/>
    <n v="10000"/>
    <n v="20000"/>
    <d v="2025-03-13T00:00:00"/>
    <s v="502LAUGH"/>
    <d v="1899-12-30T10:41:58"/>
    <s v="M0BSM95701372"/>
    <m/>
    <x v="0"/>
    <s v="Yes"/>
    <n v="86"/>
    <s v="Brotech DF330 "/>
    <x v="0"/>
    <s v="PM45"/>
    <s v="TAY CHIN LIONG"/>
    <n v="1994"/>
    <n v="78.233333333333334"/>
    <n v="1.3038888888888889"/>
    <d v="2025-03-13T00:00:00"/>
    <m/>
    <n v="60"/>
    <n v="119640"/>
    <s v="PE"/>
    <n v="111818390001"/>
    <n v="0"/>
    <n v="39870"/>
    <n v="79770"/>
    <n v="0"/>
    <n v="0"/>
    <n v="0"/>
    <m/>
    <m/>
    <n v="0"/>
    <m/>
    <m/>
    <m/>
    <m/>
    <m/>
    <m/>
    <m/>
    <m/>
    <n v="11181839"/>
    <s v="I09180"/>
    <s v="ILLUMINA SINGAPORE PTE LTD"/>
    <m/>
    <n v="0"/>
    <n v="0"/>
    <n v="0"/>
    <n v="0"/>
    <n v="0"/>
    <n v="0"/>
    <m/>
    <m/>
    <m/>
    <s v="No"/>
    <s v="W663147"/>
    <n v="0"/>
    <m/>
    <s v="I09180"/>
    <m/>
    <m/>
    <s v="S0361111"/>
  </r>
  <r>
    <x v="536"/>
    <n v="10000"/>
    <n v="20000"/>
    <d v="2025-03-14T00:00:00"/>
    <s v="502LAUGH"/>
    <s v=" 9:53:31 am"/>
    <s v="U3927S101/3082509U9"/>
    <m/>
    <x v="0"/>
    <s v="Yes"/>
    <n v="100"/>
    <s v="Vorey Digital Cut"/>
    <x v="6"/>
    <s v="PM87"/>
    <s v="LEE SHIEN WEI"/>
    <n v="800"/>
    <m/>
    <m/>
    <d v="2025-03-13T00:00:00"/>
    <m/>
    <n v="2"/>
    <n v="1600"/>
    <s v="PE"/>
    <n v="107343410001"/>
    <n v="0"/>
    <n v="700"/>
    <n v="900"/>
    <n v="0"/>
    <n v="0"/>
    <n v="0"/>
    <m/>
    <m/>
    <n v="0"/>
    <m/>
    <m/>
    <m/>
    <m/>
    <m/>
    <m/>
    <m/>
    <m/>
    <n v="10734341"/>
    <s v="I09109"/>
    <s v="IKE TECHNOLOGY"/>
    <m/>
    <n v="0"/>
    <n v="0"/>
    <n v="0"/>
    <n v="0"/>
    <n v="0"/>
    <n v="0"/>
    <m/>
    <m/>
    <m/>
    <s v="No"/>
    <s v="W663150"/>
    <n v="0"/>
    <m/>
    <s v="I09109"/>
    <m/>
    <m/>
    <s v="S0361128"/>
  </r>
  <r>
    <x v="588"/>
    <n v="10000"/>
    <n v="10000"/>
    <d v="2025-03-14T00:00:00"/>
    <s v="502LAUGH"/>
    <s v=" 9:44:52 am"/>
    <s v="MOBM63480"/>
    <m/>
    <x v="2"/>
    <s v="Yes"/>
    <n v="88"/>
    <s v="OKI"/>
    <x v="4"/>
    <s v="PP24"/>
    <s v="HO HON SENG"/>
    <n v="800"/>
    <m/>
    <m/>
    <d v="2025-03-13T00:00:00"/>
    <m/>
    <n v="1"/>
    <n v="800"/>
    <s v="PE"/>
    <s v="4022 451 413710001"/>
    <n v="0"/>
    <n v="500"/>
    <n v="300"/>
    <n v="0"/>
    <n v="0"/>
    <n v="0"/>
    <m/>
    <m/>
    <n v="0"/>
    <m/>
    <m/>
    <m/>
    <m/>
    <m/>
    <m/>
    <m/>
    <m/>
    <s v="4022 451 41371"/>
    <s v="V22065"/>
    <s v="VDL ENABLING TECHNOLOGIES GROUP (S) PTE LTD"/>
    <m/>
    <n v="0"/>
    <n v="0"/>
    <n v="0"/>
    <n v="0"/>
    <n v="0"/>
    <n v="0"/>
    <m/>
    <m/>
    <m/>
    <s v="No"/>
    <s v="W663153"/>
    <n v="0"/>
    <m/>
    <s v="V22065"/>
    <m/>
    <m/>
    <s v="S0361136"/>
  </r>
  <r>
    <x v="589"/>
    <n v="10000"/>
    <n v="10000"/>
    <d v="2025-03-21T00:00:00"/>
    <s v="502LAUGH"/>
    <s v=" 4:07:58 pm"/>
    <s v="J00U43592"/>
    <m/>
    <x v="2"/>
    <s v="Yes"/>
    <s v="ZC53"/>
    <s v="Zebra"/>
    <x v="4"/>
    <s v="PP24"/>
    <s v="HO HON SENG"/>
    <n v="3024"/>
    <m/>
    <m/>
    <d v="2025-03-13T00:00:00"/>
    <m/>
    <n v="1"/>
    <n v="3024"/>
    <s v="PE"/>
    <s v="GREY BARCODE-5.90001"/>
    <n v="0"/>
    <n v="3024"/>
    <n v="0"/>
    <n v="0"/>
    <n v="0"/>
    <n v="0"/>
    <m/>
    <m/>
    <n v="0"/>
    <m/>
    <m/>
    <m/>
    <m/>
    <m/>
    <m/>
    <m/>
    <m/>
    <s v="GREY BARCODE-5.9X96"/>
    <s v="C03244"/>
    <s v="BEYONICS INTERNATIONAL PTE LTD"/>
    <m/>
    <n v="0"/>
    <n v="0"/>
    <n v="0"/>
    <n v="0"/>
    <n v="0"/>
    <n v="0"/>
    <m/>
    <m/>
    <m/>
    <s v="No"/>
    <s v="W663313"/>
    <n v="0"/>
    <m/>
    <s v="C03244"/>
    <m/>
    <m/>
    <s v="S0361138"/>
  </r>
  <r>
    <x v="590"/>
    <n v="10000"/>
    <n v="10000"/>
    <d v="2025-03-14T00:00:00"/>
    <s v="502LAUGH"/>
    <s v=" 8:44:54 am"/>
    <s v="XHX2412020002/48412"/>
    <m/>
    <x v="2"/>
    <s v="Yes"/>
    <n v="60"/>
    <s v="Fujishiko UDP-5000"/>
    <x v="3"/>
    <s v="PM30"/>
    <s v="OH KIAN YUAN"/>
    <n v="8334"/>
    <n v="211.68"/>
    <n v="3.528"/>
    <d v="2025-03-13T00:00:00"/>
    <m/>
    <n v="6"/>
    <n v="50004"/>
    <s v="PE"/>
    <s v="12 MM DIA TAPE0001"/>
    <n v="0"/>
    <n v="50000"/>
    <n v="4"/>
    <n v="0"/>
    <n v="0"/>
    <n v="0"/>
    <m/>
    <m/>
    <n v="0"/>
    <m/>
    <m/>
    <m/>
    <m/>
    <m/>
    <m/>
    <m/>
    <m/>
    <s v="12 MM DIA TAPE"/>
    <s v="F06180"/>
    <s v="FULL-MASK TECHNOLOGIES PTE LTD"/>
    <m/>
    <n v="0"/>
    <n v="0"/>
    <n v="0"/>
    <n v="0"/>
    <n v="0"/>
    <n v="0"/>
    <m/>
    <m/>
    <m/>
    <s v="No"/>
    <s v="W663160"/>
    <n v="0"/>
    <m/>
    <s v="F06180"/>
    <m/>
    <m/>
    <s v="S0361152"/>
  </r>
  <r>
    <x v="591"/>
    <n v="10000"/>
    <n v="10000"/>
    <d v="2025-03-19T00:00:00"/>
    <s v="502LAUGH"/>
    <s v=" 8:34:53 am"/>
    <s v="405172525/3082509U9"/>
    <m/>
    <x v="2"/>
    <s v="Yes"/>
    <n v="88"/>
    <s v="OKI"/>
    <x v="4"/>
    <s v="PP24"/>
    <s v="HO HON SENG"/>
    <n v="1000"/>
    <m/>
    <m/>
    <d v="2025-03-13T00:00:00"/>
    <m/>
    <n v="1"/>
    <n v="1000"/>
    <s v="PE"/>
    <n v="190031810001"/>
    <n v="0"/>
    <n v="1000"/>
    <n v="0"/>
    <n v="0"/>
    <n v="0"/>
    <n v="0"/>
    <m/>
    <m/>
    <n v="0"/>
    <m/>
    <m/>
    <m/>
    <m/>
    <m/>
    <m/>
    <m/>
    <m/>
    <n v="19003181"/>
    <s v="I09109"/>
    <s v="IKE TECHNOLOGY"/>
    <m/>
    <n v="0"/>
    <n v="0"/>
    <n v="0"/>
    <n v="0"/>
    <n v="0"/>
    <n v="0"/>
    <m/>
    <m/>
    <m/>
    <s v="No"/>
    <s v="W663164"/>
    <n v="0"/>
    <m/>
    <s v="I09109"/>
    <m/>
    <m/>
    <s v="S0361156"/>
  </r>
  <r>
    <x v="591"/>
    <n v="10000"/>
    <n v="20000"/>
    <d v="2025-03-19T00:00:00"/>
    <s v="502LAUGH"/>
    <s v=" 8:34:53 am"/>
    <s v="405172525/3082509U9"/>
    <m/>
    <x v="0"/>
    <s v="Yes"/>
    <n v="100"/>
    <s v="Vorey Digital Cut"/>
    <x v="6"/>
    <s v="PM87"/>
    <s v="LEE SHIEN WEI"/>
    <n v="1000"/>
    <m/>
    <m/>
    <d v="2025-03-13T00:00:00"/>
    <m/>
    <n v="1"/>
    <n v="1000"/>
    <s v="PE"/>
    <n v="190031810001"/>
    <n v="0"/>
    <n v="1000"/>
    <n v="0"/>
    <n v="0"/>
    <n v="0"/>
    <n v="0"/>
    <m/>
    <m/>
    <n v="0"/>
    <m/>
    <m/>
    <m/>
    <m/>
    <m/>
    <m/>
    <m/>
    <m/>
    <n v="19003181"/>
    <s v="I09109"/>
    <s v="IKE TECHNOLOGY"/>
    <m/>
    <n v="0"/>
    <n v="0"/>
    <n v="0"/>
    <n v="0"/>
    <n v="0"/>
    <n v="0"/>
    <m/>
    <m/>
    <m/>
    <s v="No"/>
    <s v="W663164"/>
    <n v="0"/>
    <m/>
    <s v="I09109"/>
    <m/>
    <m/>
    <s v="S0361156"/>
  </r>
  <r>
    <x v="541"/>
    <n v="10000"/>
    <n v="20000"/>
    <d v="2025-03-14T00:00:00"/>
    <s v="502LAUGH"/>
    <s v=" 8:42:00 am"/>
    <s v="J00LU70911000"/>
    <m/>
    <x v="0"/>
    <s v="Yes"/>
    <n v="92"/>
    <s v="Polly Digital Cut"/>
    <x v="6"/>
    <s v="PM87"/>
    <s v="LEE SHIEN WEI"/>
    <n v="2400"/>
    <m/>
    <m/>
    <d v="2025-03-13T00:00:00"/>
    <m/>
    <n v="1"/>
    <n v="2400"/>
    <s v="PE"/>
    <s v="BARCODE LABEL-7X0001"/>
    <n v="0"/>
    <n v="2000"/>
    <n v="400"/>
    <n v="0"/>
    <n v="0"/>
    <n v="0"/>
    <m/>
    <m/>
    <n v="0"/>
    <m/>
    <m/>
    <m/>
    <m/>
    <m/>
    <m/>
    <m/>
    <m/>
    <s v="BARCODE LABEL-7X34"/>
    <s v="B02117"/>
    <s v="BANSHING INDUSTRIAL CO. PTE LTD."/>
    <m/>
    <n v="0"/>
    <n v="0"/>
    <n v="0"/>
    <n v="0"/>
    <n v="0"/>
    <n v="0"/>
    <m/>
    <m/>
    <m/>
    <s v="No"/>
    <s v="W663165"/>
    <n v="0"/>
    <m/>
    <s v="B02117"/>
    <m/>
    <m/>
    <s v="S0361158"/>
  </r>
  <r>
    <x v="592"/>
    <n v="10000"/>
    <n v="10000"/>
    <d v="2025-03-14T00:00:00"/>
    <s v="502LAUGH"/>
    <s v=" 8:46:20 am"/>
    <s v="4080707U5"/>
    <m/>
    <x v="2"/>
    <s v="Yes"/>
    <n v="12"/>
    <s v="FSK SR520"/>
    <x v="2"/>
    <s v="PP05"/>
    <s v="WONG KIM FATT"/>
    <n v="7000"/>
    <n v="185"/>
    <n v="3.0833333333333335"/>
    <d v="2025-03-13T00:00:00"/>
    <m/>
    <n v="1"/>
    <n v="7000"/>
    <s v="PE"/>
    <s v="260-6168-000001"/>
    <n v="0"/>
    <n v="7000"/>
    <n v="0"/>
    <n v="0"/>
    <n v="0"/>
    <n v="0"/>
    <m/>
    <m/>
    <n v="0"/>
    <m/>
    <m/>
    <m/>
    <m/>
    <m/>
    <m/>
    <m/>
    <m/>
    <s v="260-6168-00"/>
    <s v="J10025"/>
    <s v="JMS SINGAPORE PTE LTD"/>
    <m/>
    <n v="0"/>
    <n v="0"/>
    <n v="0"/>
    <n v="0"/>
    <n v="0"/>
    <n v="0"/>
    <m/>
    <m/>
    <m/>
    <s v="No"/>
    <s v="W663168"/>
    <n v="0"/>
    <m/>
    <s v="J10025"/>
    <m/>
    <m/>
    <s v="S0361164"/>
  </r>
  <r>
    <x v="593"/>
    <n v="10000"/>
    <n v="10000"/>
    <d v="2025-03-17T00:00:00"/>
    <s v="502LAUGH"/>
    <s v=" 8:32:57 am"/>
    <s v="5011622U5"/>
    <m/>
    <x v="2"/>
    <s v="Yes"/>
    <n v="22"/>
    <s v="FSK B100"/>
    <x v="2"/>
    <s v="PS13"/>
    <s v="YEE CHENG MENG"/>
    <n v="20000"/>
    <n v="445"/>
    <n v="7.416666666666667"/>
    <d v="2025-03-13T00:00:00"/>
    <m/>
    <n v="2"/>
    <n v="40000"/>
    <s v="PE"/>
    <s v="260-6165-000001"/>
    <n v="0"/>
    <n v="4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174"/>
    <n v="0"/>
    <m/>
    <s v="J10025"/>
    <m/>
    <m/>
    <s v="S0361170"/>
  </r>
  <r>
    <x v="594"/>
    <n v="10000"/>
    <n v="10000"/>
    <d v="2025-03-13T00:00:00"/>
    <s v="502LAUGH"/>
    <s v=" 2:36:14 pm"/>
    <s v="4111525U5A"/>
    <m/>
    <x v="2"/>
    <s v="Yes"/>
    <n v="61"/>
    <s v="FSK 520"/>
    <x v="2"/>
    <s v="PM61"/>
    <s v="HO CHAN LE"/>
    <n v="6667"/>
    <n v="178.34"/>
    <n v="2.9723333333333333"/>
    <d v="2025-03-13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3177"/>
    <n v="0"/>
    <m/>
    <s v="J10025"/>
    <m/>
    <m/>
    <s v="S0361172"/>
  </r>
  <r>
    <x v="595"/>
    <n v="10000"/>
    <n v="10000"/>
    <d v="2025-03-14T00:00:00"/>
    <s v="502LAUGH"/>
    <s v=" 8:46:20 am"/>
    <s v="5011622U5"/>
    <m/>
    <x v="2"/>
    <s v="Yes"/>
    <n v="61"/>
    <s v="FSK 520"/>
    <x v="2"/>
    <s v="PM61"/>
    <s v="HO CHAN LE"/>
    <n v="6667"/>
    <n v="178.34"/>
    <n v="2.9723333333333333"/>
    <d v="2025-03-13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3706"/>
    <n v="0"/>
    <m/>
    <s v="J10025"/>
    <m/>
    <m/>
    <s v="S0361175"/>
  </r>
  <r>
    <x v="596"/>
    <n v="10000"/>
    <n v="10000"/>
    <d v="2025-03-14T00:00:00"/>
    <s v="502LAUGH"/>
    <s v=" 1:34:05 pm"/>
    <s v="5011622U5"/>
    <m/>
    <x v="2"/>
    <s v="Yes"/>
    <n v="61"/>
    <s v="FSK 520"/>
    <x v="2"/>
    <s v="PM61"/>
    <s v="HO CHAN LE"/>
    <n v="6667"/>
    <n v="178.34"/>
    <n v="2.9723333333333333"/>
    <d v="2025-03-13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4096"/>
    <n v="0"/>
    <m/>
    <s v="J10025"/>
    <m/>
    <m/>
    <s v="S0361176"/>
  </r>
  <r>
    <x v="597"/>
    <n v="10000"/>
    <n v="10000"/>
    <d v="2025-03-18T00:00:00"/>
    <s v="502LAUGH"/>
    <s v=" 8:33:35 am"/>
    <s v="4032510U5"/>
    <m/>
    <x v="2"/>
    <s v="Yes"/>
    <n v="79"/>
    <s v="HP Indigo 6800"/>
    <x v="4"/>
    <s v="PM16"/>
    <s v="TEO KAH JUN"/>
    <n v="50"/>
    <n v="32.5"/>
    <n v="0.54166666666666663"/>
    <d v="2025-03-13T00:00:00"/>
    <m/>
    <n v="6"/>
    <n v="300"/>
    <s v="PE"/>
    <s v="810478 INDEX4000001"/>
    <n v="0"/>
    <n v="100"/>
    <n v="200"/>
    <n v="0"/>
    <n v="0"/>
    <n v="0"/>
    <m/>
    <m/>
    <n v="0"/>
    <m/>
    <m/>
    <m/>
    <m/>
    <m/>
    <m/>
    <m/>
    <m/>
    <s v="810478 INDEX400"/>
    <s v="V22000"/>
    <s v="PT VARTA MICROBATTERY INDONESIA"/>
    <m/>
    <n v="0"/>
    <n v="0"/>
    <n v="0"/>
    <n v="0"/>
    <n v="0"/>
    <n v="0"/>
    <m/>
    <m/>
    <m/>
    <s v="No"/>
    <s v="W663182"/>
    <n v="0"/>
    <m/>
    <s v="V22000"/>
    <m/>
    <m/>
    <s v="ZSA101768"/>
  </r>
  <r>
    <x v="598"/>
    <n v="10000"/>
    <n v="10000"/>
    <d v="2025-03-17T00:00:00"/>
    <s v="502LAUGH"/>
    <d v="1899-12-30T12:58:49"/>
    <s v="MOBSM95601524"/>
    <m/>
    <x v="2"/>
    <s v="Yes"/>
    <n v="82"/>
    <s v="Polly"/>
    <x v="3"/>
    <s v="PM11"/>
    <s v="TEE MENG CHAI"/>
    <n v="1667"/>
    <m/>
    <m/>
    <d v="2025-03-13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63726"/>
    <n v="0"/>
    <m/>
    <s v="H08031-JIM-M"/>
    <m/>
    <m/>
    <s v="S0361187"/>
  </r>
  <r>
    <x v="599"/>
    <n v="10000"/>
    <n v="10000"/>
    <d v="2025-03-19T00:00:00"/>
    <s v="502LAUGH"/>
    <s v=" 1:42:16 pm"/>
    <s v="U522458002"/>
    <m/>
    <x v="2"/>
    <s v="Yes"/>
    <n v="72"/>
    <s v="Xeikon 3500"/>
    <x v="4"/>
    <s v="PM17"/>
    <s v="NG SWEE CHEA"/>
    <n v="2000"/>
    <m/>
    <m/>
    <d v="2025-03-13T00:00:00"/>
    <m/>
    <n v="3"/>
    <n v="6001"/>
    <s v="PE"/>
    <s v="STSS-PACKET0001"/>
    <n v="0"/>
    <n v="3000"/>
    <n v="3001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63189"/>
    <n v="0"/>
    <m/>
    <s v="T20300"/>
    <m/>
    <m/>
    <s v="S0361209"/>
  </r>
  <r>
    <x v="599"/>
    <n v="20000"/>
    <n v="10000"/>
    <d v="2025-03-19T00:00:00"/>
    <s v="502LAUGH"/>
    <s v=" 1:42:16 pm"/>
    <s v="U522458002"/>
    <m/>
    <x v="2"/>
    <s v="Yes"/>
    <n v="72"/>
    <s v="Xeikon 3500"/>
    <x v="4"/>
    <s v="PM17"/>
    <s v="NG SWEE CHEA"/>
    <n v="867"/>
    <m/>
    <m/>
    <d v="2025-03-13T00:00:00"/>
    <m/>
    <n v="3"/>
    <n v="2600"/>
    <s v="PE"/>
    <s v="STSS-PACKET0001"/>
    <n v="0"/>
    <n v="2600"/>
    <n v="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63189"/>
    <n v="0"/>
    <m/>
    <s v="T20300"/>
    <m/>
    <m/>
    <s v="S0361209"/>
  </r>
  <r>
    <x v="600"/>
    <n v="10000"/>
    <n v="10000"/>
    <d v="2025-03-14T00:00:00"/>
    <s v="502LAUGH"/>
    <s v=" 5:12:40 pm"/>
    <s v="M0BR27133"/>
    <m/>
    <x v="2"/>
    <s v="Yes"/>
    <n v="79"/>
    <s v="HP Indigo 6800"/>
    <x v="4"/>
    <s v="PM16"/>
    <s v="TEO KAH JUN"/>
    <n v="2000"/>
    <n v="130"/>
    <n v="2.1666666666666665"/>
    <d v="2025-03-13T00:00:00"/>
    <m/>
    <n v="6"/>
    <n v="12000"/>
    <s v="PE"/>
    <s v="M-260X1280001"/>
    <n v="0"/>
    <n v="10000"/>
    <n v="200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3193"/>
    <n v="0"/>
    <m/>
    <s v="G07076"/>
    <m/>
    <m/>
    <s v="S0361217"/>
  </r>
  <r>
    <x v="601"/>
    <n v="10000"/>
    <n v="10000"/>
    <d v="2025-03-13T00:00:00"/>
    <s v="502LAUGH"/>
    <s v=" 3:32:49 pm"/>
    <s v="5643031 01"/>
    <m/>
    <x v="2"/>
    <s v="Yes"/>
    <n v="82"/>
    <s v="Polly"/>
    <x v="3"/>
    <s v="PM11"/>
    <s v="TEE MENG CHAI"/>
    <n v="334"/>
    <m/>
    <m/>
    <d v="2025-03-13T00:00:00"/>
    <m/>
    <n v="6"/>
    <n v="2004"/>
    <s v="PE"/>
    <n v="200467500001"/>
    <n v="0"/>
    <n v="2000"/>
    <n v="4"/>
    <n v="0"/>
    <n v="0"/>
    <n v="0"/>
    <m/>
    <m/>
    <n v="0"/>
    <m/>
    <m/>
    <m/>
    <m/>
    <m/>
    <m/>
    <m/>
    <m/>
    <n v="20046750"/>
    <s v="I09180"/>
    <s v="ILLUMINA SINGAPORE PTE LTD"/>
    <m/>
    <n v="0"/>
    <n v="0"/>
    <n v="0"/>
    <n v="0"/>
    <n v="0"/>
    <n v="0"/>
    <m/>
    <m/>
    <m/>
    <s v="No"/>
    <s v="W662818"/>
    <n v="0"/>
    <m/>
    <s v="I09180"/>
    <m/>
    <m/>
    <s v="S0361251"/>
  </r>
  <r>
    <x v="602"/>
    <n v="10000"/>
    <n v="10000"/>
    <d v="2025-03-13T00:00:00"/>
    <s v="502LAUGH"/>
    <s v=" 3:32:49 pm"/>
    <s v="5643031 01"/>
    <m/>
    <x v="2"/>
    <s v="Yes"/>
    <n v="82"/>
    <s v="Polly"/>
    <x v="3"/>
    <s v="PM11"/>
    <s v="TEE MENG CHAI"/>
    <n v="334"/>
    <m/>
    <m/>
    <d v="2025-03-13T00:00:00"/>
    <m/>
    <n v="6"/>
    <n v="2002"/>
    <s v="PE"/>
    <n v="200467500001"/>
    <n v="0"/>
    <n v="2000"/>
    <n v="2"/>
    <n v="0"/>
    <n v="0"/>
    <n v="0"/>
    <m/>
    <m/>
    <n v="0"/>
    <m/>
    <m/>
    <m/>
    <m/>
    <m/>
    <m/>
    <m/>
    <m/>
    <n v="20046750"/>
    <s v="I09180"/>
    <s v="ILLUMINA SINGAPORE PTE LTD"/>
    <m/>
    <n v="0"/>
    <n v="0"/>
    <n v="0"/>
    <n v="0"/>
    <n v="0"/>
    <n v="0"/>
    <m/>
    <m/>
    <m/>
    <s v="No"/>
    <s v="W662819"/>
    <n v="0"/>
    <m/>
    <s v="I09180"/>
    <m/>
    <m/>
    <s v="S0361252"/>
  </r>
  <r>
    <x v="602"/>
    <n v="20000"/>
    <n v="10000"/>
    <d v="2025-03-13T00:00:00"/>
    <s v="502LAUGH"/>
    <s v=" 3:32:49 pm"/>
    <s v="5643031 01"/>
    <m/>
    <x v="2"/>
    <s v="Yes"/>
    <n v="82"/>
    <s v="Polly"/>
    <x v="3"/>
    <s v="PM11"/>
    <s v="TEE MENG CHAI"/>
    <n v="333"/>
    <m/>
    <m/>
    <d v="2025-03-13T00:00:00"/>
    <m/>
    <n v="6"/>
    <n v="2000"/>
    <s v="PE"/>
    <n v="200467500001"/>
    <n v="0"/>
    <n v="2000"/>
    <n v="0"/>
    <n v="0"/>
    <n v="0"/>
    <n v="0"/>
    <m/>
    <m/>
    <n v="0"/>
    <m/>
    <m/>
    <m/>
    <m/>
    <m/>
    <m/>
    <m/>
    <m/>
    <n v="20046750"/>
    <s v="I09180"/>
    <s v="ILLUMINA SINGAPORE PTE LTD"/>
    <m/>
    <n v="0"/>
    <n v="0"/>
    <n v="0"/>
    <n v="0"/>
    <n v="0"/>
    <n v="0"/>
    <m/>
    <m/>
    <m/>
    <s v="No"/>
    <s v="W662819"/>
    <n v="0"/>
    <m/>
    <s v="I09180"/>
    <m/>
    <m/>
    <s v="S0361252"/>
  </r>
  <r>
    <x v="603"/>
    <n v="10000"/>
    <n v="10000"/>
    <d v="2025-03-14T00:00:00"/>
    <s v="502LAUGH"/>
    <s v=" 8:34:27 am"/>
    <s v="SG-562754701"/>
    <m/>
    <x v="2"/>
    <s v="Yes"/>
    <n v="82"/>
    <s v="Polly"/>
    <x v="3"/>
    <s v="PM11"/>
    <s v="TEE MENG CHAI"/>
    <n v="703"/>
    <m/>
    <m/>
    <d v="2025-03-13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3202"/>
    <n v="0"/>
    <m/>
    <s v="I09180"/>
    <m/>
    <m/>
    <s v="S0361262"/>
  </r>
  <r>
    <x v="604"/>
    <n v="10000"/>
    <n v="10000"/>
    <d v="2025-03-17T00:00:00"/>
    <s v="502LAUGH"/>
    <s v=" 8:22:29 am"/>
    <s v="M0BQW8240"/>
    <s v="SC30898S"/>
    <x v="2"/>
    <s v="No"/>
    <n v="94"/>
    <s v="Taiyo"/>
    <x v="2"/>
    <s v="PM09"/>
    <s v="PANG JING FULL"/>
    <n v="9000"/>
    <m/>
    <m/>
    <d v="2025-03-1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670"/>
  </r>
  <r>
    <x v="428"/>
    <n v="10000"/>
    <n v="30000"/>
    <d v="2025-04-09T00:00:00"/>
    <s v="502LAUGH"/>
    <s v=" 1:11:08 pm"/>
    <n v="860909190840"/>
    <s v="FSC32057"/>
    <x v="1"/>
    <s v="No"/>
    <n v="73"/>
    <s v="Brotech DF330"/>
    <x v="0"/>
    <s v="PM59"/>
    <s v="VOON CHAN PIN"/>
    <n v="6000"/>
    <n v="145"/>
    <n v="2.4166666666666665"/>
    <d v="2025-03-14T00:00:00"/>
    <m/>
    <n v="1"/>
    <n v="6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23"/>
  </r>
  <r>
    <x v="429"/>
    <n v="10000"/>
    <n v="30000"/>
    <d v="2025-03-26T00:00:00"/>
    <s v="502LAUGH"/>
    <s v=" 8:44:39 am"/>
    <n v="860909190840"/>
    <s v="FSC32057"/>
    <x v="1"/>
    <s v="No"/>
    <n v="73"/>
    <s v="Brotech DF330"/>
    <x v="0"/>
    <s v="PM59"/>
    <s v="VOON CHAN PIN"/>
    <n v="18000"/>
    <n v="345"/>
    <n v="5.75"/>
    <d v="2025-03-14T00:00:00"/>
    <m/>
    <n v="1"/>
    <n v="18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490"/>
    <n v="10000"/>
    <n v="20000"/>
    <d v="2025-04-01T00:00:00"/>
    <s v="502LAUGH"/>
    <s v=" 3:01:06 pm"/>
    <s v="10639931032/10639931026"/>
    <s v="FBC30652"/>
    <x v="0"/>
    <s v="No"/>
    <n v="77"/>
    <s v="Brotech DF330 "/>
    <x v="0"/>
    <s v="PM74"/>
    <s v="YONG CHEE SOON"/>
    <n v="3705"/>
    <n v="106.75"/>
    <n v="1.7791666666666666"/>
    <d v="2025-03-14T00:00:00"/>
    <m/>
    <n v="88"/>
    <n v="32604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94"/>
  </r>
  <r>
    <x v="605"/>
    <n v="10000"/>
    <n v="10000"/>
    <d v="2025-03-19T00:00:00"/>
    <s v="502LAUGH"/>
    <s v=" 5:21:28 pm"/>
    <n v="10639931025"/>
    <s v="FDC30934"/>
    <x v="2"/>
    <s v="No"/>
    <n v="79"/>
    <s v="HP Indigo 6800"/>
    <x v="4"/>
    <s v="PM16"/>
    <s v="TEO KAH JUN"/>
    <n v="278"/>
    <n v="43.9"/>
    <n v="0.73166666666666669"/>
    <d v="2025-03-14T00:00:00"/>
    <m/>
    <n v="36"/>
    <n v="10008"/>
    <s v="PE"/>
    <s v="G0Z24-800100001"/>
    <n v="0"/>
    <n v="0"/>
    <n v="0"/>
    <n v="0"/>
    <n v="0"/>
    <n v="0"/>
    <m/>
    <m/>
    <n v="0"/>
    <m/>
    <m/>
    <m/>
    <s v="No"/>
    <n v="0"/>
    <s v="No"/>
    <m/>
    <m/>
    <s v="G0Z24-80010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212"/>
  </r>
  <r>
    <x v="606"/>
    <n v="10000"/>
    <n v="40000"/>
    <d v="2025-03-17T00:00:00"/>
    <s v="502LAUGH"/>
    <s v=" 2:39:10 pm"/>
    <n v="10639931088"/>
    <m/>
    <x v="0"/>
    <s v="Yes"/>
    <n v="77"/>
    <s v="Brotech DF330 "/>
    <x v="0"/>
    <s v="PM74"/>
    <s v="YONG CHEE SOON"/>
    <n v="14862"/>
    <n v="292.7"/>
    <n v="4.878333333333333"/>
    <d v="2025-03-14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7"/>
    <n v="0"/>
    <m/>
    <s v="H08031-JIM"/>
    <m/>
    <m/>
    <s v="S0350612"/>
  </r>
  <r>
    <x v="607"/>
    <n v="10000"/>
    <n v="10000"/>
    <d v="2025-03-18T00:00:00"/>
    <s v="502LAUGH"/>
    <s v=" 8:31:38 am"/>
    <s v="J00WA5350/J00VU6300"/>
    <m/>
    <x v="2"/>
    <s v="Yes"/>
    <n v="111"/>
    <s v="Brotech"/>
    <x v="0"/>
    <s v="PM46"/>
    <s v="TAN CHEE CHUN"/>
    <n v="60000"/>
    <n v="1045"/>
    <n v="17.416666666666668"/>
    <d v="2025-03-14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2934"/>
    <n v="0"/>
    <m/>
    <s v="R18131-MEIBAN MICRO"/>
    <m/>
    <m/>
    <s v="S0354834"/>
  </r>
  <r>
    <x v="608"/>
    <n v="10000"/>
    <n v="10000"/>
    <d v="2025-03-17T00:00:00"/>
    <s v="502LAUGH"/>
    <s v=" 1:00:48 pm"/>
    <s v="24060640161/24E2495172"/>
    <m/>
    <x v="2"/>
    <s v="Yes"/>
    <n v="60"/>
    <s v="Fujishiko UDP-5000"/>
    <x v="3"/>
    <s v="PM30"/>
    <s v="OH KIAN YUAN"/>
    <n v="3340"/>
    <n v="111.8"/>
    <n v="1.8633333333333333"/>
    <d v="2025-03-14T00:00:00"/>
    <m/>
    <n v="6"/>
    <n v="20040"/>
    <s v="PE"/>
    <s v="TPK-853720-00100001"/>
    <n v="0"/>
    <n v="20040"/>
    <n v="0"/>
    <n v="0"/>
    <n v="0"/>
    <n v="0"/>
    <m/>
    <m/>
    <n v="0"/>
    <m/>
    <m/>
    <m/>
    <m/>
    <m/>
    <m/>
    <m/>
    <m/>
    <s v="TPK-853720-0010"/>
    <s v="Z26002"/>
    <s v="CCL DESIGN (PENANG) SDN. BHD."/>
    <m/>
    <n v="0"/>
    <n v="0"/>
    <n v="0"/>
    <n v="0"/>
    <n v="0"/>
    <n v="0"/>
    <m/>
    <m/>
    <m/>
    <s v="No"/>
    <s v="W662949"/>
    <n v="0"/>
    <m/>
    <s v="Z26002"/>
    <m/>
    <m/>
    <s v="S0357163"/>
  </r>
  <r>
    <x v="609"/>
    <n v="10000"/>
    <n v="10000"/>
    <d v="2025-03-17T00:00:00"/>
    <s v="502LAUGH"/>
    <s v=" 2:43:10 pm"/>
    <s v="SG-564141001"/>
    <m/>
    <x v="2"/>
    <s v="Yes"/>
    <n v="73"/>
    <s v="Brotech DF330"/>
    <x v="0"/>
    <s v="PM18"/>
    <s v="LAI CHIN YANG"/>
    <n v="12000"/>
    <m/>
    <m/>
    <d v="2025-03-14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63550"/>
    <n v="0"/>
    <m/>
    <s v="B02083"/>
    <m/>
    <m/>
    <s v="S0357820"/>
  </r>
  <r>
    <x v="610"/>
    <n v="10000"/>
    <n v="10000"/>
    <d v="2025-03-14T00:00:00"/>
    <s v="502LAUGH"/>
    <s v=" 2:26:03 pm"/>
    <s v="M0BQW8240"/>
    <m/>
    <x v="2"/>
    <s v="Yes"/>
    <n v="94"/>
    <s v="Taiyo"/>
    <x v="2"/>
    <s v="PM09"/>
    <s v="PANG JING FULL"/>
    <n v="9000"/>
    <m/>
    <m/>
    <d v="2025-03-14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3564"/>
    <n v="0"/>
    <m/>
    <s v="W23041-TH"/>
    <m/>
    <m/>
    <s v="H0064633"/>
  </r>
  <r>
    <x v="611"/>
    <n v="10000"/>
    <n v="20000"/>
    <d v="2025-03-14T00:00:00"/>
    <s v="502LAUGH"/>
    <s v=" 2:27:55 pm"/>
    <s v="U4328S208"/>
    <m/>
    <x v="2"/>
    <s v="Yes"/>
    <n v="90"/>
    <s v="HDS"/>
    <x v="3"/>
    <s v="PM75"/>
    <s v="TOO CHIOU SHYAN"/>
    <n v="242"/>
    <n v="57.1"/>
    <n v="0.95166666666666666"/>
    <d v="2025-03-14T00:00:00"/>
    <m/>
    <n v="124"/>
    <n v="30008"/>
    <s v="PE"/>
    <s v="03L30190001"/>
    <n v="0"/>
    <n v="30000"/>
    <n v="8"/>
    <n v="0"/>
    <n v="0"/>
    <n v="0"/>
    <m/>
    <m/>
    <n v="0"/>
    <m/>
    <m/>
    <m/>
    <m/>
    <m/>
    <m/>
    <m/>
    <m/>
    <s v="03L3019"/>
    <s v="I09082-TL"/>
    <s v="WESTERN DIGITAL STORAGE TECHNOLOGIES"/>
    <m/>
    <n v="0"/>
    <n v="0"/>
    <n v="0"/>
    <n v="0"/>
    <n v="0"/>
    <n v="0"/>
    <m/>
    <m/>
    <m/>
    <s v="No"/>
    <s v="W662980"/>
    <n v="0"/>
    <m/>
    <s v="I09082-TL"/>
    <m/>
    <m/>
    <s v="H0064646"/>
  </r>
  <r>
    <x v="612"/>
    <n v="10000"/>
    <n v="10000"/>
    <d v="2025-03-14T00:00:00"/>
    <s v="502LAUGH"/>
    <s v=" 9:56:53 am"/>
    <s v="MOBSL38001000"/>
    <m/>
    <x v="2"/>
    <s v="Yes"/>
    <n v="86"/>
    <s v="Brotech DF330 "/>
    <x v="0"/>
    <s v="PM45"/>
    <s v="TAY CHIN LIONG"/>
    <n v="2500"/>
    <n v="86.666666666666657"/>
    <n v="1.4444444444444442"/>
    <d v="2025-03-14T00:00:00"/>
    <m/>
    <n v="4"/>
    <n v="10000"/>
    <s v="PE"/>
    <s v="Z9245 REV30001"/>
    <n v="0"/>
    <n v="10000"/>
    <n v="0"/>
    <n v="0"/>
    <n v="0"/>
    <n v="0"/>
    <m/>
    <m/>
    <n v="0"/>
    <m/>
    <m/>
    <m/>
    <m/>
    <m/>
    <m/>
    <m/>
    <m/>
    <s v="Z9245 REV3"/>
    <s v="R18131-USA"/>
    <s v="RESMED MOTOR TECHNOLOGIES INC"/>
    <m/>
    <n v="0"/>
    <n v="0"/>
    <n v="0"/>
    <n v="0"/>
    <n v="0"/>
    <n v="0"/>
    <m/>
    <m/>
    <m/>
    <s v="No"/>
    <s v="W662982"/>
    <n v="0"/>
    <m/>
    <s v="R18131-USA"/>
    <m/>
    <m/>
    <s v="S0358754"/>
  </r>
  <r>
    <x v="503"/>
    <n v="10000"/>
    <n v="20000"/>
    <d v="2025-03-17T00:00:00"/>
    <s v="502LAUGH"/>
    <s v=" 8:47:57 am"/>
    <s v="M0BFL2381"/>
    <m/>
    <x v="0"/>
    <s v="Yes"/>
    <n v="63"/>
    <s v="SANKI"/>
    <x v="3"/>
    <s v="PM80"/>
    <s v="YAP ZHI PING"/>
    <n v="7500"/>
    <n v="232.5"/>
    <n v="3.875"/>
    <d v="2025-03-1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028"/>
    <n v="0"/>
    <m/>
    <s v="S19081-TH"/>
    <m/>
    <m/>
    <s v="H0064689"/>
  </r>
  <r>
    <x v="504"/>
    <n v="10000"/>
    <n v="20000"/>
    <d v="2025-03-17T00:00:00"/>
    <s v="502LAUGH"/>
    <s v=" 8:47:57 am"/>
    <s v="M0BFL2381"/>
    <m/>
    <x v="0"/>
    <s v="Yes"/>
    <n v="63"/>
    <s v="SANKI"/>
    <x v="3"/>
    <s v="PM80"/>
    <s v="YAP ZHI PING"/>
    <n v="7500"/>
    <n v="232.5"/>
    <n v="3.875"/>
    <d v="2025-03-1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029"/>
    <n v="0"/>
    <m/>
    <s v="S19081-TH"/>
    <m/>
    <m/>
    <s v="H0064690"/>
  </r>
  <r>
    <x v="613"/>
    <n v="10000"/>
    <n v="10000"/>
    <d v="2025-03-17T00:00:00"/>
    <s v="502LAUGH"/>
    <s v=" 8:24:08 am"/>
    <s v="J00Q283701525"/>
    <m/>
    <x v="2"/>
    <s v="Yes"/>
    <n v="86"/>
    <s v="Brotech DF330 "/>
    <x v="0"/>
    <s v="PM45"/>
    <s v="TAY CHIN LIONG"/>
    <n v="27500"/>
    <n v="503.33333333333331"/>
    <n v="8.3888888888888893"/>
    <d v="2025-03-14T00:00:00"/>
    <m/>
    <n v="2"/>
    <n v="55000"/>
    <s v="PE"/>
    <s v="PRODUCT-188X74-B0001"/>
    <n v="0"/>
    <n v="55000"/>
    <n v="0"/>
    <n v="0"/>
    <n v="0"/>
    <n v="0"/>
    <m/>
    <m/>
    <n v="0"/>
    <m/>
    <m/>
    <m/>
    <m/>
    <m/>
    <m/>
    <m/>
    <m/>
    <s v="PRODUCT-188X74-BLUE"/>
    <s v="A01259"/>
    <s v="OLAM COCOA PTE LTD"/>
    <m/>
    <n v="0"/>
    <n v="0"/>
    <n v="0"/>
    <n v="0"/>
    <n v="0"/>
    <n v="0"/>
    <m/>
    <m/>
    <m/>
    <s v="No"/>
    <s v="W663043"/>
    <n v="0"/>
    <m/>
    <s v="A01259"/>
    <m/>
    <m/>
    <s v="S0360726"/>
  </r>
  <r>
    <x v="562"/>
    <n v="10000"/>
    <n v="20000"/>
    <d v="2025-03-14T00:00:00"/>
    <s v="502LAUGH"/>
    <s v=" 3:56:33 pm"/>
    <n v="860908144578"/>
    <m/>
    <x v="0"/>
    <s v="Yes"/>
    <n v="105"/>
    <s v="Laser"/>
    <x v="5"/>
    <s v="PM45"/>
    <s v="TAY CHIN LIONG"/>
    <n v="4400"/>
    <m/>
    <m/>
    <d v="2025-03-14T00:00:00"/>
    <m/>
    <n v="1"/>
    <n v="4400"/>
    <s v="PE"/>
    <s v="TI01030001"/>
    <n v="0"/>
    <n v="3568"/>
    <n v="832"/>
    <n v="0"/>
    <n v="0"/>
    <n v="0"/>
    <m/>
    <m/>
    <n v="0"/>
    <m/>
    <m/>
    <m/>
    <m/>
    <m/>
    <m/>
    <m/>
    <m/>
    <s v="TI0103"/>
    <s v="T20144-FLAVOR"/>
    <s v="TAKASAGO INTERNATIONAL (SINGAPORE) PTE LTD"/>
    <m/>
    <n v="0"/>
    <n v="0"/>
    <n v="0"/>
    <n v="0"/>
    <n v="0"/>
    <n v="0"/>
    <m/>
    <m/>
    <m/>
    <s v="No"/>
    <s v="W663047"/>
    <n v="0"/>
    <m/>
    <s v="T20144-FLAVOR"/>
    <m/>
    <m/>
    <s v="S0360894"/>
  </r>
  <r>
    <x v="562"/>
    <n v="10000"/>
    <n v="30000"/>
    <d v="2025-03-14T00:00:00"/>
    <s v="502LAUGH"/>
    <s v=" 3:56:33 pm"/>
    <n v="860908144578"/>
    <m/>
    <x v="1"/>
    <s v="Yes"/>
    <n v="86"/>
    <s v="Brotech DF330 "/>
    <x v="0"/>
    <s v="PM87"/>
    <s v="LEE SHIEN WEI"/>
    <n v="2000"/>
    <n v="78.333333333333343"/>
    <n v="1.3055555555555558"/>
    <d v="2025-03-14T00:00:00"/>
    <m/>
    <n v="2"/>
    <n v="4000"/>
    <s v="PE"/>
    <s v="TI01030001"/>
    <n v="0"/>
    <n v="6000"/>
    <n v="-2000"/>
    <n v="0"/>
    <n v="0"/>
    <n v="0"/>
    <m/>
    <m/>
    <n v="0"/>
    <m/>
    <m/>
    <m/>
    <m/>
    <m/>
    <m/>
    <m/>
    <m/>
    <s v="TI0103"/>
    <s v="T20144-FLAVOR"/>
    <s v="TAKASAGO INTERNATIONAL (SINGAPORE) PTE LTD"/>
    <m/>
    <n v="0"/>
    <n v="0"/>
    <n v="0"/>
    <n v="0"/>
    <n v="0"/>
    <n v="0"/>
    <m/>
    <m/>
    <m/>
    <s v="No"/>
    <s v="W663047"/>
    <n v="0"/>
    <m/>
    <s v="T20144-FLAVOR"/>
    <m/>
    <m/>
    <s v="S0360894"/>
  </r>
  <r>
    <x v="614"/>
    <n v="10000"/>
    <n v="10000"/>
    <d v="2025-03-14T00:00:00"/>
    <s v="502LAUGH"/>
    <s v=" 4:53:27 pm"/>
    <s v="J00HP8931"/>
    <m/>
    <x v="2"/>
    <s v="Yes"/>
    <n v="65"/>
    <s v="Sanki SDR300"/>
    <x v="3"/>
    <s v="PMJ7"/>
    <s v="FOONG SEL YI"/>
    <n v="1000"/>
    <n v="70"/>
    <n v="1.1666666666666667"/>
    <d v="2025-03-14T00:00:00"/>
    <m/>
    <n v="2"/>
    <n v="2000"/>
    <s v="PE"/>
    <s v="250-8010-010001"/>
    <n v="0"/>
    <n v="2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63068"/>
    <n v="0"/>
    <m/>
    <s v="J10025"/>
    <m/>
    <m/>
    <s v="S0361007"/>
  </r>
  <r>
    <x v="615"/>
    <n v="10000"/>
    <n v="10000"/>
    <d v="2025-03-14T00:00:00"/>
    <s v="502LAUGH"/>
    <s v=" 5:43:23 pm"/>
    <s v="20231211175146142/XHX24012A0909"/>
    <m/>
    <x v="2"/>
    <s v="Yes"/>
    <n v="60"/>
    <s v="Fujishiko UDP-5000"/>
    <x v="3"/>
    <s v="PM30"/>
    <s v="OH KIAN YUAN"/>
    <n v="1000"/>
    <n v="65"/>
    <n v="1.0833333333333333"/>
    <d v="2025-03-14T00:00:00"/>
    <m/>
    <n v="1"/>
    <n v="1000"/>
    <s v="PE"/>
    <s v="BL LINER-35.6X350001"/>
    <n v="0"/>
    <n v="1000"/>
    <n v="0"/>
    <n v="0"/>
    <n v="0"/>
    <n v="0"/>
    <m/>
    <m/>
    <n v="0"/>
    <m/>
    <m/>
    <m/>
    <m/>
    <m/>
    <m/>
    <m/>
    <m/>
    <s v="BL LINER-35.6X351.2"/>
    <s v="M13467"/>
    <s v="MCLEAN TECHNOLOGIES PTE LTD"/>
    <m/>
    <n v="0"/>
    <n v="0"/>
    <n v="0"/>
    <n v="0"/>
    <n v="0"/>
    <n v="0"/>
    <m/>
    <m/>
    <m/>
    <s v="No"/>
    <s v="W663069"/>
    <n v="0"/>
    <m/>
    <s v="M13467"/>
    <m/>
    <m/>
    <s v="S0361008"/>
  </r>
  <r>
    <x v="616"/>
    <n v="10000"/>
    <n v="10000"/>
    <d v="2025-03-14T00:00:00"/>
    <s v="502LAUGH"/>
    <s v=" 4:53:27 pm"/>
    <s v="J00HP8931"/>
    <m/>
    <x v="2"/>
    <s v="Yes"/>
    <n v="65"/>
    <s v="Sanki SDR300"/>
    <x v="3"/>
    <s v="PMJ7"/>
    <s v="FOONG SEL YI"/>
    <n v="1500"/>
    <n v="82.5"/>
    <n v="1.375"/>
    <d v="2025-03-14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63070"/>
    <n v="0"/>
    <m/>
    <s v="J10025"/>
    <m/>
    <m/>
    <s v="S0361009"/>
  </r>
  <r>
    <x v="617"/>
    <n v="10000"/>
    <n v="10000"/>
    <d v="2025-03-14T00:00:00"/>
    <s v="502LAUGH"/>
    <d v="1899-12-30T11:30:57"/>
    <s v="211113125/U18256007"/>
    <m/>
    <x v="2"/>
    <s v="Yes"/>
    <n v="61"/>
    <s v="FSK 520"/>
    <x v="2"/>
    <s v="PM68"/>
    <s v="LEE KIM LIANG"/>
    <n v="535"/>
    <n v="55.7"/>
    <n v="0.92833333333333334"/>
    <d v="2025-03-14T00:00:00"/>
    <m/>
    <n v="2"/>
    <n v="1070"/>
    <s v="PE"/>
    <s v="E21-00108 REV1010001"/>
    <n v="0"/>
    <n v="1070"/>
    <n v="0"/>
    <n v="0"/>
    <n v="0"/>
    <n v="0"/>
    <m/>
    <m/>
    <n v="0"/>
    <m/>
    <m/>
    <m/>
    <m/>
    <m/>
    <m/>
    <m/>
    <m/>
    <s v="723388 REV400"/>
    <s v="V22000"/>
    <s v="PT VARTA MICROBATTERY INDONESIA"/>
    <m/>
    <n v="0"/>
    <n v="0"/>
    <n v="0"/>
    <n v="0"/>
    <n v="0"/>
    <n v="0"/>
    <m/>
    <m/>
    <m/>
    <s v="No"/>
    <s v="W663071"/>
    <n v="0"/>
    <m/>
    <s v="V22000"/>
    <m/>
    <m/>
    <s v="S0361012"/>
  </r>
  <r>
    <x v="618"/>
    <n v="10000"/>
    <n v="10000"/>
    <d v="2025-03-14T00:00:00"/>
    <s v="502LAUGH"/>
    <s v=" 5:43:23 pm"/>
    <n v="404051726"/>
    <m/>
    <x v="2"/>
    <s v="Yes"/>
    <n v="60"/>
    <s v="Fujishiko UDP-5000"/>
    <x v="3"/>
    <s v="PM30"/>
    <s v="OH KIAN YUAN"/>
    <n v="500"/>
    <n v="55"/>
    <n v="0.91666666666666663"/>
    <d v="2025-03-14T00:00:00"/>
    <m/>
    <n v="2"/>
    <n v="1000"/>
    <s v="PE"/>
    <n v="961830001"/>
    <n v="0"/>
    <n v="1000"/>
    <n v="0"/>
    <n v="0"/>
    <n v="0"/>
    <n v="0"/>
    <m/>
    <m/>
    <n v="0"/>
    <m/>
    <m/>
    <m/>
    <m/>
    <m/>
    <m/>
    <m/>
    <m/>
    <n v="96183"/>
    <s v="F06184"/>
    <s v="FLINTEC TRANSDUCERS (PVT) LTD"/>
    <m/>
    <n v="0"/>
    <n v="0"/>
    <n v="0"/>
    <n v="0"/>
    <n v="0"/>
    <n v="0"/>
    <m/>
    <m/>
    <m/>
    <s v="No"/>
    <s v="W663072"/>
    <n v="0"/>
    <m/>
    <s v="F06184"/>
    <m/>
    <m/>
    <s v="S0361014"/>
  </r>
  <r>
    <x v="619"/>
    <n v="10000"/>
    <n v="10000"/>
    <d v="2025-03-17T00:00:00"/>
    <s v="502LAUGH"/>
    <s v=" 8:44:25 am"/>
    <s v="5305412-04-05-01"/>
    <m/>
    <x v="2"/>
    <s v="Yes"/>
    <n v="90"/>
    <s v="HDS"/>
    <x v="3"/>
    <s v="PM35"/>
    <s v="TAN MIN KANG"/>
    <n v="100"/>
    <n v="50"/>
    <n v="0.83333333333333337"/>
    <d v="2025-03-14T00:00:00"/>
    <m/>
    <n v="2"/>
    <n v="200"/>
    <s v="PE"/>
    <s v="723852900-PROTO 0001"/>
    <n v="0"/>
    <n v="200"/>
    <n v="0"/>
    <n v="0"/>
    <n v="0"/>
    <n v="0"/>
    <m/>
    <m/>
    <n v="0"/>
    <m/>
    <m/>
    <m/>
    <m/>
    <m/>
    <m/>
    <m/>
    <m/>
    <s v="723852900-PROTO D"/>
    <s v="S19081"/>
    <s v="SEAGATE SINGAPORE INTERNATIONAL HEADQUARTERS"/>
    <m/>
    <n v="0"/>
    <n v="0"/>
    <n v="0"/>
    <n v="0"/>
    <n v="0"/>
    <n v="0"/>
    <m/>
    <m/>
    <m/>
    <s v="No"/>
    <s v="W663075"/>
    <n v="0"/>
    <m/>
    <s v="S19081"/>
    <m/>
    <m/>
    <s v="ZSA101760"/>
  </r>
  <r>
    <x v="620"/>
    <n v="10000"/>
    <n v="10000"/>
    <d v="2025-03-19T00:00:00"/>
    <s v="502LAUGH"/>
    <s v=" 8:33:58 am"/>
    <s v="U5124S154/3082509U9"/>
    <m/>
    <x v="2"/>
    <s v="Yes"/>
    <n v="88"/>
    <s v="OKI"/>
    <x v="4"/>
    <s v="PP24"/>
    <s v="HO HON SENG"/>
    <n v="500"/>
    <m/>
    <m/>
    <d v="2025-03-14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s v="IKE TECHNOLOGY"/>
    <m/>
    <n v="0"/>
    <n v="0"/>
    <n v="0"/>
    <n v="0"/>
    <n v="0"/>
    <n v="0"/>
    <m/>
    <m/>
    <m/>
    <s v="No"/>
    <s v="W663081"/>
    <n v="0"/>
    <m/>
    <s v="I09109"/>
    <m/>
    <m/>
    <s v="S0361054"/>
  </r>
  <r>
    <x v="621"/>
    <n v="10000"/>
    <n v="10000"/>
    <d v="2025-03-19T00:00:00"/>
    <s v="502LAUGH"/>
    <s v=" 8:37:54 am"/>
    <s v="U5124S154/3082509U9"/>
    <m/>
    <x v="2"/>
    <s v="Yes"/>
    <n v="88"/>
    <s v="OKI"/>
    <x v="4"/>
    <s v="PP24"/>
    <s v="HO HON SENG"/>
    <n v="2400"/>
    <m/>
    <m/>
    <d v="2025-03-14T00:00:00"/>
    <m/>
    <n v="1"/>
    <n v="2400"/>
    <s v="PE"/>
    <s v="19003627-I0001"/>
    <n v="0"/>
    <n v="2400"/>
    <n v="0"/>
    <n v="0"/>
    <n v="0"/>
    <n v="0"/>
    <m/>
    <m/>
    <n v="0"/>
    <m/>
    <m/>
    <m/>
    <m/>
    <m/>
    <m/>
    <m/>
    <m/>
    <s v="19003627-I"/>
    <s v="I09109"/>
    <s v="IKE TECHNOLOGY"/>
    <m/>
    <n v="0"/>
    <n v="0"/>
    <n v="0"/>
    <n v="0"/>
    <n v="0"/>
    <n v="0"/>
    <m/>
    <m/>
    <m/>
    <s v="No"/>
    <s v="W663082"/>
    <n v="0"/>
    <m/>
    <s v="I09109"/>
    <m/>
    <m/>
    <s v="S0361054"/>
  </r>
  <r>
    <x v="570"/>
    <n v="10000"/>
    <n v="20000"/>
    <d v="2025-03-17T00:00:00"/>
    <s v="502LAUGH"/>
    <s v=" 8:50:13 am"/>
    <s v="M0BFL2381"/>
    <m/>
    <x v="0"/>
    <s v="Yes"/>
    <n v="63"/>
    <s v="SANKI"/>
    <x v="3"/>
    <s v="PM80"/>
    <s v="YAP ZHI PING"/>
    <n v="2500"/>
    <n v="107.5"/>
    <n v="1.7916666666666667"/>
    <d v="2025-03-14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090"/>
    <n v="0"/>
    <m/>
    <s v="S19314"/>
    <m/>
    <m/>
    <s v="H0064726"/>
  </r>
  <r>
    <x v="464"/>
    <n v="10000"/>
    <n v="20000"/>
    <d v="2025-03-17T00:00:00"/>
    <s v="502LAUGH"/>
    <s v=" 8:50:13 am"/>
    <s v="M0BFL2381"/>
    <m/>
    <x v="0"/>
    <s v="Yes"/>
    <n v="63"/>
    <s v="SANKI"/>
    <x v="3"/>
    <s v="PM80"/>
    <s v="YAP ZHI PING"/>
    <n v="5000"/>
    <n v="170"/>
    <n v="2.8333333333333335"/>
    <d v="2025-03-14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093"/>
    <n v="0"/>
    <m/>
    <s v="S19314"/>
    <m/>
    <m/>
    <s v="H0064729"/>
  </r>
  <r>
    <x v="622"/>
    <n v="10000"/>
    <n v="20000"/>
    <d v="2025-03-20T00:00:00"/>
    <s v="502LAUGH"/>
    <s v=" 1:00:37 pm"/>
    <s v="5305412-04-03-07/5305412-03-01-03/5305412-03-03-07"/>
    <m/>
    <x v="2"/>
    <s v="Yes"/>
    <n v="90"/>
    <s v="HDS"/>
    <x v="3"/>
    <s v="QC04"/>
    <s v="YANG TONGJING"/>
    <n v="54000"/>
    <m/>
    <m/>
    <d v="2025-03-14T00:00:00"/>
    <m/>
    <n v="2"/>
    <n v="108000"/>
    <s v="PE"/>
    <s v="723852900-PROTO 0001"/>
    <n v="0"/>
    <n v="108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3098"/>
    <n v="0"/>
    <m/>
    <s v="S19314"/>
    <m/>
    <m/>
    <s v="H0064736"/>
  </r>
  <r>
    <x v="623"/>
    <n v="10000"/>
    <n v="10000"/>
    <d v="2025-03-18T00:00:00"/>
    <s v="502LAUGH"/>
    <s v=" 8:49:09 am"/>
    <s v="M4B4603BGJAJ110-S248100241/E0531904"/>
    <m/>
    <x v="2"/>
    <s v="Yes"/>
    <n v="62"/>
    <s v="Fujishiko "/>
    <x v="3"/>
    <s v="PMJ0"/>
    <s v="KOR CHEW OR"/>
    <n v="20000"/>
    <n v="445"/>
    <n v="7.416666666666667"/>
    <d v="2025-03-14T00:00:00"/>
    <m/>
    <n v="1"/>
    <n v="20000"/>
    <s v="PE"/>
    <s v="725428400-NEWPRO0001"/>
    <n v="0"/>
    <n v="2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3647"/>
    <n v="0"/>
    <m/>
    <s v="S19314"/>
    <m/>
    <m/>
    <s v="H0064739"/>
  </r>
  <r>
    <x v="623"/>
    <n v="10000"/>
    <n v="20000"/>
    <d v="2025-03-18T00:00:00"/>
    <s v="502LAUGH"/>
    <s v=" 8:49:09 am"/>
    <s v="M4B4603BGJAJ110-S248100241/E0531904"/>
    <m/>
    <x v="2"/>
    <s v="Yes"/>
    <n v="62"/>
    <s v="Fujishiko "/>
    <x v="3"/>
    <s v="PM42"/>
    <s v="ALEXANDER YAP KEE NYEN"/>
    <n v="40000"/>
    <m/>
    <m/>
    <d v="2025-03-14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s v="W663647"/>
    <n v="0"/>
    <m/>
    <s v="S19314"/>
    <m/>
    <m/>
    <s v="H0064739"/>
  </r>
  <r>
    <x v="624"/>
    <n v="10000"/>
    <n v="10000"/>
    <d v="2025-03-17T00:00:00"/>
    <s v="502LAUGH"/>
    <s v=" 8:50:13 am"/>
    <s v="M0BFL2381"/>
    <m/>
    <x v="2"/>
    <s v="Yes"/>
    <n v="78"/>
    <s v="Baby Sanki"/>
    <x v="2"/>
    <s v="PM84"/>
    <s v="TAN TAI TOH"/>
    <n v="1500"/>
    <n v="82.5"/>
    <n v="1.375"/>
    <d v="2025-03-14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3107"/>
    <n v="0"/>
    <m/>
    <s v="S19081-TH"/>
    <m/>
    <m/>
    <s v="H0064760"/>
  </r>
  <r>
    <x v="624"/>
    <n v="10000"/>
    <n v="20000"/>
    <d v="2025-03-17T00:00:00"/>
    <s v="502LAUGH"/>
    <s v=" 8:50:13 am"/>
    <s v="M0BFL2381"/>
    <m/>
    <x v="0"/>
    <s v="Yes"/>
    <n v="63"/>
    <s v="SANKI"/>
    <x v="3"/>
    <s v="PM80"/>
    <s v="YAP ZHI PING"/>
    <n v="1250"/>
    <n v="76.25"/>
    <n v="1.2708333333333333"/>
    <d v="2025-03-14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3107"/>
    <n v="0"/>
    <m/>
    <s v="S19081-TH"/>
    <m/>
    <m/>
    <s v="H0064760"/>
  </r>
  <r>
    <x v="625"/>
    <n v="10000"/>
    <n v="10000"/>
    <d v="2025-03-17T00:00:00"/>
    <s v="502LAUGH"/>
    <s v=" 2:40:03 pm"/>
    <s v="4067S1"/>
    <m/>
    <x v="2"/>
    <s v="Yes"/>
    <n v="78"/>
    <s v="Baby Sanki"/>
    <x v="2"/>
    <s v="PM84"/>
    <s v="TAN TAI TOH"/>
    <n v="4000"/>
    <n v="145"/>
    <n v="2.4166666666666665"/>
    <d v="2025-03-14T00:00:00"/>
    <m/>
    <n v="1"/>
    <n v="4000"/>
    <s v="PE"/>
    <n v="1342670001"/>
    <n v="0"/>
    <n v="2000"/>
    <n v="2000"/>
    <n v="0"/>
    <n v="0"/>
    <n v="0"/>
    <m/>
    <m/>
    <n v="0"/>
    <m/>
    <m/>
    <m/>
    <m/>
    <m/>
    <m/>
    <m/>
    <m/>
    <n v="134267"/>
    <s v="P16186"/>
    <s v="PEPPERL+FUCHS ASIA PTE. LTD"/>
    <m/>
    <n v="0"/>
    <n v="0"/>
    <n v="0"/>
    <n v="0"/>
    <n v="0"/>
    <n v="0"/>
    <m/>
    <m/>
    <m/>
    <s v="No"/>
    <s v="W663110"/>
    <n v="0"/>
    <m/>
    <s v="P16186"/>
    <m/>
    <m/>
    <s v="S0361055"/>
  </r>
  <r>
    <x v="626"/>
    <n v="10000"/>
    <n v="10000"/>
    <d v="2025-03-17T00:00:00"/>
    <s v="502LAUGH"/>
    <s v=" 8:44:25 am"/>
    <s v="5302410-01-02-01"/>
    <m/>
    <x v="2"/>
    <s v="Yes"/>
    <n v="90"/>
    <s v="HDS"/>
    <x v="3"/>
    <s v="PM35"/>
    <s v="TAN MIN KANG"/>
    <n v="500"/>
    <n v="70"/>
    <n v="1.1666666666666667"/>
    <d v="2025-03-14T00:00:00"/>
    <m/>
    <n v="2"/>
    <n v="1000"/>
    <s v="PE"/>
    <s v="723852900-PROTO 0001"/>
    <n v="0"/>
    <n v="1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3111"/>
    <n v="0"/>
    <m/>
    <s v="S19314"/>
    <m/>
    <m/>
    <s v="H0064737"/>
  </r>
  <r>
    <x v="627"/>
    <n v="10000"/>
    <n v="30000"/>
    <d v="2025-03-17T00:00:00"/>
    <s v="502LAUGH"/>
    <d v="1899-12-30T10:55:00"/>
    <s v="5302410-01-02-01"/>
    <m/>
    <x v="2"/>
    <s v="Yes"/>
    <n v="90"/>
    <s v="HDS"/>
    <x v="3"/>
    <s v="PM35"/>
    <s v="TAN MIN KANG"/>
    <n v="500"/>
    <n v="70"/>
    <n v="1.1666666666666667"/>
    <d v="2025-03-14T00:00:00"/>
    <m/>
    <n v="2"/>
    <n v="1000"/>
    <s v="PE"/>
    <s v="723852900-PROTO 0001"/>
    <n v="0"/>
    <n v="1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3112"/>
    <n v="0"/>
    <m/>
    <s v="S19081-TH"/>
    <m/>
    <m/>
    <s v="H0064766"/>
  </r>
  <r>
    <x v="628"/>
    <n v="10000"/>
    <n v="10000"/>
    <d v="2025-03-17T00:00:00"/>
    <s v="502LAUGH"/>
    <s v=" 8:22:29 am"/>
    <s v="M0BN597111000"/>
    <m/>
    <x v="2"/>
    <s v="Yes"/>
    <n v="61"/>
    <s v="FSK 520"/>
    <x v="2"/>
    <s v="PM68"/>
    <s v="LEE KIM LIANG"/>
    <n v="3000"/>
    <n v="105"/>
    <n v="1.75"/>
    <d v="2025-03-14T00:00:00"/>
    <m/>
    <n v="3"/>
    <n v="9000"/>
    <s v="PE"/>
    <s v="19055-6129-0040001"/>
    <n v="0"/>
    <n v="9000"/>
    <n v="0"/>
    <n v="0"/>
    <n v="0"/>
    <n v="0"/>
    <m/>
    <m/>
    <n v="0"/>
    <m/>
    <m/>
    <m/>
    <m/>
    <m/>
    <m/>
    <m/>
    <m/>
    <s v="19055-6129-004"/>
    <s v="J10098"/>
    <s v="JINRAY ELECTRONICS (S) PTE LTD"/>
    <m/>
    <n v="0"/>
    <n v="0"/>
    <n v="0"/>
    <n v="0"/>
    <n v="0"/>
    <n v="0"/>
    <m/>
    <m/>
    <m/>
    <s v="No"/>
    <s v="W663113"/>
    <n v="0"/>
    <m/>
    <s v="J10098"/>
    <m/>
    <m/>
    <s v="GRR62157"/>
  </r>
  <r>
    <x v="629"/>
    <n v="10000"/>
    <n v="10000"/>
    <d v="2025-03-17T00:00:00"/>
    <s v="502LAUGH"/>
    <s v=" 8:24:08 am"/>
    <s v="2962621-001"/>
    <m/>
    <x v="2"/>
    <s v="Yes"/>
    <n v="31"/>
    <s v="Sanki SKP250 Full Rotary"/>
    <x v="2"/>
    <s v="PS27"/>
    <s v="TAN TECK HEE"/>
    <n v="500"/>
    <n v="57.5"/>
    <n v="0.95833333333333337"/>
    <d v="2025-03-14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63114"/>
    <n v="0"/>
    <m/>
    <s v="L12161"/>
    <m/>
    <m/>
    <s v="S0361065"/>
  </r>
  <r>
    <x v="630"/>
    <n v="10000"/>
    <n v="10000"/>
    <d v="2025-03-14T00:00:00"/>
    <s v="502LAUGH"/>
    <d v="1899-12-30T11:31:53"/>
    <s v="3082510U9/C4367AA079R"/>
    <m/>
    <x v="2"/>
    <s v="Yes"/>
    <n v="61"/>
    <s v="FSK 520"/>
    <x v="2"/>
    <s v="PM68"/>
    <s v="LEE KIM LIANG"/>
    <n v="500"/>
    <n v="55"/>
    <n v="0.91666666666666663"/>
    <d v="2025-03-14T00:00:00"/>
    <m/>
    <n v="6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s v="TOSHIBA TEC SINGAPORE PTE LTD"/>
    <m/>
    <n v="0"/>
    <n v="0"/>
    <n v="0"/>
    <n v="0"/>
    <n v="0"/>
    <n v="0"/>
    <m/>
    <m/>
    <m/>
    <s v="No"/>
    <s v="W663117"/>
    <n v="0"/>
    <m/>
    <s v="T20104"/>
    <m/>
    <m/>
    <s v="S0361067"/>
  </r>
  <r>
    <x v="580"/>
    <n v="10000"/>
    <n v="20000"/>
    <d v="2025-03-14T00:00:00"/>
    <s v="502LAUGH"/>
    <s v=" 5:34:16 pm"/>
    <s v="D001F2410/4052209U5"/>
    <m/>
    <x v="0"/>
    <s v="Yes"/>
    <n v="92"/>
    <s v="Polly Digital Cut"/>
    <x v="6"/>
    <s v="PM87"/>
    <s v="LEE SHIEN WEI"/>
    <n v="1000"/>
    <m/>
    <m/>
    <d v="2025-03-14T00:00:00"/>
    <m/>
    <n v="1"/>
    <n v="1000"/>
    <s v="PE"/>
    <s v="TSMC00333070001"/>
    <n v="0"/>
    <n v="1000"/>
    <n v="0"/>
    <n v="0"/>
    <n v="0"/>
    <n v="0"/>
    <m/>
    <m/>
    <n v="0"/>
    <m/>
    <m/>
    <m/>
    <m/>
    <m/>
    <m/>
    <m/>
    <m/>
    <s v="TSMC0033307"/>
    <s v="T20104"/>
    <s v="TOSHIBA TEC SINGAPORE PTE LTD"/>
    <m/>
    <n v="0"/>
    <n v="0"/>
    <n v="0"/>
    <n v="0"/>
    <n v="0"/>
    <n v="0"/>
    <m/>
    <m/>
    <m/>
    <s v="No"/>
    <s v="W663121"/>
    <n v="0"/>
    <m/>
    <s v="T20104"/>
    <m/>
    <m/>
    <s v="S0361067"/>
  </r>
  <r>
    <x v="581"/>
    <n v="10000"/>
    <n v="20000"/>
    <d v="2025-03-14T00:00:00"/>
    <s v="502LAUGH"/>
    <s v=" 5:32:13 pm"/>
    <s v="E04L961001000"/>
    <m/>
    <x v="0"/>
    <s v="Yes"/>
    <n v="92"/>
    <s v="Polly Digital Cut"/>
    <x v="6"/>
    <s v="PM87"/>
    <s v="LEE SHIEN WEI"/>
    <n v="1000"/>
    <m/>
    <m/>
    <d v="2025-03-14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s v="TOSHIBA TEC SINGAPORE PTE LTD"/>
    <m/>
    <n v="0"/>
    <n v="0"/>
    <n v="0"/>
    <n v="0"/>
    <n v="0"/>
    <n v="0"/>
    <m/>
    <m/>
    <m/>
    <s v="No"/>
    <s v="W663123"/>
    <n v="0"/>
    <m/>
    <s v="T20104"/>
    <m/>
    <m/>
    <s v="S0361067"/>
  </r>
  <r>
    <x v="631"/>
    <n v="10000"/>
    <n v="10000"/>
    <d v="2025-03-14T00:00:00"/>
    <s v="502LAUGH"/>
    <d v="1899-12-30T11:31:53"/>
    <s v="3082510U9/C4367AA079R"/>
    <m/>
    <x v="2"/>
    <s v="Yes"/>
    <n v="61"/>
    <s v="FSK 520"/>
    <x v="2"/>
    <s v="PM68"/>
    <s v="LEE KIM LIANG"/>
    <n v="500"/>
    <n v="55"/>
    <n v="0.91666666666666663"/>
    <d v="2025-03-14T00:00:00"/>
    <m/>
    <n v="6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s v="TOSHIBA TEC SINGAPORE PTE LTD"/>
    <m/>
    <n v="0"/>
    <n v="0"/>
    <n v="0"/>
    <n v="0"/>
    <n v="0"/>
    <n v="0"/>
    <m/>
    <m/>
    <m/>
    <s v="No"/>
    <s v="W663126"/>
    <n v="0"/>
    <m/>
    <s v="T20104"/>
    <m/>
    <m/>
    <s v="PR006404"/>
  </r>
  <r>
    <x v="632"/>
    <n v="10000"/>
    <n v="10000"/>
    <d v="2025-03-14T00:00:00"/>
    <s v="502LAUGH"/>
    <s v=" 9:54:54 am"/>
    <s v="4136S1"/>
    <m/>
    <x v="2"/>
    <s v="Yes"/>
    <n v="65"/>
    <s v="Sanki SDR300"/>
    <x v="3"/>
    <s v="PMJ7"/>
    <s v="FOONG SEL YI"/>
    <n v="1308"/>
    <n v="77.7"/>
    <n v="1.2950000000000002"/>
    <d v="2025-03-14T00:00:00"/>
    <m/>
    <n v="26"/>
    <n v="34008"/>
    <s v="PE"/>
    <s v="TSMB00666010001"/>
    <n v="0"/>
    <n v="34000"/>
    <n v="8"/>
    <n v="0"/>
    <n v="0"/>
    <n v="0"/>
    <m/>
    <m/>
    <n v="0"/>
    <m/>
    <m/>
    <m/>
    <m/>
    <m/>
    <m/>
    <m/>
    <m/>
    <s v="TSMB0066601"/>
    <s v="T20104"/>
    <s v="TOSHIBA TEC SINGAPORE PTE LTD"/>
    <m/>
    <n v="0"/>
    <n v="0"/>
    <n v="0"/>
    <n v="0"/>
    <n v="0"/>
    <n v="0"/>
    <m/>
    <m/>
    <m/>
    <s v="No"/>
    <s v="W662838"/>
    <n v="0"/>
    <m/>
    <s v="T20104"/>
    <m/>
    <m/>
    <s v="PR006404"/>
  </r>
  <r>
    <x v="633"/>
    <n v="10000"/>
    <n v="10000"/>
    <d v="2025-03-17T00:00:00"/>
    <s v="502LAUGH"/>
    <s v=" 8:32:57 am"/>
    <s v="4112304U5A"/>
    <m/>
    <x v="2"/>
    <s v="Yes"/>
    <n v="46"/>
    <s v="Sanki 300 Intermittent"/>
    <x v="2"/>
    <s v="PS66"/>
    <s v="SIM ENG KWANG"/>
    <n v="7000"/>
    <n v="220"/>
    <n v="3.6666666666666665"/>
    <d v="2025-03-14T00:00:00"/>
    <m/>
    <n v="1"/>
    <n v="7000"/>
    <s v="PE"/>
    <s v="260-6443-000001"/>
    <n v="0"/>
    <n v="7000"/>
    <n v="0"/>
    <n v="0"/>
    <n v="0"/>
    <n v="0"/>
    <m/>
    <m/>
    <n v="0"/>
    <m/>
    <m/>
    <m/>
    <m/>
    <m/>
    <m/>
    <m/>
    <m/>
    <s v="260-6443-00"/>
    <s v="J10025"/>
    <s v="JMS SINGAPORE PTE LTD"/>
    <m/>
    <n v="0"/>
    <n v="0"/>
    <n v="0"/>
    <n v="0"/>
    <n v="0"/>
    <n v="0"/>
    <m/>
    <m/>
    <m/>
    <s v="No"/>
    <s v="W663140"/>
    <n v="0"/>
    <m/>
    <s v="J10025"/>
    <m/>
    <m/>
    <s v="S0361086"/>
  </r>
  <r>
    <x v="634"/>
    <n v="10000"/>
    <n v="10000"/>
    <d v="2025-03-14T00:00:00"/>
    <s v="502LAUGH"/>
    <s v=" 2:29:03 pm"/>
    <s v="J00HP8931"/>
    <m/>
    <x v="2"/>
    <s v="Yes"/>
    <n v="65"/>
    <s v="Sanki SDR300"/>
    <x v="3"/>
    <s v="PMJ7"/>
    <s v="FOONG SEL YI"/>
    <n v="500"/>
    <n v="57.5"/>
    <n v="0.95833333333333337"/>
    <d v="2025-03-14T00:00:00"/>
    <m/>
    <n v="16"/>
    <n v="8000"/>
    <s v="PE"/>
    <s v="250-8002-000001"/>
    <n v="0"/>
    <n v="8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63141"/>
    <n v="0"/>
    <m/>
    <s v="J10025"/>
    <m/>
    <m/>
    <s v="S0361088"/>
  </r>
  <r>
    <x v="635"/>
    <n v="10000"/>
    <n v="10000"/>
    <d v="2025-03-14T00:00:00"/>
    <s v="502LAUGH"/>
    <s v=" 2:29:03 pm"/>
    <s v="J00HP8931"/>
    <m/>
    <x v="2"/>
    <s v="Yes"/>
    <n v="65"/>
    <s v="Sanki SDR300"/>
    <x v="3"/>
    <s v="PMJ7"/>
    <s v="FOONG SEL YI"/>
    <n v="500"/>
    <n v="57.5"/>
    <n v="0.95833333333333337"/>
    <d v="2025-03-14T00:00:00"/>
    <m/>
    <n v="16"/>
    <n v="8000"/>
    <s v="PE"/>
    <s v="250-8002-000001"/>
    <n v="0"/>
    <n v="8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63142"/>
    <n v="0"/>
    <m/>
    <s v="J10025"/>
    <m/>
    <m/>
    <s v="S0361089"/>
  </r>
  <r>
    <x v="636"/>
    <n v="10000"/>
    <n v="10000"/>
    <d v="2025-03-14T00:00:00"/>
    <s v="502LAUGH"/>
    <d v="1899-12-30T10:37:12"/>
    <s v="4136S1"/>
    <m/>
    <x v="2"/>
    <s v="Yes"/>
    <n v="65"/>
    <s v="Sanki SDR300"/>
    <x v="3"/>
    <s v="PMJ7"/>
    <s v="FOONG SEL YI"/>
    <n v="352"/>
    <n v="53.8"/>
    <n v="0.89666666666666661"/>
    <d v="2025-03-14T00:00:00"/>
    <m/>
    <n v="30"/>
    <n v="10560"/>
    <s v="PE"/>
    <n v="200814300001"/>
    <n v="0"/>
    <n v="10540"/>
    <n v="20"/>
    <n v="0"/>
    <n v="0"/>
    <n v="0"/>
    <m/>
    <m/>
    <n v="0"/>
    <m/>
    <m/>
    <m/>
    <m/>
    <m/>
    <m/>
    <m/>
    <m/>
    <n v="20081430"/>
    <s v="I09180"/>
    <s v="ILLUMINA SINGAPORE PTE LTD"/>
    <m/>
    <n v="0"/>
    <n v="0"/>
    <n v="0"/>
    <n v="0"/>
    <n v="0"/>
    <n v="0"/>
    <m/>
    <m/>
    <m/>
    <s v="No"/>
    <s v="W663148"/>
    <n v="0"/>
    <m/>
    <s v="I09180"/>
    <m/>
    <m/>
    <s v="S0361116"/>
  </r>
  <r>
    <x v="588"/>
    <n v="10000"/>
    <n v="20000"/>
    <d v="2025-03-14T00:00:00"/>
    <s v="502LAUGH"/>
    <s v=" 9:44:52 am"/>
    <s v="MOBM63480"/>
    <m/>
    <x v="0"/>
    <s v="Yes"/>
    <n v="92"/>
    <s v="Polly Digital Cut"/>
    <x v="6"/>
    <s v="PM87"/>
    <s v="LEE SHIEN WEI"/>
    <n v="600"/>
    <m/>
    <m/>
    <d v="2025-03-14T00:00:00"/>
    <m/>
    <n v="1"/>
    <n v="600"/>
    <s v="PE"/>
    <s v="4022 451 413710001"/>
    <n v="0"/>
    <n v="500"/>
    <n v="100"/>
    <n v="0"/>
    <n v="0"/>
    <n v="0"/>
    <m/>
    <m/>
    <n v="0"/>
    <m/>
    <m/>
    <m/>
    <m/>
    <m/>
    <m/>
    <m/>
    <m/>
    <s v="4022 451 41371"/>
    <s v="V22065"/>
    <s v="VDL ENABLING TECHNOLOGIES GROUP (S) PTE LTD"/>
    <m/>
    <n v="0"/>
    <n v="0"/>
    <n v="0"/>
    <n v="0"/>
    <n v="0"/>
    <n v="0"/>
    <m/>
    <m/>
    <m/>
    <s v="No"/>
    <s v="W663153"/>
    <n v="0"/>
    <m/>
    <s v="V22065"/>
    <m/>
    <m/>
    <s v="S0361136"/>
  </r>
  <r>
    <x v="538"/>
    <n v="10000"/>
    <n v="20000"/>
    <d v="2025-03-14T00:00:00"/>
    <s v="502LAUGH"/>
    <d v="1899-12-30T12:49:28"/>
    <s v="M0BVD0511"/>
    <m/>
    <x v="0"/>
    <s v="Yes"/>
    <n v="71"/>
    <s v="POLLY"/>
    <x v="3"/>
    <s v="PS95"/>
    <s v="LIM CHENG LEONG"/>
    <n v="1334"/>
    <m/>
    <m/>
    <d v="2025-03-14T00:00:00"/>
    <m/>
    <n v="90"/>
    <n v="120060"/>
    <s v="PE"/>
    <s v="107-54006900001"/>
    <n v="0"/>
    <n v="120000"/>
    <n v="6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3155"/>
    <n v="0"/>
    <m/>
    <s v="K11180"/>
    <m/>
    <m/>
    <s v="S0361150"/>
  </r>
  <r>
    <x v="637"/>
    <n v="10000"/>
    <n v="10000"/>
    <d v="2025-03-14T00:00:00"/>
    <s v="502LAUGH"/>
    <s v=" 9:46:27 am"/>
    <n v="310180293"/>
    <m/>
    <x v="2"/>
    <s v="Yes"/>
    <n v="88"/>
    <s v="OKI"/>
    <x v="4"/>
    <s v="PP24"/>
    <s v="HO HON SENG"/>
    <n v="50"/>
    <m/>
    <m/>
    <d v="2025-03-14T00:00:00"/>
    <m/>
    <n v="1"/>
    <n v="50"/>
    <s v="PE"/>
    <s v="057-05335-0004 R0003"/>
    <n v="0"/>
    <n v="7"/>
    <n v="43"/>
    <n v="0"/>
    <n v="0"/>
    <n v="0"/>
    <m/>
    <m/>
    <n v="0"/>
    <m/>
    <m/>
    <m/>
    <m/>
    <m/>
    <m/>
    <m/>
    <m/>
    <s v="057-05335-0004SKREVA"/>
    <s v="S19351"/>
    <s v="ADVANCED MANUFACTURING CORPORATION PTE LTD"/>
    <m/>
    <n v="0"/>
    <n v="0"/>
    <n v="0"/>
    <n v="0"/>
    <n v="0"/>
    <n v="0"/>
    <m/>
    <m/>
    <m/>
    <s v="No"/>
    <s v="W663158"/>
    <n v="0"/>
    <m/>
    <s v="S19351"/>
    <m/>
    <m/>
    <s v="S0360729"/>
  </r>
  <r>
    <x v="637"/>
    <n v="10000"/>
    <n v="20000"/>
    <d v="2025-03-14T00:00:00"/>
    <s v="502LAUGH"/>
    <s v=" 9:46:27 am"/>
    <n v="310180293"/>
    <m/>
    <x v="0"/>
    <s v="Yes"/>
    <n v="92"/>
    <s v="Polly Digital Cut"/>
    <x v="6"/>
    <s v="PM87"/>
    <s v="LEE SHIEN WEI"/>
    <n v="6"/>
    <m/>
    <m/>
    <d v="2025-03-14T00:00:00"/>
    <m/>
    <n v="5"/>
    <n v="30"/>
    <s v="PE"/>
    <s v="057-05335-0004 R0003"/>
    <n v="0"/>
    <n v="7"/>
    <n v="23"/>
    <n v="0"/>
    <n v="0"/>
    <n v="0"/>
    <m/>
    <m/>
    <n v="0"/>
    <m/>
    <m/>
    <m/>
    <m/>
    <m/>
    <m/>
    <m/>
    <m/>
    <s v="057-05335-0004SKREVA"/>
    <s v="S19351"/>
    <s v="ADVANCED MANUFACTURING CORPORATION PTE LTD"/>
    <m/>
    <n v="0"/>
    <n v="0"/>
    <n v="0"/>
    <n v="0"/>
    <n v="0"/>
    <n v="0"/>
    <m/>
    <m/>
    <m/>
    <s v="No"/>
    <s v="W663158"/>
    <n v="0"/>
    <m/>
    <s v="S19351"/>
    <m/>
    <m/>
    <s v="S0360729"/>
  </r>
  <r>
    <x v="638"/>
    <n v="10000"/>
    <n v="10000"/>
    <d v="2025-03-14T00:00:00"/>
    <s v="502LAUGH"/>
    <s v=" 9:46:27 am"/>
    <s v="U3801S017"/>
    <m/>
    <x v="2"/>
    <s v="Yes"/>
    <n v="88"/>
    <s v="OKI"/>
    <x v="4"/>
    <s v="PP24"/>
    <s v="HO HON SENG"/>
    <n v="150"/>
    <m/>
    <m/>
    <d v="2025-03-14T00:00:00"/>
    <m/>
    <n v="1"/>
    <n v="150"/>
    <s v="PE"/>
    <s v="057-35252-0998 R0001"/>
    <n v="0"/>
    <n v="50"/>
    <n v="100"/>
    <n v="0"/>
    <n v="0"/>
    <n v="0"/>
    <m/>
    <m/>
    <n v="0"/>
    <m/>
    <m/>
    <m/>
    <m/>
    <m/>
    <m/>
    <m/>
    <m/>
    <s v="057-35252-0998 REV-"/>
    <s v="S19351"/>
    <s v="ADVANCED MANUFACTURING CORPORATION PTE LTD"/>
    <m/>
    <n v="0"/>
    <n v="0"/>
    <n v="0"/>
    <n v="0"/>
    <n v="0"/>
    <n v="0"/>
    <m/>
    <m/>
    <m/>
    <s v="No"/>
    <s v="W663159"/>
    <n v="0"/>
    <m/>
    <s v="S19351"/>
    <m/>
    <m/>
    <s v="S0360729"/>
  </r>
  <r>
    <x v="638"/>
    <n v="10000"/>
    <n v="20000"/>
    <d v="2025-03-14T00:00:00"/>
    <s v="502LAUGH"/>
    <s v=" 9:46:27 am"/>
    <s v="U3801S017"/>
    <m/>
    <x v="0"/>
    <s v="Yes"/>
    <n v="92"/>
    <s v="Polly Digital Cut"/>
    <x v="6"/>
    <s v="PM87"/>
    <s v="LEE SHIEN WEI"/>
    <n v="20"/>
    <m/>
    <m/>
    <d v="2025-03-14T00:00:00"/>
    <m/>
    <n v="3"/>
    <n v="60"/>
    <s v="PE"/>
    <s v="057-35252-0998 R0001"/>
    <n v="0"/>
    <n v="50"/>
    <n v="10"/>
    <n v="0"/>
    <n v="0"/>
    <n v="0"/>
    <m/>
    <m/>
    <n v="0"/>
    <m/>
    <m/>
    <m/>
    <m/>
    <m/>
    <m/>
    <m/>
    <m/>
    <s v="057-35252-0998 REV-"/>
    <s v="S19351"/>
    <s v="ADVANCED MANUFACTURING CORPORATION PTE LTD"/>
    <m/>
    <n v="0"/>
    <n v="0"/>
    <n v="0"/>
    <n v="0"/>
    <n v="0"/>
    <n v="0"/>
    <m/>
    <m/>
    <m/>
    <s v="No"/>
    <s v="W663159"/>
    <n v="0"/>
    <m/>
    <s v="S19351"/>
    <m/>
    <m/>
    <s v="S0360729"/>
  </r>
  <r>
    <x v="639"/>
    <n v="10000"/>
    <n v="10000"/>
    <d v="2025-03-14T00:00:00"/>
    <s v="502LAUGH"/>
    <d v="1899-12-30T12:48:15"/>
    <s v="U530352047/501241326"/>
    <m/>
    <x v="2"/>
    <s v="Yes"/>
    <n v="32"/>
    <s v="Lintec Intermittent"/>
    <x v="2"/>
    <s v="PS32"/>
    <s v="CHONG SIOW KHEONG"/>
    <n v="5860"/>
    <m/>
    <m/>
    <d v="2025-03-1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3316"/>
    <n v="0"/>
    <m/>
    <s v="J10025"/>
    <m/>
    <m/>
    <s v="S0361160"/>
  </r>
  <r>
    <x v="640"/>
    <n v="10000"/>
    <n v="10000"/>
    <d v="2025-03-14T00:00:00"/>
    <s v="502LAUGH"/>
    <d v="1899-12-30T10:55:03"/>
    <s v="5011622U5"/>
    <m/>
    <x v="2"/>
    <s v="Yes"/>
    <n v="12"/>
    <s v="FSK SR520"/>
    <x v="2"/>
    <s v="PP05"/>
    <s v="WONG KIM FATT"/>
    <n v="3000"/>
    <n v="105"/>
    <n v="1.75"/>
    <d v="2025-03-14T00:00:00"/>
    <m/>
    <n v="2"/>
    <n v="6000"/>
    <s v="PE"/>
    <s v="260-6169-000001"/>
    <n v="0"/>
    <n v="6000"/>
    <n v="0"/>
    <n v="0"/>
    <n v="0"/>
    <n v="0"/>
    <m/>
    <m/>
    <n v="0"/>
    <m/>
    <m/>
    <m/>
    <m/>
    <m/>
    <m/>
    <m/>
    <m/>
    <s v="260-6169-00"/>
    <s v="J10025"/>
    <s v="JMS SINGAPORE PTE LTD"/>
    <m/>
    <n v="0"/>
    <n v="0"/>
    <n v="0"/>
    <n v="0"/>
    <n v="0"/>
    <n v="0"/>
    <m/>
    <m/>
    <m/>
    <s v="No"/>
    <s v="W663169"/>
    <n v="0"/>
    <m/>
    <s v="J10025"/>
    <m/>
    <m/>
    <s v="S0361164"/>
  </r>
  <r>
    <x v="641"/>
    <n v="10000"/>
    <n v="10000"/>
    <d v="2025-03-14T00:00:00"/>
    <s v="502LAUGH"/>
    <s v=" 5:34:16 pm"/>
    <s v="4111526U5A"/>
    <m/>
    <x v="2"/>
    <s v="Yes"/>
    <n v="61"/>
    <s v="FSK 520"/>
    <x v="2"/>
    <s v="PM61"/>
    <s v="HO CHAN LE"/>
    <n v="8334"/>
    <n v="211.68"/>
    <n v="3.528"/>
    <d v="2025-03-14T00:00:00"/>
    <m/>
    <n v="6"/>
    <n v="50004"/>
    <s v="PE"/>
    <s v="260-6012-000001"/>
    <n v="0"/>
    <n v="50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3718"/>
    <n v="0"/>
    <m/>
    <s v="J10025"/>
    <m/>
    <m/>
    <s v="S0361177"/>
  </r>
  <r>
    <x v="598"/>
    <n v="10000"/>
    <n v="20000"/>
    <d v="2025-03-17T00:00:00"/>
    <s v="502LAUGH"/>
    <d v="1899-12-30T12:58:49"/>
    <s v="MOBSM95601524"/>
    <m/>
    <x v="0"/>
    <s v="Yes"/>
    <n v="101"/>
    <s v="Luster AOI"/>
    <x v="1"/>
    <s v="QM87"/>
    <s v="GOH SING JOO"/>
    <n v="10000"/>
    <m/>
    <m/>
    <d v="2025-03-14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s v="HP MALAYSIA MANUFACTURING SDN.BHD."/>
    <m/>
    <n v="0"/>
    <n v="0"/>
    <n v="0"/>
    <n v="0"/>
    <n v="0"/>
    <n v="0"/>
    <m/>
    <m/>
    <m/>
    <s v="No"/>
    <s v="W663726"/>
    <n v="0"/>
    <m/>
    <s v="H08031-JIM-M"/>
    <m/>
    <m/>
    <s v="S0361187"/>
  </r>
  <r>
    <x v="642"/>
    <n v="10000"/>
    <n v="10000"/>
    <d v="2025-04-01T00:00:00"/>
    <s v="502LAUGH"/>
    <s v=" 2:02:46 pm"/>
    <n v="10639931114"/>
    <m/>
    <x v="2"/>
    <s v="Yes"/>
    <n v="79"/>
    <s v="HP Indigo 6800"/>
    <x v="4"/>
    <s v="PM16"/>
    <s v="TEO KAH JUN"/>
    <n v="1418"/>
    <n v="100.9"/>
    <n v="1.6816666666666669"/>
    <d v="2025-03-14T00:00:00"/>
    <m/>
    <n v="176"/>
    <n v="249568"/>
    <s v="PE"/>
    <s v="6ZD21-800010001"/>
    <n v="0"/>
    <n v="215000"/>
    <n v="34568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4106"/>
    <n v="0"/>
    <m/>
    <s v="H08031-JIM-M"/>
    <m/>
    <m/>
    <s v="S0361191"/>
  </r>
  <r>
    <x v="643"/>
    <n v="10000"/>
    <n v="10000"/>
    <d v="2025-03-27T00:00:00"/>
    <s v="502LAUGH"/>
    <s v=" 8:33:09 am"/>
    <n v="10639931025"/>
    <m/>
    <x v="2"/>
    <s v="Yes"/>
    <n v="79"/>
    <s v="HP Indigo 6800"/>
    <x v="4"/>
    <s v="PM16"/>
    <s v="TEO KAH JUN"/>
    <n v="879"/>
    <n v="73.95"/>
    <n v="1.2325000000000002"/>
    <d v="2025-03-14T00:00:00"/>
    <m/>
    <n v="264"/>
    <n v="232056"/>
    <s v="PE"/>
    <s v="7FP21-80002-FT0001"/>
    <n v="0"/>
    <n v="200000"/>
    <n v="32056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4108"/>
    <n v="0"/>
    <m/>
    <s v="H08031-JIM-M"/>
    <m/>
    <m/>
    <s v="S0361193"/>
  </r>
  <r>
    <x v="644"/>
    <n v="10000"/>
    <n v="10000"/>
    <d v="2025-03-14T00:00:00"/>
    <s v="502LAUGH"/>
    <s v=" 4:25:46 pm"/>
    <s v="SG-5630465"/>
    <m/>
    <x v="2"/>
    <s v="Yes"/>
    <n v="59"/>
    <s v="SANKI SD-300 Intermittent"/>
    <x v="2"/>
    <s v="PS74"/>
    <s v="GOH CHIN TECK"/>
    <n v="258"/>
    <n v="51.45"/>
    <n v="0.85750000000000004"/>
    <d v="2025-03-14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63187"/>
    <n v="0"/>
    <m/>
    <s v="I09180"/>
    <m/>
    <m/>
    <s v="S0361207"/>
  </r>
  <r>
    <x v="645"/>
    <n v="10000"/>
    <n v="10000"/>
    <d v="2025-03-14T00:00:00"/>
    <s v="502LAUGH"/>
    <s v=" 4:25:46 pm"/>
    <s v="SG-5630465"/>
    <m/>
    <x v="2"/>
    <s v="Yes"/>
    <n v="59"/>
    <s v="SANKI SD-300 Intermittent"/>
    <x v="2"/>
    <s v="PS74"/>
    <s v="GOH CHIN TECK"/>
    <n v="258"/>
    <n v="51.45"/>
    <n v="0.85750000000000004"/>
    <d v="2025-03-14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63188"/>
    <n v="0"/>
    <m/>
    <s v="I09180"/>
    <m/>
    <m/>
    <s v="S0361208"/>
  </r>
  <r>
    <x v="646"/>
    <n v="10000"/>
    <n v="10000"/>
    <d v="2025-03-20T00:00:00"/>
    <s v="502LAUGH"/>
    <s v=" 2:54:41 pm"/>
    <s v="4067S1"/>
    <m/>
    <x v="2"/>
    <s v="Yes"/>
    <n v="88"/>
    <s v="OKI"/>
    <x v="4"/>
    <s v="PP24"/>
    <s v="HO HON SENG"/>
    <n v="300"/>
    <m/>
    <m/>
    <d v="2025-03-14T00:00:00"/>
    <m/>
    <n v="3"/>
    <n v="900"/>
    <s v="PE"/>
    <s v="LAB-1070-010001"/>
    <n v="0"/>
    <n v="600"/>
    <n v="300"/>
    <n v="0"/>
    <n v="0"/>
    <n v="0"/>
    <m/>
    <m/>
    <n v="0"/>
    <m/>
    <m/>
    <m/>
    <m/>
    <m/>
    <m/>
    <m/>
    <m/>
    <s v="LAB-1070-01"/>
    <s v="R18068"/>
    <s v="RFNET TECHNOLOGIES PTE LTD"/>
    <m/>
    <n v="0"/>
    <n v="0"/>
    <n v="0"/>
    <n v="0"/>
    <n v="0"/>
    <n v="0"/>
    <m/>
    <m/>
    <m/>
    <s v="No"/>
    <s v="W663190"/>
    <n v="0"/>
    <m/>
    <s v="R18068"/>
    <m/>
    <m/>
    <s v="S0361210"/>
  </r>
  <r>
    <x v="647"/>
    <n v="10000"/>
    <n v="10000"/>
    <d v="2025-03-20T00:00:00"/>
    <s v="502LAUGH"/>
    <s v=" 2:54:41 pm"/>
    <s v="3101S1"/>
    <m/>
    <x v="2"/>
    <s v="Yes"/>
    <n v="88"/>
    <s v="OKI"/>
    <x v="4"/>
    <s v="PP24"/>
    <s v="HO HON SENG"/>
    <n v="800"/>
    <m/>
    <m/>
    <d v="2025-03-14T00:00:00"/>
    <m/>
    <n v="1"/>
    <n v="800"/>
    <s v="PE"/>
    <s v="1581-07-030001"/>
    <n v="0"/>
    <n v="500"/>
    <n v="300"/>
    <n v="0"/>
    <n v="0"/>
    <n v="0"/>
    <m/>
    <m/>
    <n v="0"/>
    <m/>
    <m/>
    <m/>
    <m/>
    <m/>
    <m/>
    <m/>
    <m/>
    <s v="1581-07-03"/>
    <s v="R18068"/>
    <s v="RFNET TECHNOLOGIES PTE LTD"/>
    <m/>
    <n v="0"/>
    <n v="0"/>
    <n v="0"/>
    <n v="0"/>
    <n v="0"/>
    <n v="0"/>
    <m/>
    <m/>
    <m/>
    <s v="No"/>
    <s v="W663191"/>
    <n v="0"/>
    <m/>
    <s v="R18068"/>
    <m/>
    <m/>
    <s v="S0361210"/>
  </r>
  <r>
    <x v="648"/>
    <n v="10000"/>
    <n v="10000"/>
    <d v="2025-03-28T00:00:00"/>
    <s v="502LAUGH"/>
    <s v=" 5:04:07 pm"/>
    <n v="10639931114"/>
    <m/>
    <x v="2"/>
    <s v="Yes"/>
    <n v="79"/>
    <s v="HP Indigo 6800"/>
    <x v="4"/>
    <s v="PM16"/>
    <s v="TEO KAH JUN"/>
    <n v="535"/>
    <n v="56.75"/>
    <n v="0.9458333333333333"/>
    <d v="2025-03-14T00:00:00"/>
    <m/>
    <n v="176"/>
    <n v="94160"/>
    <s v="PE"/>
    <s v="C2P08-80005-FT0001"/>
    <n v="0"/>
    <n v="80000"/>
    <n v="14160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64110"/>
    <n v="0"/>
    <m/>
    <s v="H08031-JIM-M"/>
    <m/>
    <m/>
    <s v="S0361215"/>
  </r>
  <r>
    <x v="649"/>
    <n v="10000"/>
    <n v="10000"/>
    <d v="2025-03-14T00:00:00"/>
    <s v="502LAUGH"/>
    <s v=" 4:13:44 pm"/>
    <s v="2962621-001"/>
    <m/>
    <x v="2"/>
    <s v="Yes"/>
    <n v="31"/>
    <s v="Sanki SKP250 Full Rotary"/>
    <x v="2"/>
    <s v="PS27"/>
    <s v="TAN TECK HEE"/>
    <n v="500"/>
    <n v="57.5"/>
    <n v="0.95833333333333337"/>
    <d v="2025-03-14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3192"/>
    <n v="0"/>
    <m/>
    <s v="L12161"/>
    <m/>
    <m/>
    <s v="S0361216"/>
  </r>
  <r>
    <x v="600"/>
    <n v="10000"/>
    <n v="20000"/>
    <d v="2025-03-14T00:00:00"/>
    <s v="502LAUGH"/>
    <s v=" 5:12:40 pm"/>
    <s v="M0BR27133"/>
    <m/>
    <x v="0"/>
    <s v="Yes"/>
    <n v="71"/>
    <s v="POLLY"/>
    <x v="3"/>
    <s v="PS95"/>
    <s v="LIM CHENG LEONG"/>
    <n v="5000"/>
    <m/>
    <m/>
    <d v="2025-03-14T00:00:00"/>
    <m/>
    <n v="2"/>
    <n v="10000"/>
    <s v="PE"/>
    <s v="M-260X1280001"/>
    <n v="0"/>
    <n v="10000"/>
    <n v="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3193"/>
    <n v="0"/>
    <m/>
    <s v="G07076"/>
    <m/>
    <m/>
    <s v="S0361217"/>
  </r>
  <r>
    <x v="650"/>
    <n v="10000"/>
    <n v="10000"/>
    <d v="2025-03-17T00:00:00"/>
    <s v="502LAUGH"/>
    <s v=" 8:43:04 am"/>
    <s v="E1206930/S24Y100279"/>
    <m/>
    <x v="2"/>
    <s v="Yes"/>
    <n v="75"/>
    <s v="HDS 3"/>
    <x v="3"/>
    <s v="PM75"/>
    <s v="TOO CHIOU SHYAN"/>
    <n v="308"/>
    <n v="60.4"/>
    <n v="1.0066666666666666"/>
    <d v="2025-03-14T00:00:00"/>
    <m/>
    <n v="13"/>
    <n v="4004"/>
    <s v="PE"/>
    <s v="763360200 REVA0001"/>
    <n v="0"/>
    <n v="4000"/>
    <n v="4"/>
    <n v="0"/>
    <n v="0"/>
    <n v="0"/>
    <m/>
    <m/>
    <n v="0"/>
    <m/>
    <m/>
    <m/>
    <m/>
    <m/>
    <m/>
    <m/>
    <m/>
    <s v="763360200 REVA"/>
    <s v="S19081-TH"/>
    <s v="SEAGATE TECHNOLOGY (THAILAND) LTD."/>
    <m/>
    <n v="0"/>
    <n v="0"/>
    <n v="0"/>
    <n v="0"/>
    <n v="0"/>
    <n v="0"/>
    <m/>
    <m/>
    <m/>
    <s v="No"/>
    <s v="W663194"/>
    <n v="0"/>
    <m/>
    <s v="S19081-TH"/>
    <m/>
    <m/>
    <s v="H0064790"/>
  </r>
  <r>
    <x v="651"/>
    <n v="10000"/>
    <n v="10000"/>
    <d v="2025-03-18T00:00:00"/>
    <s v="502LAUGH"/>
    <s v=" 1:29:16 pm"/>
    <s v="J00T59660"/>
    <m/>
    <x v="2"/>
    <s v="Yes"/>
    <n v="72"/>
    <s v="Xeikon 3500"/>
    <x v="4"/>
    <s v="PM17"/>
    <s v="NG SWEE CHEA"/>
    <n v="1750"/>
    <m/>
    <m/>
    <d v="2025-03-14T00:00:00"/>
    <m/>
    <n v="4"/>
    <n v="7000"/>
    <s v="PE"/>
    <n v="83614970001"/>
    <n v="0"/>
    <n v="5000"/>
    <n v="2000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63195"/>
    <n v="0"/>
    <m/>
    <s v="B02083"/>
    <m/>
    <m/>
    <s v="S0361247"/>
  </r>
  <r>
    <x v="652"/>
    <n v="10000"/>
    <n v="10000"/>
    <d v="2025-03-18T00:00:00"/>
    <s v="502LAUGH"/>
    <s v=" 2:57:00 pm"/>
    <s v="J00T59660"/>
    <m/>
    <x v="2"/>
    <s v="Yes"/>
    <n v="72"/>
    <s v="Xeikon 3500"/>
    <x v="4"/>
    <s v="PM17"/>
    <s v="NG SWEE CHEA"/>
    <n v="1750"/>
    <m/>
    <m/>
    <d v="2025-03-14T00:00:00"/>
    <m/>
    <n v="4"/>
    <n v="7000"/>
    <s v="PE"/>
    <n v="83615030001"/>
    <n v="0"/>
    <n v="5000"/>
    <n v="2000"/>
    <n v="0"/>
    <n v="0"/>
    <n v="0"/>
    <m/>
    <m/>
    <n v="0"/>
    <m/>
    <m/>
    <m/>
    <m/>
    <m/>
    <m/>
    <m/>
    <m/>
    <n v="8361503"/>
    <s v="B02083"/>
    <s v="BECTON DICKINSON MEDICAL (S) PTE LTD"/>
    <m/>
    <n v="0"/>
    <n v="0"/>
    <n v="0"/>
    <n v="0"/>
    <n v="0"/>
    <n v="0"/>
    <m/>
    <m/>
    <m/>
    <s v="No"/>
    <s v="W663197"/>
    <n v="0"/>
    <m/>
    <s v="B02083"/>
    <m/>
    <m/>
    <s v="S0361247"/>
  </r>
  <r>
    <x v="653"/>
    <n v="10000"/>
    <n v="10000"/>
    <d v="2025-03-18T00:00:00"/>
    <s v="502LAUGH"/>
    <s v=" 1:27:39 pm"/>
    <s v="J00T59660"/>
    <m/>
    <x v="2"/>
    <s v="Yes"/>
    <n v="72"/>
    <s v="Xeikon 3500"/>
    <x v="4"/>
    <s v="PM17"/>
    <s v="NG SWEE CHEA"/>
    <n v="1750"/>
    <m/>
    <m/>
    <d v="2025-03-14T00:00:00"/>
    <m/>
    <n v="4"/>
    <n v="7000"/>
    <s v="PE"/>
    <n v="83615120001"/>
    <n v="0"/>
    <n v="5000"/>
    <n v="2000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3198"/>
    <n v="0"/>
    <m/>
    <s v="B02083"/>
    <m/>
    <m/>
    <s v="S0361247"/>
  </r>
  <r>
    <x v="654"/>
    <n v="10000"/>
    <n v="10000"/>
    <d v="2025-03-18T00:00:00"/>
    <s v="502LAUGH"/>
    <s v=" 2:56:11 pm"/>
    <s v="J00T59660"/>
    <m/>
    <x v="2"/>
    <s v="Yes"/>
    <n v="72"/>
    <s v="Xeikon 3500"/>
    <x v="4"/>
    <s v="PM17"/>
    <s v="NG SWEE CHEA"/>
    <n v="1750"/>
    <m/>
    <m/>
    <d v="2025-03-14T00:00:00"/>
    <m/>
    <n v="4"/>
    <n v="7000"/>
    <s v="PE"/>
    <n v="5000514780001"/>
    <n v="0"/>
    <n v="5000"/>
    <n v="2000"/>
    <n v="0"/>
    <n v="0"/>
    <n v="0"/>
    <m/>
    <m/>
    <n v="0"/>
    <m/>
    <m/>
    <m/>
    <m/>
    <m/>
    <m/>
    <m/>
    <m/>
    <n v="500051478"/>
    <s v="B02083"/>
    <s v="BECTON DICKINSON MEDICAL (S) PTE LTD"/>
    <m/>
    <n v="0"/>
    <n v="0"/>
    <n v="0"/>
    <n v="0"/>
    <n v="0"/>
    <n v="0"/>
    <m/>
    <m/>
    <m/>
    <s v="No"/>
    <s v="W663199"/>
    <n v="0"/>
    <m/>
    <s v="B02083"/>
    <m/>
    <m/>
    <s v="S0361247"/>
  </r>
  <r>
    <x v="655"/>
    <n v="10000"/>
    <n v="10000"/>
    <d v="2025-03-18T00:00:00"/>
    <s v="502LAUGH"/>
    <s v=" 1:28:27 pm"/>
    <s v="J00T59660"/>
    <m/>
    <x v="2"/>
    <s v="Yes"/>
    <n v="72"/>
    <s v="Xeikon 3500"/>
    <x v="4"/>
    <s v="PM17"/>
    <s v="NG SWEE CHEA"/>
    <n v="2750"/>
    <m/>
    <m/>
    <d v="2025-03-14T00:00:00"/>
    <m/>
    <n v="4"/>
    <n v="11000"/>
    <s v="PE"/>
    <n v="83615120001"/>
    <n v="0"/>
    <n v="10000"/>
    <n v="1000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3200"/>
    <n v="0"/>
    <m/>
    <s v="B02083"/>
    <m/>
    <m/>
    <s v="S0361249"/>
  </r>
  <r>
    <x v="656"/>
    <n v="10000"/>
    <n v="10000"/>
    <d v="2025-03-19T00:00:00"/>
    <s v="502LAUGH"/>
    <s v=" 8:40:12 am"/>
    <s v="J00T59660"/>
    <m/>
    <x v="2"/>
    <s v="Yes"/>
    <n v="72"/>
    <s v="Xeikon 3500"/>
    <x v="4"/>
    <s v="PM17"/>
    <s v="NG SWEE CHEA"/>
    <n v="1750"/>
    <m/>
    <m/>
    <d v="2025-03-14T00:00:00"/>
    <m/>
    <n v="4"/>
    <n v="7000"/>
    <s v="PE"/>
    <n v="5000514710001"/>
    <n v="0"/>
    <n v="5000"/>
    <n v="2000"/>
    <n v="0"/>
    <n v="0"/>
    <n v="0"/>
    <m/>
    <m/>
    <n v="0"/>
    <m/>
    <m/>
    <m/>
    <m/>
    <m/>
    <m/>
    <m/>
    <m/>
    <n v="500051471"/>
    <s v="B02083"/>
    <s v="BECTON DICKINSON MEDICAL (S) PTE LTD"/>
    <m/>
    <n v="0"/>
    <n v="0"/>
    <n v="0"/>
    <n v="0"/>
    <n v="0"/>
    <n v="0"/>
    <m/>
    <m/>
    <m/>
    <s v="No"/>
    <s v="W663201"/>
    <n v="0"/>
    <m/>
    <s v="B02083"/>
    <m/>
    <m/>
    <s v="S0361248"/>
  </r>
  <r>
    <x v="657"/>
    <n v="10000"/>
    <n v="10000"/>
    <d v="2025-03-14T00:00:00"/>
    <s v="502LAUGH"/>
    <d v="1899-12-30T12:48:15"/>
    <s v="M0BUF4281"/>
    <m/>
    <x v="2"/>
    <s v="Yes"/>
    <n v="29"/>
    <s v="Sanki SKP250 Full Rotary"/>
    <x v="2"/>
    <s v="PS70"/>
    <s v="YEO WOO KEONG"/>
    <n v="1500"/>
    <n v="82.5"/>
    <n v="1.375"/>
    <d v="2025-03-14T00:00:00"/>
    <m/>
    <n v="2"/>
    <n v="3000"/>
    <s v="PE"/>
    <s v="204072000 REVA0001"/>
    <n v="0"/>
    <n v="3000"/>
    <n v="0"/>
    <n v="0"/>
    <n v="0"/>
    <n v="0"/>
    <m/>
    <m/>
    <n v="0"/>
    <m/>
    <m/>
    <m/>
    <m/>
    <m/>
    <m/>
    <m/>
    <m/>
    <s v="204072000 REVA"/>
    <s v="S19314"/>
    <s v="SEAGATE TECHNOLOGY INTERNATIONAL (WUXI) CO., LTD"/>
    <m/>
    <n v="0"/>
    <n v="0"/>
    <n v="0"/>
    <n v="0"/>
    <n v="0"/>
    <n v="0"/>
    <m/>
    <m/>
    <m/>
    <s v="No"/>
    <s v="W663206"/>
    <n v="0"/>
    <m/>
    <s v="S19314"/>
    <m/>
    <m/>
    <s v="H0064795"/>
  </r>
  <r>
    <x v="658"/>
    <n v="10000"/>
    <n v="10000"/>
    <d v="2025-03-17T00:00:00"/>
    <s v="502LAUGH"/>
    <s v=" 8:50:13 am"/>
    <s v="M0BFL2381"/>
    <m/>
    <x v="2"/>
    <s v="Yes"/>
    <n v="78"/>
    <s v="Baby Sanki"/>
    <x v="2"/>
    <s v="PM84"/>
    <s v="TAN TAI TOH"/>
    <n v="2750"/>
    <n v="113.75"/>
    <n v="1.8958333333333333"/>
    <d v="2025-03-14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3207"/>
    <n v="0"/>
    <m/>
    <s v="S19081-TH"/>
    <m/>
    <m/>
    <s v="H0064796"/>
  </r>
  <r>
    <x v="658"/>
    <n v="10000"/>
    <n v="20000"/>
    <d v="2025-03-17T00:00:00"/>
    <s v="502LAUGH"/>
    <s v=" 8:50:13 am"/>
    <s v="M0BFL2381"/>
    <m/>
    <x v="0"/>
    <s v="Yes"/>
    <n v="63"/>
    <s v="SANKI"/>
    <x v="3"/>
    <s v="PM80"/>
    <s v="YAP ZHI PING"/>
    <n v="2500"/>
    <n v="107.5"/>
    <n v="1.7916666666666667"/>
    <d v="2025-03-14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3207"/>
    <n v="0"/>
    <m/>
    <s v="S19081-TH"/>
    <m/>
    <m/>
    <s v="H0064796"/>
  </r>
  <r>
    <x v="659"/>
    <n v="10000"/>
    <n v="10000"/>
    <d v="2025-03-18T00:00:00"/>
    <s v="502LAUGH"/>
    <s v=" 1:06:00 pm"/>
    <s v="U4B1958052"/>
    <m/>
    <x v="2"/>
    <s v="Yes"/>
    <n v="72"/>
    <s v="Xeikon 3500"/>
    <x v="4"/>
    <s v="PM17"/>
    <s v="NG SWEE CHEA"/>
    <n v="4000"/>
    <m/>
    <m/>
    <d v="2025-03-14T00:00:00"/>
    <m/>
    <n v="4"/>
    <n v="16000"/>
    <s v="PE"/>
    <n v="566860001"/>
    <n v="0"/>
    <n v="10000"/>
    <n v="6000"/>
    <n v="0"/>
    <n v="0"/>
    <n v="0"/>
    <m/>
    <m/>
    <n v="0"/>
    <m/>
    <m/>
    <m/>
    <m/>
    <m/>
    <m/>
    <m/>
    <m/>
    <n v="56686"/>
    <s v="P16120"/>
    <s v="PHOON HUAT PTE LTD"/>
    <m/>
    <n v="0"/>
    <n v="0"/>
    <n v="0"/>
    <n v="0"/>
    <n v="0"/>
    <n v="0"/>
    <m/>
    <m/>
    <m/>
    <s v="No"/>
    <s v="W663321"/>
    <n v="0"/>
    <m/>
    <s v="P16120"/>
    <m/>
    <m/>
    <s v="S0361283"/>
  </r>
  <r>
    <x v="660"/>
    <n v="10000"/>
    <n v="10000"/>
    <d v="2025-03-14T00:00:00"/>
    <s v="502LAUGH"/>
    <d v="1899-12-30T12:50:00"/>
    <s v="J00RN44911525"/>
    <m/>
    <x v="2"/>
    <s v="Yes"/>
    <n v="65"/>
    <s v="Sanki SDR300"/>
    <x v="3"/>
    <s v="PMJ7"/>
    <s v="FOONG SEL YI"/>
    <n v="1112"/>
    <n v="72.8"/>
    <n v="1.2133333333333334"/>
    <d v="2025-03-14T00:00:00"/>
    <m/>
    <n v="45"/>
    <n v="50040"/>
    <s v="PE"/>
    <s v="5188-45390001"/>
    <n v="0"/>
    <n v="50000"/>
    <n v="40"/>
    <n v="0"/>
    <n v="0"/>
    <n v="0"/>
    <m/>
    <m/>
    <n v="0"/>
    <m/>
    <m/>
    <m/>
    <m/>
    <m/>
    <m/>
    <m/>
    <m/>
    <s v="5188-4539"/>
    <s v="H08031-JIM-M"/>
    <s v="HP MALAYSIA MANUFACTURING SDN.BHD."/>
    <m/>
    <n v="0"/>
    <n v="0"/>
    <n v="0"/>
    <n v="0"/>
    <n v="0"/>
    <n v="0"/>
    <m/>
    <m/>
    <m/>
    <s v="No"/>
    <s v="W663210"/>
    <n v="0"/>
    <m/>
    <s v="H08031-JIM-M"/>
    <m/>
    <m/>
    <s v="S0361289"/>
  </r>
  <r>
    <x v="661"/>
    <n v="10000"/>
    <n v="10000"/>
    <d v="2025-03-17T00:00:00"/>
    <s v="502LAUGH"/>
    <s v=" 8:22:29 am"/>
    <s v="M0BQW8240"/>
    <m/>
    <x v="2"/>
    <s v="Yes"/>
    <n v="94"/>
    <s v="Taiyo"/>
    <x v="2"/>
    <s v="PM09"/>
    <s v="PANG JING FULL"/>
    <n v="250"/>
    <m/>
    <m/>
    <d v="2025-03-14T00:00:00"/>
    <m/>
    <n v="4"/>
    <n v="1000"/>
    <s v="PE"/>
    <s v="L001-772785-00000007"/>
    <n v="0"/>
    <n v="1000"/>
    <n v="0"/>
    <n v="0"/>
    <n v="0"/>
    <n v="0"/>
    <m/>
    <m/>
    <n v="0"/>
    <m/>
    <m/>
    <m/>
    <m/>
    <m/>
    <m/>
    <m/>
    <m/>
    <s v="L001-772785-000007CG"/>
    <s v="X24001-WD-SUZHOU"/>
    <s v="TELEPLAN TECHNOLOGIES (SUZHOU) CO., LTD"/>
    <m/>
    <n v="0"/>
    <n v="0"/>
    <n v="0"/>
    <n v="0"/>
    <n v="0"/>
    <n v="0"/>
    <m/>
    <m/>
    <m/>
    <s v="No"/>
    <s v="W663323"/>
    <n v="0"/>
    <m/>
    <s v="X24001-WD-SUZHOU"/>
    <m/>
    <m/>
    <s v="S0361288"/>
  </r>
  <r>
    <x v="662"/>
    <n v="10000"/>
    <n v="10000"/>
    <d v="2025-03-19T00:00:00"/>
    <s v="502LAUGH"/>
    <s v=" 5:24:50 pm"/>
    <n v="10639931025"/>
    <m/>
    <x v="2"/>
    <s v="Yes"/>
    <n v="79"/>
    <s v="HP Indigo 6800"/>
    <x v="4"/>
    <s v="PM16"/>
    <s v="TEO KAH JUN"/>
    <n v="246"/>
    <n v="42.3"/>
    <n v="0.70499999999999996"/>
    <d v="2025-03-14T00:00:00"/>
    <m/>
    <n v="102"/>
    <n v="25092"/>
    <s v="PE"/>
    <s v="B3P06-800160001"/>
    <n v="0"/>
    <n v="15000"/>
    <n v="10092"/>
    <n v="0"/>
    <n v="0"/>
    <n v="0"/>
    <m/>
    <m/>
    <n v="0"/>
    <m/>
    <m/>
    <m/>
    <m/>
    <m/>
    <m/>
    <m/>
    <m/>
    <s v="B3P06-80016"/>
    <s v="H08031-JIM"/>
    <s v="HP SINGAPORE (PRIVATE) LIMITED"/>
    <m/>
    <n v="0"/>
    <n v="0"/>
    <n v="0"/>
    <n v="0"/>
    <n v="0"/>
    <n v="0"/>
    <m/>
    <m/>
    <m/>
    <s v="No"/>
    <s v="W664120"/>
    <n v="0"/>
    <m/>
    <s v="H08031-JIM"/>
    <m/>
    <m/>
    <s v="S0361342"/>
  </r>
  <r>
    <x v="551"/>
    <n v="10000"/>
    <n v="60000"/>
    <d v="2025-03-17T00:00:00"/>
    <s v="502LAUGH"/>
    <s v=" 8:36:04 am"/>
    <s v="10639931084/10639931015/10639931016"/>
    <m/>
    <x v="1"/>
    <s v="Yes"/>
    <n v="91"/>
    <s v="Luster AOI"/>
    <x v="1"/>
    <s v="QM54"/>
    <s v="TAN SWEE LENG"/>
    <n v="56000"/>
    <m/>
    <m/>
    <d v="2025-03-15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6"/>
    <n v="0"/>
    <m/>
    <s v="H08031-JIM"/>
    <m/>
    <m/>
    <s v="S0350611"/>
  </r>
  <r>
    <x v="663"/>
    <n v="10000"/>
    <n v="10000"/>
    <d v="2025-03-17T00:00:00"/>
    <s v="502LAUGH"/>
    <s v=" 8:31:20 am"/>
    <s v="404123725/211041725"/>
    <m/>
    <x v="2"/>
    <s v="Yes"/>
    <n v="61"/>
    <s v="FSK 520"/>
    <x v="2"/>
    <s v="PS19"/>
    <s v="SNG KOK CHENG"/>
    <n v="223"/>
    <n v="49.46"/>
    <n v="0.82433333333333336"/>
    <d v="2025-03-15T00:00:00"/>
    <m/>
    <n v="9"/>
    <n v="2007"/>
    <s v="PE"/>
    <n v="4.030150000274E+17"/>
    <n v="0"/>
    <n v="2000"/>
    <n v="7"/>
    <n v="0"/>
    <n v="0"/>
    <n v="0"/>
    <m/>
    <m/>
    <n v="0"/>
    <m/>
    <m/>
    <m/>
    <m/>
    <m/>
    <m/>
    <m/>
    <m/>
    <n v="40301500002740"/>
    <s v="T20096"/>
    <s v="DIGI SINGAPORE PTE LTD"/>
    <m/>
    <n v="0"/>
    <n v="0"/>
    <n v="0"/>
    <n v="0"/>
    <n v="0"/>
    <n v="0"/>
    <m/>
    <m/>
    <m/>
    <s v="No"/>
    <s v="W662938"/>
    <n v="0"/>
    <m/>
    <s v="T20096"/>
    <m/>
    <m/>
    <s v="S0355412"/>
  </r>
  <r>
    <x v="664"/>
    <n v="10000"/>
    <n v="10000"/>
    <d v="2025-03-17T00:00:00"/>
    <s v="502LAUGH"/>
    <s v=" 8:24:08 am"/>
    <s v="SG-564141001"/>
    <m/>
    <x v="2"/>
    <s v="Yes"/>
    <n v="73"/>
    <s v="Brotech DF330"/>
    <x v="0"/>
    <s v="PM59"/>
    <s v="VOON CHAN PIN"/>
    <n v="36000"/>
    <n v="645"/>
    <n v="10.75"/>
    <d v="2025-03-1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3538"/>
    <n v="0"/>
    <m/>
    <s v="B02083"/>
    <m/>
    <m/>
    <s v="S0357122"/>
  </r>
  <r>
    <x v="665"/>
    <n v="10000"/>
    <n v="10000"/>
    <d v="2025-03-17T00:00:00"/>
    <s v="502LAUGH"/>
    <s v=" 8:31:20 am"/>
    <s v="3830U7060/4136S1"/>
    <m/>
    <x v="2"/>
    <s v="Yes"/>
    <n v="78"/>
    <s v="Baby Sanki"/>
    <x v="2"/>
    <s v="PM84"/>
    <s v="TAN TAI TOH"/>
    <n v="1000"/>
    <n v="70"/>
    <n v="1.1666666666666667"/>
    <d v="2025-03-15T00:00:00"/>
    <m/>
    <n v="1"/>
    <n v="1000"/>
    <s v="PE"/>
    <n v="4.40170086001E+17"/>
    <n v="0"/>
    <n v="1000"/>
    <n v="0"/>
    <n v="0"/>
    <n v="0"/>
    <n v="0"/>
    <m/>
    <m/>
    <n v="0"/>
    <m/>
    <m/>
    <m/>
    <m/>
    <m/>
    <m/>
    <m/>
    <m/>
    <n v="44017008600100"/>
    <s v="T20096"/>
    <s v="DIGI SINGAPORE PTE LTD"/>
    <m/>
    <n v="0"/>
    <n v="0"/>
    <n v="0"/>
    <n v="0"/>
    <n v="0"/>
    <n v="0"/>
    <m/>
    <m/>
    <m/>
    <s v="No"/>
    <s v="W662952"/>
    <n v="0"/>
    <m/>
    <s v="T20096"/>
    <m/>
    <m/>
    <s v="S0357537"/>
  </r>
  <r>
    <x v="666"/>
    <n v="10000"/>
    <n v="10000"/>
    <d v="2025-03-17T00:00:00"/>
    <s v="502LAUGH"/>
    <s v=" 8:31:20 am"/>
    <s v="5205U8036/3082510U9"/>
    <m/>
    <x v="2"/>
    <s v="Yes"/>
    <n v="61"/>
    <s v="FSK 520"/>
    <x v="2"/>
    <s v="PS19"/>
    <s v="SNG KOK CHENG"/>
    <n v="1000"/>
    <n v="65"/>
    <n v="1.0833333333333333"/>
    <d v="2025-03-15T00:00:00"/>
    <m/>
    <n v="2"/>
    <n v="2000"/>
    <s v="PE"/>
    <n v="701527380001"/>
    <n v="0"/>
    <n v="2000"/>
    <n v="0"/>
    <n v="0"/>
    <n v="0"/>
    <n v="0"/>
    <m/>
    <m/>
    <n v="0"/>
    <m/>
    <m/>
    <m/>
    <m/>
    <m/>
    <m/>
    <m/>
    <m/>
    <n v="70152738"/>
    <s v="P16186"/>
    <s v="PEPPERL+FUCHS ASIA PTE. LTD"/>
    <m/>
    <n v="0"/>
    <n v="0"/>
    <n v="0"/>
    <n v="0"/>
    <n v="0"/>
    <n v="0"/>
    <m/>
    <m/>
    <m/>
    <s v="No"/>
    <s v="W662964"/>
    <n v="0"/>
    <m/>
    <s v="P16186"/>
    <m/>
    <m/>
    <s v="S0358327"/>
  </r>
  <r>
    <x v="667"/>
    <n v="10000"/>
    <n v="10000"/>
    <d v="2025-03-17T00:00:00"/>
    <s v="502LAUGH"/>
    <s v=" 8:27:02 am"/>
    <s v="SG-5630465"/>
    <m/>
    <x v="2"/>
    <s v="Yes"/>
    <n v="59"/>
    <s v="SANKI SD-300 Intermittent"/>
    <x v="2"/>
    <s v="PS74"/>
    <s v="GOH CHIN TECK"/>
    <n v="830"/>
    <n v="65.75"/>
    <n v="1.0958333333333334"/>
    <d v="2025-03-15T00:00:00"/>
    <m/>
    <n v="2"/>
    <n v="1660"/>
    <s v="PE"/>
    <n v="112886950001"/>
    <n v="0"/>
    <n v="166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2966"/>
    <n v="0"/>
    <m/>
    <s v="I09180"/>
    <m/>
    <m/>
    <s v="S0358355"/>
  </r>
  <r>
    <x v="668"/>
    <n v="10000"/>
    <n v="10000"/>
    <d v="2025-03-17T00:00:00"/>
    <s v="502LAUGH"/>
    <s v=" 8:25:10 am"/>
    <s v="SG-5630465"/>
    <m/>
    <x v="2"/>
    <s v="Yes"/>
    <n v="59"/>
    <s v="SANKI SD-300 Intermittent"/>
    <x v="2"/>
    <s v="PS74"/>
    <s v="GOH CHIN TECK"/>
    <n v="2905"/>
    <n v="117.625"/>
    <n v="1.9604166666666667"/>
    <d v="2025-03-15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2967"/>
    <n v="0"/>
    <m/>
    <s v="I09180"/>
    <m/>
    <m/>
    <s v="S0358356"/>
  </r>
  <r>
    <x v="668"/>
    <n v="20000"/>
    <n v="10000"/>
    <d v="2025-03-17T00:00:00"/>
    <s v="502LAUGH"/>
    <s v=" 8:25:10 am"/>
    <s v="SG-5630465"/>
    <m/>
    <x v="2"/>
    <s v="Yes"/>
    <n v="59"/>
    <s v="SANKI SD-300 Intermittent"/>
    <x v="2"/>
    <s v="PS74"/>
    <s v="GOH CHIN TECK"/>
    <n v="2905"/>
    <n v="117.625"/>
    <n v="1.9604166666666667"/>
    <d v="2025-03-15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2967"/>
    <n v="0"/>
    <m/>
    <s v="I09180"/>
    <m/>
    <m/>
    <s v="S0358356"/>
  </r>
  <r>
    <x v="668"/>
    <n v="30000"/>
    <n v="10000"/>
    <d v="2025-03-17T00:00:00"/>
    <s v="502LAUGH"/>
    <s v=" 8:25:10 am"/>
    <s v="SG-5630465"/>
    <m/>
    <x v="2"/>
    <s v="Yes"/>
    <n v="59"/>
    <s v="SANKI SD-300 Intermittent"/>
    <x v="2"/>
    <s v="PS74"/>
    <s v="GOH CHIN TECK"/>
    <n v="830"/>
    <n v="65.75"/>
    <n v="1.0958333333333334"/>
    <d v="2025-03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2967"/>
    <n v="0"/>
    <m/>
    <s v="I09180"/>
    <m/>
    <m/>
    <s v="S0358356"/>
  </r>
  <r>
    <x v="669"/>
    <n v="10000"/>
    <n v="20000"/>
    <d v="2025-03-17T00:00:00"/>
    <s v="502LAUGH"/>
    <s v=" 8:27:48 am"/>
    <s v="XHX24921A0912"/>
    <m/>
    <x v="0"/>
    <s v="Yes"/>
    <n v="60"/>
    <s v="Fujishiko UDP-5000"/>
    <x v="3"/>
    <s v="PM30"/>
    <s v="OH KIAN YUAN"/>
    <n v="14000"/>
    <n v="325"/>
    <n v="5.416666666666667"/>
    <d v="2025-03-15T00:00:00"/>
    <m/>
    <n v="1"/>
    <n v="14000"/>
    <s v="PE"/>
    <s v="98163196N0001"/>
    <n v="0"/>
    <n v="14000"/>
    <n v="0"/>
    <n v="0"/>
    <n v="0"/>
    <n v="0"/>
    <m/>
    <m/>
    <n v="0"/>
    <m/>
    <m/>
    <m/>
    <m/>
    <m/>
    <m/>
    <m/>
    <m/>
    <s v="98163196N"/>
    <s v="F06183"/>
    <s v="FISCHER TECH (THAILAND) CO., LTD"/>
    <m/>
    <n v="0"/>
    <n v="0"/>
    <n v="0"/>
    <n v="0"/>
    <n v="0"/>
    <n v="0"/>
    <m/>
    <m/>
    <m/>
    <s v="No"/>
    <s v="W662969"/>
    <n v="0"/>
    <m/>
    <s v="F06183"/>
    <m/>
    <m/>
    <s v="S0358431"/>
  </r>
  <r>
    <x v="670"/>
    <n v="10000"/>
    <n v="30000"/>
    <d v="2025-03-17T00:00:00"/>
    <s v="502LAUGH"/>
    <s v=" 5:04:24 pm"/>
    <s v="M0BSO3780"/>
    <m/>
    <x v="2"/>
    <s v="Yes"/>
    <n v="94"/>
    <s v="Taiyo"/>
    <x v="2"/>
    <s v="PM09"/>
    <s v="PANG JING FULL"/>
    <n v="5000"/>
    <m/>
    <m/>
    <d v="2025-03-15T00:00:00"/>
    <m/>
    <n v="4"/>
    <n v="20000"/>
    <s v="PE"/>
    <s v="2063-773057-058-0002"/>
    <n v="0"/>
    <n v="20000"/>
    <n v="0"/>
    <n v="0"/>
    <n v="0"/>
    <n v="0"/>
    <m/>
    <m/>
    <n v="0"/>
    <m/>
    <m/>
    <m/>
    <m/>
    <m/>
    <m/>
    <m/>
    <m/>
    <s v="2063-773057-058-CM"/>
    <s v="W23041-TH"/>
    <s v="WESTERN DIGITAL STORAGE TECHNOLOGIES"/>
    <m/>
    <n v="0"/>
    <n v="0"/>
    <n v="0"/>
    <n v="0"/>
    <n v="0"/>
    <n v="0"/>
    <m/>
    <m/>
    <m/>
    <s v="No"/>
    <s v="W663297"/>
    <n v="0"/>
    <m/>
    <s v="W23041-TH"/>
    <m/>
    <m/>
    <s v="H0064634"/>
  </r>
  <r>
    <x v="671"/>
    <n v="1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100"/>
    <n v="47.5"/>
    <n v="0.79166666666666663"/>
    <d v="2025-03-15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62987"/>
    <n v="0"/>
    <m/>
    <s v="I09180"/>
    <m/>
    <m/>
    <s v="S0359044"/>
  </r>
  <r>
    <x v="671"/>
    <n v="2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100"/>
    <n v="47.5"/>
    <n v="0.79166666666666663"/>
    <d v="2025-03-15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62987"/>
    <n v="0"/>
    <m/>
    <s v="I09180"/>
    <m/>
    <m/>
    <s v="S0359044"/>
  </r>
  <r>
    <x v="672"/>
    <n v="1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400"/>
    <n v="55"/>
    <n v="0.91666666666666663"/>
    <d v="2025-03-15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2988"/>
    <n v="0"/>
    <m/>
    <s v="I09180"/>
    <m/>
    <m/>
    <s v="S0359045"/>
  </r>
  <r>
    <x v="672"/>
    <n v="2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400"/>
    <n v="55"/>
    <n v="0.91666666666666663"/>
    <d v="2025-03-15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2988"/>
    <n v="0"/>
    <m/>
    <s v="I09180"/>
    <m/>
    <m/>
    <s v="S0359045"/>
  </r>
  <r>
    <x v="672"/>
    <n v="3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400"/>
    <n v="55"/>
    <n v="0.91666666666666663"/>
    <d v="2025-03-15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2988"/>
    <n v="0"/>
    <m/>
    <s v="I09180"/>
    <m/>
    <m/>
    <s v="S0359045"/>
  </r>
  <r>
    <x v="673"/>
    <n v="10000"/>
    <n v="10000"/>
    <d v="2025-03-17T00:00:00"/>
    <s v="502LAUGH"/>
    <s v=" 8:25:10 am"/>
    <s v="M0BRZ2270990"/>
    <m/>
    <x v="2"/>
    <s v="Yes"/>
    <n v="78"/>
    <s v="Baby Sanki"/>
    <x v="2"/>
    <s v="PM84"/>
    <s v="TAN TAI TOH"/>
    <n v="5000"/>
    <n v="170"/>
    <n v="2.8333333333333335"/>
    <d v="2025-03-15T00:00:00"/>
    <m/>
    <n v="4"/>
    <n v="20000"/>
    <s v="PE"/>
    <s v="5180-38610001"/>
    <n v="0"/>
    <n v="20000"/>
    <n v="0"/>
    <n v="0"/>
    <n v="0"/>
    <n v="0"/>
    <m/>
    <m/>
    <n v="0"/>
    <m/>
    <m/>
    <m/>
    <m/>
    <m/>
    <m/>
    <m/>
    <m/>
    <s v="5180-3861"/>
    <s v="H08031-JIM"/>
    <s v="HP SINGAPORE (PRIVATE) LIMITED"/>
    <m/>
    <n v="0"/>
    <n v="0"/>
    <n v="0"/>
    <n v="0"/>
    <n v="0"/>
    <n v="0"/>
    <m/>
    <m/>
    <m/>
    <s v="No"/>
    <s v="W663578"/>
    <n v="0"/>
    <m/>
    <s v="H08031-JIM"/>
    <m/>
    <m/>
    <s v="S0359275"/>
  </r>
  <r>
    <x v="292"/>
    <n v="10000"/>
    <n v="40000"/>
    <d v="2025-03-24T00:00:00"/>
    <s v="502LAUGH"/>
    <s v=" 8:52:22 am"/>
    <n v="10567308038"/>
    <m/>
    <x v="1"/>
    <s v="Yes"/>
    <n v="85"/>
    <s v="Luster AOI"/>
    <x v="1"/>
    <s v="QM78"/>
    <s v="WONG SEAU JIN"/>
    <n v="10000"/>
    <m/>
    <m/>
    <d v="2025-03-15T00:00:00"/>
    <m/>
    <n v="11"/>
    <n v="110000"/>
    <s v="PE"/>
    <s v="7FP43-80004-FT0001"/>
    <n v="0"/>
    <n v="100000"/>
    <n v="10000"/>
    <n v="0"/>
    <n v="0"/>
    <n v="0"/>
    <m/>
    <m/>
    <n v="0"/>
    <m/>
    <m/>
    <m/>
    <m/>
    <m/>
    <m/>
    <m/>
    <m/>
    <s v="7FP43-80004-FT"/>
    <s v="H08031-JIM-M"/>
    <s v="HP MALAYSIA MANUFACTURING SDN.BHD."/>
    <m/>
    <n v="0"/>
    <n v="0"/>
    <n v="0"/>
    <n v="0"/>
    <n v="0"/>
    <n v="0"/>
    <m/>
    <m/>
    <m/>
    <s v="No"/>
    <s v="W663582"/>
    <n v="0"/>
    <m/>
    <s v="H08031-JIM-M"/>
    <m/>
    <m/>
    <s v="S0359281"/>
  </r>
  <r>
    <x v="129"/>
    <n v="10000"/>
    <n v="30000"/>
    <d v="2025-03-17T00:00:00"/>
    <s v="502LAUGH"/>
    <s v=" 8:35:01 am"/>
    <s v="10639931049/10639931051"/>
    <m/>
    <x v="1"/>
    <s v="Yes"/>
    <n v="85"/>
    <s v="Luster AOI"/>
    <x v="1"/>
    <s v="QM78"/>
    <s v="WONG SEAU JIN"/>
    <n v="8000"/>
    <m/>
    <m/>
    <d v="2025-03-15T00:00:00"/>
    <m/>
    <n v="11"/>
    <n v="88000"/>
    <s v="PE"/>
    <s v="C2P09-80007-FT0001"/>
    <n v="0"/>
    <n v="80000"/>
    <n v="8000"/>
    <n v="0"/>
    <n v="0"/>
    <n v="0"/>
    <m/>
    <m/>
    <n v="0"/>
    <m/>
    <m/>
    <m/>
    <m/>
    <m/>
    <m/>
    <m/>
    <m/>
    <s v="C2P09-80007-FT"/>
    <s v="H08031-JIM-M"/>
    <s v="HP MALAYSIA MANUFACTURING SDN.BHD."/>
    <m/>
    <n v="0"/>
    <n v="0"/>
    <n v="0"/>
    <n v="0"/>
    <n v="0"/>
    <n v="0"/>
    <m/>
    <m/>
    <m/>
    <s v="No"/>
    <s v="W663012"/>
    <n v="0"/>
    <m/>
    <s v="H08031-JIM-M"/>
    <m/>
    <m/>
    <s v="S0359288"/>
  </r>
  <r>
    <x v="674"/>
    <n v="10000"/>
    <n v="10000"/>
    <d v="2025-03-17T00:00:00"/>
    <s v="502LAUGH"/>
    <s v=" 3:56:44 pm"/>
    <s v="J00U09610"/>
    <m/>
    <x v="2"/>
    <s v="Yes"/>
    <n v="71"/>
    <s v="POLLY"/>
    <x v="3"/>
    <s v="PS95"/>
    <s v="LIM CHENG LEONG"/>
    <n v="33334"/>
    <m/>
    <m/>
    <d v="2025-03-15T00:00:00"/>
    <m/>
    <n v="15"/>
    <n v="500010"/>
    <s v="PE"/>
    <s v="COMPONENT REV1.00001"/>
    <n v="0"/>
    <n v="500000"/>
    <n v="10"/>
    <n v="0"/>
    <n v="0"/>
    <n v="0"/>
    <m/>
    <m/>
    <n v="0"/>
    <m/>
    <m/>
    <m/>
    <m/>
    <m/>
    <m/>
    <m/>
    <m/>
    <s v="Z556 REV1.0"/>
    <s v="R18131"/>
    <s v="RESMED ASIA PTE LTD"/>
    <m/>
    <n v="0"/>
    <n v="0"/>
    <n v="0"/>
    <n v="0"/>
    <n v="0"/>
    <n v="0"/>
    <m/>
    <m/>
    <m/>
    <s v="No"/>
    <s v="W663044"/>
    <n v="0"/>
    <m/>
    <s v="R18131"/>
    <m/>
    <m/>
    <s v="S0360745"/>
  </r>
  <r>
    <x v="321"/>
    <n v="10000"/>
    <n v="30000"/>
    <d v="2025-03-17T00:00:00"/>
    <s v="502LAUGH"/>
    <s v=" 8:37:15 am"/>
    <n v="10620258028"/>
    <m/>
    <x v="1"/>
    <s v="Yes"/>
    <n v="85"/>
    <s v="Luster AOI"/>
    <x v="1"/>
    <s v="QM78"/>
    <s v="WONG SEAU JIN"/>
    <n v="10000"/>
    <m/>
    <m/>
    <d v="2025-03-15T00:00:00"/>
    <m/>
    <n v="11"/>
    <n v="110000"/>
    <s v="PE"/>
    <s v="7FP42-80004-FT0001"/>
    <n v="0"/>
    <n v="100000"/>
    <n v="10000"/>
    <n v="0"/>
    <n v="0"/>
    <n v="0"/>
    <m/>
    <m/>
    <n v="0"/>
    <m/>
    <m/>
    <m/>
    <m/>
    <m/>
    <m/>
    <m/>
    <m/>
    <s v="7FP42-80004-FT"/>
    <s v="H08031-JIM-M"/>
    <s v="HP MALAYSIA MANUFACTURING SDN.BHD."/>
    <m/>
    <n v="0"/>
    <n v="0"/>
    <n v="0"/>
    <n v="0"/>
    <n v="0"/>
    <n v="0"/>
    <m/>
    <m/>
    <m/>
    <s v="No"/>
    <s v="W663056"/>
    <n v="0"/>
    <m/>
    <s v="H08031-JIM-M"/>
    <m/>
    <m/>
    <s v="S0360916"/>
  </r>
  <r>
    <x v="322"/>
    <n v="10000"/>
    <n v="30000"/>
    <d v="2025-03-17T00:00:00"/>
    <s v="502LAUGH"/>
    <s v=" 8:34:05 am"/>
    <n v="10639931107"/>
    <m/>
    <x v="1"/>
    <s v="Yes"/>
    <n v="85"/>
    <s v="Luster AOI"/>
    <x v="1"/>
    <s v="QM78"/>
    <s v="WONG SEAU JIN"/>
    <n v="8000"/>
    <m/>
    <m/>
    <d v="2025-03-15T00:00:00"/>
    <m/>
    <n v="11"/>
    <n v="88000"/>
    <s v="PE"/>
    <s v="CZ637-80024-FT0001"/>
    <n v="0"/>
    <n v="80000"/>
    <n v="8000"/>
    <n v="0"/>
    <n v="0"/>
    <n v="0"/>
    <m/>
    <m/>
    <n v="0"/>
    <m/>
    <m/>
    <m/>
    <m/>
    <m/>
    <m/>
    <m/>
    <m/>
    <s v="CZ637-80024-FT"/>
    <s v="H08031-JIM-M"/>
    <s v="HP MALAYSIA MANUFACTURING SDN.BHD."/>
    <m/>
    <n v="0"/>
    <n v="0"/>
    <n v="0"/>
    <n v="0"/>
    <n v="0"/>
    <n v="0"/>
    <m/>
    <m/>
    <m/>
    <s v="No"/>
    <s v="W663057"/>
    <n v="0"/>
    <m/>
    <s v="H08031-JIM-M"/>
    <m/>
    <m/>
    <s v="S0360917"/>
  </r>
  <r>
    <x v="628"/>
    <n v="10000"/>
    <n v="20000"/>
    <d v="2025-03-17T00:00:00"/>
    <s v="502LAUGH"/>
    <s v=" 8:22:29 am"/>
    <s v="M0BN597111000"/>
    <m/>
    <x v="2"/>
    <s v="Yes"/>
    <n v="61"/>
    <s v="FSK 520"/>
    <x v="2"/>
    <s v="PS19"/>
    <s v="SNG KOK CHENG"/>
    <n v="2000"/>
    <n v="85"/>
    <n v="1.4166666666666667"/>
    <d v="2025-03-15T00:00:00"/>
    <m/>
    <n v="3"/>
    <n v="6000"/>
    <s v="PE"/>
    <s v="19055-6129-0040001"/>
    <n v="0"/>
    <n v="6000"/>
    <n v="0"/>
    <n v="0"/>
    <n v="0"/>
    <n v="0"/>
    <m/>
    <m/>
    <n v="0"/>
    <m/>
    <m/>
    <m/>
    <m/>
    <m/>
    <m/>
    <m/>
    <m/>
    <s v="19055-6129-004"/>
    <s v="J10098"/>
    <s v="JINRAY ELECTRONICS (S) PTE LTD"/>
    <m/>
    <n v="0"/>
    <n v="0"/>
    <n v="0"/>
    <n v="0"/>
    <n v="0"/>
    <n v="0"/>
    <m/>
    <m/>
    <m/>
    <s v="No"/>
    <s v="W663113"/>
    <n v="0"/>
    <m/>
    <s v="J10098"/>
    <m/>
    <m/>
    <s v="GRR62157"/>
  </r>
  <r>
    <x v="675"/>
    <n v="10000"/>
    <n v="10000"/>
    <d v="2025-03-17T00:00:00"/>
    <s v="502LAUGH"/>
    <s v=" 1:00:48 pm"/>
    <s v="4103026U5A"/>
    <m/>
    <x v="2"/>
    <s v="Yes"/>
    <n v="46"/>
    <s v="Sanki 300 Intermittent"/>
    <x v="2"/>
    <s v="PS66"/>
    <s v="SIM ENG KWANG"/>
    <n v="2000"/>
    <n v="95"/>
    <n v="1.5833333333333333"/>
    <d v="2025-03-15T00:00:00"/>
    <m/>
    <n v="1"/>
    <n v="2000"/>
    <s v="PE"/>
    <s v="260-6106-000001"/>
    <n v="0"/>
    <n v="2000"/>
    <n v="0"/>
    <n v="0"/>
    <n v="0"/>
    <n v="0"/>
    <m/>
    <m/>
    <n v="0"/>
    <m/>
    <m/>
    <m/>
    <m/>
    <m/>
    <m/>
    <m/>
    <m/>
    <s v="260-6106-00"/>
    <s v="J10025"/>
    <s v="JMS SINGAPORE PTE LTD"/>
    <m/>
    <n v="0"/>
    <n v="0"/>
    <n v="0"/>
    <n v="0"/>
    <n v="0"/>
    <n v="0"/>
    <m/>
    <m/>
    <m/>
    <s v="No"/>
    <s v="W663134"/>
    <n v="0"/>
    <m/>
    <s v="J10025"/>
    <m/>
    <m/>
    <s v="S0361085"/>
  </r>
  <r>
    <x v="676"/>
    <n v="10000"/>
    <n v="10000"/>
    <d v="2025-03-17T00:00:00"/>
    <s v="502LAUGH"/>
    <s v=" 8:32:57 am"/>
    <s v="4103026U5A"/>
    <m/>
    <x v="2"/>
    <s v="Yes"/>
    <n v="46"/>
    <s v="Sanki 300 Intermittent"/>
    <x v="2"/>
    <s v="PS66"/>
    <s v="SIM ENG KWANG"/>
    <n v="6000"/>
    <n v="195"/>
    <n v="3.25"/>
    <d v="2025-03-15T00:00:00"/>
    <m/>
    <n v="1"/>
    <n v="6000"/>
    <s v="PE"/>
    <s v="260-6108-000001"/>
    <n v="0"/>
    <n v="6000"/>
    <n v="0"/>
    <n v="0"/>
    <n v="0"/>
    <n v="0"/>
    <m/>
    <m/>
    <n v="0"/>
    <m/>
    <m/>
    <m/>
    <m/>
    <m/>
    <m/>
    <m/>
    <m/>
    <s v="260-6108-00"/>
    <s v="J10025"/>
    <s v="JMS SINGAPORE PTE LTD"/>
    <m/>
    <n v="0"/>
    <n v="0"/>
    <n v="0"/>
    <n v="0"/>
    <n v="0"/>
    <n v="0"/>
    <m/>
    <m/>
    <m/>
    <s v="No"/>
    <s v="W663136"/>
    <n v="0"/>
    <m/>
    <s v="J10025"/>
    <m/>
    <m/>
    <s v="S0361085"/>
  </r>
  <r>
    <x v="677"/>
    <n v="10000"/>
    <n v="10000"/>
    <d v="2025-03-17T00:00:00"/>
    <s v="502LAUGH"/>
    <s v=" 1:00:48 pm"/>
    <s v="5011622U5"/>
    <m/>
    <x v="2"/>
    <s v="Yes"/>
    <n v="12"/>
    <s v="FSK SR520"/>
    <x v="2"/>
    <s v="PP05"/>
    <s v="WONG KIM FATT"/>
    <n v="20000"/>
    <n v="445"/>
    <n v="7.416666666666667"/>
    <d v="2025-03-15T00:00:00"/>
    <m/>
    <n v="2"/>
    <n v="40000"/>
    <s v="PE"/>
    <s v="260-6167-000001"/>
    <n v="0"/>
    <n v="40000"/>
    <n v="0"/>
    <n v="0"/>
    <n v="0"/>
    <n v="0"/>
    <m/>
    <m/>
    <n v="0"/>
    <m/>
    <m/>
    <m/>
    <m/>
    <m/>
    <m/>
    <m/>
    <m/>
    <s v="260-6167-00"/>
    <s v="J10025"/>
    <s v="JMS SINGAPORE PTE LTD"/>
    <m/>
    <n v="0"/>
    <n v="0"/>
    <n v="0"/>
    <n v="0"/>
    <n v="0"/>
    <n v="0"/>
    <m/>
    <m/>
    <m/>
    <s v="No"/>
    <s v="W663167"/>
    <n v="0"/>
    <m/>
    <s v="J10025"/>
    <m/>
    <m/>
    <s v="S0361164"/>
  </r>
  <r>
    <x v="678"/>
    <n v="10000"/>
    <n v="10000"/>
    <d v="2025-03-17T00:00:00"/>
    <s v="502LAUGH"/>
    <s v=" 3:56:44 pm"/>
    <s v="4111518U5A"/>
    <m/>
    <x v="2"/>
    <s v="Yes"/>
    <n v="22"/>
    <s v="FSK B100"/>
    <x v="2"/>
    <s v="PS13"/>
    <s v="YEE CHENG MENG"/>
    <n v="17500"/>
    <n v="395"/>
    <n v="6.583333333333333"/>
    <d v="2025-03-15T00:00:00"/>
    <m/>
    <n v="2"/>
    <n v="35000"/>
    <s v="PE"/>
    <s v="260-6165-000001"/>
    <n v="0"/>
    <n v="35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178"/>
    <n v="0"/>
    <m/>
    <s v="J10025"/>
    <m/>
    <m/>
    <s v="S0361172"/>
  </r>
  <r>
    <x v="643"/>
    <n v="10000"/>
    <n v="20000"/>
    <d v="2025-03-27T00:00:00"/>
    <s v="502LAUGH"/>
    <s v=" 8:33:09 am"/>
    <n v="10639931025"/>
    <m/>
    <x v="0"/>
    <s v="Yes"/>
    <n v="77"/>
    <s v="Brotech DF330 "/>
    <x v="0"/>
    <s v="PM74"/>
    <s v="YONG CHEE SOON"/>
    <n v="2884"/>
    <n v="93.066666666666663"/>
    <n v="1.5511111111111111"/>
    <d v="2025-03-15T00:00:00"/>
    <m/>
    <n v="77"/>
    <n v="222068"/>
    <s v="PE"/>
    <s v="7FP21-80002-FT0001"/>
    <n v="0"/>
    <n v="200000"/>
    <n v="22068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4108"/>
    <n v="0"/>
    <m/>
    <s v="H08031-JIM-M"/>
    <m/>
    <m/>
    <s v="S0361193"/>
  </r>
  <r>
    <x v="679"/>
    <n v="1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100"/>
    <n v="47.5"/>
    <n v="0.79166666666666663"/>
    <d v="2025-03-15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63204"/>
    <n v="0"/>
    <m/>
    <s v="I09180"/>
    <m/>
    <m/>
    <s v="S0361266"/>
  </r>
  <r>
    <x v="679"/>
    <n v="20000"/>
    <n v="10000"/>
    <d v="2025-03-17T00:00:00"/>
    <s v="502LAUGH"/>
    <s v=" 8:27:02 am"/>
    <s v="SG-5622228 01"/>
    <m/>
    <x v="2"/>
    <s v="Yes"/>
    <n v="59"/>
    <s v="SANKI SD-300 Intermittent"/>
    <x v="2"/>
    <s v="PS74"/>
    <s v="GOH CHIN TECK"/>
    <n v="100"/>
    <n v="47.5"/>
    <n v="0.79166666666666663"/>
    <d v="2025-03-15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s v="ILLUMINA SINGAPORE PTE LTD"/>
    <m/>
    <n v="0"/>
    <n v="0"/>
    <n v="0"/>
    <n v="0"/>
    <n v="0"/>
    <n v="0"/>
    <m/>
    <m/>
    <m/>
    <s v="No"/>
    <s v="W663204"/>
    <n v="0"/>
    <m/>
    <s v="I09180"/>
    <m/>
    <m/>
    <s v="S0361266"/>
  </r>
  <r>
    <x v="680"/>
    <n v="10000"/>
    <n v="10000"/>
    <d v="2025-03-19T00:00:00"/>
    <s v="505KANGHS"/>
    <s v=" 8:37:16 am"/>
    <s v="SG-564141001"/>
    <m/>
    <x v="2"/>
    <s v="Yes"/>
    <n v="73"/>
    <s v="Brotech DF330"/>
    <x v="0"/>
    <s v="PM18"/>
    <s v="LAI CHIN YANG"/>
    <n v="60000"/>
    <m/>
    <m/>
    <d v="2025-03-15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3768"/>
    <n v="0"/>
    <m/>
    <s v="B02083"/>
    <m/>
    <m/>
    <s v="S0361318"/>
  </r>
  <r>
    <x v="681"/>
    <n v="10000"/>
    <n v="20000"/>
    <d v="2025-03-18T00:00:00"/>
    <s v="502LAUGH"/>
    <s v=" 2:16:50 pm"/>
    <s v="D007Y0280/D007Y0380"/>
    <m/>
    <x v="0"/>
    <s v="Yes"/>
    <n v="77"/>
    <s v="Brotech DF330 "/>
    <x v="0"/>
    <s v="PM74"/>
    <s v="YONG CHEE SOON"/>
    <n v="32000"/>
    <n v="578.33333333333337"/>
    <n v="9.6388888888888893"/>
    <d v="2025-03-16T00:00:00"/>
    <m/>
    <n v="10"/>
    <n v="320000"/>
    <s v="PE"/>
    <s v="6ZE05-80002-FT0001"/>
    <n v="0"/>
    <n v="300000"/>
    <n v="200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3014"/>
    <n v="0"/>
    <m/>
    <s v="H08031-JIM-M"/>
    <m/>
    <m/>
    <s v="S0359293"/>
  </r>
  <r>
    <x v="682"/>
    <n v="10000"/>
    <n v="10000"/>
    <d v="2025-03-21T00:00:00"/>
    <s v="502LAUGH"/>
    <s v=" 8:55:12 am"/>
    <s v="M4B4603BGJAJ110-S248100241/E0531904"/>
    <s v="FPD29806"/>
    <x v="2"/>
    <s v="No"/>
    <n v="62"/>
    <s v="Fujishiko "/>
    <x v="3"/>
    <s v="PMJ0"/>
    <s v="KOR CHEW OR"/>
    <n v="105000"/>
    <n v="2145"/>
    <n v="35.75"/>
    <d v="2025-03-17T00:00:00"/>
    <m/>
    <n v="1"/>
    <n v="10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768"/>
  </r>
  <r>
    <x v="682"/>
    <n v="10000"/>
    <n v="20000"/>
    <d v="2025-03-21T00:00:00"/>
    <s v="502LAUGH"/>
    <s v=" 8:55:12 am"/>
    <s v="M4B4603BGJAJ110-S248100241/E0531904"/>
    <s v="FPD29806"/>
    <x v="2"/>
    <s v="No"/>
    <n v="62"/>
    <s v="Fujishiko "/>
    <x v="3"/>
    <s v="PM42"/>
    <s v="ALEXANDER YAP KEE NYEN"/>
    <n v="135000"/>
    <m/>
    <m/>
    <d v="2025-03-17T00:00:00"/>
    <m/>
    <n v="1"/>
    <n v="13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768"/>
  </r>
  <r>
    <x v="606"/>
    <n v="10000"/>
    <n v="50000"/>
    <d v="2025-03-17T00:00:00"/>
    <s v="502LAUGH"/>
    <s v=" 2:39:10 pm"/>
    <n v="10639931088"/>
    <m/>
    <x v="1"/>
    <s v="Yes"/>
    <n v="91"/>
    <s v="Luster AOI"/>
    <x v="1"/>
    <s v="QM54"/>
    <s v="TAN SWEE LENG"/>
    <n v="56000"/>
    <m/>
    <m/>
    <d v="2025-03-17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2927"/>
    <n v="0"/>
    <m/>
    <s v="H08031-JIM"/>
    <m/>
    <m/>
    <s v="S0350612"/>
  </r>
  <r>
    <x v="683"/>
    <n v="10000"/>
    <n v="30000"/>
    <d v="2025-03-24T00:00:00"/>
    <s v="502LAUGH"/>
    <s v=" 3:48:38 pm"/>
    <s v="10567308038/10567308037/10639931009/10639931007/10639931008"/>
    <m/>
    <x v="0"/>
    <s v="Yes"/>
    <n v="77"/>
    <s v="Brotech DF330 "/>
    <x v="0"/>
    <s v="PM74"/>
    <s v="YONG CHEE SOON"/>
    <n v="29723"/>
    <n v="540.38333333333333"/>
    <n v="9.006388888888889"/>
    <d v="2025-03-17T00:00:00"/>
    <m/>
    <n v="36"/>
    <n v="1070028"/>
    <s v="PE"/>
    <s v="5180-0103-BH2120001"/>
    <n v="0"/>
    <n v="1000000"/>
    <n v="70028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3521"/>
    <n v="0"/>
    <m/>
    <s v="H08031-JIM"/>
    <m/>
    <m/>
    <s v="S0353173"/>
  </r>
  <r>
    <x v="684"/>
    <n v="10000"/>
    <n v="10000"/>
    <d v="2025-03-18T00:00:00"/>
    <s v="502LAUGH"/>
    <s v=" 8:42:18 am"/>
    <s v="SG-564141001"/>
    <m/>
    <x v="2"/>
    <s v="Yes"/>
    <n v="73"/>
    <s v="Brotech DF330"/>
    <x v="0"/>
    <s v="PM59"/>
    <s v="VOON CHAN PIN"/>
    <n v="12000"/>
    <n v="245"/>
    <n v="4.083333333333333"/>
    <d v="2025-03-17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3529"/>
    <n v="0"/>
    <m/>
    <s v="B02083"/>
    <m/>
    <m/>
    <s v="S0354999"/>
  </r>
  <r>
    <x v="684"/>
    <n v="10000"/>
    <n v="20000"/>
    <d v="2025-03-18T00:00:00"/>
    <s v="502LAUGH"/>
    <s v=" 8:42:18 am"/>
    <s v="SG-564141001"/>
    <m/>
    <x v="2"/>
    <s v="Yes"/>
    <n v="73"/>
    <s v="Brotech DF330"/>
    <x v="0"/>
    <s v="PM18"/>
    <s v="LAI CHIN YANG"/>
    <n v="12000"/>
    <m/>
    <m/>
    <d v="2025-03-17T00:00:00"/>
    <m/>
    <n v="12"/>
    <n v="144000"/>
    <s v="PE"/>
    <n v="80256240001"/>
    <n v="0"/>
    <n v="144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3529"/>
    <n v="0"/>
    <m/>
    <s v="B02083"/>
    <m/>
    <m/>
    <s v="S0354999"/>
  </r>
  <r>
    <x v="609"/>
    <n v="10000"/>
    <n v="20000"/>
    <d v="2025-03-17T00:00:00"/>
    <s v="502LAUGH"/>
    <s v=" 2:43:10 pm"/>
    <s v="SG-564141001"/>
    <m/>
    <x v="2"/>
    <s v="Yes"/>
    <n v="73"/>
    <s v="Brotech DF330"/>
    <x v="0"/>
    <s v="PM59"/>
    <s v="VOON CHAN PIN"/>
    <n v="12000"/>
    <n v="245"/>
    <n v="4.083333333333333"/>
    <d v="2025-03-17T00:00:00"/>
    <m/>
    <n v="12"/>
    <n v="144000"/>
    <s v="PE"/>
    <n v="80256250001"/>
    <n v="0"/>
    <n v="144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63550"/>
    <n v="0"/>
    <m/>
    <s v="B02083"/>
    <m/>
    <m/>
    <s v="S0357820"/>
  </r>
  <r>
    <x v="685"/>
    <n v="10000"/>
    <n v="10000"/>
    <d v="2025-03-18T00:00:00"/>
    <s v="502LAUGH"/>
    <s v=" 8:42:41 am"/>
    <s v="SG-564141001"/>
    <m/>
    <x v="2"/>
    <s v="Yes"/>
    <n v="73"/>
    <s v="Brotech DF330"/>
    <x v="0"/>
    <s v="PM59"/>
    <s v="VOON CHAN PIN"/>
    <n v="24000"/>
    <n v="445"/>
    <n v="7.416666666666667"/>
    <d v="2025-03-17T00:00:00"/>
    <m/>
    <n v="12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s v="BECTON DICKINSON MEDICAL (S) PTE LTD"/>
    <m/>
    <n v="0"/>
    <n v="0"/>
    <n v="0"/>
    <n v="0"/>
    <n v="0"/>
    <n v="0"/>
    <m/>
    <m/>
    <m/>
    <s v="No"/>
    <s v="W664075"/>
    <n v="0"/>
    <m/>
    <s v="B02083"/>
    <m/>
    <m/>
    <s v="S0357821"/>
  </r>
  <r>
    <x v="686"/>
    <n v="10000"/>
    <n v="20000"/>
    <d v="2025-03-17T00:00:00"/>
    <s v="502LAUGH"/>
    <s v=" 5:04:25 pm"/>
    <s v="M0BSO3780"/>
    <m/>
    <x v="2"/>
    <s v="Yes"/>
    <n v="94"/>
    <s v="Taiyo"/>
    <x v="2"/>
    <s v="PM09"/>
    <s v="PANG JING FULL"/>
    <n v="50"/>
    <m/>
    <m/>
    <d v="2025-03-17T00:00:00"/>
    <m/>
    <n v="4"/>
    <n v="200"/>
    <s v="PE"/>
    <s v="2063-773057-058-0002"/>
    <n v="0"/>
    <n v="200"/>
    <n v="0"/>
    <n v="0"/>
    <n v="0"/>
    <n v="0"/>
    <m/>
    <m/>
    <n v="0"/>
    <m/>
    <m/>
    <m/>
    <m/>
    <m/>
    <m/>
    <m/>
    <m/>
    <s v="2063-773057-058-CM"/>
    <s v="W23041-TH"/>
    <s v="WESTERN DIGITAL STORAGE TECHNOLOGIES"/>
    <m/>
    <n v="0"/>
    <n v="0"/>
    <n v="0"/>
    <n v="0"/>
    <n v="0"/>
    <n v="0"/>
    <m/>
    <m/>
    <m/>
    <s v="No"/>
    <s v="W662978"/>
    <n v="0"/>
    <m/>
    <s v="W23041-TH"/>
    <m/>
    <m/>
    <s v="ZSA101741"/>
  </r>
  <r>
    <x v="203"/>
    <n v="10000"/>
    <n v="30000"/>
    <d v="2025-03-18T00:00:00"/>
    <s v="502LAUGH"/>
    <s v=" 8:37:51 am"/>
    <s v="10620258034/10620258035/10620258033"/>
    <m/>
    <x v="1"/>
    <s v="Yes"/>
    <n v="85"/>
    <s v="Luster AOI"/>
    <x v="1"/>
    <s v="QM78"/>
    <s v="WONG SEAU JIN"/>
    <n v="20000"/>
    <m/>
    <m/>
    <d v="2025-03-17T00:00:00"/>
    <m/>
    <n v="11"/>
    <n v="220000"/>
    <s v="PE"/>
    <s v="N9J90-80007-FT0001"/>
    <n v="0"/>
    <n v="200000"/>
    <n v="2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3009"/>
    <n v="0"/>
    <m/>
    <s v="H08031-JIM-M"/>
    <m/>
    <m/>
    <s v="S0359283"/>
  </r>
  <r>
    <x v="209"/>
    <n v="10000"/>
    <n v="30000"/>
    <d v="2025-03-18T00:00:00"/>
    <s v="502LAUGH"/>
    <s v=" 8:38:50 am"/>
    <s v="10620258034/10620258035/10620258033"/>
    <m/>
    <x v="1"/>
    <s v="Yes"/>
    <n v="85"/>
    <s v="Luster AOI"/>
    <x v="1"/>
    <s v="QM78"/>
    <s v="WONG SEAU JIN"/>
    <n v="20000"/>
    <m/>
    <m/>
    <d v="2025-03-17T00:00:00"/>
    <m/>
    <n v="11"/>
    <n v="220000"/>
    <s v="PE"/>
    <s v="3YM38-80003-FT0001"/>
    <n v="0"/>
    <n v="200000"/>
    <n v="20000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3015"/>
    <n v="0"/>
    <m/>
    <s v="H08031-JIM-M"/>
    <m/>
    <m/>
    <s v="S0359294"/>
  </r>
  <r>
    <x v="210"/>
    <n v="10000"/>
    <n v="30000"/>
    <d v="2025-03-18T00:00:00"/>
    <s v="502LAUGH"/>
    <s v=" 8:39:51 am"/>
    <s v="10620258034/10620258035/10620258033"/>
    <m/>
    <x v="1"/>
    <s v="Yes"/>
    <n v="85"/>
    <s v="Luster AOI"/>
    <x v="1"/>
    <s v="QM78"/>
    <s v="WONG SEAU JIN"/>
    <n v="20000"/>
    <m/>
    <m/>
    <d v="2025-03-17T00:00:00"/>
    <m/>
    <n v="11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017"/>
    <n v="0"/>
    <m/>
    <s v="H08031-JIM-M"/>
    <m/>
    <m/>
    <s v="S0359300"/>
  </r>
  <r>
    <x v="212"/>
    <n v="10000"/>
    <n v="30000"/>
    <d v="2025-03-24T00:00:00"/>
    <s v="502LAUGH"/>
    <d v="1899-12-30T10:41:07"/>
    <s v="10620258034/10620258035/10620258033"/>
    <m/>
    <x v="1"/>
    <s v="Yes"/>
    <n v="85"/>
    <s v="Luster AOI"/>
    <x v="1"/>
    <s v="QM78"/>
    <s v="WONG SEAU JIN"/>
    <n v="10000"/>
    <m/>
    <m/>
    <d v="2025-03-17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3588"/>
    <n v="0"/>
    <m/>
    <s v="H08031-JIM-M"/>
    <m/>
    <m/>
    <s v="S0359320"/>
  </r>
  <r>
    <x v="213"/>
    <n v="10000"/>
    <n v="30000"/>
    <d v="2025-03-24T00:00:00"/>
    <s v="502LAUGH"/>
    <s v=" 8:51:04 am"/>
    <s v="10620258034/10620258035/10620258033"/>
    <m/>
    <x v="1"/>
    <s v="Yes"/>
    <n v="85"/>
    <s v="Luster AOI"/>
    <x v="1"/>
    <s v="QM78"/>
    <s v="WONG SEAU JIN"/>
    <n v="10000"/>
    <m/>
    <m/>
    <d v="2025-03-17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3590"/>
    <n v="0"/>
    <m/>
    <s v="H08031-JIM-M"/>
    <m/>
    <m/>
    <s v="S0359322"/>
  </r>
  <r>
    <x v="214"/>
    <n v="10000"/>
    <n v="30000"/>
    <d v="2025-03-18T00:00:00"/>
    <s v="502LAUGH"/>
    <s v=" 8:36:59 am"/>
    <s v="10620258034/10620258035/10620258033"/>
    <m/>
    <x v="1"/>
    <s v="Yes"/>
    <n v="85"/>
    <s v="Luster AOI"/>
    <x v="1"/>
    <s v="QM78"/>
    <s v="WONG SEAU JIN"/>
    <n v="10000"/>
    <m/>
    <m/>
    <d v="2025-03-1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021"/>
    <n v="0"/>
    <m/>
    <s v="H08031-JIM-M"/>
    <m/>
    <m/>
    <s v="S0359326"/>
  </r>
  <r>
    <x v="687"/>
    <n v="10000"/>
    <n v="10000"/>
    <d v="2025-03-17T00:00:00"/>
    <s v="502LAUGH"/>
    <s v=" 2:40:51 pm"/>
    <s v="J002V1180"/>
    <m/>
    <x v="2"/>
    <s v="Yes"/>
    <n v="78"/>
    <s v="Baby Sanki"/>
    <x v="2"/>
    <s v="PM84"/>
    <s v="TAN TAI TOH"/>
    <n v="877"/>
    <n v="66.924999999999997"/>
    <n v="1.1154166666666667"/>
    <d v="2025-03-17T00:00:00"/>
    <m/>
    <n v="1"/>
    <n v="877"/>
    <s v="PE"/>
    <s v="08828-0021-015-00001"/>
    <n v="0"/>
    <n v="877"/>
    <n v="0"/>
    <n v="0"/>
    <n v="0"/>
    <n v="0"/>
    <m/>
    <m/>
    <n v="0"/>
    <m/>
    <m/>
    <m/>
    <m/>
    <m/>
    <m/>
    <m/>
    <m/>
    <s v="08828-0021-015-01"/>
    <s v="H08031-FLEX-PTP"/>
    <s v="FLEXTRONICS SHAH ALAM SDN BHD"/>
    <m/>
    <n v="0"/>
    <n v="0"/>
    <n v="0"/>
    <n v="0"/>
    <n v="0"/>
    <n v="0"/>
    <m/>
    <m/>
    <m/>
    <s v="No"/>
    <s v="W663024"/>
    <n v="0"/>
    <m/>
    <s v="H08031-FLEX-PTP"/>
    <m/>
    <m/>
    <s v="S0359332"/>
  </r>
  <r>
    <x v="688"/>
    <n v="10000"/>
    <n v="10000"/>
    <d v="2025-03-17T00:00:00"/>
    <s v="502LAUGH"/>
    <s v=" 2:40:51 pm"/>
    <s v="J002V1180"/>
    <m/>
    <x v="2"/>
    <s v="Yes"/>
    <n v="78"/>
    <s v="Baby Sanki"/>
    <x v="2"/>
    <s v="PM84"/>
    <s v="TAN TAI TOH"/>
    <n v="877"/>
    <n v="66.924999999999997"/>
    <n v="1.1154166666666667"/>
    <d v="2025-03-17T00:00:00"/>
    <m/>
    <n v="1"/>
    <n v="877"/>
    <s v="PE"/>
    <s v="08828-0021-015-00002"/>
    <n v="0"/>
    <n v="877"/>
    <n v="0"/>
    <n v="0"/>
    <n v="0"/>
    <n v="0"/>
    <m/>
    <m/>
    <n v="0"/>
    <m/>
    <m/>
    <m/>
    <m/>
    <m/>
    <m/>
    <m/>
    <m/>
    <s v="08828-0021-015-02"/>
    <s v="H08031-FLEX-PTP"/>
    <s v="FLEXTRONICS SHAH ALAM SDN BHD"/>
    <m/>
    <n v="0"/>
    <n v="0"/>
    <n v="0"/>
    <n v="0"/>
    <n v="0"/>
    <n v="0"/>
    <m/>
    <m/>
    <m/>
    <s v="No"/>
    <s v="W663025"/>
    <n v="0"/>
    <m/>
    <s v="H08031-FLEX-PTP"/>
    <m/>
    <m/>
    <s v="S0359333"/>
  </r>
  <r>
    <x v="689"/>
    <n v="10000"/>
    <n v="10000"/>
    <d v="2025-03-19T00:00:00"/>
    <s v="502LAUGH"/>
    <d v="1899-12-30T11:31:40"/>
    <n v="502200327"/>
    <m/>
    <x v="2"/>
    <s v="Yes"/>
    <n v="59"/>
    <s v="SANKI SD-300 Intermittent"/>
    <x v="2"/>
    <s v="PS74"/>
    <s v="GOH CHIN TECK"/>
    <n v="28000"/>
    <n v="745"/>
    <n v="12.416666666666666"/>
    <d v="2025-03-17T00:00:00"/>
    <m/>
    <n v="12"/>
    <n v="336000"/>
    <s v="PE"/>
    <n v="7062410001"/>
    <n v="0"/>
    <n v="322000"/>
    <n v="14000"/>
    <n v="0"/>
    <n v="0"/>
    <n v="0"/>
    <m/>
    <m/>
    <n v="0"/>
    <m/>
    <m/>
    <m/>
    <m/>
    <m/>
    <m/>
    <m/>
    <m/>
    <s v="706241 INDEX06"/>
    <s v="V22000-DE"/>
    <s v="VARTA MICROBATTERY GMBH"/>
    <m/>
    <n v="0"/>
    <n v="0"/>
    <n v="0"/>
    <n v="0"/>
    <n v="0"/>
    <n v="0"/>
    <m/>
    <m/>
    <m/>
    <s v="No"/>
    <s v="W663618"/>
    <n v="0"/>
    <m/>
    <s v="V22000-DE"/>
    <m/>
    <m/>
    <s v="S0360724"/>
  </r>
  <r>
    <x v="310"/>
    <n v="10000"/>
    <n v="20000"/>
    <d v="2025-03-18T00:00:00"/>
    <s v="502LAUGH"/>
    <s v=" 8:34:33 am"/>
    <s v="4239S1/U4010218"/>
    <m/>
    <x v="0"/>
    <s v="Yes"/>
    <n v="105"/>
    <s v="Laser"/>
    <x v="5"/>
    <s v="PM87"/>
    <s v="LEE SHIEN WEI"/>
    <n v="2200"/>
    <m/>
    <m/>
    <d v="2025-03-17T00:00:00"/>
    <m/>
    <n v="1"/>
    <n v="2200"/>
    <s v="PE"/>
    <s v="PRTN-2037351818-0001"/>
    <n v="0"/>
    <n v="1594"/>
    <n v="606"/>
    <n v="0"/>
    <n v="0"/>
    <n v="0"/>
    <m/>
    <m/>
    <n v="0"/>
    <m/>
    <m/>
    <m/>
    <m/>
    <m/>
    <m/>
    <m/>
    <m/>
    <s v="MDRM0198"/>
    <s v="A01486"/>
    <s v="AMT PTE LTD"/>
    <m/>
    <n v="0"/>
    <n v="0"/>
    <n v="0"/>
    <n v="0"/>
    <n v="0"/>
    <n v="0"/>
    <m/>
    <m/>
    <m/>
    <s v="No"/>
    <s v="W663046"/>
    <n v="0"/>
    <m/>
    <s v="A01486"/>
    <m/>
    <m/>
    <s v="S0360886"/>
  </r>
  <r>
    <x v="238"/>
    <n v="10000"/>
    <n v="30000"/>
    <d v="2025-03-18T00:00:00"/>
    <s v="502LAUGH"/>
    <s v=" 8:35:45 am"/>
    <s v="10620258034/10620258035/10620258033"/>
    <m/>
    <x v="1"/>
    <s v="Yes"/>
    <n v="85"/>
    <s v="Luster AOI"/>
    <x v="1"/>
    <s v="QM78"/>
    <s v="WONG SEAU JIN"/>
    <n v="20000"/>
    <m/>
    <m/>
    <d v="2025-03-17T00:00:00"/>
    <m/>
    <n v="11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3055"/>
    <n v="0"/>
    <m/>
    <s v="H08031-JIM-M"/>
    <m/>
    <m/>
    <s v="S0360911"/>
  </r>
  <r>
    <x v="454"/>
    <n v="10000"/>
    <n v="20000"/>
    <d v="2025-03-17T00:00:00"/>
    <s v="502LAUGH"/>
    <s v=" 5:40:13 pm"/>
    <s v="SG-5645615-01"/>
    <m/>
    <x v="2"/>
    <s v="Yes"/>
    <n v="31"/>
    <s v="Sanki SKP250 Full Rotary"/>
    <x v="2"/>
    <s v="PS27"/>
    <s v="TAN TECK HEE"/>
    <n v="1000"/>
    <n v="70"/>
    <n v="1.1666666666666667"/>
    <d v="2025-03-17T00:00:00"/>
    <m/>
    <n v="6"/>
    <n v="6000"/>
    <s v="PE"/>
    <s v="A4 (6PCS/SHEET)0001"/>
    <n v="0"/>
    <n v="5000"/>
    <n v="1000"/>
    <n v="0"/>
    <n v="0"/>
    <n v="0"/>
    <m/>
    <m/>
    <n v="0"/>
    <m/>
    <m/>
    <m/>
    <m/>
    <m/>
    <m/>
    <m/>
    <m/>
    <s v="A4 (6PCS/SHEET)"/>
    <s v="S19487"/>
    <s v="SANTEH TECHNOLOGY PTE LTD"/>
    <m/>
    <n v="0"/>
    <n v="0"/>
    <n v="0"/>
    <n v="0"/>
    <n v="0"/>
    <n v="0"/>
    <m/>
    <m/>
    <m/>
    <s v="No"/>
    <s v="W663067"/>
    <n v="0"/>
    <m/>
    <s v="S19487"/>
    <m/>
    <m/>
    <s v="S0361005"/>
  </r>
  <r>
    <x v="620"/>
    <n v="10000"/>
    <n v="20000"/>
    <d v="2025-03-19T00:00:00"/>
    <s v="502LAUGH"/>
    <s v=" 8:33:58 am"/>
    <s v="U5124S154/3082509U9"/>
    <m/>
    <x v="0"/>
    <s v="Yes"/>
    <n v="100"/>
    <s v="Vorey Digital Cut"/>
    <x v="6"/>
    <s v="PM87"/>
    <s v="LEE SHIEN WEI"/>
    <n v="500"/>
    <m/>
    <m/>
    <d v="2025-03-17T00:00:00"/>
    <m/>
    <n v="1"/>
    <n v="500"/>
    <s v="PE"/>
    <s v="19003623-I0001"/>
    <n v="0"/>
    <n v="500"/>
    <n v="0"/>
    <n v="0"/>
    <n v="0"/>
    <n v="0"/>
    <m/>
    <m/>
    <n v="0"/>
    <m/>
    <m/>
    <m/>
    <m/>
    <m/>
    <m/>
    <m/>
    <m/>
    <s v="19003623-I"/>
    <s v="I09109"/>
    <s v="IKE TECHNOLOGY"/>
    <m/>
    <n v="0"/>
    <n v="0"/>
    <n v="0"/>
    <n v="0"/>
    <n v="0"/>
    <n v="0"/>
    <m/>
    <m/>
    <m/>
    <s v="No"/>
    <s v="W663081"/>
    <n v="0"/>
    <m/>
    <s v="I09109"/>
    <m/>
    <m/>
    <s v="S0361054"/>
  </r>
  <r>
    <x v="621"/>
    <n v="10000"/>
    <n v="20000"/>
    <d v="2025-03-19T00:00:00"/>
    <s v="502LAUGH"/>
    <s v=" 8:37:54 am"/>
    <s v="U5124S154/3082509U9"/>
    <m/>
    <x v="0"/>
    <s v="Yes"/>
    <n v="100"/>
    <s v="Vorey Digital Cut"/>
    <x v="6"/>
    <s v="PM87"/>
    <s v="LEE SHIEN WEI"/>
    <n v="2400"/>
    <m/>
    <m/>
    <d v="2025-03-17T00:00:00"/>
    <m/>
    <n v="1"/>
    <n v="2400"/>
    <s v="PE"/>
    <s v="19003627-I0001"/>
    <n v="0"/>
    <n v="2400"/>
    <n v="0"/>
    <n v="0"/>
    <n v="0"/>
    <n v="0"/>
    <m/>
    <m/>
    <n v="0"/>
    <m/>
    <m/>
    <m/>
    <m/>
    <m/>
    <m/>
    <m/>
    <m/>
    <s v="19003627-I"/>
    <s v="I09109"/>
    <s v="IKE TECHNOLOGY"/>
    <m/>
    <n v="0"/>
    <n v="0"/>
    <n v="0"/>
    <n v="0"/>
    <n v="0"/>
    <n v="0"/>
    <m/>
    <m/>
    <m/>
    <s v="No"/>
    <s v="W663082"/>
    <n v="0"/>
    <m/>
    <s v="I09109"/>
    <m/>
    <m/>
    <s v="S0361054"/>
  </r>
  <r>
    <x v="690"/>
    <n v="10000"/>
    <n v="10000"/>
    <d v="2025-03-18T00:00:00"/>
    <s v="502LAUGH"/>
    <s v=" 8:47:56 am"/>
    <s v="M0BUG7161"/>
    <m/>
    <x v="2"/>
    <s v="Yes"/>
    <n v="63"/>
    <s v="SANKI"/>
    <x v="3"/>
    <s v="PM80"/>
    <s v="YAP ZHI PING"/>
    <n v="4000"/>
    <n v="145"/>
    <n v="2.4166666666666665"/>
    <d v="2025-03-17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s v="SEAGATE TECHNOLOGY INTERNATIONAL (WUXI) CO., LTD"/>
    <m/>
    <n v="0"/>
    <n v="0"/>
    <n v="0"/>
    <n v="0"/>
    <n v="0"/>
    <n v="0"/>
    <m/>
    <m/>
    <m/>
    <s v="No"/>
    <s v="W663084"/>
    <n v="0"/>
    <m/>
    <s v="S19314"/>
    <m/>
    <m/>
    <s v="H0064712"/>
  </r>
  <r>
    <x v="517"/>
    <n v="10000"/>
    <n v="20000"/>
    <d v="2025-03-18T00:00:00"/>
    <s v="502LAUGH"/>
    <s v=" 8:45:36 am"/>
    <s v="M0BFL2381"/>
    <m/>
    <x v="0"/>
    <s v="Yes"/>
    <n v="63"/>
    <s v="SANKI"/>
    <x v="3"/>
    <s v="PM80"/>
    <s v="YAP ZHI PING"/>
    <n v="2500"/>
    <n v="107.5"/>
    <n v="1.7916666666666667"/>
    <d v="2025-03-17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091"/>
    <n v="0"/>
    <m/>
    <s v="S19314"/>
    <m/>
    <m/>
    <s v="H0064727"/>
  </r>
  <r>
    <x v="691"/>
    <n v="10000"/>
    <n v="10000"/>
    <d v="2025-03-18T00:00:00"/>
    <s v="502LAUGH"/>
    <s v=" 8:47:56 am"/>
    <s v="M0BUG7161"/>
    <m/>
    <x v="2"/>
    <s v="Yes"/>
    <n v="63"/>
    <s v="SANKI"/>
    <x v="3"/>
    <s v="PM80"/>
    <s v="YAP ZHI PING"/>
    <n v="4000"/>
    <n v="145"/>
    <n v="2.4166666666666665"/>
    <d v="2025-03-17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3103"/>
    <n v="0"/>
    <m/>
    <s v="S19081-TH"/>
    <m/>
    <m/>
    <s v="H0064747"/>
  </r>
  <r>
    <x v="571"/>
    <n v="10000"/>
    <n v="20000"/>
    <d v="2025-03-18T00:00:00"/>
    <s v="502LAUGH"/>
    <s v=" 8:46:16 am"/>
    <s v="M0BFL2381"/>
    <m/>
    <x v="0"/>
    <s v="Yes"/>
    <n v="63"/>
    <s v="SANKI"/>
    <x v="3"/>
    <s v="PM80"/>
    <s v="YAP ZHI PING"/>
    <n v="7500"/>
    <n v="232.5"/>
    <n v="3.875"/>
    <d v="2025-03-1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652"/>
    <n v="0"/>
    <m/>
    <s v="S19081-TH"/>
    <m/>
    <m/>
    <s v="H0064758"/>
  </r>
  <r>
    <x v="572"/>
    <n v="10000"/>
    <n v="20000"/>
    <d v="2025-03-18T00:00:00"/>
    <s v="502LAUGH"/>
    <s v=" 8:46:52 am"/>
    <s v="M0BFL2381"/>
    <m/>
    <x v="0"/>
    <s v="Yes"/>
    <n v="63"/>
    <s v="SANKI"/>
    <x v="3"/>
    <s v="PM80"/>
    <s v="YAP ZHI PING"/>
    <n v="7500"/>
    <n v="232.5"/>
    <n v="3.875"/>
    <d v="2025-03-17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3653"/>
    <n v="0"/>
    <m/>
    <s v="S19081-TH"/>
    <m/>
    <m/>
    <s v="H0064759"/>
  </r>
  <r>
    <x v="625"/>
    <n v="10000"/>
    <n v="20000"/>
    <d v="2025-03-17T00:00:00"/>
    <s v="502LAUGH"/>
    <s v=" 2:40:03 pm"/>
    <s v="4067S1"/>
    <m/>
    <x v="0"/>
    <s v="Yes"/>
    <n v="65"/>
    <s v="Sanki SDR300"/>
    <x v="3"/>
    <s v="PMJ7"/>
    <s v="FOONG SEL YI"/>
    <n v="4000"/>
    <n v="145"/>
    <n v="2.4166666666666665"/>
    <d v="2025-03-17T00:00:00"/>
    <m/>
    <n v="1"/>
    <n v="4000"/>
    <s v="PE"/>
    <n v="1342670001"/>
    <n v="0"/>
    <n v="2000"/>
    <n v="2000"/>
    <n v="0"/>
    <n v="0"/>
    <n v="0"/>
    <m/>
    <m/>
    <n v="0"/>
    <m/>
    <m/>
    <m/>
    <m/>
    <m/>
    <m/>
    <m/>
    <m/>
    <n v="134267"/>
    <s v="P16186"/>
    <s v="PEPPERL+FUCHS ASIA PTE. LTD"/>
    <m/>
    <n v="0"/>
    <n v="0"/>
    <n v="0"/>
    <n v="0"/>
    <n v="0"/>
    <n v="0"/>
    <m/>
    <m/>
    <m/>
    <s v="No"/>
    <s v="W663110"/>
    <n v="0"/>
    <m/>
    <s v="P16186"/>
    <m/>
    <m/>
    <s v="S0361055"/>
  </r>
  <r>
    <x v="625"/>
    <n v="10000"/>
    <n v="30000"/>
    <d v="2025-03-17T00:00:00"/>
    <s v="502LAUGH"/>
    <s v=" 2:40:03 pm"/>
    <s v="4067S1"/>
    <m/>
    <x v="1"/>
    <s v="Yes"/>
    <n v="60"/>
    <s v="Fujishiko UDP-5000"/>
    <x v="3"/>
    <s v="PM30"/>
    <s v="OH KIAN YUAN"/>
    <n v="4000"/>
    <n v="125"/>
    <n v="2.0833333333333335"/>
    <d v="2025-03-17T00:00:00"/>
    <m/>
    <n v="1"/>
    <n v="4000"/>
    <s v="PE"/>
    <n v="1342670001"/>
    <n v="0"/>
    <n v="2000"/>
    <n v="2000"/>
    <n v="0"/>
    <n v="0"/>
    <n v="0"/>
    <m/>
    <m/>
    <n v="0"/>
    <m/>
    <m/>
    <m/>
    <m/>
    <m/>
    <m/>
    <m/>
    <m/>
    <n v="134267"/>
    <s v="P16186"/>
    <s v="PEPPERL+FUCHS ASIA PTE. LTD"/>
    <m/>
    <n v="0"/>
    <n v="0"/>
    <n v="0"/>
    <n v="0"/>
    <n v="0"/>
    <n v="0"/>
    <m/>
    <m/>
    <m/>
    <s v="No"/>
    <s v="W663110"/>
    <n v="0"/>
    <m/>
    <s v="P16186"/>
    <m/>
    <m/>
    <s v="S0361055"/>
  </r>
  <r>
    <x v="692"/>
    <n v="10000"/>
    <n v="10000"/>
    <d v="2025-03-17T00:00:00"/>
    <s v="502LAUGH"/>
    <s v=" 2:43:10 pm"/>
    <s v="3830U7060/2968379-001"/>
    <m/>
    <x v="2"/>
    <s v="Yes"/>
    <n v="78"/>
    <s v="Baby Sanki"/>
    <x v="2"/>
    <s v="PM84"/>
    <s v="TAN TAI TOH"/>
    <n v="200"/>
    <n v="50"/>
    <n v="0.83333333333333337"/>
    <d v="2025-03-17T00:00:00"/>
    <m/>
    <n v="1"/>
    <n v="200"/>
    <s v="PE"/>
    <s v="7FM029200000001"/>
    <n v="0"/>
    <n v="200"/>
    <n v="0"/>
    <n v="0"/>
    <n v="0"/>
    <n v="0"/>
    <m/>
    <m/>
    <n v="0"/>
    <m/>
    <m/>
    <m/>
    <m/>
    <m/>
    <m/>
    <m/>
    <m/>
    <s v="7FM02920000"/>
    <s v="T20104"/>
    <s v="TOSHIBA TEC SINGAPORE PTE LTD"/>
    <m/>
    <n v="0"/>
    <n v="0"/>
    <n v="0"/>
    <n v="0"/>
    <n v="0"/>
    <n v="0"/>
    <m/>
    <m/>
    <m/>
    <s v="No"/>
    <s v="W663124"/>
    <n v="0"/>
    <m/>
    <s v="T20104"/>
    <m/>
    <m/>
    <s v="S0361067"/>
  </r>
  <r>
    <x v="693"/>
    <n v="10000"/>
    <n v="10000"/>
    <d v="2025-03-18T00:00:00"/>
    <s v="502LAUGH"/>
    <s v=" 8:43:58 am"/>
    <s v="J00T39951"/>
    <m/>
    <x v="2"/>
    <s v="Yes"/>
    <n v="61"/>
    <s v="FSK 520"/>
    <x v="2"/>
    <s v="PM68"/>
    <s v="LEE KIM LIANG"/>
    <n v="6000"/>
    <n v="165"/>
    <n v="2.75"/>
    <d v="2025-03-17T00:00:00"/>
    <m/>
    <n v="1"/>
    <n v="6000"/>
    <s v="PE"/>
    <s v="250-5329-000001"/>
    <n v="0"/>
    <n v="6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63131"/>
    <n v="0"/>
    <m/>
    <s v="J10025"/>
    <m/>
    <m/>
    <s v="S0361085"/>
  </r>
  <r>
    <x v="694"/>
    <n v="10000"/>
    <n v="10000"/>
    <d v="2025-03-18T00:00:00"/>
    <s v="502LAUGH"/>
    <d v="1899-12-30T11:23:53"/>
    <s v="4112304U5A"/>
    <m/>
    <x v="2"/>
    <s v="Yes"/>
    <n v="46"/>
    <s v="Sanki 300 Intermittent"/>
    <x v="2"/>
    <s v="PS66"/>
    <s v="SIM ENG KWANG"/>
    <n v="15000"/>
    <n v="420"/>
    <n v="7"/>
    <d v="2025-03-17T00:00:00"/>
    <m/>
    <n v="1"/>
    <n v="15000"/>
    <s v="PE"/>
    <s v="260-6107-000001"/>
    <n v="0"/>
    <n v="15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3135"/>
    <n v="0"/>
    <m/>
    <s v="J10025"/>
    <m/>
    <m/>
    <s v="S0361085"/>
  </r>
  <r>
    <x v="695"/>
    <n v="10000"/>
    <n v="10000"/>
    <d v="2025-03-18T00:00:00"/>
    <s v="502LAUGH"/>
    <d v="1899-12-30T11:23:53"/>
    <s v="BZB084-03"/>
    <m/>
    <x v="2"/>
    <s v="Yes"/>
    <n v="71"/>
    <s v="POLLY"/>
    <x v="3"/>
    <s v="PS95"/>
    <s v="LIM CHENG LEONG"/>
    <n v="6250"/>
    <m/>
    <m/>
    <d v="2025-03-17T00:00:00"/>
    <m/>
    <n v="4"/>
    <n v="25000"/>
    <s v="PE"/>
    <s v="68-25-01080001"/>
    <n v="0"/>
    <n v="25000"/>
    <n v="0"/>
    <n v="0"/>
    <n v="0"/>
    <n v="0"/>
    <m/>
    <m/>
    <n v="0"/>
    <m/>
    <m/>
    <m/>
    <m/>
    <m/>
    <m/>
    <m/>
    <m/>
    <s v="68-25-0108"/>
    <s v="M13405-INNOVATION"/>
    <s v="3M INNOVATION SINGAPORE PTE LTD"/>
    <m/>
    <n v="0"/>
    <n v="0"/>
    <n v="0"/>
    <n v="0"/>
    <n v="0"/>
    <n v="0"/>
    <m/>
    <m/>
    <m/>
    <s v="No"/>
    <s v="W663143"/>
    <n v="0"/>
    <m/>
    <s v="M13405-INNOVATION"/>
    <m/>
    <m/>
    <s v="S0361091"/>
  </r>
  <r>
    <x v="696"/>
    <n v="10000"/>
    <n v="10000"/>
    <d v="2025-03-17T00:00:00"/>
    <s v="502LAUGH"/>
    <s v=" 2:41:40 pm"/>
    <s v="SG-5622228 01"/>
    <m/>
    <x v="2"/>
    <s v="Yes"/>
    <n v="59"/>
    <s v="SANKI SD-300 Intermittent"/>
    <x v="2"/>
    <s v="PS74"/>
    <s v="GOH CHIN TECK"/>
    <n v="1000"/>
    <n v="70"/>
    <n v="1.1666666666666667"/>
    <d v="2025-03-17T00:00:00"/>
    <m/>
    <n v="10"/>
    <n v="10000"/>
    <s v="PE"/>
    <n v="112024330001"/>
    <n v="0"/>
    <n v="10000"/>
    <n v="0"/>
    <n v="0"/>
    <n v="0"/>
    <n v="0"/>
    <m/>
    <m/>
    <n v="0"/>
    <m/>
    <m/>
    <m/>
    <m/>
    <m/>
    <m/>
    <m/>
    <m/>
    <n v="11202433"/>
    <s v="I09180"/>
    <s v="ILLUMINA SINGAPORE PTE LTD"/>
    <m/>
    <n v="0"/>
    <n v="0"/>
    <n v="0"/>
    <n v="0"/>
    <n v="0"/>
    <n v="0"/>
    <m/>
    <m/>
    <m/>
    <s v="No"/>
    <s v="W663145"/>
    <n v="0"/>
    <m/>
    <s v="I09180"/>
    <m/>
    <m/>
    <s v="S0361106"/>
  </r>
  <r>
    <x v="696"/>
    <n v="20000"/>
    <n v="10000"/>
    <d v="2025-03-17T00:00:00"/>
    <s v="502LAUGH"/>
    <s v=" 2:41:40 pm"/>
    <s v="SG-5622228 01"/>
    <m/>
    <x v="2"/>
    <s v="Yes"/>
    <n v="59"/>
    <s v="SANKI SD-300 Intermittent"/>
    <x v="2"/>
    <s v="PS74"/>
    <s v="GOH CHIN TECK"/>
    <n v="1000"/>
    <n v="70"/>
    <n v="1.1666666666666667"/>
    <d v="2025-03-17T00:00:00"/>
    <m/>
    <n v="10"/>
    <n v="10000"/>
    <s v="PE"/>
    <n v="112024330001"/>
    <n v="0"/>
    <n v="10000"/>
    <n v="0"/>
    <n v="0"/>
    <n v="0"/>
    <n v="0"/>
    <m/>
    <m/>
    <n v="0"/>
    <m/>
    <m/>
    <m/>
    <m/>
    <m/>
    <m/>
    <m/>
    <m/>
    <n v="11202433"/>
    <s v="I09180"/>
    <s v="ILLUMINA SINGAPORE PTE LTD"/>
    <m/>
    <n v="0"/>
    <n v="0"/>
    <n v="0"/>
    <n v="0"/>
    <n v="0"/>
    <n v="0"/>
    <m/>
    <m/>
    <m/>
    <s v="No"/>
    <s v="W663145"/>
    <n v="0"/>
    <m/>
    <s v="I09180"/>
    <m/>
    <m/>
    <s v="S0361106"/>
  </r>
  <r>
    <x v="697"/>
    <n v="10000"/>
    <n v="10000"/>
    <d v="2025-03-17T00:00:00"/>
    <s v="502LAUGH"/>
    <s v=" 2:41:40 pm"/>
    <s v="SG-5622228 01"/>
    <m/>
    <x v="2"/>
    <s v="Yes"/>
    <n v="59"/>
    <s v="SANKI SD-300 Intermittent"/>
    <x v="2"/>
    <s v="PS74"/>
    <s v="GOH CHIN TECK"/>
    <n v="1000"/>
    <n v="70"/>
    <n v="1.1666666666666667"/>
    <d v="2025-03-17T00:00:00"/>
    <m/>
    <n v="10"/>
    <n v="10000"/>
    <s v="PE"/>
    <n v="112024330001"/>
    <n v="0"/>
    <n v="10000"/>
    <n v="0"/>
    <n v="0"/>
    <n v="0"/>
    <n v="0"/>
    <m/>
    <m/>
    <n v="0"/>
    <m/>
    <m/>
    <m/>
    <m/>
    <m/>
    <m/>
    <m/>
    <m/>
    <n v="11202433"/>
    <s v="I09180"/>
    <s v="ILLUMINA SINGAPORE PTE LTD"/>
    <m/>
    <n v="0"/>
    <n v="0"/>
    <n v="0"/>
    <n v="0"/>
    <n v="0"/>
    <n v="0"/>
    <m/>
    <m/>
    <m/>
    <s v="No"/>
    <s v="W663146"/>
    <n v="0"/>
    <m/>
    <s v="I09180"/>
    <m/>
    <m/>
    <s v="S0361107"/>
  </r>
  <r>
    <x v="698"/>
    <n v="10000"/>
    <n v="10000"/>
    <d v="2025-03-18T00:00:00"/>
    <s v="502LAUGH"/>
    <d v="1899-12-30T11:23:53"/>
    <s v="SG-5645615-01"/>
    <m/>
    <x v="2"/>
    <s v="Yes"/>
    <n v="31"/>
    <s v="Sanki SKP250 Full Rotary"/>
    <x v="2"/>
    <s v="PS27"/>
    <s v="TAN TECK HEE"/>
    <n v="3000"/>
    <n v="120"/>
    <n v="2"/>
    <d v="2025-03-17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s v="DYSON OPERATIONS PTE LTD"/>
    <m/>
    <n v="0"/>
    <n v="0"/>
    <n v="0"/>
    <n v="0"/>
    <n v="0"/>
    <n v="0"/>
    <m/>
    <m/>
    <m/>
    <s v="No"/>
    <s v="W663154"/>
    <n v="0"/>
    <m/>
    <s v="D04178"/>
    <m/>
    <m/>
    <s v="S0361143"/>
  </r>
  <r>
    <x v="699"/>
    <n v="10000"/>
    <n v="10000"/>
    <d v="2025-03-17T00:00:00"/>
    <s v="502LAUGH"/>
    <s v=" 2:43:11 pm"/>
    <s v="D00086211"/>
    <m/>
    <x v="2"/>
    <s v="Yes"/>
    <n v="61"/>
    <s v="FSK 520"/>
    <x v="2"/>
    <s v="PM68"/>
    <s v="LEE KIM LIANG"/>
    <n v="100"/>
    <n v="47"/>
    <n v="0.78333333333333333"/>
    <d v="2025-03-17T00:00:00"/>
    <m/>
    <n v="1"/>
    <n v="100"/>
    <s v="PE"/>
    <s v="810557 REV4010001"/>
    <n v="0"/>
    <n v="100"/>
    <n v="0"/>
    <n v="0"/>
    <n v="0"/>
    <n v="0"/>
    <m/>
    <m/>
    <n v="0"/>
    <m/>
    <m/>
    <m/>
    <m/>
    <m/>
    <m/>
    <m/>
    <m/>
    <s v="810557 REV401"/>
    <s v="V22000"/>
    <s v="PT VARTA MICROBATTERY INDONESIA"/>
    <m/>
    <n v="0"/>
    <n v="0"/>
    <n v="0"/>
    <n v="0"/>
    <n v="0"/>
    <n v="0"/>
    <m/>
    <m/>
    <m/>
    <s v="No"/>
    <s v="W663156"/>
    <n v="0"/>
    <m/>
    <s v="V22000"/>
    <m/>
    <m/>
    <s v="ZSA101766"/>
  </r>
  <r>
    <x v="700"/>
    <n v="10000"/>
    <n v="10000"/>
    <d v="2025-03-17T00:00:00"/>
    <s v="502LAUGH"/>
    <d v="1899-12-30T12:58:49"/>
    <s v="D00086211"/>
    <m/>
    <x v="2"/>
    <s v="Yes"/>
    <n v="61"/>
    <s v="FSK 520"/>
    <x v="2"/>
    <s v="PM68"/>
    <s v="LEE KIM LIANG"/>
    <n v="100"/>
    <n v="47"/>
    <n v="0.78333333333333333"/>
    <d v="2025-03-17T00:00:00"/>
    <m/>
    <n v="1"/>
    <n v="100"/>
    <s v="PE"/>
    <s v="810558 REV4010001"/>
    <n v="0"/>
    <n v="100"/>
    <n v="0"/>
    <n v="0"/>
    <n v="0"/>
    <n v="0"/>
    <m/>
    <m/>
    <n v="0"/>
    <m/>
    <m/>
    <m/>
    <m/>
    <m/>
    <m/>
    <m/>
    <m/>
    <s v="810558 REV401"/>
    <s v="V22000"/>
    <s v="PT VARTA MICROBATTERY INDONESIA"/>
    <m/>
    <n v="0"/>
    <n v="0"/>
    <n v="0"/>
    <n v="0"/>
    <n v="0"/>
    <n v="0"/>
    <m/>
    <m/>
    <m/>
    <s v="No"/>
    <s v="W663157"/>
    <n v="0"/>
    <m/>
    <s v="V22000"/>
    <m/>
    <m/>
    <s v="ZSA101766"/>
  </r>
  <r>
    <x v="701"/>
    <n v="10000"/>
    <n v="10000"/>
    <d v="2025-03-17T00:00:00"/>
    <s v="502LAUGH"/>
    <s v=" 3:56:44 pm"/>
    <s v="3082510U9"/>
    <m/>
    <x v="2"/>
    <s v="Yes"/>
    <n v="61"/>
    <s v="FSK 520"/>
    <x v="2"/>
    <s v="PM68"/>
    <s v="LEE KIM LIANG"/>
    <n v="250"/>
    <n v="50"/>
    <n v="0.83333333333333337"/>
    <d v="2025-03-17T00:00:00"/>
    <m/>
    <n v="2"/>
    <n v="500"/>
    <s v="PE"/>
    <n v="107118930001"/>
    <n v="0"/>
    <n v="500"/>
    <n v="0"/>
    <n v="0"/>
    <n v="0"/>
    <n v="0"/>
    <m/>
    <m/>
    <n v="0"/>
    <m/>
    <m/>
    <m/>
    <m/>
    <m/>
    <m/>
    <m/>
    <m/>
    <n v="10711893"/>
    <s v="I09109"/>
    <s v="IKE TECHNOLOGY"/>
    <m/>
    <n v="0"/>
    <n v="0"/>
    <n v="0"/>
    <n v="0"/>
    <n v="0"/>
    <n v="0"/>
    <m/>
    <m/>
    <m/>
    <s v="No"/>
    <s v="W663162"/>
    <n v="0"/>
    <m/>
    <s v="I09109"/>
    <m/>
    <m/>
    <s v="S0361154"/>
  </r>
  <r>
    <x v="702"/>
    <n v="10000"/>
    <n v="10000"/>
    <d v="2025-03-18T00:00:00"/>
    <s v="502LAUGH"/>
    <s v=" 8:41:16 am"/>
    <s v="5011625U5"/>
    <m/>
    <x v="2"/>
    <s v="Yes"/>
    <n v="12"/>
    <s v="FSK SR520"/>
    <x v="2"/>
    <s v="PP05"/>
    <s v="WONG KIM FATT"/>
    <n v="10000"/>
    <n v="245"/>
    <n v="4.083333333333333"/>
    <d v="2025-03-17T00:00:00"/>
    <m/>
    <n v="2"/>
    <n v="20000"/>
    <s v="PE"/>
    <s v="260-6306-000001"/>
    <n v="0"/>
    <n v="20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3170"/>
    <n v="0"/>
    <m/>
    <s v="J10025"/>
    <m/>
    <m/>
    <s v="S0361164"/>
  </r>
  <r>
    <x v="703"/>
    <n v="10000"/>
    <n v="10000"/>
    <d v="2025-03-18T00:00:00"/>
    <s v="502LAUGH"/>
    <s v=" 8:41:16 am"/>
    <s v="5011629U5A"/>
    <m/>
    <x v="2"/>
    <s v="Yes"/>
    <n v="61"/>
    <s v="FSK 520"/>
    <x v="2"/>
    <s v="PM61"/>
    <s v="HO CHAN LE"/>
    <n v="3334"/>
    <n v="111.68"/>
    <n v="1.8613333333333335"/>
    <d v="2025-03-17T00:00:00"/>
    <m/>
    <n v="6"/>
    <n v="20004"/>
    <s v="PE"/>
    <s v="250-6237-000001"/>
    <n v="0"/>
    <n v="20000"/>
    <n v="4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3171"/>
    <n v="0"/>
    <m/>
    <s v="J10025"/>
    <m/>
    <m/>
    <s v="S0361169"/>
  </r>
  <r>
    <x v="704"/>
    <n v="10000"/>
    <n v="10000"/>
    <d v="2025-03-18T00:00:00"/>
    <s v="502LAUGH"/>
    <s v=" 8:43:58 am"/>
    <s v="5011629U5A"/>
    <m/>
    <x v="2"/>
    <s v="Yes"/>
    <n v="61"/>
    <s v="FSK 520"/>
    <x v="2"/>
    <s v="PM61"/>
    <s v="HO CHAN LE"/>
    <n v="3334"/>
    <n v="111.68"/>
    <n v="1.8613333333333335"/>
    <d v="2025-03-17T00:00:00"/>
    <m/>
    <n v="6"/>
    <n v="20004"/>
    <s v="PE"/>
    <s v="250-6237-000001"/>
    <n v="0"/>
    <n v="20000"/>
    <n v="4"/>
    <n v="0"/>
    <n v="0"/>
    <n v="0"/>
    <m/>
    <m/>
    <n v="0"/>
    <m/>
    <m/>
    <m/>
    <m/>
    <m/>
    <m/>
    <m/>
    <m/>
    <s v="250-6237-00"/>
    <s v="J10025"/>
    <s v="JMS SINGAPORE PTE LTD"/>
    <m/>
    <n v="0"/>
    <n v="0"/>
    <n v="0"/>
    <n v="0"/>
    <n v="0"/>
    <n v="0"/>
    <m/>
    <m/>
    <m/>
    <s v="No"/>
    <s v="W663180"/>
    <n v="0"/>
    <m/>
    <s v="J10025"/>
    <m/>
    <m/>
    <s v="S0361174"/>
  </r>
  <r>
    <x v="705"/>
    <n v="10000"/>
    <n v="10000"/>
    <d v="2025-03-18T00:00:00"/>
    <s v="502LAUGH"/>
    <s v=" 3:56:01 pm"/>
    <s v="5011629U5A"/>
    <m/>
    <x v="2"/>
    <s v="Yes"/>
    <n v="22"/>
    <s v="FSK B100"/>
    <x v="2"/>
    <s v="PS13"/>
    <s v="YEE CHENG MENG"/>
    <n v="20000"/>
    <n v="445"/>
    <n v="7.416666666666667"/>
    <d v="2025-03-17T00:00:00"/>
    <m/>
    <n v="2"/>
    <n v="40000"/>
    <s v="PE"/>
    <s v="260-6165-000001"/>
    <n v="0"/>
    <n v="4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708"/>
    <n v="0"/>
    <m/>
    <s v="J10025"/>
    <m/>
    <m/>
    <s v="S0361175"/>
  </r>
  <r>
    <x v="706"/>
    <n v="10000"/>
    <n v="10000"/>
    <d v="2025-03-17T00:00:00"/>
    <s v="502LAUGH"/>
    <s v=" 1:26:21 pm"/>
    <s v="4111526U5A"/>
    <m/>
    <x v="2"/>
    <s v="Yes"/>
    <n v="61"/>
    <s v="FSK 520"/>
    <x v="2"/>
    <s v="PM61"/>
    <s v="HO CHAN LE"/>
    <n v="3834"/>
    <n v="121.68"/>
    <n v="2.028"/>
    <d v="2025-03-17T00:00:00"/>
    <m/>
    <n v="6"/>
    <n v="23004"/>
    <s v="PE"/>
    <s v="260-6012-000001"/>
    <n v="0"/>
    <n v="23000"/>
    <n v="4"/>
    <n v="0"/>
    <n v="0"/>
    <n v="0"/>
    <m/>
    <m/>
    <n v="0"/>
    <m/>
    <m/>
    <m/>
    <m/>
    <m/>
    <m/>
    <m/>
    <m/>
    <s v="260-6012-00"/>
    <s v="J10025"/>
    <s v="JMS SINGAPORE PTE LTD"/>
    <m/>
    <n v="0"/>
    <n v="0"/>
    <n v="0"/>
    <n v="0"/>
    <n v="0"/>
    <n v="0"/>
    <m/>
    <m/>
    <m/>
    <s v="No"/>
    <s v="W664099"/>
    <n v="0"/>
    <m/>
    <s v="J10025"/>
    <m/>
    <m/>
    <s v="S0361185"/>
  </r>
  <r>
    <x v="707"/>
    <n v="10000"/>
    <n v="10000"/>
    <d v="2025-03-17T00:00:00"/>
    <s v="502LAUGH"/>
    <s v=" 5:40:13 pm"/>
    <s v="SG-5648184-01"/>
    <m/>
    <x v="2"/>
    <s v="Yes"/>
    <n v="65"/>
    <s v="Sanki SDR300"/>
    <x v="3"/>
    <s v="PMJ7"/>
    <s v="FOONG SEL YI"/>
    <n v="17648"/>
    <n v="486.2"/>
    <n v="8.1033333333333335"/>
    <d v="2025-03-17T00:00:00"/>
    <m/>
    <n v="17"/>
    <n v="300016"/>
    <s v="PE"/>
    <s v="BL-106X12MM-RFT0001"/>
    <n v="0"/>
    <n v="300000"/>
    <n v="16"/>
    <n v="0"/>
    <n v="0"/>
    <n v="0"/>
    <m/>
    <m/>
    <n v="0"/>
    <m/>
    <m/>
    <m/>
    <m/>
    <m/>
    <m/>
    <m/>
    <m/>
    <s v="BL-106X12MM-RFT"/>
    <s v="Z26000"/>
    <s v="CCL DESIGN SINGAPORE PTE LTD"/>
    <m/>
    <n v="0"/>
    <n v="0"/>
    <n v="0"/>
    <n v="0"/>
    <n v="0"/>
    <n v="0"/>
    <m/>
    <m/>
    <m/>
    <s v="No"/>
    <s v="W663181"/>
    <n v="0"/>
    <m/>
    <s v="Z26000"/>
    <m/>
    <m/>
    <s v="ZSA101767"/>
  </r>
  <r>
    <x v="597"/>
    <n v="10000"/>
    <n v="20000"/>
    <d v="2025-03-18T00:00:00"/>
    <s v="502LAUGH"/>
    <s v=" 8:33:35 am"/>
    <s v="4032510U5"/>
    <m/>
    <x v="0"/>
    <s v="Yes"/>
    <n v="92"/>
    <s v="Polly Digital Cut"/>
    <x v="6"/>
    <s v="PM87"/>
    <s v="LEE SHIEN WEI"/>
    <n v="200"/>
    <m/>
    <m/>
    <d v="2025-03-17T00:00:00"/>
    <m/>
    <n v="1"/>
    <n v="200"/>
    <s v="PE"/>
    <s v="810478 INDEX4000001"/>
    <n v="0"/>
    <n v="100"/>
    <n v="100"/>
    <n v="0"/>
    <n v="0"/>
    <n v="0"/>
    <m/>
    <m/>
    <n v="0"/>
    <m/>
    <m/>
    <m/>
    <m/>
    <m/>
    <m/>
    <m/>
    <m/>
    <s v="810478 INDEX400"/>
    <s v="V22000"/>
    <s v="PT VARTA MICROBATTERY INDONESIA"/>
    <m/>
    <n v="0"/>
    <n v="0"/>
    <n v="0"/>
    <n v="0"/>
    <n v="0"/>
    <n v="0"/>
    <m/>
    <m/>
    <m/>
    <s v="No"/>
    <s v="W663182"/>
    <n v="0"/>
    <m/>
    <s v="V22000"/>
    <m/>
    <m/>
    <s v="ZSA101768"/>
  </r>
  <r>
    <x v="708"/>
    <n v="10000"/>
    <n v="20000"/>
    <d v="2025-03-17T00:00:00"/>
    <s v="502LAUGH"/>
    <d v="1899-12-30T10:53:26"/>
    <s v="4063565121745/BYK066-02/XHX241228030/XHX24922A1401"/>
    <m/>
    <x v="2"/>
    <s v="Yes"/>
    <n v="95"/>
    <s v="HDS 8"/>
    <x v="3"/>
    <s v="PM40"/>
    <s v="NGOI CHUN YONG"/>
    <n v="27290"/>
    <n v="1409.5"/>
    <n v="23.491666666666667"/>
    <d v="2025-03-17T00:00:00"/>
    <m/>
    <n v="7"/>
    <n v="191030"/>
    <s v="PE"/>
    <n v="86.915900010000001"/>
    <n v="0"/>
    <n v="219000"/>
    <n v="-27970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3186"/>
    <n v="0"/>
    <m/>
    <s v="T20390-PMI"/>
    <m/>
    <m/>
    <s v="S0361200"/>
  </r>
  <r>
    <x v="599"/>
    <n v="10000"/>
    <n v="20000"/>
    <d v="2025-03-19T00:00:00"/>
    <s v="502LAUGH"/>
    <s v=" 1:42:16 pm"/>
    <s v="U522458002"/>
    <m/>
    <x v="0"/>
    <s v="Yes"/>
    <n v="92"/>
    <s v="Polly Digital Cut"/>
    <x v="6"/>
    <s v="PM87"/>
    <s v="LEE SHIEN WEI"/>
    <n v="6600"/>
    <m/>
    <m/>
    <d v="2025-03-17T00:00:00"/>
    <m/>
    <n v="1"/>
    <n v="6600"/>
    <s v="PE"/>
    <s v="STSS-PACKET0001"/>
    <n v="0"/>
    <n v="3000"/>
    <n v="3600"/>
    <n v="0"/>
    <n v="0"/>
    <n v="0"/>
    <m/>
    <m/>
    <n v="0"/>
    <m/>
    <m/>
    <m/>
    <m/>
    <m/>
    <m/>
    <m/>
    <m/>
    <s v="STSS-PACKET"/>
    <s v="T20300"/>
    <s v="TDF FOOD PTE LTD"/>
    <m/>
    <n v="0"/>
    <n v="0"/>
    <n v="0"/>
    <n v="0"/>
    <n v="0"/>
    <n v="0"/>
    <m/>
    <m/>
    <m/>
    <s v="No"/>
    <s v="W663189"/>
    <n v="0"/>
    <m/>
    <s v="T20300"/>
    <m/>
    <m/>
    <s v="S0361209"/>
  </r>
  <r>
    <x v="709"/>
    <n v="10000"/>
    <n v="10000"/>
    <d v="2025-03-17T00:00:00"/>
    <s v="502LAUGH"/>
    <d v="1899-12-30T12:58:49"/>
    <s v="SG-5647202 01"/>
    <m/>
    <x v="2"/>
    <s v="Yes"/>
    <n v="82"/>
    <s v="Polly"/>
    <x v="3"/>
    <s v="PM11"/>
    <s v="TEE MENG CHAI"/>
    <n v="703"/>
    <m/>
    <m/>
    <d v="2025-03-17T00:00:00"/>
    <m/>
    <n v="75"/>
    <n v="52700"/>
    <s v="PE"/>
    <n v="200302690001"/>
    <n v="0"/>
    <n v="52700"/>
    <n v="0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3203"/>
    <n v="0"/>
    <m/>
    <s v="I09180"/>
    <m/>
    <m/>
    <s v="S0361263"/>
  </r>
  <r>
    <x v="709"/>
    <n v="20000"/>
    <n v="10000"/>
    <d v="2025-03-17T00:00:00"/>
    <s v="502LAUGH"/>
    <d v="1899-12-30T12:58:49"/>
    <s v="SG-5647202 01"/>
    <m/>
    <x v="2"/>
    <s v="Yes"/>
    <n v="82"/>
    <s v="Polly"/>
    <x v="3"/>
    <s v="PM11"/>
    <s v="TEE MENG CHAI"/>
    <n v="703"/>
    <m/>
    <m/>
    <d v="2025-03-17T00:00:00"/>
    <m/>
    <n v="75"/>
    <n v="52700"/>
    <s v="PE"/>
    <n v="200302690001"/>
    <n v="0"/>
    <n v="52700"/>
    <n v="0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3203"/>
    <n v="0"/>
    <m/>
    <s v="I09180"/>
    <m/>
    <m/>
    <s v="S0361263"/>
  </r>
  <r>
    <x v="709"/>
    <n v="30000"/>
    <n v="10000"/>
    <d v="2025-03-17T00:00:00"/>
    <s v="502LAUGH"/>
    <d v="1899-12-30T12:58:49"/>
    <s v="SG-5647202 01"/>
    <m/>
    <x v="2"/>
    <s v="Yes"/>
    <n v="82"/>
    <s v="Polly"/>
    <x v="3"/>
    <s v="PM11"/>
    <s v="TEE MENG CHAI"/>
    <n v="703"/>
    <m/>
    <m/>
    <d v="2025-03-17T00:00:00"/>
    <m/>
    <n v="75"/>
    <n v="52700"/>
    <s v="PE"/>
    <n v="200302690001"/>
    <n v="0"/>
    <n v="52700"/>
    <n v="0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3203"/>
    <n v="0"/>
    <m/>
    <s v="I09180"/>
    <m/>
    <m/>
    <s v="S0361263"/>
  </r>
  <r>
    <x v="710"/>
    <n v="10000"/>
    <n v="10000"/>
    <d v="2025-03-17T00:00:00"/>
    <s v="502LAUGH"/>
    <s v=" 2:39:10 pm"/>
    <s v="SG-562754701"/>
    <m/>
    <x v="2"/>
    <s v="Yes"/>
    <n v="82"/>
    <s v="Polly"/>
    <x v="3"/>
    <s v="PM11"/>
    <s v="TEE MENG CHAI"/>
    <n v="385"/>
    <m/>
    <m/>
    <d v="2025-03-17T00:00:00"/>
    <m/>
    <n v="26"/>
    <n v="10004"/>
    <s v="PE"/>
    <n v="112023880001"/>
    <n v="0"/>
    <n v="10000"/>
    <n v="4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3205"/>
    <n v="0"/>
    <m/>
    <s v="I09180"/>
    <m/>
    <m/>
    <s v="S0361267"/>
  </r>
  <r>
    <x v="710"/>
    <n v="20000"/>
    <n v="10000"/>
    <d v="2025-03-17T00:00:00"/>
    <s v="502LAUGH"/>
    <s v=" 2:39:10 pm"/>
    <s v="SG-562754701"/>
    <m/>
    <x v="2"/>
    <s v="Yes"/>
    <n v="82"/>
    <s v="Polly"/>
    <x v="3"/>
    <s v="PM11"/>
    <s v="TEE MENG CHAI"/>
    <n v="385"/>
    <m/>
    <m/>
    <d v="2025-03-17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3205"/>
    <n v="0"/>
    <m/>
    <s v="I09180"/>
    <m/>
    <m/>
    <s v="S0361267"/>
  </r>
  <r>
    <x v="710"/>
    <n v="30000"/>
    <n v="10000"/>
    <d v="2025-03-17T00:00:00"/>
    <s v="502LAUGH"/>
    <s v=" 2:39:10 pm"/>
    <s v="SG-562754701"/>
    <m/>
    <x v="2"/>
    <s v="Yes"/>
    <n v="82"/>
    <s v="Polly"/>
    <x v="3"/>
    <s v="PM11"/>
    <s v="TEE MENG CHAI"/>
    <n v="385"/>
    <m/>
    <m/>
    <d v="2025-03-17T00:00:00"/>
    <m/>
    <n v="26"/>
    <n v="10000"/>
    <s v="PE"/>
    <n v="112023880001"/>
    <n v="0"/>
    <n v="1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3205"/>
    <n v="0"/>
    <m/>
    <s v="I09180"/>
    <m/>
    <m/>
    <s v="S0361267"/>
  </r>
  <r>
    <x v="711"/>
    <n v="10000"/>
    <n v="10000"/>
    <d v="2025-03-18T00:00:00"/>
    <s v="502LAUGH"/>
    <s v=" 1:30:32 pm"/>
    <s v="JOOQ284601525"/>
    <m/>
    <x v="2"/>
    <s v="Yes"/>
    <n v="82"/>
    <s v="Polly"/>
    <x v="3"/>
    <s v="PM11"/>
    <s v="TEE MENG CHAI"/>
    <n v="18750"/>
    <m/>
    <m/>
    <d v="2025-03-17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s v="BECTON DICKINSON MEDICAL (S) PTE LTD"/>
    <m/>
    <n v="0"/>
    <n v="0"/>
    <n v="0"/>
    <n v="0"/>
    <n v="0"/>
    <n v="0"/>
    <m/>
    <m/>
    <m/>
    <s v="No"/>
    <s v="W663208"/>
    <n v="0"/>
    <m/>
    <s v="B02083"/>
    <m/>
    <m/>
    <s v="S0361270"/>
  </r>
  <r>
    <x v="712"/>
    <n v="10000"/>
    <n v="10000"/>
    <d v="2025-03-17T00:00:00"/>
    <s v="502LAUGH"/>
    <s v=" 5:40:13 pm"/>
    <s v="SG-5645615-01"/>
    <m/>
    <x v="2"/>
    <s v="Yes"/>
    <n v="31"/>
    <s v="Sanki SKP250 Full Rotary"/>
    <x v="2"/>
    <s v="PS27"/>
    <s v="TAN TECK HEE"/>
    <n v="6000"/>
    <n v="195"/>
    <n v="3.25"/>
    <d v="2025-03-17T00:00:00"/>
    <m/>
    <n v="12"/>
    <n v="72000"/>
    <s v="PE"/>
    <n v="30220001"/>
    <n v="0"/>
    <n v="72000"/>
    <n v="0"/>
    <n v="0"/>
    <n v="0"/>
    <n v="0"/>
    <m/>
    <m/>
    <n v="0"/>
    <m/>
    <m/>
    <m/>
    <m/>
    <m/>
    <m/>
    <m/>
    <m/>
    <s v="A4 BLANK LABEL-12UPS"/>
    <s v="G07125"/>
    <s v="GLOBAL HARVEST PRECISION PTE LTD"/>
    <m/>
    <n v="0"/>
    <n v="0"/>
    <n v="0"/>
    <n v="0"/>
    <n v="0"/>
    <n v="0"/>
    <m/>
    <m/>
    <m/>
    <s v="No"/>
    <s v="W663209"/>
    <n v="0"/>
    <m/>
    <s v="G07125"/>
    <m/>
    <m/>
    <s v="S0361282"/>
  </r>
  <r>
    <x v="659"/>
    <n v="10000"/>
    <n v="20000"/>
    <d v="2025-03-18T00:00:00"/>
    <s v="502LAUGH"/>
    <s v=" 1:06:00 pm"/>
    <s v="U4B1958052"/>
    <m/>
    <x v="0"/>
    <s v="Yes"/>
    <n v="60"/>
    <s v="Fujishiko UDP-5000"/>
    <x v="3"/>
    <s v="PM30"/>
    <s v="OH KIAN YUAN"/>
    <n v="12000"/>
    <n v="285"/>
    <n v="4.75"/>
    <d v="2025-03-17T00:00:00"/>
    <m/>
    <n v="1"/>
    <n v="12000"/>
    <s v="PE"/>
    <n v="566860001"/>
    <n v="0"/>
    <n v="10000"/>
    <n v="2000"/>
    <n v="0"/>
    <n v="0"/>
    <n v="0"/>
    <m/>
    <m/>
    <n v="0"/>
    <m/>
    <m/>
    <m/>
    <m/>
    <m/>
    <m/>
    <m/>
    <m/>
    <n v="56686"/>
    <s v="P16120"/>
    <s v="PHOON HUAT PTE LTD"/>
    <m/>
    <n v="0"/>
    <n v="0"/>
    <n v="0"/>
    <n v="0"/>
    <n v="0"/>
    <n v="0"/>
    <m/>
    <m/>
    <m/>
    <s v="No"/>
    <s v="W663321"/>
    <n v="0"/>
    <m/>
    <s v="P16120"/>
    <m/>
    <m/>
    <s v="S0361283"/>
  </r>
  <r>
    <x v="713"/>
    <n v="10000"/>
    <n v="10000"/>
    <d v="2025-03-19T00:00:00"/>
    <s v="502LAUGH"/>
    <s v=" 4:02:22 pm"/>
    <n v="408232392"/>
    <m/>
    <x v="2"/>
    <s v="Yes"/>
    <n v="88"/>
    <s v="OKI"/>
    <x v="4"/>
    <s v="PP24"/>
    <s v="HO HON SENG"/>
    <n v="1800"/>
    <m/>
    <m/>
    <d v="2025-03-17T00:00:00"/>
    <m/>
    <n v="1"/>
    <n v="1800"/>
    <s v="PE"/>
    <n v="104484310001"/>
    <n v="0"/>
    <n v="1300"/>
    <n v="500"/>
    <n v="0"/>
    <n v="0"/>
    <n v="0"/>
    <m/>
    <m/>
    <n v="0"/>
    <m/>
    <m/>
    <m/>
    <m/>
    <m/>
    <m/>
    <m/>
    <m/>
    <n v="10448431"/>
    <s v="I09109"/>
    <s v="IKE TECHNOLOGY"/>
    <m/>
    <n v="0"/>
    <n v="0"/>
    <n v="0"/>
    <n v="0"/>
    <n v="0"/>
    <n v="0"/>
    <m/>
    <m/>
    <m/>
    <s v="No"/>
    <s v="W663322"/>
    <n v="0"/>
    <m/>
    <s v="I09109"/>
    <m/>
    <m/>
    <s v="S0361284"/>
  </r>
  <r>
    <x v="714"/>
    <n v="10000"/>
    <n v="10000"/>
    <d v="2025-03-18T00:00:00"/>
    <s v="502LAUGH"/>
    <s v=" 8:41:17 am"/>
    <s v="M0BSO3780"/>
    <m/>
    <x v="2"/>
    <s v="Yes"/>
    <n v="94"/>
    <s v="Taiyo"/>
    <x v="2"/>
    <s v="PM09"/>
    <s v="PANG JING FULL"/>
    <n v="250"/>
    <m/>
    <m/>
    <d v="2025-03-17T00:00:00"/>
    <m/>
    <n v="4"/>
    <n v="1000"/>
    <s v="PE"/>
    <s v="L001-773057-00000005"/>
    <n v="0"/>
    <n v="500"/>
    <n v="500"/>
    <n v="0"/>
    <n v="0"/>
    <n v="0"/>
    <m/>
    <m/>
    <n v="0"/>
    <m/>
    <m/>
    <m/>
    <m/>
    <m/>
    <m/>
    <m/>
    <m/>
    <s v="L001-773057-000005CM"/>
    <s v="X24001-WD-SUZHOU"/>
    <s v="TELEPLAN TECHNOLOGIES (SUZHOU) CO., LTD"/>
    <m/>
    <n v="0"/>
    <n v="0"/>
    <n v="0"/>
    <n v="0"/>
    <n v="0"/>
    <n v="0"/>
    <m/>
    <m/>
    <m/>
    <s v="No"/>
    <s v="W663324"/>
    <n v="0"/>
    <m/>
    <s v="X24001-WD-SUZHOU"/>
    <m/>
    <m/>
    <s v="S0361288"/>
  </r>
  <r>
    <x v="715"/>
    <n v="10000"/>
    <n v="20000"/>
    <d v="2025-03-21T00:00:00"/>
    <s v="505KANGHS"/>
    <s v=" 5:52:49 pm"/>
    <s v="M0BUR8601"/>
    <m/>
    <x v="2"/>
    <s v="Yes"/>
    <n v="65"/>
    <s v="Sanki SDR300"/>
    <x v="3"/>
    <s v="PMJ7"/>
    <s v="FOONG SEL YI"/>
    <n v="1250"/>
    <n v="76.25"/>
    <n v="1.2708333333333333"/>
    <d v="2025-03-17T00:00:00"/>
    <m/>
    <n v="4"/>
    <n v="5000"/>
    <s v="PE"/>
    <s v="0F26707 EC C28470001"/>
    <n v="0"/>
    <n v="5000"/>
    <n v="0"/>
    <n v="0"/>
    <n v="0"/>
    <n v="0"/>
    <m/>
    <m/>
    <n v="0"/>
    <m/>
    <m/>
    <m/>
    <m/>
    <m/>
    <m/>
    <m/>
    <m/>
    <s v="0F26707 EC C28477"/>
    <s v="X24001-WD-SUZHOU"/>
    <s v="TELEPLAN TECHNOLOGIES (SUZHOU) CO., LTD"/>
    <m/>
    <n v="0"/>
    <n v="0"/>
    <n v="0"/>
    <n v="0"/>
    <n v="0"/>
    <n v="0"/>
    <m/>
    <m/>
    <m/>
    <s v="No"/>
    <s v="W663325"/>
    <n v="0"/>
    <m/>
    <s v="X24001-WD-SUZHOU"/>
    <m/>
    <m/>
    <s v="S0361288"/>
  </r>
  <r>
    <x v="716"/>
    <n v="10000"/>
    <n v="10000"/>
    <d v="2025-03-18T00:00:00"/>
    <s v="502LAUGH"/>
    <s v=" 2:54:22 pm"/>
    <s v="5316405-03-02-02"/>
    <m/>
    <x v="2"/>
    <s v="Yes"/>
    <n v="63"/>
    <s v="SANKI"/>
    <x v="3"/>
    <s v="PM80"/>
    <s v="YAP ZHI PING"/>
    <n v="100"/>
    <n v="47.5"/>
    <n v="0.79166666666666663"/>
    <d v="2025-03-17T00:00:00"/>
    <m/>
    <n v="60"/>
    <n v="6000"/>
    <s v="PE"/>
    <s v="1124-790-00006RE0001"/>
    <n v="0"/>
    <n v="6000"/>
    <n v="0"/>
    <n v="0"/>
    <n v="0"/>
    <n v="0"/>
    <m/>
    <m/>
    <n v="0"/>
    <m/>
    <m/>
    <m/>
    <m/>
    <m/>
    <m/>
    <m/>
    <m/>
    <s v="1124-790-00006REVTH1"/>
    <s v="M13337-SMD"/>
    <s v="NMB-MINEBEA THAI LTD"/>
    <m/>
    <n v="0"/>
    <n v="0"/>
    <n v="0"/>
    <n v="0"/>
    <n v="0"/>
    <n v="0"/>
    <m/>
    <m/>
    <m/>
    <s v="No"/>
    <s v="W663213"/>
    <n v="0"/>
    <m/>
    <s v="M13337-SMD"/>
    <m/>
    <m/>
    <s v="S0361294"/>
  </r>
  <r>
    <x v="717"/>
    <n v="10000"/>
    <n v="10000"/>
    <d v="2025-03-18T00:00:00"/>
    <s v="502LAUGH"/>
    <s v=" 2:54:22 pm"/>
    <s v="5316405-03-02-02"/>
    <m/>
    <x v="2"/>
    <s v="Yes"/>
    <n v="63"/>
    <s v="SANKI"/>
    <x v="3"/>
    <s v="PM80"/>
    <s v="YAP ZHI PING"/>
    <n v="4"/>
    <n v="45.1"/>
    <n v="0.75166666666666671"/>
    <d v="2025-03-17T00:00:00"/>
    <m/>
    <n v="60"/>
    <n v="240"/>
    <s v="PE"/>
    <s v="1124-790-00006RE0001"/>
    <n v="0"/>
    <n v="182"/>
    <n v="58"/>
    <n v="0"/>
    <n v="0"/>
    <n v="0"/>
    <m/>
    <m/>
    <n v="0"/>
    <m/>
    <m/>
    <m/>
    <m/>
    <m/>
    <m/>
    <m/>
    <m/>
    <s v="1124-790-00006REVTH1"/>
    <s v="M13337-SMD"/>
    <s v="NMB-MINEBEA THAI LTD"/>
    <m/>
    <n v="0"/>
    <n v="0"/>
    <n v="0"/>
    <n v="0"/>
    <n v="0"/>
    <n v="0"/>
    <m/>
    <m/>
    <m/>
    <s v="No"/>
    <s v="W663765"/>
    <n v="0"/>
    <m/>
    <s v="M13337-SMD"/>
    <m/>
    <m/>
    <s v="ZSA101770"/>
  </r>
  <r>
    <x v="718"/>
    <n v="10000"/>
    <n v="10000"/>
    <d v="2025-03-21T00:00:00"/>
    <s v="502LAUGH"/>
    <s v=" 4:43:03 pm"/>
    <s v="D100924-013-002"/>
    <m/>
    <x v="2"/>
    <s v="Yes"/>
    <n v="86"/>
    <s v="Brotech DF330 "/>
    <x v="0"/>
    <s v="PM45"/>
    <s v="TAY CHIN LIONG"/>
    <n v="111667"/>
    <n v="1906.1166666666666"/>
    <n v="31.76861111111111"/>
    <d v="2025-03-17T00:00:00"/>
    <m/>
    <n v="54"/>
    <n v="6030018"/>
    <s v="PE"/>
    <n v="86083960001"/>
    <n v="0"/>
    <n v="6020000"/>
    <n v="10018"/>
    <n v="0"/>
    <n v="0"/>
    <n v="0"/>
    <m/>
    <m/>
    <n v="0"/>
    <m/>
    <m/>
    <m/>
    <m/>
    <m/>
    <m/>
    <m/>
    <m/>
    <n v="8608396"/>
    <s v="B02083"/>
    <s v="BECTON DICKINSON MEDICAL (S) PTE LTD"/>
    <m/>
    <n v="0"/>
    <n v="0"/>
    <n v="0"/>
    <n v="0"/>
    <n v="0"/>
    <n v="0"/>
    <m/>
    <m/>
    <m/>
    <s v="No"/>
    <s v="W663776"/>
    <n v="0"/>
    <m/>
    <s v="B02083"/>
    <m/>
    <m/>
    <s v="S0361362"/>
  </r>
  <r>
    <x v="719"/>
    <n v="10000"/>
    <n v="10000"/>
    <d v="2025-03-19T00:00:00"/>
    <s v="502LAUGH"/>
    <s v=" 5:19:56 pm"/>
    <s v="4103004U5A"/>
    <s v="FSC30839A"/>
    <x v="2"/>
    <s v="No"/>
    <n v="82"/>
    <s v="Polly"/>
    <x v="3"/>
    <s v="PM11"/>
    <s v="TEE MENG CHAI"/>
    <n v="5000"/>
    <m/>
    <m/>
    <d v="2025-03-18T00:00:00"/>
    <m/>
    <n v="6"/>
    <n v="3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791"/>
  </r>
  <r>
    <x v="720"/>
    <n v="10000"/>
    <n v="10000"/>
    <d v="2025-03-19T00:00:00"/>
    <s v="502LAUGH"/>
    <s v=" 5:19:56 pm"/>
    <s v="4103004U5A"/>
    <s v="FSC30839A"/>
    <x v="2"/>
    <s v="No"/>
    <n v="82"/>
    <s v="Polly"/>
    <x v="3"/>
    <s v="PM11"/>
    <s v="TEE MENG CHAI"/>
    <n v="5000"/>
    <m/>
    <m/>
    <d v="2025-03-18T00:00:00"/>
    <m/>
    <n v="6"/>
    <n v="3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792"/>
  </r>
  <r>
    <x v="492"/>
    <n v="10000"/>
    <n v="20000"/>
    <d v="2025-03-18T00:00:00"/>
    <s v="502LAUGH"/>
    <s v=" 5:35:19 pm"/>
    <s v="4180S1"/>
    <m/>
    <x v="2"/>
    <s v="Yes"/>
    <n v="95"/>
    <s v="HDS 8"/>
    <x v="3"/>
    <s v="PM40"/>
    <s v="NGOI CHUN YONG"/>
    <n v="3750"/>
    <n v="232.5"/>
    <n v="3.875"/>
    <d v="2025-03-18T00:00:00"/>
    <m/>
    <n v="8"/>
    <n v="30000"/>
    <s v="PE"/>
    <s v="R390-404 REV1.00001"/>
    <n v="0"/>
    <n v="27690"/>
    <n v="231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5"/>
    <n v="0"/>
    <m/>
    <s v="R18131"/>
    <m/>
    <m/>
    <s v="S0350338"/>
  </r>
  <r>
    <x v="721"/>
    <n v="10000"/>
    <n v="10000"/>
    <d v="2025-03-18T00:00:00"/>
    <s v="502LAUGH"/>
    <s v=" 5:33:54 pm"/>
    <s v="4180S1"/>
    <m/>
    <x v="2"/>
    <s v="Yes"/>
    <n v="95"/>
    <s v="HDS 8"/>
    <x v="3"/>
    <s v="PM40"/>
    <s v="NGOI CHUN YONG"/>
    <n v="7500"/>
    <n v="420"/>
    <n v="7"/>
    <d v="2025-03-18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6"/>
    <n v="0"/>
    <m/>
    <s v="R18131"/>
    <m/>
    <m/>
    <s v="S0350739"/>
  </r>
  <r>
    <x v="721"/>
    <n v="20000"/>
    <n v="10000"/>
    <d v="2025-03-18T00:00:00"/>
    <s v="502LAUGH"/>
    <s v=" 5:33:54 pm"/>
    <s v="4180S1"/>
    <m/>
    <x v="2"/>
    <s v="Yes"/>
    <n v="95"/>
    <s v="HDS 8"/>
    <x v="3"/>
    <s v="PM40"/>
    <s v="NGOI CHUN YONG"/>
    <n v="7500"/>
    <n v="420"/>
    <n v="7"/>
    <d v="2025-03-18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6"/>
    <n v="0"/>
    <m/>
    <s v="R18131"/>
    <m/>
    <m/>
    <s v="S0350739"/>
  </r>
  <r>
    <x v="722"/>
    <n v="10000"/>
    <n v="10000"/>
    <d v="2025-03-18T00:00:00"/>
    <s v="502LAUGH"/>
    <s v=" 5:33:54 pm"/>
    <s v="4180S1"/>
    <m/>
    <x v="2"/>
    <s v="Yes"/>
    <n v="95"/>
    <s v="HDS 8"/>
    <x v="3"/>
    <s v="PM40"/>
    <s v="NGOI CHUN YONG"/>
    <n v="7500"/>
    <n v="420"/>
    <n v="7"/>
    <d v="2025-03-18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8"/>
    <n v="0"/>
    <m/>
    <s v="R18131"/>
    <m/>
    <m/>
    <s v="S0351982"/>
  </r>
  <r>
    <x v="723"/>
    <n v="10000"/>
    <n v="10000"/>
    <d v="2025-03-19T00:00:00"/>
    <s v="502LAUGH"/>
    <s v=" 4:00:22 pm"/>
    <s v="4180S1"/>
    <m/>
    <x v="2"/>
    <s v="Yes"/>
    <n v="95"/>
    <s v="HDS 8"/>
    <x v="3"/>
    <s v="PM40"/>
    <s v="NGOI CHUN YONG"/>
    <n v="3750"/>
    <n v="232.5"/>
    <n v="3.875"/>
    <d v="2025-03-18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20"/>
    <n v="0"/>
    <m/>
    <s v="R18131"/>
    <m/>
    <m/>
    <s v="S0351985"/>
  </r>
  <r>
    <x v="724"/>
    <n v="10000"/>
    <n v="20000"/>
    <d v="2025-03-26T00:00:00"/>
    <s v="502LAUGH"/>
    <s v=" 2:57:40 pm"/>
    <s v="10567308042/10567308043/10567308046/10567308045"/>
    <m/>
    <x v="0"/>
    <s v="Yes"/>
    <n v="77"/>
    <s v="Brotech DF330 "/>
    <x v="0"/>
    <s v="PM74"/>
    <s v="YONG CHEE SOON"/>
    <n v="29723"/>
    <n v="540.38333333333333"/>
    <n v="9.006388888888889"/>
    <d v="2025-03-18T00:00:00"/>
    <m/>
    <n v="36"/>
    <n v="1070028"/>
    <s v="PE"/>
    <s v="5180-0102-BH2120001"/>
    <n v="0"/>
    <n v="1000000"/>
    <n v="70028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3522"/>
    <n v="0"/>
    <m/>
    <s v="H08031-JIM"/>
    <m/>
    <m/>
    <s v="S0353205"/>
  </r>
  <r>
    <x v="725"/>
    <n v="10000"/>
    <n v="10000"/>
    <d v="2025-03-18T00:00:00"/>
    <s v="502LAUGH"/>
    <s v=" 3:55:10 pm"/>
    <s v="XHX24B18A1408/XHX2410130003/XHX2412242227/BYG115-01/P/O49080"/>
    <m/>
    <x v="2"/>
    <s v="Yes"/>
    <n v="112"/>
    <s v="Hadesheng"/>
    <x v="3"/>
    <s v="PS07"/>
    <s v="KANG HOCK SENG"/>
    <n v="258"/>
    <n v="57.9"/>
    <n v="0.96499999999999997"/>
    <d v="2025-03-18T00:00:00"/>
    <m/>
    <n v="28"/>
    <n v="7224"/>
    <s v="PE"/>
    <s v="TPK-864087-00100001"/>
    <n v="0"/>
    <n v="7200"/>
    <n v="24"/>
    <n v="0"/>
    <n v="0"/>
    <n v="0"/>
    <m/>
    <m/>
    <n v="0"/>
    <m/>
    <m/>
    <m/>
    <m/>
    <m/>
    <m/>
    <m/>
    <m/>
    <s v="TPK-864087-0010"/>
    <s v="Z26002"/>
    <s v="CCL DESIGN (PENANG) SDN. BHD."/>
    <m/>
    <n v="0"/>
    <n v="0"/>
    <n v="0"/>
    <n v="0"/>
    <n v="0"/>
    <n v="0"/>
    <m/>
    <m/>
    <m/>
    <s v="No"/>
    <s v="W662941"/>
    <n v="0"/>
    <m/>
    <s v="Z26002"/>
    <m/>
    <m/>
    <s v="S0355950"/>
  </r>
  <r>
    <x v="726"/>
    <n v="10000"/>
    <n v="10000"/>
    <d v="2025-03-19T00:00:00"/>
    <s v="502LAUGH"/>
    <s v=" 8:31:48 am"/>
    <s v="J00T40070"/>
    <m/>
    <x v="2"/>
    <s v="Yes"/>
    <n v="73"/>
    <s v="Brotech DF330"/>
    <x v="0"/>
    <s v="PM59"/>
    <s v="VOON CHAN PIN"/>
    <n v="21750"/>
    <n v="407.5"/>
    <n v="6.791666666666667"/>
    <d v="2025-03-18T00:00:00"/>
    <m/>
    <n v="8"/>
    <n v="174000"/>
    <s v="PE"/>
    <s v="R001-41074 REV1.0001"/>
    <n v="0"/>
    <n v="174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3535"/>
    <n v="0"/>
    <m/>
    <s v="R18131"/>
    <m/>
    <m/>
    <s v="S0356649"/>
  </r>
  <r>
    <x v="727"/>
    <n v="10000"/>
    <n v="10000"/>
    <d v="2025-03-19T00:00:00"/>
    <s v="502LAUGH"/>
    <s v=" 2:26:23 pm"/>
    <s v="J00VU6300"/>
    <m/>
    <x v="2"/>
    <s v="Yes"/>
    <n v="111"/>
    <s v="Brotech"/>
    <x v="0"/>
    <s v="PM46"/>
    <s v="TAN CHEE CHUN"/>
    <n v="36000"/>
    <n v="645"/>
    <n v="10.75"/>
    <d v="2025-03-18T00:00:00"/>
    <m/>
    <n v="8"/>
    <n v="288000"/>
    <s v="PE"/>
    <s v="Z512 REV 6.00001"/>
    <n v="0"/>
    <n v="288000"/>
    <n v="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2944"/>
    <n v="0"/>
    <m/>
    <s v="R18131"/>
    <m/>
    <m/>
    <s v="S0357044"/>
  </r>
  <r>
    <x v="728"/>
    <n v="10000"/>
    <n v="10000"/>
    <d v="2025-03-20T00:00:00"/>
    <s v="502LAUGH"/>
    <s v=" 8:40:22 am"/>
    <s v="SG-564141001"/>
    <m/>
    <x v="2"/>
    <s v="Yes"/>
    <n v="73"/>
    <s v="Brotech DF330"/>
    <x v="0"/>
    <s v="PM18"/>
    <s v="LAI CHIN YANG"/>
    <n v="24000"/>
    <m/>
    <m/>
    <d v="2025-03-18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4070"/>
    <n v="0"/>
    <m/>
    <s v="B02083"/>
    <m/>
    <m/>
    <s v="S0357123"/>
  </r>
  <r>
    <x v="255"/>
    <n v="10000"/>
    <n v="40000"/>
    <d v="2025-03-20T00:00:00"/>
    <s v="502LAUGH"/>
    <s v=" 2:53:17 pm"/>
    <s v="SG-5619707 01"/>
    <m/>
    <x v="1"/>
    <s v="Yes"/>
    <n v="78"/>
    <s v="Baby Sanki"/>
    <x v="2"/>
    <s v="PM84"/>
    <s v="TAN TAI TOH"/>
    <n v="28000"/>
    <n v="745"/>
    <n v="12.416666666666666"/>
    <d v="2025-03-18T00:00:00"/>
    <m/>
    <n v="4"/>
    <n v="112000"/>
    <s v="PE"/>
    <n v="150636040001"/>
    <n v="0"/>
    <n v="112000"/>
    <n v="0"/>
    <n v="0"/>
    <n v="0"/>
    <n v="0"/>
    <m/>
    <m/>
    <n v="0"/>
    <m/>
    <m/>
    <m/>
    <m/>
    <m/>
    <m/>
    <m/>
    <m/>
    <n v="15063604"/>
    <s v="I09180-US"/>
    <s v="ILLUMINA CAMBRIDGE, LTD"/>
    <m/>
    <n v="0"/>
    <n v="0"/>
    <n v="0"/>
    <n v="0"/>
    <n v="0"/>
    <n v="0"/>
    <m/>
    <m/>
    <m/>
    <s v="No"/>
    <s v="W663541"/>
    <n v="0"/>
    <m/>
    <s v="I09180-US"/>
    <m/>
    <m/>
    <s v="S0357465"/>
  </r>
  <r>
    <x v="558"/>
    <n v="10000"/>
    <n v="40000"/>
    <d v="2025-03-18T00:00:00"/>
    <s v="502LAUGH"/>
    <s v=" 1:26:18 pm"/>
    <s v="M0BJB0050"/>
    <m/>
    <x v="0"/>
    <s v="Yes"/>
    <n v="86"/>
    <s v="Brotech DF330 "/>
    <x v="0"/>
    <s v="PM45"/>
    <s v="TAY CHIN LIONG"/>
    <n v="849"/>
    <n v="59.15"/>
    <n v="0.98583333333333334"/>
    <d v="2025-03-18T00:00:00"/>
    <m/>
    <n v="33"/>
    <n v="28017"/>
    <s v="PE"/>
    <s v="70106701-000001"/>
    <n v="0"/>
    <n v="9245"/>
    <n v="18772"/>
    <n v="0"/>
    <n v="0"/>
    <n v="0"/>
    <m/>
    <m/>
    <n v="0"/>
    <m/>
    <m/>
    <m/>
    <m/>
    <m/>
    <m/>
    <m/>
    <m/>
    <s v="70106701-00"/>
    <s v="S19403"/>
    <s v="MSD INTERNATIONAL GMBH"/>
    <m/>
    <n v="0"/>
    <n v="0"/>
    <n v="0"/>
    <n v="0"/>
    <n v="0"/>
    <n v="0"/>
    <m/>
    <m/>
    <m/>
    <s v="No"/>
    <s v="W662971"/>
    <n v="0"/>
    <m/>
    <s v="S19403"/>
    <m/>
    <m/>
    <s v="S0358451"/>
  </r>
  <r>
    <x v="729"/>
    <n v="10000"/>
    <n v="10000"/>
    <d v="2025-03-25T00:00:00"/>
    <s v="502LAUGH"/>
    <d v="1899-12-30T10:40:59"/>
    <s v="WO2024/5284/1012643/80116793/XHX24911A1407/XHX2412190201"/>
    <m/>
    <x v="2"/>
    <s v="Yes"/>
    <n v="103"/>
    <s v="HDS"/>
    <x v="3"/>
    <s v="PM23"/>
    <s v="LAI SHI LIN"/>
    <n v="56875"/>
    <n v="2888.75"/>
    <n v="48.145833333333336"/>
    <d v="2025-03-18T00:00:00"/>
    <m/>
    <n v="8"/>
    <n v="455000"/>
    <s v="PE"/>
    <s v="MT273730001"/>
    <n v="0"/>
    <n v="45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573"/>
    <n v="0"/>
    <m/>
    <s v="Z26002"/>
    <m/>
    <m/>
    <s v="S0359226"/>
  </r>
  <r>
    <x v="729"/>
    <n v="10000"/>
    <n v="20000"/>
    <d v="2025-03-25T00:00:00"/>
    <s v="502LAUGH"/>
    <d v="1899-12-30T10:40:59"/>
    <s v="WO2024/5284/1012643/80116793/XHX24911A1407/XHX2412190201"/>
    <m/>
    <x v="2"/>
    <s v="Yes"/>
    <n v="103"/>
    <s v="HDS"/>
    <x v="3"/>
    <s v="PM41"/>
    <s v="CHONG WEN XUEN"/>
    <n v="33125"/>
    <m/>
    <m/>
    <d v="2025-03-18T00:00:00"/>
    <m/>
    <n v="8"/>
    <n v="265000"/>
    <s v="PE"/>
    <s v="MT273730001"/>
    <n v="0"/>
    <n v="26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573"/>
    <n v="0"/>
    <m/>
    <s v="Z26002"/>
    <m/>
    <m/>
    <s v="S0359226"/>
  </r>
  <r>
    <x v="729"/>
    <n v="20000"/>
    <n v="10000"/>
    <d v="2025-03-25T00:00:00"/>
    <s v="502LAUGH"/>
    <d v="1899-12-30T10:40:59"/>
    <s v="WO2024/5284/1012643/80116793/XHX24911A1407/XHX2412190201"/>
    <m/>
    <x v="2"/>
    <s v="Yes"/>
    <n v="103"/>
    <s v="HDS"/>
    <x v="3"/>
    <s v="PM41"/>
    <s v="CHONG WEN XUEN"/>
    <n v="24375"/>
    <m/>
    <m/>
    <d v="2025-03-18T00:00:00"/>
    <m/>
    <n v="8"/>
    <n v="195000"/>
    <s v="PE"/>
    <s v="MT273730001"/>
    <n v="0"/>
    <n v="19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573"/>
    <n v="0"/>
    <m/>
    <s v="Z26002"/>
    <m/>
    <m/>
    <s v="S0359226"/>
  </r>
  <r>
    <x v="201"/>
    <n v="10000"/>
    <n v="40000"/>
    <d v="2025-03-24T00:00:00"/>
    <s v="502LAUGH"/>
    <s v=" 9:00:01 am"/>
    <s v="10620258036/10620258032/106202568030"/>
    <m/>
    <x v="1"/>
    <s v="Yes"/>
    <n v="85"/>
    <s v="Luster AOI"/>
    <x v="1"/>
    <s v="QM78"/>
    <s v="WONG SEAU JIN"/>
    <n v="20000"/>
    <m/>
    <m/>
    <d v="2025-03-18T00:00:00"/>
    <m/>
    <n v="11"/>
    <n v="220000"/>
    <s v="PE"/>
    <s v="N9J89-80007-BH180001"/>
    <n v="0"/>
    <n v="200000"/>
    <n v="2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580"/>
    <n v="0"/>
    <m/>
    <s v="H08031-JIM-M"/>
    <m/>
    <m/>
    <s v="S0359278"/>
  </r>
  <r>
    <x v="206"/>
    <n v="10000"/>
    <n v="30000"/>
    <d v="2025-03-19T00:00:00"/>
    <s v="505KANGHS"/>
    <s v=" 8:37:16 am"/>
    <s v="10620258036/10620258032/10620258030"/>
    <m/>
    <x v="1"/>
    <s v="Yes"/>
    <n v="85"/>
    <s v="Luster AOI"/>
    <x v="1"/>
    <s v="QM78"/>
    <s v="WONG SEAU JIN"/>
    <n v="10000"/>
    <m/>
    <m/>
    <d v="2025-03-18T00:00:00"/>
    <m/>
    <n v="11"/>
    <n v="110000"/>
    <s v="PE"/>
    <s v="CH564-80132-FT0001"/>
    <n v="0"/>
    <n v="100000"/>
    <n v="10000"/>
    <n v="0"/>
    <n v="0"/>
    <n v="0"/>
    <m/>
    <m/>
    <n v="0"/>
    <m/>
    <m/>
    <m/>
    <m/>
    <m/>
    <m/>
    <m/>
    <m/>
    <s v="CH564-80132-FT"/>
    <s v="H08031-JIM-M"/>
    <s v="HP MALAYSIA MANUFACTURING SDN.BHD."/>
    <m/>
    <n v="0"/>
    <n v="0"/>
    <n v="0"/>
    <n v="0"/>
    <n v="0"/>
    <n v="0"/>
    <m/>
    <m/>
    <m/>
    <s v="No"/>
    <s v="W663013"/>
    <n v="0"/>
    <m/>
    <s v="H08031-JIM-M"/>
    <m/>
    <m/>
    <s v="S0359289"/>
  </r>
  <r>
    <x v="681"/>
    <n v="10000"/>
    <n v="30000"/>
    <d v="2025-03-18T00:00:00"/>
    <s v="502LAUGH"/>
    <s v=" 2:16:50 pm"/>
    <s v="D007Y0280/D007Y0380"/>
    <m/>
    <x v="1"/>
    <s v="Yes"/>
    <n v="91"/>
    <s v="Luster AOI"/>
    <x v="1"/>
    <s v="QM54"/>
    <s v="TAN SWEE LENG"/>
    <n v="62000"/>
    <m/>
    <m/>
    <d v="2025-03-18T00:00:00"/>
    <m/>
    <n v="5"/>
    <n v="310000"/>
    <s v="PE"/>
    <s v="6ZE05-80002-FT0001"/>
    <n v="0"/>
    <n v="300000"/>
    <n v="100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3014"/>
    <n v="0"/>
    <m/>
    <s v="H08031-JIM-M"/>
    <m/>
    <m/>
    <s v="S0359293"/>
  </r>
  <r>
    <x v="500"/>
    <n v="10000"/>
    <n v="30000"/>
    <d v="2025-03-20T00:00:00"/>
    <s v="502LAUGH"/>
    <s v=" 8:32:47 am"/>
    <s v="10639931005/10639931006"/>
    <m/>
    <x v="1"/>
    <s v="Yes"/>
    <n v="85"/>
    <s v="Luster AOI"/>
    <x v="1"/>
    <s v="QM54"/>
    <s v="TAN SWEE LENG"/>
    <n v="73636"/>
    <m/>
    <m/>
    <d v="2025-03-18T00:00:00"/>
    <m/>
    <n v="11"/>
    <n v="809996"/>
    <s v="PE"/>
    <s v="3YM60-80017-FT0001"/>
    <n v="0"/>
    <n v="770000"/>
    <n v="39996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3301"/>
    <n v="0"/>
    <m/>
    <s v="H08031-JIM-M"/>
    <m/>
    <m/>
    <s v="S0359295"/>
  </r>
  <r>
    <x v="730"/>
    <n v="10000"/>
    <n v="10000"/>
    <d v="2025-03-20T00:00:00"/>
    <s v="502LAUGH"/>
    <s v=" 8:34:45 am"/>
    <s v="49109/24F1310472"/>
    <m/>
    <x v="2"/>
    <s v="Yes"/>
    <n v="60"/>
    <s v="Fujishiko UDP-5000"/>
    <x v="3"/>
    <s v="PM30"/>
    <s v="OH KIAN YUAN"/>
    <n v="9152"/>
    <n v="228.04"/>
    <n v="3.8006666666666664"/>
    <d v="2025-03-18T00:00:00"/>
    <m/>
    <n v="10"/>
    <n v="91520"/>
    <s v="PE"/>
    <s v="TPK-888450-00100001"/>
    <n v="0"/>
    <n v="91520"/>
    <n v="0"/>
    <n v="0"/>
    <n v="0"/>
    <n v="0"/>
    <m/>
    <m/>
    <n v="0"/>
    <m/>
    <m/>
    <m/>
    <m/>
    <m/>
    <m/>
    <m/>
    <m/>
    <s v="TPK-888450-0010"/>
    <s v="Z26002"/>
    <s v="CCL DESIGN (PENANG) SDN. BHD."/>
    <m/>
    <n v="0"/>
    <n v="0"/>
    <n v="0"/>
    <n v="0"/>
    <n v="0"/>
    <n v="0"/>
    <m/>
    <m/>
    <m/>
    <s v="No"/>
    <s v="W663019"/>
    <n v="0"/>
    <m/>
    <s v="Z26002"/>
    <m/>
    <m/>
    <s v="S0359308"/>
  </r>
  <r>
    <x v="731"/>
    <n v="10000"/>
    <n v="10000"/>
    <d v="2025-03-19T00:00:00"/>
    <s v="502LAUGH"/>
    <d v="1899-12-30T10:49:20"/>
    <s v="M0BSO3780"/>
    <m/>
    <x v="2"/>
    <s v="Yes"/>
    <n v="94"/>
    <s v="Taiyo"/>
    <x v="2"/>
    <s v="PM09"/>
    <s v="PANG JING FULL"/>
    <n v="10000"/>
    <m/>
    <m/>
    <d v="2025-03-18T00:00:00"/>
    <m/>
    <n v="4"/>
    <n v="40000"/>
    <s v="PE"/>
    <s v="L001-773057-00000005"/>
    <n v="0"/>
    <n v="40000"/>
    <n v="0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3302"/>
    <n v="0"/>
    <m/>
    <s v="W23041-TH"/>
    <m/>
    <m/>
    <s v="H0064674"/>
  </r>
  <r>
    <x v="221"/>
    <n v="10000"/>
    <n v="30000"/>
    <d v="2025-03-19T00:00:00"/>
    <s v="505KANGHS"/>
    <s v=" 8:35:16 am"/>
    <s v="10620258036/10620258032/10620258030"/>
    <m/>
    <x v="1"/>
    <s v="Yes"/>
    <n v="85"/>
    <s v="Luster AOI"/>
    <x v="1"/>
    <s v="QM78"/>
    <s v="WONG SEAU JIN"/>
    <n v="10000"/>
    <m/>
    <m/>
    <d v="2025-03-18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034"/>
    <n v="0"/>
    <m/>
    <s v="H08031-JIM-M"/>
    <m/>
    <m/>
    <s v="S0359819"/>
  </r>
  <r>
    <x v="239"/>
    <n v="10000"/>
    <n v="30000"/>
    <d v="2025-03-19T00:00:00"/>
    <s v="502LAUGH"/>
    <s v=" 8:37:08 am"/>
    <s v="10620258036/10620258032/10620258030"/>
    <m/>
    <x v="1"/>
    <s v="Yes"/>
    <n v="85"/>
    <s v="Luster AOI"/>
    <x v="1"/>
    <s v="QM78"/>
    <s v="WONG SEAU JIN"/>
    <n v="20000"/>
    <m/>
    <m/>
    <d v="2025-03-18T00:00:00"/>
    <m/>
    <n v="11"/>
    <n v="220000"/>
    <s v="PE"/>
    <s v="3YM77-80008-FT0001"/>
    <n v="0"/>
    <n v="200000"/>
    <n v="2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3626"/>
    <n v="0"/>
    <m/>
    <s v="H08031-JIM-M"/>
    <m/>
    <m/>
    <s v="S0360912"/>
  </r>
  <r>
    <x v="241"/>
    <n v="10000"/>
    <n v="30000"/>
    <d v="2025-03-19T00:00:00"/>
    <s v="505KANGHS"/>
    <s v=" 8:33:10 am"/>
    <s v="10620258036/10620258032/10620258030"/>
    <m/>
    <x v="1"/>
    <s v="Yes"/>
    <n v="85"/>
    <s v="Luster AOI"/>
    <x v="1"/>
    <s v="QM78"/>
    <s v="WONG SEAU JIN"/>
    <n v="10000"/>
    <m/>
    <m/>
    <d v="2025-03-18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3628"/>
    <n v="0"/>
    <m/>
    <s v="H08031-JIM-M"/>
    <m/>
    <m/>
    <s v="S0360914"/>
  </r>
  <r>
    <x v="242"/>
    <n v="10000"/>
    <n v="30000"/>
    <d v="2025-03-19T00:00:00"/>
    <s v="502LAUGH"/>
    <s v=" 8:36:00 am"/>
    <s v="10620258036/10620258032/10620258030"/>
    <m/>
    <x v="1"/>
    <s v="Yes"/>
    <n v="85"/>
    <s v="Luster AOI"/>
    <x v="1"/>
    <s v="QM78"/>
    <s v="WONG SEAU JIN"/>
    <n v="20000"/>
    <m/>
    <m/>
    <d v="2025-03-18T00:00:00"/>
    <m/>
    <n v="11"/>
    <n v="220000"/>
    <s v="PE"/>
    <s v="3YM54-80005-FT0001"/>
    <n v="0"/>
    <n v="200000"/>
    <n v="2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3630"/>
    <n v="0"/>
    <m/>
    <s v="H08031-JIM-M"/>
    <m/>
    <m/>
    <s v="S0360918"/>
  </r>
  <r>
    <x v="243"/>
    <n v="10000"/>
    <n v="30000"/>
    <d v="2025-03-19T00:00:00"/>
    <s v="505KANGHS"/>
    <s v=" 8:35:16 am"/>
    <s v="10620258036/10620258032/10620258030"/>
    <m/>
    <x v="1"/>
    <s v="Yes"/>
    <n v="85"/>
    <s v="Luster AOI"/>
    <x v="1"/>
    <s v="QM78"/>
    <s v="WONG SEAU JIN"/>
    <n v="20000"/>
    <m/>
    <m/>
    <d v="2025-03-18T00:00:00"/>
    <m/>
    <n v="11"/>
    <n v="220000"/>
    <s v="PE"/>
    <s v="CH562-80136-FT0001"/>
    <n v="0"/>
    <n v="200000"/>
    <n v="20000"/>
    <n v="0"/>
    <n v="0"/>
    <n v="0"/>
    <m/>
    <m/>
    <n v="0"/>
    <m/>
    <m/>
    <m/>
    <m/>
    <m/>
    <m/>
    <m/>
    <m/>
    <s v="CH562-80136-FT"/>
    <s v="H08031-JIM-M"/>
    <s v="HP MALAYSIA MANUFACTURING SDN.BHD."/>
    <m/>
    <n v="0"/>
    <n v="0"/>
    <n v="0"/>
    <n v="0"/>
    <n v="0"/>
    <n v="0"/>
    <m/>
    <m/>
    <m/>
    <s v="No"/>
    <s v="W663307"/>
    <n v="0"/>
    <m/>
    <s v="H08031-JIM-M"/>
    <m/>
    <m/>
    <s v="S0360919"/>
  </r>
  <r>
    <x v="732"/>
    <n v="10000"/>
    <n v="10000"/>
    <d v="2025-03-19T00:00:00"/>
    <s v="502LAUGH"/>
    <s v=" 8:38:49 am"/>
    <s v="4177S1"/>
    <m/>
    <x v="2"/>
    <s v="Yes"/>
    <n v="65"/>
    <s v="Sanki SDR300"/>
    <x v="3"/>
    <s v="PMJ7"/>
    <s v="FOONG SEL YI"/>
    <n v="1667"/>
    <n v="86.674999999999997"/>
    <n v="1.4445833333333333"/>
    <d v="2025-03-18T00:00:00"/>
    <m/>
    <n v="30"/>
    <n v="50010"/>
    <s v="PE"/>
    <s v="250-8012-010001"/>
    <n v="0"/>
    <n v="50000"/>
    <n v="10"/>
    <n v="0"/>
    <n v="0"/>
    <n v="0"/>
    <m/>
    <m/>
    <n v="0"/>
    <m/>
    <m/>
    <m/>
    <m/>
    <m/>
    <m/>
    <m/>
    <m/>
    <s v="250-8012-01"/>
    <s v="J10025"/>
    <s v="JMS SINGAPORE PTE LTD"/>
    <m/>
    <n v="0"/>
    <n v="0"/>
    <n v="0"/>
    <n v="0"/>
    <n v="0"/>
    <n v="0"/>
    <m/>
    <m/>
    <m/>
    <s v="No"/>
    <s v="W663641"/>
    <n v="0"/>
    <m/>
    <s v="J10025"/>
    <m/>
    <m/>
    <s v="S0361007"/>
  </r>
  <r>
    <x v="733"/>
    <n v="10000"/>
    <n v="10000"/>
    <d v="2025-03-19T00:00:00"/>
    <s v="502LAUGH"/>
    <s v=" 8:38:49 am"/>
    <s v="4177S1"/>
    <m/>
    <x v="2"/>
    <s v="Yes"/>
    <n v="65"/>
    <s v="Sanki SDR300"/>
    <x v="3"/>
    <s v="PMJ7"/>
    <s v="FOONG SEL YI"/>
    <n v="1667"/>
    <n v="86.674999999999997"/>
    <n v="1.4445833333333333"/>
    <d v="2025-03-18T00:00:00"/>
    <m/>
    <n v="30"/>
    <n v="50010"/>
    <s v="PE"/>
    <s v="250-8012-010001"/>
    <n v="0"/>
    <n v="50000"/>
    <n v="10"/>
    <n v="0"/>
    <n v="0"/>
    <n v="0"/>
    <m/>
    <m/>
    <n v="0"/>
    <m/>
    <m/>
    <m/>
    <m/>
    <m/>
    <m/>
    <m/>
    <m/>
    <s v="250-8012-01"/>
    <s v="J10025"/>
    <s v="JMS SINGAPORE PTE LTD"/>
    <m/>
    <n v="0"/>
    <n v="0"/>
    <n v="0"/>
    <n v="0"/>
    <n v="0"/>
    <n v="0"/>
    <m/>
    <m/>
    <m/>
    <s v="No"/>
    <s v="W663642"/>
    <n v="0"/>
    <m/>
    <s v="J10025"/>
    <m/>
    <m/>
    <s v="S0361009"/>
  </r>
  <r>
    <x v="734"/>
    <n v="10000"/>
    <n v="10000"/>
    <d v="2025-03-19T00:00:00"/>
    <s v="502LAUGH"/>
    <s v=" 8:58:46 am"/>
    <s v="E0223920"/>
    <m/>
    <x v="2"/>
    <s v="Yes"/>
    <n v="63"/>
    <s v="SANKI"/>
    <x v="3"/>
    <s v="PM80"/>
    <s v="YAP ZHI PING"/>
    <n v="6000"/>
    <n v="195"/>
    <n v="3.25"/>
    <d v="2025-03-18T00:00:00"/>
    <m/>
    <n v="90"/>
    <n v="540000"/>
    <s v="PE"/>
    <s v="1115-790-00001 R0001"/>
    <n v="0"/>
    <n v="540000"/>
    <n v="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3077"/>
    <n v="0"/>
    <m/>
    <s v="M13337-SMD"/>
    <m/>
    <m/>
    <s v="S0358392"/>
  </r>
  <r>
    <x v="735"/>
    <n v="10000"/>
    <n v="10000"/>
    <d v="2025-03-19T00:00:00"/>
    <s v="502LAUGH"/>
    <s v=" 8:58:46 am"/>
    <s v="5305412-04-05-02"/>
    <m/>
    <x v="2"/>
    <s v="Yes"/>
    <n v="63"/>
    <s v="SANKI"/>
    <x v="3"/>
    <s v="PM80"/>
    <s v="YAP ZHI PING"/>
    <n v="2275"/>
    <n v="101.875"/>
    <n v="1.6979166666666667"/>
    <d v="2025-03-18T00:00:00"/>
    <m/>
    <n v="40"/>
    <n v="91000"/>
    <s v="PE"/>
    <s v="1124-790-00008 R0001"/>
    <n v="0"/>
    <n v="91000"/>
    <n v="0"/>
    <n v="0"/>
    <n v="0"/>
    <n v="0"/>
    <m/>
    <m/>
    <n v="0"/>
    <m/>
    <m/>
    <m/>
    <m/>
    <m/>
    <m/>
    <m/>
    <m/>
    <s v="1124-790-00008 REVB"/>
    <s v="M13337-SMD"/>
    <s v="NMB-MINEBEA THAI LTD"/>
    <m/>
    <n v="0"/>
    <n v="0"/>
    <n v="0"/>
    <n v="0"/>
    <n v="0"/>
    <n v="0"/>
    <m/>
    <m/>
    <m/>
    <s v="No"/>
    <s v="W663078"/>
    <n v="0"/>
    <m/>
    <s v="M13337-SMD"/>
    <m/>
    <m/>
    <s v="S0358392"/>
  </r>
  <r>
    <x v="457"/>
    <n v="10000"/>
    <n v="20000"/>
    <d v="2025-03-19T00:00:00"/>
    <s v="502LAUGH"/>
    <d v="1899-12-30T10:50:18"/>
    <s v="U530558077/4816U8013"/>
    <m/>
    <x v="0"/>
    <s v="Yes"/>
    <n v="105"/>
    <s v="Laser"/>
    <x v="5"/>
    <s v="PM87"/>
    <s v="LEE SHIEN WEI"/>
    <n v="2000"/>
    <m/>
    <m/>
    <d v="2025-03-18T00:00:00"/>
    <m/>
    <n v="1"/>
    <n v="2000"/>
    <s v="PE"/>
    <s v="CHUBB- 65MMX95MM0001"/>
    <n v="0"/>
    <n v="2000"/>
    <n v="0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3079"/>
    <n v="0"/>
    <m/>
    <s v="P16194"/>
    <m/>
    <m/>
    <s v="S0361028"/>
  </r>
  <r>
    <x v="736"/>
    <n v="10000"/>
    <n v="20000"/>
    <d v="2025-03-20T00:00:00"/>
    <s v="502LAUGH"/>
    <d v="1899-12-30T12:59:11"/>
    <n v="8628207"/>
    <m/>
    <x v="2"/>
    <s v="Yes"/>
    <n v="63"/>
    <s v="SANKI"/>
    <x v="3"/>
    <s v="PM80"/>
    <s v="YAP ZHI PING"/>
    <n v="8572"/>
    <n v="259.3"/>
    <n v="4.3216666666666672"/>
    <d v="2025-03-18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3100"/>
    <n v="0"/>
    <m/>
    <s v="S19314"/>
    <m/>
    <m/>
    <s v="H0064744"/>
  </r>
  <r>
    <x v="737"/>
    <n v="10000"/>
    <n v="10000"/>
    <d v="2025-03-20T00:00:00"/>
    <s v="502LAUGH"/>
    <s v=" 8:39:10 am"/>
    <s v="L5114U8024/405172625"/>
    <m/>
    <x v="2"/>
    <s v="Yes"/>
    <n v="78"/>
    <s v="Baby Sanki"/>
    <x v="2"/>
    <s v="PM84"/>
    <s v="TAN TAI TOH"/>
    <n v="1000"/>
    <n v="70"/>
    <n v="1.1666666666666667"/>
    <d v="2025-03-18T00:00:00"/>
    <m/>
    <n v="2"/>
    <n v="2000"/>
    <s v="PE"/>
    <s v="TSMC00350020001"/>
    <n v="0"/>
    <n v="400"/>
    <n v="1600"/>
    <n v="0"/>
    <n v="0"/>
    <n v="0"/>
    <m/>
    <m/>
    <n v="0"/>
    <m/>
    <m/>
    <m/>
    <m/>
    <m/>
    <m/>
    <m/>
    <m/>
    <s v="TSMC0035002"/>
    <s v="T20104"/>
    <s v="TOSHIBA TEC SINGAPORE PTE LTD"/>
    <m/>
    <n v="0"/>
    <n v="0"/>
    <n v="0"/>
    <n v="0"/>
    <n v="0"/>
    <n v="0"/>
    <m/>
    <m/>
    <m/>
    <s v="No"/>
    <s v="W663663"/>
    <n v="0"/>
    <m/>
    <s v="T20104"/>
    <m/>
    <m/>
    <s v="S0361067"/>
  </r>
  <r>
    <x v="738"/>
    <n v="10000"/>
    <n v="10000"/>
    <d v="2025-03-19T00:00:00"/>
    <s v="502LAUGH"/>
    <s v=" 8:57:17 am"/>
    <s v="2968379-001/L4802U8017"/>
    <m/>
    <x v="2"/>
    <s v="Yes"/>
    <n v="61"/>
    <s v="FSK 520"/>
    <x v="2"/>
    <s v="PM68"/>
    <s v="LEE KIM LIANG"/>
    <n v="1000"/>
    <n v="65"/>
    <n v="1.0833333333333333"/>
    <d v="2025-03-18T00:00:00"/>
    <m/>
    <n v="1"/>
    <n v="1000"/>
    <s v="PE"/>
    <s v="TSMC00351030001"/>
    <n v="0"/>
    <n v="1000"/>
    <n v="0"/>
    <n v="0"/>
    <n v="0"/>
    <n v="0"/>
    <m/>
    <m/>
    <n v="0"/>
    <m/>
    <m/>
    <m/>
    <m/>
    <m/>
    <m/>
    <m/>
    <m/>
    <s v="TSMC0035103"/>
    <s v="T20104"/>
    <s v="TOSHIBA TEC SINGAPORE PTE LTD"/>
    <m/>
    <n v="0"/>
    <n v="0"/>
    <n v="0"/>
    <n v="0"/>
    <n v="0"/>
    <n v="0"/>
    <m/>
    <m/>
    <m/>
    <s v="No"/>
    <s v="W663122"/>
    <n v="0"/>
    <m/>
    <s v="T20104"/>
    <m/>
    <m/>
    <s v="S0361067"/>
  </r>
  <r>
    <x v="739"/>
    <n v="10000"/>
    <n v="10000"/>
    <d v="2025-03-19T00:00:00"/>
    <s v="505KANGHS"/>
    <s v=" 8:38:48 am"/>
    <s v="4110602U5A"/>
    <m/>
    <x v="2"/>
    <s v="Yes"/>
    <n v="46"/>
    <s v="Sanki 300 Intermittent"/>
    <x v="2"/>
    <s v="PS66"/>
    <s v="SIM ENG KWANG"/>
    <n v="1000"/>
    <n v="70"/>
    <n v="1.1666666666666667"/>
    <d v="2025-03-18T00:00:00"/>
    <m/>
    <n v="1"/>
    <n v="1000"/>
    <s v="PE"/>
    <s v="250-6247-000001"/>
    <n v="0"/>
    <n v="1000"/>
    <n v="0"/>
    <n v="0"/>
    <n v="0"/>
    <n v="0"/>
    <m/>
    <m/>
    <n v="0"/>
    <m/>
    <m/>
    <m/>
    <m/>
    <m/>
    <m/>
    <m/>
    <m/>
    <s v="250-6247-00"/>
    <s v="J10025"/>
    <s v="JMS SINGAPORE PTE LTD"/>
    <m/>
    <n v="0"/>
    <n v="0"/>
    <n v="0"/>
    <n v="0"/>
    <n v="0"/>
    <n v="0"/>
    <m/>
    <m/>
    <m/>
    <s v="No"/>
    <s v="W663133"/>
    <n v="0"/>
    <m/>
    <s v="J10025"/>
    <m/>
    <m/>
    <s v="S0361085"/>
  </r>
  <r>
    <x v="740"/>
    <n v="10000"/>
    <n v="10000"/>
    <d v="2025-03-18T00:00:00"/>
    <s v="502LAUGH"/>
    <s v=" 5:27:42 pm"/>
    <s v="4112304U5A"/>
    <m/>
    <x v="2"/>
    <s v="Yes"/>
    <n v="46"/>
    <s v="Sanki 300 Intermittent"/>
    <x v="2"/>
    <s v="PS66"/>
    <s v="SIM ENG KWANG"/>
    <n v="2000"/>
    <n v="95"/>
    <n v="1.5833333333333333"/>
    <d v="2025-03-18T00:00:00"/>
    <m/>
    <n v="1"/>
    <n v="2000"/>
    <s v="PE"/>
    <s v="260-6471-000001"/>
    <n v="0"/>
    <n v="2000"/>
    <n v="0"/>
    <n v="0"/>
    <n v="0"/>
    <n v="0"/>
    <m/>
    <m/>
    <n v="0"/>
    <m/>
    <m/>
    <m/>
    <m/>
    <m/>
    <m/>
    <m/>
    <m/>
    <s v="260-6471-00"/>
    <s v="J10025"/>
    <s v="JMS SINGAPORE PTE LTD"/>
    <m/>
    <n v="0"/>
    <n v="0"/>
    <n v="0"/>
    <n v="0"/>
    <n v="0"/>
    <n v="0"/>
    <m/>
    <m/>
    <m/>
    <s v="No"/>
    <s v="W663138"/>
    <n v="0"/>
    <m/>
    <s v="J10025"/>
    <m/>
    <m/>
    <s v="S0361085"/>
  </r>
  <r>
    <x v="741"/>
    <n v="10000"/>
    <n v="10000"/>
    <d v="2025-03-19T00:00:00"/>
    <s v="505KANGHS"/>
    <s v=" 8:38:49 am"/>
    <s v="U531252106/503011926"/>
    <m/>
    <x v="2"/>
    <s v="Yes"/>
    <n v="32"/>
    <s v="Lintec Intermittent"/>
    <x v="2"/>
    <s v="PM26"/>
    <s v="TAN AIK KEONG"/>
    <n v="5860"/>
    <m/>
    <m/>
    <d v="2025-03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3315"/>
    <n v="0"/>
    <m/>
    <s v="J10025"/>
    <m/>
    <m/>
    <s v="S0361160"/>
  </r>
  <r>
    <x v="742"/>
    <n v="10000"/>
    <n v="10000"/>
    <d v="2025-03-19T00:00:00"/>
    <s v="505KANGHS"/>
    <s v=" 8:38:49 am"/>
    <s v="U531252106/503011926"/>
    <m/>
    <x v="2"/>
    <s v="Yes"/>
    <n v="32"/>
    <s v="Lintec Intermittent"/>
    <x v="2"/>
    <s v="PM26"/>
    <s v="TAN AIK KEONG"/>
    <n v="5860"/>
    <m/>
    <m/>
    <d v="2025-03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3687"/>
    <n v="0"/>
    <m/>
    <s v="J10025"/>
    <m/>
    <m/>
    <s v="S0361166"/>
  </r>
  <r>
    <x v="743"/>
    <n v="10000"/>
    <n v="10000"/>
    <d v="2025-03-20T00:00:00"/>
    <s v="502LAUGH"/>
    <s v=" 8:36:24 am"/>
    <s v="U531252106/503011926"/>
    <m/>
    <x v="2"/>
    <s v="Yes"/>
    <n v="32"/>
    <s v="Lintec Intermittent"/>
    <x v="2"/>
    <s v="PM26"/>
    <s v="TAN AIK KEONG"/>
    <n v="5860"/>
    <m/>
    <m/>
    <d v="2025-03-1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3691"/>
    <n v="0"/>
    <m/>
    <s v="J10025"/>
    <m/>
    <m/>
    <s v="S0361167"/>
  </r>
  <r>
    <x v="744"/>
    <n v="10000"/>
    <n v="10000"/>
    <d v="2025-03-18T00:00:00"/>
    <s v="502LAUGH"/>
    <s v=" 1:26:50 pm"/>
    <s v="4111522U5A"/>
    <m/>
    <x v="2"/>
    <s v="Yes"/>
    <n v="61"/>
    <s v="FSK 520"/>
    <x v="2"/>
    <s v="PM61"/>
    <s v="HO CHAN LE"/>
    <n v="3334"/>
    <n v="111.68"/>
    <n v="1.8613333333333335"/>
    <d v="2025-03-18T00:00:00"/>
    <m/>
    <n v="6"/>
    <n v="20004"/>
    <s v="PE"/>
    <s v="250-6241-000001"/>
    <n v="0"/>
    <n v="20000"/>
    <n v="4"/>
    <n v="0"/>
    <n v="0"/>
    <n v="0"/>
    <m/>
    <m/>
    <n v="0"/>
    <m/>
    <m/>
    <m/>
    <m/>
    <m/>
    <m/>
    <m/>
    <m/>
    <s v="250-6241-00"/>
    <s v="J10025"/>
    <s v="JMS SINGAPORE PTE LTD"/>
    <m/>
    <n v="0"/>
    <n v="0"/>
    <n v="0"/>
    <n v="0"/>
    <n v="0"/>
    <n v="0"/>
    <m/>
    <m/>
    <m/>
    <s v="No"/>
    <s v="W663172"/>
    <n v="0"/>
    <m/>
    <s v="J10025"/>
    <m/>
    <m/>
    <s v="S0361169"/>
  </r>
  <r>
    <x v="745"/>
    <n v="10000"/>
    <n v="10000"/>
    <d v="2025-03-19T00:00:00"/>
    <s v="505KANGHS"/>
    <s v=" 8:39:16 am"/>
    <s v="5011625U5"/>
    <m/>
    <x v="2"/>
    <s v="Yes"/>
    <n v="12"/>
    <s v="FSK SR520"/>
    <x v="2"/>
    <s v="PP05"/>
    <s v="WONG KIM FATT"/>
    <n v="10000"/>
    <n v="245"/>
    <n v="4.083333333333333"/>
    <d v="2025-03-18T00:00:00"/>
    <m/>
    <n v="2"/>
    <n v="20000"/>
    <s v="PE"/>
    <s v="250-6306-000001"/>
    <n v="0"/>
    <n v="20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3173"/>
    <n v="0"/>
    <m/>
    <s v="J10025"/>
    <m/>
    <m/>
    <s v="S0361169"/>
  </r>
  <r>
    <x v="746"/>
    <n v="10000"/>
    <n v="10000"/>
    <d v="2025-03-18T00:00:00"/>
    <s v="502LAUGH"/>
    <s v=" 1:05:00 pm"/>
    <s v="5011625U5"/>
    <m/>
    <x v="2"/>
    <s v="Yes"/>
    <n v="12"/>
    <s v="FSK SR520"/>
    <x v="2"/>
    <s v="PP05"/>
    <s v="WONG KIM FATT"/>
    <n v="6500"/>
    <n v="175"/>
    <n v="2.9166666666666665"/>
    <d v="2025-03-18T00:00:00"/>
    <m/>
    <n v="2"/>
    <n v="13000"/>
    <s v="PE"/>
    <s v="260-6306-000001"/>
    <n v="0"/>
    <n v="13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3175"/>
    <n v="0"/>
    <m/>
    <s v="J10025"/>
    <m/>
    <m/>
    <s v="S0361170"/>
  </r>
  <r>
    <x v="747"/>
    <n v="10000"/>
    <n v="10000"/>
    <d v="2025-03-19T00:00:00"/>
    <s v="502LAUGH"/>
    <s v=" 8:41:27 am"/>
    <s v="5011624U5A"/>
    <m/>
    <x v="2"/>
    <s v="Yes"/>
    <n v="61"/>
    <s v="FSK 520"/>
    <x v="2"/>
    <s v="PM61"/>
    <s v="HO CHAN LE"/>
    <n v="3000"/>
    <n v="105"/>
    <n v="1.75"/>
    <d v="2025-03-18T00:00:00"/>
    <m/>
    <n v="6"/>
    <n v="18000"/>
    <s v="PE"/>
    <s v="260-6307-000001"/>
    <n v="0"/>
    <n v="18000"/>
    <n v="0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63176"/>
    <n v="0"/>
    <m/>
    <s v="J10025"/>
    <m/>
    <m/>
    <s v="S0361170"/>
  </r>
  <r>
    <x v="748"/>
    <n v="10000"/>
    <n v="10000"/>
    <d v="2025-03-18T00:00:00"/>
    <s v="502LAUGH"/>
    <s v=" 1:30:32 pm"/>
    <s v="MDRLR4W211124"/>
    <m/>
    <x v="2"/>
    <s v="Yes"/>
    <n v="65"/>
    <s v="Sanki SDR300"/>
    <x v="3"/>
    <s v="PMJ7"/>
    <s v="FOONG SEL YI"/>
    <n v="1875"/>
    <n v="91.875"/>
    <n v="1.53125"/>
    <d v="2025-03-18T00:00:00"/>
    <m/>
    <n v="32"/>
    <n v="60000"/>
    <s v="PE"/>
    <s v="722477 REV4000001"/>
    <n v="0"/>
    <n v="60000"/>
    <n v="0"/>
    <n v="0"/>
    <n v="0"/>
    <n v="0"/>
    <m/>
    <m/>
    <n v="0"/>
    <m/>
    <m/>
    <m/>
    <m/>
    <m/>
    <m/>
    <m/>
    <m/>
    <s v="722477 REV402"/>
    <s v="V22000"/>
    <s v="PT VARTA MICROBATTERY INDONESIA"/>
    <m/>
    <n v="0"/>
    <n v="0"/>
    <n v="0"/>
    <n v="0"/>
    <n v="0"/>
    <n v="0"/>
    <m/>
    <m/>
    <m/>
    <s v="No"/>
    <s v="W663179"/>
    <n v="0"/>
    <m/>
    <s v="V22000"/>
    <m/>
    <m/>
    <s v="S0361173"/>
  </r>
  <r>
    <x v="749"/>
    <n v="10000"/>
    <n v="10000"/>
    <d v="2025-03-19T00:00:00"/>
    <s v="502LAUGH"/>
    <s v=" 1:49:35 pm"/>
    <s v="4111526U5A/5011623U5"/>
    <m/>
    <x v="2"/>
    <s v="Yes"/>
    <n v="22"/>
    <s v="FSK B100"/>
    <x v="2"/>
    <s v="PS13"/>
    <s v="YEE CHENG MENG"/>
    <n v="15000"/>
    <n v="345"/>
    <n v="5.75"/>
    <d v="2025-03-18T00:00:00"/>
    <m/>
    <n v="2"/>
    <n v="30000"/>
    <s v="PE"/>
    <s v="260-6165-000001"/>
    <n v="0"/>
    <n v="3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716"/>
    <n v="0"/>
    <m/>
    <s v="J10025"/>
    <m/>
    <m/>
    <s v="S0361176"/>
  </r>
  <r>
    <x v="750"/>
    <n v="10000"/>
    <n v="10000"/>
    <d v="2025-03-19T00:00:00"/>
    <s v="502LAUGH"/>
    <s v=" 8:41:27 am"/>
    <s v="5011625U5"/>
    <m/>
    <x v="2"/>
    <s v="Yes"/>
    <n v="61"/>
    <s v="FSK 520"/>
    <x v="2"/>
    <s v="PM61"/>
    <s v="HO CHAN LE"/>
    <n v="2667"/>
    <n v="98.34"/>
    <n v="1.639"/>
    <d v="2025-03-18T00:00:00"/>
    <m/>
    <n v="6"/>
    <n v="16002"/>
    <s v="PE"/>
    <s v="260-6307-000001"/>
    <n v="0"/>
    <n v="16000"/>
    <n v="2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63722"/>
    <n v="0"/>
    <m/>
    <s v="J10025"/>
    <m/>
    <m/>
    <s v="S0361177"/>
  </r>
  <r>
    <x v="751"/>
    <n v="10000"/>
    <n v="10000"/>
    <d v="2025-03-19T00:00:00"/>
    <s v="502LAUGH"/>
    <s v=" 5:54:56 pm"/>
    <s v="SG-5560164-01"/>
    <m/>
    <x v="2"/>
    <s v="Yes"/>
    <n v="31"/>
    <s v="Sanki SKP250 Full Rotary"/>
    <x v="2"/>
    <s v="PS27"/>
    <s v="TAN TECK HEE"/>
    <n v="2000"/>
    <n v="95"/>
    <n v="1.5833333333333333"/>
    <d v="2025-03-18T00:00:00"/>
    <m/>
    <n v="20"/>
    <n v="40000"/>
    <s v="PE"/>
    <s v="A4 SIZE-PMS 101U0001"/>
    <n v="0"/>
    <n v="40000"/>
    <n v="0"/>
    <n v="0"/>
    <n v="0"/>
    <n v="0"/>
    <m/>
    <m/>
    <n v="0"/>
    <m/>
    <m/>
    <m/>
    <m/>
    <m/>
    <m/>
    <m/>
    <m/>
    <s v="A4 SIZE-PMS 101U"/>
    <s v="H08122"/>
    <s v="HI-P SINGAPORE PTE. LTD."/>
    <m/>
    <n v="0"/>
    <n v="0"/>
    <n v="0"/>
    <n v="0"/>
    <n v="0"/>
    <n v="0"/>
    <m/>
    <m/>
    <m/>
    <s v="No"/>
    <s v="W663183"/>
    <n v="0"/>
    <m/>
    <s v="H08122"/>
    <m/>
    <m/>
    <s v="S0361135"/>
  </r>
  <r>
    <x v="651"/>
    <n v="10000"/>
    <n v="20000"/>
    <d v="2025-03-18T00:00:00"/>
    <s v="502LAUGH"/>
    <s v=" 1:29:16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83614970001"/>
    <n v="0"/>
    <n v="5000"/>
    <n v="4"/>
    <n v="0"/>
    <n v="0"/>
    <n v="0"/>
    <m/>
    <m/>
    <n v="0"/>
    <m/>
    <m/>
    <m/>
    <m/>
    <m/>
    <m/>
    <m/>
    <m/>
    <n v="8361497"/>
    <s v="B02083"/>
    <s v="BECTON DICKINSON MEDICAL (S) PTE LTD"/>
    <m/>
    <n v="0"/>
    <n v="0"/>
    <n v="0"/>
    <n v="0"/>
    <n v="0"/>
    <n v="0"/>
    <m/>
    <m/>
    <m/>
    <s v="No"/>
    <s v="W663195"/>
    <n v="0"/>
    <m/>
    <s v="B02083"/>
    <m/>
    <m/>
    <s v="S0361247"/>
  </r>
  <r>
    <x v="752"/>
    <n v="10000"/>
    <n v="10000"/>
    <d v="2025-03-18T00:00:00"/>
    <s v="502LAUGH"/>
    <s v=" 2:55:23 pm"/>
    <s v="J00T59660"/>
    <m/>
    <x v="2"/>
    <s v="Yes"/>
    <n v="72"/>
    <s v="Xeikon 3500"/>
    <x v="4"/>
    <s v="PM17"/>
    <s v="NG SWEE CHEA"/>
    <n v="7250"/>
    <m/>
    <m/>
    <d v="2025-03-18T00:00:00"/>
    <m/>
    <n v="4"/>
    <n v="29000"/>
    <s v="PE"/>
    <n v="83615010001"/>
    <n v="0"/>
    <n v="25000"/>
    <n v="4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3196"/>
    <n v="0"/>
    <m/>
    <s v="B02083"/>
    <m/>
    <m/>
    <s v="S0361247"/>
  </r>
  <r>
    <x v="752"/>
    <n v="10000"/>
    <n v="20000"/>
    <d v="2025-03-18T00:00:00"/>
    <s v="502LAUGH"/>
    <s v=" 2:55:23 pm"/>
    <s v="J00T59660"/>
    <m/>
    <x v="0"/>
    <s v="Yes"/>
    <n v="71"/>
    <s v="POLLY"/>
    <x v="3"/>
    <s v="PS95"/>
    <s v="LIM CHENG LEONG"/>
    <n v="4167"/>
    <m/>
    <m/>
    <d v="2025-03-18T00:00:00"/>
    <m/>
    <n v="6"/>
    <n v="25002"/>
    <s v="PE"/>
    <n v="83615010001"/>
    <n v="0"/>
    <n v="25000"/>
    <n v="2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3196"/>
    <n v="0"/>
    <m/>
    <s v="B02083"/>
    <m/>
    <m/>
    <s v="S0361247"/>
  </r>
  <r>
    <x v="652"/>
    <n v="10000"/>
    <n v="20000"/>
    <d v="2025-03-18T00:00:00"/>
    <s v="502LAUGH"/>
    <s v=" 2:57:00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83615030001"/>
    <n v="0"/>
    <n v="5000"/>
    <n v="4"/>
    <n v="0"/>
    <n v="0"/>
    <n v="0"/>
    <m/>
    <m/>
    <n v="0"/>
    <m/>
    <m/>
    <m/>
    <m/>
    <m/>
    <m/>
    <m/>
    <m/>
    <n v="8361503"/>
    <s v="B02083"/>
    <s v="BECTON DICKINSON MEDICAL (S) PTE LTD"/>
    <m/>
    <n v="0"/>
    <n v="0"/>
    <n v="0"/>
    <n v="0"/>
    <n v="0"/>
    <n v="0"/>
    <m/>
    <m/>
    <m/>
    <s v="No"/>
    <s v="W663197"/>
    <n v="0"/>
    <m/>
    <s v="B02083"/>
    <m/>
    <m/>
    <s v="S0361247"/>
  </r>
  <r>
    <x v="653"/>
    <n v="10000"/>
    <n v="20000"/>
    <d v="2025-03-18T00:00:00"/>
    <s v="502LAUGH"/>
    <s v=" 1:27:39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83615120001"/>
    <n v="0"/>
    <n v="5000"/>
    <n v="4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3198"/>
    <n v="0"/>
    <m/>
    <s v="B02083"/>
    <m/>
    <m/>
    <s v="S0361247"/>
  </r>
  <r>
    <x v="654"/>
    <n v="10000"/>
    <n v="20000"/>
    <d v="2025-03-18T00:00:00"/>
    <s v="502LAUGH"/>
    <s v=" 2:56:11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514780001"/>
    <n v="0"/>
    <n v="5000"/>
    <n v="4"/>
    <n v="0"/>
    <n v="0"/>
    <n v="0"/>
    <m/>
    <m/>
    <n v="0"/>
    <m/>
    <m/>
    <m/>
    <m/>
    <m/>
    <m/>
    <m/>
    <m/>
    <n v="500051478"/>
    <s v="B02083"/>
    <s v="BECTON DICKINSON MEDICAL (S) PTE LTD"/>
    <m/>
    <n v="0"/>
    <n v="0"/>
    <n v="0"/>
    <n v="0"/>
    <n v="0"/>
    <n v="0"/>
    <m/>
    <m/>
    <m/>
    <s v="No"/>
    <s v="W663199"/>
    <n v="0"/>
    <m/>
    <s v="B02083"/>
    <m/>
    <m/>
    <s v="S0361247"/>
  </r>
  <r>
    <x v="655"/>
    <n v="10000"/>
    <n v="20000"/>
    <d v="2025-03-18T00:00:00"/>
    <s v="502LAUGH"/>
    <s v=" 1:28:27 pm"/>
    <s v="J00T59660"/>
    <m/>
    <x v="0"/>
    <s v="Yes"/>
    <n v="71"/>
    <s v="POLLY"/>
    <x v="3"/>
    <s v="PS95"/>
    <s v="LIM CHENG LEONG"/>
    <n v="1667"/>
    <m/>
    <m/>
    <d v="2025-03-18T00:00:00"/>
    <m/>
    <n v="6"/>
    <n v="10002"/>
    <s v="PE"/>
    <n v="83615120001"/>
    <n v="0"/>
    <n v="10000"/>
    <n v="2"/>
    <n v="0"/>
    <n v="0"/>
    <n v="0"/>
    <m/>
    <m/>
    <n v="0"/>
    <m/>
    <m/>
    <m/>
    <m/>
    <m/>
    <m/>
    <m/>
    <m/>
    <n v="8361512"/>
    <s v="B02083"/>
    <s v="BECTON DICKINSON MEDICAL (S) PTE LTD"/>
    <m/>
    <n v="0"/>
    <n v="0"/>
    <n v="0"/>
    <n v="0"/>
    <n v="0"/>
    <n v="0"/>
    <m/>
    <m/>
    <m/>
    <s v="No"/>
    <s v="W663200"/>
    <n v="0"/>
    <m/>
    <s v="B02083"/>
    <m/>
    <m/>
    <s v="S0361249"/>
  </r>
  <r>
    <x v="753"/>
    <n v="10000"/>
    <n v="10000"/>
    <d v="2025-03-24T00:00:00"/>
    <s v="502LAUGH"/>
    <s v=" 8:42:50 am"/>
    <s v="BZC010-01"/>
    <m/>
    <x v="2"/>
    <s v="Yes"/>
    <n v="79"/>
    <s v="HP Indigo 6800"/>
    <x v="4"/>
    <s v="PM16"/>
    <s v="TEO KAH JUN"/>
    <n v="100"/>
    <n v="35"/>
    <n v="0.58333333333333337"/>
    <d v="2025-03-18T00:00:00"/>
    <m/>
    <n v="60"/>
    <n v="6000"/>
    <s v="PE"/>
    <s v="JAR GLASS BACK0001"/>
    <n v="0"/>
    <n v="8000"/>
    <n v="-2000"/>
    <n v="0"/>
    <n v="0"/>
    <n v="0"/>
    <m/>
    <m/>
    <n v="0"/>
    <m/>
    <m/>
    <m/>
    <m/>
    <m/>
    <m/>
    <m/>
    <m/>
    <s v="LEMONADE BACK LBL"/>
    <s v="T20394"/>
    <s v="TEA PULSE PTE LTD"/>
    <m/>
    <n v="0"/>
    <n v="0"/>
    <n v="0"/>
    <n v="0"/>
    <n v="0"/>
    <n v="0"/>
    <m/>
    <m/>
    <m/>
    <s v="No"/>
    <s v="W663744"/>
    <n v="0"/>
    <m/>
    <s v="T20394"/>
    <m/>
    <m/>
    <s v="S0361253"/>
  </r>
  <r>
    <x v="754"/>
    <n v="10000"/>
    <n v="10000"/>
    <d v="2025-03-24T00:00:00"/>
    <s v="502LAUGH"/>
    <s v=" 8:42:09 am"/>
    <s v="BZC010-01"/>
    <m/>
    <x v="2"/>
    <s v="Yes"/>
    <n v="79"/>
    <s v="HP Indigo 6800"/>
    <x v="4"/>
    <s v="PM16"/>
    <s v="TEO KAH JUN"/>
    <n v="100"/>
    <n v="35"/>
    <n v="0.58333333333333337"/>
    <d v="2025-03-18T00:00:00"/>
    <m/>
    <n v="60"/>
    <n v="6000"/>
    <s v="PE"/>
    <s v="JAR GLASS FRONT0001"/>
    <n v="0"/>
    <n v="8000"/>
    <n v="-2000"/>
    <n v="0"/>
    <n v="0"/>
    <n v="0"/>
    <m/>
    <m/>
    <n v="0"/>
    <m/>
    <m/>
    <m/>
    <m/>
    <m/>
    <m/>
    <m/>
    <m/>
    <s v="LEMONADE FRONT LBL"/>
    <s v="T20394"/>
    <s v="TEA PULSE PTE LTD"/>
    <m/>
    <n v="0"/>
    <n v="0"/>
    <n v="0"/>
    <n v="0"/>
    <n v="0"/>
    <n v="0"/>
    <m/>
    <m/>
    <m/>
    <s v="No"/>
    <s v="W663745"/>
    <n v="0"/>
    <m/>
    <s v="T20394"/>
    <m/>
    <m/>
    <s v="S0361253"/>
  </r>
  <r>
    <x v="656"/>
    <n v="10000"/>
    <n v="20000"/>
    <d v="2025-03-19T00:00:00"/>
    <s v="502LAUGH"/>
    <s v=" 8:40:12 a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514710001"/>
    <n v="0"/>
    <n v="5000"/>
    <n v="4"/>
    <n v="0"/>
    <n v="0"/>
    <n v="0"/>
    <m/>
    <m/>
    <n v="0"/>
    <m/>
    <m/>
    <m/>
    <m/>
    <m/>
    <m/>
    <m/>
    <m/>
    <n v="500051471"/>
    <s v="B02083"/>
    <s v="BECTON DICKINSON MEDICAL (S) PTE LTD"/>
    <m/>
    <n v="0"/>
    <n v="0"/>
    <n v="0"/>
    <n v="0"/>
    <n v="0"/>
    <n v="0"/>
    <m/>
    <m/>
    <m/>
    <s v="No"/>
    <s v="W663201"/>
    <n v="0"/>
    <m/>
    <s v="B02083"/>
    <m/>
    <m/>
    <s v="S0361248"/>
  </r>
  <r>
    <x v="755"/>
    <n v="10000"/>
    <n v="10000"/>
    <d v="2025-03-24T00:00:00"/>
    <s v="502LAUGH"/>
    <s v=" 8:40:29 am"/>
    <s v="BZC010-01"/>
    <m/>
    <x v="2"/>
    <s v="Yes"/>
    <n v="79"/>
    <s v="HP Indigo 6800"/>
    <x v="4"/>
    <s v="PM16"/>
    <s v="TEO KAH JUN"/>
    <n v="200"/>
    <n v="40"/>
    <n v="0.66666666666666663"/>
    <d v="2025-03-18T00:00:00"/>
    <m/>
    <n v="18"/>
    <n v="3600"/>
    <s v="PE"/>
    <s v="SG6703STR10001"/>
    <n v="0"/>
    <n v="2000"/>
    <n v="1600"/>
    <n v="0"/>
    <n v="0"/>
    <n v="0"/>
    <m/>
    <m/>
    <n v="0"/>
    <m/>
    <m/>
    <m/>
    <m/>
    <m/>
    <m/>
    <m/>
    <m/>
    <s v="SG6703STR1"/>
    <s v="S19695"/>
    <s v="MARKET SINGAPORE PTE LTD"/>
    <m/>
    <n v="0"/>
    <n v="0"/>
    <n v="0"/>
    <n v="0"/>
    <n v="0"/>
    <n v="0"/>
    <m/>
    <m/>
    <m/>
    <s v="No"/>
    <s v="W663751"/>
    <n v="0"/>
    <m/>
    <s v="S19695"/>
    <m/>
    <m/>
    <s v="S0361279"/>
  </r>
  <r>
    <x v="756"/>
    <n v="10000"/>
    <n v="10000"/>
    <d v="2025-03-24T00:00:00"/>
    <s v="502LAUGH"/>
    <s v=" 8:41:31 am"/>
    <s v="BZC010-01"/>
    <m/>
    <x v="2"/>
    <s v="Yes"/>
    <n v="79"/>
    <s v="HP Indigo 6800"/>
    <x v="4"/>
    <s v="PM16"/>
    <s v="TEO KAH JUN"/>
    <n v="200"/>
    <n v="40"/>
    <n v="0.66666666666666663"/>
    <d v="2025-03-18T00:00:00"/>
    <m/>
    <n v="18"/>
    <n v="3600"/>
    <s v="PE"/>
    <s v="SG6703STR30001"/>
    <n v="0"/>
    <n v="2000"/>
    <n v="1600"/>
    <n v="0"/>
    <n v="0"/>
    <n v="0"/>
    <m/>
    <m/>
    <n v="0"/>
    <m/>
    <m/>
    <m/>
    <m/>
    <m/>
    <m/>
    <m/>
    <m/>
    <s v="SG6703STR3"/>
    <s v="S19695"/>
    <s v="MARKET SINGAPORE PTE LTD"/>
    <m/>
    <n v="0"/>
    <n v="0"/>
    <n v="0"/>
    <n v="0"/>
    <n v="0"/>
    <n v="0"/>
    <m/>
    <m/>
    <m/>
    <s v="No"/>
    <s v="W663752"/>
    <n v="0"/>
    <m/>
    <s v="S19695"/>
    <m/>
    <m/>
    <s v="S0361279"/>
  </r>
  <r>
    <x v="714"/>
    <n v="10000"/>
    <n v="20000"/>
    <d v="2025-03-18T00:00:00"/>
    <s v="502LAUGH"/>
    <s v=" 1:05:00 pm"/>
    <s v="M0NSO3780"/>
    <m/>
    <x v="2"/>
    <s v="Yes"/>
    <n v="94"/>
    <s v="Taiyo"/>
    <x v="2"/>
    <s v="PM09"/>
    <s v="PANG JING FULL"/>
    <n v="250"/>
    <m/>
    <m/>
    <d v="2025-03-18T00:00:00"/>
    <m/>
    <n v="4"/>
    <n v="1000"/>
    <s v="PE"/>
    <s v="L001-773057-00000005"/>
    <n v="0"/>
    <n v="500"/>
    <n v="500"/>
    <n v="0"/>
    <n v="0"/>
    <n v="0"/>
    <m/>
    <m/>
    <n v="0"/>
    <m/>
    <m/>
    <m/>
    <m/>
    <m/>
    <m/>
    <m/>
    <m/>
    <s v="L001-773057-000005CM"/>
    <s v="X24001-WD-SUZHOU"/>
    <s v="TELEPLAN TECHNOLOGIES (SUZHOU) CO., LTD"/>
    <m/>
    <n v="0"/>
    <n v="0"/>
    <n v="0"/>
    <n v="0"/>
    <n v="0"/>
    <n v="0"/>
    <m/>
    <m/>
    <m/>
    <s v="No"/>
    <s v="W663324"/>
    <n v="0"/>
    <m/>
    <s v="X24001-WD-SUZHOU"/>
    <m/>
    <m/>
    <s v="S0361288"/>
  </r>
  <r>
    <x v="757"/>
    <n v="10000"/>
    <n v="10000"/>
    <d v="2025-03-18T00:00:00"/>
    <s v="502LAUGH"/>
    <s v=" 5:31:37 pm"/>
    <s v="J00T59660"/>
    <m/>
    <x v="2"/>
    <s v="Yes"/>
    <n v="72"/>
    <s v="Xeikon 3500"/>
    <x v="4"/>
    <s v="PM17"/>
    <s v="NG SWEE CHEA"/>
    <n v="1750"/>
    <m/>
    <m/>
    <d v="2025-03-18T00:00:00"/>
    <m/>
    <n v="4"/>
    <n v="7000"/>
    <s v="PE"/>
    <n v="5000582250001"/>
    <n v="0"/>
    <n v="5000"/>
    <n v="2000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3211"/>
    <n v="0"/>
    <m/>
    <s v="B02083"/>
    <m/>
    <m/>
    <s v="S0361292"/>
  </r>
  <r>
    <x v="757"/>
    <n v="10000"/>
    <n v="20000"/>
    <d v="2025-03-18T00:00:00"/>
    <s v="502LAUGH"/>
    <s v=" 5:31:37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582250001"/>
    <n v="0"/>
    <n v="5000"/>
    <n v="4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3211"/>
    <n v="0"/>
    <m/>
    <s v="B02083"/>
    <m/>
    <m/>
    <s v="S0361292"/>
  </r>
  <r>
    <x v="758"/>
    <n v="10000"/>
    <n v="10000"/>
    <d v="2025-03-19T00:00:00"/>
    <s v="502LAUGH"/>
    <s v=" 8:39:32 am"/>
    <s v="J00T59660"/>
    <m/>
    <x v="2"/>
    <s v="Yes"/>
    <n v="72"/>
    <s v="Xeikon 3500"/>
    <x v="4"/>
    <s v="PM17"/>
    <s v="NG SWEE CHEA"/>
    <n v="1125"/>
    <m/>
    <m/>
    <d v="2025-03-18T00:00:00"/>
    <m/>
    <n v="4"/>
    <n v="4500"/>
    <s v="PE"/>
    <n v="5000596180001"/>
    <n v="0"/>
    <n v="2500"/>
    <n v="2000"/>
    <n v="0"/>
    <n v="0"/>
    <n v="0"/>
    <m/>
    <m/>
    <n v="0"/>
    <m/>
    <m/>
    <m/>
    <m/>
    <m/>
    <m/>
    <m/>
    <m/>
    <n v="500059618"/>
    <s v="B02083"/>
    <s v="BECTON DICKINSON MEDICAL (S) PTE LTD"/>
    <m/>
    <n v="0"/>
    <n v="0"/>
    <n v="0"/>
    <n v="0"/>
    <n v="0"/>
    <n v="0"/>
    <m/>
    <m/>
    <m/>
    <s v="No"/>
    <s v="W663212"/>
    <n v="0"/>
    <m/>
    <s v="B02083"/>
    <m/>
    <m/>
    <s v="S0361293"/>
  </r>
  <r>
    <x v="758"/>
    <n v="10000"/>
    <n v="20000"/>
    <d v="2025-03-19T00:00:00"/>
    <s v="502LAUGH"/>
    <s v=" 8:39:32 a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596180001"/>
    <n v="0"/>
    <n v="2500"/>
    <n v="2504"/>
    <n v="0"/>
    <n v="0"/>
    <n v="0"/>
    <m/>
    <m/>
    <n v="0"/>
    <m/>
    <m/>
    <m/>
    <m/>
    <m/>
    <m/>
    <m/>
    <m/>
    <n v="500059618"/>
    <s v="B02083"/>
    <s v="BECTON DICKINSON MEDICAL (S) PTE LTD"/>
    <m/>
    <n v="0"/>
    <n v="0"/>
    <n v="0"/>
    <n v="0"/>
    <n v="0"/>
    <n v="0"/>
    <m/>
    <m/>
    <m/>
    <s v="No"/>
    <s v="W663212"/>
    <n v="0"/>
    <m/>
    <s v="B02083"/>
    <m/>
    <m/>
    <s v="S0361293"/>
  </r>
  <r>
    <x v="758"/>
    <n v="20000"/>
    <n v="10000"/>
    <d v="2025-03-19T00:00:00"/>
    <s v="502LAUGH"/>
    <s v=" 8:39:32 am"/>
    <s v="J00T59660"/>
    <m/>
    <x v="2"/>
    <s v="Yes"/>
    <n v="72"/>
    <s v="Xeikon 3500"/>
    <x v="4"/>
    <s v="PM17"/>
    <s v="NG SWEE CHEA"/>
    <n v="625"/>
    <m/>
    <m/>
    <d v="2025-03-18T00:00:00"/>
    <m/>
    <n v="4"/>
    <n v="2500"/>
    <s v="PE"/>
    <n v="5000596180001"/>
    <n v="0"/>
    <n v="2500"/>
    <n v="0"/>
    <n v="0"/>
    <n v="0"/>
    <n v="0"/>
    <m/>
    <m/>
    <n v="0"/>
    <m/>
    <m/>
    <m/>
    <m/>
    <m/>
    <m/>
    <m/>
    <m/>
    <n v="500059618"/>
    <s v="B02083"/>
    <s v="BECTON DICKINSON MEDICAL (S) PTE LTD"/>
    <m/>
    <n v="0"/>
    <n v="0"/>
    <n v="0"/>
    <n v="0"/>
    <n v="0"/>
    <n v="0"/>
    <m/>
    <m/>
    <m/>
    <s v="No"/>
    <s v="W663212"/>
    <n v="0"/>
    <m/>
    <s v="B02083"/>
    <m/>
    <m/>
    <s v="S0361293"/>
  </r>
  <r>
    <x v="759"/>
    <n v="10000"/>
    <n v="10000"/>
    <d v="2025-03-28T00:00:00"/>
    <s v="502LAUGH"/>
    <d v="1899-12-30T12:41:27"/>
    <s v="4348S1/3505U8007"/>
    <m/>
    <x v="2"/>
    <s v="Yes"/>
    <n v="79"/>
    <s v="HP Indigo 6800"/>
    <x v="4"/>
    <s v="PM16"/>
    <s v="TEO KAH JUN"/>
    <n v="834"/>
    <n v="71.7"/>
    <n v="1.1950000000000001"/>
    <d v="2025-03-18T00:00:00"/>
    <m/>
    <n v="12"/>
    <n v="10008"/>
    <s v="PE"/>
    <s v="DANGER STICKER0002"/>
    <n v="0"/>
    <n v="5000"/>
    <n v="5008"/>
    <n v="0"/>
    <n v="0"/>
    <n v="0"/>
    <m/>
    <m/>
    <n v="0"/>
    <m/>
    <m/>
    <m/>
    <m/>
    <m/>
    <m/>
    <m/>
    <m/>
    <s v="DANGER STICKER"/>
    <s v="A01471"/>
    <s v="AIRVERCLEAN PTE LTD"/>
    <m/>
    <n v="0"/>
    <n v="0"/>
    <n v="0"/>
    <n v="0"/>
    <n v="0"/>
    <n v="0"/>
    <m/>
    <m/>
    <m/>
    <s v="No"/>
    <s v="W663774"/>
    <n v="0"/>
    <m/>
    <s v="A01471"/>
    <m/>
    <m/>
    <s v="S0361355"/>
  </r>
  <r>
    <x v="760"/>
    <n v="10000"/>
    <n v="10000"/>
    <d v="2025-03-18T00:00:00"/>
    <s v="502LAUGH"/>
    <s v=" 3:53:27 pm"/>
    <s v="M007S9371"/>
    <m/>
    <x v="2"/>
    <s v="Yes"/>
    <n v="65"/>
    <s v="Sanki SDR300"/>
    <x v="3"/>
    <s v="PMJ7"/>
    <s v="FOONG SEL YI"/>
    <n v="1000"/>
    <n v="70"/>
    <n v="1.1666666666666667"/>
    <d v="2025-03-18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s v="HI-P SINGAPORE PTE. LTD."/>
    <m/>
    <n v="0"/>
    <n v="0"/>
    <n v="0"/>
    <n v="0"/>
    <n v="0"/>
    <n v="0"/>
    <m/>
    <m/>
    <m/>
    <s v="No"/>
    <s v="W663331"/>
    <n v="0"/>
    <m/>
    <s v="H08122"/>
    <m/>
    <m/>
    <s v="S0361367"/>
  </r>
  <r>
    <x v="761"/>
    <n v="10000"/>
    <n v="10000"/>
    <d v="2025-03-19T00:00:00"/>
    <s v="502LAUGH"/>
    <s v=" 8:32:42 am"/>
    <s v="3082509U9/U5124S154"/>
    <m/>
    <x v="2"/>
    <s v="Yes"/>
    <n v="88"/>
    <s v="OKI"/>
    <x v="4"/>
    <s v="PP24"/>
    <s v="HO HON SENG"/>
    <n v="200"/>
    <m/>
    <m/>
    <d v="2025-03-18T00:00:00"/>
    <m/>
    <n v="1"/>
    <n v="200"/>
    <s v="PE"/>
    <n v="107259550001"/>
    <n v="0"/>
    <n v="200"/>
    <n v="0"/>
    <n v="0"/>
    <n v="0"/>
    <n v="0"/>
    <m/>
    <m/>
    <n v="0"/>
    <m/>
    <m/>
    <m/>
    <m/>
    <m/>
    <m/>
    <m/>
    <m/>
    <n v="10725955"/>
    <s v="I09109"/>
    <s v="IKE TECHNOLOGY"/>
    <m/>
    <n v="0"/>
    <n v="0"/>
    <n v="0"/>
    <n v="0"/>
    <n v="0"/>
    <n v="0"/>
    <m/>
    <m/>
    <m/>
    <s v="No"/>
    <s v="W663214"/>
    <n v="0"/>
    <m/>
    <s v="I09109"/>
    <m/>
    <m/>
    <s v="S0361375"/>
  </r>
  <r>
    <x v="761"/>
    <n v="10000"/>
    <n v="20000"/>
    <d v="2025-03-19T00:00:00"/>
    <s v="502LAUGH"/>
    <s v=" 8:32:42 am"/>
    <s v="3082509U9/U5124S154"/>
    <m/>
    <x v="0"/>
    <s v="Yes"/>
    <n v="100"/>
    <s v="Vorey Digital Cut"/>
    <x v="6"/>
    <s v="PM87"/>
    <s v="LEE SHIEN WEI"/>
    <n v="200"/>
    <m/>
    <m/>
    <d v="2025-03-18T00:00:00"/>
    <m/>
    <n v="1"/>
    <n v="200"/>
    <s v="PE"/>
    <n v="107259550001"/>
    <n v="0"/>
    <n v="200"/>
    <n v="0"/>
    <n v="0"/>
    <n v="0"/>
    <n v="0"/>
    <m/>
    <m/>
    <n v="0"/>
    <m/>
    <m/>
    <m/>
    <m/>
    <m/>
    <m/>
    <m/>
    <m/>
    <n v="10725955"/>
    <s v="I09109"/>
    <s v="IKE TECHNOLOGY"/>
    <m/>
    <n v="0"/>
    <n v="0"/>
    <n v="0"/>
    <n v="0"/>
    <n v="0"/>
    <n v="0"/>
    <m/>
    <m/>
    <m/>
    <s v="No"/>
    <s v="W663214"/>
    <n v="0"/>
    <m/>
    <s v="I09109"/>
    <m/>
    <m/>
    <s v="S0361375"/>
  </r>
  <r>
    <x v="762"/>
    <n v="10000"/>
    <n v="10000"/>
    <d v="2025-03-19T00:00:00"/>
    <s v="502LAUGH"/>
    <s v=" 5:52:09 pm"/>
    <s v="J00T59660"/>
    <m/>
    <x v="2"/>
    <s v="Yes"/>
    <n v="72"/>
    <s v="Xeikon 3500"/>
    <x v="4"/>
    <s v="PM17"/>
    <s v="NG SWEE CHEA"/>
    <n v="6750"/>
    <m/>
    <m/>
    <d v="2025-03-18T00:00:00"/>
    <m/>
    <n v="4"/>
    <n v="27000"/>
    <s v="PE"/>
    <n v="86085350001"/>
    <n v="0"/>
    <n v="23000"/>
    <n v="400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63335"/>
    <n v="0"/>
    <m/>
    <s v="B02083"/>
    <m/>
    <m/>
    <s v="S0361379"/>
  </r>
  <r>
    <x v="763"/>
    <n v="10000"/>
    <n v="10000"/>
    <d v="2025-03-19T00:00:00"/>
    <s v="502LAUGH"/>
    <s v=" 1:36:58 pm"/>
    <s v="J00T59660"/>
    <m/>
    <x v="2"/>
    <s v="Yes"/>
    <n v="72"/>
    <s v="Xeikon 3500"/>
    <x v="4"/>
    <s v="PM17"/>
    <s v="NG SWEE CHEA"/>
    <n v="2000"/>
    <m/>
    <m/>
    <d v="2025-03-18T00:00:00"/>
    <m/>
    <n v="4"/>
    <n v="8000"/>
    <s v="PE"/>
    <n v="86085410001"/>
    <n v="0"/>
    <n v="6000"/>
    <n v="2000"/>
    <n v="0"/>
    <n v="0"/>
    <n v="0"/>
    <m/>
    <m/>
    <n v="0"/>
    <m/>
    <m/>
    <m/>
    <m/>
    <m/>
    <m/>
    <m/>
    <m/>
    <n v="8608541"/>
    <s v="B02083"/>
    <s v="BECTON DICKINSON MEDICAL (S) PTE LTD"/>
    <m/>
    <n v="0"/>
    <n v="0"/>
    <n v="0"/>
    <n v="0"/>
    <n v="0"/>
    <n v="0"/>
    <m/>
    <m/>
    <m/>
    <s v="No"/>
    <s v="W663215"/>
    <n v="0"/>
    <m/>
    <s v="B02083"/>
    <m/>
    <m/>
    <s v="S0361379"/>
  </r>
  <r>
    <x v="764"/>
    <n v="10000"/>
    <n v="10000"/>
    <d v="2025-03-19T00:00:00"/>
    <s v="502LAUGH"/>
    <s v=" 1:36:58 pm"/>
    <s v="J00T59660"/>
    <m/>
    <x v="2"/>
    <s v="Yes"/>
    <n v="72"/>
    <s v="Xeikon 3500"/>
    <x v="4"/>
    <s v="PM17"/>
    <s v="NG SWEE CHEA"/>
    <n v="1750"/>
    <m/>
    <m/>
    <d v="2025-03-18T00:00:00"/>
    <m/>
    <n v="4"/>
    <n v="7000"/>
    <s v="PE"/>
    <n v="5000580740001"/>
    <n v="0"/>
    <n v="5000"/>
    <n v="2000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63216"/>
    <n v="0"/>
    <m/>
    <s v="B02083"/>
    <m/>
    <m/>
    <s v="S0361379"/>
  </r>
  <r>
    <x v="765"/>
    <n v="10000"/>
    <n v="10000"/>
    <d v="2025-03-19T00:00:00"/>
    <s v="502LAUGH"/>
    <s v=" 1:36:58 pm"/>
    <s v="J00T59660"/>
    <m/>
    <x v="2"/>
    <s v="Yes"/>
    <n v="72"/>
    <s v="Xeikon 3500"/>
    <x v="4"/>
    <s v="PM17"/>
    <s v="NG SWEE CHEA"/>
    <n v="7750"/>
    <m/>
    <m/>
    <d v="2025-03-18T00:00:00"/>
    <m/>
    <n v="4"/>
    <n v="31000"/>
    <s v="PE"/>
    <n v="5000580750001"/>
    <n v="0"/>
    <n v="27000"/>
    <n v="4000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63336"/>
    <n v="0"/>
    <m/>
    <s v="B02083"/>
    <m/>
    <m/>
    <s v="S0361379"/>
  </r>
  <r>
    <x v="766"/>
    <n v="10000"/>
    <n v="10000"/>
    <d v="2025-03-19T00:00:00"/>
    <s v="502LAUGH"/>
    <s v=" 1:36:58 pm"/>
    <s v="J00T59660"/>
    <m/>
    <x v="2"/>
    <s v="Yes"/>
    <n v="72"/>
    <s v="Xeikon 3500"/>
    <x v="4"/>
    <s v="PM17"/>
    <s v="NG SWEE CHEA"/>
    <n v="4500"/>
    <m/>
    <m/>
    <d v="2025-03-18T00:00:00"/>
    <m/>
    <n v="4"/>
    <n v="18000"/>
    <s v="PE"/>
    <n v="5000582200001"/>
    <n v="0"/>
    <n v="15000"/>
    <n v="300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3337"/>
    <n v="0"/>
    <m/>
    <s v="B02083"/>
    <m/>
    <m/>
    <s v="S0361379"/>
  </r>
  <r>
    <x v="767"/>
    <n v="10000"/>
    <n v="10000"/>
    <d v="2025-03-18T00:00:00"/>
    <s v="502LAUGH"/>
    <s v=" 5:28:38 pm"/>
    <s v="J00T59660"/>
    <m/>
    <x v="2"/>
    <s v="Yes"/>
    <n v="72"/>
    <s v="Xeikon 3500"/>
    <x v="4"/>
    <s v="PM17"/>
    <s v="NG SWEE CHEA"/>
    <n v="1750"/>
    <m/>
    <m/>
    <d v="2025-03-18T00:00:00"/>
    <m/>
    <n v="4"/>
    <n v="7000"/>
    <s v="PE"/>
    <n v="5000582230001"/>
    <n v="0"/>
    <n v="5000"/>
    <n v="2000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63217"/>
    <n v="0"/>
    <m/>
    <s v="B02083"/>
    <m/>
    <m/>
    <s v="S0361379"/>
  </r>
  <r>
    <x v="767"/>
    <n v="10000"/>
    <n v="20000"/>
    <d v="2025-03-18T00:00:00"/>
    <s v="502LAUGH"/>
    <s v=" 5:28:38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582230001"/>
    <n v="0"/>
    <n v="5000"/>
    <n v="4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63217"/>
    <n v="0"/>
    <m/>
    <s v="B02083"/>
    <m/>
    <m/>
    <s v="S0361379"/>
  </r>
  <r>
    <x v="768"/>
    <n v="10000"/>
    <n v="10000"/>
    <d v="2025-03-18T00:00:00"/>
    <s v="502LAUGH"/>
    <s v=" 5:29:23 pm"/>
    <s v="J00T59660"/>
    <m/>
    <x v="2"/>
    <s v="Yes"/>
    <n v="72"/>
    <s v="Xeikon 3500"/>
    <x v="4"/>
    <s v="PM17"/>
    <s v="NG SWEE CHEA"/>
    <n v="1750"/>
    <m/>
    <m/>
    <d v="2025-03-18T00:00:00"/>
    <m/>
    <n v="4"/>
    <n v="7000"/>
    <s v="PE"/>
    <n v="5000602800001"/>
    <n v="0"/>
    <n v="5000"/>
    <n v="2000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63218"/>
    <n v="0"/>
    <m/>
    <s v="B02083"/>
    <m/>
    <m/>
    <s v="S0361379"/>
  </r>
  <r>
    <x v="768"/>
    <n v="10000"/>
    <n v="20000"/>
    <d v="2025-03-18T00:00:00"/>
    <s v="502LAUGH"/>
    <s v=" 5:29:23 pm"/>
    <s v="J00T59660"/>
    <m/>
    <x v="0"/>
    <s v="Yes"/>
    <n v="71"/>
    <s v="POLLY"/>
    <x v="3"/>
    <s v="PS95"/>
    <s v="LIM CHENG LEONG"/>
    <n v="834"/>
    <m/>
    <m/>
    <d v="2025-03-18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63218"/>
    <n v="0"/>
    <m/>
    <s v="B02083"/>
    <m/>
    <m/>
    <s v="S0361379"/>
  </r>
  <r>
    <x v="769"/>
    <n v="10000"/>
    <n v="10000"/>
    <d v="2025-03-18T00:00:00"/>
    <s v="502LAUGH"/>
    <s v=" 5:30:03 pm"/>
    <s v="J00T59660"/>
    <m/>
    <x v="2"/>
    <s v="Yes"/>
    <n v="72"/>
    <s v="Xeikon 3500"/>
    <x v="4"/>
    <s v="PM17"/>
    <s v="NG SWEE CHEA"/>
    <n v="2000"/>
    <m/>
    <m/>
    <d v="2025-03-18T00:00:00"/>
    <m/>
    <n v="4"/>
    <n v="8000"/>
    <s v="PE"/>
    <n v="5000602810001"/>
    <n v="0"/>
    <n v="6000"/>
    <n v="2000"/>
    <n v="0"/>
    <n v="0"/>
    <n v="0"/>
    <m/>
    <m/>
    <n v="0"/>
    <m/>
    <m/>
    <m/>
    <m/>
    <m/>
    <m/>
    <m/>
    <m/>
    <n v="500060281"/>
    <s v="B02083"/>
    <s v="BECTON DICKINSON MEDICAL (S) PTE LTD"/>
    <m/>
    <n v="0"/>
    <n v="0"/>
    <n v="0"/>
    <n v="0"/>
    <n v="0"/>
    <n v="0"/>
    <m/>
    <m/>
    <m/>
    <s v="No"/>
    <s v="W663219"/>
    <n v="0"/>
    <m/>
    <s v="B02083"/>
    <m/>
    <m/>
    <s v="S0361379"/>
  </r>
  <r>
    <x v="769"/>
    <n v="10000"/>
    <n v="20000"/>
    <d v="2025-03-18T00:00:00"/>
    <s v="502LAUGH"/>
    <s v=" 5:30:03 pm"/>
    <s v="J00T59660"/>
    <m/>
    <x v="0"/>
    <s v="Yes"/>
    <n v="71"/>
    <s v="POLLY"/>
    <x v="3"/>
    <s v="PS95"/>
    <s v="LIM CHENG LEONG"/>
    <n v="1000"/>
    <m/>
    <m/>
    <d v="2025-03-18T00:00:00"/>
    <m/>
    <n v="6"/>
    <n v="6000"/>
    <s v="PE"/>
    <n v="5000602810001"/>
    <n v="0"/>
    <n v="6000"/>
    <n v="0"/>
    <n v="0"/>
    <n v="0"/>
    <n v="0"/>
    <m/>
    <m/>
    <n v="0"/>
    <m/>
    <m/>
    <m/>
    <m/>
    <m/>
    <m/>
    <m/>
    <m/>
    <n v="500060281"/>
    <s v="B02083"/>
    <s v="BECTON DICKINSON MEDICAL (S) PTE LTD"/>
    <m/>
    <n v="0"/>
    <n v="0"/>
    <n v="0"/>
    <n v="0"/>
    <n v="0"/>
    <n v="0"/>
    <m/>
    <m/>
    <m/>
    <s v="No"/>
    <s v="W663219"/>
    <n v="0"/>
    <m/>
    <s v="B02083"/>
    <m/>
    <m/>
    <s v="S0361379"/>
  </r>
  <r>
    <x v="770"/>
    <n v="10000"/>
    <n v="10000"/>
    <d v="2025-03-19T00:00:00"/>
    <s v="502LAUGH"/>
    <s v=" 5:52:09 pm"/>
    <s v="J00T59660"/>
    <m/>
    <x v="2"/>
    <s v="Yes"/>
    <n v="72"/>
    <s v="Xeikon 3500"/>
    <x v="4"/>
    <s v="PM17"/>
    <s v="NG SWEE CHEA"/>
    <n v="10500"/>
    <m/>
    <m/>
    <d v="2025-03-18T00:00:00"/>
    <m/>
    <n v="4"/>
    <n v="42000"/>
    <s v="PE"/>
    <n v="5000602820001"/>
    <n v="0"/>
    <n v="37000"/>
    <n v="5000"/>
    <n v="0"/>
    <n v="0"/>
    <n v="0"/>
    <m/>
    <m/>
    <n v="0"/>
    <m/>
    <m/>
    <m/>
    <m/>
    <m/>
    <m/>
    <m/>
    <m/>
    <n v="500060282"/>
    <s v="B02083"/>
    <s v="BECTON DICKINSON MEDICAL (S) PTE LTD"/>
    <m/>
    <n v="0"/>
    <n v="0"/>
    <n v="0"/>
    <n v="0"/>
    <n v="0"/>
    <n v="0"/>
    <m/>
    <m/>
    <m/>
    <s v="No"/>
    <s v="W663339"/>
    <n v="0"/>
    <m/>
    <s v="B02083"/>
    <m/>
    <m/>
    <s v="S0361379"/>
  </r>
  <r>
    <x v="771"/>
    <n v="10000"/>
    <n v="10000"/>
    <d v="2025-03-18T00:00:00"/>
    <s v="502LAUGH"/>
    <s v=" 5:30:52 pm"/>
    <s v="J00T59660"/>
    <m/>
    <x v="2"/>
    <s v="Yes"/>
    <n v="72"/>
    <s v="Xeikon 3500"/>
    <x v="4"/>
    <s v="PM17"/>
    <s v="NG SWEE CHEA"/>
    <n v="2250"/>
    <m/>
    <m/>
    <d v="2025-03-18T00:00:00"/>
    <m/>
    <n v="4"/>
    <n v="9000"/>
    <s v="PE"/>
    <n v="5000634580001"/>
    <n v="0"/>
    <n v="7000"/>
    <n v="2000"/>
    <n v="0"/>
    <n v="0"/>
    <n v="0"/>
    <m/>
    <m/>
    <n v="0"/>
    <m/>
    <m/>
    <m/>
    <m/>
    <m/>
    <m/>
    <m/>
    <m/>
    <n v="500063458"/>
    <s v="B02083"/>
    <s v="BECTON DICKINSON MEDICAL (S) PTE LTD"/>
    <m/>
    <n v="0"/>
    <n v="0"/>
    <n v="0"/>
    <n v="0"/>
    <n v="0"/>
    <n v="0"/>
    <m/>
    <m/>
    <m/>
    <s v="No"/>
    <s v="W663220"/>
    <n v="0"/>
    <m/>
    <s v="B02083"/>
    <m/>
    <m/>
    <s v="S0361379"/>
  </r>
  <r>
    <x v="771"/>
    <n v="10000"/>
    <n v="20000"/>
    <d v="2025-03-18T00:00:00"/>
    <s v="502LAUGH"/>
    <s v=" 5:30:52 pm"/>
    <s v="J00T59660"/>
    <m/>
    <x v="0"/>
    <s v="Yes"/>
    <n v="71"/>
    <s v="POLLY"/>
    <x v="3"/>
    <s v="PS95"/>
    <s v="LIM CHENG LEONG"/>
    <n v="1167"/>
    <m/>
    <m/>
    <d v="2025-03-18T00:00:00"/>
    <m/>
    <n v="6"/>
    <n v="7002"/>
    <s v="PE"/>
    <n v="5000634580001"/>
    <n v="0"/>
    <n v="7000"/>
    <n v="2"/>
    <n v="0"/>
    <n v="0"/>
    <n v="0"/>
    <m/>
    <m/>
    <n v="0"/>
    <m/>
    <m/>
    <m/>
    <m/>
    <m/>
    <m/>
    <m/>
    <m/>
    <n v="500063458"/>
    <s v="B02083"/>
    <s v="BECTON DICKINSON MEDICAL (S) PTE LTD"/>
    <m/>
    <n v="0"/>
    <n v="0"/>
    <n v="0"/>
    <n v="0"/>
    <n v="0"/>
    <n v="0"/>
    <m/>
    <m/>
    <m/>
    <s v="No"/>
    <s v="W663220"/>
    <n v="0"/>
    <m/>
    <s v="B02083"/>
    <m/>
    <m/>
    <s v="S0361379"/>
  </r>
  <r>
    <x v="772"/>
    <n v="10000"/>
    <n v="10000"/>
    <d v="2025-03-20T00:00:00"/>
    <s v="502LAUGH"/>
    <d v="1899-12-30T11:17:06"/>
    <s v="BYE028-02"/>
    <m/>
    <x v="2"/>
    <s v="Yes"/>
    <n v="88"/>
    <s v="OKI"/>
    <x v="4"/>
    <s v="PP24"/>
    <s v="HO HON SENG"/>
    <n v="2100"/>
    <m/>
    <m/>
    <d v="2025-03-18T00:00:00"/>
    <m/>
    <n v="5"/>
    <n v="10500"/>
    <s v="PE"/>
    <s v="APPROVED-28X47MM0001"/>
    <n v="0"/>
    <n v="10000"/>
    <n v="500"/>
    <n v="0"/>
    <n v="0"/>
    <n v="0"/>
    <m/>
    <m/>
    <n v="0"/>
    <m/>
    <m/>
    <m/>
    <m/>
    <m/>
    <m/>
    <m/>
    <m/>
    <s v="APPROVED-28X47MM"/>
    <s v="J10025"/>
    <s v="JMS SINGAPORE PTE LTD"/>
    <m/>
    <n v="0"/>
    <n v="0"/>
    <n v="0"/>
    <n v="0"/>
    <n v="0"/>
    <n v="0"/>
    <m/>
    <m/>
    <m/>
    <s v="No"/>
    <s v="W663221"/>
    <n v="0"/>
    <m/>
    <s v="J10025"/>
    <m/>
    <m/>
    <s v="S0361387"/>
  </r>
  <r>
    <x v="773"/>
    <n v="10000"/>
    <n v="10000"/>
    <d v="2025-03-19T00:00:00"/>
    <s v="502LAUGH"/>
    <s v=" 4:00:22 pm"/>
    <s v="4180S1"/>
    <s v="FSC31658"/>
    <x v="2"/>
    <s v="No"/>
    <n v="95"/>
    <s v="HDS 8"/>
    <x v="3"/>
    <s v="PM40"/>
    <s v="NGOI CHUN YONG"/>
    <n v="3750"/>
    <n v="232.5"/>
    <n v="3.875"/>
    <d v="2025-03-19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2943"/>
  </r>
  <r>
    <x v="774"/>
    <n v="10000"/>
    <n v="10000"/>
    <d v="2025-04-08T00:00:00"/>
    <s v="502LAUGH"/>
    <s v=" 8:53:34 am"/>
    <s v="E04OB9810"/>
    <s v="FSC30089"/>
    <x v="2"/>
    <s v="No"/>
    <n v="90"/>
    <s v="HDS"/>
    <x v="3"/>
    <s v="PM35"/>
    <s v="TAN MIN KANG"/>
    <n v="17500"/>
    <n v="920"/>
    <n v="15.333333333333334"/>
    <d v="2025-03-19T00:00:00"/>
    <m/>
    <n v="4"/>
    <n v="70000"/>
    <s v="PE"/>
    <s v="Y00-0000928-000001"/>
    <n v="0"/>
    <n v="0"/>
    <n v="0"/>
    <n v="0"/>
    <n v="0"/>
    <n v="0"/>
    <m/>
    <m/>
    <n v="0"/>
    <m/>
    <m/>
    <m/>
    <s v="No"/>
    <n v="0"/>
    <s v="No"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m/>
    <m/>
    <m/>
    <s v="F06170-JIANGSU"/>
    <m/>
    <m/>
    <s v="S0358339"/>
  </r>
  <r>
    <x v="775"/>
    <n v="10000"/>
    <n v="10000"/>
    <d v="2025-03-19T00:00:00"/>
    <s v="502LAUGH"/>
    <s v=" 1:45:27 pm"/>
    <s v="XHX2502100209/XHX24B18A1408/XHX2411251432"/>
    <m/>
    <x v="2"/>
    <s v="No"/>
    <n v="112"/>
    <s v="Hadesheng"/>
    <x v="3"/>
    <s v="PS07"/>
    <s v="KANG HOCK SENG"/>
    <n v="500"/>
    <n v="70"/>
    <n v="1.1666666666666667"/>
    <d v="2025-03-19T00:00:00"/>
    <m/>
    <n v="20"/>
    <n v="10000"/>
    <s v="PE"/>
    <s v="TPK-863269-00100001"/>
    <n v="0"/>
    <n v="0"/>
    <n v="0"/>
    <n v="0"/>
    <n v="0"/>
    <n v="0"/>
    <m/>
    <m/>
    <n v="0"/>
    <m/>
    <m/>
    <m/>
    <s v="No"/>
    <n v="0"/>
    <s v="No"/>
    <m/>
    <m/>
    <s v="TPK-863269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1001"/>
  </r>
  <r>
    <x v="605"/>
    <n v="10000"/>
    <n v="20000"/>
    <d v="2025-03-19T00:00:00"/>
    <s v="502LAUGH"/>
    <s v=" 5:21:28 pm"/>
    <n v="10639931025"/>
    <s v="FDC30934"/>
    <x v="0"/>
    <s v="No"/>
    <n v="77"/>
    <s v="Brotech DF330 "/>
    <x v="0"/>
    <s v="PM74"/>
    <s v="YONG CHEE SOON"/>
    <n v="600"/>
    <n v="55"/>
    <n v="0.91666666666666663"/>
    <d v="2025-03-19T00:00:00"/>
    <m/>
    <n v="15"/>
    <n v="9000"/>
    <s v="PE"/>
    <s v="G0Z24-800100001"/>
    <n v="0"/>
    <n v="0"/>
    <n v="0"/>
    <n v="0"/>
    <n v="0"/>
    <n v="0"/>
    <m/>
    <m/>
    <n v="0"/>
    <m/>
    <m/>
    <m/>
    <s v="No"/>
    <n v="0"/>
    <s v="No"/>
    <m/>
    <m/>
    <s v="G0Z24-80010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212"/>
  </r>
  <r>
    <x v="776"/>
    <n v="10000"/>
    <n v="10000"/>
    <d v="2025-03-19T00:00:00"/>
    <s v="502LAUGH"/>
    <s v=" 5:19:56 pm"/>
    <s v="4103005U5A"/>
    <s v="FSC30839A"/>
    <x v="2"/>
    <s v="No"/>
    <n v="82"/>
    <s v="Polly"/>
    <x v="3"/>
    <s v="PM11"/>
    <s v="TEE MENG CHAI"/>
    <n v="5000"/>
    <m/>
    <m/>
    <d v="2025-03-19T00:00:00"/>
    <m/>
    <n v="6"/>
    <n v="3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793"/>
  </r>
  <r>
    <x v="777"/>
    <n v="10000"/>
    <n v="10000"/>
    <d v="2025-03-19T00:00:00"/>
    <s v="502LAUGH"/>
    <s v=" 5:19:56 pm"/>
    <s v="4103005U5A"/>
    <s v="FSC30839A"/>
    <x v="2"/>
    <s v="No"/>
    <n v="82"/>
    <s v="Polly"/>
    <x v="3"/>
    <s v="PM11"/>
    <s v="TEE MENG CHAI"/>
    <n v="5000"/>
    <m/>
    <m/>
    <d v="2025-03-19T00:00:00"/>
    <m/>
    <n v="6"/>
    <n v="3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794"/>
  </r>
  <r>
    <x v="778"/>
    <n v="10000"/>
    <n v="10000"/>
    <d v="2025-04-15T00:00:00"/>
    <s v="502LAUGH"/>
    <s v=" 2:16:44 pm"/>
    <s v="D008O1542/D008O1730/D008O15421525/D008O1730/D008O1542"/>
    <s v="FDC31745"/>
    <x v="2"/>
    <s v="No"/>
    <n v="79"/>
    <s v="HP Indigo 6800"/>
    <x v="4"/>
    <s v="PM21"/>
    <s v="LIM JIA FAN"/>
    <n v="1850"/>
    <m/>
    <m/>
    <d v="2025-03-19T00:00:00"/>
    <m/>
    <n v="35"/>
    <n v="6475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3"/>
  </r>
  <r>
    <x v="779"/>
    <n v="10000"/>
    <n v="10000"/>
    <d v="2025-04-07T00:00:00"/>
    <s v="502LAUGH"/>
    <s v=" 8:35:07 am"/>
    <n v="10620258037"/>
    <s v="FBC30768"/>
    <x v="2"/>
    <s v="No"/>
    <n v="79"/>
    <s v="HP Indigo 6800"/>
    <x v="4"/>
    <s v="PM16"/>
    <s v="TEO KAH JUN"/>
    <n v="569"/>
    <n v="58.45"/>
    <n v="0.97416666666666674"/>
    <d v="2025-03-19T00:00:00"/>
    <m/>
    <n v="176"/>
    <n v="100144"/>
    <s v="PE"/>
    <s v="E5Z02-80008-FT0001"/>
    <n v="0"/>
    <n v="0"/>
    <n v="0"/>
    <n v="0"/>
    <n v="0"/>
    <n v="0"/>
    <m/>
    <m/>
    <n v="0"/>
    <m/>
    <m/>
    <m/>
    <s v="No"/>
    <n v="0"/>
    <s v="No"/>
    <m/>
    <m/>
    <s v="E5Z02-80008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6"/>
  </r>
  <r>
    <x v="780"/>
    <n v="10000"/>
    <n v="10000"/>
    <d v="2025-04-01T00:00:00"/>
    <s v="502LAUGH"/>
    <s v=" 1:59:11 pm"/>
    <n v="10620258042"/>
    <s v="FSC30754"/>
    <x v="2"/>
    <s v="No"/>
    <n v="79"/>
    <s v="HP Indigo 6800"/>
    <x v="4"/>
    <s v="PM16"/>
    <s v="TEO KAH JUN"/>
    <n v="270"/>
    <n v="43.5"/>
    <n v="0.72499999999999998"/>
    <d v="2025-03-19T00:00:00"/>
    <m/>
    <n v="297"/>
    <n v="80190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3"/>
  </r>
  <r>
    <x v="781"/>
    <n v="10000"/>
    <n v="10000"/>
    <d v="2025-03-25T00:00:00"/>
    <s v="502LAUGH"/>
    <s v=" 8:44:06 am"/>
    <s v="10620258041/10620258044/10620258042"/>
    <s v="FSC30754"/>
    <x v="2"/>
    <s v="No"/>
    <n v="79"/>
    <s v="HP Indigo 6800"/>
    <x v="4"/>
    <s v="PM16"/>
    <s v="TEO KAH JUN"/>
    <n v="4260"/>
    <n v="243"/>
    <n v="4.05"/>
    <d v="2025-03-19T00:00:00"/>
    <m/>
    <n v="27"/>
    <n v="11502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4"/>
  </r>
  <r>
    <x v="781"/>
    <n v="10000"/>
    <n v="40000"/>
    <d v="2025-04-04T00:00:00"/>
    <s v="502LAUGH"/>
    <s v=" 5:33:57 pm"/>
    <s v="10620258042/10620258038"/>
    <s v="FBC30768"/>
    <x v="2"/>
    <s v="No"/>
    <n v="79"/>
    <s v="HP Indigo 6800"/>
    <x v="4"/>
    <s v="PM16"/>
    <s v="TEO KAH JUN"/>
    <n v="1073"/>
    <n v="83.65"/>
    <n v="1.3941666666666668"/>
    <d v="2025-03-19T00:00:00"/>
    <m/>
    <n v="176"/>
    <n v="188848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4"/>
  </r>
  <r>
    <x v="782"/>
    <n v="10000"/>
    <n v="10000"/>
    <d v="2025-03-19T00:00:00"/>
    <s v="502LAUGH"/>
    <s v=" 4:00:22 pm"/>
    <s v="4180S1"/>
    <m/>
    <x v="2"/>
    <s v="Yes"/>
    <n v="95"/>
    <s v="HDS 8"/>
    <x v="3"/>
    <s v="PM40"/>
    <s v="NGOI CHUN YONG"/>
    <n v="7500"/>
    <n v="420"/>
    <n v="7"/>
    <d v="2025-03-19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s v="RESMED ASIA PTE LTD"/>
    <m/>
    <n v="0"/>
    <n v="0"/>
    <n v="0"/>
    <n v="0"/>
    <n v="0"/>
    <n v="0"/>
    <m/>
    <m/>
    <m/>
    <s v="No"/>
    <s v="W663519"/>
    <n v="0"/>
    <m/>
    <s v="R18131"/>
    <m/>
    <m/>
    <s v="S0351983"/>
  </r>
  <r>
    <x v="783"/>
    <n v="10000"/>
    <n v="20000"/>
    <d v="2025-03-20T00:00:00"/>
    <s v="502LAUGH"/>
    <s v=" 8:31:19 am"/>
    <s v="2087S1"/>
    <m/>
    <x v="2"/>
    <s v="Yes"/>
    <n v="61"/>
    <s v="FSK 520"/>
    <x v="2"/>
    <s v="PM68"/>
    <s v="LEE KIM LIANG"/>
    <n v="200"/>
    <n v="49"/>
    <n v="0.81666666666666665"/>
    <d v="2025-03-19T00:00:00"/>
    <m/>
    <n v="1"/>
    <n v="200"/>
    <s v="PE"/>
    <s v="L1Q41-800140001"/>
    <n v="0"/>
    <n v="200"/>
    <n v="0"/>
    <n v="0"/>
    <n v="0"/>
    <n v="0"/>
    <m/>
    <m/>
    <n v="0"/>
    <m/>
    <m/>
    <m/>
    <m/>
    <m/>
    <m/>
    <m/>
    <m/>
    <s v="HPM-LIQ41-80014"/>
    <s v="H08031-FLEX-PTP"/>
    <s v="FLEXTRONICS SHAH ALAM SDN BHD"/>
    <m/>
    <n v="0"/>
    <n v="0"/>
    <n v="0"/>
    <n v="0"/>
    <n v="0"/>
    <n v="0"/>
    <m/>
    <m/>
    <m/>
    <s v="No"/>
    <s v="W662935"/>
    <n v="0"/>
    <m/>
    <s v="H08031-FLEX-PTP"/>
    <m/>
    <m/>
    <s v="S0355052"/>
  </r>
  <r>
    <x v="784"/>
    <n v="10000"/>
    <n v="10000"/>
    <d v="2025-03-19T00:00:00"/>
    <s v="502LAUGH"/>
    <s v=" 1:45:27 pm"/>
    <s v="XHX2502100209/XHX24B18A1408/XHX2411251432"/>
    <m/>
    <x v="2"/>
    <s v="Yes"/>
    <n v="112"/>
    <s v="Hadesheng"/>
    <x v="3"/>
    <s v="PS07"/>
    <s v="KANG HOCK SENG"/>
    <n v="1500"/>
    <n v="120"/>
    <n v="2"/>
    <d v="2025-03-19T00:00:00"/>
    <m/>
    <n v="20"/>
    <n v="30000"/>
    <s v="PE"/>
    <s v="TPK-863269-00100001"/>
    <n v="0"/>
    <n v="30000"/>
    <n v="0"/>
    <n v="0"/>
    <n v="0"/>
    <n v="0"/>
    <m/>
    <m/>
    <n v="0"/>
    <m/>
    <m/>
    <m/>
    <m/>
    <m/>
    <m/>
    <m/>
    <m/>
    <s v="TPK-863269-0010"/>
    <s v="Z26002"/>
    <s v="CCL DESIGN (PENANG) SDN. BHD."/>
    <m/>
    <n v="0"/>
    <n v="0"/>
    <n v="0"/>
    <n v="0"/>
    <n v="0"/>
    <n v="0"/>
    <m/>
    <m/>
    <m/>
    <s v="No"/>
    <s v="W662940"/>
    <n v="0"/>
    <m/>
    <s v="Z26002"/>
    <m/>
    <m/>
    <s v="S0355950"/>
  </r>
  <r>
    <x v="728"/>
    <n v="10000"/>
    <n v="20000"/>
    <d v="2025-03-20T00:00:00"/>
    <s v="502LAUGH"/>
    <s v=" 8:40:22 am"/>
    <s v="SG-564141001"/>
    <m/>
    <x v="2"/>
    <s v="Yes"/>
    <n v="73"/>
    <s v="Brotech DF330"/>
    <x v="0"/>
    <s v="PM59"/>
    <s v="VOON CHAN PIN"/>
    <n v="12000"/>
    <n v="245"/>
    <n v="4.083333333333333"/>
    <d v="2025-03-19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4070"/>
    <n v="0"/>
    <m/>
    <s v="B02083"/>
    <m/>
    <m/>
    <s v="S0357123"/>
  </r>
  <r>
    <x v="785"/>
    <n v="10000"/>
    <n v="10000"/>
    <d v="2025-03-19T00:00:00"/>
    <s v="502LAUGH"/>
    <s v=" 5:20:27 pm"/>
    <s v="SG-5622228 01"/>
    <m/>
    <x v="2"/>
    <s v="Yes"/>
    <n v="59"/>
    <s v="SANKI SD-300 Intermittent"/>
    <x v="2"/>
    <s v="PS74"/>
    <s v="GOH CHIN TECK"/>
    <n v="100"/>
    <n v="47.5"/>
    <n v="0.79166666666666663"/>
    <d v="2025-03-19T00:00:00"/>
    <m/>
    <n v="10"/>
    <n v="1000"/>
    <s v="PE"/>
    <n v="112024410001"/>
    <n v="0"/>
    <n v="1000"/>
    <n v="0"/>
    <n v="0"/>
    <n v="0"/>
    <n v="0"/>
    <m/>
    <m/>
    <n v="0"/>
    <m/>
    <m/>
    <m/>
    <m/>
    <m/>
    <m/>
    <m/>
    <m/>
    <n v="11202441"/>
    <s v="I09180"/>
    <s v="ILLUMINA SINGAPORE PTE LTD"/>
    <m/>
    <n v="0"/>
    <n v="0"/>
    <n v="0"/>
    <n v="0"/>
    <n v="0"/>
    <n v="0"/>
    <m/>
    <m/>
    <m/>
    <s v="No"/>
    <s v="W662985"/>
    <n v="0"/>
    <m/>
    <s v="I09180"/>
    <m/>
    <m/>
    <s v="S0359040"/>
  </r>
  <r>
    <x v="785"/>
    <n v="20000"/>
    <n v="10000"/>
    <d v="2025-03-19T00:00:00"/>
    <s v="502LAUGH"/>
    <s v=" 5:20:27 pm"/>
    <s v="SG-5622228 01"/>
    <m/>
    <x v="2"/>
    <s v="Yes"/>
    <n v="59"/>
    <s v="SANKI SD-300 Intermittent"/>
    <x v="2"/>
    <s v="PS74"/>
    <s v="GOH CHIN TECK"/>
    <n v="100"/>
    <n v="47.5"/>
    <n v="0.79166666666666663"/>
    <d v="2025-03-19T00:00:00"/>
    <m/>
    <n v="10"/>
    <n v="1000"/>
    <s v="PE"/>
    <n v="112024410001"/>
    <n v="0"/>
    <n v="1000"/>
    <n v="0"/>
    <n v="0"/>
    <n v="0"/>
    <n v="0"/>
    <m/>
    <m/>
    <n v="0"/>
    <m/>
    <m/>
    <m/>
    <m/>
    <m/>
    <m/>
    <m/>
    <m/>
    <n v="11202441"/>
    <s v="I09180"/>
    <s v="ILLUMINA SINGAPORE PTE LTD"/>
    <m/>
    <n v="0"/>
    <n v="0"/>
    <n v="0"/>
    <n v="0"/>
    <n v="0"/>
    <n v="0"/>
    <m/>
    <m/>
    <m/>
    <s v="No"/>
    <s v="W662985"/>
    <n v="0"/>
    <m/>
    <s v="I09180"/>
    <m/>
    <m/>
    <s v="S0359040"/>
  </r>
  <r>
    <x v="786"/>
    <n v="10000"/>
    <n v="10000"/>
    <d v="2025-03-19T00:00:00"/>
    <s v="502LAUGH"/>
    <s v=" 4:39:52 pm"/>
    <s v="SG-5622228 01"/>
    <m/>
    <x v="2"/>
    <s v="Yes"/>
    <n v="59"/>
    <s v="SANKI SD-300 Intermittent"/>
    <x v="2"/>
    <s v="PS74"/>
    <s v="GOH CHIN TECK"/>
    <n v="1000"/>
    <n v="70"/>
    <n v="1.1666666666666667"/>
    <d v="2025-03-1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62986"/>
    <n v="0"/>
    <m/>
    <s v="I09180"/>
    <m/>
    <m/>
    <s v="S0359041"/>
  </r>
  <r>
    <x v="786"/>
    <n v="20000"/>
    <n v="10000"/>
    <d v="2025-03-19T00:00:00"/>
    <s v="502LAUGH"/>
    <s v=" 4:39:52 pm"/>
    <s v="SG-5622228 01"/>
    <m/>
    <x v="2"/>
    <s v="Yes"/>
    <n v="59"/>
    <s v="SANKI SD-300 Intermittent"/>
    <x v="2"/>
    <s v="PS74"/>
    <s v="GOH CHIN TECK"/>
    <n v="1000"/>
    <n v="70"/>
    <n v="1.1666666666666667"/>
    <d v="2025-03-1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62986"/>
    <n v="0"/>
    <m/>
    <s v="I09180"/>
    <m/>
    <m/>
    <s v="S0359041"/>
  </r>
  <r>
    <x v="786"/>
    <n v="30000"/>
    <n v="10000"/>
    <d v="2025-03-19T00:00:00"/>
    <s v="502LAUGH"/>
    <s v=" 4:39:52 pm"/>
    <s v="SG-5622228 01"/>
    <m/>
    <x v="2"/>
    <s v="Yes"/>
    <n v="59"/>
    <s v="SANKI SD-300 Intermittent"/>
    <x v="2"/>
    <s v="PS74"/>
    <s v="GOH CHIN TECK"/>
    <n v="1000"/>
    <n v="70"/>
    <n v="1.1666666666666667"/>
    <d v="2025-03-19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s v="ILLUMINA SINGAPORE PTE LTD"/>
    <m/>
    <n v="0"/>
    <n v="0"/>
    <n v="0"/>
    <n v="0"/>
    <n v="0"/>
    <n v="0"/>
    <m/>
    <m/>
    <m/>
    <s v="No"/>
    <s v="W662986"/>
    <n v="0"/>
    <m/>
    <s v="I09180"/>
    <m/>
    <m/>
    <s v="S0359041"/>
  </r>
  <r>
    <x v="729"/>
    <n v="20000"/>
    <n v="20000"/>
    <d v="2025-03-25T00:00:00"/>
    <s v="502LAUGH"/>
    <d v="1899-12-30T10:40:59"/>
    <s v="WO2024/5284/1012643/80116793/XHX24911A1407/XHX2412190201"/>
    <m/>
    <x v="2"/>
    <s v="Yes"/>
    <n v="103"/>
    <s v="HDS"/>
    <x v="3"/>
    <s v="PM47"/>
    <s v="CHEAN WEI KEONG"/>
    <n v="43125"/>
    <n v="2201.25"/>
    <n v="36.6875"/>
    <d v="2025-03-19T00:00:00"/>
    <m/>
    <n v="8"/>
    <n v="345000"/>
    <s v="PE"/>
    <s v="MT273730001"/>
    <n v="0"/>
    <n v="34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573"/>
    <n v="0"/>
    <m/>
    <s v="Z26002"/>
    <m/>
    <m/>
    <s v="S0359226"/>
  </r>
  <r>
    <x v="729"/>
    <n v="20000"/>
    <n v="30000"/>
    <d v="2025-03-25T00:00:00"/>
    <s v="502LAUGH"/>
    <d v="1899-12-30T10:40:59"/>
    <s v="WO2024/5284/1012643/80116793/XHX24911A1407/XHX2412190201"/>
    <m/>
    <x v="2"/>
    <s v="Yes"/>
    <n v="103"/>
    <s v="HDS"/>
    <x v="3"/>
    <s v="PM55"/>
    <s v="CHAN SAU PENG"/>
    <n v="22500"/>
    <m/>
    <m/>
    <d v="2025-03-19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3573"/>
    <n v="0"/>
    <m/>
    <s v="Z26002"/>
    <m/>
    <m/>
    <s v="S0359226"/>
  </r>
  <r>
    <x v="787"/>
    <n v="10000"/>
    <n v="10000"/>
    <d v="2025-03-25T00:00:00"/>
    <s v="502LAUGH"/>
    <s v=" 8:40:53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N9K09-80005-FT0001"/>
    <n v="0"/>
    <n v="100000"/>
    <n v="15020"/>
    <n v="0"/>
    <n v="0"/>
    <n v="0"/>
    <m/>
    <m/>
    <n v="0"/>
    <m/>
    <m/>
    <m/>
    <m/>
    <m/>
    <m/>
    <m/>
    <m/>
    <s v="N9K09-80005-FT"/>
    <s v="H08031-JIM-M"/>
    <s v="HP MALAYSIA MANUFACTURING SDN.BHD."/>
    <m/>
    <n v="0"/>
    <n v="0"/>
    <n v="0"/>
    <n v="0"/>
    <n v="0"/>
    <n v="0"/>
    <m/>
    <m/>
    <m/>
    <s v="No"/>
    <s v="W663581"/>
    <n v="0"/>
    <m/>
    <s v="H08031-JIM-M"/>
    <m/>
    <m/>
    <s v="S0359279"/>
  </r>
  <r>
    <x v="293"/>
    <n v="10000"/>
    <n v="30000"/>
    <d v="2025-03-24T00:00:00"/>
    <s v="502LAUGH"/>
    <s v=" 8:49:24 am"/>
    <n v="10639931011"/>
    <m/>
    <x v="1"/>
    <s v="Yes"/>
    <n v="85"/>
    <s v="Luster AOI"/>
    <x v="1"/>
    <s v="QM54"/>
    <s v="TAN SWEE LENG"/>
    <n v="18182"/>
    <m/>
    <m/>
    <d v="2025-03-19T00:00:00"/>
    <m/>
    <n v="11"/>
    <n v="200002"/>
    <s v="PE"/>
    <s v="7FP01-80003-FT0001"/>
    <n v="0"/>
    <n v="180000"/>
    <n v="20002"/>
    <n v="0"/>
    <n v="0"/>
    <n v="0"/>
    <m/>
    <m/>
    <n v="0"/>
    <m/>
    <m/>
    <m/>
    <m/>
    <m/>
    <m/>
    <m/>
    <m/>
    <s v="7FP01-80003-FT"/>
    <s v="H08031-JIM-M"/>
    <s v="HP MALAYSIA MANUFACTURING SDN.BHD."/>
    <m/>
    <n v="0"/>
    <n v="0"/>
    <n v="0"/>
    <n v="0"/>
    <n v="0"/>
    <n v="0"/>
    <m/>
    <m/>
    <m/>
    <s v="No"/>
    <s v="W663587"/>
    <n v="0"/>
    <m/>
    <s v="H08031-JIM-M"/>
    <m/>
    <m/>
    <s v="S0359302"/>
  </r>
  <r>
    <x v="788"/>
    <n v="10000"/>
    <n v="10000"/>
    <d v="2025-03-25T00:00:00"/>
    <s v="502LAUGH"/>
    <s v=" 8:37:51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N9K01-80017-FT0001"/>
    <n v="0"/>
    <n v="100000"/>
    <n v="1502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3589"/>
    <n v="0"/>
    <m/>
    <s v="H08031-JIM-M"/>
    <m/>
    <m/>
    <s v="S0359321"/>
  </r>
  <r>
    <x v="789"/>
    <n v="10000"/>
    <n v="10000"/>
    <d v="2025-03-25T00:00:00"/>
    <s v="502LAUGH"/>
    <s v=" 8:36:34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F6U65-80033-FT0001"/>
    <n v="0"/>
    <n v="100000"/>
    <n v="1502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3592"/>
    <n v="0"/>
    <m/>
    <s v="H08031-JIM-M"/>
    <m/>
    <m/>
    <s v="S0359325"/>
  </r>
  <r>
    <x v="790"/>
    <n v="10000"/>
    <n v="10000"/>
    <d v="2025-03-19T00:00:00"/>
    <s v="502LAUGH"/>
    <s v=" 1:37:36 pm"/>
    <s v="M0BSO3780"/>
    <m/>
    <x v="2"/>
    <s v="Yes"/>
    <n v="94"/>
    <s v="Taiyo"/>
    <x v="2"/>
    <s v="PM09"/>
    <s v="PANG JING FULL"/>
    <n v="5000"/>
    <m/>
    <m/>
    <d v="2025-03-19T00:00:00"/>
    <m/>
    <n v="4"/>
    <n v="20000"/>
    <s v="PE"/>
    <s v="L001-773057-00000005"/>
    <n v="0"/>
    <n v="20000"/>
    <n v="0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3595"/>
    <n v="0"/>
    <m/>
    <s v="W23041-TH"/>
    <m/>
    <m/>
    <s v="H0064675"/>
  </r>
  <r>
    <x v="791"/>
    <n v="10000"/>
    <n v="10000"/>
    <d v="2025-03-20T00:00:00"/>
    <s v="502LAUGH"/>
    <s v=" 8:37:50 am"/>
    <s v="SG-5622228 01"/>
    <m/>
    <x v="2"/>
    <s v="Yes"/>
    <n v="59"/>
    <s v="SANKI SD-300 Intermittent"/>
    <x v="2"/>
    <s v="PS74"/>
    <s v="GOH CHIN TECK"/>
    <n v="2000"/>
    <n v="95"/>
    <n v="1.5833333333333333"/>
    <d v="2025-03-19T00:00:00"/>
    <m/>
    <n v="10"/>
    <n v="20000"/>
    <s v="PE"/>
    <n v="112023530001"/>
    <n v="0"/>
    <n v="20000"/>
    <n v="0"/>
    <n v="0"/>
    <n v="0"/>
    <n v="0"/>
    <m/>
    <m/>
    <n v="0"/>
    <m/>
    <m/>
    <m/>
    <m/>
    <m/>
    <m/>
    <m/>
    <m/>
    <n v="11202353"/>
    <s v="U21088"/>
    <s v="UNIVAC PRECISION ENGINEERING PTE LTD"/>
    <m/>
    <n v="0"/>
    <n v="0"/>
    <n v="0"/>
    <n v="0"/>
    <n v="0"/>
    <n v="0"/>
    <m/>
    <m/>
    <m/>
    <s v="No"/>
    <s v="W663304"/>
    <n v="0"/>
    <m/>
    <s v="U21088"/>
    <m/>
    <m/>
    <s v="S0360715"/>
  </r>
  <r>
    <x v="792"/>
    <n v="10000"/>
    <n v="10000"/>
    <d v="2025-03-19T00:00:00"/>
    <s v="502LAUGH"/>
    <d v="1899-12-30T11:19:05"/>
    <s v="SG-564465501"/>
    <m/>
    <x v="2"/>
    <s v="Yes"/>
    <n v="65"/>
    <s v="Sanki SDR300"/>
    <x v="3"/>
    <s v="PMJ7"/>
    <s v="FOONG SEL YI"/>
    <n v="2101"/>
    <n v="97.525000000000006"/>
    <n v="1.6254166666666667"/>
    <d v="2025-03-19T00:00:00"/>
    <m/>
    <n v="8"/>
    <n v="16808"/>
    <s v="PE"/>
    <n v="150638440001"/>
    <n v="0"/>
    <n v="16806"/>
    <n v="2"/>
    <n v="0"/>
    <n v="0"/>
    <n v="0"/>
    <m/>
    <m/>
    <n v="0"/>
    <m/>
    <m/>
    <m/>
    <m/>
    <m/>
    <m/>
    <m/>
    <m/>
    <n v="15063844"/>
    <s v="I09180-US"/>
    <s v="ILLUMINA CAMBRIDGE, LTD"/>
    <m/>
    <n v="0"/>
    <n v="0"/>
    <n v="0"/>
    <n v="0"/>
    <n v="0"/>
    <n v="0"/>
    <m/>
    <m/>
    <m/>
    <s v="No"/>
    <s v="W663305"/>
    <n v="0"/>
    <m/>
    <s v="I09180-US"/>
    <m/>
    <m/>
    <s v="S0360881"/>
  </r>
  <r>
    <x v="793"/>
    <n v="10000"/>
    <n v="10000"/>
    <d v="2025-03-20T00:00:00"/>
    <s v="502LAUGH"/>
    <s v=" 3:46:56 pm"/>
    <s v="SG-5649983 01"/>
    <m/>
    <x v="2"/>
    <s v="Yes"/>
    <n v="72"/>
    <s v="Xeikon 3500"/>
    <x v="4"/>
    <s v="PM17"/>
    <s v="NG SWEE CHEA"/>
    <n v="1000"/>
    <m/>
    <m/>
    <d v="2025-03-19T00:00:00"/>
    <m/>
    <n v="3"/>
    <n v="3000"/>
    <s v="PE"/>
    <s v="TI01460001"/>
    <n v="0"/>
    <n v="1000"/>
    <n v="2000"/>
    <n v="0"/>
    <n v="0"/>
    <n v="0"/>
    <m/>
    <m/>
    <n v="0"/>
    <m/>
    <m/>
    <m/>
    <m/>
    <m/>
    <m/>
    <m/>
    <m/>
    <s v="TI0146"/>
    <s v="T20144-FLAVOR"/>
    <s v="TAKASAGO INTERNATIONAL (SINGAPORE) PTE LTD"/>
    <m/>
    <n v="0"/>
    <n v="0"/>
    <n v="0"/>
    <n v="0"/>
    <n v="0"/>
    <n v="0"/>
    <m/>
    <m/>
    <m/>
    <s v="No"/>
    <s v="W663306"/>
    <n v="0"/>
    <m/>
    <s v="T20144-FLAVOR"/>
    <m/>
    <m/>
    <s v="S0360893"/>
  </r>
  <r>
    <x v="562"/>
    <n v="10000"/>
    <n v="40000"/>
    <d v="2025-03-20T00:00:00"/>
    <s v="502LAUGH"/>
    <s v=" 3:43:46 pm"/>
    <n v="860908144578"/>
    <m/>
    <x v="2"/>
    <s v="Yes"/>
    <n v="72"/>
    <s v="Xeikon 3500"/>
    <x v="4"/>
    <s v="PM17"/>
    <s v="NG SWEE CHEA"/>
    <n v="1200"/>
    <m/>
    <m/>
    <d v="2025-03-19T00:00:00"/>
    <m/>
    <n v="3"/>
    <n v="3600"/>
    <s v="PE"/>
    <s v="TI01030001"/>
    <n v="0"/>
    <n v="2700"/>
    <n v="900"/>
    <n v="0"/>
    <n v="0"/>
    <n v="0"/>
    <m/>
    <m/>
    <n v="0"/>
    <m/>
    <m/>
    <m/>
    <m/>
    <m/>
    <m/>
    <m/>
    <m/>
    <s v="TI0103"/>
    <s v="T20144-FLAVOR"/>
    <s v="TAKASAGO INTERNATIONAL (SINGAPORE) PTE LTD"/>
    <m/>
    <n v="0"/>
    <n v="0"/>
    <n v="0"/>
    <n v="0"/>
    <n v="0"/>
    <n v="0"/>
    <m/>
    <m/>
    <m/>
    <s v="No"/>
    <s v="W663047"/>
    <n v="0"/>
    <m/>
    <s v="T20144-FLAVOR"/>
    <m/>
    <m/>
    <s v="S0360894"/>
  </r>
  <r>
    <x v="794"/>
    <n v="10000"/>
    <n v="20000"/>
    <d v="2025-03-28T00:00:00"/>
    <s v="502LAUGH"/>
    <s v=" 8:35:45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N9K06-80021-FT0001"/>
    <n v="0"/>
    <n v="100000"/>
    <n v="15024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636"/>
    <n v="0"/>
    <m/>
    <s v="H08031-JIM-M"/>
    <m/>
    <m/>
    <s v="S0360937"/>
  </r>
  <r>
    <x v="795"/>
    <n v="10000"/>
    <n v="10000"/>
    <d v="2025-03-19T00:00:00"/>
    <s v="502LAUGH"/>
    <s v=" 4:00:56 pm"/>
    <s v="BYJ032-07"/>
    <m/>
    <x v="2"/>
    <s v="Yes"/>
    <n v="29"/>
    <s v="Sanki SKP250 Full Rotary"/>
    <x v="2"/>
    <s v="PS70"/>
    <s v="YEO WOO KEONG"/>
    <n v="4000"/>
    <n v="145"/>
    <n v="2.4166666666666665"/>
    <d v="2025-03-19T00:00:00"/>
    <m/>
    <n v="1"/>
    <n v="4000"/>
    <s v="PE"/>
    <s v="AKZONOBEL LBL0001"/>
    <n v="0"/>
    <n v="4000"/>
    <n v="0"/>
    <n v="0"/>
    <n v="0"/>
    <n v="0"/>
    <m/>
    <m/>
    <n v="0"/>
    <m/>
    <m/>
    <m/>
    <m/>
    <m/>
    <m/>
    <m/>
    <m/>
    <s v="AKZONOBEL LABEL"/>
    <s v="H08216"/>
    <s v="HYPERCOAT ENTERPRISES PTE LTD"/>
    <m/>
    <n v="0"/>
    <n v="0"/>
    <n v="0"/>
    <n v="0"/>
    <n v="0"/>
    <n v="0"/>
    <m/>
    <m/>
    <m/>
    <s v="No"/>
    <s v="W663065"/>
    <n v="0"/>
    <m/>
    <s v="H08216"/>
    <m/>
    <m/>
    <s v="S0360993"/>
  </r>
  <r>
    <x v="796"/>
    <n v="10000"/>
    <n v="10000"/>
    <d v="2025-03-25T00:00:00"/>
    <s v="502LAUGH"/>
    <s v=" 8:38:46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F6U61-80027-FT0001"/>
    <n v="0"/>
    <n v="100000"/>
    <n v="15020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3645"/>
    <n v="0"/>
    <m/>
    <s v="H08031-JIM-M"/>
    <m/>
    <m/>
    <s v="S0361016"/>
  </r>
  <r>
    <x v="797"/>
    <n v="10000"/>
    <n v="10000"/>
    <d v="2025-03-20T00:00:00"/>
    <s v="502LAUGH"/>
    <d v="1899-12-30T12:58:36"/>
    <n v="1006323"/>
    <m/>
    <x v="2"/>
    <s v="Yes"/>
    <n v="63"/>
    <s v="SANKI"/>
    <x v="3"/>
    <s v="PM80"/>
    <s v="YAP ZHI PING"/>
    <n v="2400"/>
    <n v="105"/>
    <n v="1.75"/>
    <d v="2025-03-1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3087"/>
    <n v="0"/>
    <m/>
    <s v="S19314"/>
    <m/>
    <m/>
    <s v="H0064715"/>
  </r>
  <r>
    <x v="798"/>
    <n v="10000"/>
    <n v="20000"/>
    <d v="2025-03-20T00:00:00"/>
    <s v="502LAUGH"/>
    <d v="1899-12-30T12:58:36"/>
    <n v="8628207"/>
    <m/>
    <x v="2"/>
    <s v="Yes"/>
    <n v="63"/>
    <s v="SANKI"/>
    <x v="3"/>
    <s v="PM80"/>
    <s v="YAP ZHI PING"/>
    <n v="8572"/>
    <n v="259.3"/>
    <n v="4.3216666666666672"/>
    <d v="2025-03-19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3101"/>
    <n v="0"/>
    <m/>
    <s v="S19314"/>
    <m/>
    <m/>
    <s v="H0064745"/>
  </r>
  <r>
    <x v="799"/>
    <n v="10000"/>
    <n v="10000"/>
    <d v="2025-03-20T00:00:00"/>
    <s v="502LAUGH"/>
    <d v="1899-12-30T12:58:36"/>
    <n v="1006323"/>
    <m/>
    <x v="2"/>
    <s v="Yes"/>
    <n v="63"/>
    <s v="SANKI"/>
    <x v="3"/>
    <s v="PM80"/>
    <s v="YAP ZHI PING"/>
    <n v="1600"/>
    <n v="85"/>
    <n v="1.4166666666666667"/>
    <d v="2025-03-19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081-TH"/>
    <s v="SEAGATE TECHNOLOGY (THAILAND) LTD."/>
    <m/>
    <n v="0"/>
    <n v="0"/>
    <n v="0"/>
    <n v="0"/>
    <n v="0"/>
    <n v="0"/>
    <m/>
    <m/>
    <m/>
    <s v="No"/>
    <s v="W663106"/>
    <n v="0"/>
    <m/>
    <s v="S19081-TH"/>
    <m/>
    <m/>
    <s v="H0064756"/>
  </r>
  <r>
    <x v="800"/>
    <n v="10000"/>
    <n v="10000"/>
    <d v="2025-03-21T00:00:00"/>
    <s v="502LAUGH"/>
    <s v=" 8:53:14 am"/>
    <s v="E190912129"/>
    <m/>
    <x v="2"/>
    <s v="Yes"/>
    <n v="63"/>
    <s v="SANKI"/>
    <x v="3"/>
    <s v="PM80"/>
    <s v="YAP ZHI PING"/>
    <n v="10000"/>
    <n v="295"/>
    <n v="4.916666666666667"/>
    <d v="2025-03-1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308"/>
    <n v="0"/>
    <m/>
    <s v="S19081-TH"/>
    <m/>
    <m/>
    <s v="H0064770"/>
  </r>
  <r>
    <x v="801"/>
    <n v="10000"/>
    <n v="10000"/>
    <d v="2025-03-19T00:00:00"/>
    <s v="502LAUGH"/>
    <s v=" 2:26:23 pm"/>
    <s v="L4816U8015/2968379-001"/>
    <m/>
    <x v="2"/>
    <s v="Yes"/>
    <n v="61"/>
    <s v="FSK 520"/>
    <x v="2"/>
    <s v="PM68"/>
    <s v="LEE KIM LIANG"/>
    <n v="1000"/>
    <n v="65"/>
    <n v="1.0833333333333333"/>
    <d v="2025-03-19T00:00:00"/>
    <m/>
    <n v="1"/>
    <n v="1000"/>
    <s v="PE"/>
    <s v="TSMC00317050001"/>
    <n v="0"/>
    <n v="1000"/>
    <n v="0"/>
    <n v="0"/>
    <n v="0"/>
    <n v="0"/>
    <m/>
    <m/>
    <n v="0"/>
    <m/>
    <m/>
    <m/>
    <m/>
    <m/>
    <m/>
    <m/>
    <m/>
    <s v="TSMC0031705"/>
    <s v="T20104"/>
    <s v="TOSHIBA TEC SINGAPORE PTE LTD"/>
    <m/>
    <n v="0"/>
    <n v="0"/>
    <n v="0"/>
    <n v="0"/>
    <n v="0"/>
    <n v="0"/>
    <m/>
    <m/>
    <m/>
    <s v="No"/>
    <s v="W663120"/>
    <n v="0"/>
    <m/>
    <s v="T20104"/>
    <m/>
    <m/>
    <s v="S0361067"/>
  </r>
  <r>
    <x v="737"/>
    <n v="10000"/>
    <n v="20000"/>
    <d v="2025-03-20T00:00:00"/>
    <s v="502LAUGH"/>
    <s v=" 8:39:10 am"/>
    <s v="L5114U8024/405172625"/>
    <m/>
    <x v="0"/>
    <s v="Yes"/>
    <n v="60"/>
    <s v="Fujishiko UDP-5000"/>
    <x v="3"/>
    <s v="PM30"/>
    <s v="OH KIAN YUAN"/>
    <n v="1000"/>
    <n v="65"/>
    <n v="1.0833333333333333"/>
    <d v="2025-03-19T00:00:00"/>
    <m/>
    <n v="2"/>
    <n v="2000"/>
    <s v="PE"/>
    <s v="TSMC00350020001"/>
    <n v="0"/>
    <n v="571"/>
    <n v="1429"/>
    <n v="0"/>
    <n v="0"/>
    <n v="0"/>
    <m/>
    <m/>
    <n v="0"/>
    <m/>
    <m/>
    <m/>
    <m/>
    <m/>
    <m/>
    <m/>
    <m/>
    <s v="TSMC0035002"/>
    <s v="T20104"/>
    <s v="TOSHIBA TEC SINGAPORE PTE LTD"/>
    <m/>
    <n v="0"/>
    <n v="0"/>
    <n v="0"/>
    <n v="0"/>
    <n v="0"/>
    <n v="0"/>
    <m/>
    <m/>
    <m/>
    <s v="No"/>
    <s v="W663663"/>
    <n v="0"/>
    <m/>
    <s v="T20104"/>
    <m/>
    <m/>
    <s v="S0361067"/>
  </r>
  <r>
    <x v="802"/>
    <n v="10000"/>
    <n v="10000"/>
    <d v="2025-03-20T00:00:00"/>
    <s v="502LAUGH"/>
    <d v="1899-12-30T10:14:33"/>
    <s v="J00T39951"/>
    <m/>
    <x v="2"/>
    <s v="Yes"/>
    <n v="46"/>
    <s v="Sanki 300 Intermittent"/>
    <x v="2"/>
    <s v="PS66"/>
    <s v="SIM ENG KWANG"/>
    <n v="4000"/>
    <n v="145"/>
    <n v="2.4166666666666665"/>
    <d v="2025-03-19T00:00:00"/>
    <m/>
    <n v="1"/>
    <n v="4000"/>
    <s v="PE"/>
    <s v="250-5304-000001"/>
    <n v="0"/>
    <n v="4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3130"/>
    <n v="0"/>
    <m/>
    <s v="J10025"/>
    <m/>
    <m/>
    <s v="S0361085"/>
  </r>
  <r>
    <x v="803"/>
    <n v="10000"/>
    <n v="10000"/>
    <d v="2025-03-20T00:00:00"/>
    <s v="502LAUGH"/>
    <s v=" 8:40:48 am"/>
    <s v="4110602U5A"/>
    <m/>
    <x v="2"/>
    <s v="Yes"/>
    <n v="12"/>
    <s v="FSK SR520"/>
    <x v="2"/>
    <s v="PP05"/>
    <s v="WONG KIM FATT"/>
    <n v="16000"/>
    <n v="365"/>
    <n v="6.083333333333333"/>
    <d v="2025-03-19T00:00:00"/>
    <m/>
    <n v="1"/>
    <n v="16000"/>
    <s v="PE"/>
    <s v="250-6224-000001"/>
    <n v="0"/>
    <n v="16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3132"/>
    <n v="0"/>
    <m/>
    <s v="J10025"/>
    <m/>
    <m/>
    <s v="S0361085"/>
  </r>
  <r>
    <x v="804"/>
    <n v="10000"/>
    <n v="10000"/>
    <d v="2025-03-21T00:00:00"/>
    <s v="502LAUGH"/>
    <s v=" 8:37:44 am"/>
    <s v="4110602U5A"/>
    <m/>
    <x v="2"/>
    <s v="Yes"/>
    <n v="12"/>
    <s v="FSK SR520"/>
    <x v="2"/>
    <s v="PP05"/>
    <s v="WONG KIM FATT"/>
    <n v="18000"/>
    <n v="405"/>
    <n v="6.75"/>
    <d v="2025-03-19T00:00:00"/>
    <m/>
    <n v="1"/>
    <n v="18000"/>
    <s v="PE"/>
    <s v="250-6224-000001"/>
    <n v="0"/>
    <n v="18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3667"/>
    <n v="0"/>
    <m/>
    <s v="J10025"/>
    <m/>
    <m/>
    <s v="S0361086"/>
  </r>
  <r>
    <x v="805"/>
    <n v="10000"/>
    <n v="10000"/>
    <d v="2025-03-19T00:00:00"/>
    <s v="502LAUGH"/>
    <s v=" 5:52:56 pm"/>
    <s v="SG5622228 01"/>
    <m/>
    <x v="2"/>
    <s v="Yes"/>
    <n v="59"/>
    <s v="SANKI SD-300 Intermittent"/>
    <x v="2"/>
    <s v="PS74"/>
    <s v="GOH CHIN TECK"/>
    <n v="500"/>
    <n v="57.5"/>
    <n v="0.95833333333333337"/>
    <d v="2025-03-19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3311"/>
    <n v="0"/>
    <m/>
    <s v="I09180"/>
    <m/>
    <m/>
    <s v="S0361104"/>
  </r>
  <r>
    <x v="806"/>
    <n v="10000"/>
    <n v="10000"/>
    <d v="2025-03-19T00:00:00"/>
    <s v="502LAUGH"/>
    <s v=" 5:52:56 pm"/>
    <s v="SG5622228 01"/>
    <m/>
    <x v="2"/>
    <s v="Yes"/>
    <n v="59"/>
    <s v="SANKI SD-300 Intermittent"/>
    <x v="2"/>
    <s v="PS74"/>
    <s v="GOH CHIN TECK"/>
    <n v="500"/>
    <n v="57.5"/>
    <n v="0.95833333333333337"/>
    <d v="2025-03-19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3312"/>
    <n v="0"/>
    <m/>
    <s v="I09180"/>
    <m/>
    <m/>
    <s v="S0361105"/>
  </r>
  <r>
    <x v="807"/>
    <n v="10000"/>
    <n v="10000"/>
    <d v="2025-03-19T00:00:00"/>
    <s v="502LAUGH"/>
    <s v=" 5:25:48 pm"/>
    <s v="J00Q283701525"/>
    <m/>
    <x v="2"/>
    <s v="Yes"/>
    <n v="86"/>
    <s v="Brotech DF330 "/>
    <x v="0"/>
    <s v="PM45"/>
    <s v="TAY CHIN LIONG"/>
    <n v="27500"/>
    <n v="503.33333333333331"/>
    <n v="8.3888888888888893"/>
    <d v="2025-03-19T00:00:00"/>
    <m/>
    <n v="2"/>
    <n v="55000"/>
    <s v="PE"/>
    <s v="PRODUCT-188X74-O0001"/>
    <n v="0"/>
    <n v="55000"/>
    <n v="0"/>
    <n v="0"/>
    <n v="0"/>
    <n v="0"/>
    <m/>
    <m/>
    <n v="0"/>
    <m/>
    <m/>
    <m/>
    <m/>
    <m/>
    <m/>
    <m/>
    <m/>
    <s v="PRODUCT-188X74-O"/>
    <s v="A01259"/>
    <s v="OLAM COCOA PTE LTD"/>
    <m/>
    <n v="0"/>
    <n v="0"/>
    <n v="0"/>
    <n v="0"/>
    <n v="0"/>
    <n v="0"/>
    <m/>
    <m/>
    <m/>
    <s v="No"/>
    <s v="W663151"/>
    <n v="0"/>
    <m/>
    <s v="A01259"/>
    <m/>
    <m/>
    <s v="S0361133"/>
  </r>
  <r>
    <x v="808"/>
    <n v="10000"/>
    <n v="10000"/>
    <d v="2025-03-20T00:00:00"/>
    <s v="502LAUGH"/>
    <s v=" 8:38:16 am"/>
    <s v="3082510U9"/>
    <m/>
    <x v="2"/>
    <s v="Yes"/>
    <n v="61"/>
    <s v="FSK 520"/>
    <x v="2"/>
    <s v="PM68"/>
    <s v="LEE KIM LIANG"/>
    <n v="1000"/>
    <n v="65"/>
    <n v="1.0833333333333333"/>
    <d v="2025-03-19T00:00:00"/>
    <m/>
    <n v="1"/>
    <n v="1000"/>
    <s v="PE"/>
    <n v="107475500001"/>
    <n v="0"/>
    <n v="1000"/>
    <n v="0"/>
    <n v="0"/>
    <n v="0"/>
    <n v="0"/>
    <m/>
    <m/>
    <n v="0"/>
    <m/>
    <m/>
    <m/>
    <m/>
    <m/>
    <m/>
    <m/>
    <m/>
    <n v="10747550"/>
    <s v="I09109"/>
    <s v="IKE TECHNOLOGY"/>
    <m/>
    <n v="0"/>
    <n v="0"/>
    <n v="0"/>
    <n v="0"/>
    <n v="0"/>
    <n v="0"/>
    <m/>
    <m/>
    <m/>
    <s v="No"/>
    <s v="W663161"/>
    <n v="0"/>
    <m/>
    <s v="I09109"/>
    <m/>
    <m/>
    <s v="S0361153"/>
  </r>
  <r>
    <x v="809"/>
    <n v="10000"/>
    <n v="10000"/>
    <d v="2025-03-20T00:00:00"/>
    <s v="502LAUGH"/>
    <s v=" 8:36:24 am"/>
    <s v="U531252112/503011926"/>
    <m/>
    <x v="2"/>
    <s v="Yes"/>
    <n v="32"/>
    <s v="Lintec Intermittent"/>
    <x v="2"/>
    <s v="PM26"/>
    <s v="TAN AIK KEONG"/>
    <n v="5860"/>
    <m/>
    <m/>
    <d v="2025-03-19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3688"/>
    <n v="0"/>
    <m/>
    <s v="J10025"/>
    <m/>
    <m/>
    <s v="S0361166"/>
  </r>
  <r>
    <x v="810"/>
    <n v="10000"/>
    <n v="10000"/>
    <d v="2025-03-20T00:00:00"/>
    <s v="502LAUGH"/>
    <s v=" 8:36:24 am"/>
    <s v="U531252112/503011926"/>
    <m/>
    <x v="2"/>
    <s v="Yes"/>
    <n v="32"/>
    <s v="Lintec Intermittent"/>
    <x v="2"/>
    <s v="PM26"/>
    <s v="TAN AIK KEONG"/>
    <n v="5860"/>
    <m/>
    <m/>
    <d v="2025-03-19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3692"/>
    <n v="0"/>
    <m/>
    <s v="J10025"/>
    <m/>
    <m/>
    <s v="S0361167"/>
  </r>
  <r>
    <x v="811"/>
    <n v="10000"/>
    <n v="10000"/>
    <d v="2025-03-19T00:00:00"/>
    <s v="502LAUGH"/>
    <s v=" 5:53:43 pm"/>
    <s v="5011624U5A"/>
    <m/>
    <x v="2"/>
    <s v="Yes"/>
    <n v="61"/>
    <s v="FSK 520"/>
    <x v="2"/>
    <s v="PM61"/>
    <s v="HO CHAN LE"/>
    <n v="4167"/>
    <n v="128.34"/>
    <n v="2.1390000000000002"/>
    <d v="2025-03-19T00:00:00"/>
    <m/>
    <n v="6"/>
    <n v="25002"/>
    <s v="PE"/>
    <s v="260-6310-000001"/>
    <n v="0"/>
    <n v="25000"/>
    <n v="2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3698"/>
    <n v="0"/>
    <m/>
    <s v="J10025"/>
    <m/>
    <m/>
    <s v="S0361170"/>
  </r>
  <r>
    <x v="812"/>
    <n v="10000"/>
    <n v="10000"/>
    <d v="2025-03-20T00:00:00"/>
    <s v="502LAUGH"/>
    <s v=" 3:52:43 pm"/>
    <s v="4111524U5"/>
    <m/>
    <x v="2"/>
    <s v="Yes"/>
    <n v="61"/>
    <s v="FSK 520"/>
    <x v="2"/>
    <s v="PM61"/>
    <s v="HO CHAN LE"/>
    <n v="4334"/>
    <n v="131.68"/>
    <n v="2.194666666666667"/>
    <d v="2025-03-19T00:00:00"/>
    <m/>
    <n v="6"/>
    <n v="26004"/>
    <s v="PE"/>
    <s v="260-6314-000001"/>
    <n v="0"/>
    <n v="26000"/>
    <n v="4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3699"/>
    <n v="0"/>
    <m/>
    <s v="J10025"/>
    <m/>
    <m/>
    <s v="S0361170"/>
  </r>
  <r>
    <x v="813"/>
    <n v="10000"/>
    <n v="10000"/>
    <d v="2025-03-20T00:00:00"/>
    <s v="502LAUGH"/>
    <s v=" 4:48:03 pm"/>
    <s v="5011625U5/5011624U5A"/>
    <m/>
    <x v="2"/>
    <s v="Yes"/>
    <n v="22"/>
    <s v="FSK B100"/>
    <x v="2"/>
    <s v="PS13"/>
    <s v="YEE CHENG MENG"/>
    <n v="20000"/>
    <n v="445"/>
    <n v="7.416666666666667"/>
    <d v="2025-03-19T00:00:00"/>
    <m/>
    <n v="2"/>
    <n v="40000"/>
    <s v="PE"/>
    <s v="260-6165-000001"/>
    <n v="0"/>
    <n v="40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720"/>
    <n v="0"/>
    <m/>
    <s v="J10025"/>
    <m/>
    <m/>
    <s v="S0361177"/>
  </r>
  <r>
    <x v="814"/>
    <n v="10000"/>
    <n v="10000"/>
    <d v="2025-03-19T00:00:00"/>
    <s v="502LAUGH"/>
    <s v=" 5:53:43 pm"/>
    <s v="5011624U5A"/>
    <m/>
    <x v="2"/>
    <s v="Yes"/>
    <n v="61"/>
    <s v="FSK 520"/>
    <x v="2"/>
    <s v="PM61"/>
    <s v="HO CHAN LE"/>
    <n v="4667"/>
    <n v="138.34"/>
    <n v="2.3056666666666668"/>
    <d v="2025-03-19T00:00:00"/>
    <m/>
    <n v="6"/>
    <n v="28002"/>
    <s v="PE"/>
    <s v="260-6310-000001"/>
    <n v="0"/>
    <n v="28000"/>
    <n v="2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3723"/>
    <n v="0"/>
    <m/>
    <s v="J10025"/>
    <m/>
    <m/>
    <s v="S0361177"/>
  </r>
  <r>
    <x v="546"/>
    <n v="10000"/>
    <n v="20000"/>
    <d v="2025-03-19T00:00:00"/>
    <s v="502LAUGH"/>
    <s v=" 5:23:36 pm"/>
    <n v="10639931032"/>
    <m/>
    <x v="0"/>
    <s v="Yes"/>
    <n v="77"/>
    <s v="Brotech DF330 "/>
    <x v="0"/>
    <s v="PM74"/>
    <s v="YONG CHEE SOON"/>
    <n v="300"/>
    <n v="50"/>
    <n v="0.83333333333333337"/>
    <d v="2025-03-19T00:00:00"/>
    <m/>
    <n v="25"/>
    <n v="7500"/>
    <s v="PE"/>
    <s v="5190-27200001"/>
    <n v="0"/>
    <n v="5000"/>
    <n v="2500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4100"/>
    <n v="0"/>
    <m/>
    <s v="H08031-JIM"/>
    <m/>
    <m/>
    <s v="S0361182"/>
  </r>
  <r>
    <x v="547"/>
    <n v="10000"/>
    <n v="20000"/>
    <d v="2025-03-19T00:00:00"/>
    <s v="502LAUGH"/>
    <s v=" 5:22:58 pm"/>
    <n v="10639931032"/>
    <m/>
    <x v="0"/>
    <s v="Yes"/>
    <n v="77"/>
    <s v="Brotech DF330 "/>
    <x v="0"/>
    <s v="PM74"/>
    <s v="YONG CHEE SOON"/>
    <n v="300"/>
    <n v="50"/>
    <n v="0.83333333333333337"/>
    <d v="2025-03-19T00:00:00"/>
    <m/>
    <n v="25"/>
    <n v="7500"/>
    <s v="PE"/>
    <s v="5190-26260001"/>
    <n v="0"/>
    <n v="5000"/>
    <n v="2500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64101"/>
    <n v="0"/>
    <m/>
    <s v="H08031-JIM"/>
    <m/>
    <m/>
    <s v="S0361183"/>
  </r>
  <r>
    <x v="548"/>
    <n v="10000"/>
    <n v="20000"/>
    <d v="2025-03-19T00:00:00"/>
    <s v="502LAUGH"/>
    <s v=" 5:22:16 pm"/>
    <n v="10639931032"/>
    <m/>
    <x v="0"/>
    <s v="Yes"/>
    <n v="77"/>
    <s v="Brotech DF330 "/>
    <x v="0"/>
    <s v="PM74"/>
    <s v="YONG CHEE SOON"/>
    <n v="120"/>
    <n v="47"/>
    <n v="0.78333333333333333"/>
    <d v="2025-03-19T00:00:00"/>
    <m/>
    <n v="15"/>
    <n v="1800"/>
    <s v="PE"/>
    <s v="CR328-800170001"/>
    <n v="0"/>
    <n v="1000"/>
    <n v="800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4102"/>
    <n v="0"/>
    <m/>
    <s v="H08031-JIM"/>
    <m/>
    <m/>
    <s v="S0361184"/>
  </r>
  <r>
    <x v="815"/>
    <n v="10000"/>
    <n v="10000"/>
    <d v="2025-03-19T00:00:00"/>
    <s v="502LAUGH"/>
    <s v=" 4:05:43 pm"/>
    <s v="M0BSO3780"/>
    <m/>
    <x v="2"/>
    <s v="Yes"/>
    <n v="94"/>
    <s v="Taiyo"/>
    <x v="2"/>
    <s v="PM09"/>
    <s v="PANG JING FULL"/>
    <n v="5000"/>
    <m/>
    <m/>
    <d v="2025-03-19T00:00:00"/>
    <m/>
    <n v="4"/>
    <n v="20000"/>
    <s v="PE"/>
    <s v="L001-773057-00000005"/>
    <n v="0"/>
    <n v="20000"/>
    <n v="0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3725"/>
    <n v="0"/>
    <m/>
    <s v="W23041-TH"/>
    <m/>
    <m/>
    <s v="H0064782"/>
  </r>
  <r>
    <x v="816"/>
    <n v="10000"/>
    <n v="10000"/>
    <d v="2025-03-28T00:00:00"/>
    <s v="502LAUGH"/>
    <s v=" 8:39:45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CZ102-80023-FT0001"/>
    <n v="0"/>
    <n v="100000"/>
    <n v="15024"/>
    <n v="0"/>
    <n v="0"/>
    <n v="0"/>
    <m/>
    <m/>
    <n v="0"/>
    <m/>
    <m/>
    <m/>
    <m/>
    <m/>
    <m/>
    <m/>
    <m/>
    <s v="CZ102-80023-FT"/>
    <s v="H08031-JIM-M"/>
    <s v="HP MALAYSIA MANUFACTURING SDN.BHD."/>
    <m/>
    <n v="0"/>
    <n v="0"/>
    <n v="0"/>
    <n v="0"/>
    <n v="0"/>
    <n v="0"/>
    <m/>
    <m/>
    <m/>
    <s v="No"/>
    <s v="W664105"/>
    <n v="0"/>
    <m/>
    <s v="H08031-JIM-M"/>
    <m/>
    <m/>
    <s v="S0361188"/>
  </r>
  <r>
    <x v="817"/>
    <n v="10000"/>
    <n v="10000"/>
    <d v="2025-03-28T00:00:00"/>
    <s v="502LAUGH"/>
    <s v=" 8:36:43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F6V25-80016-FT0001"/>
    <n v="0"/>
    <n v="100000"/>
    <n v="15024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3727"/>
    <n v="0"/>
    <m/>
    <s v="H08031-JIM-M"/>
    <m/>
    <m/>
    <s v="S0361190"/>
  </r>
  <r>
    <x v="818"/>
    <n v="10000"/>
    <n v="10000"/>
    <d v="2025-03-25T00:00:00"/>
    <s v="502LAUGH"/>
    <s v=" 8:39:42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3YM51-80004-FT0001"/>
    <n v="0"/>
    <n v="100000"/>
    <n v="1502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4107"/>
    <n v="0"/>
    <m/>
    <s v="H08031-JIM-M"/>
    <m/>
    <m/>
    <s v="S0361192"/>
  </r>
  <r>
    <x v="819"/>
    <n v="10000"/>
    <n v="10000"/>
    <d v="2025-03-28T00:00:00"/>
    <s v="505KANGHS"/>
    <s v=" 8:34:54 am"/>
    <s v="10620258038/105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56"/>
    <n v="230048"/>
    <s v="PE"/>
    <s v="CH561-80123-FT0001"/>
    <n v="0"/>
    <n v="200000"/>
    <n v="30048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3728"/>
    <n v="0"/>
    <m/>
    <s v="H08031-JIM-M"/>
    <m/>
    <m/>
    <s v="S0361195"/>
  </r>
  <r>
    <x v="820"/>
    <n v="10000"/>
    <n v="10000"/>
    <d v="2025-03-19T00:00:00"/>
    <s v="502LAUGH"/>
    <s v=" 5:54:56 pm"/>
    <s v="SG-5560164-01"/>
    <m/>
    <x v="2"/>
    <s v="Yes"/>
    <n v="31"/>
    <s v="Sanki SKP250 Full Rotary"/>
    <x v="2"/>
    <s v="PS27"/>
    <s v="TAN TECK HEE"/>
    <n v="2000"/>
    <n v="95"/>
    <n v="1.5833333333333333"/>
    <d v="2025-03-19T00:00:00"/>
    <m/>
    <n v="20"/>
    <n v="40000"/>
    <s v="PE"/>
    <s v="A4 SIZE-PMS 243U0001"/>
    <n v="0"/>
    <n v="40000"/>
    <n v="0"/>
    <n v="0"/>
    <n v="0"/>
    <n v="0"/>
    <m/>
    <m/>
    <n v="0"/>
    <m/>
    <m/>
    <m/>
    <m/>
    <m/>
    <m/>
    <m/>
    <m/>
    <s v="A4 SIZE-PMS 243U"/>
    <s v="H08122"/>
    <s v="HI-P SINGAPORE PTE. LTD."/>
    <m/>
    <n v="0"/>
    <n v="0"/>
    <n v="0"/>
    <n v="0"/>
    <n v="0"/>
    <n v="0"/>
    <m/>
    <m/>
    <m/>
    <s v="No"/>
    <s v="W663184"/>
    <n v="0"/>
    <m/>
    <s v="H08122"/>
    <m/>
    <m/>
    <s v="S0361135"/>
  </r>
  <r>
    <x v="821"/>
    <n v="10000"/>
    <n v="10000"/>
    <d v="2025-03-19T00:00:00"/>
    <s v="502LAUGH"/>
    <s v=" 5:54:56 pm"/>
    <s v="SG-5560164-01"/>
    <m/>
    <x v="2"/>
    <s v="Yes"/>
    <n v="31"/>
    <s v="Sanki SKP250 Full Rotary"/>
    <x v="2"/>
    <s v="PS27"/>
    <s v="TAN TECK HEE"/>
    <n v="2000"/>
    <n v="95"/>
    <n v="1.5833333333333333"/>
    <d v="2025-03-19T00:00:00"/>
    <m/>
    <n v="20"/>
    <n v="40000"/>
    <s v="PE"/>
    <s v="A4 SIZE-PMS 635U0001"/>
    <n v="0"/>
    <n v="40000"/>
    <n v="0"/>
    <n v="0"/>
    <n v="0"/>
    <n v="0"/>
    <m/>
    <m/>
    <n v="0"/>
    <m/>
    <m/>
    <m/>
    <m/>
    <m/>
    <m/>
    <m/>
    <m/>
    <s v="A4 SIZE-PMS 635U"/>
    <s v="H08122"/>
    <s v="HI-P SINGAPORE PTE. LTD."/>
    <m/>
    <n v="0"/>
    <n v="0"/>
    <n v="0"/>
    <n v="0"/>
    <n v="0"/>
    <n v="0"/>
    <m/>
    <m/>
    <m/>
    <s v="No"/>
    <s v="W663185"/>
    <n v="0"/>
    <m/>
    <s v="H08122"/>
    <m/>
    <m/>
    <s v="S0361135"/>
  </r>
  <r>
    <x v="646"/>
    <n v="10000"/>
    <n v="20000"/>
    <d v="2025-03-20T00:00:00"/>
    <s v="502LAUGH"/>
    <s v=" 2:54:41 pm"/>
    <s v="4067S1"/>
    <m/>
    <x v="0"/>
    <s v="Yes"/>
    <n v="92"/>
    <s v="Polly Digital Cut"/>
    <x v="6"/>
    <s v="PM87"/>
    <s v="LEE SHIEN WEI"/>
    <n v="300"/>
    <m/>
    <m/>
    <d v="2025-03-19T00:00:00"/>
    <m/>
    <n v="3"/>
    <n v="900"/>
    <s v="PE"/>
    <s v="LAB-1070-010001"/>
    <n v="0"/>
    <n v="600"/>
    <n v="300"/>
    <n v="0"/>
    <n v="0"/>
    <n v="0"/>
    <m/>
    <m/>
    <n v="0"/>
    <m/>
    <m/>
    <m/>
    <m/>
    <m/>
    <m/>
    <m/>
    <m/>
    <s v="LAB-1070-01"/>
    <s v="R18068"/>
    <s v="RFNET TECHNOLOGIES PTE LTD"/>
    <m/>
    <n v="0"/>
    <n v="0"/>
    <n v="0"/>
    <n v="0"/>
    <n v="0"/>
    <n v="0"/>
    <m/>
    <m/>
    <m/>
    <s v="No"/>
    <s v="W663190"/>
    <n v="0"/>
    <m/>
    <s v="R18068"/>
    <m/>
    <m/>
    <s v="S0361210"/>
  </r>
  <r>
    <x v="647"/>
    <n v="10000"/>
    <n v="20000"/>
    <d v="2025-03-20T00:00:00"/>
    <s v="502LAUGH"/>
    <s v=" 2:54:41 pm"/>
    <s v="3101S1"/>
    <m/>
    <x v="0"/>
    <s v="Yes"/>
    <n v="92"/>
    <s v="Polly Digital Cut"/>
    <x v="6"/>
    <s v="PM87"/>
    <s v="LEE SHIEN WEI"/>
    <n v="600"/>
    <m/>
    <m/>
    <d v="2025-03-19T00:00:00"/>
    <m/>
    <n v="1"/>
    <n v="600"/>
    <s v="PE"/>
    <s v="1581-07-030001"/>
    <n v="0"/>
    <n v="500"/>
    <n v="100"/>
    <n v="0"/>
    <n v="0"/>
    <n v="0"/>
    <m/>
    <m/>
    <n v="0"/>
    <m/>
    <m/>
    <m/>
    <m/>
    <m/>
    <m/>
    <m/>
    <m/>
    <s v="1581-07-03"/>
    <s v="R18068"/>
    <s v="RFNET TECHNOLOGIES PTE LTD"/>
    <m/>
    <n v="0"/>
    <n v="0"/>
    <n v="0"/>
    <n v="0"/>
    <n v="0"/>
    <n v="0"/>
    <m/>
    <m/>
    <m/>
    <s v="No"/>
    <s v="W663191"/>
    <n v="0"/>
    <m/>
    <s v="R18068"/>
    <m/>
    <m/>
    <s v="S0361210"/>
  </r>
  <r>
    <x v="822"/>
    <n v="10000"/>
    <n v="10000"/>
    <d v="2025-03-28T00:00:00"/>
    <s v="502LAUGH"/>
    <s v=" 8:38:48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CC643-801290001"/>
    <n v="0"/>
    <n v="100000"/>
    <n v="15024"/>
    <n v="0"/>
    <n v="0"/>
    <n v="0"/>
    <m/>
    <m/>
    <n v="0"/>
    <m/>
    <m/>
    <m/>
    <m/>
    <m/>
    <m/>
    <m/>
    <m/>
    <s v="CC643-80129"/>
    <s v="H08031-JIM-M"/>
    <s v="HP MALAYSIA MANUFACTURING SDN.BHD."/>
    <m/>
    <n v="0"/>
    <n v="0"/>
    <n v="0"/>
    <n v="0"/>
    <n v="0"/>
    <n v="0"/>
    <m/>
    <m/>
    <m/>
    <s v="No"/>
    <s v="W663732"/>
    <n v="0"/>
    <m/>
    <s v="H08031-JIM-M"/>
    <m/>
    <m/>
    <s v="S0361214"/>
  </r>
  <r>
    <x v="823"/>
    <n v="10000"/>
    <n v="10000"/>
    <d v="2025-03-20T00:00:00"/>
    <s v="502LAUGH"/>
    <s v=" 5:42:38 pm"/>
    <s v="J00T59561"/>
    <m/>
    <x v="2"/>
    <s v="Yes"/>
    <n v="72"/>
    <s v="Xeikon 3500"/>
    <x v="4"/>
    <s v="PM17"/>
    <s v="NG SWEE CHEA"/>
    <n v="2000"/>
    <m/>
    <m/>
    <d v="2025-03-19T00:00:00"/>
    <m/>
    <n v="4"/>
    <n v="8000"/>
    <s v="PE"/>
    <n v="5000444260001"/>
    <n v="0"/>
    <n v="6000"/>
    <n v="200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3319"/>
    <n v="0"/>
    <m/>
    <s v="B02083"/>
    <m/>
    <m/>
    <s v="S0361250"/>
  </r>
  <r>
    <x v="824"/>
    <n v="10000"/>
    <n v="10000"/>
    <d v="2025-03-20T00:00:00"/>
    <s v="502LAUGH"/>
    <s v=" 5:41:52 pm"/>
    <s v="J00T59561"/>
    <m/>
    <x v="2"/>
    <s v="Yes"/>
    <n v="72"/>
    <s v="Xeikon 3500"/>
    <x v="4"/>
    <s v="PM17"/>
    <s v="NG SWEE CHEA"/>
    <n v="1750"/>
    <m/>
    <m/>
    <d v="2025-03-19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63743"/>
    <n v="0"/>
    <m/>
    <s v="B02083"/>
    <m/>
    <m/>
    <s v="S0361250"/>
  </r>
  <r>
    <x v="713"/>
    <n v="10000"/>
    <n v="20000"/>
    <d v="2025-03-19T00:00:00"/>
    <s v="502LAUGH"/>
    <s v=" 4:02:22 pm"/>
    <n v="408232392"/>
    <m/>
    <x v="0"/>
    <s v="Yes"/>
    <n v="105"/>
    <s v="Laser"/>
    <x v="5"/>
    <s v="PM87"/>
    <s v="LEE SHIEN WEI"/>
    <n v="1600"/>
    <m/>
    <m/>
    <d v="2025-03-19T00:00:00"/>
    <m/>
    <n v="1"/>
    <n v="1600"/>
    <s v="PE"/>
    <n v="104484310001"/>
    <n v="0"/>
    <n v="1300"/>
    <n v="300"/>
    <n v="0"/>
    <n v="0"/>
    <n v="0"/>
    <m/>
    <m/>
    <n v="0"/>
    <m/>
    <m/>
    <m/>
    <m/>
    <m/>
    <m/>
    <m/>
    <m/>
    <n v="10448431"/>
    <s v="I09109"/>
    <s v="IKE TECHNOLOGY"/>
    <m/>
    <n v="0"/>
    <n v="0"/>
    <n v="0"/>
    <n v="0"/>
    <n v="0"/>
    <n v="0"/>
    <m/>
    <m/>
    <m/>
    <s v="No"/>
    <s v="W663322"/>
    <n v="0"/>
    <m/>
    <s v="I09109"/>
    <m/>
    <m/>
    <s v="S0361284"/>
  </r>
  <r>
    <x v="825"/>
    <n v="10000"/>
    <n v="10000"/>
    <d v="2025-03-28T00:00:00"/>
    <s v="502LAUGH"/>
    <s v=" 8:34:28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N9K06-80021-FT0001"/>
    <n v="0"/>
    <n v="100000"/>
    <n v="15024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4117"/>
    <n v="0"/>
    <m/>
    <s v="H08031-JIM-M"/>
    <m/>
    <m/>
    <s v="S0361290"/>
  </r>
  <r>
    <x v="826"/>
    <n v="10000"/>
    <n v="10000"/>
    <d v="2025-03-28T00:00:00"/>
    <s v="502LAUGH"/>
    <s v=" 8:37:45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N9K08-80027-FT0001"/>
    <n v="0"/>
    <n v="100000"/>
    <n v="15024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63757"/>
    <n v="0"/>
    <m/>
    <s v="H08031-JIM-M"/>
    <m/>
    <m/>
    <s v="S0361291"/>
  </r>
  <r>
    <x v="827"/>
    <n v="10000"/>
    <n v="10000"/>
    <d v="2025-03-20T00:00:00"/>
    <s v="502LAUGH"/>
    <d v="1899-12-30T10:14:33"/>
    <s v="M0BSO3780"/>
    <m/>
    <x v="2"/>
    <s v="Yes"/>
    <n v="94"/>
    <s v="Taiyo"/>
    <x v="2"/>
    <s v="PM09"/>
    <s v="PANG JING FULL"/>
    <n v="500"/>
    <m/>
    <m/>
    <d v="2025-03-19T00:00:00"/>
    <m/>
    <n v="4"/>
    <n v="2000"/>
    <s v="PE"/>
    <s v="L001-773057-00000006"/>
    <n v="0"/>
    <n v="2000"/>
    <n v="0"/>
    <n v="0"/>
    <n v="0"/>
    <n v="0"/>
    <m/>
    <m/>
    <n v="0"/>
    <m/>
    <m/>
    <m/>
    <m/>
    <m/>
    <m/>
    <m/>
    <m/>
    <s v="L001-773057-000006CM"/>
    <s v="X24001-WD-SUZHOU"/>
    <s v="TELEPLAN TECHNOLOGIES (SUZHOU) CO., LTD"/>
    <m/>
    <n v="0"/>
    <n v="0"/>
    <n v="0"/>
    <n v="0"/>
    <n v="0"/>
    <n v="0"/>
    <m/>
    <m/>
    <m/>
    <s v="No"/>
    <s v="W663764"/>
    <n v="0"/>
    <m/>
    <s v="X24001-WD-SUZHOU"/>
    <m/>
    <m/>
    <s v="S0361288"/>
  </r>
  <r>
    <x v="828"/>
    <n v="10000"/>
    <n v="10000"/>
    <d v="2025-03-21T00:00:00"/>
    <s v="502LAUGH"/>
    <s v=" 2:05:27 pm"/>
    <n v="59469"/>
    <m/>
    <x v="2"/>
    <s v="Yes"/>
    <n v="73"/>
    <s v="Brotech DF330"/>
    <x v="0"/>
    <s v="PM59"/>
    <s v="VOON CHAN PIN"/>
    <n v="7875"/>
    <n v="176.25"/>
    <n v="2.9375"/>
    <d v="2025-03-19T00:00:00"/>
    <m/>
    <n v="12"/>
    <n v="94500"/>
    <s v="PE"/>
    <s v="MT-1000241-907RE0001"/>
    <n v="0"/>
    <n v="94500"/>
    <n v="0"/>
    <n v="0"/>
    <n v="0"/>
    <n v="0"/>
    <m/>
    <m/>
    <n v="0"/>
    <m/>
    <m/>
    <m/>
    <m/>
    <m/>
    <m/>
    <m/>
    <m/>
    <s v="MT-1000241-907REV005"/>
    <s v="Z26002"/>
    <s v="CCL DESIGN (PENANG) SDN. BHD."/>
    <m/>
    <n v="0"/>
    <n v="0"/>
    <n v="0"/>
    <n v="0"/>
    <n v="0"/>
    <n v="0"/>
    <m/>
    <m/>
    <m/>
    <s v="No"/>
    <s v="W663326"/>
    <n v="0"/>
    <m/>
    <s v="Z26002"/>
    <m/>
    <m/>
    <s v="S0361295"/>
  </r>
  <r>
    <x v="662"/>
    <n v="10000"/>
    <n v="20000"/>
    <d v="2025-03-19T00:00:00"/>
    <s v="502LAUGH"/>
    <s v=" 5:24:50 pm"/>
    <n v="10639931025"/>
    <m/>
    <x v="0"/>
    <s v="Yes"/>
    <n v="77"/>
    <s v="Brotech DF330 "/>
    <x v="0"/>
    <s v="PM74"/>
    <s v="YONG CHEE SOON"/>
    <n v="639"/>
    <n v="55.65"/>
    <n v="0.92749999999999999"/>
    <d v="2025-03-19T00:00:00"/>
    <m/>
    <n v="36"/>
    <n v="23004"/>
    <s v="PE"/>
    <s v="B3P06-800160001"/>
    <n v="0"/>
    <n v="15000"/>
    <n v="8004"/>
    <n v="0"/>
    <n v="0"/>
    <n v="0"/>
    <m/>
    <m/>
    <n v="0"/>
    <m/>
    <m/>
    <m/>
    <m/>
    <m/>
    <m/>
    <m/>
    <m/>
    <s v="B3P06-80016"/>
    <s v="H08031-JIM"/>
    <s v="HP SINGAPORE (PRIVATE) LIMITED"/>
    <m/>
    <n v="0"/>
    <n v="0"/>
    <n v="0"/>
    <n v="0"/>
    <n v="0"/>
    <n v="0"/>
    <m/>
    <m/>
    <m/>
    <s v="No"/>
    <s v="W664120"/>
    <n v="0"/>
    <m/>
    <s v="H08031-JIM"/>
    <m/>
    <m/>
    <s v="S0361342"/>
  </r>
  <r>
    <x v="829"/>
    <n v="10000"/>
    <n v="10000"/>
    <d v="2025-03-20T00:00:00"/>
    <s v="502LAUGH"/>
    <s v=" 5:40:14 pm"/>
    <s v="J00T59561"/>
    <m/>
    <x v="2"/>
    <s v="Yes"/>
    <n v="72"/>
    <s v="Xeikon 3500"/>
    <x v="4"/>
    <s v="PM17"/>
    <s v="NG SWEE CHEA"/>
    <n v="2250"/>
    <m/>
    <m/>
    <d v="2025-03-19T00:00:00"/>
    <m/>
    <n v="4"/>
    <n v="9000"/>
    <s v="PE"/>
    <n v="5000514990001"/>
    <n v="0"/>
    <n v="7000"/>
    <n v="2000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3328"/>
    <n v="0"/>
    <m/>
    <s v="B02083"/>
    <m/>
    <m/>
    <s v="S0361358"/>
  </r>
  <r>
    <x v="830"/>
    <n v="10000"/>
    <n v="10000"/>
    <d v="2025-03-20T00:00:00"/>
    <s v="502LAUGH"/>
    <s v=" 5:41:02 pm"/>
    <s v="J00T59561"/>
    <m/>
    <x v="2"/>
    <s v="Yes"/>
    <n v="72"/>
    <s v="Xeikon 3500"/>
    <x v="4"/>
    <s v="PM17"/>
    <s v="NG SWEE CHEA"/>
    <n v="2000"/>
    <m/>
    <m/>
    <d v="2025-03-19T00:00:00"/>
    <m/>
    <n v="4"/>
    <n v="8000"/>
    <s v="PE"/>
    <n v="5000634590001"/>
    <n v="0"/>
    <n v="6000"/>
    <n v="2000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3329"/>
    <n v="0"/>
    <m/>
    <s v="B02083"/>
    <m/>
    <m/>
    <s v="S0361358"/>
  </r>
  <r>
    <x v="831"/>
    <n v="10000"/>
    <n v="10000"/>
    <d v="2025-03-20T00:00:00"/>
    <s v="502LAUGH"/>
    <s v=" 5:39:23 pm"/>
    <s v="J00T59561"/>
    <m/>
    <x v="2"/>
    <s v="Yes"/>
    <n v="72"/>
    <s v="Xeikon 3500"/>
    <x v="4"/>
    <s v="PM17"/>
    <s v="NG SWEE CHEA"/>
    <n v="2250"/>
    <m/>
    <m/>
    <d v="2025-03-19T00:00:00"/>
    <m/>
    <n v="4"/>
    <n v="9000"/>
    <s v="PE"/>
    <n v="5000635410001"/>
    <n v="0"/>
    <n v="7000"/>
    <n v="2000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3330"/>
    <n v="0"/>
    <m/>
    <s v="B02083"/>
    <m/>
    <m/>
    <s v="S0361358"/>
  </r>
  <r>
    <x v="832"/>
    <n v="10000"/>
    <n v="10000"/>
    <d v="2025-03-18T00:00:00"/>
    <s v="502LAUGH"/>
    <s v=" 3:53:27 pm"/>
    <s v="M007S9371"/>
    <m/>
    <x v="2"/>
    <s v="Yes"/>
    <n v="65"/>
    <s v="Sanki SDR300"/>
    <x v="3"/>
    <s v="PMJ7"/>
    <s v="FOONG SEL YI"/>
    <n v="1000"/>
    <n v="70"/>
    <n v="1.1666666666666667"/>
    <d v="2025-03-19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s v="HI-P SINGAPORE PTE. LTD."/>
    <m/>
    <n v="0"/>
    <n v="0"/>
    <n v="0"/>
    <n v="0"/>
    <n v="0"/>
    <n v="0"/>
    <m/>
    <m/>
    <m/>
    <s v="No"/>
    <s v="W663332"/>
    <n v="0"/>
    <m/>
    <s v="H08122"/>
    <m/>
    <m/>
    <s v="S0361368"/>
  </r>
  <r>
    <x v="762"/>
    <n v="10000"/>
    <n v="20000"/>
    <d v="2025-03-19T00:00:00"/>
    <s v="502LAUGH"/>
    <s v=" 5:52:09 pm"/>
    <s v="J00T59660"/>
    <m/>
    <x v="0"/>
    <s v="Yes"/>
    <n v="71"/>
    <s v="POLLY"/>
    <x v="3"/>
    <s v="PS95"/>
    <s v="LIM CHENG LEONG"/>
    <n v="3834"/>
    <m/>
    <m/>
    <d v="2025-03-19T00:00:00"/>
    <m/>
    <n v="6"/>
    <n v="23004"/>
    <s v="PE"/>
    <n v="86085350001"/>
    <n v="0"/>
    <n v="23000"/>
    <n v="4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63335"/>
    <n v="0"/>
    <m/>
    <s v="B02083"/>
    <m/>
    <m/>
    <s v="S0361379"/>
  </r>
  <r>
    <x v="763"/>
    <n v="10000"/>
    <n v="20000"/>
    <d v="2025-03-19T00:00:00"/>
    <s v="502LAUGH"/>
    <s v=" 1:36:58 pm"/>
    <s v="J00T59660"/>
    <m/>
    <x v="0"/>
    <s v="Yes"/>
    <n v="71"/>
    <s v="POLLY"/>
    <x v="3"/>
    <s v="PS95"/>
    <s v="LIM CHENG LEONG"/>
    <n v="1000"/>
    <m/>
    <m/>
    <d v="2025-03-19T00:00:00"/>
    <m/>
    <n v="6"/>
    <n v="6000"/>
    <s v="PE"/>
    <n v="86085410001"/>
    <n v="0"/>
    <n v="6000"/>
    <n v="0"/>
    <n v="0"/>
    <n v="0"/>
    <n v="0"/>
    <m/>
    <m/>
    <n v="0"/>
    <m/>
    <m/>
    <m/>
    <m/>
    <m/>
    <m/>
    <m/>
    <m/>
    <n v="8608541"/>
    <s v="B02083"/>
    <s v="BECTON DICKINSON MEDICAL (S) PTE LTD"/>
    <m/>
    <n v="0"/>
    <n v="0"/>
    <n v="0"/>
    <n v="0"/>
    <n v="0"/>
    <n v="0"/>
    <m/>
    <m/>
    <m/>
    <s v="No"/>
    <s v="W663215"/>
    <n v="0"/>
    <m/>
    <s v="B02083"/>
    <m/>
    <m/>
    <s v="S0361379"/>
  </r>
  <r>
    <x v="764"/>
    <n v="10000"/>
    <n v="20000"/>
    <d v="2025-03-19T00:00:00"/>
    <s v="502LAUGH"/>
    <s v=" 1:36:58 pm"/>
    <s v="J00T59660"/>
    <m/>
    <x v="0"/>
    <s v="Yes"/>
    <n v="71"/>
    <s v="POLLY"/>
    <x v="3"/>
    <s v="PS95"/>
    <s v="LIM CHENG LEONG"/>
    <n v="834"/>
    <m/>
    <m/>
    <d v="2025-03-19T00:00:00"/>
    <m/>
    <n v="6"/>
    <n v="5004"/>
    <s v="PE"/>
    <n v="5000580740001"/>
    <n v="0"/>
    <n v="5000"/>
    <n v="4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63216"/>
    <n v="0"/>
    <m/>
    <s v="B02083"/>
    <m/>
    <m/>
    <s v="S0361379"/>
  </r>
  <r>
    <x v="765"/>
    <n v="10000"/>
    <n v="20000"/>
    <d v="2025-03-19T00:00:00"/>
    <s v="502LAUGH"/>
    <s v=" 1:36:58 pm"/>
    <s v="J00T59660"/>
    <m/>
    <x v="0"/>
    <s v="Yes"/>
    <n v="71"/>
    <s v="POLLY"/>
    <x v="3"/>
    <s v="PS95"/>
    <s v="LIM CHENG LEONG"/>
    <n v="4500"/>
    <m/>
    <m/>
    <d v="2025-03-19T00:00:00"/>
    <m/>
    <n v="6"/>
    <n v="27000"/>
    <s v="PE"/>
    <n v="5000580750001"/>
    <n v="0"/>
    <n v="27000"/>
    <n v="0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63336"/>
    <n v="0"/>
    <m/>
    <s v="B02083"/>
    <m/>
    <m/>
    <s v="S0361379"/>
  </r>
  <r>
    <x v="766"/>
    <n v="10000"/>
    <n v="20000"/>
    <d v="2025-03-19T00:00:00"/>
    <s v="502LAUGH"/>
    <s v=" 1:36:58 pm"/>
    <s v="J00T59660"/>
    <m/>
    <x v="0"/>
    <s v="Yes"/>
    <n v="71"/>
    <s v="POLLY"/>
    <x v="3"/>
    <s v="PS95"/>
    <s v="LIM CHENG LEONG"/>
    <n v="2500"/>
    <m/>
    <m/>
    <d v="2025-03-19T00:00:00"/>
    <m/>
    <n v="6"/>
    <n v="15000"/>
    <s v="PE"/>
    <n v="5000582200001"/>
    <n v="0"/>
    <n v="15000"/>
    <n v="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3337"/>
    <n v="0"/>
    <m/>
    <s v="B02083"/>
    <m/>
    <m/>
    <s v="S0361379"/>
  </r>
  <r>
    <x v="833"/>
    <n v="10000"/>
    <n v="10000"/>
    <d v="2025-03-20T00:00:00"/>
    <s v="502LAUGH"/>
    <s v=" 2:23:04 pm"/>
    <s v="J00T59660"/>
    <m/>
    <x v="2"/>
    <s v="Yes"/>
    <n v="72"/>
    <s v="Xeikon 3500"/>
    <x v="4"/>
    <s v="PM17"/>
    <s v="NG SWEE CHEA"/>
    <n v="24000"/>
    <m/>
    <m/>
    <d v="2025-03-19T00:00:00"/>
    <m/>
    <n v="4"/>
    <n v="96000"/>
    <s v="PE"/>
    <n v="5000582210001"/>
    <n v="0"/>
    <n v="86000"/>
    <n v="10000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3338"/>
    <n v="0"/>
    <m/>
    <s v="B02083"/>
    <m/>
    <m/>
    <s v="S0361379"/>
  </r>
  <r>
    <x v="833"/>
    <n v="10000"/>
    <n v="20000"/>
    <d v="2025-03-20T00:00:00"/>
    <s v="502LAUGH"/>
    <s v=" 2:23:04 pm"/>
    <s v="J00T59660"/>
    <m/>
    <x v="0"/>
    <s v="Yes"/>
    <n v="71"/>
    <s v="POLLY"/>
    <x v="3"/>
    <s v="PS95"/>
    <s v="LIM CHENG LEONG"/>
    <n v="14334"/>
    <m/>
    <m/>
    <d v="2025-03-19T00:00:00"/>
    <m/>
    <n v="6"/>
    <n v="86004"/>
    <s v="PE"/>
    <n v="5000582210001"/>
    <n v="0"/>
    <n v="86000"/>
    <n v="4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3338"/>
    <n v="0"/>
    <m/>
    <s v="B02083"/>
    <m/>
    <m/>
    <s v="S0361379"/>
  </r>
  <r>
    <x v="770"/>
    <n v="10000"/>
    <n v="20000"/>
    <d v="2025-03-19T00:00:00"/>
    <s v="502LAUGH"/>
    <s v=" 5:52:09 pm"/>
    <s v="J00T59660"/>
    <m/>
    <x v="0"/>
    <s v="Yes"/>
    <n v="71"/>
    <s v="POLLY"/>
    <x v="3"/>
    <s v="PS95"/>
    <s v="LIM CHENG LEONG"/>
    <n v="6167"/>
    <m/>
    <m/>
    <d v="2025-03-19T00:00:00"/>
    <m/>
    <n v="6"/>
    <n v="37002"/>
    <s v="PE"/>
    <n v="5000602820001"/>
    <n v="0"/>
    <n v="37000"/>
    <n v="2"/>
    <n v="0"/>
    <n v="0"/>
    <n v="0"/>
    <m/>
    <m/>
    <n v="0"/>
    <m/>
    <m/>
    <m/>
    <m/>
    <m/>
    <m/>
    <m/>
    <m/>
    <n v="500060282"/>
    <s v="B02083"/>
    <s v="BECTON DICKINSON MEDICAL (S) PTE LTD"/>
    <m/>
    <n v="0"/>
    <n v="0"/>
    <n v="0"/>
    <n v="0"/>
    <n v="0"/>
    <n v="0"/>
    <m/>
    <m/>
    <m/>
    <s v="No"/>
    <s v="W663339"/>
    <n v="0"/>
    <m/>
    <s v="B02083"/>
    <m/>
    <m/>
    <s v="S0361379"/>
  </r>
  <r>
    <x v="834"/>
    <n v="10000"/>
    <n v="10000"/>
    <d v="2025-03-21T00:00:00"/>
    <s v="502LAUGH"/>
    <s v=" 8:34:34 am"/>
    <s v="J00T59561"/>
    <m/>
    <x v="2"/>
    <s v="Yes"/>
    <n v="72"/>
    <s v="Xeikon 3500"/>
    <x v="4"/>
    <s v="PM17"/>
    <s v="NG SWEE CHEA"/>
    <n v="1125"/>
    <m/>
    <m/>
    <d v="2025-03-19T00:00:00"/>
    <m/>
    <n v="4"/>
    <n v="4500"/>
    <s v="PE"/>
    <n v="5000478070001"/>
    <n v="0"/>
    <n v="2500"/>
    <n v="2000"/>
    <n v="0"/>
    <n v="0"/>
    <n v="0"/>
    <m/>
    <m/>
    <n v="0"/>
    <m/>
    <m/>
    <m/>
    <m/>
    <m/>
    <m/>
    <m/>
    <m/>
    <n v="500047807"/>
    <s v="B02083"/>
    <s v="BECTON DICKINSON MEDICAL (S) PTE LTD"/>
    <m/>
    <n v="0"/>
    <n v="0"/>
    <n v="0"/>
    <n v="0"/>
    <n v="0"/>
    <n v="0"/>
    <m/>
    <m/>
    <m/>
    <s v="No"/>
    <s v="W663790"/>
    <n v="0"/>
    <m/>
    <s v="B02083"/>
    <m/>
    <m/>
    <s v="S0361381"/>
  </r>
  <r>
    <x v="834"/>
    <n v="20000"/>
    <n v="10000"/>
    <d v="2025-03-21T00:00:00"/>
    <s v="502LAUGH"/>
    <s v=" 8:34:34 am"/>
    <s v="J00T59561"/>
    <m/>
    <x v="2"/>
    <s v="Yes"/>
    <n v="72"/>
    <s v="Xeikon 3500"/>
    <x v="4"/>
    <s v="PM17"/>
    <s v="NG SWEE CHEA"/>
    <n v="625"/>
    <m/>
    <m/>
    <d v="2025-03-19T00:00:00"/>
    <m/>
    <n v="4"/>
    <n v="2500"/>
    <s v="PE"/>
    <n v="5000478070001"/>
    <n v="0"/>
    <n v="2500"/>
    <n v="0"/>
    <n v="0"/>
    <n v="0"/>
    <n v="0"/>
    <m/>
    <m/>
    <n v="0"/>
    <m/>
    <m/>
    <m/>
    <m/>
    <m/>
    <m/>
    <m/>
    <m/>
    <n v="500047807"/>
    <s v="B02083"/>
    <s v="BECTON DICKINSON MEDICAL (S) PTE LTD"/>
    <m/>
    <n v="0"/>
    <n v="0"/>
    <n v="0"/>
    <n v="0"/>
    <n v="0"/>
    <n v="0"/>
    <m/>
    <m/>
    <m/>
    <s v="No"/>
    <s v="W663790"/>
    <n v="0"/>
    <m/>
    <s v="B02083"/>
    <m/>
    <m/>
    <s v="S0361381"/>
  </r>
  <r>
    <x v="835"/>
    <n v="10000"/>
    <n v="10000"/>
    <d v="2025-03-21T00:00:00"/>
    <s v="502LAUGH"/>
    <s v=" 8:36:08 am"/>
    <s v="J00T59561"/>
    <m/>
    <x v="2"/>
    <s v="Yes"/>
    <n v="72"/>
    <s v="Xeikon 3500"/>
    <x v="4"/>
    <s v="PM17"/>
    <s v="NG SWEE CHEA"/>
    <n v="1125"/>
    <m/>
    <m/>
    <d v="2025-03-19T00:00:00"/>
    <m/>
    <n v="4"/>
    <n v="4500"/>
    <s v="PE"/>
    <n v="5000478080001"/>
    <n v="0"/>
    <n v="2500"/>
    <n v="2000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3791"/>
    <n v="0"/>
    <m/>
    <s v="B02083"/>
    <m/>
    <m/>
    <s v="S0361381"/>
  </r>
  <r>
    <x v="835"/>
    <n v="20000"/>
    <n v="10000"/>
    <d v="2025-03-21T00:00:00"/>
    <s v="502LAUGH"/>
    <s v=" 8:36:08 am"/>
    <s v="J00T59561"/>
    <m/>
    <x v="2"/>
    <s v="Yes"/>
    <n v="72"/>
    <s v="Xeikon 3500"/>
    <x v="4"/>
    <s v="PM17"/>
    <s v="NG SWEE CHEA"/>
    <n v="625"/>
    <m/>
    <m/>
    <d v="2025-03-19T00:00:00"/>
    <m/>
    <n v="4"/>
    <n v="2500"/>
    <s v="PE"/>
    <n v="5000478080001"/>
    <n v="0"/>
    <n v="2500"/>
    <n v="0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3791"/>
    <n v="0"/>
    <m/>
    <s v="B02083"/>
    <m/>
    <m/>
    <s v="S0361381"/>
  </r>
  <r>
    <x v="836"/>
    <n v="10000"/>
    <n v="10000"/>
    <d v="2025-03-21T00:00:00"/>
    <s v="502LAUGH"/>
    <s v=" 8:35:21 am"/>
    <s v="J00T59561"/>
    <m/>
    <x v="2"/>
    <s v="Yes"/>
    <n v="72"/>
    <s v="Xeikon 3500"/>
    <x v="4"/>
    <s v="PM17"/>
    <s v="NG SWEE CHEA"/>
    <n v="1125"/>
    <m/>
    <m/>
    <d v="2025-03-19T00:00:00"/>
    <m/>
    <n v="4"/>
    <n v="4500"/>
    <s v="PE"/>
    <n v="5000479220001"/>
    <n v="0"/>
    <n v="2500"/>
    <n v="2000"/>
    <n v="0"/>
    <n v="0"/>
    <n v="0"/>
    <m/>
    <m/>
    <n v="0"/>
    <m/>
    <m/>
    <m/>
    <m/>
    <m/>
    <m/>
    <m/>
    <m/>
    <n v="500047922"/>
    <s v="B02083"/>
    <s v="BECTON DICKINSON MEDICAL (S) PTE LTD"/>
    <m/>
    <n v="0"/>
    <n v="0"/>
    <n v="0"/>
    <n v="0"/>
    <n v="0"/>
    <n v="0"/>
    <m/>
    <m/>
    <m/>
    <s v="No"/>
    <s v="W663340"/>
    <n v="0"/>
    <m/>
    <s v="B02083"/>
    <m/>
    <m/>
    <s v="S0361381"/>
  </r>
  <r>
    <x v="836"/>
    <n v="20000"/>
    <n v="10000"/>
    <d v="2025-03-21T00:00:00"/>
    <s v="502LAUGH"/>
    <s v=" 8:35:21 am"/>
    <s v="J00T59561"/>
    <m/>
    <x v="2"/>
    <s v="Yes"/>
    <n v="72"/>
    <s v="Xeikon 3500"/>
    <x v="4"/>
    <s v="PM17"/>
    <s v="NG SWEE CHEA"/>
    <n v="625"/>
    <m/>
    <m/>
    <d v="2025-03-19T00:00:00"/>
    <m/>
    <n v="4"/>
    <n v="2500"/>
    <s v="PE"/>
    <n v="5000479220001"/>
    <n v="0"/>
    <n v="2500"/>
    <n v="0"/>
    <n v="0"/>
    <n v="0"/>
    <n v="0"/>
    <m/>
    <m/>
    <n v="0"/>
    <m/>
    <m/>
    <m/>
    <m/>
    <m/>
    <m/>
    <m/>
    <m/>
    <n v="500047922"/>
    <s v="B02083"/>
    <s v="BECTON DICKINSON MEDICAL (S) PTE LTD"/>
    <m/>
    <n v="0"/>
    <n v="0"/>
    <n v="0"/>
    <n v="0"/>
    <n v="0"/>
    <n v="0"/>
    <m/>
    <m/>
    <m/>
    <s v="No"/>
    <s v="W663340"/>
    <n v="0"/>
    <m/>
    <s v="B02083"/>
    <m/>
    <m/>
    <s v="S0361381"/>
  </r>
  <r>
    <x v="837"/>
    <n v="10000"/>
    <n v="10000"/>
    <d v="2025-03-21T00:00:00"/>
    <s v="502LAUGH"/>
    <s v=" 8:36:51 am"/>
    <s v="J00T59561"/>
    <m/>
    <x v="2"/>
    <s v="Yes"/>
    <n v="72"/>
    <s v="Xeikon 3500"/>
    <x v="4"/>
    <s v="PM17"/>
    <s v="NG SWEE CHEA"/>
    <n v="1125"/>
    <m/>
    <m/>
    <d v="2025-03-19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3792"/>
    <n v="0"/>
    <m/>
    <s v="B02083"/>
    <m/>
    <m/>
    <s v="S0361381"/>
  </r>
  <r>
    <x v="837"/>
    <n v="20000"/>
    <n v="10000"/>
    <d v="2025-03-21T00:00:00"/>
    <s v="502LAUGH"/>
    <s v=" 8:36:51 am"/>
    <s v="J00T59561"/>
    <m/>
    <x v="2"/>
    <s v="Yes"/>
    <n v="72"/>
    <s v="Xeikon 3500"/>
    <x v="4"/>
    <s v="PM17"/>
    <s v="NG SWEE CHEA"/>
    <n v="625"/>
    <m/>
    <m/>
    <d v="2025-03-19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3792"/>
    <n v="0"/>
    <m/>
    <s v="B02083"/>
    <m/>
    <m/>
    <s v="S0361381"/>
  </r>
  <r>
    <x v="838"/>
    <n v="10000"/>
    <n v="10000"/>
    <d v="2025-03-21T00:00:00"/>
    <s v="502LAUGH"/>
    <s v=" 2:02:41 pm"/>
    <s v="J00T59561"/>
    <m/>
    <x v="2"/>
    <s v="Yes"/>
    <n v="72"/>
    <s v="Xeikon 3500"/>
    <x v="4"/>
    <s v="PM17"/>
    <s v="NG SWEE CHEA"/>
    <n v="2625"/>
    <m/>
    <m/>
    <d v="2025-03-19T00:00:00"/>
    <m/>
    <n v="4"/>
    <n v="10500"/>
    <s v="PE"/>
    <n v="5000582270001"/>
    <n v="0"/>
    <n v="7500"/>
    <n v="300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3793"/>
    <n v="0"/>
    <m/>
    <s v="B02083"/>
    <m/>
    <m/>
    <s v="S0361381"/>
  </r>
  <r>
    <x v="838"/>
    <n v="20000"/>
    <n v="10000"/>
    <d v="2025-03-21T00:00:00"/>
    <s v="502LAUGH"/>
    <s v=" 2:02:41 pm"/>
    <s v="J00T59561"/>
    <m/>
    <x v="2"/>
    <s v="Yes"/>
    <n v="72"/>
    <s v="Xeikon 3500"/>
    <x v="4"/>
    <s v="PM17"/>
    <s v="NG SWEE CHEA"/>
    <n v="1875"/>
    <m/>
    <m/>
    <d v="2025-03-19T00:00:00"/>
    <m/>
    <n v="4"/>
    <n v="7500"/>
    <s v="PE"/>
    <n v="5000582270001"/>
    <n v="0"/>
    <n v="7500"/>
    <n v="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3793"/>
    <n v="0"/>
    <m/>
    <s v="B02083"/>
    <m/>
    <m/>
    <s v="S0361381"/>
  </r>
  <r>
    <x v="839"/>
    <n v="10000"/>
    <n v="10000"/>
    <d v="2025-03-21T00:00:00"/>
    <s v="502LAUGH"/>
    <s v=" 2:03:31 pm"/>
    <s v="J00T59561"/>
    <m/>
    <x v="2"/>
    <s v="Yes"/>
    <n v="72"/>
    <s v="Xeikon 3500"/>
    <x v="4"/>
    <s v="PM17"/>
    <s v="NG SWEE CHEA"/>
    <n v="1125"/>
    <m/>
    <m/>
    <d v="2025-03-19T00:00:00"/>
    <m/>
    <n v="4"/>
    <n v="4500"/>
    <s v="PE"/>
    <n v="5000582280001"/>
    <n v="0"/>
    <n v="2500"/>
    <n v="2000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3794"/>
    <n v="0"/>
    <m/>
    <s v="B02083"/>
    <m/>
    <m/>
    <s v="S0361381"/>
  </r>
  <r>
    <x v="839"/>
    <n v="20000"/>
    <n v="10000"/>
    <d v="2025-03-21T00:00:00"/>
    <s v="502LAUGH"/>
    <s v=" 2:03:31 pm"/>
    <s v="J00T59561"/>
    <m/>
    <x v="2"/>
    <s v="Yes"/>
    <n v="72"/>
    <s v="Xeikon 3500"/>
    <x v="4"/>
    <s v="PM17"/>
    <s v="NG SWEE CHEA"/>
    <n v="625"/>
    <m/>
    <m/>
    <d v="2025-03-19T00:00:00"/>
    <m/>
    <n v="4"/>
    <n v="2500"/>
    <s v="PE"/>
    <n v="5000582280001"/>
    <n v="0"/>
    <n v="2500"/>
    <n v="0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3794"/>
    <n v="0"/>
    <m/>
    <s v="B02083"/>
    <m/>
    <m/>
    <s v="S0361381"/>
  </r>
  <r>
    <x v="840"/>
    <n v="10000"/>
    <n v="10000"/>
    <d v="2025-03-21T00:00:00"/>
    <s v="502LAUGH"/>
    <s v=" 2:04:23 pm"/>
    <s v="J00T59561"/>
    <m/>
    <x v="2"/>
    <s v="Yes"/>
    <n v="72"/>
    <s v="Xeikon 3500"/>
    <x v="4"/>
    <s v="PM17"/>
    <s v="NG SWEE CHEA"/>
    <n v="2500"/>
    <m/>
    <m/>
    <d v="2025-03-19T00:00:00"/>
    <m/>
    <n v="4"/>
    <n v="10000"/>
    <s v="PE"/>
    <n v="5000584100001"/>
    <n v="0"/>
    <n v="7000"/>
    <n v="300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3795"/>
    <n v="0"/>
    <m/>
    <s v="B02083"/>
    <m/>
    <m/>
    <s v="S0361381"/>
  </r>
  <r>
    <x v="840"/>
    <n v="20000"/>
    <n v="10000"/>
    <d v="2025-03-21T00:00:00"/>
    <s v="502LAUGH"/>
    <s v=" 2:04:23 pm"/>
    <s v="J00T59561"/>
    <m/>
    <x v="2"/>
    <s v="Yes"/>
    <n v="72"/>
    <s v="Xeikon 3500"/>
    <x v="4"/>
    <s v="PM17"/>
    <s v="NG SWEE CHEA"/>
    <n v="1750"/>
    <m/>
    <m/>
    <d v="2025-03-19T00:00:00"/>
    <m/>
    <n v="4"/>
    <n v="7000"/>
    <s v="PE"/>
    <n v="5000584100001"/>
    <n v="0"/>
    <n v="7000"/>
    <n v="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3795"/>
    <n v="0"/>
    <m/>
    <s v="B02083"/>
    <m/>
    <m/>
    <s v="S0361381"/>
  </r>
  <r>
    <x v="772"/>
    <n v="10000"/>
    <n v="20000"/>
    <d v="2025-03-20T00:00:00"/>
    <s v="502LAUGH"/>
    <d v="1899-12-30T11:17:06"/>
    <s v="BYE028-02"/>
    <m/>
    <x v="0"/>
    <s v="Yes"/>
    <n v="105"/>
    <s v="Laser"/>
    <x v="5"/>
    <s v="PM87"/>
    <s v="LEE SHIEN WEI"/>
    <n v="10500"/>
    <m/>
    <m/>
    <d v="2025-03-19T00:00:00"/>
    <m/>
    <n v="1"/>
    <n v="10500"/>
    <s v="PE"/>
    <s v="APPROVED-28X47MM0001"/>
    <n v="0"/>
    <n v="10000"/>
    <n v="500"/>
    <n v="0"/>
    <n v="0"/>
    <n v="0"/>
    <m/>
    <m/>
    <n v="0"/>
    <m/>
    <m/>
    <m/>
    <m/>
    <m/>
    <m/>
    <m/>
    <m/>
    <s v="APPROVED-28X47MM"/>
    <s v="J10025"/>
    <s v="JMS SINGAPORE PTE LTD"/>
    <m/>
    <n v="0"/>
    <n v="0"/>
    <n v="0"/>
    <n v="0"/>
    <n v="0"/>
    <n v="0"/>
    <m/>
    <m/>
    <m/>
    <s v="No"/>
    <s v="W663221"/>
    <n v="0"/>
    <m/>
    <s v="J10025"/>
    <m/>
    <m/>
    <s v="S0361387"/>
  </r>
  <r>
    <x v="841"/>
    <n v="10000"/>
    <n v="10000"/>
    <d v="2025-03-20T00:00:00"/>
    <s v="502LAUGH"/>
    <d v="1899-12-30T11:17:53"/>
    <s v="BWK015-01"/>
    <m/>
    <x v="2"/>
    <s v="Yes"/>
    <n v="88"/>
    <s v="OKI"/>
    <x v="4"/>
    <s v="PP24"/>
    <s v="HO HON SENG"/>
    <n v="2100"/>
    <m/>
    <m/>
    <d v="2025-03-19T00:00:00"/>
    <m/>
    <n v="5"/>
    <n v="10500"/>
    <s v="PE"/>
    <s v="READJUSTMENT0001"/>
    <n v="0"/>
    <n v="10000"/>
    <n v="500"/>
    <n v="0"/>
    <n v="0"/>
    <n v="0"/>
    <m/>
    <m/>
    <n v="0"/>
    <m/>
    <m/>
    <m/>
    <m/>
    <m/>
    <m/>
    <m/>
    <m/>
    <s v="READJUSTMENT"/>
    <s v="J10025"/>
    <s v="JMS SINGAPORE PTE LTD"/>
    <m/>
    <n v="0"/>
    <n v="0"/>
    <n v="0"/>
    <n v="0"/>
    <n v="0"/>
    <n v="0"/>
    <m/>
    <m/>
    <m/>
    <s v="No"/>
    <s v="W663222"/>
    <n v="0"/>
    <m/>
    <s v="J10025"/>
    <m/>
    <m/>
    <s v="S0361387"/>
  </r>
  <r>
    <x v="841"/>
    <n v="10000"/>
    <n v="20000"/>
    <d v="2025-03-20T00:00:00"/>
    <s v="502LAUGH"/>
    <d v="1899-12-30T11:17:53"/>
    <s v="BWK015-01"/>
    <m/>
    <x v="0"/>
    <s v="Yes"/>
    <n v="105"/>
    <s v="Laser"/>
    <x v="5"/>
    <s v="PM87"/>
    <s v="LEE SHIEN WEI"/>
    <n v="10500"/>
    <m/>
    <m/>
    <d v="2025-03-19T00:00:00"/>
    <m/>
    <n v="1"/>
    <n v="10500"/>
    <s v="PE"/>
    <s v="READJUSTMENT0001"/>
    <n v="0"/>
    <n v="10000"/>
    <n v="500"/>
    <n v="0"/>
    <n v="0"/>
    <n v="0"/>
    <m/>
    <m/>
    <n v="0"/>
    <m/>
    <m/>
    <m/>
    <m/>
    <m/>
    <m/>
    <m/>
    <m/>
    <s v="READJUSTMENT"/>
    <s v="J10025"/>
    <s v="JMS SINGAPORE PTE LTD"/>
    <m/>
    <n v="0"/>
    <n v="0"/>
    <n v="0"/>
    <n v="0"/>
    <n v="0"/>
    <n v="0"/>
    <m/>
    <m/>
    <m/>
    <s v="No"/>
    <s v="W663222"/>
    <n v="0"/>
    <m/>
    <s v="J10025"/>
    <m/>
    <m/>
    <s v="S0361387"/>
  </r>
  <r>
    <x v="842"/>
    <n v="10000"/>
    <n v="10000"/>
    <d v="2025-03-20T00:00:00"/>
    <s v="502LAUGH"/>
    <s v=" 8:33:50 am"/>
    <s v="BYJ032-04"/>
    <m/>
    <x v="2"/>
    <s v="Yes"/>
    <n v="29"/>
    <s v="Sanki SKP250 Full Rotary"/>
    <x v="2"/>
    <s v="PS70"/>
    <s v="YEO WOO KEONG"/>
    <n v="4000"/>
    <n v="145"/>
    <n v="2.4166666666666665"/>
    <d v="2025-03-19T00:00:00"/>
    <m/>
    <n v="1"/>
    <n v="4000"/>
    <s v="PE"/>
    <s v="BLANK LABEL-372X0001"/>
    <n v="0"/>
    <n v="4000"/>
    <n v="0"/>
    <n v="0"/>
    <n v="0"/>
    <n v="0"/>
    <m/>
    <m/>
    <n v="0"/>
    <m/>
    <m/>
    <m/>
    <m/>
    <m/>
    <m/>
    <m/>
    <m/>
    <s v="BLANK LABEL-372X153"/>
    <s v="H08216"/>
    <s v="HYPERCOAT ENTERPRISES PTE LTD"/>
    <m/>
    <n v="0"/>
    <n v="0"/>
    <n v="0"/>
    <n v="0"/>
    <n v="0"/>
    <n v="0"/>
    <m/>
    <m/>
    <m/>
    <s v="No"/>
    <s v="W663223"/>
    <n v="0"/>
    <m/>
    <s v="H08216"/>
    <m/>
    <m/>
    <s v="S0361390"/>
  </r>
  <r>
    <x v="843"/>
    <n v="10000"/>
    <n v="10000"/>
    <d v="2025-03-21T00:00:00"/>
    <s v="502LAUGH"/>
    <s v=" 1:28:23 pm"/>
    <s v="U4A04S213/3082512U9"/>
    <m/>
    <x v="2"/>
    <s v="Yes"/>
    <n v="88"/>
    <s v="OKI"/>
    <x v="4"/>
    <s v="PP24"/>
    <s v="HO HON SENG"/>
    <n v="20"/>
    <m/>
    <m/>
    <d v="2025-03-19T00:00:00"/>
    <m/>
    <n v="1"/>
    <n v="20"/>
    <s v="PE"/>
    <n v="107473440001"/>
    <n v="0"/>
    <n v="20"/>
    <n v="0"/>
    <n v="0"/>
    <n v="0"/>
    <n v="0"/>
    <m/>
    <m/>
    <n v="0"/>
    <m/>
    <m/>
    <m/>
    <m/>
    <m/>
    <m/>
    <m/>
    <m/>
    <n v="10747344"/>
    <s v="I09109"/>
    <s v="IKE TECHNOLOGY"/>
    <m/>
    <n v="0"/>
    <n v="0"/>
    <n v="0"/>
    <n v="0"/>
    <n v="0"/>
    <n v="0"/>
    <m/>
    <m/>
    <m/>
    <s v="No"/>
    <s v="W663341"/>
    <n v="0"/>
    <m/>
    <s v="I09109"/>
    <m/>
    <m/>
    <s v="ZSA101771"/>
  </r>
  <r>
    <x v="844"/>
    <n v="10000"/>
    <n v="10000"/>
    <d v="2025-03-20T00:00:00"/>
    <s v="502LAUGH"/>
    <s v=" 2:20:54 pm"/>
    <s v="D105Y48501525"/>
    <m/>
    <x v="2"/>
    <s v="Yes"/>
    <n v="88"/>
    <s v="OKI"/>
    <x v="4"/>
    <s v="PP24"/>
    <s v="HO HON SENG"/>
    <n v="20"/>
    <m/>
    <m/>
    <d v="2025-03-19T00:00:00"/>
    <m/>
    <n v="1"/>
    <n v="20"/>
    <s v="PE"/>
    <n v="107473450001"/>
    <n v="0"/>
    <n v="20"/>
    <n v="0"/>
    <n v="0"/>
    <n v="0"/>
    <n v="0"/>
    <m/>
    <m/>
    <n v="0"/>
    <m/>
    <m/>
    <m/>
    <m/>
    <m/>
    <m/>
    <m/>
    <m/>
    <n v="10747345"/>
    <s v="I09109"/>
    <s v="IKE TECHNOLOGY"/>
    <m/>
    <n v="0"/>
    <n v="0"/>
    <n v="0"/>
    <n v="0"/>
    <n v="0"/>
    <n v="0"/>
    <m/>
    <m/>
    <m/>
    <s v="No"/>
    <s v="W663224"/>
    <n v="0"/>
    <m/>
    <s v="I09109"/>
    <m/>
    <m/>
    <s v="ZSA101771"/>
  </r>
  <r>
    <x v="844"/>
    <n v="10000"/>
    <n v="20000"/>
    <d v="2025-03-20T00:00:00"/>
    <s v="502LAUGH"/>
    <s v=" 2:20:55 pm"/>
    <s v="D105Y48501525"/>
    <m/>
    <x v="0"/>
    <s v="Yes"/>
    <n v="92"/>
    <s v="Polly Digital Cut"/>
    <x v="6"/>
    <s v="PM87"/>
    <s v="LEE SHIEN WEI"/>
    <n v="20"/>
    <m/>
    <m/>
    <d v="2025-03-19T00:00:00"/>
    <m/>
    <n v="1"/>
    <n v="20"/>
    <s v="PE"/>
    <n v="107473450001"/>
    <n v="0"/>
    <n v="20"/>
    <n v="0"/>
    <n v="0"/>
    <n v="0"/>
    <n v="0"/>
    <m/>
    <m/>
    <n v="0"/>
    <m/>
    <m/>
    <m/>
    <m/>
    <m/>
    <m/>
    <m/>
    <m/>
    <n v="10747345"/>
    <s v="I09109"/>
    <s v="IKE TECHNOLOGY"/>
    <m/>
    <n v="0"/>
    <n v="0"/>
    <n v="0"/>
    <n v="0"/>
    <n v="0"/>
    <n v="0"/>
    <m/>
    <m/>
    <m/>
    <s v="No"/>
    <s v="W663224"/>
    <n v="0"/>
    <m/>
    <s v="I09109"/>
    <m/>
    <m/>
    <s v="ZSA101771"/>
  </r>
  <r>
    <x v="845"/>
    <n v="10000"/>
    <n v="10000"/>
    <d v="2025-03-21T00:00:00"/>
    <s v="502LAUGH"/>
    <s v=" 1:28:23 pm"/>
    <s v="U4A04S213/3082512U9"/>
    <m/>
    <x v="2"/>
    <s v="Yes"/>
    <n v="88"/>
    <s v="OKI"/>
    <x v="4"/>
    <s v="PP24"/>
    <s v="HO HON SENG"/>
    <n v="1500"/>
    <m/>
    <m/>
    <d v="2025-03-19T00:00:00"/>
    <m/>
    <n v="1"/>
    <n v="1500"/>
    <s v="PE"/>
    <n v="107473440001"/>
    <n v="0"/>
    <n v="1000"/>
    <n v="500"/>
    <n v="0"/>
    <n v="0"/>
    <n v="0"/>
    <m/>
    <m/>
    <n v="0"/>
    <m/>
    <m/>
    <m/>
    <m/>
    <m/>
    <m/>
    <m/>
    <m/>
    <n v="10747344"/>
    <s v="I09109"/>
    <s v="IKE TECHNOLOGY"/>
    <m/>
    <n v="0"/>
    <n v="0"/>
    <n v="0"/>
    <n v="0"/>
    <n v="0"/>
    <n v="0"/>
    <m/>
    <m/>
    <m/>
    <s v="No"/>
    <s v="W663809"/>
    <n v="0"/>
    <m/>
    <s v="I09109"/>
    <m/>
    <m/>
    <s v="S0361398"/>
  </r>
  <r>
    <x v="846"/>
    <n v="10000"/>
    <n v="10000"/>
    <d v="2025-03-20T00:00:00"/>
    <s v="502LAUGH"/>
    <s v=" 2:21:48 pm"/>
    <s v="D105Y48501525"/>
    <m/>
    <x v="2"/>
    <s v="Yes"/>
    <n v="88"/>
    <s v="OKI"/>
    <x v="4"/>
    <s v="PP24"/>
    <s v="HO HON SENG"/>
    <n v="1500"/>
    <m/>
    <m/>
    <d v="2025-03-19T00:00:00"/>
    <m/>
    <n v="1"/>
    <n v="1500"/>
    <s v="PE"/>
    <n v="107473450001"/>
    <n v="0"/>
    <n v="1000"/>
    <n v="500"/>
    <n v="0"/>
    <n v="0"/>
    <n v="0"/>
    <m/>
    <m/>
    <n v="0"/>
    <m/>
    <m/>
    <m/>
    <m/>
    <m/>
    <m/>
    <m/>
    <m/>
    <n v="10747345"/>
    <s v="I09109"/>
    <s v="IKE TECHNOLOGY"/>
    <m/>
    <n v="0"/>
    <n v="0"/>
    <n v="0"/>
    <n v="0"/>
    <n v="0"/>
    <n v="0"/>
    <m/>
    <m/>
    <m/>
    <s v="No"/>
    <s v="W663810"/>
    <n v="0"/>
    <m/>
    <s v="I09109"/>
    <m/>
    <m/>
    <s v="S0361398"/>
  </r>
  <r>
    <x v="846"/>
    <n v="10000"/>
    <n v="20000"/>
    <d v="2025-03-20T00:00:00"/>
    <s v="502LAUGH"/>
    <s v=" 2:21:48 pm"/>
    <s v="D105Y48501525"/>
    <m/>
    <x v="0"/>
    <s v="Yes"/>
    <n v="92"/>
    <s v="Polly Digital Cut"/>
    <x v="6"/>
    <s v="PM87"/>
    <s v="LEE SHIEN WEI"/>
    <n v="1200"/>
    <m/>
    <m/>
    <d v="2025-03-19T00:00:00"/>
    <m/>
    <n v="1"/>
    <n v="1200"/>
    <s v="PE"/>
    <n v="107473450001"/>
    <n v="0"/>
    <n v="1000"/>
    <n v="200"/>
    <n v="0"/>
    <n v="0"/>
    <n v="0"/>
    <m/>
    <m/>
    <n v="0"/>
    <m/>
    <m/>
    <m/>
    <m/>
    <m/>
    <m/>
    <m/>
    <m/>
    <n v="10747345"/>
    <s v="I09109"/>
    <s v="IKE TECHNOLOGY"/>
    <m/>
    <n v="0"/>
    <n v="0"/>
    <n v="0"/>
    <n v="0"/>
    <n v="0"/>
    <n v="0"/>
    <m/>
    <m/>
    <m/>
    <s v="No"/>
    <s v="W663810"/>
    <n v="0"/>
    <m/>
    <s v="I09109"/>
    <m/>
    <m/>
    <s v="S0361398"/>
  </r>
  <r>
    <x v="847"/>
    <n v="10000"/>
    <n v="10000"/>
    <d v="2025-03-19T00:00:00"/>
    <s v="502LAUGH"/>
    <s v=" 1:32:49 pm"/>
    <s v="S24Y100279/F0206908"/>
    <m/>
    <x v="2"/>
    <s v="Yes"/>
    <n v="75"/>
    <s v="HDS 3"/>
    <x v="3"/>
    <s v="PM75"/>
    <s v="TOO CHIOU SHYAN"/>
    <n v="16"/>
    <n v="45.8"/>
    <n v="0.76333333333333331"/>
    <d v="2025-03-19T00:00:00"/>
    <m/>
    <n v="13"/>
    <n v="208"/>
    <s v="PE"/>
    <s v="763360200 REVA0001"/>
    <n v="0"/>
    <n v="200"/>
    <n v="8"/>
    <n v="0"/>
    <n v="0"/>
    <n v="0"/>
    <m/>
    <m/>
    <n v="0"/>
    <m/>
    <m/>
    <m/>
    <m/>
    <m/>
    <m/>
    <m/>
    <m/>
    <s v="763360200 REVA"/>
    <s v="S19081"/>
    <s v="SEAGATE SINGAPORE INTERNATIONAL HEADQUARTERS"/>
    <m/>
    <n v="0"/>
    <n v="0"/>
    <n v="0"/>
    <n v="0"/>
    <n v="0"/>
    <n v="0"/>
    <m/>
    <m/>
    <m/>
    <s v="No"/>
    <s v="W663225"/>
    <n v="0"/>
    <m/>
    <s v="S19081"/>
    <m/>
    <m/>
    <s v="ZSA101772"/>
  </r>
  <r>
    <x v="848"/>
    <n v="10000"/>
    <n v="10000"/>
    <d v="2025-03-19T00:00:00"/>
    <s v="502LAUGH"/>
    <s v=" 1:32:49 pm"/>
    <s v="S24Y100279/F0206908"/>
    <m/>
    <x v="2"/>
    <s v="Yes"/>
    <n v="75"/>
    <s v="HDS 3"/>
    <x v="3"/>
    <s v="PM75"/>
    <s v="TOO CHIOU SHYAN"/>
    <n v="16"/>
    <n v="45.8"/>
    <n v="0.76333333333333331"/>
    <d v="2025-03-19T00:00:00"/>
    <m/>
    <n v="13"/>
    <n v="208"/>
    <s v="PE"/>
    <s v="763360200 REVA0001"/>
    <n v="0"/>
    <n v="200"/>
    <n v="8"/>
    <n v="0"/>
    <n v="0"/>
    <n v="0"/>
    <m/>
    <m/>
    <n v="0"/>
    <m/>
    <m/>
    <m/>
    <m/>
    <m/>
    <m/>
    <m/>
    <m/>
    <s v="763360200 REVA"/>
    <s v="S19081"/>
    <s v="SEAGATE SINGAPORE INTERNATIONAL HEADQUARTERS"/>
    <m/>
    <n v="0"/>
    <n v="0"/>
    <n v="0"/>
    <n v="0"/>
    <n v="0"/>
    <n v="0"/>
    <m/>
    <m/>
    <m/>
    <s v="No"/>
    <s v="W663226"/>
    <n v="0"/>
    <m/>
    <s v="S19081"/>
    <m/>
    <m/>
    <s v="ZSA101773"/>
  </r>
  <r>
    <x v="849"/>
    <n v="10000"/>
    <n v="10000"/>
    <d v="2025-03-25T00:00:00"/>
    <s v="502LAUGH"/>
    <s v=" 8:41:58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54"/>
    <n v="230040"/>
    <s v="PE"/>
    <s v="3YM82-800010001"/>
    <n v="0"/>
    <n v="200000"/>
    <n v="3004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3813"/>
    <n v="0"/>
    <m/>
    <s v="H08031-JIM-M"/>
    <m/>
    <m/>
    <s v="S0361407"/>
  </r>
  <r>
    <x v="850"/>
    <n v="10000"/>
    <n v="10000"/>
    <d v="2025-03-25T00:00:00"/>
    <s v="502LAUGH"/>
    <s v=" 9:19:17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27"/>
    <n v="115020"/>
    <s v="PE"/>
    <s v="3YM74-80011-FT0001"/>
    <n v="0"/>
    <n v="100000"/>
    <n v="1502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3814"/>
    <n v="0"/>
    <m/>
    <s v="H08031-JIM-M"/>
    <m/>
    <m/>
    <s v="S0361408"/>
  </r>
  <r>
    <x v="851"/>
    <n v="10000"/>
    <n v="10000"/>
    <d v="2025-03-25T00:00:00"/>
    <s v="502LAUGH"/>
    <s v=" 8:43:05 am"/>
    <s v="10620258041/10620258044/10620258042"/>
    <m/>
    <x v="2"/>
    <s v="Yes"/>
    <n v="79"/>
    <s v="HP Indigo 6800"/>
    <x v="4"/>
    <s v="PM16"/>
    <s v="TEO KAH JUN"/>
    <n v="4260"/>
    <n v="243"/>
    <n v="4.05"/>
    <d v="2025-03-19T00:00:00"/>
    <m/>
    <n v="81"/>
    <n v="345060"/>
    <s v="PE"/>
    <s v="3YM55-80009-FT0001"/>
    <n v="0"/>
    <n v="300000"/>
    <n v="4506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815"/>
    <n v="0"/>
    <m/>
    <s v="H08031-JIM-M"/>
    <m/>
    <m/>
    <s v="S0361411"/>
  </r>
  <r>
    <x v="852"/>
    <n v="10000"/>
    <n v="10000"/>
    <d v="2025-03-28T00:00:00"/>
    <s v="502LAUGH"/>
    <s v=" 8:43:08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CH562-80137-BH180001"/>
    <n v="0"/>
    <n v="100000"/>
    <n v="15024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3816"/>
    <n v="0"/>
    <m/>
    <s v="H08031-JIM-M"/>
    <m/>
    <m/>
    <s v="S0361412"/>
  </r>
  <r>
    <x v="853"/>
    <n v="10000"/>
    <n v="10000"/>
    <d v="2025-03-28T00:00:00"/>
    <s v="502LAUGH"/>
    <s v=" 8:40:54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C2P06-80052-FT0001"/>
    <n v="0"/>
    <n v="100000"/>
    <n v="15024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4133"/>
    <n v="0"/>
    <m/>
    <s v="H08031-JIM-M"/>
    <m/>
    <m/>
    <s v="S0361415"/>
  </r>
  <r>
    <x v="854"/>
    <n v="10000"/>
    <n v="10000"/>
    <d v="2025-03-28T00:00:00"/>
    <s v="502LAUGH"/>
    <s v=" 8:41:49 am"/>
    <s v="10620258038/10620258040/10620258039"/>
    <m/>
    <x v="2"/>
    <s v="Yes"/>
    <n v="79"/>
    <s v="HP Indigo 6800"/>
    <x v="4"/>
    <s v="PM16"/>
    <s v="TEO KAH JUN"/>
    <n v="4108"/>
    <n v="235.4"/>
    <n v="3.9233333333333333"/>
    <d v="2025-03-19T00:00:00"/>
    <m/>
    <n v="28"/>
    <n v="115024"/>
    <s v="PE"/>
    <s v="N9J89-80007-BH180001"/>
    <n v="0"/>
    <n v="100000"/>
    <n v="15024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817"/>
    <n v="0"/>
    <m/>
    <s v="H08031-JIM-M"/>
    <m/>
    <m/>
    <s v="S0361416"/>
  </r>
  <r>
    <x v="855"/>
    <n v="10000"/>
    <n v="10000"/>
    <d v="2025-03-24T00:00:00"/>
    <s v="502LAUGH"/>
    <s v=" 8:46:34 am"/>
    <n v="10620258039"/>
    <m/>
    <x v="2"/>
    <s v="Yes"/>
    <n v="79"/>
    <s v="HP Indigo 6800"/>
    <x v="4"/>
    <s v="PM16"/>
    <s v="TEO KAH JUN"/>
    <n v="167"/>
    <n v="38.35"/>
    <n v="0.63916666666666666"/>
    <d v="2025-03-19T00:00:00"/>
    <m/>
    <n v="36"/>
    <n v="6012"/>
    <s v="PE"/>
    <s v="CZ632-800050001"/>
    <n v="0"/>
    <n v="3000"/>
    <n v="3012"/>
    <n v="0"/>
    <n v="0"/>
    <n v="0"/>
    <m/>
    <m/>
    <n v="0"/>
    <m/>
    <m/>
    <m/>
    <m/>
    <m/>
    <m/>
    <m/>
    <m/>
    <s v="CZ632-80005"/>
    <s v="H08031-JIM"/>
    <s v="HP SINGAPORE (PRIVATE) LIMITED"/>
    <m/>
    <n v="0"/>
    <n v="0"/>
    <n v="0"/>
    <n v="0"/>
    <n v="0"/>
    <n v="0"/>
    <m/>
    <m/>
    <m/>
    <s v="No"/>
    <s v="W664134"/>
    <n v="0"/>
    <m/>
    <s v="H08031-JIM"/>
    <m/>
    <m/>
    <s v="S0361417"/>
  </r>
  <r>
    <x v="856"/>
    <n v="10000"/>
    <n v="10000"/>
    <d v="2025-03-20T00:00:00"/>
    <s v="502LAUGH"/>
    <s v=" 8:33:50 am"/>
    <s v="4170S1"/>
    <m/>
    <x v="2"/>
    <s v="Yes"/>
    <n v="78"/>
    <s v="Baby Sanki"/>
    <x v="2"/>
    <s v="PM84"/>
    <s v="TAN TAI TOH"/>
    <n v="17"/>
    <n v="45.424999999999997"/>
    <n v="0.75708333333333333"/>
    <d v="2025-03-19T00:00:00"/>
    <m/>
    <n v="3"/>
    <n v="51"/>
    <s v="PE"/>
    <s v="811219 INDEX1000001"/>
    <n v="0"/>
    <n v="50"/>
    <n v="1"/>
    <n v="0"/>
    <n v="0"/>
    <n v="0"/>
    <m/>
    <m/>
    <n v="0"/>
    <m/>
    <m/>
    <m/>
    <m/>
    <m/>
    <m/>
    <m/>
    <m/>
    <s v="811219 INDEX100"/>
    <s v="V22000"/>
    <s v="PT VARTA MICROBATTERY INDONESIA"/>
    <m/>
    <n v="0"/>
    <n v="0"/>
    <n v="0"/>
    <n v="0"/>
    <n v="0"/>
    <n v="0"/>
    <m/>
    <m/>
    <m/>
    <s v="No"/>
    <s v="W663227"/>
    <n v="0"/>
    <m/>
    <s v="V22000"/>
    <m/>
    <m/>
    <s v="ZSA101774"/>
  </r>
  <r>
    <x v="857"/>
    <n v="10000"/>
    <n v="10000"/>
    <d v="2025-03-20T00:00:00"/>
    <s v="502LAUGH"/>
    <s v=" 8:37:50 am"/>
    <s v="SG-5622228 01"/>
    <m/>
    <x v="2"/>
    <s v="Yes"/>
    <n v="59"/>
    <s v="SANKI SD-300 Intermittent"/>
    <x v="2"/>
    <s v="PS74"/>
    <s v="GOH CHIN TECK"/>
    <n v="200"/>
    <n v="50"/>
    <n v="0.83333333333333337"/>
    <d v="2025-03-19T00:00:00"/>
    <m/>
    <n v="10"/>
    <n v="2000"/>
    <s v="PE"/>
    <n v="112023530001"/>
    <n v="0"/>
    <n v="2000"/>
    <n v="0"/>
    <n v="0"/>
    <n v="0"/>
    <n v="0"/>
    <m/>
    <m/>
    <n v="0"/>
    <m/>
    <m/>
    <m/>
    <m/>
    <m/>
    <m/>
    <m/>
    <m/>
    <n v="11202353"/>
    <s v="I09180"/>
    <s v="ILLUMINA SINGAPORE PTE LTD"/>
    <m/>
    <n v="0"/>
    <n v="0"/>
    <n v="0"/>
    <n v="0"/>
    <n v="0"/>
    <n v="0"/>
    <m/>
    <m/>
    <m/>
    <s v="No"/>
    <s v="W663349"/>
    <n v="0"/>
    <m/>
    <s v="I09180"/>
    <m/>
    <m/>
    <s v="S0361541"/>
  </r>
  <r>
    <x v="858"/>
    <n v="10000"/>
    <n v="10000"/>
    <d v="2025-03-20T00:00:00"/>
    <s v="502LAUGH"/>
    <s v=" 8:37:50 am"/>
    <s v="SG-5622228 01"/>
    <m/>
    <x v="2"/>
    <s v="Yes"/>
    <n v="59"/>
    <s v="SANKI SD-300 Intermittent"/>
    <x v="2"/>
    <s v="PS74"/>
    <s v="GOH CHIN TECK"/>
    <n v="400"/>
    <n v="55"/>
    <n v="0.91666666666666663"/>
    <d v="2025-03-19T00:00:00"/>
    <m/>
    <n v="10"/>
    <n v="4000"/>
    <s v="PE"/>
    <n v="112023530001"/>
    <n v="0"/>
    <n v="4000"/>
    <n v="0"/>
    <n v="0"/>
    <n v="0"/>
    <n v="0"/>
    <m/>
    <m/>
    <n v="0"/>
    <m/>
    <m/>
    <m/>
    <m/>
    <m/>
    <m/>
    <m/>
    <m/>
    <n v="11202353"/>
    <s v="I09180"/>
    <s v="ILLUMINA SINGAPORE PTE LTD"/>
    <m/>
    <n v="0"/>
    <n v="0"/>
    <n v="0"/>
    <n v="0"/>
    <n v="0"/>
    <n v="0"/>
    <m/>
    <m/>
    <m/>
    <s v="No"/>
    <s v="W663350"/>
    <n v="0"/>
    <m/>
    <s v="I09180"/>
    <m/>
    <m/>
    <s v="S0361543"/>
  </r>
  <r>
    <x v="859"/>
    <n v="10000"/>
    <n v="10000"/>
    <d v="2025-03-21T00:00:00"/>
    <s v="502LAUGH"/>
    <s v=" 5:53:11 pm"/>
    <s v="SG-564141001"/>
    <s v="FSC29943"/>
    <x v="2"/>
    <s v="No"/>
    <n v="73"/>
    <s v="Brotech DF330"/>
    <x v="0"/>
    <s v="PM59"/>
    <s v="VOON CHAN PIN"/>
    <n v="18000"/>
    <n v="345"/>
    <n v="5.75"/>
    <d v="2025-03-20T00:00:00"/>
    <m/>
    <n v="12"/>
    <n v="21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19"/>
  </r>
  <r>
    <x v="778"/>
    <n v="10000"/>
    <n v="20000"/>
    <d v="2025-04-15T00:00:00"/>
    <s v="502LAUGH"/>
    <s v=" 2:16:44 pm"/>
    <s v="D008O1542/D008O1730/D008O15421525/D008O1730/D008O1542"/>
    <s v="FDC31745"/>
    <x v="2"/>
    <s v="No"/>
    <n v="79"/>
    <s v="HP Indigo 6800"/>
    <x v="4"/>
    <s v="PC02"/>
    <s v="GAO BINJIE"/>
    <n v="7515"/>
    <m/>
    <m/>
    <d v="2025-03-20T00:00:00"/>
    <m/>
    <n v="35"/>
    <n v="263025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3"/>
  </r>
  <r>
    <x v="860"/>
    <n v="10000"/>
    <n v="10000"/>
    <d v="2025-04-07T00:00:00"/>
    <s v="502LAUGH"/>
    <s v=" 8:47:11 am"/>
    <n v="10620258046"/>
    <s v="FBC30652"/>
    <x v="2"/>
    <s v="No"/>
    <n v="79"/>
    <s v="HP Indigo 6800"/>
    <x v="4"/>
    <s v="PM16"/>
    <s v="TEO KAH JUN"/>
    <n v="384"/>
    <n v="49.2"/>
    <n v="0.82000000000000006"/>
    <d v="2025-03-20T00:00:00"/>
    <m/>
    <n v="308"/>
    <n v="118272"/>
    <s v="PE"/>
    <s v="3UB27-800030001"/>
    <n v="0"/>
    <n v="0"/>
    <n v="0"/>
    <n v="0"/>
    <n v="0"/>
    <n v="0"/>
    <m/>
    <m/>
    <n v="0"/>
    <m/>
    <m/>
    <m/>
    <s v="No"/>
    <n v="0"/>
    <s v="No"/>
    <m/>
    <m/>
    <s v="3UB27-80003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4"/>
  </r>
  <r>
    <x v="861"/>
    <n v="10000"/>
    <n v="10000"/>
    <d v="2025-04-07T00:00:00"/>
    <s v="502LAUGH"/>
    <s v=" 8:36:19 am"/>
    <n v="10620258046"/>
    <s v="FBC30652"/>
    <x v="2"/>
    <s v="No"/>
    <n v="79"/>
    <s v="HP Indigo 6800"/>
    <x v="4"/>
    <s v="PM16"/>
    <s v="TEO KAH JUN"/>
    <n v="384"/>
    <n v="49.2"/>
    <n v="0.82000000000000006"/>
    <d v="2025-03-20T00:00:00"/>
    <m/>
    <n v="308"/>
    <n v="118272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5"/>
  </r>
  <r>
    <x v="862"/>
    <n v="10000"/>
    <n v="10000"/>
    <d v="2025-04-07T00:00:00"/>
    <s v="502LAUGH"/>
    <s v=" 5:26:27 pm"/>
    <n v="10656256096"/>
    <s v="FBC30652"/>
    <x v="2"/>
    <s v="No"/>
    <n v="79"/>
    <s v="HP Indigo 6800"/>
    <x v="4"/>
    <s v="PM16"/>
    <s v="TEO KAH JUN"/>
    <n v="384"/>
    <n v="49.2"/>
    <n v="0.82000000000000006"/>
    <d v="2025-03-20T00:00:00"/>
    <m/>
    <n v="308"/>
    <n v="118272"/>
    <s v="PE"/>
    <s v="3YM75-80011-FT0001"/>
    <n v="0"/>
    <n v="0"/>
    <n v="0"/>
    <n v="0"/>
    <n v="0"/>
    <n v="0"/>
    <m/>
    <m/>
    <n v="0"/>
    <m/>
    <m/>
    <m/>
    <s v="No"/>
    <n v="0"/>
    <s v="No"/>
    <m/>
    <m/>
    <s v="3YM75-8001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09"/>
  </r>
  <r>
    <x v="863"/>
    <n v="10000"/>
    <n v="10000"/>
    <d v="2025-04-07T00:00:00"/>
    <s v="502LAUGH"/>
    <s v=" 3:42:29 pm"/>
    <n v="10620258039"/>
    <s v="FSC31918"/>
    <x v="2"/>
    <s v="No"/>
    <n v="79"/>
    <s v="HP Indigo 6800"/>
    <x v="4"/>
    <s v="PM16"/>
    <s v="TEO KAH JUN"/>
    <n v="879"/>
    <n v="73.95"/>
    <n v="1.2325000000000002"/>
    <d v="2025-03-20T00:00:00"/>
    <m/>
    <n v="264"/>
    <n v="232056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0"/>
  </r>
  <r>
    <x v="781"/>
    <n v="10000"/>
    <n v="20000"/>
    <d v="2025-03-25T00:00:00"/>
    <s v="502LAUGH"/>
    <s v=" 8:44:06 am"/>
    <s v="10620258041/10620258044/10620258042"/>
    <s v="FSC30754"/>
    <x v="0"/>
    <s v="No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4"/>
  </r>
  <r>
    <x v="864"/>
    <n v="10000"/>
    <n v="10000"/>
    <d v="2025-03-20T00:00:00"/>
    <s v="502LAUGH"/>
    <s v=" 3:44:38 pm"/>
    <s v="4103005U5A"/>
    <s v="FSC30839A"/>
    <x v="2"/>
    <s v="No"/>
    <n v="82"/>
    <s v="Polly"/>
    <x v="3"/>
    <s v="PM11"/>
    <s v="TEE MENG CHAI"/>
    <n v="8000"/>
    <m/>
    <m/>
    <d v="2025-03-20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803"/>
  </r>
  <r>
    <x v="865"/>
    <n v="10000"/>
    <n v="10000"/>
    <d v="2025-03-26T00:00:00"/>
    <s v="502LAUGH"/>
    <d v="1899-12-30T11:03:23"/>
    <s v="4103005U5A/4103006U5A"/>
    <s v="FSC30839A"/>
    <x v="2"/>
    <s v="No"/>
    <n v="82"/>
    <s v="Polly"/>
    <x v="3"/>
    <s v="PM11"/>
    <s v="TEE MENG CHAI"/>
    <n v="8000"/>
    <m/>
    <m/>
    <d v="2025-03-20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804"/>
  </r>
  <r>
    <x v="866"/>
    <n v="10000"/>
    <n v="10000"/>
    <d v="2025-03-21T00:00:00"/>
    <s v="502LAUGH"/>
    <d v="1899-12-30T11:40:41"/>
    <s v="4103004U5A"/>
    <s v="FSC31438"/>
    <x v="2"/>
    <s v="No"/>
    <n v="94"/>
    <s v="Taiyo"/>
    <x v="2"/>
    <s v="PM09"/>
    <s v="PANG JING FULL"/>
    <n v="3000"/>
    <m/>
    <m/>
    <d v="2025-03-20T00:00:00"/>
    <m/>
    <n v="6"/>
    <n v="18000"/>
    <s v="PE"/>
    <s v="L001-772785-00000001"/>
    <n v="0"/>
    <n v="0"/>
    <n v="0"/>
    <n v="0"/>
    <n v="0"/>
    <n v="0"/>
    <m/>
    <m/>
    <n v="0"/>
    <m/>
    <m/>
    <m/>
    <s v="No"/>
    <n v="0"/>
    <s v="No"/>
    <m/>
    <m/>
    <s v="L001-772785-000001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810"/>
  </r>
  <r>
    <x v="867"/>
    <n v="10000"/>
    <n v="10000"/>
    <d v="2025-04-07T00:00:00"/>
    <s v="502LAUGH"/>
    <s v=" 8:50:45 am"/>
    <n v="10620258046"/>
    <s v="FBC30652"/>
    <x v="2"/>
    <s v="No"/>
    <n v="79"/>
    <s v="HP Indigo 6800"/>
    <x v="4"/>
    <s v="PM16"/>
    <s v="TEO KAH JUN"/>
    <n v="384"/>
    <n v="49.2"/>
    <n v="0.82000000000000006"/>
    <d v="2025-03-20T00:00:00"/>
    <m/>
    <n v="308"/>
    <n v="118272"/>
    <s v="PE"/>
    <s v="T6M58-800040001"/>
    <n v="0"/>
    <n v="0"/>
    <n v="0"/>
    <n v="0"/>
    <n v="0"/>
    <n v="0"/>
    <m/>
    <m/>
    <n v="0"/>
    <m/>
    <m/>
    <m/>
    <s v="No"/>
    <n v="0"/>
    <s v="No"/>
    <m/>
    <m/>
    <s v="T6M58-80004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539"/>
  </r>
  <r>
    <x v="868"/>
    <n v="10000"/>
    <n v="10000"/>
    <d v="2025-03-24T00:00:00"/>
    <s v="502LAUGH"/>
    <s v=" 1:42:56 pm"/>
    <s v="M4B4603BGJBJ217-S249100193/E0209912"/>
    <s v="FD29782"/>
    <x v="2"/>
    <s v="No"/>
    <n v="67"/>
    <s v="Fujishoko"/>
    <x v="3"/>
    <s v="PM42"/>
    <s v="ALEXANDER YAP KEE NYEN"/>
    <n v="155000"/>
    <n v="3145"/>
    <n v="52.416666666666664"/>
    <d v="2025-03-20T00:00:00"/>
    <m/>
    <n v="1"/>
    <n v="15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872"/>
  </r>
  <r>
    <x v="869"/>
    <n v="10000"/>
    <n v="10000"/>
    <d v="2025-04-07T00:00:00"/>
    <s v="502LAUGH"/>
    <s v=" 2:46:49 pm"/>
    <n v="10656256096"/>
    <s v="FBC30652"/>
    <x v="2"/>
    <s v="No"/>
    <n v="79"/>
    <s v="HP Indigo 6800"/>
    <x v="4"/>
    <s v="PM16"/>
    <s v="TEO KAH JUN"/>
    <n v="228"/>
    <n v="41.4"/>
    <n v="0.69"/>
    <d v="2025-03-20T00:00:00"/>
    <m/>
    <n v="352"/>
    <n v="80256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568"/>
  </r>
  <r>
    <x v="870"/>
    <n v="10000"/>
    <n v="10000"/>
    <d v="2025-04-07T00:00:00"/>
    <s v="505KANGHS"/>
    <s v=" 8:45:08 am"/>
    <n v="10656256096"/>
    <s v="FSC30754"/>
    <x v="2"/>
    <s v="No"/>
    <n v="79"/>
    <s v="HP Indigo 6800"/>
    <x v="4"/>
    <s v="PM16"/>
    <s v="TEO KAH JUN"/>
    <n v="398"/>
    <n v="49.9"/>
    <n v="0.83166666666666667"/>
    <d v="2025-03-20T00:00:00"/>
    <m/>
    <n v="297"/>
    <n v="118206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569"/>
  </r>
  <r>
    <x v="683"/>
    <n v="10000"/>
    <n v="40000"/>
    <d v="2025-03-24T00:00:00"/>
    <s v="502LAUGH"/>
    <s v=" 3:48:38 pm"/>
    <s v="10567308038/10567308037/10639931009/10639931007/10639931008"/>
    <m/>
    <x v="1"/>
    <s v="Yes"/>
    <n v="91"/>
    <s v="Luster AOI"/>
    <x v="1"/>
    <s v="QM54"/>
    <s v="TAN SWEE LENG"/>
    <n v="100000"/>
    <m/>
    <m/>
    <d v="2025-03-20T00:00:00"/>
    <m/>
    <n v="9"/>
    <n v="900000"/>
    <s v="PE"/>
    <s v="5180-0103-BH2120001"/>
    <n v="0"/>
    <n v="892857"/>
    <n v="7143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3521"/>
    <n v="0"/>
    <m/>
    <s v="H08031-JIM"/>
    <m/>
    <m/>
    <s v="S0353173"/>
  </r>
  <r>
    <x v="683"/>
    <n v="10000"/>
    <n v="50000"/>
    <d v="2025-03-24T00:00:00"/>
    <s v="502LAUGH"/>
    <s v=" 3:48:38 pm"/>
    <s v="10567308038/10567308037/10639931009/10639931007/10639931008"/>
    <m/>
    <x v="1"/>
    <s v="Yes"/>
    <n v="91"/>
    <s v="Luster AOI"/>
    <x v="1"/>
    <s v="QM54"/>
    <s v="TAN SWEE LENG"/>
    <n v="12000"/>
    <m/>
    <m/>
    <d v="2025-03-20T00:00:00"/>
    <m/>
    <n v="9"/>
    <n v="108000"/>
    <s v="PE"/>
    <s v="5180-0103-BH2120001"/>
    <n v="0"/>
    <n v="107143"/>
    <n v="857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3521"/>
    <n v="0"/>
    <m/>
    <s v="H08031-JIM"/>
    <m/>
    <m/>
    <s v="S0353173"/>
  </r>
  <r>
    <x v="871"/>
    <n v="10000"/>
    <n v="10000"/>
    <d v="2025-03-21T00:00:00"/>
    <s v="502LAUGH"/>
    <s v=" 8:33:44 am"/>
    <s v="SG-561161401"/>
    <m/>
    <x v="2"/>
    <s v="Yes"/>
    <n v="73"/>
    <s v="Brotech DF330"/>
    <x v="0"/>
    <s v="PM59"/>
    <s v="VOON CHAN PIN"/>
    <n v="6750"/>
    <n v="157.5"/>
    <n v="2.625"/>
    <d v="2025-03-20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s v="GIVAUDAN SINGAPORE PTE LTD"/>
    <m/>
    <n v="0"/>
    <n v="0"/>
    <n v="0"/>
    <n v="0"/>
    <n v="0"/>
    <n v="0"/>
    <m/>
    <m/>
    <m/>
    <s v="No"/>
    <s v="W663525"/>
    <n v="0"/>
    <m/>
    <s v="G07076"/>
    <m/>
    <m/>
    <s v="S0354904"/>
  </r>
  <r>
    <x v="872"/>
    <n v="10000"/>
    <n v="10000"/>
    <d v="2025-03-20T00:00:00"/>
    <s v="502LAUGH"/>
    <s v=" 2:25:15 pm"/>
    <s v="XHX2502100209/XHX24820A0902/XHX2412242227/XHX241228030"/>
    <m/>
    <x v="2"/>
    <s v="Yes"/>
    <n v="112"/>
    <s v="Hadesheng"/>
    <x v="3"/>
    <s v="PS07"/>
    <s v="KANG HOCK SENG"/>
    <n v="754"/>
    <n v="82.7"/>
    <n v="1.3783333333333334"/>
    <d v="2025-03-20T00:00:00"/>
    <m/>
    <n v="15"/>
    <n v="11310"/>
    <s v="PE"/>
    <s v="TPK-853766-00200001"/>
    <n v="0"/>
    <n v="11300"/>
    <n v="10"/>
    <n v="0"/>
    <n v="0"/>
    <n v="0"/>
    <m/>
    <m/>
    <n v="0"/>
    <m/>
    <m/>
    <m/>
    <m/>
    <m/>
    <m/>
    <m/>
    <m/>
    <s v="TPK-853766-0020"/>
    <s v="Z26002"/>
    <s v="CCL DESIGN (PENANG) SDN. BHD."/>
    <m/>
    <n v="0"/>
    <n v="0"/>
    <n v="0"/>
    <n v="0"/>
    <n v="0"/>
    <n v="0"/>
    <m/>
    <m/>
    <m/>
    <s v="No"/>
    <s v="W663531"/>
    <n v="0"/>
    <m/>
    <s v="Z26002"/>
    <m/>
    <m/>
    <s v="S0355949"/>
  </r>
  <r>
    <x v="873"/>
    <n v="10000"/>
    <n v="10000"/>
    <d v="2025-03-21T00:00:00"/>
    <s v="502LAUGH"/>
    <s v=" 8:33:05 am"/>
    <s v="4103005U5A"/>
    <m/>
    <x v="2"/>
    <s v="Yes"/>
    <n v="94"/>
    <s v="Taiyo"/>
    <x v="2"/>
    <s v="PM09"/>
    <s v="PANG JING FULL"/>
    <n v="3000"/>
    <m/>
    <m/>
    <d v="2025-03-20T00:00:00"/>
    <m/>
    <n v="6"/>
    <n v="18000"/>
    <s v="PE"/>
    <s v="L001-772785-00000001"/>
    <n v="0"/>
    <n v="18000"/>
    <n v="0"/>
    <n v="0"/>
    <n v="0"/>
    <n v="0"/>
    <m/>
    <m/>
    <n v="0"/>
    <m/>
    <m/>
    <m/>
    <m/>
    <m/>
    <m/>
    <m/>
    <m/>
    <s v="L001-772785-000001ZL"/>
    <s v="W23041-TH"/>
    <s v="WESTERN DIGITAL STORAGE TECHNOLOGIES"/>
    <m/>
    <n v="0"/>
    <n v="0"/>
    <n v="0"/>
    <n v="0"/>
    <n v="0"/>
    <n v="0"/>
    <m/>
    <m/>
    <m/>
    <s v="No"/>
    <s v="W663553"/>
    <n v="0"/>
    <m/>
    <s v="W23041-TH"/>
    <m/>
    <m/>
    <s v="H0064553"/>
  </r>
  <r>
    <x v="874"/>
    <n v="10000"/>
    <n v="10000"/>
    <d v="2025-03-20T00:00:00"/>
    <s v="502LAUGH"/>
    <s v=" 2:25:15 pm"/>
    <s v="XHX24820A0902/XHX2412242227/XHX241228030"/>
    <m/>
    <x v="2"/>
    <s v="Yes"/>
    <n v="112"/>
    <s v="Hadesheng"/>
    <x v="3"/>
    <s v="PS70"/>
    <s v="YEO WOO KEONG"/>
    <n v="1334"/>
    <n v="111.7"/>
    <n v="1.8616666666666668"/>
    <d v="2025-03-20T00:00:00"/>
    <m/>
    <n v="15"/>
    <n v="20010"/>
    <s v="PE"/>
    <s v="TPK-853766-00200001"/>
    <n v="0"/>
    <n v="20000"/>
    <n v="10"/>
    <n v="0"/>
    <n v="0"/>
    <n v="0"/>
    <m/>
    <m/>
    <n v="0"/>
    <m/>
    <m/>
    <m/>
    <m/>
    <m/>
    <m/>
    <m/>
    <m/>
    <s v="TPK-853766-0020"/>
    <s v="Z26002"/>
    <s v="CCL DESIGN (PENANG) SDN. BHD."/>
    <m/>
    <n v="0"/>
    <n v="0"/>
    <n v="0"/>
    <n v="0"/>
    <n v="0"/>
    <n v="0"/>
    <m/>
    <m/>
    <m/>
    <s v="No"/>
    <s v="W663559"/>
    <n v="0"/>
    <m/>
    <s v="Z26002"/>
    <m/>
    <m/>
    <s v="S0358423"/>
  </r>
  <r>
    <x v="875"/>
    <n v="10000"/>
    <n v="10000"/>
    <d v="2025-03-21T00:00:00"/>
    <s v="502LAUGH"/>
    <s v=" 8:33:05 am"/>
    <s v="SG-5622228 01"/>
    <m/>
    <x v="2"/>
    <s v="Yes"/>
    <n v="59"/>
    <s v="SANKI SD-300 Intermittent"/>
    <x v="2"/>
    <s v="PS74"/>
    <s v="GOH CHIN TECK"/>
    <n v="1000"/>
    <n v="70"/>
    <n v="1.1666666666666667"/>
    <d v="2025-03-20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3299"/>
    <n v="0"/>
    <m/>
    <s v="I09180"/>
    <m/>
    <m/>
    <s v="S0359035"/>
  </r>
  <r>
    <x v="875"/>
    <n v="20000"/>
    <n v="10000"/>
    <d v="2025-03-21T00:00:00"/>
    <s v="502LAUGH"/>
    <s v=" 8:33:05 am"/>
    <s v="SG-5622228 01"/>
    <m/>
    <x v="2"/>
    <s v="Yes"/>
    <n v="59"/>
    <s v="SANKI SD-300 Intermittent"/>
    <x v="2"/>
    <s v="PS74"/>
    <s v="GOH CHIN TECK"/>
    <n v="1000"/>
    <n v="70"/>
    <n v="1.1666666666666667"/>
    <d v="2025-03-20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3299"/>
    <n v="0"/>
    <m/>
    <s v="I09180"/>
    <m/>
    <m/>
    <s v="S0359035"/>
  </r>
  <r>
    <x v="875"/>
    <n v="30000"/>
    <n v="20000"/>
    <d v="2025-03-21T00:00:00"/>
    <s v="502LAUGH"/>
    <s v=" 8:33:05 am"/>
    <s v="SG-5622228 01"/>
    <m/>
    <x v="2"/>
    <s v="Yes"/>
    <n v="59"/>
    <s v="SANKI SD-300 Intermittent"/>
    <x v="2"/>
    <s v="PS74"/>
    <s v="GOH CHIN TECK"/>
    <n v="1000"/>
    <n v="70"/>
    <n v="1.1666666666666667"/>
    <d v="2025-03-20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3299"/>
    <n v="0"/>
    <m/>
    <s v="I09180"/>
    <m/>
    <m/>
    <s v="S0359035"/>
  </r>
  <r>
    <x v="787"/>
    <n v="10000"/>
    <n v="20000"/>
    <d v="2025-03-25T00:00:00"/>
    <s v="502LAUGH"/>
    <s v=" 8:40:53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K09-80005-FT0001"/>
    <n v="0"/>
    <n v="100000"/>
    <n v="10000"/>
    <n v="0"/>
    <n v="0"/>
    <n v="0"/>
    <m/>
    <m/>
    <n v="0"/>
    <m/>
    <m/>
    <m/>
    <m/>
    <m/>
    <m/>
    <m/>
    <m/>
    <s v="N9K09-80005-FT"/>
    <s v="H08031-JIM-M"/>
    <s v="HP MALAYSIA MANUFACTURING SDN.BHD."/>
    <m/>
    <n v="0"/>
    <n v="0"/>
    <n v="0"/>
    <n v="0"/>
    <n v="0"/>
    <n v="0"/>
    <m/>
    <m/>
    <m/>
    <s v="No"/>
    <s v="W663581"/>
    <n v="0"/>
    <m/>
    <s v="H08031-JIM-M"/>
    <m/>
    <m/>
    <s v="S0359279"/>
  </r>
  <r>
    <x v="63"/>
    <n v="10000"/>
    <n v="50000"/>
    <d v="2025-03-24T00:00:00"/>
    <s v="502LAUGH"/>
    <s v=" 8:56:07 am"/>
    <s v="10639931001/10639931060"/>
    <m/>
    <x v="1"/>
    <s v="Yes"/>
    <n v="85"/>
    <s v="Luster AOI"/>
    <x v="1"/>
    <s v="QM54"/>
    <s v="TAN SWEE LENG"/>
    <n v="45455"/>
    <m/>
    <m/>
    <d v="2025-03-20T00:00:00"/>
    <m/>
    <n v="11"/>
    <n v="500005"/>
    <s v="PE"/>
    <s v="3YM51-80004-FT0001"/>
    <n v="0"/>
    <n v="500000"/>
    <n v="5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3584"/>
    <n v="0"/>
    <m/>
    <s v="H08031-JIM-M"/>
    <m/>
    <m/>
    <s v="S0359296"/>
  </r>
  <r>
    <x v="788"/>
    <n v="10000"/>
    <n v="20000"/>
    <d v="2025-03-25T00:00:00"/>
    <s v="502LAUGH"/>
    <s v=" 8:37:51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3589"/>
    <n v="0"/>
    <m/>
    <s v="H08031-JIM-M"/>
    <m/>
    <m/>
    <s v="S0359321"/>
  </r>
  <r>
    <x v="789"/>
    <n v="10000"/>
    <n v="20000"/>
    <d v="2025-03-25T00:00:00"/>
    <s v="502LAUGH"/>
    <s v=" 8:36:34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3592"/>
    <n v="0"/>
    <m/>
    <s v="H08031-JIM-M"/>
    <m/>
    <m/>
    <s v="S0359325"/>
  </r>
  <r>
    <x v="876"/>
    <n v="10000"/>
    <n v="10000"/>
    <d v="2025-03-20T00:00:00"/>
    <s v="502LAUGH"/>
    <s v=" 5:11:50 pm"/>
    <s v="SG-5622228 01"/>
    <m/>
    <x v="2"/>
    <s v="Yes"/>
    <n v="59"/>
    <s v="SANKI SD-300 Intermittent"/>
    <x v="2"/>
    <s v="PS74"/>
    <s v="GOH CHIN TECK"/>
    <n v="900"/>
    <n v="67.5"/>
    <n v="1.125"/>
    <d v="2025-03-20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s v="ILLUMINA SINGAPORE PTE LTD"/>
    <m/>
    <n v="0"/>
    <n v="0"/>
    <n v="0"/>
    <n v="0"/>
    <n v="0"/>
    <n v="0"/>
    <m/>
    <m/>
    <m/>
    <s v="No"/>
    <s v="W663303"/>
    <n v="0"/>
    <m/>
    <s v="I09180"/>
    <m/>
    <m/>
    <s v="S0359880"/>
  </r>
  <r>
    <x v="876"/>
    <n v="20000"/>
    <n v="10000"/>
    <d v="2025-03-20T00:00:00"/>
    <s v="502LAUGH"/>
    <s v=" 5:11:50 pm"/>
    <s v="SG-5622228 01"/>
    <m/>
    <x v="2"/>
    <s v="Yes"/>
    <n v="59"/>
    <s v="SANKI SD-300 Intermittent"/>
    <x v="2"/>
    <s v="PS74"/>
    <s v="GOH CHIN TECK"/>
    <n v="900"/>
    <n v="67.5"/>
    <n v="1.125"/>
    <d v="2025-03-20T00:00:00"/>
    <m/>
    <n v="10"/>
    <n v="9000"/>
    <s v="PE"/>
    <n v="200302680001"/>
    <n v="0"/>
    <n v="9000"/>
    <n v="0"/>
    <n v="0"/>
    <n v="0"/>
    <n v="0"/>
    <m/>
    <m/>
    <n v="0"/>
    <m/>
    <m/>
    <m/>
    <m/>
    <m/>
    <m/>
    <m/>
    <m/>
    <n v="20030268"/>
    <s v="I09180"/>
    <s v="ILLUMINA SINGAPORE PTE LTD"/>
    <m/>
    <n v="0"/>
    <n v="0"/>
    <n v="0"/>
    <n v="0"/>
    <n v="0"/>
    <n v="0"/>
    <m/>
    <m/>
    <m/>
    <s v="No"/>
    <s v="W663303"/>
    <n v="0"/>
    <m/>
    <s v="I09180"/>
    <m/>
    <m/>
    <s v="S0359880"/>
  </r>
  <r>
    <x v="793"/>
    <n v="10000"/>
    <n v="20000"/>
    <d v="2025-03-20T00:00:00"/>
    <s v="502LAUGH"/>
    <s v=" 3:46:56 pm"/>
    <s v="SG-5649983 01"/>
    <m/>
    <x v="0"/>
    <s v="Yes"/>
    <n v="86"/>
    <s v="Brotech DF330 "/>
    <x v="0"/>
    <s v="PM45"/>
    <s v="TAY CHIN LIONG"/>
    <n v="2700"/>
    <n v="90"/>
    <n v="1.5"/>
    <d v="2025-03-20T00:00:00"/>
    <m/>
    <n v="1"/>
    <n v="2700"/>
    <s v="PE"/>
    <s v="TI01460001"/>
    <n v="0"/>
    <n v="1000"/>
    <n v="1700"/>
    <n v="0"/>
    <n v="0"/>
    <n v="0"/>
    <m/>
    <m/>
    <n v="0"/>
    <m/>
    <m/>
    <m/>
    <m/>
    <m/>
    <m/>
    <m/>
    <m/>
    <s v="TI0146"/>
    <s v="T20144-FLAVOR"/>
    <s v="TAKASAGO INTERNATIONAL (SINGAPORE) PTE LTD"/>
    <m/>
    <n v="0"/>
    <n v="0"/>
    <n v="0"/>
    <n v="0"/>
    <n v="0"/>
    <n v="0"/>
    <m/>
    <m/>
    <m/>
    <s v="No"/>
    <s v="W663306"/>
    <n v="0"/>
    <m/>
    <s v="T20144-FLAVOR"/>
    <m/>
    <m/>
    <s v="S0360893"/>
  </r>
  <r>
    <x v="562"/>
    <n v="10000"/>
    <n v="50000"/>
    <d v="2025-03-20T00:00:00"/>
    <s v="502LAUGH"/>
    <s v=" 3:43:46 pm"/>
    <n v="860908144578"/>
    <m/>
    <x v="0"/>
    <s v="Yes"/>
    <n v="86"/>
    <s v="Brotech DF330 "/>
    <x v="0"/>
    <s v="PM45"/>
    <s v="TAY CHIN LIONG"/>
    <n v="3000"/>
    <n v="95"/>
    <n v="1.5833333333333333"/>
    <d v="2025-03-20T00:00:00"/>
    <m/>
    <n v="1"/>
    <n v="3000"/>
    <s v="PE"/>
    <s v="TI01030001"/>
    <n v="0"/>
    <n v="2432"/>
    <n v="568"/>
    <n v="0"/>
    <n v="0"/>
    <n v="0"/>
    <m/>
    <m/>
    <n v="0"/>
    <m/>
    <m/>
    <m/>
    <m/>
    <m/>
    <m/>
    <m/>
    <m/>
    <s v="TI0103"/>
    <s v="T20144-FLAVOR"/>
    <s v="TAKASAGO INTERNATIONAL (SINGAPORE) PTE LTD"/>
    <m/>
    <n v="0"/>
    <n v="0"/>
    <n v="0"/>
    <n v="0"/>
    <n v="0"/>
    <n v="0"/>
    <m/>
    <m/>
    <m/>
    <s v="No"/>
    <s v="W663047"/>
    <n v="0"/>
    <m/>
    <s v="T20144-FLAVOR"/>
    <m/>
    <m/>
    <s v="S0360894"/>
  </r>
  <r>
    <x v="794"/>
    <n v="10000"/>
    <n v="30000"/>
    <d v="2025-03-28T00:00:00"/>
    <s v="502LAUGH"/>
    <s v=" 8:35:45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636"/>
    <n v="0"/>
    <m/>
    <s v="H08031-JIM-M"/>
    <m/>
    <m/>
    <s v="S0360937"/>
  </r>
  <r>
    <x v="796"/>
    <n v="10000"/>
    <n v="20000"/>
    <d v="2025-03-25T00:00:00"/>
    <s v="502LAUGH"/>
    <s v=" 8:38:46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3645"/>
    <n v="0"/>
    <m/>
    <s v="H08031-JIM-M"/>
    <m/>
    <m/>
    <s v="S0361016"/>
  </r>
  <r>
    <x v="877"/>
    <n v="10000"/>
    <n v="10000"/>
    <d v="2025-03-21T00:00:00"/>
    <s v="502LAUGH"/>
    <s v=" 8:53:14 am"/>
    <s v="E190912129"/>
    <m/>
    <x v="2"/>
    <s v="Yes"/>
    <n v="63"/>
    <s v="SANKI"/>
    <x v="3"/>
    <s v="PM80"/>
    <s v="YAP ZHI PING"/>
    <n v="10000"/>
    <n v="295"/>
    <n v="4.916666666666667"/>
    <d v="2025-03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309"/>
    <n v="0"/>
    <m/>
    <s v="S19081-TH"/>
    <m/>
    <m/>
    <s v="H0064771"/>
  </r>
  <r>
    <x v="878"/>
    <n v="10000"/>
    <n v="10000"/>
    <d v="2025-03-21T00:00:00"/>
    <s v="502LAUGH"/>
    <s v=" 8:53:14 am"/>
    <s v="E190912129"/>
    <m/>
    <x v="2"/>
    <s v="Yes"/>
    <n v="63"/>
    <s v="SANKI"/>
    <x v="3"/>
    <s v="PM80"/>
    <s v="YAP ZHI PING"/>
    <n v="10000"/>
    <n v="295"/>
    <n v="4.916666666666667"/>
    <d v="2025-03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657"/>
    <n v="0"/>
    <m/>
    <s v="S19081-TH"/>
    <m/>
    <m/>
    <s v="H0064772"/>
  </r>
  <r>
    <x v="879"/>
    <n v="10000"/>
    <n v="10000"/>
    <d v="2025-03-24T00:00:00"/>
    <s v="502LAUGH"/>
    <s v=" 9:46:14 am"/>
    <s v="E190912129"/>
    <m/>
    <x v="2"/>
    <s v="Yes"/>
    <n v="63"/>
    <s v="SANKI"/>
    <x v="3"/>
    <s v="PM80"/>
    <s v="YAP ZHI PING"/>
    <n v="10000"/>
    <n v="295"/>
    <n v="4.916666666666667"/>
    <d v="2025-03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658"/>
    <n v="0"/>
    <m/>
    <s v="S19081-TH"/>
    <m/>
    <m/>
    <s v="H0064773"/>
  </r>
  <r>
    <x v="526"/>
    <n v="10000"/>
    <n v="20000"/>
    <d v="2025-03-20T00:00:00"/>
    <s v="502LAUGH"/>
    <s v=" 4:25:34 pm"/>
    <s v="T29MA9700"/>
    <m/>
    <x v="0"/>
    <s v="Yes"/>
    <n v="105"/>
    <s v="Laser"/>
    <x v="5"/>
    <s v="PM87"/>
    <s v="LEE SHIEN WEI"/>
    <n v="10500"/>
    <m/>
    <m/>
    <d v="2025-03-20T00:00:00"/>
    <m/>
    <n v="1"/>
    <n v="10500"/>
    <s v="PE"/>
    <s v="WARNING -50X30MM0001"/>
    <n v="0"/>
    <n v="10000"/>
    <n v="500"/>
    <n v="0"/>
    <n v="0"/>
    <n v="0"/>
    <m/>
    <m/>
    <n v="0"/>
    <m/>
    <m/>
    <m/>
    <m/>
    <m/>
    <m/>
    <m/>
    <m/>
    <s v="WARNING -50X30MM"/>
    <s v="Z26000"/>
    <s v="CCL DESIGN SINGAPORE PTE LTD"/>
    <m/>
    <n v="0"/>
    <n v="0"/>
    <n v="0"/>
    <n v="0"/>
    <n v="0"/>
    <n v="0"/>
    <m/>
    <m/>
    <m/>
    <s v="No"/>
    <s v="W663115"/>
    <n v="0"/>
    <m/>
    <s v="Z26000"/>
    <m/>
    <m/>
    <s v="ZSA101762"/>
  </r>
  <r>
    <x v="880"/>
    <n v="10000"/>
    <n v="10000"/>
    <d v="2025-03-21T00:00:00"/>
    <s v="502LAUGH"/>
    <s v=" 9:24:56 am"/>
    <s v="J00T39951"/>
    <m/>
    <x v="2"/>
    <s v="Yes"/>
    <n v="46"/>
    <s v="Sanki 300 Intermittent"/>
    <x v="2"/>
    <s v="PS66"/>
    <s v="SIM ENG KWANG"/>
    <n v="2000"/>
    <n v="95"/>
    <n v="1.5833333333333333"/>
    <d v="2025-03-20T00:00:00"/>
    <m/>
    <n v="1"/>
    <n v="2000"/>
    <s v="PE"/>
    <s v="260-5362-000001"/>
    <n v="0"/>
    <n v="2000"/>
    <n v="0"/>
    <n v="0"/>
    <n v="0"/>
    <n v="0"/>
    <m/>
    <m/>
    <n v="0"/>
    <m/>
    <m/>
    <m/>
    <m/>
    <m/>
    <m/>
    <m/>
    <m/>
    <s v="260-5362-00"/>
    <s v="J10025"/>
    <s v="JMS SINGAPORE PTE LTD"/>
    <m/>
    <n v="0"/>
    <n v="0"/>
    <n v="0"/>
    <n v="0"/>
    <n v="0"/>
    <n v="0"/>
    <m/>
    <m/>
    <m/>
    <s v="No"/>
    <s v="W663668"/>
    <n v="0"/>
    <m/>
    <s v="J10025"/>
    <m/>
    <m/>
    <s v="S0361086"/>
  </r>
  <r>
    <x v="881"/>
    <n v="10000"/>
    <n v="10000"/>
    <d v="2025-03-20T00:00:00"/>
    <s v="502LAUGH"/>
    <s v=" 4:48:03 pm"/>
    <s v="J00T39951"/>
    <m/>
    <x v="2"/>
    <s v="Yes"/>
    <n v="46"/>
    <s v="Sanki 300 Intermittent"/>
    <x v="2"/>
    <s v="PS66"/>
    <s v="SIM ENG KWANG"/>
    <n v="4000"/>
    <n v="145"/>
    <n v="2.4166666666666665"/>
    <d v="2025-03-20T00:00:00"/>
    <m/>
    <n v="1"/>
    <n v="4000"/>
    <s v="PE"/>
    <s v="250-5304-000001"/>
    <n v="0"/>
    <n v="4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3671"/>
    <n v="0"/>
    <m/>
    <s v="J10025"/>
    <m/>
    <m/>
    <s v="S0361087"/>
  </r>
  <r>
    <x v="882"/>
    <n v="10000"/>
    <n v="10000"/>
    <d v="2025-03-20T00:00:00"/>
    <s v="502LAUGH"/>
    <s v=" 5:43:34 pm"/>
    <s v="3830U7060"/>
    <m/>
    <x v="2"/>
    <s v="Yes"/>
    <n v="61"/>
    <s v="FSK 520"/>
    <x v="2"/>
    <s v="PM68"/>
    <s v="LEE KIM LIANG"/>
    <n v="150"/>
    <n v="48"/>
    <n v="0.8"/>
    <d v="2025-03-20T00:00:00"/>
    <m/>
    <n v="1"/>
    <n v="150"/>
    <s v="PE"/>
    <n v="107324240001"/>
    <n v="0"/>
    <n v="150"/>
    <n v="0"/>
    <n v="0"/>
    <n v="0"/>
    <n v="0"/>
    <m/>
    <m/>
    <n v="0"/>
    <m/>
    <m/>
    <m/>
    <m/>
    <m/>
    <m/>
    <m/>
    <m/>
    <n v="10732424"/>
    <s v="I09109"/>
    <s v="IKE TECHNOLOGY"/>
    <m/>
    <n v="0"/>
    <n v="0"/>
    <n v="0"/>
    <n v="0"/>
    <n v="0"/>
    <n v="0"/>
    <m/>
    <m/>
    <m/>
    <s v="No"/>
    <s v="W663163"/>
    <n v="0"/>
    <m/>
    <s v="I09109"/>
    <m/>
    <m/>
    <s v="S0361155"/>
  </r>
  <r>
    <x v="883"/>
    <n v="10000"/>
    <n v="10000"/>
    <d v="2025-03-21T00:00:00"/>
    <s v="502LAUGH"/>
    <s v=" 8:32:00 am"/>
    <s v="U531252112/503011926"/>
    <m/>
    <x v="2"/>
    <s v="Yes"/>
    <n v="32"/>
    <s v="Lintec Intermittent"/>
    <x v="2"/>
    <s v="PM26"/>
    <s v="TAN AIK KEONG"/>
    <n v="5860"/>
    <m/>
    <m/>
    <d v="2025-03-2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3686"/>
    <n v="0"/>
    <m/>
    <s v="J10025"/>
    <m/>
    <m/>
    <s v="S0361166"/>
  </r>
  <r>
    <x v="884"/>
    <n v="10000"/>
    <n v="10000"/>
    <d v="2025-03-21T00:00:00"/>
    <s v="502LAUGH"/>
    <s v=" 8:32:00 am"/>
    <s v="U531252112/503011926"/>
    <m/>
    <x v="2"/>
    <s v="Yes"/>
    <n v="32"/>
    <s v="Lintec Intermittent"/>
    <x v="2"/>
    <s v="PM26"/>
    <s v="TAN AIK KEONG"/>
    <n v="5860"/>
    <m/>
    <m/>
    <d v="2025-03-2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3690"/>
    <n v="0"/>
    <m/>
    <s v="J10025"/>
    <m/>
    <m/>
    <s v="S0361167"/>
  </r>
  <r>
    <x v="885"/>
    <n v="10000"/>
    <n v="10000"/>
    <d v="2025-03-21T00:00:00"/>
    <s v="502LAUGH"/>
    <s v=" 8:37:44 am"/>
    <s v="5011624U5A"/>
    <m/>
    <x v="2"/>
    <s v="Yes"/>
    <n v="22"/>
    <s v="FSK B100"/>
    <x v="2"/>
    <s v="PS13"/>
    <s v="YEE CHENG MENG"/>
    <n v="7000"/>
    <n v="185"/>
    <n v="3.0833333333333335"/>
    <d v="2025-03-20T00:00:00"/>
    <m/>
    <n v="2"/>
    <n v="14000"/>
    <s v="PE"/>
    <s v="260-6300-000001"/>
    <n v="0"/>
    <n v="14000"/>
    <n v="0"/>
    <n v="0"/>
    <n v="0"/>
    <n v="0"/>
    <m/>
    <m/>
    <n v="0"/>
    <m/>
    <m/>
    <m/>
    <m/>
    <m/>
    <m/>
    <m/>
    <m/>
    <s v="260-6300-00"/>
    <s v="J10025"/>
    <s v="JMS SINGAPORE PTE LTD"/>
    <m/>
    <n v="0"/>
    <n v="0"/>
    <n v="0"/>
    <n v="0"/>
    <n v="0"/>
    <n v="0"/>
    <m/>
    <m/>
    <m/>
    <s v="No"/>
    <s v="W663697"/>
    <n v="0"/>
    <m/>
    <s v="J10025"/>
    <m/>
    <m/>
    <s v="S0361170"/>
  </r>
  <r>
    <x v="886"/>
    <n v="10000"/>
    <n v="10000"/>
    <d v="2025-03-20T00:00:00"/>
    <s v="502LAUGH"/>
    <s v=" 3:52:43 pm"/>
    <s v="4111524U5"/>
    <m/>
    <x v="2"/>
    <s v="Yes"/>
    <n v="61"/>
    <s v="FSK 520"/>
    <x v="2"/>
    <s v="PM61"/>
    <s v="HO CHAN LE"/>
    <n v="5667"/>
    <n v="158.34"/>
    <n v="2.6390000000000002"/>
    <d v="2025-03-20T00:00:00"/>
    <m/>
    <n v="6"/>
    <n v="34002"/>
    <s v="PE"/>
    <s v="260-6314-000001"/>
    <n v="0"/>
    <n v="34000"/>
    <n v="2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3710"/>
    <n v="0"/>
    <m/>
    <s v="J10025"/>
    <m/>
    <m/>
    <s v="S0361175"/>
  </r>
  <r>
    <x v="887"/>
    <n v="10000"/>
    <n v="10000"/>
    <d v="2025-03-21T00:00:00"/>
    <s v="502LAUGH"/>
    <s v=" 9:24:56 am"/>
    <s v="4111524U5"/>
    <m/>
    <x v="2"/>
    <s v="Yes"/>
    <n v="61"/>
    <s v="FSK 520"/>
    <x v="2"/>
    <s v="PM61"/>
    <s v="HO CHAN LE"/>
    <n v="4334"/>
    <n v="131.68"/>
    <n v="2.194666666666667"/>
    <d v="2025-03-20T00:00:00"/>
    <m/>
    <n v="6"/>
    <n v="26004"/>
    <s v="PE"/>
    <s v="250-6191-000001"/>
    <n v="0"/>
    <n v="26000"/>
    <n v="4"/>
    <n v="0"/>
    <n v="0"/>
    <n v="0"/>
    <m/>
    <m/>
    <n v="0"/>
    <m/>
    <m/>
    <m/>
    <m/>
    <m/>
    <m/>
    <m/>
    <m/>
    <s v="250-6191-00"/>
    <s v="J10025"/>
    <s v="JMS SINGAPORE PTE LTD"/>
    <m/>
    <n v="0"/>
    <n v="0"/>
    <n v="0"/>
    <n v="0"/>
    <n v="0"/>
    <n v="0"/>
    <m/>
    <m/>
    <m/>
    <s v="No"/>
    <s v="W663717"/>
    <n v="0"/>
    <m/>
    <s v="J10025"/>
    <m/>
    <m/>
    <s v="S0361177"/>
  </r>
  <r>
    <x v="888"/>
    <n v="10000"/>
    <n v="10000"/>
    <d v="2025-03-20T00:00:00"/>
    <s v="502LAUGH"/>
    <s v=" 4:48:03 pm"/>
    <s v="5011624U5A"/>
    <m/>
    <x v="2"/>
    <s v="Yes"/>
    <n v="22"/>
    <s v="FSK B100"/>
    <x v="2"/>
    <s v="PS13"/>
    <s v="YEE CHENG MENG"/>
    <n v="8500"/>
    <n v="215"/>
    <n v="3.5833333333333335"/>
    <d v="2025-03-20T00:00:00"/>
    <m/>
    <n v="2"/>
    <n v="17000"/>
    <s v="PE"/>
    <s v="260-6165-000001"/>
    <n v="0"/>
    <n v="17000"/>
    <n v="0"/>
    <n v="0"/>
    <n v="0"/>
    <n v="0"/>
    <m/>
    <m/>
    <n v="0"/>
    <m/>
    <m/>
    <m/>
    <m/>
    <m/>
    <m/>
    <m/>
    <m/>
    <s v="260-6165-00"/>
    <s v="J10025"/>
    <s v="JMS SINGAPORE PTE LTD"/>
    <m/>
    <n v="0"/>
    <n v="0"/>
    <n v="0"/>
    <n v="0"/>
    <n v="0"/>
    <n v="0"/>
    <m/>
    <m/>
    <m/>
    <s v="No"/>
    <s v="W663724"/>
    <n v="0"/>
    <m/>
    <s v="J10025"/>
    <m/>
    <m/>
    <s v="S0361185"/>
  </r>
  <r>
    <x v="816"/>
    <n v="10000"/>
    <n v="20000"/>
    <d v="2025-03-28T00:00:00"/>
    <s v="502LAUGH"/>
    <s v=" 8:39:45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s v="HP MALAYSIA MANUFACTURING SDN.BHD."/>
    <m/>
    <n v="0"/>
    <n v="0"/>
    <n v="0"/>
    <n v="0"/>
    <n v="0"/>
    <n v="0"/>
    <m/>
    <m/>
    <m/>
    <s v="No"/>
    <s v="W664105"/>
    <n v="0"/>
    <m/>
    <s v="H08031-JIM-M"/>
    <m/>
    <m/>
    <s v="S0361188"/>
  </r>
  <r>
    <x v="817"/>
    <n v="10000"/>
    <n v="20000"/>
    <d v="2025-03-28T00:00:00"/>
    <s v="502LAUGH"/>
    <s v=" 8:36:43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3727"/>
    <n v="0"/>
    <m/>
    <s v="H08031-JIM-M"/>
    <m/>
    <m/>
    <s v="S0361190"/>
  </r>
  <r>
    <x v="818"/>
    <n v="10000"/>
    <n v="20000"/>
    <d v="2025-03-25T00:00:00"/>
    <s v="502LAUGH"/>
    <s v=" 8:39:42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4107"/>
    <n v="0"/>
    <m/>
    <s v="H08031-JIM-M"/>
    <m/>
    <m/>
    <s v="S0361192"/>
  </r>
  <r>
    <x v="819"/>
    <n v="10000"/>
    <n v="20000"/>
    <d v="2025-03-28T00:00:00"/>
    <s v="505KANGHS"/>
    <s v=" 8:34:54 am"/>
    <s v="10620258038/10520258040/10620258039"/>
    <m/>
    <x v="0"/>
    <s v="Yes"/>
    <n v="77"/>
    <s v="Brotech DF330 "/>
    <x v="0"/>
    <s v="PM74"/>
    <s v="YONG CHEE SOON"/>
    <n v="2500"/>
    <n v="86.666666666666657"/>
    <n v="1.4444444444444442"/>
    <d v="2025-03-20T00:00:00"/>
    <m/>
    <n v="88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3728"/>
    <n v="0"/>
    <m/>
    <s v="H08031-JIM-M"/>
    <m/>
    <m/>
    <s v="S0361195"/>
  </r>
  <r>
    <x v="889"/>
    <n v="10000"/>
    <n v="10000"/>
    <d v="2025-03-25T00:00:00"/>
    <s v="502LAUGH"/>
    <s v=" 5:29:59 pm"/>
    <s v="3050503U9/4067S1"/>
    <m/>
    <x v="2"/>
    <s v="Yes"/>
    <n v="88"/>
    <s v="OKI"/>
    <x v="4"/>
    <s v="PP24"/>
    <s v="HO HON SENG"/>
    <n v="800"/>
    <m/>
    <m/>
    <d v="2025-03-20T00:00:00"/>
    <m/>
    <n v="1"/>
    <n v="800"/>
    <s v="PE"/>
    <s v="LAB-1090-000001"/>
    <n v="0"/>
    <n v="500"/>
    <n v="300"/>
    <n v="0"/>
    <n v="0"/>
    <n v="0"/>
    <m/>
    <m/>
    <n v="0"/>
    <m/>
    <m/>
    <m/>
    <m/>
    <m/>
    <m/>
    <m/>
    <m/>
    <s v="LAB-1090-00"/>
    <s v="R18068"/>
    <s v="RFNET TECHNOLOGIES PTE LTD"/>
    <m/>
    <n v="0"/>
    <n v="0"/>
    <n v="0"/>
    <n v="0"/>
    <n v="0"/>
    <n v="0"/>
    <m/>
    <m/>
    <m/>
    <s v="No"/>
    <s v="W663730"/>
    <n v="0"/>
    <m/>
    <s v="R18068"/>
    <m/>
    <m/>
    <s v="S0361210"/>
  </r>
  <r>
    <x v="890"/>
    <n v="10000"/>
    <n v="10000"/>
    <d v="2025-04-04T00:00:00"/>
    <s v="502LAUGH"/>
    <s v=" 1:46:58 pm"/>
    <n v="10620258046"/>
    <m/>
    <x v="2"/>
    <s v="Yes"/>
    <n v="79"/>
    <s v="HP Indigo 6800"/>
    <x v="4"/>
    <s v="PM16"/>
    <s v="TEO KAH JUN"/>
    <n v="384"/>
    <n v="49.2"/>
    <n v="0.82000000000000006"/>
    <d v="2025-03-20T00:00:00"/>
    <m/>
    <n v="308"/>
    <n v="118272"/>
    <s v="PE"/>
    <s v="T6N02-80020-FT0001"/>
    <n v="0"/>
    <n v="100000"/>
    <n v="18272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4109"/>
    <n v="0"/>
    <m/>
    <s v="H08031-JIM-M"/>
    <m/>
    <m/>
    <s v="S0361213"/>
  </r>
  <r>
    <x v="822"/>
    <n v="10000"/>
    <n v="20000"/>
    <d v="2025-03-28T00:00:00"/>
    <s v="502LAUGH"/>
    <s v=" 8:38:48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CC643-801290001"/>
    <n v="0"/>
    <n v="100000"/>
    <n v="10000"/>
    <n v="0"/>
    <n v="0"/>
    <n v="0"/>
    <m/>
    <m/>
    <n v="0"/>
    <m/>
    <m/>
    <m/>
    <m/>
    <m/>
    <m/>
    <m/>
    <m/>
    <s v="CC643-80129"/>
    <s v="H08031-JIM-M"/>
    <s v="HP MALAYSIA MANUFACTURING SDN.BHD."/>
    <m/>
    <n v="0"/>
    <n v="0"/>
    <n v="0"/>
    <n v="0"/>
    <n v="0"/>
    <n v="0"/>
    <m/>
    <m/>
    <m/>
    <s v="No"/>
    <s v="W663732"/>
    <n v="0"/>
    <m/>
    <s v="H08031-JIM-M"/>
    <m/>
    <m/>
    <s v="S0361214"/>
  </r>
  <r>
    <x v="823"/>
    <n v="10000"/>
    <n v="20000"/>
    <d v="2025-03-20T00:00:00"/>
    <s v="502LAUGH"/>
    <s v=" 5:42:38 pm"/>
    <s v="J00T59561"/>
    <m/>
    <x v="0"/>
    <s v="Yes"/>
    <n v="71"/>
    <s v="POLLY"/>
    <x v="3"/>
    <s v="PS95"/>
    <s v="LIM CHENG LEONG"/>
    <n v="1000"/>
    <m/>
    <m/>
    <d v="2025-03-20T00:00:00"/>
    <m/>
    <n v="6"/>
    <n v="6000"/>
    <s v="PE"/>
    <n v="5000444260001"/>
    <n v="0"/>
    <n v="6000"/>
    <n v="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3319"/>
    <n v="0"/>
    <m/>
    <s v="B02083"/>
    <m/>
    <m/>
    <s v="S0361250"/>
  </r>
  <r>
    <x v="824"/>
    <n v="10000"/>
    <n v="20000"/>
    <d v="2025-03-20T00:00:00"/>
    <s v="502LAUGH"/>
    <s v=" 5:41:52 pm"/>
    <s v="J00T59561"/>
    <m/>
    <x v="0"/>
    <s v="Yes"/>
    <n v="71"/>
    <s v="POLLY"/>
    <x v="3"/>
    <s v="PS95"/>
    <s v="LIM CHENG LEONG"/>
    <n v="834"/>
    <m/>
    <m/>
    <d v="2025-03-20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63743"/>
    <n v="0"/>
    <m/>
    <s v="B02083"/>
    <m/>
    <m/>
    <s v="S0361250"/>
  </r>
  <r>
    <x v="753"/>
    <n v="10000"/>
    <n v="20000"/>
    <d v="2025-03-24T00:00:00"/>
    <s v="502LAUGH"/>
    <s v=" 8:42:50 am"/>
    <s v="BZC010-01"/>
    <m/>
    <x v="0"/>
    <s v="Yes"/>
    <n v="60"/>
    <s v="Fujishiko UDP-5000"/>
    <x v="3"/>
    <s v="PM30"/>
    <s v="OH KIAN YUAN"/>
    <n v="3000"/>
    <n v="105"/>
    <n v="1.75"/>
    <d v="2025-03-20T00:00:00"/>
    <m/>
    <n v="2"/>
    <n v="6000"/>
    <s v="PE"/>
    <s v="JAR GLASS BACK0001"/>
    <n v="0"/>
    <n v="8000"/>
    <n v="-2000"/>
    <n v="0"/>
    <n v="0"/>
    <n v="0"/>
    <m/>
    <m/>
    <n v="0"/>
    <m/>
    <m/>
    <m/>
    <m/>
    <m/>
    <m/>
    <m/>
    <m/>
    <s v="LEMONADE BACK LBL"/>
    <s v="T20394"/>
    <s v="TEA PULSE PTE LTD"/>
    <m/>
    <n v="0"/>
    <n v="0"/>
    <n v="0"/>
    <n v="0"/>
    <n v="0"/>
    <n v="0"/>
    <m/>
    <m/>
    <m/>
    <s v="No"/>
    <s v="W663744"/>
    <n v="0"/>
    <m/>
    <s v="T20394"/>
    <m/>
    <m/>
    <s v="S0361253"/>
  </r>
  <r>
    <x v="754"/>
    <n v="10000"/>
    <n v="20000"/>
    <d v="2025-03-24T00:00:00"/>
    <s v="502LAUGH"/>
    <s v=" 8:42:09 am"/>
    <s v="BZC010-01"/>
    <m/>
    <x v="0"/>
    <s v="Yes"/>
    <n v="60"/>
    <s v="Fujishiko UDP-5000"/>
    <x v="3"/>
    <s v="PM30"/>
    <s v="OH KIAN YUAN"/>
    <n v="3000"/>
    <n v="105"/>
    <n v="1.75"/>
    <d v="2025-03-20T00:00:00"/>
    <m/>
    <n v="2"/>
    <n v="6000"/>
    <s v="PE"/>
    <s v="JAR GLASS FRONT0001"/>
    <n v="0"/>
    <n v="8000"/>
    <n v="-2000"/>
    <n v="0"/>
    <n v="0"/>
    <n v="0"/>
    <m/>
    <m/>
    <n v="0"/>
    <m/>
    <m/>
    <m/>
    <m/>
    <m/>
    <m/>
    <m/>
    <m/>
    <s v="LEMONADE FRONT LBL"/>
    <s v="T20394"/>
    <s v="TEA PULSE PTE LTD"/>
    <m/>
    <n v="0"/>
    <n v="0"/>
    <n v="0"/>
    <n v="0"/>
    <n v="0"/>
    <n v="0"/>
    <m/>
    <m/>
    <m/>
    <s v="No"/>
    <s v="W663745"/>
    <n v="0"/>
    <m/>
    <s v="T20394"/>
    <m/>
    <m/>
    <s v="S0361253"/>
  </r>
  <r>
    <x v="891"/>
    <n v="10000"/>
    <n v="10000"/>
    <d v="2025-03-20T00:00:00"/>
    <s v="502LAUGH"/>
    <s v=" 2:51:08 pm"/>
    <s v="SG-5622228 01"/>
    <m/>
    <x v="2"/>
    <s v="Yes"/>
    <n v="59"/>
    <s v="SANKI SD-300 Intermittent"/>
    <x v="2"/>
    <s v="PS74"/>
    <s v="GOH CHIN TECK"/>
    <n v="100"/>
    <n v="47.5"/>
    <n v="0.79166666666666663"/>
    <d v="2025-03-20T00:00:00"/>
    <m/>
    <n v="10"/>
    <n v="1000"/>
    <s v="PE"/>
    <n v="112024090001"/>
    <n v="0"/>
    <n v="1000"/>
    <n v="0"/>
    <n v="0"/>
    <n v="0"/>
    <n v="0"/>
    <m/>
    <m/>
    <n v="0"/>
    <m/>
    <m/>
    <m/>
    <m/>
    <m/>
    <m/>
    <m/>
    <m/>
    <n v="11202409"/>
    <s v="I09180"/>
    <s v="ILLUMINA SINGAPORE PTE LTD"/>
    <m/>
    <n v="0"/>
    <n v="0"/>
    <n v="0"/>
    <n v="0"/>
    <n v="0"/>
    <n v="0"/>
    <m/>
    <m/>
    <m/>
    <s v="No"/>
    <s v="W663320"/>
    <n v="0"/>
    <m/>
    <s v="I09180"/>
    <m/>
    <m/>
    <s v="S0361265"/>
  </r>
  <r>
    <x v="755"/>
    <n v="10000"/>
    <n v="20000"/>
    <d v="2025-03-24T00:00:00"/>
    <s v="502LAUGH"/>
    <s v=" 8:40:29 am"/>
    <s v="BZC010-01"/>
    <m/>
    <x v="0"/>
    <s v="Yes"/>
    <n v="60"/>
    <s v="Fujishiko UDP-5000"/>
    <x v="3"/>
    <s v="PM30"/>
    <s v="OH KIAN YUAN"/>
    <n v="3600"/>
    <n v="117"/>
    <n v="1.95"/>
    <d v="2025-03-20T00:00:00"/>
    <m/>
    <n v="1"/>
    <n v="3600"/>
    <s v="PE"/>
    <s v="SG6703STR10001"/>
    <n v="0"/>
    <n v="2000"/>
    <n v="1600"/>
    <n v="0"/>
    <n v="0"/>
    <n v="0"/>
    <m/>
    <m/>
    <n v="0"/>
    <m/>
    <m/>
    <m/>
    <m/>
    <m/>
    <m/>
    <m/>
    <m/>
    <s v="SG6703STR1"/>
    <s v="S19695"/>
    <s v="MARKET SINGAPORE PTE LTD"/>
    <m/>
    <n v="0"/>
    <n v="0"/>
    <n v="0"/>
    <n v="0"/>
    <n v="0"/>
    <n v="0"/>
    <m/>
    <m/>
    <m/>
    <s v="No"/>
    <s v="W663751"/>
    <n v="0"/>
    <m/>
    <s v="S19695"/>
    <m/>
    <m/>
    <s v="S0361279"/>
  </r>
  <r>
    <x v="756"/>
    <n v="10000"/>
    <n v="20000"/>
    <d v="2025-03-24T00:00:00"/>
    <s v="502LAUGH"/>
    <s v=" 8:41:31 am"/>
    <s v="BZC010-01"/>
    <m/>
    <x v="0"/>
    <s v="Yes"/>
    <n v="60"/>
    <s v="Fujishiko UDP-5000"/>
    <x v="3"/>
    <s v="PM30"/>
    <s v="OH KIAN YUAN"/>
    <n v="3500"/>
    <n v="115"/>
    <n v="1.9166666666666667"/>
    <d v="2025-03-20T00:00:00"/>
    <m/>
    <n v="1"/>
    <n v="3500"/>
    <s v="PE"/>
    <s v="SG6703STR30001"/>
    <n v="0"/>
    <n v="2000"/>
    <n v="1500"/>
    <n v="0"/>
    <n v="0"/>
    <n v="0"/>
    <m/>
    <m/>
    <n v="0"/>
    <m/>
    <m/>
    <m/>
    <m/>
    <m/>
    <m/>
    <m/>
    <m/>
    <s v="SG6703STR3"/>
    <s v="S19695"/>
    <s v="MARKET SINGAPORE PTE LTD"/>
    <m/>
    <n v="0"/>
    <n v="0"/>
    <n v="0"/>
    <n v="0"/>
    <n v="0"/>
    <n v="0"/>
    <m/>
    <m/>
    <m/>
    <s v="No"/>
    <s v="W663752"/>
    <n v="0"/>
    <m/>
    <s v="S19695"/>
    <m/>
    <m/>
    <s v="S0361279"/>
  </r>
  <r>
    <x v="825"/>
    <n v="10000"/>
    <n v="20000"/>
    <d v="2025-03-28T00:00:00"/>
    <s v="502LAUGH"/>
    <s v=" 8:34:28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4117"/>
    <n v="0"/>
    <m/>
    <s v="H08031-JIM-M"/>
    <m/>
    <m/>
    <s v="S0361290"/>
  </r>
  <r>
    <x v="826"/>
    <n v="10000"/>
    <n v="20000"/>
    <d v="2025-03-28T00:00:00"/>
    <s v="502LAUGH"/>
    <s v=" 8:37:45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63757"/>
    <n v="0"/>
    <m/>
    <s v="H08031-JIM-M"/>
    <m/>
    <m/>
    <s v="S0361291"/>
  </r>
  <r>
    <x v="892"/>
    <n v="10000"/>
    <n v="10000"/>
    <d v="2025-03-20T00:00:00"/>
    <s v="502LAUGH"/>
    <s v=" 5:43:34 pm"/>
    <s v="SG-564465501"/>
    <m/>
    <x v="2"/>
    <s v="Yes"/>
    <n v="31"/>
    <s v="Sanki SKP250 Full Rotary"/>
    <x v="2"/>
    <s v="PS27"/>
    <s v="TAN TECK HEE"/>
    <n v="278"/>
    <n v="51.95"/>
    <n v="0.86583333333333334"/>
    <d v="2025-03-20T00:00:00"/>
    <m/>
    <n v="18"/>
    <n v="5004"/>
    <s v="PE"/>
    <n v="200899990001"/>
    <n v="0"/>
    <n v="5000"/>
    <n v="4"/>
    <n v="0"/>
    <n v="0"/>
    <n v="0"/>
    <m/>
    <m/>
    <n v="0"/>
    <m/>
    <m/>
    <m/>
    <m/>
    <m/>
    <m/>
    <m/>
    <m/>
    <s v="A-RM-20089999"/>
    <s v="U21088"/>
    <s v="UNIVAC PRECISION ENGINEERING PTE LTD"/>
    <m/>
    <n v="0"/>
    <n v="0"/>
    <n v="0"/>
    <n v="0"/>
    <n v="0"/>
    <n v="0"/>
    <m/>
    <m/>
    <m/>
    <s v="No"/>
    <s v="W663327"/>
    <n v="0"/>
    <m/>
    <s v="U21088"/>
    <m/>
    <m/>
    <s v="S0361356"/>
  </r>
  <r>
    <x v="829"/>
    <n v="10000"/>
    <n v="20000"/>
    <d v="2025-03-20T00:00:00"/>
    <s v="502LAUGH"/>
    <s v=" 5:40:14 pm"/>
    <s v="J00T59561"/>
    <m/>
    <x v="0"/>
    <s v="Yes"/>
    <n v="71"/>
    <s v="POLLY"/>
    <x v="3"/>
    <s v="PS95"/>
    <s v="LIM CHENG LEONG"/>
    <n v="1167"/>
    <m/>
    <m/>
    <d v="2025-03-20T00:00:00"/>
    <m/>
    <n v="6"/>
    <n v="7002"/>
    <s v="PE"/>
    <n v="5000514990001"/>
    <n v="0"/>
    <n v="7000"/>
    <n v="2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3328"/>
    <n v="0"/>
    <m/>
    <s v="B02083"/>
    <m/>
    <m/>
    <s v="S0361358"/>
  </r>
  <r>
    <x v="830"/>
    <n v="10000"/>
    <n v="20000"/>
    <d v="2025-03-20T00:00:00"/>
    <s v="502LAUGH"/>
    <s v=" 5:41:02 pm"/>
    <s v="J00T59561"/>
    <m/>
    <x v="0"/>
    <s v="Yes"/>
    <n v="71"/>
    <s v="Brotech"/>
    <x v="3"/>
    <s v="PS95"/>
    <s v="LIM CHENG LEONG"/>
    <n v="1000"/>
    <m/>
    <m/>
    <d v="2025-03-20T00:00:00"/>
    <m/>
    <n v="6"/>
    <n v="6000"/>
    <s v="PE"/>
    <n v="5000634590001"/>
    <n v="0"/>
    <n v="6000"/>
    <n v="0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3329"/>
    <n v="0"/>
    <m/>
    <s v="B02083"/>
    <m/>
    <m/>
    <s v="S0361358"/>
  </r>
  <r>
    <x v="831"/>
    <n v="10000"/>
    <n v="20000"/>
    <d v="2025-03-20T00:00:00"/>
    <s v="502LAUGH"/>
    <s v=" 5:39:23 pm"/>
    <s v="J00T59561"/>
    <m/>
    <x v="0"/>
    <s v="Yes"/>
    <n v="71"/>
    <s v="POLLY"/>
    <x v="3"/>
    <s v="PS95"/>
    <s v="LIM CHENG LEONG"/>
    <n v="1167"/>
    <m/>
    <m/>
    <d v="2025-03-20T00:00:00"/>
    <m/>
    <n v="6"/>
    <n v="7002"/>
    <s v="PE"/>
    <n v="5000635410001"/>
    <n v="0"/>
    <n v="7000"/>
    <n v="2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3330"/>
    <n v="0"/>
    <m/>
    <s v="B02083"/>
    <m/>
    <m/>
    <s v="S0361358"/>
  </r>
  <r>
    <x v="893"/>
    <n v="10000"/>
    <n v="10000"/>
    <d v="2025-03-20T00:00:00"/>
    <s v="502LAUGH"/>
    <s v=" 5:11:50 pm"/>
    <s v="4067S1"/>
    <m/>
    <x v="2"/>
    <s v="Yes"/>
    <n v="78"/>
    <s v="Baby Sanki"/>
    <x v="2"/>
    <s v="PM84"/>
    <s v="TAN TAI TOH"/>
    <n v="500"/>
    <n v="57.5"/>
    <n v="0.95833333333333337"/>
    <d v="2025-03-20T00:00:00"/>
    <m/>
    <n v="2"/>
    <n v="1000"/>
    <s v="PE"/>
    <s v="717742 INDEX4070001"/>
    <n v="0"/>
    <n v="1000"/>
    <n v="0"/>
    <n v="0"/>
    <n v="0"/>
    <n v="0"/>
    <m/>
    <m/>
    <n v="0"/>
    <m/>
    <m/>
    <m/>
    <m/>
    <m/>
    <m/>
    <m/>
    <m/>
    <s v="717742 INDEX407"/>
    <s v="V22000"/>
    <s v="PT VARTA MICROBATTERY INDONESIA"/>
    <m/>
    <n v="0"/>
    <n v="0"/>
    <n v="0"/>
    <n v="0"/>
    <n v="0"/>
    <n v="0"/>
    <m/>
    <m/>
    <m/>
    <s v="No"/>
    <s v="W663333"/>
    <n v="0"/>
    <m/>
    <s v="V22000"/>
    <m/>
    <m/>
    <s v="GRR62160"/>
  </r>
  <r>
    <x v="894"/>
    <n v="10000"/>
    <n v="10000"/>
    <d v="2025-03-20T00:00:00"/>
    <s v="502LAUGH"/>
    <s v=" 4:48:03 pm"/>
    <s v="J00T39951"/>
    <m/>
    <x v="2"/>
    <s v="Yes"/>
    <n v="46"/>
    <s v="Sanki 300 Intermittent"/>
    <x v="2"/>
    <s v="PS66"/>
    <s v="SIM ENG KWANG"/>
    <n v="1000"/>
    <n v="70"/>
    <n v="1.1666666666666667"/>
    <d v="2025-03-20T00:00:00"/>
    <m/>
    <n v="1"/>
    <n v="1000"/>
    <s v="PE"/>
    <s v="250-5304-000001"/>
    <n v="0"/>
    <n v="1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3334"/>
    <n v="0"/>
    <m/>
    <s v="J10025"/>
    <m/>
    <m/>
    <s v="S0361373"/>
  </r>
  <r>
    <x v="834"/>
    <n v="10000"/>
    <n v="20000"/>
    <d v="2025-03-21T00:00:00"/>
    <s v="502LAUGH"/>
    <s v=" 8:34:34 am"/>
    <s v="J00T59561"/>
    <m/>
    <x v="0"/>
    <s v="Yes"/>
    <n v="71"/>
    <s v="POLLY"/>
    <x v="3"/>
    <s v="PS95"/>
    <s v="LIM CHENG LEONG"/>
    <n v="834"/>
    <m/>
    <m/>
    <d v="2025-03-20T00:00:00"/>
    <m/>
    <n v="6"/>
    <n v="5004"/>
    <s v="PE"/>
    <n v="5000478070001"/>
    <n v="0"/>
    <n v="2500"/>
    <n v="2504"/>
    <n v="0"/>
    <n v="0"/>
    <n v="0"/>
    <m/>
    <m/>
    <n v="0"/>
    <m/>
    <m/>
    <m/>
    <m/>
    <m/>
    <m/>
    <m/>
    <m/>
    <n v="500047807"/>
    <s v="B02083"/>
    <s v="BECTON DICKINSON MEDICAL (S) PTE LTD"/>
    <m/>
    <n v="0"/>
    <n v="0"/>
    <n v="0"/>
    <n v="0"/>
    <n v="0"/>
    <n v="0"/>
    <m/>
    <m/>
    <m/>
    <s v="No"/>
    <s v="W663790"/>
    <n v="0"/>
    <m/>
    <s v="B02083"/>
    <m/>
    <m/>
    <s v="S0361381"/>
  </r>
  <r>
    <x v="835"/>
    <n v="10000"/>
    <n v="20000"/>
    <d v="2025-03-21T00:00:00"/>
    <s v="502LAUGH"/>
    <s v=" 8:36:08 am"/>
    <s v="J00T59561"/>
    <m/>
    <x v="0"/>
    <s v="Yes"/>
    <n v="71"/>
    <s v="POLLY"/>
    <x v="3"/>
    <s v="PS95"/>
    <s v="LIM CHENG LEONG"/>
    <n v="834"/>
    <m/>
    <m/>
    <d v="2025-03-20T00:00:00"/>
    <m/>
    <n v="6"/>
    <n v="5004"/>
    <s v="PE"/>
    <n v="5000478080001"/>
    <n v="0"/>
    <n v="2500"/>
    <n v="2504"/>
    <n v="0"/>
    <n v="0"/>
    <n v="0"/>
    <m/>
    <m/>
    <n v="0"/>
    <m/>
    <m/>
    <m/>
    <m/>
    <m/>
    <m/>
    <m/>
    <m/>
    <n v="500047808"/>
    <s v="B02083"/>
    <s v="BECTON DICKINSON MEDICAL (S) PTE LTD"/>
    <m/>
    <n v="0"/>
    <n v="0"/>
    <n v="0"/>
    <n v="0"/>
    <n v="0"/>
    <n v="0"/>
    <m/>
    <m/>
    <m/>
    <s v="No"/>
    <s v="W663791"/>
    <n v="0"/>
    <m/>
    <s v="B02083"/>
    <m/>
    <m/>
    <s v="S0361381"/>
  </r>
  <r>
    <x v="836"/>
    <n v="10000"/>
    <n v="20000"/>
    <d v="2025-03-21T00:00:00"/>
    <s v="502LAUGH"/>
    <s v=" 8:35:21 am"/>
    <s v="J00T59561"/>
    <m/>
    <x v="0"/>
    <s v="Yes"/>
    <n v="71"/>
    <s v="POLLY"/>
    <x v="3"/>
    <s v="PS95"/>
    <s v="LIM CHENG LEONG"/>
    <n v="834"/>
    <m/>
    <m/>
    <d v="2025-03-20T00:00:00"/>
    <m/>
    <n v="6"/>
    <n v="5004"/>
    <s v="PE"/>
    <n v="5000479220001"/>
    <n v="0"/>
    <n v="2500"/>
    <n v="2504"/>
    <n v="0"/>
    <n v="0"/>
    <n v="0"/>
    <m/>
    <m/>
    <n v="0"/>
    <m/>
    <m/>
    <m/>
    <m/>
    <m/>
    <m/>
    <m/>
    <m/>
    <n v="500047922"/>
    <s v="B02083"/>
    <s v="BECTON DICKINSON MEDICAL (S) PTE LTD"/>
    <m/>
    <n v="0"/>
    <n v="0"/>
    <n v="0"/>
    <n v="0"/>
    <n v="0"/>
    <n v="0"/>
    <m/>
    <m/>
    <m/>
    <s v="No"/>
    <s v="W663340"/>
    <n v="0"/>
    <m/>
    <s v="B02083"/>
    <m/>
    <m/>
    <s v="S0361381"/>
  </r>
  <r>
    <x v="837"/>
    <n v="10000"/>
    <n v="20000"/>
    <d v="2025-03-21T00:00:00"/>
    <s v="502LAUGH"/>
    <s v=" 8:36:51 am"/>
    <s v="J00T59561"/>
    <m/>
    <x v="0"/>
    <s v="Yes"/>
    <n v="71"/>
    <s v="POLLY"/>
    <x v="3"/>
    <s v="PS95"/>
    <s v="LIM CHENG LEONG"/>
    <n v="834"/>
    <m/>
    <m/>
    <d v="2025-03-20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3792"/>
    <n v="0"/>
    <m/>
    <s v="B02083"/>
    <m/>
    <m/>
    <s v="S0361381"/>
  </r>
  <r>
    <x v="895"/>
    <n v="10000"/>
    <n v="10000"/>
    <d v="2025-03-24T00:00:00"/>
    <s v="502LAUGH"/>
    <s v=" 1:51:45 pm"/>
    <s v="J00T59561"/>
    <m/>
    <x v="2"/>
    <s v="Yes"/>
    <n v="72"/>
    <s v="Xeikon 3500"/>
    <x v="4"/>
    <s v="PM17"/>
    <s v="NG SWEE CHEA"/>
    <n v="3500"/>
    <m/>
    <m/>
    <d v="2025-03-20T00:00:00"/>
    <m/>
    <n v="4"/>
    <n v="14000"/>
    <s v="PE"/>
    <n v="5000532080001"/>
    <n v="0"/>
    <n v="11200"/>
    <n v="2800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3797"/>
    <n v="0"/>
    <m/>
    <s v="B02083"/>
    <m/>
    <m/>
    <s v="S0361382"/>
  </r>
  <r>
    <x v="896"/>
    <n v="10000"/>
    <n v="10000"/>
    <d v="2025-03-21T00:00:00"/>
    <s v="502LAUGH"/>
    <s v=" 5:36:07 pm"/>
    <s v="J00T59561"/>
    <m/>
    <x v="2"/>
    <s v="Yes"/>
    <n v="72"/>
    <s v="Xeikon 3500"/>
    <x v="4"/>
    <s v="PM17"/>
    <s v="NG SWEE CHEA"/>
    <n v="6001"/>
    <m/>
    <m/>
    <d v="2025-03-20T00:00:00"/>
    <m/>
    <n v="6"/>
    <n v="36004"/>
    <s v="PE"/>
    <n v="5000538100001"/>
    <n v="0"/>
    <n v="28000"/>
    <n v="8004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3798"/>
    <n v="0"/>
    <m/>
    <s v="B02083"/>
    <m/>
    <m/>
    <s v="S0361382"/>
  </r>
  <r>
    <x v="896"/>
    <n v="20000"/>
    <n v="10000"/>
    <d v="2025-03-21T00:00:00"/>
    <s v="502LAUGH"/>
    <s v=" 5:36:07 pm"/>
    <s v="J00T59561"/>
    <m/>
    <x v="2"/>
    <s v="Yes"/>
    <n v="72"/>
    <s v="Xeikon 3500"/>
    <x v="4"/>
    <s v="PM17"/>
    <s v="NG SWEE CHEA"/>
    <n v="2333"/>
    <m/>
    <m/>
    <d v="2025-03-20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3798"/>
    <n v="0"/>
    <m/>
    <s v="B02083"/>
    <m/>
    <m/>
    <s v="S0361382"/>
  </r>
  <r>
    <x v="897"/>
    <n v="10000"/>
    <n v="10000"/>
    <d v="2025-03-24T00:00:00"/>
    <s v="502LAUGH"/>
    <s v=" 8:36:42 am"/>
    <s v="J00T59561"/>
    <m/>
    <x v="2"/>
    <s v="Yes"/>
    <n v="72"/>
    <s v="Xeikon 3500"/>
    <x v="4"/>
    <s v="PM17"/>
    <s v="NG SWEE CHEA"/>
    <n v="5833"/>
    <m/>
    <m/>
    <d v="2025-03-20T00:00:00"/>
    <m/>
    <n v="6"/>
    <n v="35000"/>
    <s v="PE"/>
    <n v="5000538120001"/>
    <n v="0"/>
    <n v="28000"/>
    <n v="700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3799"/>
    <n v="0"/>
    <m/>
    <s v="B02083"/>
    <m/>
    <m/>
    <s v="S0361382"/>
  </r>
  <r>
    <x v="897"/>
    <n v="20000"/>
    <n v="10000"/>
    <d v="2025-03-24T00:00:00"/>
    <s v="502LAUGH"/>
    <s v=" 8:36:42 am"/>
    <s v="J00T59561"/>
    <m/>
    <x v="2"/>
    <s v="Yes"/>
    <n v="72"/>
    <s v="Xeikon 3500"/>
    <x v="4"/>
    <s v="PM17"/>
    <s v="NG SWEE CHEA"/>
    <n v="4667"/>
    <m/>
    <m/>
    <d v="2025-03-20T00:00:00"/>
    <m/>
    <n v="6"/>
    <n v="28000"/>
    <s v="PE"/>
    <n v="5000538120001"/>
    <n v="0"/>
    <n v="28000"/>
    <n v="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3799"/>
    <n v="0"/>
    <m/>
    <s v="B02083"/>
    <m/>
    <m/>
    <s v="S0361382"/>
  </r>
  <r>
    <x v="843"/>
    <n v="10000"/>
    <n v="20000"/>
    <d v="2025-03-21T00:00:00"/>
    <s v="502LAUGH"/>
    <s v=" 1:28:23 pm"/>
    <s v="U4A04S213/3082512U9"/>
    <m/>
    <x v="0"/>
    <s v="Yes"/>
    <n v="100"/>
    <s v="Vorey Digital Cut"/>
    <x v="6"/>
    <s v="PM87"/>
    <s v="LEE SHIEN WEI"/>
    <n v="20"/>
    <m/>
    <m/>
    <d v="2025-03-20T00:00:00"/>
    <m/>
    <n v="1"/>
    <n v="20"/>
    <s v="PE"/>
    <n v="107473440001"/>
    <n v="0"/>
    <n v="20"/>
    <n v="0"/>
    <n v="0"/>
    <n v="0"/>
    <n v="0"/>
    <m/>
    <m/>
    <n v="0"/>
    <m/>
    <m/>
    <m/>
    <m/>
    <m/>
    <m/>
    <m/>
    <m/>
    <n v="10747344"/>
    <s v="I09109"/>
    <s v="IKE TECHNOLOGY"/>
    <m/>
    <n v="0"/>
    <n v="0"/>
    <n v="0"/>
    <n v="0"/>
    <n v="0"/>
    <n v="0"/>
    <m/>
    <m/>
    <m/>
    <s v="No"/>
    <s v="W663341"/>
    <n v="0"/>
    <m/>
    <s v="I09109"/>
    <m/>
    <m/>
    <s v="ZSA101771"/>
  </r>
  <r>
    <x v="845"/>
    <n v="10000"/>
    <n v="20000"/>
    <d v="2025-03-21T00:00:00"/>
    <s v="502LAUGH"/>
    <s v=" 1:28:23 pm"/>
    <s v="U4A04S213/3082512U9"/>
    <m/>
    <x v="0"/>
    <s v="Yes"/>
    <n v="100"/>
    <s v="Vorey Digital Cut"/>
    <x v="6"/>
    <s v="PM87"/>
    <s v="LEE SHIEN WEI"/>
    <n v="1200"/>
    <m/>
    <m/>
    <d v="2025-03-20T00:00:00"/>
    <m/>
    <n v="1"/>
    <n v="1200"/>
    <s v="PE"/>
    <n v="107473440001"/>
    <n v="0"/>
    <n v="1000"/>
    <n v="200"/>
    <n v="0"/>
    <n v="0"/>
    <n v="0"/>
    <m/>
    <m/>
    <n v="0"/>
    <m/>
    <m/>
    <m/>
    <m/>
    <m/>
    <m/>
    <m/>
    <m/>
    <n v="10747344"/>
    <s v="I09109"/>
    <s v="IKE TECHNOLOGY"/>
    <m/>
    <n v="0"/>
    <n v="0"/>
    <n v="0"/>
    <n v="0"/>
    <n v="0"/>
    <n v="0"/>
    <m/>
    <m/>
    <m/>
    <s v="No"/>
    <s v="W663809"/>
    <n v="0"/>
    <m/>
    <s v="I09109"/>
    <m/>
    <m/>
    <s v="S0361398"/>
  </r>
  <r>
    <x v="849"/>
    <n v="10000"/>
    <n v="20000"/>
    <d v="2025-03-25T00:00:00"/>
    <s v="502LAUGH"/>
    <s v=" 8:41:58 am"/>
    <s v="10620258041/10620258044/10620258042"/>
    <m/>
    <x v="0"/>
    <s v="Yes"/>
    <n v="77"/>
    <s v="Brotech DF330 "/>
    <x v="0"/>
    <s v="PM74"/>
    <s v="YONG CHEE SOON"/>
    <n v="2500"/>
    <n v="86.666666666666657"/>
    <n v="1.4444444444444442"/>
    <d v="2025-03-20T00:00:00"/>
    <m/>
    <n v="88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3813"/>
    <n v="0"/>
    <m/>
    <s v="H08031-JIM-M"/>
    <m/>
    <m/>
    <s v="S0361407"/>
  </r>
  <r>
    <x v="850"/>
    <n v="10000"/>
    <n v="20000"/>
    <d v="2025-03-25T00:00:00"/>
    <s v="502LAUGH"/>
    <s v=" 9:19:17 am"/>
    <s v="10620258041/10620258044/10620258042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3814"/>
    <n v="0"/>
    <m/>
    <s v="H08031-JIM-M"/>
    <m/>
    <m/>
    <s v="S0361408"/>
  </r>
  <r>
    <x v="851"/>
    <n v="10000"/>
    <n v="20000"/>
    <d v="2025-03-25T00:00:00"/>
    <s v="502LAUGH"/>
    <s v=" 8:43:05 am"/>
    <s v="10620258041/10620258044/10620258042"/>
    <m/>
    <x v="0"/>
    <s v="Yes"/>
    <n v="77"/>
    <s v="Brotech DF330 "/>
    <x v="0"/>
    <s v="PM74"/>
    <s v="YONG CHEE SOON"/>
    <n v="3785"/>
    <n v="108.08333333333334"/>
    <n v="1.8013888888888892"/>
    <d v="2025-03-20T00:00:00"/>
    <m/>
    <n v="88"/>
    <n v="333080"/>
    <s v="PE"/>
    <s v="3YM55-80009-FT0001"/>
    <n v="0"/>
    <n v="300000"/>
    <n v="3308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815"/>
    <n v="0"/>
    <m/>
    <s v="H08031-JIM-M"/>
    <m/>
    <m/>
    <s v="S0361411"/>
  </r>
  <r>
    <x v="852"/>
    <n v="10000"/>
    <n v="20000"/>
    <d v="2025-03-28T00:00:00"/>
    <s v="502LAUGH"/>
    <s v=" 8:43:08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3816"/>
    <n v="0"/>
    <m/>
    <s v="H08031-JIM-M"/>
    <m/>
    <m/>
    <s v="S0361412"/>
  </r>
  <r>
    <x v="853"/>
    <n v="10000"/>
    <n v="20000"/>
    <d v="2025-03-28T00:00:00"/>
    <s v="502LAUGH"/>
    <s v=" 8:40:54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4133"/>
    <n v="0"/>
    <m/>
    <s v="H08031-JIM-M"/>
    <m/>
    <m/>
    <s v="S0361415"/>
  </r>
  <r>
    <x v="854"/>
    <n v="10000"/>
    <n v="20000"/>
    <d v="2025-03-28T00:00:00"/>
    <s v="502LAUGH"/>
    <s v=" 8:41:49 am"/>
    <s v="10620258038/10620258040/10620258039"/>
    <m/>
    <x v="0"/>
    <s v="Yes"/>
    <n v="77"/>
    <s v="Brotech DF330 "/>
    <x v="0"/>
    <s v="PM74"/>
    <s v="YONG CHEE SOON"/>
    <n v="1250"/>
    <n v="65.833333333333329"/>
    <n v="1.0972222222222221"/>
    <d v="2025-03-20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817"/>
    <n v="0"/>
    <m/>
    <s v="H08031-JIM-M"/>
    <m/>
    <m/>
    <s v="S0361416"/>
  </r>
  <r>
    <x v="898"/>
    <n v="10000"/>
    <n v="10000"/>
    <d v="2025-03-21T00:00:00"/>
    <s v="502LAUGH"/>
    <s v=" 4:17:10 pm"/>
    <n v="310180293"/>
    <m/>
    <x v="2"/>
    <s v="Yes"/>
    <n v="88"/>
    <s v="OKI"/>
    <x v="4"/>
    <s v="PP24"/>
    <s v="HO HON SENG"/>
    <n v="150"/>
    <m/>
    <m/>
    <d v="2025-03-20T00:00:00"/>
    <m/>
    <n v="1"/>
    <n v="150"/>
    <s v="PE"/>
    <s v="057-05335-0000 R0003"/>
    <n v="0"/>
    <n v="50"/>
    <n v="10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3342"/>
    <n v="0"/>
    <m/>
    <s v="S19351"/>
    <m/>
    <m/>
    <s v="S0361422"/>
  </r>
  <r>
    <x v="899"/>
    <n v="10000"/>
    <n v="10000"/>
    <d v="2025-04-01T00:00:00"/>
    <s v="502LAUGH"/>
    <s v=" 8:50:07 am"/>
    <n v="12190705005"/>
    <m/>
    <x v="2"/>
    <s v="Yes"/>
    <n v="68"/>
    <s v="SANKI"/>
    <x v="3"/>
    <s v="PM63"/>
    <s v="CHEW WEN JUN"/>
    <n v="50000"/>
    <n v="1295"/>
    <n v="21.583333333333332"/>
    <d v="2025-03-20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314"/>
    <s v="SEAGATE TECHNOLOGY INTERNATIONAL (WUXI) CO., LTD"/>
    <m/>
    <n v="0"/>
    <n v="0"/>
    <n v="0"/>
    <n v="0"/>
    <n v="0"/>
    <n v="0"/>
    <m/>
    <m/>
    <m/>
    <s v="No"/>
    <s v="W663837"/>
    <n v="0"/>
    <m/>
    <s v="S19314"/>
    <m/>
    <m/>
    <s v="H0064850"/>
  </r>
  <r>
    <x v="900"/>
    <n v="10000"/>
    <n v="10000"/>
    <d v="2025-03-20T00:00:00"/>
    <s v="502LAUGH"/>
    <s v=" 2:51:08 pm"/>
    <s v="4170S1"/>
    <m/>
    <x v="2"/>
    <s v="Yes"/>
    <n v="65"/>
    <s v="Sanki SDR300"/>
    <x v="3"/>
    <s v="PMJ7"/>
    <s v="FOONG SEL YI"/>
    <n v="750"/>
    <n v="63.75"/>
    <n v="1.0625"/>
    <d v="2025-03-20T00:00:00"/>
    <m/>
    <n v="4"/>
    <n v="3000"/>
    <s v="PE"/>
    <s v="FMQC00231010001"/>
    <n v="0"/>
    <n v="3000"/>
    <n v="0"/>
    <n v="0"/>
    <n v="0"/>
    <n v="0"/>
    <m/>
    <m/>
    <n v="0"/>
    <m/>
    <m/>
    <m/>
    <m/>
    <m/>
    <m/>
    <m/>
    <m/>
    <s v="FMQC0023101"/>
    <s v="T20104"/>
    <s v="TOSHIBA TEC SINGAPORE PTE LTD"/>
    <m/>
    <n v="0"/>
    <n v="0"/>
    <n v="0"/>
    <n v="0"/>
    <n v="0"/>
    <n v="0"/>
    <m/>
    <m/>
    <m/>
    <s v="No"/>
    <s v="W663343"/>
    <n v="0"/>
    <m/>
    <s v="T20104"/>
    <m/>
    <m/>
    <s v="S0361537"/>
  </r>
  <r>
    <x v="901"/>
    <n v="10000"/>
    <n v="10000"/>
    <d v="2025-03-20T00:00:00"/>
    <s v="502LAUGH"/>
    <s v=" 3:59:37 pm"/>
    <s v="3170S1"/>
    <m/>
    <x v="2"/>
    <s v="Yes"/>
    <n v="65"/>
    <s v="Sanki SDR300"/>
    <x v="3"/>
    <s v="PMJ7"/>
    <s v="FOONG SEL YI"/>
    <n v="1000"/>
    <n v="70"/>
    <n v="1.1666666666666667"/>
    <d v="2025-03-20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3344"/>
    <n v="0"/>
    <m/>
    <s v="T20104"/>
    <m/>
    <m/>
    <s v="S0361537"/>
  </r>
  <r>
    <x v="902"/>
    <n v="10000"/>
    <n v="10000"/>
    <d v="2025-03-20T00:00:00"/>
    <s v="502LAUGH"/>
    <d v="1899-12-30T11:16:09"/>
    <s v="3236S1"/>
    <m/>
    <x v="2"/>
    <s v="Yes"/>
    <n v="65"/>
    <s v="Sanki SDR300"/>
    <x v="3"/>
    <s v="PMJ7"/>
    <s v="FOONG SEL YI"/>
    <n v="1000"/>
    <n v="70"/>
    <n v="1.1666666666666667"/>
    <d v="2025-03-20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s v="TOSHIBA TEC SINGAPORE PTE LTD"/>
    <m/>
    <n v="0"/>
    <n v="0"/>
    <n v="0"/>
    <n v="0"/>
    <n v="0"/>
    <n v="0"/>
    <m/>
    <m/>
    <m/>
    <s v="No"/>
    <s v="W663345"/>
    <n v="0"/>
    <m/>
    <s v="T20104"/>
    <m/>
    <m/>
    <s v="S0361537"/>
  </r>
  <r>
    <x v="903"/>
    <n v="10000"/>
    <n v="10000"/>
    <d v="2025-03-20T00:00:00"/>
    <s v="502LAUGH"/>
    <s v=" 2:51:08 pm"/>
    <s v="4170S1"/>
    <m/>
    <x v="2"/>
    <s v="Yes"/>
    <n v="65"/>
    <s v="Sanki SDR300"/>
    <x v="3"/>
    <s v="PMJ7"/>
    <s v="FOONG SEL YI"/>
    <n v="500"/>
    <n v="57.5"/>
    <n v="0.95833333333333337"/>
    <d v="2025-03-20T00:00:00"/>
    <m/>
    <n v="4"/>
    <n v="2000"/>
    <s v="PE"/>
    <s v="FMQC00231010001"/>
    <n v="0"/>
    <n v="2000"/>
    <n v="0"/>
    <n v="0"/>
    <n v="0"/>
    <n v="0"/>
    <m/>
    <m/>
    <n v="0"/>
    <m/>
    <m/>
    <m/>
    <m/>
    <m/>
    <m/>
    <m/>
    <m/>
    <s v="FMQC0023101"/>
    <s v="T20104"/>
    <s v="TOSHIBA TEC SINGAPORE PTE LTD"/>
    <m/>
    <n v="0"/>
    <n v="0"/>
    <n v="0"/>
    <n v="0"/>
    <n v="0"/>
    <n v="0"/>
    <m/>
    <m/>
    <m/>
    <s v="No"/>
    <s v="W663346"/>
    <n v="0"/>
    <m/>
    <s v="T20104"/>
    <m/>
    <m/>
    <s v="PR006405"/>
  </r>
  <r>
    <x v="904"/>
    <n v="10000"/>
    <n v="10000"/>
    <d v="2025-03-20T00:00:00"/>
    <s v="502LAUGH"/>
    <s v=" 3:59:37 pm"/>
    <s v="3170S1"/>
    <m/>
    <x v="2"/>
    <s v="Yes"/>
    <n v="65"/>
    <s v="Sanki SDR300"/>
    <x v="3"/>
    <s v="PMJ7"/>
    <s v="FOONG SEL YI"/>
    <n v="667"/>
    <n v="61.674999999999997"/>
    <n v="1.0279166666666666"/>
    <d v="2025-03-20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3347"/>
    <n v="0"/>
    <m/>
    <s v="T20104"/>
    <m/>
    <m/>
    <s v="PR006405"/>
  </r>
  <r>
    <x v="905"/>
    <n v="10000"/>
    <n v="10000"/>
    <d v="2025-03-20T00:00:00"/>
    <s v="502LAUGH"/>
    <d v="1899-12-30T11:16:09"/>
    <s v="3236S1"/>
    <m/>
    <x v="2"/>
    <s v="Yes"/>
    <n v="65"/>
    <s v="Sanki SDR300"/>
    <x v="3"/>
    <s v="PMJ7"/>
    <s v="FOONG SEL YI"/>
    <n v="1000"/>
    <n v="70"/>
    <n v="1.1666666666666667"/>
    <d v="2025-03-20T00:00:00"/>
    <m/>
    <n v="2"/>
    <n v="2000"/>
    <s v="PE"/>
    <s v="TSQC02747010001"/>
    <n v="0"/>
    <n v="2000"/>
    <n v="0"/>
    <n v="0"/>
    <n v="0"/>
    <n v="0"/>
    <m/>
    <m/>
    <n v="0"/>
    <m/>
    <m/>
    <m/>
    <m/>
    <m/>
    <m/>
    <m/>
    <m/>
    <s v="TSQC0274701"/>
    <s v="T20104"/>
    <s v="TOSHIBA TEC SINGAPORE PTE LTD"/>
    <m/>
    <n v="0"/>
    <n v="0"/>
    <n v="0"/>
    <n v="0"/>
    <n v="0"/>
    <n v="0"/>
    <m/>
    <m/>
    <m/>
    <s v="No"/>
    <s v="W663348"/>
    <n v="0"/>
    <m/>
    <s v="T20104"/>
    <m/>
    <m/>
    <s v="PR006405"/>
  </r>
  <r>
    <x v="906"/>
    <n v="10000"/>
    <n v="10000"/>
    <d v="2025-03-20T00:00:00"/>
    <s v="502LAUGH"/>
    <d v="1899-12-30T10:14:33"/>
    <s v="SG-5622228 01"/>
    <m/>
    <x v="2"/>
    <s v="Yes"/>
    <n v="59"/>
    <s v="SANKI SD-300 Intermittent"/>
    <x v="2"/>
    <s v="PS74"/>
    <s v="GOH CHIN TECK"/>
    <n v="200"/>
    <n v="50"/>
    <n v="0.83333333333333337"/>
    <d v="2025-03-20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s v="ILLUMINA SINGAPORE PTE LTD"/>
    <m/>
    <n v="0"/>
    <n v="0"/>
    <n v="0"/>
    <n v="0"/>
    <n v="0"/>
    <n v="0"/>
    <m/>
    <m/>
    <m/>
    <s v="No"/>
    <s v="W663351"/>
    <n v="0"/>
    <m/>
    <s v="I09180"/>
    <m/>
    <m/>
    <s v="S0361544"/>
  </r>
  <r>
    <x v="907"/>
    <n v="10000"/>
    <n v="10000"/>
    <d v="2025-03-20T00:00:00"/>
    <s v="502LAUGH"/>
    <d v="1899-12-30T10:14:33"/>
    <s v="SG-5622228 01"/>
    <m/>
    <x v="2"/>
    <s v="Yes"/>
    <n v="59"/>
    <s v="SANKI SD-300 Intermittent"/>
    <x v="2"/>
    <s v="PS74"/>
    <s v="GOH CHIN TECK"/>
    <n v="200"/>
    <n v="50"/>
    <n v="0.83333333333333337"/>
    <d v="2025-03-20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s v="ILLUMINA SINGAPORE PTE LTD"/>
    <m/>
    <n v="0"/>
    <n v="0"/>
    <n v="0"/>
    <n v="0"/>
    <n v="0"/>
    <n v="0"/>
    <m/>
    <m/>
    <m/>
    <s v="No"/>
    <s v="W663352"/>
    <n v="0"/>
    <m/>
    <s v="I09180"/>
    <m/>
    <m/>
    <s v="S0361545"/>
  </r>
  <r>
    <x v="908"/>
    <n v="10000"/>
    <n v="10000"/>
    <d v="2025-03-20T00:00:00"/>
    <s v="502LAUGH"/>
    <d v="1899-12-30T11:31:24"/>
    <s v="SG-5622228 01"/>
    <m/>
    <x v="2"/>
    <s v="Yes"/>
    <n v="59"/>
    <s v="SANKI SD-300 Intermittent"/>
    <x v="2"/>
    <s v="PS74"/>
    <s v="GOH CHIN TECK"/>
    <n v="200"/>
    <n v="50"/>
    <n v="0.83333333333333337"/>
    <d v="2025-03-20T00:00:00"/>
    <m/>
    <n v="10"/>
    <n v="2000"/>
    <s v="PE"/>
    <n v="112024760001"/>
    <n v="0"/>
    <n v="2000"/>
    <n v="0"/>
    <n v="0"/>
    <n v="0"/>
    <n v="0"/>
    <m/>
    <m/>
    <n v="0"/>
    <m/>
    <m/>
    <m/>
    <m/>
    <m/>
    <m/>
    <m/>
    <m/>
    <n v="11202476"/>
    <s v="I09180"/>
    <s v="ILLUMINA SINGAPORE PTE LTD"/>
    <m/>
    <n v="0"/>
    <n v="0"/>
    <n v="0"/>
    <n v="0"/>
    <n v="0"/>
    <n v="0"/>
    <m/>
    <m/>
    <m/>
    <s v="No"/>
    <s v="W663353"/>
    <n v="0"/>
    <m/>
    <s v="I09180"/>
    <m/>
    <m/>
    <s v="S0361546"/>
  </r>
  <r>
    <x v="909"/>
    <n v="10000"/>
    <n v="10000"/>
    <d v="2025-03-20T00:00:00"/>
    <s v="502LAUGH"/>
    <d v="1899-12-30T11:31:24"/>
    <s v="SG-5622228 01"/>
    <m/>
    <x v="2"/>
    <s v="Yes"/>
    <n v="59"/>
    <s v="SANKI SD-300 Intermittent"/>
    <x v="2"/>
    <s v="PS74"/>
    <s v="GOH CHIN TECK"/>
    <n v="200"/>
    <n v="50"/>
    <n v="0.83333333333333337"/>
    <d v="2025-03-20T00:00:00"/>
    <m/>
    <n v="10"/>
    <n v="2000"/>
    <s v="PE"/>
    <n v="112024760001"/>
    <n v="0"/>
    <n v="2000"/>
    <n v="0"/>
    <n v="0"/>
    <n v="0"/>
    <n v="0"/>
    <m/>
    <m/>
    <n v="0"/>
    <m/>
    <m/>
    <m/>
    <m/>
    <m/>
    <m/>
    <m/>
    <m/>
    <n v="11202476"/>
    <s v="I09180"/>
    <s v="ILLUMINA SINGAPORE PTE LTD"/>
    <m/>
    <n v="0"/>
    <n v="0"/>
    <n v="0"/>
    <n v="0"/>
    <n v="0"/>
    <n v="0"/>
    <m/>
    <m/>
    <m/>
    <s v="No"/>
    <s v="W663354"/>
    <n v="0"/>
    <m/>
    <s v="I09180"/>
    <m/>
    <m/>
    <s v="S0361547"/>
  </r>
  <r>
    <x v="910"/>
    <n v="10000"/>
    <n v="10000"/>
    <d v="2025-03-20T00:00:00"/>
    <s v="502LAUGH"/>
    <s v=" 2:25:46 pm"/>
    <s v="SG-5622228 01"/>
    <m/>
    <x v="2"/>
    <s v="Yes"/>
    <n v="59"/>
    <s v="SANKI SD-300 Intermittent"/>
    <x v="2"/>
    <s v="PS74"/>
    <s v="GOH CHIN TECK"/>
    <n v="200"/>
    <n v="50"/>
    <n v="0.83333333333333337"/>
    <d v="2025-03-20T00:00:00"/>
    <m/>
    <n v="10"/>
    <n v="2000"/>
    <s v="PE"/>
    <n v="112026870001"/>
    <n v="0"/>
    <n v="2000"/>
    <n v="0"/>
    <n v="0"/>
    <n v="0"/>
    <n v="0"/>
    <m/>
    <m/>
    <n v="0"/>
    <m/>
    <m/>
    <m/>
    <m/>
    <m/>
    <m/>
    <m/>
    <m/>
    <n v="11202687"/>
    <s v="I09180"/>
    <s v="ILLUMINA SINGAPORE PTE LTD"/>
    <m/>
    <n v="0"/>
    <n v="0"/>
    <n v="0"/>
    <n v="0"/>
    <n v="0"/>
    <n v="0"/>
    <m/>
    <m/>
    <m/>
    <s v="No"/>
    <s v="W663355"/>
    <n v="0"/>
    <m/>
    <s v="I09180"/>
    <m/>
    <m/>
    <s v="S0361548"/>
  </r>
  <r>
    <x v="911"/>
    <n v="10000"/>
    <n v="10000"/>
    <d v="2025-03-20T00:00:00"/>
    <s v="502LAUGH"/>
    <s v=" 4:25:34 pm"/>
    <s v="XHX24B19A1410/XHX2410130003/1811008A11/21400580041"/>
    <m/>
    <x v="2"/>
    <s v="Yes"/>
    <n v="112"/>
    <s v="Hadesheng"/>
    <x v="3"/>
    <s v="PM40"/>
    <s v="NGOI CHUN YONG"/>
    <n v="30"/>
    <n v="46.5"/>
    <n v="0.77500000000000002"/>
    <d v="2025-03-20T00:00:00"/>
    <m/>
    <n v="4"/>
    <n v="120"/>
    <s v="PE"/>
    <s v="TPK-848150-00100001"/>
    <n v="0"/>
    <n v="120"/>
    <n v="0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3356"/>
    <n v="0"/>
    <m/>
    <s v="Z26002"/>
    <m/>
    <m/>
    <s v="ZSA101775"/>
  </r>
  <r>
    <x v="912"/>
    <n v="10000"/>
    <n v="10000"/>
    <d v="2025-03-20T00:00:00"/>
    <s v="502LAUGH"/>
    <s v=" 3:10:52 pm"/>
    <s v="XHX2502100209/XHX24820A0902/XHX2410090439"/>
    <m/>
    <x v="2"/>
    <s v="Yes"/>
    <n v="112"/>
    <s v="Hadesheng"/>
    <x v="3"/>
    <s v="PM40"/>
    <s v="NGOI CHUN YONG"/>
    <n v="4"/>
    <n v="45.2"/>
    <n v="0.75333333333333341"/>
    <d v="2025-03-20T00:00:00"/>
    <m/>
    <n v="15"/>
    <n v="60"/>
    <s v="PE"/>
    <s v="TPK-853766-00200001"/>
    <n v="0"/>
    <n v="60"/>
    <n v="0"/>
    <n v="0"/>
    <n v="0"/>
    <n v="0"/>
    <m/>
    <m/>
    <n v="0"/>
    <m/>
    <m/>
    <m/>
    <m/>
    <m/>
    <m/>
    <m/>
    <m/>
    <s v="TPK-853766-0020"/>
    <s v="Z26002"/>
    <s v="CCL DESIGN (PENANG) SDN. BHD."/>
    <m/>
    <n v="0"/>
    <n v="0"/>
    <n v="0"/>
    <n v="0"/>
    <n v="0"/>
    <n v="0"/>
    <m/>
    <m/>
    <m/>
    <s v="No"/>
    <s v="W663357"/>
    <n v="0"/>
    <m/>
    <s v="Z26002"/>
    <m/>
    <m/>
    <s v="ZSA101775"/>
  </r>
  <r>
    <x v="913"/>
    <n v="10000"/>
    <n v="10000"/>
    <d v="2025-03-20T00:00:00"/>
    <s v="502LAUGH"/>
    <s v=" 3:49:07 pm"/>
    <s v="XHX2410130003/XHX2411251432/XHX24B18A1408/BZC057-01"/>
    <m/>
    <x v="2"/>
    <s v="Yes"/>
    <n v="112"/>
    <s v="Hadesheng"/>
    <x v="3"/>
    <s v="PM40"/>
    <s v="NGOI CHUN YONG"/>
    <n v="3"/>
    <n v="45.15"/>
    <n v="0.75249999999999995"/>
    <d v="2025-03-20T00:00:00"/>
    <m/>
    <n v="20"/>
    <n v="60"/>
    <s v="PE"/>
    <s v="TPK-863269-00100001"/>
    <n v="0"/>
    <n v="50"/>
    <n v="10"/>
    <n v="0"/>
    <n v="0"/>
    <n v="0"/>
    <m/>
    <m/>
    <n v="0"/>
    <m/>
    <m/>
    <m/>
    <m/>
    <m/>
    <m/>
    <m/>
    <m/>
    <s v="TPK-863269-0010"/>
    <s v="Z26002"/>
    <s v="CCL DESIGN (PENANG) SDN. BHD."/>
    <m/>
    <n v="0"/>
    <n v="0"/>
    <n v="0"/>
    <n v="0"/>
    <n v="0"/>
    <n v="0"/>
    <m/>
    <m/>
    <m/>
    <s v="No"/>
    <s v="W663358"/>
    <n v="0"/>
    <m/>
    <s v="Z26002"/>
    <m/>
    <m/>
    <s v="ZSA101775"/>
  </r>
  <r>
    <x v="914"/>
    <n v="10000"/>
    <n v="10000"/>
    <d v="2025-03-20T00:00:00"/>
    <s v="502LAUGH"/>
    <s v=" 3:51:00 pm"/>
    <s v="XHX24B18A1408/XHX2411251432/BYG115-02/XHX2410130003"/>
    <m/>
    <x v="2"/>
    <s v="Yes"/>
    <n v="112"/>
    <s v="Hadesheng"/>
    <x v="3"/>
    <s v="PM40"/>
    <s v="NGOI CHUN YONG"/>
    <n v="3"/>
    <n v="45.15"/>
    <n v="0.75249999999999995"/>
    <d v="2025-03-20T00:00:00"/>
    <m/>
    <n v="20"/>
    <n v="60"/>
    <s v="PE"/>
    <s v="TPK-864087-00100001"/>
    <n v="0"/>
    <n v="50"/>
    <n v="10"/>
    <n v="0"/>
    <n v="0"/>
    <n v="0"/>
    <m/>
    <m/>
    <n v="0"/>
    <m/>
    <m/>
    <m/>
    <m/>
    <m/>
    <m/>
    <m/>
    <m/>
    <s v="TPK-864087-0010"/>
    <s v="Z26002"/>
    <s v="CCL DESIGN (PENANG) SDN. BHD."/>
    <m/>
    <n v="0"/>
    <n v="0"/>
    <n v="0"/>
    <n v="0"/>
    <n v="0"/>
    <n v="0"/>
    <m/>
    <m/>
    <m/>
    <s v="No"/>
    <s v="W663359"/>
    <n v="0"/>
    <m/>
    <s v="Z26002"/>
    <m/>
    <m/>
    <s v="ZSA101775"/>
  </r>
  <r>
    <x v="915"/>
    <n v="10000"/>
    <n v="10000"/>
    <d v="2025-03-24T00:00:00"/>
    <s v="502LAUGH"/>
    <s v=" 2:56:34 pm"/>
    <s v="SG-5642459-01"/>
    <m/>
    <x v="2"/>
    <s v="Yes"/>
    <n v="79"/>
    <s v="HP Indigo 6800"/>
    <x v="4"/>
    <s v="PM16"/>
    <s v="TEO KAH JUN"/>
    <n v="375"/>
    <n v="48.75"/>
    <n v="0.8125"/>
    <d v="2025-03-20T00:00:00"/>
    <m/>
    <n v="12"/>
    <n v="4500"/>
    <s v="PE"/>
    <s v="P4U01160001"/>
    <n v="0"/>
    <n v="3000"/>
    <n v="15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3863"/>
    <n v="0"/>
    <m/>
    <s v="H08220"/>
    <m/>
    <m/>
    <s v="S0361561"/>
  </r>
  <r>
    <x v="916"/>
    <n v="10000"/>
    <n v="10000"/>
    <d v="2025-03-28T00:00:00"/>
    <s v="505KANGHS"/>
    <s v=" 8:33:36 am"/>
    <s v="M0BRZ2280990"/>
    <s v="DC23944"/>
    <x v="2"/>
    <s v="No"/>
    <n v="79"/>
    <s v="HP Indigo 6800"/>
    <x v="4"/>
    <s v="PM16"/>
    <s v="TEO KAH JUN"/>
    <n v="84"/>
    <n v="34.200000000000003"/>
    <n v="0.57000000000000006"/>
    <d v="2025-03-21T00:00:00"/>
    <m/>
    <n v="60"/>
    <n v="5040"/>
    <s v="PE"/>
    <s v="5189-80980001"/>
    <n v="0"/>
    <n v="0"/>
    <n v="0"/>
    <n v="0"/>
    <n v="0"/>
    <n v="0"/>
    <m/>
    <m/>
    <n v="0"/>
    <m/>
    <m/>
    <m/>
    <s v="No"/>
    <n v="0"/>
    <s v="No"/>
    <m/>
    <m/>
    <s v="5189-8098"/>
    <s v="H08031-IMS"/>
    <s v="HP SINGAPORE (PRIVATE) LIMITED"/>
    <m/>
    <n v="0"/>
    <n v="0"/>
    <n v="0"/>
    <n v="0"/>
    <n v="0"/>
    <n v="0"/>
    <m/>
    <m/>
    <m/>
    <s v="No"/>
    <m/>
    <m/>
    <m/>
    <s v="H08031-IMS"/>
    <m/>
    <m/>
    <s v="S0361178"/>
  </r>
  <r>
    <x v="917"/>
    <n v="10000"/>
    <n v="10000"/>
    <d v="2025-03-28T00:00:00"/>
    <s v="502LAUGH"/>
    <s v=" 8:32:44 am"/>
    <s v="M0BRZ2280990"/>
    <s v="FDC30764"/>
    <x v="2"/>
    <s v="No"/>
    <n v="79"/>
    <s v="HP Indigo 6800"/>
    <x v="4"/>
    <s v="PM16"/>
    <s v="TEO KAH JUN"/>
    <n v="62"/>
    <n v="33.1"/>
    <n v="0.55166666666666664"/>
    <d v="2025-03-21T00:00:00"/>
    <m/>
    <n v="65"/>
    <n v="4030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79"/>
  </r>
  <r>
    <x v="918"/>
    <n v="10000"/>
    <n v="10000"/>
    <d v="2025-03-28T00:00:00"/>
    <s v="505KANGHS"/>
    <s v=" 8:33:36 am"/>
    <s v="M0BRZ2280990"/>
    <s v="DC23944"/>
    <x v="2"/>
    <s v="No"/>
    <n v="79"/>
    <s v="HP Indigo 6800"/>
    <x v="4"/>
    <s v="PM16"/>
    <s v="TEO KAH JUN"/>
    <n v="50"/>
    <n v="32.5"/>
    <n v="0.54166666666666663"/>
    <d v="2025-03-21T00:00:00"/>
    <m/>
    <n v="60"/>
    <n v="3000"/>
    <s v="PE"/>
    <s v="5180-22950001"/>
    <n v="0"/>
    <n v="0"/>
    <n v="0"/>
    <n v="0"/>
    <n v="0"/>
    <n v="0"/>
    <m/>
    <m/>
    <n v="0"/>
    <m/>
    <m/>
    <m/>
    <s v="No"/>
    <n v="0"/>
    <s v="No"/>
    <m/>
    <m/>
    <s v="5180-229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80"/>
  </r>
  <r>
    <x v="919"/>
    <n v="10000"/>
    <n v="10000"/>
    <d v="2025-03-28T00:00:00"/>
    <s v="502LAUGH"/>
    <s v=" 8:31:51 am"/>
    <s v="M0BRZ2280990"/>
    <s v="FDC30764"/>
    <x v="2"/>
    <s v="No"/>
    <n v="79"/>
    <s v="HP Indigo 6800"/>
    <x v="4"/>
    <s v="PM16"/>
    <s v="TEO KAH JUN"/>
    <n v="200"/>
    <n v="40"/>
    <n v="0.66666666666666663"/>
    <d v="2025-03-21T00:00:00"/>
    <m/>
    <n v="65"/>
    <n v="1300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81"/>
  </r>
  <r>
    <x v="489"/>
    <n v="10000"/>
    <n v="40000"/>
    <d v="2025-04-07T00:00:00"/>
    <s v="502LAUGH"/>
    <s v=" 8:45:10 am"/>
    <s v="D006O6500"/>
    <s v="FDC31617"/>
    <x v="0"/>
    <s v="No"/>
    <n v="77"/>
    <s v="Brotech DF330 "/>
    <x v="0"/>
    <s v="PM74"/>
    <s v="YONG CHEE SOON"/>
    <n v="32500"/>
    <n v="586.66666666666663"/>
    <n v="9.7777777777777768"/>
    <d v="2025-03-21T00:00:00"/>
    <m/>
    <n v="6"/>
    <n v="19500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89"/>
  </r>
  <r>
    <x v="859"/>
    <n v="10000"/>
    <n v="20000"/>
    <d v="2025-03-21T00:00:00"/>
    <s v="502LAUGH"/>
    <s v=" 5:53:11 pm"/>
    <s v="SG-564141001"/>
    <s v="FSC29943"/>
    <x v="2"/>
    <s v="No"/>
    <n v="73"/>
    <s v="Brotech DF330"/>
    <x v="0"/>
    <s v="PM18"/>
    <s v="LAI CHIN YANG"/>
    <n v="42000"/>
    <m/>
    <m/>
    <d v="2025-03-21T00:00:00"/>
    <m/>
    <n v="12"/>
    <n v="504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19"/>
  </r>
  <r>
    <x v="868"/>
    <n v="10000"/>
    <n v="20000"/>
    <d v="2025-03-24T00:00:00"/>
    <s v="502LAUGH"/>
    <s v=" 1:42:56 pm"/>
    <s v="M4B4603BGJBJ217-S249100193/E0209912"/>
    <s v="FD29782"/>
    <x v="2"/>
    <s v="No"/>
    <n v="66"/>
    <s v="Fujishiko "/>
    <x v="3"/>
    <s v="PM48"/>
    <s v="CHAN TZYY XUAN"/>
    <n v="45000"/>
    <n v="945"/>
    <n v="15.75"/>
    <d v="2025-03-21T00:00:00"/>
    <m/>
    <n v="1"/>
    <n v="4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872"/>
  </r>
  <r>
    <x v="920"/>
    <n v="10000"/>
    <n v="10000"/>
    <d v="2025-03-21T00:00:00"/>
    <s v="502LAUGH"/>
    <s v=" 4:06:52 pm"/>
    <s v="BYG115-02/XHX2410090439/XHX2410130003/XHX2409200124/P/O49080"/>
    <m/>
    <x v="2"/>
    <s v="Yes"/>
    <n v="112"/>
    <s v="Hadesheng"/>
    <x v="3"/>
    <s v="PM40"/>
    <s v="NGOI CHUN YONG"/>
    <n v="2728"/>
    <n v="181.4"/>
    <n v="3.0233333333333334"/>
    <d v="2025-03-21T00:00:00"/>
    <m/>
    <n v="11"/>
    <n v="30008"/>
    <s v="PE"/>
    <s v="TPK-864719-00100001"/>
    <n v="0"/>
    <n v="30000"/>
    <n v="8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3532"/>
    <n v="0"/>
    <m/>
    <s v="Z26002"/>
    <m/>
    <m/>
    <s v="S0355949"/>
  </r>
  <r>
    <x v="921"/>
    <n v="10000"/>
    <n v="10000"/>
    <d v="2025-03-21T00:00:00"/>
    <s v="502LAUGH"/>
    <s v=" 4:06:52 pm"/>
    <s v="BYG115-02/XHX2410090439/XHX2410130003/XHX2409200124/P/O49080"/>
    <m/>
    <x v="2"/>
    <s v="Yes"/>
    <n v="112"/>
    <s v="Hadesheng"/>
    <x v="3"/>
    <s v="PM40"/>
    <s v="NGOI CHUN YONG"/>
    <n v="2417"/>
    <n v="165.85"/>
    <n v="2.7641666666666667"/>
    <d v="2025-03-21T00:00:00"/>
    <m/>
    <n v="12"/>
    <n v="29004"/>
    <s v="PE"/>
    <s v="TPK-864719-00100001"/>
    <n v="0"/>
    <n v="29000"/>
    <n v="4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3542"/>
    <n v="0"/>
    <m/>
    <s v="Z26002"/>
    <m/>
    <m/>
    <s v="S0357499"/>
  </r>
  <r>
    <x v="922"/>
    <n v="10000"/>
    <n v="20000"/>
    <d v="2025-03-24T00:00:00"/>
    <s v="502LAUGH"/>
    <s v=" 8:32:40 am"/>
    <s v="2101110U5"/>
    <m/>
    <x v="2"/>
    <s v="Yes"/>
    <n v="61"/>
    <s v="FSK 520"/>
    <x v="2"/>
    <s v="PM68"/>
    <s v="LEE KIM LIANG"/>
    <n v="4000"/>
    <n v="125"/>
    <n v="2.0833333333333335"/>
    <d v="2025-03-21T00:00:00"/>
    <m/>
    <n v="1"/>
    <n v="4000"/>
    <s v="PE"/>
    <s v="810588 INDEX4000001"/>
    <n v="0"/>
    <n v="4000"/>
    <n v="0"/>
    <n v="0"/>
    <n v="0"/>
    <n v="0"/>
    <m/>
    <m/>
    <n v="0"/>
    <m/>
    <m/>
    <m/>
    <m/>
    <m/>
    <m/>
    <m/>
    <m/>
    <s v="810588 INDEX400"/>
    <s v="V22000"/>
    <s v="PT VARTA MICROBATTERY INDONESIA"/>
    <m/>
    <n v="0"/>
    <n v="0"/>
    <n v="0"/>
    <n v="0"/>
    <n v="0"/>
    <n v="0"/>
    <m/>
    <m/>
    <m/>
    <s v="No"/>
    <s v="W663551"/>
    <n v="0"/>
    <m/>
    <s v="V22000"/>
    <m/>
    <m/>
    <s v="S0357876"/>
  </r>
  <r>
    <x v="923"/>
    <n v="10000"/>
    <n v="10000"/>
    <d v="2025-03-21T00:00:00"/>
    <s v="502LAUGH"/>
    <s v=" 4:02:39 pm"/>
    <s v="J206L2871"/>
    <m/>
    <x v="2"/>
    <s v="Yes"/>
    <n v="65"/>
    <s v="Sanki SDR300"/>
    <x v="3"/>
    <s v="PMJ7"/>
    <s v="FOONG SEL YI"/>
    <n v="9000"/>
    <n v="270"/>
    <n v="4.5"/>
    <d v="2025-03-21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s v="RESMED ASIA PTE LTD"/>
    <m/>
    <n v="0"/>
    <n v="0"/>
    <n v="0"/>
    <n v="0"/>
    <n v="0"/>
    <n v="0"/>
    <m/>
    <m/>
    <m/>
    <s v="No"/>
    <s v="W663555"/>
    <n v="0"/>
    <m/>
    <s v="R18131"/>
    <m/>
    <m/>
    <s v="S0358293"/>
  </r>
  <r>
    <x v="924"/>
    <n v="10000"/>
    <n v="20000"/>
    <d v="2025-03-21T00:00:00"/>
    <s v="502LAUGH"/>
    <s v=" 4:06:52 pm"/>
    <s v="BYG115-02/XHX2410090439/XHX2410130003/XHX2409200124/P/O49080"/>
    <m/>
    <x v="2"/>
    <s v="Yes"/>
    <n v="112"/>
    <s v="Hadesheng"/>
    <x v="3"/>
    <s v="PM40"/>
    <s v="NGOI CHUN YONG"/>
    <n v="2250"/>
    <n v="157.5"/>
    <n v="2.625"/>
    <d v="2025-03-21T00:00:00"/>
    <m/>
    <n v="12"/>
    <n v="27000"/>
    <s v="PE"/>
    <s v="TPK-864719-00100001"/>
    <n v="0"/>
    <n v="27000"/>
    <n v="0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3560"/>
    <n v="0"/>
    <m/>
    <s v="Z26002"/>
    <m/>
    <m/>
    <s v="S0358423"/>
  </r>
  <r>
    <x v="925"/>
    <n v="10000"/>
    <n v="10000"/>
    <d v="2025-03-21T00:00:00"/>
    <s v="502LAUGH"/>
    <s v=" 5:51:59 pm"/>
    <s v="4103004U5A"/>
    <m/>
    <x v="2"/>
    <s v="Yes"/>
    <n v="94"/>
    <s v="Taiyo"/>
    <x v="2"/>
    <s v="PM09"/>
    <s v="PANG JING FULL"/>
    <n v="6000"/>
    <m/>
    <m/>
    <d v="2025-03-21T00:00:00"/>
    <m/>
    <n v="6"/>
    <n v="36000"/>
    <s v="PE"/>
    <s v="L001-772785-00000002"/>
    <n v="0"/>
    <n v="36000"/>
    <n v="0"/>
    <n v="0"/>
    <n v="0"/>
    <n v="0"/>
    <m/>
    <m/>
    <n v="0"/>
    <m/>
    <m/>
    <m/>
    <m/>
    <m/>
    <m/>
    <m/>
    <m/>
    <s v="L001-772785-000002ZL"/>
    <s v="W23041-TH"/>
    <s v="WESTERN DIGITAL STORAGE TECHNOLOGIES"/>
    <m/>
    <n v="0"/>
    <n v="0"/>
    <n v="0"/>
    <n v="0"/>
    <n v="0"/>
    <n v="0"/>
    <m/>
    <m/>
    <m/>
    <s v="No"/>
    <s v="W663563"/>
    <n v="0"/>
    <m/>
    <s v="W23041-TH"/>
    <m/>
    <m/>
    <s v="H0064631"/>
  </r>
  <r>
    <x v="926"/>
    <n v="10000"/>
    <n v="10000"/>
    <d v="2025-03-21T00:00:00"/>
    <s v="502LAUGH"/>
    <d v="1899-12-30T12:56:45"/>
    <s v="SG-5622228 01"/>
    <m/>
    <x v="2"/>
    <s v="Yes"/>
    <n v="59"/>
    <s v="SANKI SD-300 Intermittent"/>
    <x v="2"/>
    <s v="PS74"/>
    <s v="GOH CHIN TECK"/>
    <n v="1500"/>
    <n v="82.5"/>
    <n v="1.375"/>
    <d v="2025-03-21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3298"/>
    <n v="0"/>
    <m/>
    <s v="I09180"/>
    <m/>
    <m/>
    <s v="S0359033"/>
  </r>
  <r>
    <x v="926"/>
    <n v="20000"/>
    <n v="10000"/>
    <d v="2025-03-21T00:00:00"/>
    <s v="502LAUGH"/>
    <d v="1899-12-30T12:56:45"/>
    <s v="SG-5622228 01"/>
    <m/>
    <x v="2"/>
    <s v="Yes"/>
    <n v="59"/>
    <s v="SANKI SD-300 Intermittent"/>
    <x v="2"/>
    <s v="PS74"/>
    <s v="GOH CHIN TECK"/>
    <n v="1500"/>
    <n v="82.5"/>
    <n v="1.375"/>
    <d v="2025-03-21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3298"/>
    <n v="0"/>
    <m/>
    <s v="I09180"/>
    <m/>
    <m/>
    <s v="S0359033"/>
  </r>
  <r>
    <x v="926"/>
    <n v="30000"/>
    <n v="10000"/>
    <d v="2025-03-21T00:00:00"/>
    <s v="502LAUGH"/>
    <d v="1899-12-30T12:56:45"/>
    <s v="SG-5622228 01"/>
    <m/>
    <x v="2"/>
    <s v="Yes"/>
    <n v="59"/>
    <s v="SANKI SD-300 Intermittent"/>
    <x v="2"/>
    <s v="PS74"/>
    <s v="GOH CHIN TECK"/>
    <n v="1500"/>
    <n v="82.5"/>
    <n v="1.375"/>
    <d v="2025-03-21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3298"/>
    <n v="0"/>
    <m/>
    <s v="I09180"/>
    <m/>
    <m/>
    <s v="S0359033"/>
  </r>
  <r>
    <x v="927"/>
    <n v="10000"/>
    <n v="10000"/>
    <d v="2025-03-21T00:00:00"/>
    <s v="502LAUGH"/>
    <s v=" 4:35:04 pm"/>
    <s v="SG-5622228 01"/>
    <m/>
    <x v="2"/>
    <s v="Yes"/>
    <n v="59"/>
    <s v="SANKI SD-300 Intermittent"/>
    <x v="2"/>
    <s v="PS74"/>
    <s v="GOH CHIN TECK"/>
    <n v="500"/>
    <n v="57.5"/>
    <n v="0.95833333333333337"/>
    <d v="2025-03-21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s v="ILLUMINA SINGAPORE PTE LTD"/>
    <m/>
    <n v="0"/>
    <n v="0"/>
    <n v="0"/>
    <n v="0"/>
    <n v="0"/>
    <n v="0"/>
    <m/>
    <m/>
    <m/>
    <s v="No"/>
    <s v="W663566"/>
    <n v="0"/>
    <m/>
    <s v="I09180"/>
    <m/>
    <m/>
    <s v="S0359034"/>
  </r>
  <r>
    <x v="927"/>
    <n v="20000"/>
    <n v="10000"/>
    <d v="2025-03-21T00:00:00"/>
    <s v="502LAUGH"/>
    <s v=" 4:35:04 pm"/>
    <s v="SG-5622228 01"/>
    <m/>
    <x v="2"/>
    <s v="Yes"/>
    <n v="59"/>
    <s v="SANKI SD-300 Intermittent"/>
    <x v="2"/>
    <s v="PS74"/>
    <s v="GOH CHIN TECK"/>
    <n v="500"/>
    <n v="57.5"/>
    <n v="0.95833333333333337"/>
    <d v="2025-03-21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s v="ILLUMINA SINGAPORE PTE LTD"/>
    <m/>
    <n v="0"/>
    <n v="0"/>
    <n v="0"/>
    <n v="0"/>
    <n v="0"/>
    <n v="0"/>
    <m/>
    <m/>
    <m/>
    <s v="No"/>
    <s v="W663566"/>
    <n v="0"/>
    <m/>
    <s v="I09180"/>
    <m/>
    <m/>
    <s v="S0359034"/>
  </r>
  <r>
    <x v="69"/>
    <n v="10000"/>
    <n v="30000"/>
    <d v="2025-03-24T00:00:00"/>
    <s v="502LAUGH"/>
    <s v=" 8:50:13 am"/>
    <n v="10639931001"/>
    <m/>
    <x v="0"/>
    <s v="Yes"/>
    <n v="85"/>
    <s v="Luster AOI"/>
    <x v="1"/>
    <s v="QM54"/>
    <s v="TAN SWEE LENG"/>
    <n v="5818"/>
    <m/>
    <m/>
    <d v="2025-03-21T00:00:00"/>
    <m/>
    <n v="11"/>
    <n v="63998"/>
    <s v="PE"/>
    <s v="CH561-80140-FT0001"/>
    <n v="0"/>
    <n v="24615"/>
    <n v="39383"/>
    <n v="0"/>
    <n v="0"/>
    <n v="0"/>
    <m/>
    <m/>
    <n v="0"/>
    <m/>
    <m/>
    <m/>
    <m/>
    <m/>
    <m/>
    <m/>
    <m/>
    <s v="CH561-80140-FT"/>
    <s v="H08031-JIM-M"/>
    <s v="HP MALAYSIA MANUFACTURING SDN.BHD."/>
    <m/>
    <n v="0"/>
    <n v="0"/>
    <n v="0"/>
    <n v="0"/>
    <n v="0"/>
    <n v="0"/>
    <m/>
    <m/>
    <m/>
    <s v="No"/>
    <s v="W663604"/>
    <n v="0"/>
    <m/>
    <s v="H08031-JIM-M"/>
    <m/>
    <m/>
    <s v="S0359840"/>
  </r>
  <r>
    <x v="149"/>
    <n v="10000"/>
    <n v="30000"/>
    <d v="2025-03-24T00:00:00"/>
    <s v="502LAUGH"/>
    <s v=" 8:55:11 am"/>
    <n v="10639931050"/>
    <m/>
    <x v="1"/>
    <s v="Yes"/>
    <n v="85"/>
    <s v="Luster AOI"/>
    <x v="1"/>
    <s v="QM54"/>
    <s v="TAN SWEE LENG"/>
    <n v="4000"/>
    <m/>
    <m/>
    <d v="2025-03-21T00:00:00"/>
    <m/>
    <n v="11"/>
    <n v="44000"/>
    <s v="PE"/>
    <s v="CH562-80153-FT0001"/>
    <n v="0"/>
    <n v="30000"/>
    <n v="14000"/>
    <n v="0"/>
    <n v="0"/>
    <n v="0"/>
    <m/>
    <m/>
    <n v="0"/>
    <m/>
    <m/>
    <m/>
    <m/>
    <m/>
    <m/>
    <m/>
    <m/>
    <s v="CH562-80153-FT"/>
    <s v="H08031-JIM-M"/>
    <s v="HP MALAYSIA MANUFACTURING SDN.BHD."/>
    <m/>
    <n v="0"/>
    <n v="0"/>
    <n v="0"/>
    <n v="0"/>
    <n v="0"/>
    <n v="0"/>
    <m/>
    <m/>
    <m/>
    <s v="No"/>
    <s v="W663605"/>
    <n v="0"/>
    <m/>
    <s v="H08031-JIM-M"/>
    <m/>
    <m/>
    <s v="S0359840"/>
  </r>
  <r>
    <x v="928"/>
    <n v="10000"/>
    <n v="10000"/>
    <d v="2025-03-21T00:00:00"/>
    <s v="502LAUGH"/>
    <s v=" 4:09:27 p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3611"/>
    <n v="0"/>
    <m/>
    <s v="I09180"/>
    <m/>
    <m/>
    <s v="S0359870"/>
  </r>
  <r>
    <x v="928"/>
    <n v="20000"/>
    <n v="10000"/>
    <d v="2025-03-21T00:00:00"/>
    <s v="502LAUGH"/>
    <s v=" 4:09:27 p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3611"/>
    <n v="0"/>
    <m/>
    <s v="I09180"/>
    <m/>
    <m/>
    <s v="S0359870"/>
  </r>
  <r>
    <x v="928"/>
    <n v="30000"/>
    <n v="10000"/>
    <d v="2025-03-21T00:00:00"/>
    <s v="502LAUGH"/>
    <s v=" 4:09:27 p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3611"/>
    <n v="0"/>
    <m/>
    <s v="I09180"/>
    <m/>
    <m/>
    <s v="S0359870"/>
  </r>
  <r>
    <x v="929"/>
    <n v="10000"/>
    <n v="30000"/>
    <d v="2025-03-26T00:00:00"/>
    <s v="502LAUGH"/>
    <s v=" 5:46:05 pm"/>
    <s v="D008O0920"/>
    <m/>
    <x v="2"/>
    <s v="Yes"/>
    <n v="79"/>
    <s v="HP Indigo 6800"/>
    <x v="4"/>
    <s v="PM16"/>
    <s v="TEO KAH JUN"/>
    <n v="1095"/>
    <n v="84.75"/>
    <n v="1.4125000000000001"/>
    <d v="2025-03-21T00:00:00"/>
    <m/>
    <n v="21"/>
    <n v="22995"/>
    <s v="PE"/>
    <s v="1VV05-80009-FT0001"/>
    <n v="0"/>
    <n v="20000"/>
    <n v="2995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63635"/>
    <n v="0"/>
    <m/>
    <s v="H08031-JIM-M"/>
    <m/>
    <m/>
    <s v="S0360936"/>
  </r>
  <r>
    <x v="930"/>
    <n v="10000"/>
    <n v="10000"/>
    <d v="2025-03-24T00:00:00"/>
    <s v="502LAUGH"/>
    <s v=" 9:01:02 am"/>
    <s v="M0BTD2082"/>
    <m/>
    <x v="2"/>
    <s v="Yes"/>
    <n v="29"/>
    <s v="Sanki SKP250 Full Rotary"/>
    <x v="2"/>
    <s v="PS70"/>
    <s v="YEO WOO KEONG"/>
    <n v="24000"/>
    <n v="645"/>
    <n v="10.75"/>
    <d v="2025-03-2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648"/>
    <n v="0"/>
    <m/>
    <s v="S19081-TH"/>
    <m/>
    <m/>
    <s v="H0064749"/>
  </r>
  <r>
    <x v="931"/>
    <n v="10000"/>
    <n v="10000"/>
    <d v="2025-03-24T00:00:00"/>
    <s v="502LAUGH"/>
    <s v=" 9:46:14 am"/>
    <s v="E190912129"/>
    <m/>
    <x v="2"/>
    <s v="Yes"/>
    <n v="63"/>
    <s v="SANKI"/>
    <x v="3"/>
    <s v="PM80"/>
    <s v="YAP ZHI PING"/>
    <n v="10000"/>
    <n v="295"/>
    <n v="4.916666666666667"/>
    <d v="2025-03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659"/>
    <n v="0"/>
    <m/>
    <s v="S19081-TH"/>
    <m/>
    <m/>
    <s v="H0064774"/>
  </r>
  <r>
    <x v="932"/>
    <n v="10000"/>
    <n v="10000"/>
    <d v="2025-03-24T00:00:00"/>
    <s v="502LAUGH"/>
    <s v=" 9:46:14 am"/>
    <s v="E190912129"/>
    <m/>
    <x v="2"/>
    <s v="Yes"/>
    <n v="63"/>
    <s v="SANKI"/>
    <x v="3"/>
    <s v="PM80"/>
    <s v="YAP ZHI PING"/>
    <n v="10000"/>
    <n v="295"/>
    <n v="4.916666666666667"/>
    <d v="2025-03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3660"/>
    <n v="0"/>
    <m/>
    <s v="S19081-TH"/>
    <m/>
    <m/>
    <s v="H0064775"/>
  </r>
  <r>
    <x v="425"/>
    <n v="10000"/>
    <n v="60000"/>
    <d v="2025-03-24T00:00:00"/>
    <s v="502LAUGH"/>
    <s v=" 8:58:20 am"/>
    <n v="10639931036"/>
    <m/>
    <x v="1"/>
    <s v="Yes"/>
    <n v="85"/>
    <s v="Luster AOI"/>
    <x v="1"/>
    <s v="QM54"/>
    <s v="TAN SWEE LENG"/>
    <n v="6364"/>
    <m/>
    <m/>
    <d v="2025-03-21T00:00:00"/>
    <m/>
    <n v="11"/>
    <n v="70004"/>
    <s v="PE"/>
    <s v="T0B17-800030001"/>
    <n v="0"/>
    <n v="70000"/>
    <n v="4"/>
    <n v="0"/>
    <n v="0"/>
    <n v="0"/>
    <m/>
    <m/>
    <n v="0"/>
    <m/>
    <m/>
    <m/>
    <m/>
    <m/>
    <m/>
    <m/>
    <m/>
    <s v="T0B17-80003"/>
    <s v="H08031-JIM-M"/>
    <s v="HP MALAYSIA MANUFACTURING SDN.BHD."/>
    <m/>
    <n v="0"/>
    <n v="0"/>
    <n v="0"/>
    <n v="0"/>
    <n v="0"/>
    <n v="0"/>
    <m/>
    <m/>
    <m/>
    <s v="No"/>
    <s v="W663661"/>
    <n v="0"/>
    <m/>
    <s v="H08031-JIM-M"/>
    <m/>
    <m/>
    <s v="S0361058"/>
  </r>
  <r>
    <x v="426"/>
    <n v="10000"/>
    <n v="50000"/>
    <d v="2025-03-24T00:00:00"/>
    <s v="502LAUGH"/>
    <s v=" 8:59:13 am"/>
    <n v="10639931036"/>
    <m/>
    <x v="1"/>
    <s v="Yes"/>
    <n v="85"/>
    <s v="Luster AOI"/>
    <x v="1"/>
    <s v="QM54"/>
    <s v="TAN SWEE LENG"/>
    <n v="6727"/>
    <m/>
    <m/>
    <d v="2025-03-21T00:00:00"/>
    <m/>
    <n v="11"/>
    <n v="73997"/>
    <s v="PE"/>
    <s v="T0B18-800030001"/>
    <n v="0"/>
    <n v="50000"/>
    <n v="23997"/>
    <n v="0"/>
    <n v="0"/>
    <n v="0"/>
    <m/>
    <m/>
    <n v="0"/>
    <m/>
    <m/>
    <m/>
    <m/>
    <m/>
    <m/>
    <m/>
    <m/>
    <s v="T0B18-80003"/>
    <s v="H08031-JIM-M"/>
    <s v="HP MALAYSIA MANUFACTURING SDN.BHD."/>
    <m/>
    <n v="0"/>
    <n v="0"/>
    <n v="0"/>
    <n v="0"/>
    <n v="0"/>
    <n v="0"/>
    <m/>
    <m/>
    <m/>
    <s v="No"/>
    <s v="W663662"/>
    <n v="0"/>
    <m/>
    <s v="H08031-JIM-M"/>
    <m/>
    <m/>
    <s v="S0361058"/>
  </r>
  <r>
    <x v="933"/>
    <n v="10000"/>
    <n v="10000"/>
    <d v="2025-03-21T00:00:00"/>
    <s v="502LAUGH"/>
    <s v=" 1:27:01 pm"/>
    <s v="J00PI09011000"/>
    <m/>
    <x v="2"/>
    <s v="Yes"/>
    <n v="78"/>
    <s v="Baby Sanki"/>
    <x v="2"/>
    <s v="PM84"/>
    <s v="TAN TAI TOH"/>
    <n v="4000"/>
    <n v="145"/>
    <n v="2.4166666666666665"/>
    <d v="2025-03-21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s v="ITG ELECTRONICS (M) SDN BHD"/>
    <m/>
    <n v="0"/>
    <n v="0"/>
    <n v="0"/>
    <n v="0"/>
    <n v="0"/>
    <n v="0"/>
    <m/>
    <m/>
    <m/>
    <s v="No"/>
    <s v="W663664"/>
    <n v="0"/>
    <m/>
    <s v="I09123"/>
    <m/>
    <m/>
    <s v="S0361066"/>
  </r>
  <r>
    <x v="934"/>
    <n v="10000"/>
    <n v="10000"/>
    <d v="2025-03-21T00:00:00"/>
    <s v="502LAUGH"/>
    <s v=" 2:01:36 pm"/>
    <s v="4110602U5A"/>
    <m/>
    <x v="2"/>
    <s v="Yes"/>
    <n v="46"/>
    <s v="Sanki 300 Intermittent"/>
    <x v="2"/>
    <s v="PS66"/>
    <s v="SIM ENG KWANG"/>
    <n v="1000"/>
    <n v="70"/>
    <n v="1.1666666666666667"/>
    <d v="2025-03-21T00:00:00"/>
    <m/>
    <n v="1"/>
    <n v="1000"/>
    <s v="PE"/>
    <s v="250-6279-000001"/>
    <n v="0"/>
    <n v="1000"/>
    <n v="0"/>
    <n v="0"/>
    <n v="0"/>
    <n v="0"/>
    <m/>
    <m/>
    <n v="0"/>
    <m/>
    <m/>
    <m/>
    <m/>
    <m/>
    <m/>
    <m/>
    <m/>
    <s v="250-6279-00"/>
    <s v="J10025"/>
    <s v="JMS SINGAPORE PTE LTD"/>
    <m/>
    <n v="0"/>
    <n v="0"/>
    <n v="0"/>
    <n v="0"/>
    <n v="0"/>
    <n v="0"/>
    <m/>
    <m/>
    <m/>
    <s v="No"/>
    <s v="W663682"/>
    <n v="0"/>
    <m/>
    <s v="J10025"/>
    <m/>
    <m/>
    <s v="S0361120"/>
  </r>
  <r>
    <x v="935"/>
    <n v="10000"/>
    <n v="10000"/>
    <d v="2025-03-24T00:00:00"/>
    <s v="502LAUGH"/>
    <s v=" 8:57:25 am"/>
    <s v="3111S1"/>
    <m/>
    <x v="2"/>
    <s v="Yes"/>
    <n v="78"/>
    <s v="Baby Sanki"/>
    <x v="2"/>
    <s v="PM84"/>
    <s v="TAN TAI TOH"/>
    <n v="20000"/>
    <n v="545"/>
    <n v="9.0833333333333339"/>
    <d v="2025-03-21T00:00:00"/>
    <m/>
    <n v="1"/>
    <n v="20000"/>
    <s v="PE"/>
    <s v="SGP PERSO CENTRE0001"/>
    <n v="0"/>
    <n v="20000"/>
    <n v="0"/>
    <n v="0"/>
    <n v="0"/>
    <n v="0"/>
    <m/>
    <m/>
    <n v="0"/>
    <m/>
    <m/>
    <m/>
    <m/>
    <m/>
    <m/>
    <m/>
    <m/>
    <s v="SGP PERSO CENTRE"/>
    <s v="T20335"/>
    <s v="TAKEIKI PTE LTD"/>
    <m/>
    <n v="0"/>
    <n v="0"/>
    <n v="0"/>
    <n v="0"/>
    <n v="0"/>
    <n v="0"/>
    <m/>
    <m/>
    <m/>
    <s v="No"/>
    <s v="W663683"/>
    <n v="0"/>
    <m/>
    <s v="T20335"/>
    <m/>
    <m/>
    <s v="S0361122"/>
  </r>
  <r>
    <x v="589"/>
    <n v="10000"/>
    <n v="20000"/>
    <d v="2025-03-21T00:00:00"/>
    <s v="502LAUGH"/>
    <s v=" 4:07:58 pm"/>
    <s v="J00U43592"/>
    <m/>
    <x v="0"/>
    <s v="Yes"/>
    <n v="61"/>
    <s v="FSK 520"/>
    <x v="2"/>
    <s v="PM68"/>
    <s v="LEE KIM LIANG"/>
    <n v="1512"/>
    <n v="75.239999999999995"/>
    <n v="1.254"/>
    <d v="2025-03-21T00:00:00"/>
    <m/>
    <n v="2"/>
    <n v="3024"/>
    <s v="PE"/>
    <s v="GREY BARCODE-5.90001"/>
    <n v="0"/>
    <n v="3024"/>
    <n v="0"/>
    <n v="0"/>
    <n v="0"/>
    <n v="0"/>
    <m/>
    <m/>
    <n v="0"/>
    <m/>
    <m/>
    <m/>
    <m/>
    <m/>
    <m/>
    <m/>
    <m/>
    <s v="GREY BARCODE-5.9X96"/>
    <s v="C03244"/>
    <s v="BEYONICS INTERNATIONAL PTE LTD"/>
    <m/>
    <n v="0"/>
    <n v="0"/>
    <n v="0"/>
    <n v="0"/>
    <n v="0"/>
    <n v="0"/>
    <m/>
    <m/>
    <m/>
    <s v="No"/>
    <s v="W663313"/>
    <n v="0"/>
    <m/>
    <s v="C03244"/>
    <m/>
    <m/>
    <s v="S0361138"/>
  </r>
  <r>
    <x v="936"/>
    <n v="10000"/>
    <n v="10000"/>
    <d v="2025-03-21T00:00:00"/>
    <s v="502LAUGH"/>
    <s v=" 5:52:27 pm"/>
    <s v="4110602U5A"/>
    <m/>
    <x v="2"/>
    <s v="Yes"/>
    <n v="46"/>
    <s v="Sanki 300 Intermittent"/>
    <x v="2"/>
    <s v="PS66"/>
    <s v="SIM ENG KWANG"/>
    <n v="6000"/>
    <n v="195"/>
    <n v="3.25"/>
    <d v="2025-03-21T00:00:00"/>
    <m/>
    <n v="1"/>
    <n v="6000"/>
    <s v="PE"/>
    <s v="250-6187-000001"/>
    <n v="0"/>
    <n v="6000"/>
    <n v="0"/>
    <n v="0"/>
    <n v="0"/>
    <n v="0"/>
    <m/>
    <m/>
    <n v="0"/>
    <m/>
    <m/>
    <m/>
    <m/>
    <m/>
    <m/>
    <m/>
    <m/>
    <s v="250-6187-00"/>
    <s v="J10025-PHL-SG"/>
    <s v="JMS SINGAPORE PTE LTD"/>
    <m/>
    <n v="0"/>
    <n v="0"/>
    <n v="0"/>
    <n v="0"/>
    <n v="0"/>
    <n v="0"/>
    <m/>
    <m/>
    <m/>
    <s v="No"/>
    <s v="W663685"/>
    <n v="0"/>
    <m/>
    <s v="J10025-PHL-SG"/>
    <m/>
    <m/>
    <s v="S0361140"/>
  </r>
  <r>
    <x v="937"/>
    <n v="10000"/>
    <n v="10000"/>
    <d v="2025-03-21T00:00:00"/>
    <s v="502LAUGH"/>
    <s v=" 2:01:36 pm"/>
    <s v="U531252112/503011926"/>
    <m/>
    <x v="2"/>
    <s v="Yes"/>
    <n v="32"/>
    <s v="Lintec Intermittent"/>
    <x v="2"/>
    <s v="PM26"/>
    <s v="TAN AIK KEONG"/>
    <n v="5860"/>
    <m/>
    <m/>
    <d v="2025-03-2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3689"/>
    <n v="0"/>
    <m/>
    <s v="J10025"/>
    <m/>
    <m/>
    <s v="S0361166"/>
  </r>
  <r>
    <x v="938"/>
    <n v="10000"/>
    <n v="10000"/>
    <d v="2025-03-21T00:00:00"/>
    <s v="502LAUGH"/>
    <s v=" 5:51:59 pm"/>
    <s v="U531252112/503011926"/>
    <m/>
    <x v="2"/>
    <s v="Yes"/>
    <n v="32"/>
    <s v="Lintec Intermittent"/>
    <x v="2"/>
    <s v="PM26"/>
    <s v="TAN AIK KEONG"/>
    <n v="5860"/>
    <m/>
    <m/>
    <d v="2025-03-2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3693"/>
    <n v="0"/>
    <m/>
    <s v="J10025"/>
    <m/>
    <m/>
    <s v="S0361167"/>
  </r>
  <r>
    <x v="939"/>
    <n v="10000"/>
    <n v="10000"/>
    <d v="2025-03-24T00:00:00"/>
    <s v="502LAUGH"/>
    <s v=" 8:34:24 am"/>
    <s v="4060118U5"/>
    <m/>
    <x v="2"/>
    <s v="Yes"/>
    <n v="12"/>
    <s v="FSK SR520"/>
    <x v="2"/>
    <s v="PP05"/>
    <s v="WONG KIM FATT"/>
    <n v="21000"/>
    <n v="465"/>
    <n v="7.75"/>
    <d v="2025-03-21T00:00:00"/>
    <m/>
    <n v="1"/>
    <n v="21000"/>
    <s v="PE"/>
    <s v="250-6222-000001"/>
    <n v="0"/>
    <n v="21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3694"/>
    <n v="0"/>
    <m/>
    <s v="J10025"/>
    <m/>
    <m/>
    <s v="S0361169"/>
  </r>
  <r>
    <x v="940"/>
    <n v="10000"/>
    <n v="10000"/>
    <d v="2025-03-21T00:00:00"/>
    <s v="502LAUGH"/>
    <s v=" 5:39:41 pm"/>
    <s v="4111524U5"/>
    <m/>
    <x v="2"/>
    <s v="Yes"/>
    <n v="61"/>
    <s v="FSK 520"/>
    <x v="2"/>
    <s v="PM61"/>
    <s v="HO CHAN LE"/>
    <n v="1000"/>
    <n v="65"/>
    <n v="1.0833333333333333"/>
    <d v="2025-03-21T00:00:00"/>
    <m/>
    <n v="6"/>
    <n v="6000"/>
    <s v="PE"/>
    <s v="260-6399-000001"/>
    <n v="0"/>
    <n v="6000"/>
    <n v="0"/>
    <n v="0"/>
    <n v="0"/>
    <n v="0"/>
    <m/>
    <m/>
    <n v="0"/>
    <m/>
    <m/>
    <m/>
    <m/>
    <m/>
    <m/>
    <m/>
    <m/>
    <s v="260-6399-00"/>
    <s v="J10025"/>
    <s v="JMS SINGAPORE PTE LTD"/>
    <m/>
    <n v="0"/>
    <n v="0"/>
    <n v="0"/>
    <n v="0"/>
    <n v="0"/>
    <n v="0"/>
    <m/>
    <m/>
    <m/>
    <s v="No"/>
    <s v="W663700"/>
    <n v="0"/>
    <m/>
    <s v="J10025"/>
    <m/>
    <m/>
    <s v="S0361172"/>
  </r>
  <r>
    <x v="941"/>
    <n v="10000"/>
    <n v="10000"/>
    <d v="2025-03-21T00:00:00"/>
    <s v="502LAUGH"/>
    <d v="1899-12-30T12:56:45"/>
    <s v="4111524U5"/>
    <m/>
    <x v="2"/>
    <s v="Yes"/>
    <n v="61"/>
    <s v="FSK 520"/>
    <x v="2"/>
    <s v="PM61"/>
    <s v="HO CHAN LE"/>
    <n v="2334"/>
    <n v="91.68"/>
    <n v="1.528"/>
    <d v="2025-03-21T00:00:00"/>
    <m/>
    <n v="6"/>
    <n v="14004"/>
    <s v="PE"/>
    <s v="260-6311-000001"/>
    <n v="0"/>
    <n v="14000"/>
    <n v="4"/>
    <n v="0"/>
    <n v="0"/>
    <n v="0"/>
    <m/>
    <m/>
    <n v="0"/>
    <m/>
    <m/>
    <m/>
    <m/>
    <m/>
    <m/>
    <m/>
    <m/>
    <s v="260-6311-00"/>
    <s v="J10025"/>
    <s v="JMS SINGAPORE PTE LTD"/>
    <m/>
    <n v="0"/>
    <n v="0"/>
    <n v="0"/>
    <n v="0"/>
    <n v="0"/>
    <n v="0"/>
    <m/>
    <m/>
    <m/>
    <s v="No"/>
    <s v="W663709"/>
    <n v="0"/>
    <m/>
    <s v="J10025"/>
    <m/>
    <m/>
    <s v="S0361175"/>
  </r>
  <r>
    <x v="889"/>
    <n v="10000"/>
    <n v="20000"/>
    <d v="2025-03-25T00:00:00"/>
    <s v="502LAUGH"/>
    <s v=" 5:29:59 pm"/>
    <s v="3050503U9/4067S1"/>
    <m/>
    <x v="0"/>
    <s v="Yes"/>
    <n v="100"/>
    <s v="Vorey Digital Cut"/>
    <x v="6"/>
    <s v="PM87"/>
    <s v="LEE SHIEN WEI"/>
    <n v="600"/>
    <m/>
    <m/>
    <d v="2025-03-21T00:00:00"/>
    <m/>
    <n v="1"/>
    <n v="600"/>
    <s v="PE"/>
    <s v="LAB-1090-000001"/>
    <n v="0"/>
    <n v="500"/>
    <n v="100"/>
    <n v="0"/>
    <n v="0"/>
    <n v="0"/>
    <m/>
    <m/>
    <n v="0"/>
    <m/>
    <m/>
    <m/>
    <m/>
    <m/>
    <m/>
    <m/>
    <m/>
    <s v="LAB-1090-00"/>
    <s v="R18068"/>
    <s v="RFNET TECHNOLOGIES PTE LTD"/>
    <m/>
    <n v="0"/>
    <n v="0"/>
    <n v="0"/>
    <n v="0"/>
    <n v="0"/>
    <n v="0"/>
    <m/>
    <m/>
    <m/>
    <s v="No"/>
    <s v="W663730"/>
    <n v="0"/>
    <m/>
    <s v="R18068"/>
    <m/>
    <m/>
    <s v="S0361210"/>
  </r>
  <r>
    <x v="942"/>
    <n v="10000"/>
    <n v="10000"/>
    <d v="2025-03-21T00:00:00"/>
    <s v="502LAUGH"/>
    <d v="1899-12-30T11:40:41"/>
    <s v="4103004U5A"/>
    <m/>
    <x v="2"/>
    <s v="Yes"/>
    <n v="94"/>
    <s v="Taiyo"/>
    <x v="2"/>
    <s v="PM09"/>
    <s v="PANG JING FULL"/>
    <n v="334"/>
    <m/>
    <m/>
    <d v="2025-03-21T00:00:00"/>
    <m/>
    <n v="6"/>
    <n v="2004"/>
    <s v="PE"/>
    <s v="L001-772785-00000001"/>
    <n v="0"/>
    <n v="2000"/>
    <n v="4"/>
    <n v="0"/>
    <n v="0"/>
    <n v="0"/>
    <m/>
    <m/>
    <n v="0"/>
    <m/>
    <m/>
    <m/>
    <m/>
    <m/>
    <m/>
    <m/>
    <m/>
    <s v="L001-772785-000001ZL"/>
    <s v="X24001-WD-SUZHOU"/>
    <s v="TELEPLAN TECHNOLOGIES (SUZHOU) CO., LTD"/>
    <m/>
    <n v="0"/>
    <n v="0"/>
    <n v="0"/>
    <n v="0"/>
    <n v="0"/>
    <n v="0"/>
    <m/>
    <m/>
    <m/>
    <s v="No"/>
    <s v="W663758"/>
    <n v="0"/>
    <m/>
    <s v="X24001-WD-SUZHOU"/>
    <m/>
    <m/>
    <s v="S0361288"/>
  </r>
  <r>
    <x v="943"/>
    <n v="10000"/>
    <n v="10000"/>
    <d v="2025-03-21T00:00:00"/>
    <s v="502LAUGH"/>
    <s v=" 5:51:59 pm"/>
    <s v="4103004U5A"/>
    <m/>
    <x v="2"/>
    <s v="Yes"/>
    <n v="94"/>
    <s v="Taiyo"/>
    <x v="2"/>
    <s v="PM09"/>
    <s v="PANG JING FULL"/>
    <n v="167"/>
    <m/>
    <m/>
    <d v="2025-03-21T00:00:00"/>
    <m/>
    <n v="6"/>
    <n v="1002"/>
    <s v="PE"/>
    <s v="L001-772785-00000002"/>
    <n v="0"/>
    <n v="1000"/>
    <n v="2"/>
    <n v="0"/>
    <n v="0"/>
    <n v="0"/>
    <m/>
    <m/>
    <n v="0"/>
    <m/>
    <m/>
    <m/>
    <m/>
    <m/>
    <m/>
    <m/>
    <m/>
    <s v="L001-772785-000002ZL"/>
    <s v="X24001-WD-SUZHOU"/>
    <s v="TELEPLAN TECHNOLOGIES (SUZHOU) CO., LTD"/>
    <m/>
    <n v="0"/>
    <n v="0"/>
    <n v="0"/>
    <n v="0"/>
    <n v="0"/>
    <n v="0"/>
    <m/>
    <m/>
    <m/>
    <s v="No"/>
    <s v="W663759"/>
    <n v="0"/>
    <m/>
    <s v="X24001-WD-SUZHOU"/>
    <m/>
    <m/>
    <s v="S0361288"/>
  </r>
  <r>
    <x v="828"/>
    <n v="10000"/>
    <n v="20000"/>
    <d v="2025-03-21T00:00:00"/>
    <s v="502LAUGH"/>
    <s v=" 2:05:27 pm"/>
    <n v="59469"/>
    <m/>
    <x v="0"/>
    <s v="Yes"/>
    <n v="96"/>
    <s v="Luster AOI"/>
    <x v="1"/>
    <s v="QM87"/>
    <s v="GOH SING JOO"/>
    <n v="15750"/>
    <m/>
    <m/>
    <d v="2025-03-21T00:00:00"/>
    <m/>
    <n v="6"/>
    <n v="94500"/>
    <s v="PE"/>
    <s v="MT-1000241-907RE0001"/>
    <n v="0"/>
    <n v="94500"/>
    <n v="0"/>
    <n v="0"/>
    <n v="0"/>
    <n v="0"/>
    <m/>
    <m/>
    <n v="0"/>
    <m/>
    <m/>
    <m/>
    <m/>
    <m/>
    <m/>
    <m/>
    <m/>
    <s v="MT-1000241-907REV005"/>
    <s v="Z26002"/>
    <s v="CCL DESIGN (PENANG) SDN. BHD."/>
    <m/>
    <n v="0"/>
    <n v="0"/>
    <n v="0"/>
    <n v="0"/>
    <n v="0"/>
    <n v="0"/>
    <m/>
    <m/>
    <m/>
    <s v="No"/>
    <s v="W663326"/>
    <n v="0"/>
    <m/>
    <s v="Z26002"/>
    <m/>
    <m/>
    <s v="S0361295"/>
  </r>
  <r>
    <x v="944"/>
    <n v="10000"/>
    <n v="20000"/>
    <d v="2025-04-02T00:00:00"/>
    <s v="502LAUGH"/>
    <s v=" 8:58:47 am"/>
    <s v="E0223920"/>
    <m/>
    <x v="2"/>
    <s v="Yes"/>
    <n v="63"/>
    <s v="SANKI"/>
    <x v="3"/>
    <s v="PM80"/>
    <s v="YAP ZHI PING"/>
    <n v="23334"/>
    <n v="628.35"/>
    <n v="10.4725"/>
    <d v="2025-03-21T00:00:00"/>
    <m/>
    <n v="90"/>
    <n v="2100060"/>
    <s v="PE"/>
    <s v="1115-790-00001 R0001"/>
    <n v="0"/>
    <n v="2100000"/>
    <n v="6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3770"/>
    <n v="0"/>
    <m/>
    <s v="M13337-SMD"/>
    <m/>
    <m/>
    <s v="S0361340"/>
  </r>
  <r>
    <x v="945"/>
    <n v="10000"/>
    <n v="10000"/>
    <d v="2025-03-24T00:00:00"/>
    <s v="502LAUGH"/>
    <s v=" 9:49:19 am"/>
    <s v="D100924-013-002"/>
    <m/>
    <x v="2"/>
    <s v="Yes"/>
    <n v="86"/>
    <s v="Brotech DF330 "/>
    <x v="0"/>
    <s v="PM45"/>
    <s v="TAY CHIN LIONG"/>
    <n v="41760"/>
    <n v="741"/>
    <n v="12.35"/>
    <d v="2025-03-21T00:00:00"/>
    <m/>
    <n v="54"/>
    <n v="2255040"/>
    <s v="PE"/>
    <n v="86083950001"/>
    <n v="0"/>
    <n v="2260000"/>
    <n v="-4960"/>
    <n v="0"/>
    <n v="0"/>
    <n v="0"/>
    <m/>
    <m/>
    <n v="0"/>
    <m/>
    <m/>
    <m/>
    <m/>
    <m/>
    <m/>
    <m/>
    <m/>
    <n v="8608395"/>
    <s v="B02083"/>
    <s v="BECTON DICKINSON MEDICAL (S) PTE LTD"/>
    <m/>
    <n v="0"/>
    <n v="0"/>
    <n v="0"/>
    <n v="0"/>
    <n v="0"/>
    <n v="0"/>
    <m/>
    <m/>
    <m/>
    <s v="No"/>
    <s v="W663775"/>
    <n v="0"/>
    <m/>
    <s v="B02083"/>
    <m/>
    <m/>
    <s v="S0361360"/>
  </r>
  <r>
    <x v="946"/>
    <n v="10000"/>
    <n v="10000"/>
    <d v="2025-03-24T00:00:00"/>
    <s v="502LAUGH"/>
    <s v=" 8:35:53 am"/>
    <s v="5011624U5A"/>
    <m/>
    <x v="2"/>
    <s v="Yes"/>
    <n v="22"/>
    <s v="FSK B100"/>
    <x v="2"/>
    <s v="PS13"/>
    <s v="YEE CHENG MENG"/>
    <n v="16000"/>
    <n v="365"/>
    <n v="6.083333333333333"/>
    <d v="2025-03-21T00:00:00"/>
    <m/>
    <n v="1"/>
    <n v="16000"/>
    <s v="PE"/>
    <s v="250-6018-000001"/>
    <n v="0"/>
    <n v="16000"/>
    <n v="0"/>
    <n v="0"/>
    <n v="0"/>
    <n v="0"/>
    <m/>
    <m/>
    <n v="0"/>
    <m/>
    <m/>
    <m/>
    <m/>
    <m/>
    <m/>
    <m/>
    <m/>
    <s v="250-6018-00"/>
    <s v="J10025"/>
    <s v="JMS SINGAPORE PTE LTD"/>
    <m/>
    <n v="0"/>
    <n v="0"/>
    <n v="0"/>
    <n v="0"/>
    <n v="0"/>
    <n v="0"/>
    <m/>
    <m/>
    <m/>
    <s v="No"/>
    <s v="W663781"/>
    <n v="0"/>
    <m/>
    <s v="J10025"/>
    <m/>
    <m/>
    <s v="S0361373"/>
  </r>
  <r>
    <x v="947"/>
    <n v="10000"/>
    <n v="10000"/>
    <d v="2025-03-21T00:00:00"/>
    <s v="502LAUGH"/>
    <s v=" 4:09:27 pm"/>
    <s v="5011624U5A"/>
    <m/>
    <x v="2"/>
    <s v="Yes"/>
    <n v="22"/>
    <s v="FSK B100"/>
    <x v="2"/>
    <s v="PS13"/>
    <s v="YEE CHENG MENG"/>
    <n v="8000"/>
    <n v="205"/>
    <n v="3.4166666666666665"/>
    <d v="2025-03-21T00:00:00"/>
    <m/>
    <n v="1"/>
    <n v="8000"/>
    <s v="PE"/>
    <s v="250-6163-000001"/>
    <n v="0"/>
    <n v="8000"/>
    <n v="0"/>
    <n v="0"/>
    <n v="0"/>
    <n v="0"/>
    <m/>
    <m/>
    <n v="0"/>
    <m/>
    <m/>
    <m/>
    <m/>
    <m/>
    <m/>
    <m/>
    <m/>
    <s v="250-6163-00"/>
    <s v="J10025"/>
    <s v="JMS SINGAPORE PTE LTD"/>
    <m/>
    <n v="0"/>
    <n v="0"/>
    <n v="0"/>
    <n v="0"/>
    <n v="0"/>
    <n v="0"/>
    <m/>
    <m/>
    <m/>
    <s v="No"/>
    <s v="W663784"/>
    <n v="0"/>
    <m/>
    <s v="J10025"/>
    <m/>
    <m/>
    <s v="S0361373"/>
  </r>
  <r>
    <x v="948"/>
    <n v="10000"/>
    <n v="10000"/>
    <d v="2025-03-24T00:00:00"/>
    <s v="502LAUGH"/>
    <s v=" 9:01:51 am"/>
    <s v="U531252112/503011926"/>
    <m/>
    <x v="2"/>
    <s v="Yes"/>
    <n v="32"/>
    <s v="Lintec Intermittent"/>
    <x v="2"/>
    <s v="PM26"/>
    <s v="TAN AIK KEONG"/>
    <n v="5860"/>
    <m/>
    <m/>
    <d v="2025-03-21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3789"/>
    <n v="0"/>
    <m/>
    <s v="J10025"/>
    <m/>
    <m/>
    <s v="S0361376"/>
  </r>
  <r>
    <x v="838"/>
    <n v="10000"/>
    <n v="20000"/>
    <d v="2025-03-21T00:00:00"/>
    <s v="502LAUGH"/>
    <s v=" 2:02:41 pm"/>
    <s v="J00T59561"/>
    <m/>
    <x v="0"/>
    <s v="Yes"/>
    <n v="71"/>
    <s v="POLLY"/>
    <x v="3"/>
    <s v="PS95"/>
    <s v="LIM CHENG LEONG"/>
    <n v="2500"/>
    <m/>
    <m/>
    <d v="2025-03-21T00:00:00"/>
    <m/>
    <n v="6"/>
    <n v="15000"/>
    <s v="PE"/>
    <n v="5000582270001"/>
    <n v="0"/>
    <n v="7500"/>
    <n v="750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3793"/>
    <n v="0"/>
    <m/>
    <s v="B02083"/>
    <m/>
    <m/>
    <s v="S0361381"/>
  </r>
  <r>
    <x v="839"/>
    <n v="10000"/>
    <n v="20000"/>
    <d v="2025-03-21T00:00:00"/>
    <s v="502LAUGH"/>
    <s v=" 2:03:31 pm"/>
    <s v="J00T59561"/>
    <m/>
    <x v="0"/>
    <s v="Yes"/>
    <n v="71"/>
    <s v="POLLY"/>
    <x v="3"/>
    <s v="PS95"/>
    <s v="LIM CHENG LEONG"/>
    <n v="834"/>
    <m/>
    <m/>
    <d v="2025-03-21T00:00:00"/>
    <m/>
    <n v="6"/>
    <n v="5004"/>
    <s v="PE"/>
    <n v="5000582280001"/>
    <n v="0"/>
    <n v="2500"/>
    <n v="2504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3794"/>
    <n v="0"/>
    <m/>
    <s v="B02083"/>
    <m/>
    <m/>
    <s v="S0361381"/>
  </r>
  <r>
    <x v="840"/>
    <n v="10000"/>
    <n v="20000"/>
    <d v="2025-03-21T00:00:00"/>
    <s v="502LAUGH"/>
    <s v=" 2:04:23 pm"/>
    <s v="J00T59561"/>
    <m/>
    <x v="0"/>
    <s v="Yes"/>
    <n v="71"/>
    <s v="POLLY"/>
    <x v="3"/>
    <s v="PS95"/>
    <s v="LIM CHENG LEONG"/>
    <n v="2334"/>
    <m/>
    <m/>
    <d v="2025-03-21T00:00:00"/>
    <m/>
    <n v="6"/>
    <n v="14004"/>
    <s v="PE"/>
    <n v="5000584100001"/>
    <n v="0"/>
    <n v="7000"/>
    <n v="7004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3795"/>
    <n v="0"/>
    <m/>
    <s v="B02083"/>
    <m/>
    <m/>
    <s v="S0361381"/>
  </r>
  <r>
    <x v="896"/>
    <n v="10000"/>
    <n v="20000"/>
    <d v="2025-03-21T00:00:00"/>
    <s v="502LAUGH"/>
    <s v=" 5:36:07 pm"/>
    <s v="J00T59561"/>
    <m/>
    <x v="0"/>
    <s v="Yes"/>
    <n v="71"/>
    <s v="POLLY"/>
    <x v="3"/>
    <s v="PS95"/>
    <s v="LIM CHENG LEONG"/>
    <n v="7000"/>
    <m/>
    <m/>
    <d v="2025-03-21T00:00:00"/>
    <m/>
    <n v="6"/>
    <n v="42000"/>
    <s v="PE"/>
    <n v="5000538100001"/>
    <n v="0"/>
    <n v="28000"/>
    <n v="1400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3798"/>
    <n v="0"/>
    <m/>
    <s v="B02083"/>
    <m/>
    <m/>
    <s v="S0361382"/>
  </r>
  <r>
    <x v="949"/>
    <n v="10000"/>
    <n v="10000"/>
    <d v="2025-03-26T00:00:00"/>
    <s v="502LAUGH"/>
    <s v=" 8:35:10 am"/>
    <s v="4820U8013"/>
    <m/>
    <x v="2"/>
    <s v="Yes"/>
    <n v="88"/>
    <s v="OKI"/>
    <x v="4"/>
    <s v="PP24"/>
    <s v="HO HON SENG"/>
    <n v="1800"/>
    <m/>
    <m/>
    <d v="2025-03-21T00:00:00"/>
    <m/>
    <n v="3"/>
    <n v="5400"/>
    <s v="PE"/>
    <s v="241075-120001"/>
    <n v="0"/>
    <n v="5000"/>
    <n v="400"/>
    <n v="0"/>
    <n v="0"/>
    <n v="0"/>
    <m/>
    <m/>
    <n v="0"/>
    <m/>
    <m/>
    <m/>
    <m/>
    <m/>
    <m/>
    <m/>
    <m/>
    <s v="241075-12"/>
    <s v="T20115"/>
    <s v="ABB  PTE. LTD."/>
    <m/>
    <n v="0"/>
    <n v="0"/>
    <n v="0"/>
    <n v="0"/>
    <n v="0"/>
    <n v="0"/>
    <m/>
    <m/>
    <m/>
    <s v="No"/>
    <s v="W663803"/>
    <n v="0"/>
    <m/>
    <s v="T20115"/>
    <m/>
    <m/>
    <s v="S0361393"/>
  </r>
  <r>
    <x v="949"/>
    <n v="10000"/>
    <n v="20000"/>
    <d v="2025-03-26T00:00:00"/>
    <s v="502LAUGH"/>
    <s v=" 8:35:10 am"/>
    <s v="4820U8013"/>
    <m/>
    <x v="0"/>
    <s v="Yes"/>
    <n v="92"/>
    <s v="Polly Digital Cut"/>
    <x v="6"/>
    <s v="PM87"/>
    <s v="LEE SHIEN WEI"/>
    <n v="1800"/>
    <m/>
    <m/>
    <d v="2025-03-21T00:00:00"/>
    <m/>
    <n v="3"/>
    <n v="5400"/>
    <s v="PE"/>
    <s v="241075-120001"/>
    <n v="0"/>
    <n v="5000"/>
    <n v="400"/>
    <n v="0"/>
    <n v="0"/>
    <n v="0"/>
    <m/>
    <m/>
    <n v="0"/>
    <m/>
    <m/>
    <m/>
    <m/>
    <m/>
    <m/>
    <m/>
    <m/>
    <s v="241075-12"/>
    <s v="T20115"/>
    <s v="ABB  PTE. LTD."/>
    <m/>
    <n v="0"/>
    <n v="0"/>
    <n v="0"/>
    <n v="0"/>
    <n v="0"/>
    <n v="0"/>
    <m/>
    <m/>
    <m/>
    <s v="No"/>
    <s v="W663803"/>
    <n v="0"/>
    <m/>
    <s v="T20115"/>
    <m/>
    <m/>
    <s v="S0361393"/>
  </r>
  <r>
    <x v="950"/>
    <n v="10000"/>
    <n v="10000"/>
    <d v="2025-03-26T00:00:00"/>
    <s v="502LAUGH"/>
    <s v=" 8:36:04 am"/>
    <s v="4820U8013"/>
    <m/>
    <x v="2"/>
    <s v="Yes"/>
    <n v="88"/>
    <s v="OKI"/>
    <x v="4"/>
    <s v="PP24"/>
    <s v="HO HON SENG"/>
    <n v="1800"/>
    <m/>
    <m/>
    <d v="2025-03-21T00:00:00"/>
    <m/>
    <n v="3"/>
    <n v="5400"/>
    <s v="PE"/>
    <s v="241076-120001"/>
    <n v="0"/>
    <n v="5000"/>
    <n v="400"/>
    <n v="0"/>
    <n v="0"/>
    <n v="0"/>
    <m/>
    <m/>
    <n v="0"/>
    <m/>
    <m/>
    <m/>
    <m/>
    <m/>
    <m/>
    <m/>
    <m/>
    <s v="241076-12"/>
    <s v="T20115"/>
    <s v="ABB  PTE. LTD."/>
    <m/>
    <n v="0"/>
    <n v="0"/>
    <n v="0"/>
    <n v="0"/>
    <n v="0"/>
    <n v="0"/>
    <m/>
    <m/>
    <m/>
    <s v="No"/>
    <s v="W663804"/>
    <n v="0"/>
    <m/>
    <s v="T20115"/>
    <m/>
    <m/>
    <s v="S0361393"/>
  </r>
  <r>
    <x v="951"/>
    <n v="10000"/>
    <n v="10000"/>
    <d v="2025-03-26T00:00:00"/>
    <s v="502LAUGH"/>
    <s v=" 8:36:41 am"/>
    <s v="4820U8013"/>
    <m/>
    <x v="2"/>
    <s v="Yes"/>
    <n v="88"/>
    <s v="OKI"/>
    <x v="4"/>
    <s v="PP24"/>
    <s v="HO HON SENG"/>
    <n v="1800"/>
    <m/>
    <m/>
    <d v="2025-03-21T00:00:00"/>
    <m/>
    <n v="3"/>
    <n v="5400"/>
    <s v="PE"/>
    <s v="241077-120001"/>
    <n v="0"/>
    <n v="5000"/>
    <n v="400"/>
    <n v="0"/>
    <n v="0"/>
    <n v="0"/>
    <m/>
    <m/>
    <n v="0"/>
    <m/>
    <m/>
    <m/>
    <m/>
    <m/>
    <m/>
    <m/>
    <m/>
    <s v="241077-12"/>
    <s v="T20115"/>
    <s v="ABB  PTE. LTD."/>
    <m/>
    <n v="0"/>
    <n v="0"/>
    <n v="0"/>
    <n v="0"/>
    <n v="0"/>
    <n v="0"/>
    <m/>
    <m/>
    <m/>
    <s v="No"/>
    <s v="W663805"/>
    <n v="0"/>
    <m/>
    <s v="T20115"/>
    <m/>
    <m/>
    <s v="S0361393"/>
  </r>
  <r>
    <x v="952"/>
    <n v="10000"/>
    <n v="10000"/>
    <d v="2025-03-26T00:00:00"/>
    <s v="502LAUGH"/>
    <s v=" 8:37:16 am"/>
    <s v="4820U8013"/>
    <m/>
    <x v="2"/>
    <s v="Yes"/>
    <n v="88"/>
    <s v="OKI"/>
    <x v="4"/>
    <s v="PP24"/>
    <s v="HO HON SENG"/>
    <n v="1800"/>
    <m/>
    <m/>
    <d v="2025-03-21T00:00:00"/>
    <m/>
    <n v="3"/>
    <n v="5400"/>
    <s v="PE"/>
    <s v="241078-120001"/>
    <n v="0"/>
    <n v="5000"/>
    <n v="400"/>
    <n v="0"/>
    <n v="0"/>
    <n v="0"/>
    <m/>
    <m/>
    <n v="0"/>
    <m/>
    <m/>
    <m/>
    <m/>
    <m/>
    <m/>
    <m/>
    <m/>
    <s v="241078-12"/>
    <s v="T20115"/>
    <s v="ABB  PTE. LTD."/>
    <m/>
    <n v="0"/>
    <n v="0"/>
    <n v="0"/>
    <n v="0"/>
    <n v="0"/>
    <n v="0"/>
    <m/>
    <m/>
    <m/>
    <s v="No"/>
    <s v="W663806"/>
    <n v="0"/>
    <m/>
    <s v="T20115"/>
    <m/>
    <m/>
    <s v="S0361393"/>
  </r>
  <r>
    <x v="953"/>
    <n v="10000"/>
    <n v="10000"/>
    <d v="2025-03-26T00:00:00"/>
    <s v="502LAUGH"/>
    <s v=" 8:37:51 am"/>
    <s v="4820U8013"/>
    <m/>
    <x v="2"/>
    <s v="Yes"/>
    <n v="88"/>
    <s v="OKI"/>
    <x v="4"/>
    <s v="PP24"/>
    <s v="HO HON SENG"/>
    <n v="1800"/>
    <m/>
    <m/>
    <d v="2025-03-21T00:00:00"/>
    <m/>
    <n v="3"/>
    <n v="5400"/>
    <s v="PE"/>
    <s v="241116-120001"/>
    <n v="0"/>
    <n v="5000"/>
    <n v="400"/>
    <n v="0"/>
    <n v="0"/>
    <n v="0"/>
    <m/>
    <m/>
    <n v="0"/>
    <m/>
    <m/>
    <m/>
    <m/>
    <m/>
    <m/>
    <m/>
    <m/>
    <s v="241116-12"/>
    <s v="T20115"/>
    <s v="ABB  PTE. LTD."/>
    <m/>
    <n v="0"/>
    <n v="0"/>
    <n v="0"/>
    <n v="0"/>
    <n v="0"/>
    <n v="0"/>
    <m/>
    <m/>
    <m/>
    <s v="No"/>
    <s v="W663807"/>
    <n v="0"/>
    <m/>
    <s v="T20115"/>
    <m/>
    <m/>
    <s v="S0361393"/>
  </r>
  <r>
    <x v="855"/>
    <n v="10000"/>
    <n v="20000"/>
    <d v="2025-03-24T00:00:00"/>
    <s v="502LAUGH"/>
    <s v=" 8:46:34 am"/>
    <n v="10620258039"/>
    <m/>
    <x v="0"/>
    <s v="Yes"/>
    <n v="77"/>
    <s v="Brotech DF330 "/>
    <x v="0"/>
    <s v="PM74"/>
    <s v="YONG CHEE SOON"/>
    <n v="367"/>
    <n v="51.116666666666667"/>
    <n v="0.8519444444444445"/>
    <d v="2025-03-21T00:00:00"/>
    <m/>
    <n v="15"/>
    <n v="5505"/>
    <s v="PE"/>
    <s v="CZ632-800050001"/>
    <n v="0"/>
    <n v="3000"/>
    <n v="2505"/>
    <n v="0"/>
    <n v="0"/>
    <n v="0"/>
    <m/>
    <m/>
    <n v="0"/>
    <m/>
    <m/>
    <m/>
    <m/>
    <m/>
    <m/>
    <m/>
    <m/>
    <s v="CZ632-80005"/>
    <s v="H08031-JIM"/>
    <s v="HP SINGAPORE (PRIVATE) LIMITED"/>
    <m/>
    <n v="0"/>
    <n v="0"/>
    <n v="0"/>
    <n v="0"/>
    <n v="0"/>
    <n v="0"/>
    <m/>
    <m/>
    <m/>
    <s v="No"/>
    <s v="W664134"/>
    <n v="0"/>
    <m/>
    <s v="H08031-JIM"/>
    <m/>
    <m/>
    <s v="S0361417"/>
  </r>
  <r>
    <x v="898"/>
    <n v="10000"/>
    <n v="20000"/>
    <d v="2025-03-21T00:00:00"/>
    <s v="502LAUGH"/>
    <s v=" 4:17:10 pm"/>
    <n v="310180293"/>
    <m/>
    <x v="0"/>
    <s v="Yes"/>
    <n v="92"/>
    <s v="Polly Digital Cut"/>
    <x v="6"/>
    <s v="PM87"/>
    <s v="LEE SHIEN WEI"/>
    <n v="10"/>
    <m/>
    <m/>
    <d v="2025-03-21T00:00:00"/>
    <m/>
    <n v="1"/>
    <n v="10"/>
    <s v="PE"/>
    <s v="057-05335-0000 R0003"/>
    <n v="0"/>
    <n v="50"/>
    <n v="-4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3342"/>
    <n v="0"/>
    <m/>
    <s v="S19351"/>
    <m/>
    <m/>
    <s v="S0361422"/>
  </r>
  <r>
    <x v="954"/>
    <n v="10000"/>
    <n v="10000"/>
    <d v="2025-03-25T00:00:00"/>
    <s v="502LAUGH"/>
    <s v=" 8:50:29 am"/>
    <s v="M0BI68841"/>
    <m/>
    <x v="2"/>
    <s v="Yes"/>
    <n v="78"/>
    <s v="Baby Sanki"/>
    <x v="2"/>
    <s v="PM84"/>
    <s v="TAN TAI TOH"/>
    <n v="1500"/>
    <n v="82.5"/>
    <n v="1.375"/>
    <d v="2025-03-21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3833"/>
    <n v="0"/>
    <m/>
    <s v="S19314"/>
    <m/>
    <m/>
    <s v="H0064843"/>
  </r>
  <r>
    <x v="955"/>
    <n v="10000"/>
    <n v="10000"/>
    <d v="2025-03-24T00:00:00"/>
    <s v="502LAUGH"/>
    <s v=" 1:46:33 pm"/>
    <s v="M0BSM95201372"/>
    <m/>
    <x v="2"/>
    <s v="Yes"/>
    <n v="78"/>
    <s v="Baby Sanki"/>
    <x v="2"/>
    <s v="PM84"/>
    <s v="TAN TAI TOH"/>
    <n v="2750"/>
    <n v="113.75"/>
    <n v="1.8958333333333333"/>
    <d v="2025-03-21T00:00:00"/>
    <m/>
    <n v="16"/>
    <n v="44000"/>
    <s v="PE"/>
    <s v="714370201-ADS1360001"/>
    <n v="0"/>
    <n v="4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834"/>
    <n v="0"/>
    <m/>
    <s v="S19314"/>
    <m/>
    <m/>
    <s v="H0064845"/>
  </r>
  <r>
    <x v="956"/>
    <n v="10000"/>
    <n v="10000"/>
    <d v="2025-03-24T00:00:00"/>
    <s v="502LAUGH"/>
    <s v=" 1:47:21 pm"/>
    <s v="M0BFL2381"/>
    <m/>
    <x v="2"/>
    <s v="Yes"/>
    <n v="78"/>
    <s v="Baby Sanki"/>
    <x v="2"/>
    <s v="PM84"/>
    <s v="TAN TAI TOH"/>
    <n v="2750"/>
    <n v="113.75"/>
    <n v="1.8958333333333333"/>
    <d v="2025-03-21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835"/>
    <n v="0"/>
    <m/>
    <s v="S19314"/>
    <m/>
    <m/>
    <s v="H0064848"/>
  </r>
  <r>
    <x v="957"/>
    <n v="10000"/>
    <n v="10000"/>
    <d v="2025-03-25T00:00:00"/>
    <s v="502LAUGH"/>
    <s v=" 8:49:40 am"/>
    <s v="M0BFL2381"/>
    <m/>
    <x v="2"/>
    <s v="Yes"/>
    <n v="78"/>
    <s v="Baby Sanki"/>
    <x v="2"/>
    <s v="PM84"/>
    <s v="TAN TAI TOH"/>
    <n v="2750"/>
    <n v="113.75"/>
    <n v="1.8958333333333333"/>
    <d v="2025-03-21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836"/>
    <n v="0"/>
    <m/>
    <s v="S19314"/>
    <m/>
    <m/>
    <s v="H0064849"/>
  </r>
  <r>
    <x v="958"/>
    <n v="10000"/>
    <n v="10000"/>
    <d v="2025-03-26T00:00:00"/>
    <s v="502LAUGH"/>
    <d v="1899-12-30T10:11:30"/>
    <n v="860909190840"/>
    <m/>
    <x v="2"/>
    <s v="Yes"/>
    <n v="79"/>
    <s v="HP Indigo 6800"/>
    <x v="4"/>
    <s v="PM16"/>
    <s v="TEO KAH JUN"/>
    <n v="71"/>
    <n v="33.549999999999997"/>
    <n v="0.55916666666666659"/>
    <d v="2025-03-21T00:00:00"/>
    <m/>
    <n v="64"/>
    <n v="4544"/>
    <s v="PE"/>
    <n v="200641280001"/>
    <n v="0"/>
    <n v="6000"/>
    <n v="-1456"/>
    <n v="0"/>
    <n v="0"/>
    <n v="0"/>
    <m/>
    <m/>
    <n v="0"/>
    <m/>
    <m/>
    <m/>
    <m/>
    <m/>
    <m/>
    <m/>
    <m/>
    <n v="20064128"/>
    <s v="I09180"/>
    <s v="ILLUMINA SINGAPORE PTE LTD"/>
    <m/>
    <n v="0"/>
    <n v="0"/>
    <n v="0"/>
    <n v="0"/>
    <n v="0"/>
    <n v="0"/>
    <m/>
    <m/>
    <m/>
    <s v="No"/>
    <s v="W663843"/>
    <n v="0"/>
    <m/>
    <s v="I09180"/>
    <m/>
    <m/>
    <s v="S0361532"/>
  </r>
  <r>
    <x v="959"/>
    <n v="10000"/>
    <n v="10000"/>
    <d v="2025-03-21T00:00:00"/>
    <s v="502LAUGH"/>
    <s v=" 4:35:04 pm"/>
    <s v="SG-5555729 01"/>
    <m/>
    <x v="2"/>
    <s v="Yes"/>
    <n v="65"/>
    <s v="Sanki SDR300"/>
    <x v="3"/>
    <s v="PMJ7"/>
    <s v="FOONG SEL YI"/>
    <n v="560"/>
    <n v="59"/>
    <n v="0.98333333333333328"/>
    <d v="2025-03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3849"/>
    <n v="0"/>
    <m/>
    <s v="I09180"/>
    <m/>
    <m/>
    <s v="S0361549"/>
  </r>
  <r>
    <x v="959"/>
    <n v="20000"/>
    <n v="10000"/>
    <d v="2025-03-21T00:00:00"/>
    <s v="502LAUGH"/>
    <s v=" 4:35:04 pm"/>
    <s v="SG-5555729 01"/>
    <m/>
    <x v="2"/>
    <s v="Yes"/>
    <n v="65"/>
    <s v="Sanki SDR300"/>
    <x v="3"/>
    <s v="PMJ7"/>
    <s v="FOONG SEL YI"/>
    <n v="560"/>
    <n v="59"/>
    <n v="0.98333333333333328"/>
    <d v="2025-03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3849"/>
    <n v="0"/>
    <m/>
    <s v="I09180"/>
    <m/>
    <m/>
    <s v="S0361549"/>
  </r>
  <r>
    <x v="960"/>
    <n v="10000"/>
    <n v="10000"/>
    <d v="2025-03-21T00:00:00"/>
    <s v="502LAUGH"/>
    <s v=" 4:06:52 pm"/>
    <s v="BYG115-02/XHX2410090439/XHX2410130003/XHX2409200124/P/O49080"/>
    <m/>
    <x v="2"/>
    <s v="Yes"/>
    <n v="112"/>
    <s v="Hadesheng"/>
    <x v="3"/>
    <s v="PS07"/>
    <s v="KANG HOCK SENG"/>
    <n v="13"/>
    <n v="45.65"/>
    <n v="0.76083333333333336"/>
    <d v="2025-03-21T00:00:00"/>
    <m/>
    <n v="12"/>
    <n v="156"/>
    <s v="PE"/>
    <s v="TPK-864719-00100001"/>
    <n v="0"/>
    <n v="150"/>
    <n v="6"/>
    <n v="0"/>
    <n v="0"/>
    <n v="0"/>
    <m/>
    <m/>
    <n v="0"/>
    <m/>
    <m/>
    <m/>
    <m/>
    <m/>
    <m/>
    <m/>
    <m/>
    <s v="TPK-864719-0010"/>
    <s v="Z26002"/>
    <s v="CCL DESIGN (PENANG) SDN. BHD."/>
    <m/>
    <n v="0"/>
    <n v="0"/>
    <n v="0"/>
    <n v="0"/>
    <n v="0"/>
    <n v="0"/>
    <m/>
    <m/>
    <m/>
    <s v="No"/>
    <s v="W663852"/>
    <n v="0"/>
    <m/>
    <s v="Z26002"/>
    <m/>
    <m/>
    <s v="ZSA101775"/>
  </r>
  <r>
    <x v="961"/>
    <n v="10000"/>
    <n v="10000"/>
    <d v="2025-03-26T00:00:00"/>
    <s v="502LAUGH"/>
    <s v=" 8:51:48 am"/>
    <s v="59470/59469"/>
    <m/>
    <x v="2"/>
    <s v="Yes"/>
    <n v="73"/>
    <s v="Brotech DF330"/>
    <x v="0"/>
    <s v="PM59"/>
    <s v="VOON CHAN PIN"/>
    <n v="87084"/>
    <n v="1496.4"/>
    <n v="24.94"/>
    <d v="2025-03-21T00:00:00"/>
    <m/>
    <n v="12"/>
    <n v="1045008"/>
    <s v="PE"/>
    <s v="MT-1000407-902RE0005"/>
    <n v="0"/>
    <n v="1036286"/>
    <n v="8722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3870"/>
    <n v="0"/>
    <m/>
    <s v="Z26002"/>
    <m/>
    <m/>
    <s v="S0361565"/>
  </r>
  <r>
    <x v="961"/>
    <n v="10000"/>
    <n v="20000"/>
    <d v="2025-03-26T00:00:00"/>
    <s v="502LAUGH"/>
    <s v=" 8:51:48 am"/>
    <s v="59470/59469"/>
    <m/>
    <x v="2"/>
    <s v="Yes"/>
    <n v="73"/>
    <s v="Brotech DF330"/>
    <x v="0"/>
    <s v="PM18"/>
    <s v="LAI CHIN YANG"/>
    <n v="62918"/>
    <m/>
    <m/>
    <d v="2025-03-21T00:00:00"/>
    <m/>
    <n v="12"/>
    <n v="755016"/>
    <s v="PE"/>
    <s v="MT-1000407-902RE0005"/>
    <n v="0"/>
    <n v="748714"/>
    <n v="6302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3870"/>
    <n v="0"/>
    <m/>
    <s v="Z26002"/>
    <m/>
    <m/>
    <s v="S0361565"/>
  </r>
  <r>
    <x v="962"/>
    <n v="10000"/>
    <n v="10000"/>
    <d v="2025-03-24T00:00:00"/>
    <s v="502LAUGH"/>
    <s v=" 8:54:07 a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3873"/>
    <n v="0"/>
    <m/>
    <s v="I09180"/>
    <m/>
    <m/>
    <s v="S0361666"/>
  </r>
  <r>
    <x v="963"/>
    <n v="10000"/>
    <n v="10000"/>
    <d v="2025-03-24T00:00:00"/>
    <s v="502LAUGH"/>
    <s v=" 8:54:07 a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3874"/>
    <n v="0"/>
    <m/>
    <s v="I09180"/>
    <m/>
    <m/>
    <s v="S0361667"/>
  </r>
  <r>
    <x v="964"/>
    <n v="10000"/>
    <n v="10000"/>
    <d v="2025-03-21T00:00:00"/>
    <s v="502LAUGH"/>
    <s v=" 4:35:04 pm"/>
    <s v="SG-5555729 01"/>
    <m/>
    <x v="2"/>
    <s v="Yes"/>
    <n v="65"/>
    <s v="Sanki SDR300"/>
    <x v="3"/>
    <s v="PMJ7"/>
    <s v="FOONG SEL YI"/>
    <n v="560"/>
    <n v="59"/>
    <n v="0.98333333333333328"/>
    <d v="2025-03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3875"/>
    <n v="0"/>
    <m/>
    <s v="I09180"/>
    <m/>
    <m/>
    <s v="S0361670"/>
  </r>
  <r>
    <x v="964"/>
    <n v="20000"/>
    <n v="10000"/>
    <d v="2025-03-21T00:00:00"/>
    <s v="502LAUGH"/>
    <s v=" 4:35:04 pm"/>
    <s v="SG-5555729 01"/>
    <m/>
    <x v="2"/>
    <s v="Yes"/>
    <n v="65"/>
    <s v="Sanki SDR300"/>
    <x v="3"/>
    <s v="PMJ7"/>
    <s v="FOONG SEL YI"/>
    <n v="560"/>
    <n v="59"/>
    <n v="0.98333333333333328"/>
    <d v="2025-03-21T00:00:00"/>
    <m/>
    <n v="44"/>
    <n v="24640"/>
    <s v="PE"/>
    <n v="111699440001"/>
    <n v="0"/>
    <n v="24640"/>
    <n v="0"/>
    <n v="0"/>
    <n v="0"/>
    <n v="0"/>
    <m/>
    <m/>
    <n v="0"/>
    <m/>
    <m/>
    <m/>
    <m/>
    <m/>
    <m/>
    <m/>
    <m/>
    <n v="11169944"/>
    <s v="I09180"/>
    <s v="ILLUMINA SINGAPORE PTE LTD"/>
    <m/>
    <n v="0"/>
    <n v="0"/>
    <n v="0"/>
    <n v="0"/>
    <n v="0"/>
    <n v="0"/>
    <m/>
    <m/>
    <m/>
    <s v="No"/>
    <s v="W663875"/>
    <n v="0"/>
    <m/>
    <s v="I09180"/>
    <m/>
    <m/>
    <s v="S0361670"/>
  </r>
  <r>
    <x v="965"/>
    <n v="10000"/>
    <n v="10000"/>
    <d v="2025-03-21T00:00:00"/>
    <s v="502LAUGH"/>
    <s v=" 4:09:27 pm"/>
    <s v="SG-5622228 01"/>
    <m/>
    <x v="2"/>
    <s v="Yes"/>
    <n v="59"/>
    <s v="SANKI SD-300 Intermittent"/>
    <x v="2"/>
    <s v="PS74"/>
    <s v="GOH CHIN TECK"/>
    <n v="1000"/>
    <n v="70"/>
    <n v="1.1666666666666667"/>
    <d v="2025-03-21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3876"/>
    <n v="0"/>
    <m/>
    <s v="I09180"/>
    <m/>
    <m/>
    <s v="S0361672"/>
  </r>
  <r>
    <x v="966"/>
    <n v="10000"/>
    <n v="10000"/>
    <d v="2025-03-24T00:00:00"/>
    <s v="502LAUGH"/>
    <s v=" 9:01:02 am"/>
    <s v="4103003U5"/>
    <s v="FSC31438"/>
    <x v="2"/>
    <s v="No"/>
    <n v="94"/>
    <s v="Taiyo"/>
    <x v="2"/>
    <s v="PS19"/>
    <s v="SNG KOK CHENG"/>
    <n v="6000"/>
    <m/>
    <m/>
    <d v="2025-03-22T00:00:00"/>
    <m/>
    <n v="6"/>
    <n v="36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632"/>
  </r>
  <r>
    <x v="967"/>
    <n v="10000"/>
    <n v="10000"/>
    <d v="2025-03-25T00:00:00"/>
    <s v="505KANGHS"/>
    <s v=" 8:36:10 am"/>
    <s v="U531252097/503011926"/>
    <s v="SC28393"/>
    <x v="2"/>
    <s v="No"/>
    <n v="32"/>
    <s v="Lintec Intermittent"/>
    <x v="2"/>
    <s v="PM26"/>
    <s v="TAN AIK KEONG"/>
    <n v="5860"/>
    <m/>
    <m/>
    <d v="2025-03-22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378"/>
  </r>
  <r>
    <x v="968"/>
    <n v="10000"/>
    <n v="10000"/>
    <d v="2025-03-25T00:00:00"/>
    <s v="502LAUGH"/>
    <s v=" 8:45:53 am"/>
    <s v="U1022S022"/>
    <m/>
    <x v="2"/>
    <s v="Yes"/>
    <n v="60"/>
    <s v="Fujishiko UDP-5000"/>
    <x v="3"/>
    <s v="PM30"/>
    <s v="OH KIAN YUAN"/>
    <n v="20000"/>
    <n v="445"/>
    <n v="7.416666666666667"/>
    <d v="2025-03-22T00:00:00"/>
    <m/>
    <n v="3"/>
    <n v="60000"/>
    <s v="PE"/>
    <s v="BL 8X51MM0001"/>
    <n v="0"/>
    <n v="60000"/>
    <n v="0"/>
    <n v="0"/>
    <n v="0"/>
    <n v="0"/>
    <m/>
    <m/>
    <n v="0"/>
    <m/>
    <m/>
    <m/>
    <m/>
    <m/>
    <m/>
    <m/>
    <m/>
    <s v="BL 8X51MM"/>
    <s v="T20198"/>
    <s v="ST NETWORK"/>
    <m/>
    <n v="0"/>
    <n v="0"/>
    <n v="0"/>
    <n v="0"/>
    <n v="0"/>
    <n v="0"/>
    <m/>
    <m/>
    <m/>
    <s v="No"/>
    <s v="W663547"/>
    <n v="0"/>
    <m/>
    <s v="T20198"/>
    <m/>
    <m/>
    <s v="S0357644"/>
  </r>
  <r>
    <x v="969"/>
    <n v="10000"/>
    <n v="30000"/>
    <d v="2025-02-25T00:00:00"/>
    <s v="502LAUGH"/>
    <s v=" 8:33:09 am"/>
    <n v="10639931095"/>
    <m/>
    <x v="1"/>
    <s v="Yes"/>
    <n v="85"/>
    <s v="Luster AOI"/>
    <x v="1"/>
    <s v="QM78"/>
    <s v="WONG SEAU JIN"/>
    <n v="2546"/>
    <m/>
    <m/>
    <d v="2025-03-22T00:00:00"/>
    <m/>
    <n v="11"/>
    <n v="28006"/>
    <s v="PE"/>
    <s v="B7RT4-80001-FT0001"/>
    <n v="0"/>
    <n v="30000"/>
    <n v="-1994"/>
    <n v="0"/>
    <n v="0"/>
    <n v="0"/>
    <m/>
    <m/>
    <n v="0"/>
    <m/>
    <m/>
    <m/>
    <m/>
    <m/>
    <m/>
    <m/>
    <m/>
    <s v="B7RT4-80001-FT"/>
    <s v="H08031-JIM-M"/>
    <s v="HP MALAYSIA MANUFACTURING SDN.BHD."/>
    <m/>
    <n v="0"/>
    <n v="0"/>
    <n v="0"/>
    <n v="0"/>
    <n v="0"/>
    <n v="0"/>
    <m/>
    <m/>
    <m/>
    <s v="No"/>
    <s v="W662499"/>
    <n v="0"/>
    <m/>
    <s v="H08031-JIM-M"/>
    <m/>
    <m/>
    <s v="S0358100"/>
  </r>
  <r>
    <x v="970"/>
    <n v="10000"/>
    <n v="10000"/>
    <d v="2025-03-24T00:00:00"/>
    <s v="502LAUGH"/>
    <s v=" 8:38:50 am"/>
    <s v="J00T59561"/>
    <m/>
    <x v="2"/>
    <s v="Yes"/>
    <n v="72"/>
    <s v="Xeikon 3500"/>
    <x v="4"/>
    <s v="PMJ4"/>
    <s v="LEE JUN HONG"/>
    <n v="3375"/>
    <m/>
    <m/>
    <d v="2025-03-22T00:00:00"/>
    <m/>
    <n v="4"/>
    <n v="13500"/>
    <s v="PE"/>
    <n v="86084000001"/>
    <n v="0"/>
    <n v="12000"/>
    <n v="150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3554"/>
    <n v="0"/>
    <m/>
    <s v="B02083"/>
    <m/>
    <m/>
    <s v="S0358238"/>
  </r>
  <r>
    <x v="970"/>
    <n v="10000"/>
    <n v="20000"/>
    <d v="2025-03-24T00:00:00"/>
    <s v="502LAUGH"/>
    <s v=" 8:38:50 am"/>
    <s v="J00T59561"/>
    <m/>
    <x v="0"/>
    <s v="Yes"/>
    <n v="71"/>
    <s v="POLLY"/>
    <x v="3"/>
    <s v="PS95"/>
    <s v="LIM CHENG LEONG"/>
    <n v="2000"/>
    <m/>
    <m/>
    <d v="2025-03-22T00:00:00"/>
    <m/>
    <n v="6"/>
    <n v="12000"/>
    <s v="PE"/>
    <n v="86084000001"/>
    <n v="0"/>
    <n v="12000"/>
    <n v="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3554"/>
    <n v="0"/>
    <m/>
    <s v="B02083"/>
    <m/>
    <m/>
    <s v="S0358238"/>
  </r>
  <r>
    <x v="971"/>
    <n v="10000"/>
    <n v="10000"/>
    <d v="2025-03-24T00:00:00"/>
    <s v="502LAUGH"/>
    <s v=" 8:44:04 am"/>
    <s v="XHX2410130003/BYG119-07/XHX2410090439/XHX24A05A0401"/>
    <m/>
    <x v="2"/>
    <s v="Yes"/>
    <n v="112"/>
    <s v="Hadesheng"/>
    <x v="3"/>
    <s v="PS07"/>
    <s v="KANG HOCK SENG"/>
    <n v="4546"/>
    <n v="272.3"/>
    <n v="4.5383333333333331"/>
    <d v="2025-03-22T00:00:00"/>
    <m/>
    <n v="11"/>
    <n v="50006"/>
    <s v="PE"/>
    <s v="TPK-868915-00100001"/>
    <n v="0"/>
    <n v="50000"/>
    <n v="6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63561"/>
    <n v="0"/>
    <m/>
    <s v="Z26002"/>
    <m/>
    <m/>
    <s v="S0358423"/>
  </r>
  <r>
    <x v="972"/>
    <n v="10000"/>
    <n v="10000"/>
    <d v="2025-03-25T00:00:00"/>
    <s v="502LAUGH"/>
    <s v=" 8:34:08 am"/>
    <s v="J00T59561"/>
    <m/>
    <x v="2"/>
    <s v="Yes"/>
    <n v="72"/>
    <s v="Xeikon 3500"/>
    <x v="4"/>
    <s v="PMJ4"/>
    <s v="LEE JUN HONG"/>
    <n v="22500"/>
    <m/>
    <m/>
    <d v="2025-03-22T00:00:00"/>
    <m/>
    <n v="4"/>
    <n v="90000"/>
    <s v="PE"/>
    <n v="83624420001"/>
    <n v="0"/>
    <n v="80000"/>
    <n v="10000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3567"/>
    <n v="0"/>
    <m/>
    <s v="B02083"/>
    <m/>
    <m/>
    <s v="S0359207"/>
  </r>
  <r>
    <x v="973"/>
    <n v="10000"/>
    <n v="10000"/>
    <d v="2025-03-25T00:00:00"/>
    <s v="502LAUGH"/>
    <s v=" 8:35:14 am"/>
    <s v="J00T59561"/>
    <m/>
    <x v="2"/>
    <s v="Yes"/>
    <n v="72"/>
    <s v="Xeikon 3500"/>
    <x v="4"/>
    <s v="PMJ4"/>
    <s v="LEE JUN HONG"/>
    <n v="16000"/>
    <m/>
    <m/>
    <d v="2025-03-22T00:00:00"/>
    <m/>
    <n v="5"/>
    <n v="80000"/>
    <s v="PE"/>
    <n v="83634470001"/>
    <n v="0"/>
    <n v="70000"/>
    <n v="10000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3569"/>
    <n v="0"/>
    <m/>
    <s v="B02083"/>
    <m/>
    <m/>
    <s v="S0359207"/>
  </r>
  <r>
    <x v="974"/>
    <n v="10000"/>
    <n v="10000"/>
    <d v="2025-03-25T00:00:00"/>
    <s v="502LAUGH"/>
    <s v=" 1:23:06 pm"/>
    <s v="J00T59561"/>
    <m/>
    <x v="2"/>
    <s v="Yes"/>
    <n v="72"/>
    <s v="Xeikon 3500"/>
    <x v="4"/>
    <s v="PMJ4"/>
    <s v="LEE JUN HONG"/>
    <n v="2800"/>
    <m/>
    <m/>
    <d v="2025-03-22T00:00:00"/>
    <m/>
    <n v="5"/>
    <n v="14000"/>
    <s v="PE"/>
    <n v="83634500001"/>
    <n v="0"/>
    <n v="10000"/>
    <n v="4000"/>
    <n v="0"/>
    <n v="0"/>
    <n v="0"/>
    <m/>
    <m/>
    <n v="0"/>
    <m/>
    <m/>
    <m/>
    <m/>
    <m/>
    <m/>
    <m/>
    <m/>
    <n v="8363450"/>
    <s v="B02083"/>
    <s v="BECTON DICKINSON MEDICAL (S) PTE LTD"/>
    <m/>
    <n v="0"/>
    <n v="0"/>
    <n v="0"/>
    <n v="0"/>
    <n v="0"/>
    <n v="0"/>
    <m/>
    <m/>
    <m/>
    <s v="No"/>
    <s v="W663570"/>
    <n v="0"/>
    <m/>
    <s v="B02083"/>
    <m/>
    <m/>
    <s v="S0359207"/>
  </r>
  <r>
    <x v="975"/>
    <n v="10000"/>
    <n v="10000"/>
    <d v="2025-03-25T00:00:00"/>
    <s v="502LAUGH"/>
    <s v=" 1:20:49 pm"/>
    <s v="J00T59561"/>
    <m/>
    <x v="2"/>
    <s v="Yes"/>
    <n v="72"/>
    <s v="Xeikon 3500"/>
    <x v="4"/>
    <s v="PMJ4"/>
    <s v="LEE JUN HONG"/>
    <n v="2800"/>
    <m/>
    <m/>
    <d v="2025-03-22T00:00:00"/>
    <m/>
    <n v="5"/>
    <n v="14000"/>
    <s v="PE"/>
    <n v="83635750001"/>
    <n v="0"/>
    <n v="10000"/>
    <n v="4000"/>
    <n v="0"/>
    <n v="0"/>
    <n v="0"/>
    <m/>
    <m/>
    <n v="0"/>
    <m/>
    <m/>
    <m/>
    <m/>
    <m/>
    <m/>
    <m/>
    <m/>
    <n v="8363575"/>
    <s v="B02083"/>
    <s v="BECTON DICKINSON MEDICAL (S) PTE LTD"/>
    <m/>
    <n v="0"/>
    <n v="0"/>
    <n v="0"/>
    <n v="0"/>
    <n v="0"/>
    <n v="0"/>
    <m/>
    <m/>
    <m/>
    <s v="No"/>
    <s v="W663571"/>
    <n v="0"/>
    <m/>
    <s v="B02083"/>
    <m/>
    <m/>
    <s v="S0359207"/>
  </r>
  <r>
    <x v="976"/>
    <n v="10000"/>
    <n v="10000"/>
    <d v="2025-03-25T00:00:00"/>
    <s v="502LAUGH"/>
    <s v=" 1:22:09 pm"/>
    <s v="J00T59561"/>
    <m/>
    <x v="2"/>
    <s v="Yes"/>
    <n v="72"/>
    <s v="Xeikon 3500"/>
    <x v="4"/>
    <s v="PMJ4"/>
    <s v="LEE JUN HONG"/>
    <n v="2800"/>
    <m/>
    <m/>
    <d v="2025-03-22T00:00:00"/>
    <m/>
    <n v="5"/>
    <n v="14000"/>
    <s v="PE"/>
    <n v="83635760001"/>
    <n v="0"/>
    <n v="10000"/>
    <n v="4000"/>
    <n v="0"/>
    <n v="0"/>
    <n v="0"/>
    <m/>
    <m/>
    <n v="0"/>
    <m/>
    <m/>
    <m/>
    <m/>
    <m/>
    <m/>
    <m/>
    <m/>
    <n v="8363576"/>
    <s v="B02083"/>
    <s v="BECTON DICKINSON MEDICAL (S) PTE LTD"/>
    <m/>
    <n v="0"/>
    <n v="0"/>
    <n v="0"/>
    <n v="0"/>
    <n v="0"/>
    <n v="0"/>
    <m/>
    <m/>
    <m/>
    <s v="No"/>
    <s v="W663572"/>
    <n v="0"/>
    <m/>
    <s v="B02083"/>
    <m/>
    <m/>
    <s v="S0359207"/>
  </r>
  <r>
    <x v="501"/>
    <n v="10000"/>
    <n v="40000"/>
    <d v="2025-03-24T00:00:00"/>
    <s v="502LAUGH"/>
    <d v="1899-12-30T11:35:46"/>
    <s v="10567308040/10567308038"/>
    <m/>
    <x v="1"/>
    <s v="Yes"/>
    <n v="85"/>
    <s v="Luster AOI"/>
    <x v="1"/>
    <s v="QM78"/>
    <s v="WONG SEAU JIN"/>
    <n v="27273"/>
    <m/>
    <m/>
    <d v="2025-03-22T00:00:00"/>
    <m/>
    <n v="11"/>
    <n v="300003"/>
    <s v="PE"/>
    <s v="C2P04-80053-FT0001"/>
    <n v="0"/>
    <n v="300000"/>
    <n v="3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3585"/>
    <n v="0"/>
    <m/>
    <s v="H08031-JIM-M"/>
    <m/>
    <m/>
    <s v="S0359298"/>
  </r>
  <r>
    <x v="222"/>
    <n v="10000"/>
    <n v="30000"/>
    <d v="2025-03-24T00:00:00"/>
    <s v="502LAUGH"/>
    <s v=" 9:06:16 am"/>
    <n v="10620258034"/>
    <m/>
    <x v="1"/>
    <s v="Yes"/>
    <n v="85"/>
    <s v="Luster AOI"/>
    <x v="1"/>
    <s v="QM78"/>
    <s v="WONG SEAU JIN"/>
    <n v="5000"/>
    <m/>
    <m/>
    <d v="2025-03-22T00:00:00"/>
    <m/>
    <n v="11"/>
    <n v="55000"/>
    <s v="PE"/>
    <s v="7FP22-80007-FT0001"/>
    <n v="0"/>
    <n v="50000"/>
    <n v="5000"/>
    <n v="0"/>
    <n v="0"/>
    <n v="0"/>
    <m/>
    <m/>
    <n v="0"/>
    <m/>
    <m/>
    <m/>
    <m/>
    <m/>
    <m/>
    <m/>
    <m/>
    <s v="7FP22-80007-FT"/>
    <s v="H08031-JIM-M"/>
    <s v="HP MALAYSIA MANUFACTURING SDN.BHD."/>
    <m/>
    <n v="0"/>
    <n v="0"/>
    <n v="0"/>
    <n v="0"/>
    <n v="0"/>
    <n v="0"/>
    <m/>
    <m/>
    <m/>
    <s v="No"/>
    <s v="W663602"/>
    <n v="0"/>
    <m/>
    <s v="H08031-JIM-M"/>
    <m/>
    <m/>
    <s v="S0359822"/>
  </r>
  <r>
    <x v="223"/>
    <n v="10000"/>
    <n v="40000"/>
    <d v="2025-03-24T00:00:00"/>
    <s v="502LAUGH"/>
    <s v=" 9:07:20 am"/>
    <n v="10639931051"/>
    <m/>
    <x v="1"/>
    <s v="Yes"/>
    <n v="85"/>
    <s v="Luster AOI"/>
    <x v="1"/>
    <s v="QM78"/>
    <s v="WONG SEAU JIN"/>
    <n v="13637"/>
    <m/>
    <m/>
    <d v="2025-03-22T00:00:00"/>
    <m/>
    <n v="11"/>
    <n v="150007"/>
    <s v="PE"/>
    <s v="7FP22-80008-FT0001"/>
    <n v="0"/>
    <n v="150000"/>
    <n v="7"/>
    <n v="0"/>
    <n v="0"/>
    <n v="0"/>
    <m/>
    <m/>
    <n v="0"/>
    <m/>
    <m/>
    <m/>
    <m/>
    <m/>
    <m/>
    <m/>
    <m/>
    <s v="7FP22-80008-FT"/>
    <s v="H08031-JIM-M"/>
    <s v="HP MALAYSIA MANUFACTURING SDN.BHD."/>
    <m/>
    <n v="0"/>
    <n v="0"/>
    <n v="0"/>
    <n v="0"/>
    <n v="0"/>
    <n v="0"/>
    <m/>
    <m/>
    <m/>
    <s v="No"/>
    <s v="W663603"/>
    <n v="0"/>
    <m/>
    <s v="H08031-JIM-M"/>
    <m/>
    <m/>
    <s v="S0359822"/>
  </r>
  <r>
    <x v="977"/>
    <n v="10000"/>
    <n v="10000"/>
    <d v="2025-03-24T00:00:00"/>
    <s v="502LAUGH"/>
    <s v=" 8:51:34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3612"/>
    <n v="0"/>
    <m/>
    <s v="I09180"/>
    <m/>
    <m/>
    <s v="S0359871"/>
  </r>
  <r>
    <x v="977"/>
    <n v="20000"/>
    <n v="10000"/>
    <d v="2025-03-24T00:00:00"/>
    <s v="502LAUGH"/>
    <s v=" 8:51:34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3612"/>
    <n v="0"/>
    <m/>
    <s v="I09180"/>
    <m/>
    <m/>
    <s v="S0359871"/>
  </r>
  <r>
    <x v="978"/>
    <n v="10000"/>
    <n v="10000"/>
    <d v="2025-03-24T00:00:00"/>
    <s v="502LAUGH"/>
    <s v=" 9:05:18 am"/>
    <s v="SG-5622228 01"/>
    <m/>
    <x v="2"/>
    <s v="Yes"/>
    <n v="59"/>
    <s v="SANKI SD-300 Intermittent"/>
    <x v="2"/>
    <s v="PS32"/>
    <s v="CHONG SIOW KHEONG"/>
    <n v="500"/>
    <n v="57.5"/>
    <n v="0.95833333333333337"/>
    <d v="2025-03-22T00:00:00"/>
    <m/>
    <n v="6"/>
    <n v="3000"/>
    <s v="PE"/>
    <s v="15058372 REVB0001"/>
    <n v="0"/>
    <n v="3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3613"/>
    <n v="0"/>
    <m/>
    <s v="I09180"/>
    <m/>
    <m/>
    <s v="S0359873"/>
  </r>
  <r>
    <x v="979"/>
    <n v="10000"/>
    <n v="10000"/>
    <d v="2025-03-24T00:00:00"/>
    <s v="502LAUGH"/>
    <s v=" 9:05:18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3614"/>
    <n v="0"/>
    <m/>
    <s v="I09180"/>
    <m/>
    <m/>
    <s v="S0359874"/>
  </r>
  <r>
    <x v="979"/>
    <n v="20000"/>
    <n v="10000"/>
    <d v="2025-03-24T00:00:00"/>
    <s v="502LAUGH"/>
    <s v=" 9:05:18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3614"/>
    <n v="0"/>
    <m/>
    <s v="I09180"/>
    <m/>
    <m/>
    <s v="S0359874"/>
  </r>
  <r>
    <x v="980"/>
    <n v="10000"/>
    <n v="10000"/>
    <d v="2025-03-24T00:00:00"/>
    <s v="502LAUGH"/>
    <s v=" 8:35:53 am"/>
    <s v="L4816U8011"/>
    <m/>
    <x v="2"/>
    <s v="Yes"/>
    <n v="61"/>
    <s v="FSK 520"/>
    <x v="2"/>
    <s v="PM68"/>
    <s v="LEE KIM LIANG"/>
    <n v="100"/>
    <n v="47"/>
    <n v="0.78333333333333333"/>
    <d v="2025-03-22T00:00:00"/>
    <m/>
    <n v="2"/>
    <n v="200"/>
    <s v="PE"/>
    <s v="SSAP2-20X5MM0001"/>
    <n v="0"/>
    <n v="200"/>
    <n v="0"/>
    <n v="0"/>
    <n v="0"/>
    <n v="0"/>
    <m/>
    <m/>
    <n v="0"/>
    <m/>
    <m/>
    <m/>
    <m/>
    <m/>
    <m/>
    <m/>
    <m/>
    <s v="SSAP2-20X5MM"/>
    <s v="S19330"/>
    <s v="ST ENGINEERING URBAN SOLUTIONS LTD"/>
    <m/>
    <n v="0"/>
    <n v="0"/>
    <n v="0"/>
    <n v="0"/>
    <n v="0"/>
    <n v="0"/>
    <m/>
    <m/>
    <m/>
    <s v="No"/>
    <s v="W663643"/>
    <n v="0"/>
    <m/>
    <s v="S19330"/>
    <m/>
    <m/>
    <s v="S0361015"/>
  </r>
  <r>
    <x v="981"/>
    <n v="10000"/>
    <n v="10000"/>
    <d v="2025-03-24T00:00:00"/>
    <s v="502LAUGH"/>
    <s v=" 8:34:24 am"/>
    <s v="L4816U8011"/>
    <m/>
    <x v="2"/>
    <s v="Yes"/>
    <n v="61"/>
    <s v="FSK 520"/>
    <x v="2"/>
    <s v="PM68"/>
    <s v="LEE KIM LIANG"/>
    <n v="500"/>
    <n v="55"/>
    <n v="0.91666666666666663"/>
    <d v="2025-03-22T00:00:00"/>
    <m/>
    <n v="2"/>
    <n v="1000"/>
    <s v="PE"/>
    <s v="SSAP3-20X5MM0001"/>
    <n v="0"/>
    <n v="1000"/>
    <n v="0"/>
    <n v="0"/>
    <n v="0"/>
    <n v="0"/>
    <m/>
    <m/>
    <n v="0"/>
    <m/>
    <m/>
    <m/>
    <m/>
    <m/>
    <m/>
    <m/>
    <m/>
    <s v="SSAP3-20X5MM"/>
    <s v="S19330"/>
    <s v="ST ENGINEERING URBAN SOLUTIONS LTD"/>
    <m/>
    <n v="0"/>
    <n v="0"/>
    <n v="0"/>
    <n v="0"/>
    <n v="0"/>
    <n v="0"/>
    <m/>
    <m/>
    <m/>
    <s v="No"/>
    <s v="W663644"/>
    <n v="0"/>
    <m/>
    <s v="S19330"/>
    <m/>
    <m/>
    <s v="S0361015"/>
  </r>
  <r>
    <x v="982"/>
    <n v="10000"/>
    <n v="10000"/>
    <d v="2025-03-25T00:00:00"/>
    <s v="502LAUGH"/>
    <s v=" 5:29:06 pm"/>
    <s v="M0BTD2082"/>
    <m/>
    <x v="2"/>
    <s v="Yes"/>
    <n v="29"/>
    <s v="Sanki SKP250 Full Rotary"/>
    <x v="2"/>
    <s v="PS70"/>
    <s v="YEO WOO KEONG"/>
    <n v="24000"/>
    <n v="645"/>
    <n v="10.75"/>
    <d v="2025-03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649"/>
    <n v="0"/>
    <m/>
    <s v="S19081-TH"/>
    <m/>
    <m/>
    <s v="H0064750"/>
  </r>
  <r>
    <x v="983"/>
    <n v="10000"/>
    <n v="10000"/>
    <d v="2025-03-24T00:00:00"/>
    <s v="502LAUGH"/>
    <d v="1899-12-30T11:36:21"/>
    <s v="L5305U8039"/>
    <m/>
    <x v="2"/>
    <s v="Yes"/>
    <n v="78"/>
    <s v="Baby Sanki"/>
    <x v="2"/>
    <s v="PM84"/>
    <s v="TAN TAI TOH"/>
    <n v="6000"/>
    <n v="195"/>
    <n v="3.25"/>
    <d v="2025-03-22T00:00:00"/>
    <m/>
    <n v="1"/>
    <n v="6000"/>
    <s v="PE"/>
    <s v="SCREAMER LB-80X10001"/>
    <n v="0"/>
    <n v="6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3665"/>
    <n v="0"/>
    <m/>
    <s v="I09146"/>
    <m/>
    <m/>
    <s v="S0361083"/>
  </r>
  <r>
    <x v="984"/>
    <n v="10000"/>
    <n v="10000"/>
    <d v="2025-03-24T00:00:00"/>
    <s v="502LAUGH"/>
    <s v=" 8:35:53 am"/>
    <s v="4100517U5A"/>
    <m/>
    <x v="2"/>
    <s v="Yes"/>
    <n v="46"/>
    <s v="Sanki 300 Intermittent"/>
    <x v="2"/>
    <s v="PS66"/>
    <s v="SIM ENG KWANG"/>
    <n v="12000"/>
    <n v="345"/>
    <n v="5.75"/>
    <d v="2025-03-22T00:00:00"/>
    <m/>
    <n v="1"/>
    <n v="12000"/>
    <s v="PE"/>
    <s v="250-6157-000001"/>
    <n v="0"/>
    <n v="12000"/>
    <n v="0"/>
    <n v="0"/>
    <n v="0"/>
    <n v="0"/>
    <m/>
    <m/>
    <n v="0"/>
    <m/>
    <m/>
    <m/>
    <m/>
    <m/>
    <m/>
    <m/>
    <m/>
    <s v="250-6157-00"/>
    <s v="J10025"/>
    <s v="JMS SINGAPORE PTE LTD"/>
    <m/>
    <n v="0"/>
    <n v="0"/>
    <n v="0"/>
    <n v="0"/>
    <n v="0"/>
    <n v="0"/>
    <m/>
    <m/>
    <m/>
    <s v="No"/>
    <s v="W663666"/>
    <n v="0"/>
    <m/>
    <s v="J10025"/>
    <m/>
    <m/>
    <s v="S0361086"/>
  </r>
  <r>
    <x v="985"/>
    <n v="10000"/>
    <n v="10000"/>
    <d v="2025-03-24T00:00:00"/>
    <s v="502LAUGH"/>
    <d v="1899-12-30T11:37:04"/>
    <s v="J00VB7941"/>
    <m/>
    <x v="2"/>
    <s v="Yes"/>
    <n v="22"/>
    <s v="FSK B100"/>
    <x v="2"/>
    <s v="PS13"/>
    <s v="YEE CHENG MENG"/>
    <n v="4000"/>
    <n v="125"/>
    <n v="2.0833333333333335"/>
    <d v="2025-03-22T00:00:00"/>
    <m/>
    <n v="1"/>
    <n v="4000"/>
    <s v="PE"/>
    <s v="250-5329-000001"/>
    <n v="0"/>
    <n v="4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63673"/>
    <n v="0"/>
    <m/>
    <s v="J10025"/>
    <m/>
    <m/>
    <s v="S0361087"/>
  </r>
  <r>
    <x v="986"/>
    <n v="10000"/>
    <n v="10000"/>
    <d v="2025-03-25T00:00:00"/>
    <s v="505KANGHS"/>
    <s v=" 8:37:41 am"/>
    <s v="4060118U5"/>
    <m/>
    <x v="2"/>
    <s v="Yes"/>
    <n v="12"/>
    <s v="FSK SR520"/>
    <x v="2"/>
    <s v="PP05"/>
    <s v="WONG KIM FATT"/>
    <n v="21000"/>
    <n v="465"/>
    <n v="7.75"/>
    <d v="2025-03-22T00:00:00"/>
    <m/>
    <n v="1"/>
    <n v="21000"/>
    <s v="PE"/>
    <s v="250-6223-000001"/>
    <n v="0"/>
    <n v="21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3695"/>
    <n v="0"/>
    <m/>
    <s v="J10025"/>
    <m/>
    <m/>
    <s v="S0361169"/>
  </r>
  <r>
    <x v="987"/>
    <n v="10000"/>
    <n v="10000"/>
    <d v="2025-03-24T00:00:00"/>
    <s v="502LAUGH"/>
    <s v=" 8:32:40 am"/>
    <s v="4111525U5A"/>
    <m/>
    <x v="2"/>
    <s v="Yes"/>
    <n v="61"/>
    <s v="FSK 520"/>
    <x v="2"/>
    <s v="PM61"/>
    <s v="HO CHAN LE"/>
    <n v="1500"/>
    <n v="75"/>
    <n v="1.25"/>
    <d v="2025-03-22T00:00:00"/>
    <m/>
    <n v="4"/>
    <n v="6000"/>
    <s v="PE"/>
    <s v="260-6600-000001"/>
    <n v="0"/>
    <n v="6000"/>
    <n v="0"/>
    <n v="0"/>
    <n v="0"/>
    <n v="0"/>
    <m/>
    <m/>
    <n v="0"/>
    <m/>
    <m/>
    <m/>
    <m/>
    <m/>
    <m/>
    <m/>
    <m/>
    <s v="260-6600-00"/>
    <s v="J10025"/>
    <s v="JMS SINGAPORE PTE LTD"/>
    <m/>
    <n v="0"/>
    <n v="0"/>
    <n v="0"/>
    <n v="0"/>
    <n v="0"/>
    <n v="0"/>
    <m/>
    <m/>
    <m/>
    <s v="No"/>
    <s v="W663701"/>
    <n v="0"/>
    <m/>
    <s v="J10025"/>
    <m/>
    <m/>
    <s v="S0361172"/>
  </r>
  <r>
    <x v="988"/>
    <n v="10000"/>
    <n v="10000"/>
    <d v="2025-03-24T00:00:00"/>
    <s v="502LAUGH"/>
    <s v=" 8:34:24 am"/>
    <s v="4111524U5"/>
    <m/>
    <x v="2"/>
    <s v="Yes"/>
    <n v="61"/>
    <s v="FSK 520"/>
    <x v="2"/>
    <s v="PM61"/>
    <s v="HO CHAN LE"/>
    <n v="1500"/>
    <n v="75"/>
    <n v="1.25"/>
    <d v="2025-03-22T00:00:00"/>
    <m/>
    <n v="4"/>
    <n v="6000"/>
    <s v="PE"/>
    <s v="260-6601-000001"/>
    <n v="0"/>
    <n v="6000"/>
    <n v="0"/>
    <n v="0"/>
    <n v="0"/>
    <n v="0"/>
    <m/>
    <m/>
    <n v="0"/>
    <m/>
    <m/>
    <m/>
    <m/>
    <m/>
    <m/>
    <m/>
    <m/>
    <s v="260-6601-00"/>
    <s v="J10025"/>
    <s v="JMS SINGAPORE PTE LTD"/>
    <m/>
    <n v="0"/>
    <n v="0"/>
    <n v="0"/>
    <n v="0"/>
    <n v="0"/>
    <n v="0"/>
    <m/>
    <m/>
    <m/>
    <s v="No"/>
    <s v="W663702"/>
    <n v="0"/>
    <m/>
    <s v="J10025"/>
    <m/>
    <m/>
    <s v="S0361172"/>
  </r>
  <r>
    <x v="989"/>
    <n v="10000"/>
    <n v="10000"/>
    <d v="2025-03-24T00:00:00"/>
    <s v="502LAUGH"/>
    <s v=" 8:32:40 am"/>
    <s v="4111524U5"/>
    <m/>
    <x v="2"/>
    <s v="Yes"/>
    <n v="61"/>
    <s v="FSK 520"/>
    <x v="2"/>
    <s v="PM61"/>
    <s v="HO CHAN LE"/>
    <n v="1500"/>
    <n v="75"/>
    <n v="1.25"/>
    <d v="2025-03-22T00:00:00"/>
    <m/>
    <n v="4"/>
    <n v="6000"/>
    <s v="PE"/>
    <s v="260-6602-000001"/>
    <n v="0"/>
    <n v="6000"/>
    <n v="0"/>
    <n v="0"/>
    <n v="0"/>
    <n v="0"/>
    <m/>
    <m/>
    <n v="0"/>
    <m/>
    <m/>
    <m/>
    <m/>
    <m/>
    <m/>
    <m/>
    <m/>
    <s v="260-6602-00"/>
    <s v="J10025"/>
    <s v="JMS SINGAPORE PTE LTD"/>
    <m/>
    <n v="0"/>
    <n v="0"/>
    <n v="0"/>
    <n v="0"/>
    <n v="0"/>
    <n v="0"/>
    <m/>
    <m/>
    <m/>
    <s v="No"/>
    <s v="W663703"/>
    <n v="0"/>
    <m/>
    <s v="J10025"/>
    <m/>
    <m/>
    <s v="S0361172"/>
  </r>
  <r>
    <x v="990"/>
    <n v="10000"/>
    <n v="10000"/>
    <d v="2025-03-24T00:00:00"/>
    <s v="502LAUGH"/>
    <s v=" 8:38:12 am"/>
    <s v="J00T59561"/>
    <m/>
    <x v="2"/>
    <s v="Yes"/>
    <n v="72"/>
    <s v="Xeikon 3500"/>
    <x v="4"/>
    <s v="PMJ4"/>
    <s v="LEE JUN HONG"/>
    <n v="1875"/>
    <m/>
    <m/>
    <d v="2025-03-22T00:00:00"/>
    <m/>
    <n v="4"/>
    <n v="7500"/>
    <s v="PE"/>
    <n v="86084000001"/>
    <n v="0"/>
    <n v="6000"/>
    <n v="150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3777"/>
    <n v="0"/>
    <m/>
    <s v="B02083"/>
    <m/>
    <m/>
    <s v="S0361363"/>
  </r>
  <r>
    <x v="990"/>
    <n v="10000"/>
    <n v="20000"/>
    <d v="2025-03-24T00:00:00"/>
    <s v="502LAUGH"/>
    <s v=" 8:38:12 am"/>
    <s v="J00T59561"/>
    <m/>
    <x v="0"/>
    <s v="Yes"/>
    <n v="71"/>
    <s v="POLLY"/>
    <x v="3"/>
    <s v="PS95"/>
    <s v="LIM CHENG LEONG"/>
    <n v="1000"/>
    <m/>
    <m/>
    <d v="2025-03-22T00:00:00"/>
    <m/>
    <n v="6"/>
    <n v="6000"/>
    <s v="PE"/>
    <n v="86084000001"/>
    <n v="0"/>
    <n v="6000"/>
    <n v="0"/>
    <n v="0"/>
    <n v="0"/>
    <n v="0"/>
    <m/>
    <m/>
    <n v="0"/>
    <m/>
    <m/>
    <m/>
    <m/>
    <m/>
    <m/>
    <m/>
    <m/>
    <n v="8608400"/>
    <s v="B02083"/>
    <s v="BECTON DICKINSON MEDICAL (S) PTE LTD"/>
    <m/>
    <n v="0"/>
    <n v="0"/>
    <n v="0"/>
    <n v="0"/>
    <n v="0"/>
    <n v="0"/>
    <m/>
    <m/>
    <m/>
    <s v="No"/>
    <s v="W663777"/>
    <n v="0"/>
    <m/>
    <s v="B02083"/>
    <m/>
    <m/>
    <s v="S0361363"/>
  </r>
  <r>
    <x v="991"/>
    <n v="10000"/>
    <n v="10000"/>
    <d v="2025-03-24T00:00:00"/>
    <s v="502LAUGH"/>
    <s v=" 8:39:40 am"/>
    <s v="J00T59561"/>
    <m/>
    <x v="2"/>
    <s v="Yes"/>
    <n v="72"/>
    <s v="Xeikon 3500"/>
    <x v="4"/>
    <s v="PMJ4"/>
    <s v="LEE JUN HONG"/>
    <n v="2750"/>
    <m/>
    <m/>
    <d v="2025-03-22T00:00:00"/>
    <m/>
    <n v="4"/>
    <n v="11000"/>
    <s v="PE"/>
    <n v="86084010001"/>
    <n v="0"/>
    <n v="9000"/>
    <n v="20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3778"/>
    <n v="0"/>
    <m/>
    <s v="B02083"/>
    <m/>
    <m/>
    <s v="S0361363"/>
  </r>
  <r>
    <x v="991"/>
    <n v="10000"/>
    <n v="20000"/>
    <d v="2025-03-24T00:00:00"/>
    <s v="502LAUGH"/>
    <s v=" 8:39:40 am"/>
    <s v="J00T59561"/>
    <m/>
    <x v="0"/>
    <s v="Yes"/>
    <n v="71"/>
    <s v="POLLY"/>
    <x v="3"/>
    <s v="PS95"/>
    <s v="LIM CHENG LEONG"/>
    <n v="1500"/>
    <m/>
    <m/>
    <d v="2025-03-22T00:00:00"/>
    <m/>
    <n v="6"/>
    <n v="9000"/>
    <s v="PE"/>
    <n v="86084010001"/>
    <n v="0"/>
    <n v="9000"/>
    <n v="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3778"/>
    <n v="0"/>
    <m/>
    <s v="B02083"/>
    <m/>
    <m/>
    <s v="S0361363"/>
  </r>
  <r>
    <x v="992"/>
    <n v="10000"/>
    <n v="10000"/>
    <d v="2025-03-24T00:00:00"/>
    <s v="502LAUGH"/>
    <s v=" 9:01:51 am"/>
    <s v="U531252097/503011926"/>
    <m/>
    <x v="2"/>
    <s v="Yes"/>
    <n v="32"/>
    <s v="Lintec Intermittent"/>
    <x v="2"/>
    <s v="PM26"/>
    <s v="TAN AIK KEONG"/>
    <n v="5860"/>
    <m/>
    <m/>
    <d v="2025-03-2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4131"/>
    <n v="0"/>
    <m/>
    <s v="J10025"/>
    <m/>
    <m/>
    <s v="S0361377"/>
  </r>
  <r>
    <x v="993"/>
    <n v="10000"/>
    <n v="10000"/>
    <d v="2025-03-24T00:00:00"/>
    <s v="502LAUGH"/>
    <s v=" 1:50:48 pm"/>
    <s v="J00T59561"/>
    <m/>
    <x v="2"/>
    <s v="Yes"/>
    <n v="72"/>
    <s v="Xeikon 3500"/>
    <x v="4"/>
    <s v="PMJ4"/>
    <s v="LEE JUN HONG"/>
    <n v="3550"/>
    <m/>
    <m/>
    <d v="2025-03-22T00:00:00"/>
    <m/>
    <n v="4"/>
    <n v="14200"/>
    <s v="PE"/>
    <n v="5000532060001"/>
    <n v="0"/>
    <n v="11200"/>
    <n v="300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3796"/>
    <n v="0"/>
    <m/>
    <s v="B02083"/>
    <m/>
    <m/>
    <s v="S0361382"/>
  </r>
  <r>
    <x v="993"/>
    <n v="10000"/>
    <n v="20000"/>
    <d v="2025-03-24T00:00:00"/>
    <s v="502LAUGH"/>
    <s v=" 1:50:48 pm"/>
    <s v="J00T59561"/>
    <m/>
    <x v="0"/>
    <s v="Yes"/>
    <n v="71"/>
    <s v="POLLY"/>
    <x v="3"/>
    <s v="PS95"/>
    <s v="LIM CHENG LEONG"/>
    <n v="1867"/>
    <m/>
    <m/>
    <d v="2025-03-22T00:00:00"/>
    <m/>
    <n v="6"/>
    <n v="11202"/>
    <s v="PE"/>
    <n v="5000532060001"/>
    <n v="0"/>
    <n v="11200"/>
    <n v="2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3796"/>
    <n v="0"/>
    <m/>
    <s v="B02083"/>
    <m/>
    <m/>
    <s v="S0361382"/>
  </r>
  <r>
    <x v="897"/>
    <n v="10000"/>
    <n v="20000"/>
    <d v="2025-03-24T00:00:00"/>
    <s v="502LAUGH"/>
    <s v=" 8:36:42 am"/>
    <s v="J00T59561"/>
    <m/>
    <x v="0"/>
    <s v="Yes"/>
    <n v="71"/>
    <s v="POLLY"/>
    <x v="3"/>
    <s v="PS95"/>
    <s v="LIM CHENG LEONG"/>
    <n v="9334"/>
    <m/>
    <m/>
    <d v="2025-03-22T00:00:00"/>
    <m/>
    <n v="6"/>
    <n v="56004"/>
    <s v="PE"/>
    <n v="5000538120001"/>
    <n v="0"/>
    <n v="28000"/>
    <n v="28004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3799"/>
    <n v="0"/>
    <m/>
    <s v="B02083"/>
    <m/>
    <m/>
    <s v="S0361382"/>
  </r>
  <r>
    <x v="994"/>
    <n v="10000"/>
    <n v="10000"/>
    <d v="2025-03-24T00:00:00"/>
    <s v="502LAUGH"/>
    <s v=" 8:37:20 am"/>
    <n v="164353308"/>
    <m/>
    <x v="2"/>
    <s v="Yes"/>
    <n v="60"/>
    <s v="Fujishiko UDP-5000"/>
    <x v="3"/>
    <s v="PM30"/>
    <s v="OH KIAN YUAN"/>
    <n v="1667"/>
    <n v="78.34"/>
    <n v="1.3056666666666668"/>
    <d v="2025-03-22T00:00:00"/>
    <m/>
    <n v="6"/>
    <n v="10002"/>
    <s v="PE"/>
    <n v="1282880001"/>
    <n v="0"/>
    <n v="10000"/>
    <n v="2"/>
    <n v="0"/>
    <n v="0"/>
    <n v="0"/>
    <m/>
    <m/>
    <n v="0"/>
    <m/>
    <m/>
    <m/>
    <m/>
    <m/>
    <m/>
    <m/>
    <m/>
    <n v="128288"/>
    <s v="P16186-VIETNAM"/>
    <s v="PEPPERL + FUCHS (VIETNAM) CO., LTD"/>
    <m/>
    <n v="0"/>
    <n v="0"/>
    <n v="0"/>
    <n v="0"/>
    <n v="0"/>
    <n v="0"/>
    <m/>
    <m/>
    <m/>
    <s v="No"/>
    <s v="W663812"/>
    <n v="0"/>
    <m/>
    <s v="P16186-VIETNAM"/>
    <m/>
    <m/>
    <s v="S0361401"/>
  </r>
  <r>
    <x v="995"/>
    <n v="10000"/>
    <n v="20000"/>
    <d v="2025-03-24T00:00:00"/>
    <s v="502LAUGH"/>
    <s v=" 8:45:26 am"/>
    <s v="BYG119-07/XHX2410090439/XHX24A05A0401/XHX2410130003/A500922"/>
    <m/>
    <x v="2"/>
    <s v="Yes"/>
    <n v="112"/>
    <s v="Hadesheng"/>
    <x v="3"/>
    <s v="PS07"/>
    <s v="KANG HOCK SENG"/>
    <n v="73"/>
    <n v="48.65"/>
    <n v="0.81083333333333329"/>
    <d v="2025-03-22T00:00:00"/>
    <m/>
    <n v="11"/>
    <n v="803"/>
    <s v="PE"/>
    <s v="TPK-868915-00100001"/>
    <n v="0"/>
    <n v="800"/>
    <n v="3"/>
    <n v="0"/>
    <n v="0"/>
    <n v="0"/>
    <m/>
    <m/>
    <n v="0"/>
    <m/>
    <m/>
    <m/>
    <m/>
    <m/>
    <m/>
    <m/>
    <m/>
    <s v="TPK-868915-0010"/>
    <s v="Z26002"/>
    <s v="CCL DESIGN (PENANG) SDN. BHD."/>
    <m/>
    <n v="0"/>
    <n v="0"/>
    <n v="0"/>
    <n v="0"/>
    <n v="0"/>
    <n v="0"/>
    <m/>
    <m/>
    <m/>
    <s v="No"/>
    <s v="W663360"/>
    <n v="0"/>
    <m/>
    <s v="Z26002"/>
    <m/>
    <m/>
    <s v="ZSA101775"/>
  </r>
  <r>
    <x v="961"/>
    <n v="10000"/>
    <n v="30000"/>
    <d v="2025-03-26T00:00:00"/>
    <s v="502LAUGH"/>
    <s v=" 8:51:48 am"/>
    <s v="59470/59469"/>
    <m/>
    <x v="0"/>
    <s v="Yes"/>
    <n v="96"/>
    <s v="Luster AOI"/>
    <x v="1"/>
    <s v="QM38"/>
    <s v="YIP SIEW CHING"/>
    <n v="152250"/>
    <m/>
    <m/>
    <d v="2025-03-22T00:00:00"/>
    <m/>
    <n v="6"/>
    <n v="913500"/>
    <s v="PE"/>
    <s v="MT-1000407-902RE0005"/>
    <n v="0"/>
    <n v="924375"/>
    <n v="-10875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3870"/>
    <n v="0"/>
    <m/>
    <s v="Z26002"/>
    <m/>
    <m/>
    <s v="S0361565"/>
  </r>
  <r>
    <x v="961"/>
    <n v="10000"/>
    <n v="40000"/>
    <d v="2025-03-26T00:00:00"/>
    <s v="502LAUGH"/>
    <s v=" 8:51:48 am"/>
    <s v="59470/59469"/>
    <m/>
    <x v="0"/>
    <s v="Yes"/>
    <n v="96"/>
    <s v="Luster AOI"/>
    <x v="1"/>
    <s v="QM54"/>
    <s v="TAN SWEE LENG"/>
    <n v="63000"/>
    <m/>
    <m/>
    <d v="2025-03-22T00:00:00"/>
    <m/>
    <n v="6"/>
    <n v="378000"/>
    <s v="PE"/>
    <s v="MT-1000407-902RE0005"/>
    <n v="0"/>
    <n v="382500"/>
    <n v="-4500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3870"/>
    <n v="0"/>
    <m/>
    <s v="Z26002"/>
    <m/>
    <m/>
    <s v="S0361565"/>
  </r>
  <r>
    <x v="963"/>
    <n v="10000"/>
    <n v="20000"/>
    <d v="2025-03-24T00:00:00"/>
    <s v="502LAUGH"/>
    <s v=" 8:54:07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3874"/>
    <n v="0"/>
    <m/>
    <s v="I09180"/>
    <m/>
    <m/>
    <s v="S0361667"/>
  </r>
  <r>
    <x v="963"/>
    <n v="20000"/>
    <n v="10000"/>
    <d v="2025-03-24T00:00:00"/>
    <s v="502LAUGH"/>
    <s v=" 8:54:07 am"/>
    <s v="SG-5622228 01"/>
    <m/>
    <x v="2"/>
    <s v="Yes"/>
    <n v="59"/>
    <s v="SANKI SD-300 Intermittent"/>
    <x v="2"/>
    <s v="PS32"/>
    <s v="CHONG SIOW KHEONG"/>
    <n v="2000"/>
    <n v="95"/>
    <n v="1.5833333333333333"/>
    <d v="2025-03-22T00:00:00"/>
    <m/>
    <n v="6"/>
    <n v="12000"/>
    <s v="PE"/>
    <s v="15058363-3K-R8LT0001"/>
    <n v="0"/>
    <n v="12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3874"/>
    <n v="0"/>
    <m/>
    <s v="I09180"/>
    <m/>
    <m/>
    <s v="S0361667"/>
  </r>
  <r>
    <x v="963"/>
    <n v="30000"/>
    <n v="10000"/>
    <d v="2025-03-24T00:00:00"/>
    <s v="502LAUGH"/>
    <s v=" 8:54:07 am"/>
    <s v="SG-5622228 01"/>
    <m/>
    <x v="2"/>
    <s v="Yes"/>
    <n v="59"/>
    <s v="SANKI SD-300 Intermittent"/>
    <x v="2"/>
    <s v="PS32"/>
    <s v="CHONG SIOW KHEONG"/>
    <n v="2000"/>
    <n v="95"/>
    <n v="1.5833333333333333"/>
    <d v="2025-03-22T00:00:00"/>
    <m/>
    <n v="6"/>
    <n v="12000"/>
    <s v="PE"/>
    <s v="15058363-3K-R8LT0001"/>
    <n v="0"/>
    <n v="12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3874"/>
    <n v="0"/>
    <m/>
    <s v="I09180"/>
    <m/>
    <m/>
    <s v="S0361667"/>
  </r>
  <r>
    <x v="996"/>
    <n v="10000"/>
    <n v="10000"/>
    <d v="2025-03-24T00:00:00"/>
    <s v="502LAUGH"/>
    <s v=" 9:05:18 am"/>
    <s v="SG-5622228 01"/>
    <m/>
    <x v="2"/>
    <s v="Yes"/>
    <n v="59"/>
    <s v="SANKI SD-300 Intermittent"/>
    <x v="2"/>
    <s v="PS32"/>
    <s v="CHONG SIOW KHEONG"/>
    <n v="1000"/>
    <n v="70"/>
    <n v="1.1666666666666667"/>
    <d v="2025-03-22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3877"/>
    <n v="0"/>
    <m/>
    <s v="I09180"/>
    <m/>
    <m/>
    <s v="S0361674"/>
  </r>
  <r>
    <x v="997"/>
    <n v="10000"/>
    <n v="50000"/>
    <d v="2025-04-03T00:00:00"/>
    <s v="502LAUGH"/>
    <d v="1899-12-30T10:44:12"/>
    <s v="BYG119-04/01"/>
    <s v="SC31633"/>
    <x v="2"/>
    <s v="No"/>
    <n v="79"/>
    <s v="HP Indigo 6800"/>
    <x v="4"/>
    <s v="PM16"/>
    <s v="TEO KAH JUN"/>
    <n v="1100"/>
    <n v="85"/>
    <n v="1.4166666666666667"/>
    <d v="2025-03-24T00:00:00"/>
    <m/>
    <n v="5"/>
    <n v="55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5"/>
  </r>
  <r>
    <x v="250"/>
    <n v="10000"/>
    <n v="20000"/>
    <d v="2025-04-07T00:00:00"/>
    <s v="502LAUGH"/>
    <s v=" 8:46:12 am"/>
    <s v="10639931106/10639931103/10639931102/10639931104"/>
    <s v="FSC31311"/>
    <x v="0"/>
    <s v="No"/>
    <n v="77"/>
    <s v="Brotech DF330 "/>
    <x v="0"/>
    <s v="PM74"/>
    <s v="YONG CHEE SOON"/>
    <n v="14862"/>
    <n v="292.7"/>
    <n v="4.878333333333333"/>
    <d v="2025-03-24T00:00:00"/>
    <m/>
    <n v="36"/>
    <n v="535032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5320"/>
  </r>
  <r>
    <x v="429"/>
    <n v="10000"/>
    <n v="40000"/>
    <d v="2025-03-26T00:00:00"/>
    <s v="502LAUGH"/>
    <s v=" 8:44:39 am"/>
    <n v="860909190840"/>
    <s v="FSC32057"/>
    <x v="3"/>
    <s v="No"/>
    <n v="60"/>
    <s v="Fujishiko UDP-5000"/>
    <x v="3"/>
    <s v="PM30"/>
    <s v="OH KIAN YUAN"/>
    <n v="18000"/>
    <n v="405"/>
    <n v="6.75"/>
    <d v="2025-03-24T00:00:00"/>
    <m/>
    <n v="1"/>
    <n v="18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1131"/>
  </r>
  <r>
    <x v="780"/>
    <n v="10000"/>
    <n v="20000"/>
    <d v="2025-04-01T00:00:00"/>
    <s v="502LAUGH"/>
    <s v=" 1:59:11 pm"/>
    <n v="10620258042"/>
    <s v="FSC30754"/>
    <x v="0"/>
    <s v="No"/>
    <n v="77"/>
    <s v="Brotech DF330 "/>
    <x v="0"/>
    <s v="PM74"/>
    <s v="YONG CHEE SOON"/>
    <n v="864"/>
    <n v="59.4"/>
    <n v="0.99"/>
    <d v="2025-03-24T00:00:00"/>
    <m/>
    <n v="88"/>
    <n v="76032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3"/>
  </r>
  <r>
    <x v="781"/>
    <n v="10000"/>
    <n v="30000"/>
    <d v="2025-03-25T00:00:00"/>
    <s v="502LAUGH"/>
    <s v=" 8:44:06 am"/>
    <s v="10620258041/10620258044/10620258042"/>
    <s v="FSC30754"/>
    <x v="1"/>
    <s v="No"/>
    <n v="85"/>
    <s v="Luster AOI"/>
    <x v="1"/>
    <s v="QM78"/>
    <s v="WONG SEAU JIN"/>
    <n v="10000"/>
    <m/>
    <m/>
    <d v="2025-03-24T00:00:00"/>
    <m/>
    <n v="11"/>
    <n v="11000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4"/>
  </r>
  <r>
    <x v="998"/>
    <n v="10000"/>
    <n v="10000"/>
    <d v="2025-03-28T00:00:00"/>
    <s v="502LAUGH"/>
    <s v=" 9:11:35 am"/>
    <s v="M4B4A05BGJCJ103-S24Y100108/E0531904"/>
    <s v="FD29782"/>
    <x v="2"/>
    <s v="No"/>
    <n v="66"/>
    <s v="Fujishiko "/>
    <x v="3"/>
    <s v="PM48"/>
    <s v="CHAN TZYY XUAN"/>
    <n v="170000"/>
    <n v="3445"/>
    <n v="57.416666666666664"/>
    <d v="2025-03-24T00:00:00"/>
    <m/>
    <n v="1"/>
    <n v="17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873"/>
  </r>
  <r>
    <x v="998"/>
    <n v="10000"/>
    <n v="20000"/>
    <d v="2025-03-28T00:00:00"/>
    <s v="502LAUGH"/>
    <s v=" 9:11:36 am"/>
    <s v="M4B4A05BGJCJ103-S24Y100108/E0531904"/>
    <s v="FD29782"/>
    <x v="2"/>
    <s v="No"/>
    <n v="67"/>
    <s v="Fujishoko"/>
    <x v="3"/>
    <s v="PM42"/>
    <s v="ALEXANDER YAP KEE NYEN"/>
    <n v="110000"/>
    <n v="2245"/>
    <n v="37.416666666666664"/>
    <d v="2025-03-24T00:00:00"/>
    <m/>
    <n v="1"/>
    <n v="11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4873"/>
  </r>
  <r>
    <x v="724"/>
    <n v="10000"/>
    <n v="30000"/>
    <d v="2025-03-26T00:00:00"/>
    <s v="502LAUGH"/>
    <s v=" 2:57:40 pm"/>
    <s v="10567308042/10567308043/10567308046/10567308045"/>
    <m/>
    <x v="1"/>
    <s v="Yes"/>
    <n v="91"/>
    <s v="Luster AOI"/>
    <x v="1"/>
    <s v="QM54"/>
    <s v="TAN SWEE LENG"/>
    <n v="112000"/>
    <m/>
    <m/>
    <d v="2025-03-24T00:00:00"/>
    <m/>
    <n v="9"/>
    <n v="1008000"/>
    <s v="PE"/>
    <s v="5180-0102-BH2120001"/>
    <n v="0"/>
    <n v="1000000"/>
    <n v="80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3522"/>
    <n v="0"/>
    <m/>
    <s v="H08031-JIM"/>
    <m/>
    <m/>
    <s v="S0353205"/>
  </r>
  <r>
    <x v="999"/>
    <n v="10000"/>
    <n v="20000"/>
    <d v="2025-04-01T00:00:00"/>
    <s v="502LAUGH"/>
    <s v=" 8:47:03 am"/>
    <s v="J00WA5830/J00TP9191"/>
    <m/>
    <x v="2"/>
    <s v="Yes"/>
    <n v="111"/>
    <s v="Brotech"/>
    <x v="0"/>
    <s v="PM40"/>
    <s v="NGOI CHUN YONG"/>
    <n v="56250"/>
    <n v="982.5"/>
    <n v="16.375"/>
    <d v="2025-03-24T00:00:00"/>
    <m/>
    <n v="8"/>
    <n v="450000"/>
    <s v="PE"/>
    <s v="Z512 REV 6.00001"/>
    <n v="0"/>
    <n v="449457"/>
    <n v="543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3543"/>
    <n v="0"/>
    <m/>
    <s v="R18131"/>
    <m/>
    <m/>
    <s v="S0357523"/>
  </r>
  <r>
    <x v="1000"/>
    <n v="10000"/>
    <n v="10000"/>
    <d v="2025-03-24T00:00:00"/>
    <s v="502LAUGH"/>
    <s v=" 2:53:21 pm"/>
    <s v="4103007U5"/>
    <m/>
    <x v="2"/>
    <s v="Yes"/>
    <n v="94"/>
    <s v="Taiyo"/>
    <x v="2"/>
    <s v="PM09"/>
    <s v="PANG JING FULL"/>
    <n v="3000"/>
    <m/>
    <m/>
    <d v="2025-03-24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s v="WESTERN DIGITAL STORAGE TECHNOLOGIES"/>
    <m/>
    <n v="0"/>
    <n v="0"/>
    <n v="0"/>
    <n v="0"/>
    <n v="0"/>
    <n v="0"/>
    <m/>
    <m/>
    <m/>
    <s v="No"/>
    <s v="W663545"/>
    <n v="0"/>
    <m/>
    <s v="W23041-TH"/>
    <m/>
    <m/>
    <s v="H0064473"/>
  </r>
  <r>
    <x v="1001"/>
    <n v="10000"/>
    <n v="10000"/>
    <d v="2025-03-25T00:00:00"/>
    <s v="505KANGHS"/>
    <s v=" 8:34:27 am"/>
    <s v="L4816U8015/U4A04S213"/>
    <m/>
    <x v="2"/>
    <s v="Yes"/>
    <n v="78"/>
    <s v="Baby Sanki"/>
    <x v="2"/>
    <s v="PM84"/>
    <s v="TAN TAI TOH"/>
    <n v="1667"/>
    <n v="86.674999999999997"/>
    <n v="1.4445833333333333"/>
    <d v="2025-03-24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s v="SIIX SINGAPORE PTE LTD"/>
    <m/>
    <n v="0"/>
    <n v="0"/>
    <n v="0"/>
    <n v="0"/>
    <n v="0"/>
    <n v="0"/>
    <m/>
    <m/>
    <m/>
    <s v="No"/>
    <s v="W663557"/>
    <n v="0"/>
    <m/>
    <s v="S19296"/>
    <m/>
    <m/>
    <s v="H0064594"/>
  </r>
  <r>
    <x v="1002"/>
    <n v="10000"/>
    <n v="20000"/>
    <d v="2025-03-25T00:00:00"/>
    <s v="505KANGHS"/>
    <s v=" 8:34:27 am"/>
    <s v="L4816U8015/U4A04S213"/>
    <m/>
    <x v="2"/>
    <s v="Yes"/>
    <n v="78"/>
    <s v="Baby Sanki"/>
    <x v="2"/>
    <s v="PM84"/>
    <s v="TAN TAI TOH"/>
    <n v="1667"/>
    <n v="86.674999999999997"/>
    <n v="1.4445833333333333"/>
    <d v="2025-03-24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s v="SIIX SINGAPORE PTE LTD"/>
    <m/>
    <n v="0"/>
    <n v="0"/>
    <n v="0"/>
    <n v="0"/>
    <n v="0"/>
    <n v="0"/>
    <m/>
    <m/>
    <m/>
    <s v="No"/>
    <s v="W663558"/>
    <n v="0"/>
    <m/>
    <s v="S19296"/>
    <m/>
    <m/>
    <s v="H0064597"/>
  </r>
  <r>
    <x v="1003"/>
    <n v="10000"/>
    <n v="20000"/>
    <d v="2025-03-24T00:00:00"/>
    <s v="502LAUGH"/>
    <s v=" 1:49:35 pm"/>
    <s v="A500922/XHX2408180235/XHX2410090439/XHX240901A1709/BYG119-07"/>
    <m/>
    <x v="2"/>
    <s v="Yes"/>
    <n v="112"/>
    <s v="Hadesheng"/>
    <x v="3"/>
    <s v="PM40"/>
    <s v="NGOI CHUN YONG"/>
    <n v="2273"/>
    <n v="158.65"/>
    <n v="2.6441666666666666"/>
    <d v="2025-03-24T00:00:00"/>
    <m/>
    <n v="11"/>
    <n v="25003"/>
    <s v="PE"/>
    <s v="TPK-868916-00100001"/>
    <n v="0"/>
    <n v="25000"/>
    <n v="3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3562"/>
    <n v="0"/>
    <m/>
    <s v="Z26002"/>
    <m/>
    <m/>
    <s v="S0358423"/>
  </r>
  <r>
    <x v="972"/>
    <n v="10000"/>
    <n v="20000"/>
    <d v="2025-03-25T00:00:00"/>
    <s v="502LAUGH"/>
    <s v=" 8:34:08 am"/>
    <s v="J00T59561"/>
    <m/>
    <x v="0"/>
    <s v="Yes"/>
    <n v="71"/>
    <s v="POLLY"/>
    <x v="3"/>
    <s v="PS95"/>
    <s v="LIM CHENG LEONG"/>
    <n v="8889"/>
    <m/>
    <m/>
    <d v="2025-03-24T00:00:00"/>
    <m/>
    <n v="9"/>
    <n v="80001"/>
    <s v="PE"/>
    <n v="83624420001"/>
    <n v="0"/>
    <n v="80000"/>
    <n v="1"/>
    <n v="0"/>
    <n v="0"/>
    <n v="0"/>
    <m/>
    <m/>
    <n v="0"/>
    <m/>
    <m/>
    <m/>
    <m/>
    <m/>
    <m/>
    <m/>
    <m/>
    <n v="8362442"/>
    <s v="B02083"/>
    <s v="BECTON DICKINSON MEDICAL (S) PTE LTD"/>
    <m/>
    <n v="0"/>
    <n v="0"/>
    <n v="0"/>
    <n v="0"/>
    <n v="0"/>
    <n v="0"/>
    <m/>
    <m/>
    <m/>
    <s v="No"/>
    <s v="W663567"/>
    <n v="0"/>
    <m/>
    <s v="B02083"/>
    <m/>
    <m/>
    <s v="S0359207"/>
  </r>
  <r>
    <x v="973"/>
    <n v="10000"/>
    <n v="20000"/>
    <d v="2025-03-25T00:00:00"/>
    <s v="502LAUGH"/>
    <s v=" 8:35:14 am"/>
    <s v="J00T59561"/>
    <m/>
    <x v="0"/>
    <s v="Yes"/>
    <n v="71"/>
    <s v="POLLY"/>
    <x v="3"/>
    <s v="PS95"/>
    <s v="LIM CHENG LEONG"/>
    <n v="7778"/>
    <m/>
    <m/>
    <d v="2025-03-24T00:00:00"/>
    <m/>
    <n v="8"/>
    <n v="62224"/>
    <s v="PE"/>
    <n v="83634470001"/>
    <n v="0"/>
    <n v="70000"/>
    <n v="-7776"/>
    <n v="0"/>
    <n v="0"/>
    <n v="0"/>
    <m/>
    <m/>
    <n v="0"/>
    <m/>
    <m/>
    <m/>
    <m/>
    <m/>
    <m/>
    <m/>
    <m/>
    <n v="8363447"/>
    <s v="B02083"/>
    <s v="BECTON DICKINSON MEDICAL (S) PTE LTD"/>
    <m/>
    <n v="0"/>
    <n v="0"/>
    <n v="0"/>
    <n v="0"/>
    <n v="0"/>
    <n v="0"/>
    <m/>
    <m/>
    <m/>
    <s v="No"/>
    <s v="W663569"/>
    <n v="0"/>
    <m/>
    <s v="B02083"/>
    <m/>
    <m/>
    <s v="S0359207"/>
  </r>
  <r>
    <x v="1004"/>
    <n v="10000"/>
    <n v="10000"/>
    <d v="2025-04-03T00:00:00"/>
    <s v="502LAUGH"/>
    <s v=" 9:24:01 am"/>
    <s v="1012643/80116793/XHX2412190201/XHX24911A1407/WO2024/5284"/>
    <m/>
    <x v="2"/>
    <s v="Yes"/>
    <n v="103"/>
    <s v="HDS"/>
    <x v="3"/>
    <s v="PM47"/>
    <s v="CHEAN WEI KEONG"/>
    <n v="90000"/>
    <n v="4545"/>
    <n v="75.75"/>
    <d v="2025-03-24T00:00:00"/>
    <m/>
    <n v="8"/>
    <n v="720000"/>
    <s v="PE"/>
    <s v="MT273730001"/>
    <n v="0"/>
    <n v="7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4078"/>
    <n v="0"/>
    <m/>
    <s v="Z26002"/>
    <m/>
    <m/>
    <s v="S0359227"/>
  </r>
  <r>
    <x v="1004"/>
    <n v="20000"/>
    <n v="10000"/>
    <d v="2025-04-03T00:00:00"/>
    <s v="502LAUGH"/>
    <s v=" 9:24:01 am"/>
    <s v="1012643/80116793/XHX2412190201/XHX24911A1407/WO2024/5284"/>
    <m/>
    <x v="2"/>
    <s v="Yes"/>
    <n v="103"/>
    <s v="HDS"/>
    <x v="3"/>
    <s v="PM47"/>
    <s v="CHEAN WEI KEONG"/>
    <n v="10625"/>
    <n v="576.25"/>
    <n v="9.6041666666666661"/>
    <d v="2025-03-24T00:00:00"/>
    <m/>
    <n v="8"/>
    <n v="85000"/>
    <s v="PE"/>
    <s v="MT273730001"/>
    <n v="0"/>
    <n v="8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4078"/>
    <n v="0"/>
    <m/>
    <s v="Z26002"/>
    <m/>
    <m/>
    <s v="S0359227"/>
  </r>
  <r>
    <x v="1004"/>
    <n v="20000"/>
    <n v="20000"/>
    <d v="2025-04-03T00:00:00"/>
    <s v="502LAUGH"/>
    <s v=" 9:24:01 am"/>
    <s v="1012643/80116793/XHX2412190201/XHX24911A1407/WO2024/5284"/>
    <m/>
    <x v="2"/>
    <s v="Yes"/>
    <n v="103"/>
    <s v="HDS"/>
    <x v="3"/>
    <s v="PM41"/>
    <s v="CHONG WEN XUEN"/>
    <n v="79375"/>
    <m/>
    <m/>
    <d v="2025-03-24T00:00:00"/>
    <m/>
    <n v="8"/>
    <n v="635000"/>
    <s v="PE"/>
    <s v="MT273730001"/>
    <n v="0"/>
    <n v="63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4078"/>
    <n v="0"/>
    <m/>
    <s v="Z26002"/>
    <m/>
    <m/>
    <s v="S0359227"/>
  </r>
  <r>
    <x v="787"/>
    <n v="10000"/>
    <n v="30000"/>
    <d v="2025-03-25T00:00:00"/>
    <s v="502LAUGH"/>
    <s v=" 8:40:53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N9K09-80005-FT0001"/>
    <n v="0"/>
    <n v="100000"/>
    <n v="10000"/>
    <n v="0"/>
    <n v="0"/>
    <n v="0"/>
    <m/>
    <m/>
    <n v="0"/>
    <m/>
    <m/>
    <m/>
    <m/>
    <m/>
    <m/>
    <m/>
    <m/>
    <s v="N9K09-80005-FT"/>
    <s v="H08031-JIM-M"/>
    <s v="HP MALAYSIA MANUFACTURING SDN.BHD."/>
    <m/>
    <n v="0"/>
    <n v="0"/>
    <n v="0"/>
    <n v="0"/>
    <n v="0"/>
    <n v="0"/>
    <m/>
    <m/>
    <m/>
    <s v="No"/>
    <s v="W663581"/>
    <n v="0"/>
    <m/>
    <s v="H08031-JIM-M"/>
    <m/>
    <m/>
    <s v="S0359279"/>
  </r>
  <r>
    <x v="788"/>
    <n v="10000"/>
    <n v="30000"/>
    <d v="2025-03-25T00:00:00"/>
    <s v="502LAUGH"/>
    <s v=" 8:37:51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3589"/>
    <n v="0"/>
    <m/>
    <s v="H08031-JIM-M"/>
    <m/>
    <m/>
    <s v="S0359321"/>
  </r>
  <r>
    <x v="789"/>
    <n v="10000"/>
    <n v="30000"/>
    <d v="2025-03-25T00:00:00"/>
    <s v="502LAUGH"/>
    <s v=" 8:36:34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3592"/>
    <n v="0"/>
    <m/>
    <s v="H08031-JIM-M"/>
    <m/>
    <m/>
    <s v="S0359325"/>
  </r>
  <r>
    <x v="1005"/>
    <n v="10000"/>
    <n v="10000"/>
    <d v="2025-03-25T00:00:00"/>
    <s v="505KANGHS"/>
    <s v=" 8:33:06 am"/>
    <s v="SG-5643031 01"/>
    <m/>
    <x v="2"/>
    <s v="Yes"/>
    <n v="59"/>
    <s v="SANKI SD-300 Intermittent"/>
    <x v="2"/>
    <s v="PS74"/>
    <s v="GOH CHIN TECK"/>
    <n v="373"/>
    <n v="54.325000000000003"/>
    <n v="0.90541666666666676"/>
    <d v="2025-03-24T00:00:00"/>
    <m/>
    <n v="4"/>
    <n v="1492"/>
    <s v="PE"/>
    <n v="112966360001"/>
    <n v="0"/>
    <n v="1490"/>
    <n v="2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3615"/>
    <n v="0"/>
    <m/>
    <s v="I09180"/>
    <m/>
    <m/>
    <s v="S0359876"/>
  </r>
  <r>
    <x v="1006"/>
    <n v="10000"/>
    <n v="10000"/>
    <d v="2025-03-25T00:00:00"/>
    <s v="505KANGHS"/>
    <s v=" 8:33:06 am"/>
    <s v="SG-5643031 01"/>
    <m/>
    <x v="2"/>
    <s v="Yes"/>
    <n v="59"/>
    <s v="SANKI SD-300 Intermittent"/>
    <x v="2"/>
    <s v="PS74"/>
    <s v="GOH CHIN TECK"/>
    <n v="373"/>
    <n v="54.325000000000003"/>
    <n v="0.90541666666666676"/>
    <d v="2025-03-24T00:00:00"/>
    <m/>
    <n v="4"/>
    <n v="1492"/>
    <s v="PE"/>
    <n v="112966360001"/>
    <n v="0"/>
    <n v="1490"/>
    <n v="2"/>
    <n v="0"/>
    <n v="0"/>
    <n v="0"/>
    <m/>
    <m/>
    <n v="0"/>
    <m/>
    <m/>
    <m/>
    <m/>
    <m/>
    <m/>
    <m/>
    <m/>
    <n v="11296636"/>
    <s v="I09180"/>
    <s v="ILLUMINA SINGAPORE PTE LTD"/>
    <m/>
    <n v="0"/>
    <n v="0"/>
    <n v="0"/>
    <n v="0"/>
    <n v="0"/>
    <n v="0"/>
    <m/>
    <m/>
    <m/>
    <s v="No"/>
    <s v="W663616"/>
    <n v="0"/>
    <m/>
    <s v="I09180"/>
    <m/>
    <m/>
    <s v="S0359877"/>
  </r>
  <r>
    <x v="1007"/>
    <n v="10000"/>
    <n v="20000"/>
    <d v="2025-03-25T00:00:00"/>
    <s v="502LAUGH"/>
    <d v="1899-12-30T11:24:51"/>
    <s v="M0BUE5710"/>
    <m/>
    <x v="2"/>
    <s v="Yes"/>
    <n v="94"/>
    <s v="Taiyo"/>
    <x v="2"/>
    <s v="PM09"/>
    <s v="PANG JING FULL"/>
    <n v="9000"/>
    <m/>
    <m/>
    <d v="2025-03-24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63631"/>
    <n v="0"/>
    <m/>
    <s v="W23041-TH"/>
    <m/>
    <m/>
    <s v="H0064704"/>
  </r>
  <r>
    <x v="929"/>
    <n v="10000"/>
    <n v="40000"/>
    <d v="2025-03-26T00:00:00"/>
    <s v="502LAUGH"/>
    <s v=" 5:46:05 pm"/>
    <s v="D008O0920"/>
    <m/>
    <x v="0"/>
    <s v="Yes"/>
    <n v="77"/>
    <s v="Brotech DF330 "/>
    <x v="0"/>
    <s v="PM74"/>
    <s v="YONG CHEE SOON"/>
    <n v="3667"/>
    <n v="106.11666666666667"/>
    <n v="1.7686111111111111"/>
    <d v="2025-03-24T00:00:00"/>
    <m/>
    <n v="6"/>
    <n v="22002"/>
    <s v="PE"/>
    <s v="1VV05-80009-FT0001"/>
    <n v="0"/>
    <n v="20000"/>
    <n v="2002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63635"/>
    <n v="0"/>
    <m/>
    <s v="H08031-JIM-M"/>
    <m/>
    <m/>
    <s v="S0360936"/>
  </r>
  <r>
    <x v="796"/>
    <n v="10000"/>
    <n v="30000"/>
    <d v="2025-03-25T00:00:00"/>
    <s v="502LAUGH"/>
    <s v=" 8:38:46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s v="HP MALAYSIA MANUFACTURING SDN.BHD."/>
    <m/>
    <n v="0"/>
    <n v="0"/>
    <n v="0"/>
    <n v="0"/>
    <n v="0"/>
    <n v="0"/>
    <m/>
    <m/>
    <m/>
    <s v="No"/>
    <s v="W663645"/>
    <n v="0"/>
    <m/>
    <s v="H08031-JIM-M"/>
    <m/>
    <m/>
    <s v="S0361016"/>
  </r>
  <r>
    <x v="1008"/>
    <n v="10000"/>
    <n v="10000"/>
    <d v="2025-03-26T00:00:00"/>
    <s v="502LAUGH"/>
    <s v=" 9:21:48 am"/>
    <s v="5323501-03-04-02/5323501-03-02-03/5323501-03-04-04"/>
    <m/>
    <x v="2"/>
    <s v="Yes"/>
    <n v="90"/>
    <s v="HDS"/>
    <x v="3"/>
    <s v="PM35"/>
    <s v="TAN MIN KANG"/>
    <n v="27000"/>
    <n v="1395"/>
    <n v="23.25"/>
    <d v="2025-03-2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3655"/>
    <n v="0"/>
    <m/>
    <s v="S19081-TH"/>
    <m/>
    <m/>
    <s v="H0064764"/>
  </r>
  <r>
    <x v="1008"/>
    <n v="10000"/>
    <n v="20000"/>
    <d v="2025-03-26T00:00:00"/>
    <s v="502LAUGH"/>
    <s v=" 9:21:48 am"/>
    <s v="5323501-03-04-02/5323501-03-02-03/5323501-03-04-04"/>
    <m/>
    <x v="2"/>
    <s v="Yes"/>
    <n v="90"/>
    <s v="HDS"/>
    <x v="3"/>
    <s v="QC04"/>
    <s v="YANG TONGJING"/>
    <n v="27000"/>
    <m/>
    <m/>
    <d v="2025-03-2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3655"/>
    <n v="0"/>
    <m/>
    <s v="S19081-TH"/>
    <m/>
    <m/>
    <s v="H0064764"/>
  </r>
  <r>
    <x v="1009"/>
    <n v="10000"/>
    <n v="10000"/>
    <d v="2025-03-25T00:00:00"/>
    <s v="505KANGHS"/>
    <s v=" 8:37:41 am"/>
    <s v="4103023U5"/>
    <m/>
    <x v="2"/>
    <s v="Yes"/>
    <n v="46"/>
    <s v="Sanki 300 Intermittent"/>
    <x v="2"/>
    <s v="PS66"/>
    <s v="SIM ENG KWANG"/>
    <n v="3000"/>
    <n v="120"/>
    <n v="2"/>
    <d v="2025-03-24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s v="JMS SINGAPORE PTE LTD"/>
    <m/>
    <n v="0"/>
    <n v="0"/>
    <n v="0"/>
    <n v="0"/>
    <n v="0"/>
    <n v="0"/>
    <m/>
    <m/>
    <m/>
    <s v="No"/>
    <s v="W663679"/>
    <n v="0"/>
    <m/>
    <s v="J10025"/>
    <m/>
    <m/>
    <s v="S0361088"/>
  </r>
  <r>
    <x v="1010"/>
    <n v="10000"/>
    <n v="20000"/>
    <d v="2025-03-25T00:00:00"/>
    <s v="502LAUGH"/>
    <s v=" 8:50:48 am"/>
    <s v="4103023U5"/>
    <m/>
    <x v="2"/>
    <s v="Yes"/>
    <n v="46"/>
    <s v="Sanki 300 Intermittent"/>
    <x v="2"/>
    <s v="PS66"/>
    <s v="SIM ENG KWANG"/>
    <n v="1000"/>
    <n v="70"/>
    <n v="1.1666666666666667"/>
    <d v="2025-03-24T00:00:00"/>
    <m/>
    <n v="1"/>
    <n v="1000"/>
    <s v="PE"/>
    <s v="260-6432-000001"/>
    <n v="0"/>
    <n v="1000"/>
    <n v="0"/>
    <n v="0"/>
    <n v="0"/>
    <n v="0"/>
    <m/>
    <m/>
    <n v="0"/>
    <m/>
    <m/>
    <m/>
    <m/>
    <m/>
    <m/>
    <m/>
    <m/>
    <s v="260-6432-00"/>
    <s v="J10025"/>
    <s v="JMS SINGAPORE PTE LTD"/>
    <m/>
    <n v="0"/>
    <n v="0"/>
    <n v="0"/>
    <n v="0"/>
    <n v="0"/>
    <n v="0"/>
    <m/>
    <m/>
    <m/>
    <s v="No"/>
    <s v="W663681"/>
    <n v="0"/>
    <m/>
    <s v="J10025"/>
    <m/>
    <m/>
    <s v="S0361089"/>
  </r>
  <r>
    <x v="1011"/>
    <n v="10000"/>
    <n v="10000"/>
    <d v="2025-03-26T00:00:00"/>
    <s v="502LAUGH"/>
    <s v=" 8:34:15 am"/>
    <s v="4060118U5"/>
    <m/>
    <x v="2"/>
    <s v="Yes"/>
    <n v="12"/>
    <s v="FSK SR520"/>
    <x v="2"/>
    <s v="PP05"/>
    <s v="WONG KIM FATT"/>
    <n v="21000"/>
    <n v="465"/>
    <n v="7.75"/>
    <d v="2025-03-24T00:00:00"/>
    <m/>
    <n v="1"/>
    <n v="21000"/>
    <s v="PE"/>
    <s v="250-6259-000001"/>
    <n v="0"/>
    <n v="21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3696"/>
    <n v="0"/>
    <m/>
    <s v="J10025"/>
    <m/>
    <m/>
    <s v="S0361169"/>
  </r>
  <r>
    <x v="1012"/>
    <n v="10000"/>
    <n v="10000"/>
    <d v="2025-03-25T00:00:00"/>
    <s v="502LAUGH"/>
    <d v="1899-12-30T12:51:41"/>
    <s v="4090412U5A"/>
    <m/>
    <x v="2"/>
    <s v="Yes"/>
    <n v="22"/>
    <s v="FSK B100"/>
    <x v="2"/>
    <s v="PS13"/>
    <s v="YEE CHENG MENG"/>
    <n v="15000"/>
    <n v="345"/>
    <n v="5.75"/>
    <d v="2025-03-24T00:00:00"/>
    <m/>
    <n v="1"/>
    <n v="15000"/>
    <s v="PE"/>
    <s v="260-6163-000001"/>
    <n v="0"/>
    <n v="15000"/>
    <n v="0"/>
    <n v="0"/>
    <n v="0"/>
    <n v="0"/>
    <m/>
    <m/>
    <n v="0"/>
    <m/>
    <m/>
    <m/>
    <m/>
    <m/>
    <m/>
    <m/>
    <m/>
    <s v="260-6163-00"/>
    <s v="J10025"/>
    <s v="JMS SINGAPORE PTE LTD"/>
    <m/>
    <n v="0"/>
    <n v="0"/>
    <n v="0"/>
    <n v="0"/>
    <n v="0"/>
    <n v="0"/>
    <m/>
    <m/>
    <m/>
    <s v="No"/>
    <s v="W663707"/>
    <n v="0"/>
    <m/>
    <s v="J10025"/>
    <m/>
    <m/>
    <s v="S0361175"/>
  </r>
  <r>
    <x v="1013"/>
    <n v="10000"/>
    <n v="10000"/>
    <d v="2025-03-25T00:00:00"/>
    <s v="502LAUGH"/>
    <d v="1899-12-30T11:26:11"/>
    <s v="5011628U5A"/>
    <m/>
    <x v="2"/>
    <s v="Yes"/>
    <n v="61"/>
    <s v="FSK 520"/>
    <x v="2"/>
    <s v="PM61"/>
    <s v="HO CHAN LE"/>
    <n v="3250"/>
    <n v="110"/>
    <n v="1.8333333333333333"/>
    <d v="2025-03-24T00:00:00"/>
    <m/>
    <n v="4"/>
    <n v="13000"/>
    <s v="PE"/>
    <s v="260-6338-000001"/>
    <n v="0"/>
    <n v="13000"/>
    <n v="0"/>
    <n v="0"/>
    <n v="0"/>
    <n v="0"/>
    <m/>
    <m/>
    <n v="0"/>
    <m/>
    <m/>
    <m/>
    <m/>
    <m/>
    <m/>
    <m/>
    <m/>
    <s v="260-6338-00"/>
    <s v="J10025"/>
    <s v="JMS SINGAPORE PTE LTD"/>
    <m/>
    <n v="0"/>
    <n v="0"/>
    <n v="0"/>
    <n v="0"/>
    <n v="0"/>
    <n v="0"/>
    <m/>
    <m/>
    <m/>
    <s v="No"/>
    <s v="W663711"/>
    <n v="0"/>
    <m/>
    <s v="J10025"/>
    <m/>
    <m/>
    <s v="S0361175"/>
  </r>
  <r>
    <x v="1014"/>
    <n v="10000"/>
    <n v="10000"/>
    <d v="2025-03-24T00:00:00"/>
    <s v="502LAUGH"/>
    <s v=" 2:54:12 pm"/>
    <s v="5011702U5"/>
    <m/>
    <x v="2"/>
    <s v="Yes"/>
    <n v="61"/>
    <s v="FSK 520"/>
    <x v="2"/>
    <s v="PM61"/>
    <s v="HO CHAN LE"/>
    <n v="5000"/>
    <n v="145"/>
    <n v="2.4166666666666665"/>
    <d v="2025-03-24T00:00:00"/>
    <m/>
    <n v="4"/>
    <n v="20000"/>
    <s v="PE"/>
    <s v="250-6188-000001"/>
    <n v="0"/>
    <n v="20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64097"/>
    <n v="0"/>
    <m/>
    <s v="J10025"/>
    <m/>
    <m/>
    <s v="S0361177"/>
  </r>
  <r>
    <x v="1015"/>
    <n v="10000"/>
    <n v="10000"/>
    <d v="2025-03-25T00:00:00"/>
    <s v="505KANGHS"/>
    <s v=" 8:37:41 am"/>
    <s v="5011701U5"/>
    <m/>
    <x v="2"/>
    <s v="Yes"/>
    <n v="61"/>
    <s v="FSK 520"/>
    <x v="2"/>
    <s v="PM61"/>
    <s v="HO CHAN LE"/>
    <n v="7000"/>
    <n v="185"/>
    <n v="3.0833333333333335"/>
    <d v="2025-03-24T00:00:00"/>
    <m/>
    <n v="4"/>
    <n v="28000"/>
    <s v="PE"/>
    <s v="260-6306-000001"/>
    <n v="0"/>
    <n v="28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3721"/>
    <n v="0"/>
    <m/>
    <s v="J10025"/>
    <m/>
    <m/>
    <s v="S0361177"/>
  </r>
  <r>
    <x v="642"/>
    <n v="10000"/>
    <n v="20000"/>
    <d v="2025-04-01T00:00:00"/>
    <s v="502LAUGH"/>
    <s v=" 2:02:46 pm"/>
    <n v="10639931114"/>
    <m/>
    <x v="0"/>
    <s v="Yes"/>
    <n v="77"/>
    <s v="Brotech DF330 "/>
    <x v="0"/>
    <s v="PM74"/>
    <s v="YONG CHEE SOON"/>
    <n v="3576"/>
    <n v="104.6"/>
    <n v="1.7433333333333332"/>
    <d v="2025-03-24T00:00:00"/>
    <m/>
    <n v="66"/>
    <n v="236016"/>
    <s v="PE"/>
    <s v="6ZD21-800010001"/>
    <n v="0"/>
    <n v="215000"/>
    <n v="21016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4106"/>
    <n v="0"/>
    <m/>
    <s v="H08031-JIM-M"/>
    <m/>
    <m/>
    <s v="S0361191"/>
  </r>
  <r>
    <x v="818"/>
    <n v="10000"/>
    <n v="30000"/>
    <d v="2025-03-25T00:00:00"/>
    <s v="502LAUGH"/>
    <s v=" 8:39:42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4107"/>
    <n v="0"/>
    <m/>
    <s v="H08031-JIM-M"/>
    <m/>
    <m/>
    <s v="S0361192"/>
  </r>
  <r>
    <x v="648"/>
    <n v="10000"/>
    <n v="20000"/>
    <d v="2025-03-28T00:00:00"/>
    <s v="502LAUGH"/>
    <s v=" 5:04:08 pm"/>
    <n v="10639931114"/>
    <m/>
    <x v="0"/>
    <s v="Yes"/>
    <n v="77"/>
    <s v="Brotech DF330 "/>
    <x v="0"/>
    <s v="PM74"/>
    <s v="YONG CHEE SOON"/>
    <n v="1364"/>
    <n v="67.733333333333334"/>
    <n v="1.1288888888888888"/>
    <d v="2025-03-24T00:00:00"/>
    <m/>
    <n v="66"/>
    <n v="90024"/>
    <s v="PE"/>
    <s v="C2P08-80005-FT0001"/>
    <n v="0"/>
    <n v="80000"/>
    <n v="10024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64110"/>
    <n v="0"/>
    <m/>
    <s v="H08031-JIM-M"/>
    <m/>
    <m/>
    <s v="S0361215"/>
  </r>
  <r>
    <x v="1016"/>
    <n v="10000"/>
    <n v="10000"/>
    <d v="2025-03-25T00:00:00"/>
    <s v="502LAUGH"/>
    <d v="1899-12-30T10:37:09"/>
    <s v="U2017S015/4723U8017"/>
    <m/>
    <x v="2"/>
    <s v="Yes"/>
    <n v="61"/>
    <s v="FSK 520"/>
    <x v="2"/>
    <s v="PM68"/>
    <s v="LEE KIM LIANG"/>
    <n v="2000"/>
    <n v="85"/>
    <n v="1.4166666666666667"/>
    <d v="2025-03-24T00:00:00"/>
    <m/>
    <n v="5"/>
    <n v="10000"/>
    <s v="PE"/>
    <s v="2V642190001"/>
    <n v="0"/>
    <n v="10000"/>
    <n v="0"/>
    <n v="0"/>
    <n v="0"/>
    <n v="0"/>
    <m/>
    <m/>
    <n v="0"/>
    <m/>
    <m/>
    <m/>
    <m/>
    <m/>
    <m/>
    <m/>
    <m/>
    <s v="2V64219"/>
    <s v="T20198"/>
    <s v="ST NETWORK"/>
    <m/>
    <n v="0"/>
    <n v="0"/>
    <n v="0"/>
    <n v="0"/>
    <n v="0"/>
    <n v="0"/>
    <m/>
    <m/>
    <m/>
    <s v="No"/>
    <s v="W663746"/>
    <n v="0"/>
    <m/>
    <s v="T20198"/>
    <m/>
    <m/>
    <s v="S0361254"/>
  </r>
  <r>
    <x v="1017"/>
    <n v="10000"/>
    <n v="10000"/>
    <d v="2025-03-25T00:00:00"/>
    <s v="502LAUGH"/>
    <s v=" 1:25:20 pm"/>
    <s v="SG-5643031 01"/>
    <m/>
    <x v="2"/>
    <s v="Yes"/>
    <n v="59"/>
    <s v="SANKI SD-300 Intermittent"/>
    <x v="2"/>
    <s v="PS74"/>
    <s v="GOH CHIN TECK"/>
    <n v="2905"/>
    <n v="117.625"/>
    <n v="1.9604166666666667"/>
    <d v="2025-03-24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3748"/>
    <n v="0"/>
    <m/>
    <s v="I09180"/>
    <m/>
    <m/>
    <s v="S0361260"/>
  </r>
  <r>
    <x v="1017"/>
    <n v="20000"/>
    <n v="10000"/>
    <d v="2025-03-25T00:00:00"/>
    <s v="502LAUGH"/>
    <s v=" 1:25:20 pm"/>
    <s v="SG-5643031 01"/>
    <m/>
    <x v="2"/>
    <s v="Yes"/>
    <n v="59"/>
    <s v="SANKI SD-300 Intermittent"/>
    <x v="2"/>
    <s v="PS74"/>
    <s v="GOH CHIN TECK"/>
    <n v="2905"/>
    <n v="117.625"/>
    <n v="1.9604166666666667"/>
    <d v="2025-03-24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3748"/>
    <n v="0"/>
    <m/>
    <s v="I09180"/>
    <m/>
    <m/>
    <s v="S0361260"/>
  </r>
  <r>
    <x v="1017"/>
    <n v="30000"/>
    <n v="10000"/>
    <d v="2025-03-25T00:00:00"/>
    <s v="502LAUGH"/>
    <s v=" 1:25:20 pm"/>
    <s v="SG-5643031 01"/>
    <m/>
    <x v="2"/>
    <s v="Yes"/>
    <n v="59"/>
    <s v="SANKI SD-300 Intermittent"/>
    <x v="2"/>
    <s v="PS74"/>
    <s v="GOH CHIN TECK"/>
    <n v="2905"/>
    <n v="117.625"/>
    <n v="1.9604166666666667"/>
    <d v="2025-03-24T00:00:00"/>
    <m/>
    <n v="2"/>
    <n v="5810"/>
    <s v="PE"/>
    <n v="112887160001"/>
    <n v="0"/>
    <n v="581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3748"/>
    <n v="0"/>
    <m/>
    <s v="I09180"/>
    <m/>
    <m/>
    <s v="S0361260"/>
  </r>
  <r>
    <x v="1018"/>
    <n v="10000"/>
    <n v="10000"/>
    <d v="2025-03-24T00:00:00"/>
    <s v="502LAUGH"/>
    <s v=" 4:10:14 pm"/>
    <s v="SG-5643031 01"/>
    <m/>
    <x v="2"/>
    <s v="Yes"/>
    <n v="59"/>
    <s v="SANKI SD-300 Intermittent"/>
    <x v="2"/>
    <s v="PS74"/>
    <s v="GOH CHIN TECK"/>
    <n v="1549"/>
    <n v="83.724999999999994"/>
    <n v="1.3954166666666665"/>
    <d v="2025-03-24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3750"/>
    <n v="0"/>
    <m/>
    <s v="I09180"/>
    <m/>
    <m/>
    <s v="S0361268"/>
  </r>
  <r>
    <x v="1018"/>
    <n v="20000"/>
    <n v="10000"/>
    <d v="2025-03-24T00:00:00"/>
    <s v="502LAUGH"/>
    <s v=" 4:10:14 pm"/>
    <s v="SG-5643031 01"/>
    <m/>
    <x v="2"/>
    <s v="Yes"/>
    <n v="59"/>
    <s v="SANKI SD-300 Intermittent"/>
    <x v="2"/>
    <s v="PS74"/>
    <s v="GOH CHIN TECK"/>
    <n v="1549"/>
    <n v="83.724999999999994"/>
    <n v="1.3954166666666665"/>
    <d v="2025-03-24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3750"/>
    <n v="0"/>
    <m/>
    <s v="I09180"/>
    <m/>
    <m/>
    <s v="S0361268"/>
  </r>
  <r>
    <x v="1018"/>
    <n v="30000"/>
    <n v="10000"/>
    <d v="2025-03-24T00:00:00"/>
    <s v="502LAUGH"/>
    <s v=" 4:10:14 pm"/>
    <s v="SG-5643031 01"/>
    <m/>
    <x v="2"/>
    <s v="Yes"/>
    <n v="59"/>
    <s v="SANKI SD-300 Intermittent"/>
    <x v="2"/>
    <s v="PS74"/>
    <s v="GOH CHIN TECK"/>
    <n v="1549"/>
    <n v="83.724999999999994"/>
    <n v="1.3954166666666665"/>
    <d v="2025-03-24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3750"/>
    <n v="0"/>
    <m/>
    <s v="I09180"/>
    <m/>
    <m/>
    <s v="S0361268"/>
  </r>
  <r>
    <x v="1019"/>
    <n v="10000"/>
    <n v="10000"/>
    <d v="2025-03-24T00:00:00"/>
    <s v="502LAUGH"/>
    <s v=" 2:53:21 pm"/>
    <s v="4103007U5"/>
    <m/>
    <x v="2"/>
    <s v="Yes"/>
    <n v="94"/>
    <s v="Taiyo"/>
    <x v="2"/>
    <s v="PM09"/>
    <s v="PANG JING FULL"/>
    <n v="167"/>
    <m/>
    <m/>
    <d v="2025-03-24T00:00:00"/>
    <m/>
    <n v="6"/>
    <n v="1002"/>
    <s v="PE"/>
    <s v="L001-772785-00000003"/>
    <n v="0"/>
    <n v="1000"/>
    <n v="2"/>
    <n v="0"/>
    <n v="0"/>
    <n v="0"/>
    <m/>
    <m/>
    <n v="0"/>
    <m/>
    <m/>
    <m/>
    <m/>
    <m/>
    <m/>
    <m/>
    <m/>
    <s v="L001-772785-000003ZL"/>
    <s v="X24001-WD-SUZHOU"/>
    <s v="TELEPLAN TECHNOLOGIES (SUZHOU) CO., LTD"/>
    <m/>
    <n v="0"/>
    <n v="0"/>
    <n v="0"/>
    <n v="0"/>
    <n v="0"/>
    <n v="0"/>
    <m/>
    <m/>
    <m/>
    <s v="No"/>
    <s v="W663760"/>
    <n v="0"/>
    <m/>
    <s v="X24001-WD-SUZHOU"/>
    <m/>
    <m/>
    <s v="S0361288"/>
  </r>
  <r>
    <x v="1020"/>
    <n v="10000"/>
    <n v="10000"/>
    <d v="2025-03-25T00:00:00"/>
    <s v="505KANGHS"/>
    <s v=" 8:32:10 am"/>
    <s v="4090408U5A"/>
    <m/>
    <x v="2"/>
    <s v="Yes"/>
    <n v="60"/>
    <s v="Fujishiko UDP-5000"/>
    <x v="3"/>
    <s v="PM30"/>
    <s v="OH KIAN YUAN"/>
    <n v="1000"/>
    <n v="65"/>
    <n v="1.0833333333333333"/>
    <d v="2025-03-24T00:00:00"/>
    <m/>
    <n v="1"/>
    <n v="1000"/>
    <s v="PE"/>
    <s v="250-8026-010001"/>
    <n v="0"/>
    <n v="1000"/>
    <n v="0"/>
    <n v="0"/>
    <n v="0"/>
    <n v="0"/>
    <m/>
    <m/>
    <n v="0"/>
    <m/>
    <m/>
    <m/>
    <m/>
    <m/>
    <m/>
    <m/>
    <m/>
    <s v="250-8026-01"/>
    <s v="J10025"/>
    <s v="JMS SINGAPORE PTE LTD"/>
    <m/>
    <n v="0"/>
    <n v="0"/>
    <n v="0"/>
    <n v="0"/>
    <n v="0"/>
    <n v="0"/>
    <m/>
    <m/>
    <m/>
    <s v="No"/>
    <s v="W663779"/>
    <n v="0"/>
    <m/>
    <s v="J10025"/>
    <m/>
    <m/>
    <s v="S0361372"/>
  </r>
  <r>
    <x v="1021"/>
    <n v="10000"/>
    <n v="10000"/>
    <d v="2025-03-24T00:00:00"/>
    <s v="502LAUGH"/>
    <d v="1899-12-30T11:37:04"/>
    <s v="J00VB7941"/>
    <m/>
    <x v="2"/>
    <s v="Yes"/>
    <n v="22"/>
    <s v="FSK B100"/>
    <x v="2"/>
    <s v="PS13"/>
    <s v="YEE CHENG MENG"/>
    <n v="3000"/>
    <n v="105"/>
    <n v="1.75"/>
    <d v="2025-03-24T00:00:00"/>
    <m/>
    <n v="1"/>
    <n v="3000"/>
    <s v="PE"/>
    <s v="250-5329-000001"/>
    <n v="0"/>
    <n v="3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63780"/>
    <n v="0"/>
    <m/>
    <s v="J10025"/>
    <m/>
    <m/>
    <s v="S0361373"/>
  </r>
  <r>
    <x v="1022"/>
    <n v="10000"/>
    <n v="10000"/>
    <d v="2025-03-24T00:00:00"/>
    <s v="502LAUGH"/>
    <s v=" 1:52:08 pm"/>
    <s v="4100517U5A"/>
    <m/>
    <x v="2"/>
    <s v="Yes"/>
    <n v="46"/>
    <s v="Sanki 300 Intermittent"/>
    <x v="2"/>
    <s v="PS66"/>
    <s v="SIM ENG KWANG"/>
    <n v="3000"/>
    <n v="120"/>
    <n v="2"/>
    <d v="2025-03-24T00:00:00"/>
    <m/>
    <n v="1"/>
    <n v="3000"/>
    <s v="PE"/>
    <s v="250-6157-000001"/>
    <n v="0"/>
    <n v="3000"/>
    <n v="0"/>
    <n v="0"/>
    <n v="0"/>
    <n v="0"/>
    <m/>
    <m/>
    <n v="0"/>
    <m/>
    <m/>
    <m/>
    <m/>
    <m/>
    <m/>
    <m/>
    <m/>
    <s v="250-6157-00"/>
    <s v="J10025"/>
    <s v="JMS SINGAPORE PTE LTD"/>
    <m/>
    <n v="0"/>
    <n v="0"/>
    <n v="0"/>
    <n v="0"/>
    <n v="0"/>
    <n v="0"/>
    <m/>
    <m/>
    <m/>
    <s v="No"/>
    <s v="W663783"/>
    <n v="0"/>
    <m/>
    <s v="J10025"/>
    <m/>
    <m/>
    <s v="S0361373"/>
  </r>
  <r>
    <x v="1023"/>
    <n v="10000"/>
    <n v="10000"/>
    <d v="2025-03-24T00:00:00"/>
    <s v="502LAUGH"/>
    <s v=" 2:54:12 pm"/>
    <s v="5011702U5"/>
    <m/>
    <x v="2"/>
    <s v="Yes"/>
    <n v="61"/>
    <s v="FSK 520"/>
    <x v="2"/>
    <s v="PM61"/>
    <s v="HO CHAN LE"/>
    <n v="1250"/>
    <n v="70"/>
    <n v="1.1666666666666667"/>
    <d v="2025-03-24T00:00:00"/>
    <m/>
    <n v="4"/>
    <n v="5000"/>
    <s v="PE"/>
    <s v="250-6188-000001"/>
    <n v="0"/>
    <n v="5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63785"/>
    <n v="0"/>
    <m/>
    <s v="J10025"/>
    <m/>
    <m/>
    <s v="S0361373"/>
  </r>
  <r>
    <x v="1024"/>
    <n v="10000"/>
    <n v="10000"/>
    <d v="2025-03-25T00:00:00"/>
    <s v="505KANGHS"/>
    <s v=" 8:36:10 am"/>
    <s v="U531252097/503011926"/>
    <m/>
    <x v="2"/>
    <s v="Yes"/>
    <n v="32"/>
    <s v="Lintec Intermittent"/>
    <x v="2"/>
    <s v="PM26"/>
    <s v="TAN AIK KEONG"/>
    <n v="5860"/>
    <m/>
    <m/>
    <d v="2025-03-24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3786"/>
    <n v="0"/>
    <m/>
    <s v="J10025"/>
    <m/>
    <m/>
    <s v="S0361376"/>
  </r>
  <r>
    <x v="1025"/>
    <n v="10000"/>
    <n v="10000"/>
    <d v="2025-03-25T00:00:00"/>
    <s v="505KANGHS"/>
    <s v=" 8:36:10 am"/>
    <s v="U531252097/503011926"/>
    <m/>
    <x v="2"/>
    <s v="Yes"/>
    <n v="32"/>
    <s v="Lintec Intermittent"/>
    <x v="2"/>
    <s v="PM26"/>
    <s v="TAN AIK KEONG"/>
    <n v="5860"/>
    <m/>
    <m/>
    <d v="2025-03-24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4128"/>
    <n v="0"/>
    <m/>
    <s v="J10025"/>
    <m/>
    <m/>
    <s v="S0361377"/>
  </r>
  <r>
    <x v="895"/>
    <n v="10000"/>
    <n v="20000"/>
    <d v="2025-03-24T00:00:00"/>
    <s v="502LAUGH"/>
    <s v=" 1:51:45 pm"/>
    <s v="J00T59561"/>
    <m/>
    <x v="0"/>
    <s v="Yes"/>
    <n v="71"/>
    <s v="POLLY"/>
    <x v="3"/>
    <s v="PS95"/>
    <s v="LIM CHENG LEONG"/>
    <n v="1867"/>
    <m/>
    <m/>
    <d v="2025-03-24T00:00:00"/>
    <m/>
    <n v="6"/>
    <n v="11202"/>
    <s v="PE"/>
    <n v="5000532080001"/>
    <n v="0"/>
    <n v="11200"/>
    <n v="2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3797"/>
    <n v="0"/>
    <m/>
    <s v="B02083"/>
    <m/>
    <m/>
    <s v="S0361382"/>
  </r>
  <r>
    <x v="1026"/>
    <n v="10000"/>
    <n v="10000"/>
    <d v="2025-03-24T00:00:00"/>
    <s v="502LAUGH"/>
    <s v=" 3:49:36 pm"/>
    <s v="2962621-001"/>
    <m/>
    <x v="2"/>
    <s v="Yes"/>
    <n v="31"/>
    <s v="Sanki SKP250 Full Rotary"/>
    <x v="2"/>
    <s v="PS19"/>
    <s v="SNG KOK CHENG"/>
    <n v="500"/>
    <n v="57.5"/>
    <n v="0.95833333333333337"/>
    <d v="2025-03-24T00:00:00"/>
    <m/>
    <n v="1"/>
    <n v="500"/>
    <s v="PE"/>
    <s v="XTR-140.1878.13-0001"/>
    <n v="0"/>
    <n v="500"/>
    <n v="0"/>
    <n v="0"/>
    <n v="0"/>
    <n v="0"/>
    <m/>
    <m/>
    <n v="0"/>
    <m/>
    <m/>
    <m/>
    <m/>
    <m/>
    <m/>
    <m/>
    <m/>
    <s v="XTR-140.1878.13-S"/>
    <s v="L12161"/>
    <s v="TECAN CDMO SOLUTIONS PN SDN BHD"/>
    <m/>
    <n v="0"/>
    <n v="0"/>
    <n v="0"/>
    <n v="0"/>
    <n v="0"/>
    <n v="0"/>
    <m/>
    <m/>
    <m/>
    <s v="No"/>
    <s v="W663801"/>
    <n v="0"/>
    <m/>
    <s v="L12161"/>
    <m/>
    <m/>
    <s v="S0361386"/>
  </r>
  <r>
    <x v="1027"/>
    <n v="10000"/>
    <n v="10000"/>
    <d v="2025-03-25T00:00:00"/>
    <s v="505KANGHS"/>
    <s v=" 8:32:10 am"/>
    <s v="2962621-001"/>
    <m/>
    <x v="2"/>
    <s v="Yes"/>
    <n v="31"/>
    <s v="Sanki SKP250 Full Rotary"/>
    <x v="2"/>
    <s v="PS19"/>
    <s v="SNG KOK CHENG"/>
    <n v="500"/>
    <n v="57.5"/>
    <n v="0.95833333333333337"/>
    <d v="2025-03-24T00:00:00"/>
    <m/>
    <n v="1"/>
    <n v="500"/>
    <s v="PE"/>
    <s v="XTR-140.1892.12-0001"/>
    <n v="0"/>
    <n v="500"/>
    <n v="0"/>
    <n v="0"/>
    <n v="0"/>
    <n v="0"/>
    <m/>
    <m/>
    <n v="0"/>
    <m/>
    <m/>
    <m/>
    <m/>
    <m/>
    <m/>
    <m/>
    <m/>
    <s v="XTR-140.1892.12-S"/>
    <s v="L12161"/>
    <s v="TECAN CDMO SOLUTIONS PN SDN BHD"/>
    <m/>
    <n v="0"/>
    <n v="0"/>
    <n v="0"/>
    <n v="0"/>
    <n v="0"/>
    <n v="0"/>
    <m/>
    <m/>
    <m/>
    <s v="No"/>
    <s v="W663802"/>
    <n v="0"/>
    <m/>
    <s v="L12161"/>
    <m/>
    <m/>
    <s v="S0361386"/>
  </r>
  <r>
    <x v="950"/>
    <n v="10000"/>
    <n v="20000"/>
    <d v="2025-03-26T00:00:00"/>
    <s v="502LAUGH"/>
    <s v=" 8:36:04 am"/>
    <s v="4820U8013"/>
    <m/>
    <x v="0"/>
    <s v="Yes"/>
    <n v="92"/>
    <s v="Polly Digital Cut"/>
    <x v="6"/>
    <s v="PM87"/>
    <s v="LEE SHIEN WEI"/>
    <n v="1800"/>
    <m/>
    <m/>
    <d v="2025-03-24T00:00:00"/>
    <m/>
    <n v="3"/>
    <n v="5400"/>
    <s v="PE"/>
    <s v="241076-120001"/>
    <n v="0"/>
    <n v="5000"/>
    <n v="400"/>
    <n v="0"/>
    <n v="0"/>
    <n v="0"/>
    <m/>
    <m/>
    <n v="0"/>
    <m/>
    <m/>
    <m/>
    <m/>
    <m/>
    <m/>
    <m/>
    <m/>
    <s v="241076-12"/>
    <s v="T20115"/>
    <s v="ABB  PTE. LTD."/>
    <m/>
    <n v="0"/>
    <n v="0"/>
    <n v="0"/>
    <n v="0"/>
    <n v="0"/>
    <n v="0"/>
    <m/>
    <m/>
    <m/>
    <s v="No"/>
    <s v="W663804"/>
    <n v="0"/>
    <m/>
    <s v="T20115"/>
    <m/>
    <m/>
    <s v="S0361393"/>
  </r>
  <r>
    <x v="951"/>
    <n v="10000"/>
    <n v="20000"/>
    <d v="2025-03-26T00:00:00"/>
    <s v="502LAUGH"/>
    <s v=" 8:36:41 am"/>
    <s v="4820U8013"/>
    <m/>
    <x v="0"/>
    <s v="Yes"/>
    <n v="92"/>
    <s v="Polly Digital Cut"/>
    <x v="6"/>
    <s v="PM87"/>
    <s v="LEE SHIEN WEI"/>
    <n v="1800"/>
    <m/>
    <m/>
    <d v="2025-03-24T00:00:00"/>
    <m/>
    <n v="3"/>
    <n v="5400"/>
    <s v="PE"/>
    <s v="241077-120001"/>
    <n v="0"/>
    <n v="5000"/>
    <n v="400"/>
    <n v="0"/>
    <n v="0"/>
    <n v="0"/>
    <m/>
    <m/>
    <n v="0"/>
    <m/>
    <m/>
    <m/>
    <m/>
    <m/>
    <m/>
    <m/>
    <m/>
    <s v="241077-12"/>
    <s v="T20115"/>
    <s v="ABB  PTE. LTD."/>
    <m/>
    <n v="0"/>
    <n v="0"/>
    <n v="0"/>
    <n v="0"/>
    <n v="0"/>
    <n v="0"/>
    <m/>
    <m/>
    <m/>
    <s v="No"/>
    <s v="W663805"/>
    <n v="0"/>
    <m/>
    <s v="T20115"/>
    <m/>
    <m/>
    <s v="S0361393"/>
  </r>
  <r>
    <x v="952"/>
    <n v="10000"/>
    <n v="20000"/>
    <d v="2025-03-26T00:00:00"/>
    <s v="502LAUGH"/>
    <s v=" 8:37:16 am"/>
    <s v="4820U8013"/>
    <m/>
    <x v="0"/>
    <s v="Yes"/>
    <n v="92"/>
    <s v="Polly Digital Cut"/>
    <x v="6"/>
    <s v="PM87"/>
    <s v="LEE SHIEN WEI"/>
    <n v="1800"/>
    <m/>
    <m/>
    <d v="2025-03-24T00:00:00"/>
    <m/>
    <n v="3"/>
    <n v="5400"/>
    <s v="PE"/>
    <s v="241078-120001"/>
    <n v="0"/>
    <n v="5000"/>
    <n v="400"/>
    <n v="0"/>
    <n v="0"/>
    <n v="0"/>
    <m/>
    <m/>
    <n v="0"/>
    <m/>
    <m/>
    <m/>
    <m/>
    <m/>
    <m/>
    <m/>
    <m/>
    <s v="241078-12"/>
    <s v="T20115"/>
    <s v="ABB  PTE. LTD."/>
    <m/>
    <n v="0"/>
    <n v="0"/>
    <n v="0"/>
    <n v="0"/>
    <n v="0"/>
    <n v="0"/>
    <m/>
    <m/>
    <m/>
    <s v="No"/>
    <s v="W663806"/>
    <n v="0"/>
    <m/>
    <s v="T20115"/>
    <m/>
    <m/>
    <s v="S0361393"/>
  </r>
  <r>
    <x v="953"/>
    <n v="10000"/>
    <n v="20000"/>
    <d v="2025-03-26T00:00:00"/>
    <s v="502LAUGH"/>
    <s v=" 8:37:51 am"/>
    <s v="4820U8013"/>
    <m/>
    <x v="0"/>
    <s v="Yes"/>
    <n v="92"/>
    <s v="Polly Digital Cut"/>
    <x v="6"/>
    <s v="PM87"/>
    <s v="LEE SHIEN WEI"/>
    <n v="1800"/>
    <m/>
    <m/>
    <d v="2025-03-24T00:00:00"/>
    <m/>
    <n v="3"/>
    <n v="5400"/>
    <s v="PE"/>
    <s v="241116-120001"/>
    <n v="0"/>
    <n v="5000"/>
    <n v="400"/>
    <n v="0"/>
    <n v="0"/>
    <n v="0"/>
    <m/>
    <m/>
    <n v="0"/>
    <m/>
    <m/>
    <m/>
    <m/>
    <m/>
    <m/>
    <m/>
    <m/>
    <s v="241116-12"/>
    <s v="T20115"/>
    <s v="ABB  PTE. LTD."/>
    <m/>
    <n v="0"/>
    <n v="0"/>
    <n v="0"/>
    <n v="0"/>
    <n v="0"/>
    <n v="0"/>
    <m/>
    <m/>
    <m/>
    <s v="No"/>
    <s v="W663807"/>
    <n v="0"/>
    <m/>
    <s v="T20115"/>
    <m/>
    <m/>
    <s v="S0361393"/>
  </r>
  <r>
    <x v="1028"/>
    <n v="10000"/>
    <n v="10000"/>
    <d v="2025-03-26T00:00:00"/>
    <s v="502LAUGH"/>
    <s v=" 8:38:28 am"/>
    <s v="4820U8013"/>
    <m/>
    <x v="2"/>
    <s v="Yes"/>
    <n v="88"/>
    <s v="OKI"/>
    <x v="4"/>
    <s v="PP24"/>
    <s v="HO HON SENG"/>
    <n v="1800"/>
    <m/>
    <m/>
    <d v="2025-03-24T00:00:00"/>
    <m/>
    <n v="3"/>
    <n v="5400"/>
    <s v="PE"/>
    <s v="241117-120001"/>
    <n v="0"/>
    <n v="5000"/>
    <n v="400"/>
    <n v="0"/>
    <n v="0"/>
    <n v="0"/>
    <m/>
    <m/>
    <n v="0"/>
    <m/>
    <m/>
    <m/>
    <m/>
    <m/>
    <m/>
    <m/>
    <m/>
    <s v="241117-12"/>
    <s v="T20115"/>
    <s v="ABB  PTE. LTD."/>
    <m/>
    <n v="0"/>
    <n v="0"/>
    <n v="0"/>
    <n v="0"/>
    <n v="0"/>
    <n v="0"/>
    <m/>
    <m/>
    <m/>
    <s v="No"/>
    <s v="W663808"/>
    <n v="0"/>
    <m/>
    <s v="T20115"/>
    <m/>
    <m/>
    <s v="S0361393"/>
  </r>
  <r>
    <x v="849"/>
    <n v="10000"/>
    <n v="30000"/>
    <d v="2025-03-25T00:00:00"/>
    <s v="502LAUGH"/>
    <s v=" 8:41:58 am"/>
    <s v="10620258041/10620258044/10620258042"/>
    <m/>
    <x v="1"/>
    <s v="Yes"/>
    <n v="85"/>
    <s v="Luster AOI"/>
    <x v="1"/>
    <s v="QM78"/>
    <s v="WONG SEAU JIN"/>
    <n v="20000"/>
    <m/>
    <m/>
    <d v="2025-03-24T00:00:00"/>
    <m/>
    <n v="11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3813"/>
    <n v="0"/>
    <m/>
    <s v="H08031-JIM-M"/>
    <m/>
    <m/>
    <s v="S0361407"/>
  </r>
  <r>
    <x v="850"/>
    <n v="10000"/>
    <n v="30000"/>
    <d v="2025-03-25T00:00:00"/>
    <s v="502LAUGH"/>
    <s v=" 9:19:17 am"/>
    <s v="10620258041/10620258044/10620258042"/>
    <m/>
    <x v="1"/>
    <s v="Yes"/>
    <n v="85"/>
    <s v="Luster AOI"/>
    <x v="1"/>
    <s v="QM78"/>
    <s v="WONG SEAU JIN"/>
    <n v="10000"/>
    <m/>
    <m/>
    <d v="2025-03-24T00:00:00"/>
    <m/>
    <n v="11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s v="HP MALAYSIA MANUFACTURING SDN.BHD."/>
    <m/>
    <n v="0"/>
    <n v="0"/>
    <n v="0"/>
    <n v="0"/>
    <n v="0"/>
    <n v="0"/>
    <m/>
    <m/>
    <m/>
    <s v="No"/>
    <s v="W663814"/>
    <n v="0"/>
    <m/>
    <s v="H08031-JIM-M"/>
    <m/>
    <m/>
    <s v="S0361408"/>
  </r>
  <r>
    <x v="851"/>
    <n v="10000"/>
    <n v="30000"/>
    <d v="2025-03-25T00:00:00"/>
    <s v="502LAUGH"/>
    <s v=" 8:43:05 am"/>
    <s v="10620258041/10620258044/10620258042"/>
    <m/>
    <x v="1"/>
    <s v="Yes"/>
    <n v="85"/>
    <s v="Luster AOI"/>
    <x v="1"/>
    <s v="QM78"/>
    <s v="WONG SEAU JIN"/>
    <n v="30000"/>
    <m/>
    <m/>
    <d v="2025-03-24T00:00:00"/>
    <m/>
    <n v="11"/>
    <n v="330000"/>
    <s v="PE"/>
    <s v="3YM55-80009-FT0001"/>
    <n v="0"/>
    <n v="300000"/>
    <n v="3000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3815"/>
    <n v="0"/>
    <m/>
    <s v="H08031-JIM-M"/>
    <m/>
    <m/>
    <s v="S0361411"/>
  </r>
  <r>
    <x v="1029"/>
    <n v="10000"/>
    <n v="10000"/>
    <d v="2025-03-25T00:00:00"/>
    <s v="502LAUGH"/>
    <d v="1899-12-30T10:42:17"/>
    <n v="1006323"/>
    <m/>
    <x v="2"/>
    <s v="Yes"/>
    <n v="63"/>
    <s v="SANKI"/>
    <x v="3"/>
    <s v="PM80"/>
    <s v="YAP ZHI PING"/>
    <n v="6667"/>
    <n v="211.67500000000001"/>
    <n v="3.527916666666667"/>
    <d v="2025-03-24T00:00:00"/>
    <m/>
    <n v="30"/>
    <n v="200010"/>
    <s v="PE"/>
    <s v="709898814-EL93160001"/>
    <n v="0"/>
    <n v="200000"/>
    <n v="1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63827"/>
    <n v="0"/>
    <m/>
    <s v="S19314"/>
    <m/>
    <m/>
    <s v="H0064837"/>
  </r>
  <r>
    <x v="1030"/>
    <n v="10000"/>
    <n v="10000"/>
    <d v="2025-03-25T00:00:00"/>
    <s v="502LAUGH"/>
    <d v="1899-12-30T10:42:17"/>
    <n v="1006323"/>
    <m/>
    <x v="2"/>
    <s v="Yes"/>
    <n v="63"/>
    <s v="SANKI"/>
    <x v="3"/>
    <s v="PM80"/>
    <s v="YAP ZHI PING"/>
    <n v="4000"/>
    <n v="145"/>
    <n v="2.4166666666666665"/>
    <d v="2025-03-24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63828"/>
    <n v="0"/>
    <m/>
    <s v="S19314"/>
    <m/>
    <m/>
    <s v="H0064838"/>
  </r>
  <r>
    <x v="1031"/>
    <n v="10000"/>
    <n v="10000"/>
    <d v="2025-03-25T00:00:00"/>
    <s v="502LAUGH"/>
    <d v="1899-12-30T10:42:47"/>
    <s v="E053912079"/>
    <m/>
    <x v="2"/>
    <s v="Yes"/>
    <n v="63"/>
    <s v="SANKI"/>
    <x v="3"/>
    <s v="PM80"/>
    <s v="YAP ZHI PING"/>
    <n v="2000"/>
    <n v="95"/>
    <n v="1.5833333333333333"/>
    <d v="2025-03-24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s v="SEAGATE TECHNOLOGY INTERNATIONAL (WUXI) CO., LTD"/>
    <m/>
    <n v="0"/>
    <n v="0"/>
    <n v="0"/>
    <n v="0"/>
    <n v="0"/>
    <n v="0"/>
    <m/>
    <m/>
    <m/>
    <s v="No"/>
    <s v="W663831"/>
    <n v="0"/>
    <m/>
    <s v="S19314"/>
    <m/>
    <m/>
    <s v="H0064841"/>
  </r>
  <r>
    <x v="1032"/>
    <n v="10000"/>
    <n v="10000"/>
    <d v="2025-03-25T00:00:00"/>
    <s v="502LAUGH"/>
    <d v="1899-12-30T10:42:17"/>
    <s v="E053912079"/>
    <m/>
    <x v="2"/>
    <s v="Yes"/>
    <n v="63"/>
    <s v="SANKI"/>
    <x v="3"/>
    <s v="PM80"/>
    <s v="YAP ZHI PING"/>
    <n v="2000"/>
    <n v="95"/>
    <n v="1.5833333333333333"/>
    <d v="2025-03-24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s v="SEAGATE TECHNOLOGY INTERNATIONAL (WUXI) CO., LTD"/>
    <m/>
    <n v="0"/>
    <n v="0"/>
    <n v="0"/>
    <n v="0"/>
    <n v="0"/>
    <n v="0"/>
    <m/>
    <m/>
    <m/>
    <s v="No"/>
    <s v="W663832"/>
    <n v="0"/>
    <m/>
    <s v="S19314"/>
    <m/>
    <m/>
    <s v="H0064842"/>
  </r>
  <r>
    <x v="954"/>
    <n v="10000"/>
    <n v="20000"/>
    <d v="2025-03-25T00:00:00"/>
    <s v="502LAUGH"/>
    <s v=" 8:50:29 am"/>
    <s v="M0BI68841"/>
    <m/>
    <x v="0"/>
    <s v="Yes"/>
    <n v="63"/>
    <s v="SANKI"/>
    <x v="3"/>
    <s v="PM80"/>
    <s v="YAP ZHI PING"/>
    <n v="1250"/>
    <n v="76.25"/>
    <n v="1.2708333333333333"/>
    <d v="2025-03-24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3833"/>
    <n v="0"/>
    <m/>
    <s v="S19314"/>
    <m/>
    <m/>
    <s v="H0064843"/>
  </r>
  <r>
    <x v="955"/>
    <n v="10000"/>
    <n v="20000"/>
    <d v="2025-03-24T00:00:00"/>
    <s v="502LAUGH"/>
    <s v=" 1:46:33 pm"/>
    <s v="M0BSM95201372"/>
    <m/>
    <x v="0"/>
    <s v="Yes"/>
    <n v="63"/>
    <s v="SANKI"/>
    <x v="3"/>
    <s v="PM80"/>
    <s v="YAP ZHI PING"/>
    <n v="2500"/>
    <n v="107.5"/>
    <n v="1.7916666666666667"/>
    <d v="2025-03-24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3834"/>
    <n v="0"/>
    <m/>
    <s v="S19314"/>
    <m/>
    <m/>
    <s v="H0064845"/>
  </r>
  <r>
    <x v="956"/>
    <n v="10000"/>
    <n v="20000"/>
    <d v="2025-03-24T00:00:00"/>
    <s v="502LAUGH"/>
    <s v=" 1:47:21 pm"/>
    <s v="M0BFL2381"/>
    <m/>
    <x v="0"/>
    <s v="Yes"/>
    <n v="63"/>
    <s v="SANKI"/>
    <x v="3"/>
    <s v="PM80"/>
    <s v="YAP ZHI PING"/>
    <n v="2500"/>
    <n v="107.5"/>
    <n v="1.7916666666666667"/>
    <d v="2025-03-24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835"/>
    <n v="0"/>
    <m/>
    <s v="S19314"/>
    <m/>
    <m/>
    <s v="H0064848"/>
  </r>
  <r>
    <x v="957"/>
    <n v="10000"/>
    <n v="20000"/>
    <d v="2025-03-25T00:00:00"/>
    <s v="502LAUGH"/>
    <s v=" 8:49:40 am"/>
    <s v="M0BFL2381"/>
    <m/>
    <x v="0"/>
    <s v="Yes"/>
    <n v="63"/>
    <s v="SANKI"/>
    <x v="3"/>
    <s v="PM80"/>
    <s v="YAP ZHI PING"/>
    <n v="2500"/>
    <n v="107.5"/>
    <n v="1.7916666666666667"/>
    <d v="2025-03-24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3836"/>
    <n v="0"/>
    <m/>
    <s v="S19314"/>
    <m/>
    <m/>
    <s v="H0064849"/>
  </r>
  <r>
    <x v="1033"/>
    <n v="10000"/>
    <n v="10000"/>
    <d v="2025-03-26T00:00:00"/>
    <s v="502LAUGH"/>
    <s v=" 3:01:13 pm"/>
    <s v="TW12172333-02"/>
    <m/>
    <x v="2"/>
    <s v="Yes"/>
    <n v="72"/>
    <s v="Xeikon 3500"/>
    <x v="4"/>
    <s v="PM17"/>
    <s v="NG SWEE CHEA"/>
    <n v="5000"/>
    <m/>
    <m/>
    <d v="2025-03-24T00:00:00"/>
    <m/>
    <n v="8"/>
    <n v="40000"/>
    <s v="PE"/>
    <s v="P1S0453 90001"/>
    <n v="0"/>
    <n v="33000"/>
    <n v="7000"/>
    <n v="0"/>
    <n v="0"/>
    <n v="0"/>
    <m/>
    <m/>
    <n v="0"/>
    <m/>
    <m/>
    <m/>
    <m/>
    <m/>
    <m/>
    <m/>
    <m/>
    <s v="P1S0453 9"/>
    <s v="H08220"/>
    <s v="HAW PAR HEALTHCARE LIMITED"/>
    <m/>
    <n v="0"/>
    <n v="0"/>
    <n v="0"/>
    <n v="0"/>
    <n v="0"/>
    <n v="0"/>
    <m/>
    <m/>
    <m/>
    <s v="No"/>
    <s v="W663844"/>
    <n v="0"/>
    <m/>
    <s v="H08220"/>
    <m/>
    <m/>
    <s v="S0361538"/>
  </r>
  <r>
    <x v="1034"/>
    <n v="10000"/>
    <n v="10000"/>
    <d v="2025-03-25T00:00:00"/>
    <s v="502LAUGH"/>
    <s v=" 1:24:04 pm"/>
    <s v="D001F2410/4052209U5"/>
    <m/>
    <x v="2"/>
    <s v="Yes"/>
    <s v="ZC53"/>
    <s v="Zebra"/>
    <x v="4"/>
    <s v="PP24"/>
    <s v="HO HON SENG"/>
    <n v="5000"/>
    <m/>
    <m/>
    <d v="2025-03-24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3847"/>
    <n v="0"/>
    <m/>
    <s v="T20104"/>
    <m/>
    <m/>
    <s v="S0361537"/>
  </r>
  <r>
    <x v="1035"/>
    <n v="10000"/>
    <n v="10000"/>
    <d v="2025-03-24T00:00:00"/>
    <s v="502LAUGH"/>
    <s v=" 1:49:35 pm"/>
    <s v="XHX240901A1709/A500922/XHX2408180235/XHX24A05A0401/BYG119-07"/>
    <m/>
    <x v="2"/>
    <s v="Yes"/>
    <n v="112"/>
    <s v="Hadesheng"/>
    <x v="3"/>
    <s v="PM40"/>
    <s v="NGOI CHUN YONG"/>
    <n v="73"/>
    <n v="48.65"/>
    <n v="0.81083333333333329"/>
    <d v="2025-03-24T00:00:00"/>
    <m/>
    <n v="11"/>
    <n v="803"/>
    <s v="PE"/>
    <s v="TPK-868916-00100001"/>
    <n v="0"/>
    <n v="800"/>
    <n v="3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3853"/>
    <n v="0"/>
    <m/>
    <s v="Z26002"/>
    <m/>
    <m/>
    <s v="ZSA101775"/>
  </r>
  <r>
    <x v="1036"/>
    <n v="10000"/>
    <n v="10000"/>
    <d v="2025-03-25T00:00:00"/>
    <s v="502LAUGH"/>
    <s v=" 8:45:23 am"/>
    <s v="JH20240905/A431833/XHX24B18A1408/XHX24B01A0904/XHX24C12A0402"/>
    <m/>
    <x v="2"/>
    <s v="Yes"/>
    <n v="112"/>
    <s v="Hadesheng"/>
    <x v="3"/>
    <s v="PM40"/>
    <s v="NGOI CHUN YONG"/>
    <n v="12"/>
    <n v="45.6"/>
    <n v="0.76"/>
    <d v="2025-03-24T00:00:00"/>
    <m/>
    <n v="10"/>
    <n v="120"/>
    <s v="PE"/>
    <s v="TPK-874726-00200001"/>
    <n v="0"/>
    <n v="120"/>
    <n v="0"/>
    <n v="0"/>
    <n v="0"/>
    <n v="0"/>
    <m/>
    <m/>
    <n v="0"/>
    <m/>
    <m/>
    <m/>
    <m/>
    <m/>
    <m/>
    <m/>
    <m/>
    <s v="TPK-874726-0020"/>
    <s v="Z26002"/>
    <s v="CCL DESIGN (PENANG) SDN. BHD."/>
    <m/>
    <n v="0"/>
    <n v="0"/>
    <n v="0"/>
    <n v="0"/>
    <n v="0"/>
    <n v="0"/>
    <m/>
    <m/>
    <m/>
    <s v="No"/>
    <s v="W663856"/>
    <n v="0"/>
    <m/>
    <s v="Z26002"/>
    <m/>
    <m/>
    <s v="ZSA101775"/>
  </r>
  <r>
    <x v="915"/>
    <n v="10000"/>
    <n v="20000"/>
    <d v="2025-03-24T00:00:00"/>
    <s v="502LAUGH"/>
    <s v=" 2:56:34 pm"/>
    <s v="SG-5642459-01"/>
    <m/>
    <x v="0"/>
    <s v="Yes"/>
    <n v="86"/>
    <s v="Brotech DF330 "/>
    <x v="0"/>
    <s v="PM45"/>
    <s v="TAY CHIN LIONG"/>
    <n v="2000"/>
    <n v="78.333333333333343"/>
    <n v="1.3055555555555558"/>
    <d v="2025-03-24T00:00:00"/>
    <m/>
    <n v="2"/>
    <n v="4000"/>
    <s v="PE"/>
    <s v="P4U01160001"/>
    <n v="0"/>
    <n v="3000"/>
    <n v="1000"/>
    <n v="0"/>
    <n v="0"/>
    <n v="0"/>
    <m/>
    <m/>
    <n v="0"/>
    <m/>
    <m/>
    <m/>
    <m/>
    <m/>
    <m/>
    <m/>
    <m/>
    <s v="P4U0116"/>
    <s v="H08220"/>
    <s v="HAW PAR HEALTHCARE LIMITED"/>
    <m/>
    <n v="0"/>
    <n v="0"/>
    <n v="0"/>
    <n v="0"/>
    <n v="0"/>
    <n v="0"/>
    <m/>
    <m/>
    <m/>
    <s v="No"/>
    <s v="W663863"/>
    <n v="0"/>
    <m/>
    <s v="H08220"/>
    <m/>
    <m/>
    <s v="S0361561"/>
  </r>
  <r>
    <x v="1037"/>
    <n v="10000"/>
    <n v="10000"/>
    <d v="2025-03-24T00:00:00"/>
    <s v="502LAUGH"/>
    <s v=" 1:45:43 pm"/>
    <s v="M0BFL2381"/>
    <m/>
    <x v="2"/>
    <s v="Yes"/>
    <n v="78"/>
    <s v="Baby Sanki"/>
    <x v="2"/>
    <s v="PM84"/>
    <s v="TAN TAI TOH"/>
    <n v="2750"/>
    <n v="113.75"/>
    <n v="1.8958333333333333"/>
    <d v="2025-03-24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3865"/>
    <n v="0"/>
    <m/>
    <s v="S19081-TH"/>
    <m/>
    <m/>
    <s v="H0064867"/>
  </r>
  <r>
    <x v="1037"/>
    <n v="10000"/>
    <n v="20000"/>
    <d v="2025-03-24T00:00:00"/>
    <s v="502LAUGH"/>
    <s v=" 1:45:43 pm"/>
    <s v="M0BFL2381"/>
    <m/>
    <x v="0"/>
    <s v="Yes"/>
    <n v="63"/>
    <s v="SANKI"/>
    <x v="3"/>
    <s v="PM80"/>
    <s v="YAP ZHI PING"/>
    <n v="2500"/>
    <n v="107.5"/>
    <n v="1.7916666666666667"/>
    <d v="2025-03-24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3865"/>
    <n v="0"/>
    <m/>
    <s v="S19081-TH"/>
    <m/>
    <m/>
    <s v="H0064867"/>
  </r>
  <r>
    <x v="1038"/>
    <n v="10000"/>
    <n v="10000"/>
    <d v="2025-03-24T00:00:00"/>
    <s v="502LAUGH"/>
    <s v=" 1:45:02 pm"/>
    <s v="M0BFL2381"/>
    <m/>
    <x v="2"/>
    <s v="Yes"/>
    <n v="78"/>
    <s v="Baby Sanki"/>
    <x v="2"/>
    <s v="PM84"/>
    <s v="TAN TAI TOH"/>
    <n v="1500"/>
    <n v="82.5"/>
    <n v="1.375"/>
    <d v="2025-03-24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3866"/>
    <n v="0"/>
    <m/>
    <s v="S19081-TH"/>
    <m/>
    <m/>
    <s v="H0064869"/>
  </r>
  <r>
    <x v="1038"/>
    <n v="10000"/>
    <n v="20000"/>
    <d v="2025-03-24T00:00:00"/>
    <s v="502LAUGH"/>
    <s v=" 1:45:02 pm"/>
    <s v="M0BFL2381"/>
    <m/>
    <x v="0"/>
    <s v="Yes"/>
    <n v="63"/>
    <s v="SANKI"/>
    <x v="3"/>
    <s v="PM80"/>
    <s v="YAP ZHI PING"/>
    <n v="1250"/>
    <n v="76.25"/>
    <n v="1.2708333333333333"/>
    <d v="2025-03-24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3866"/>
    <n v="0"/>
    <m/>
    <s v="S19081-TH"/>
    <m/>
    <m/>
    <s v="H0064869"/>
  </r>
  <r>
    <x v="1039"/>
    <n v="10000"/>
    <n v="10000"/>
    <d v="2025-03-26T00:00:00"/>
    <s v="502LAUGH"/>
    <d v="1899-12-30T10:10:23"/>
    <n v="59470"/>
    <m/>
    <x v="2"/>
    <s v="Yes"/>
    <n v="73"/>
    <s v="Brotech DF330"/>
    <x v="0"/>
    <s v="PM18"/>
    <s v="LAI CHIN YANG"/>
    <n v="30667"/>
    <m/>
    <m/>
    <d v="2025-03-24T00:00:00"/>
    <m/>
    <n v="12"/>
    <n v="368004"/>
    <s v="PE"/>
    <s v="MT-1000241-910RE0002"/>
    <n v="0"/>
    <n v="365322"/>
    <n v="2682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3869"/>
    <n v="0"/>
    <m/>
    <s v="Z26002"/>
    <m/>
    <m/>
    <s v="S0361564"/>
  </r>
  <r>
    <x v="961"/>
    <n v="10000"/>
    <n v="50000"/>
    <d v="2025-03-26T00:00:00"/>
    <s v="502LAUGH"/>
    <s v=" 8:51:48 am"/>
    <s v="59470/59469"/>
    <m/>
    <x v="0"/>
    <s v="Yes"/>
    <n v="96"/>
    <s v="Luster AOI"/>
    <x v="1"/>
    <s v="QM10"/>
    <s v="KHOO YEE MUN"/>
    <n v="78750"/>
    <m/>
    <m/>
    <d v="2025-03-24T00:00:00"/>
    <m/>
    <n v="6"/>
    <n v="472500"/>
    <s v="PE"/>
    <s v="MT-1000407-902RE0005"/>
    <n v="0"/>
    <n v="478125"/>
    <n v="-5625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3870"/>
    <n v="0"/>
    <m/>
    <s v="Z26002"/>
    <m/>
    <m/>
    <s v="S0361565"/>
  </r>
  <r>
    <x v="1040"/>
    <n v="10000"/>
    <n v="10000"/>
    <d v="2025-03-24T00:00:00"/>
    <s v="502LAUGH"/>
    <s v=" 3:49:36 pm"/>
    <s v="2962621-001"/>
    <m/>
    <x v="2"/>
    <s v="Yes"/>
    <n v="31"/>
    <s v="Sanki SKP250 Full Rotary"/>
    <x v="2"/>
    <s v="PS19"/>
    <s v="SNG KOK CHENG"/>
    <n v="1000"/>
    <n v="70"/>
    <n v="1.1666666666666667"/>
    <d v="2025-03-24T00:00:00"/>
    <m/>
    <n v="1"/>
    <n v="1000"/>
    <s v="PE"/>
    <s v="XTR-140.1879.14-0001"/>
    <n v="0"/>
    <n v="10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3871"/>
    <n v="0"/>
    <m/>
    <s v="L12161"/>
    <m/>
    <m/>
    <s v="S0361570"/>
  </r>
  <r>
    <x v="1041"/>
    <n v="10000"/>
    <n v="10000"/>
    <d v="2025-03-25T00:00:00"/>
    <s v="502LAUGH"/>
    <s v=" 8:32:48 am"/>
    <s v="SG-564465501"/>
    <m/>
    <x v="2"/>
    <s v="Yes"/>
    <n v="65"/>
    <s v="Sanki SDR300"/>
    <x v="3"/>
    <s v="PMJ7"/>
    <s v="FOONG SEL YI"/>
    <n v="770"/>
    <n v="64.25"/>
    <n v="1.0708333333333333"/>
    <d v="2025-03-24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3878"/>
    <n v="0"/>
    <m/>
    <s v="I09180"/>
    <m/>
    <m/>
    <s v="S0361680"/>
  </r>
  <r>
    <x v="1041"/>
    <n v="20000"/>
    <n v="10000"/>
    <d v="2025-03-25T00:00:00"/>
    <s v="502LAUGH"/>
    <s v=" 8:32:48 am"/>
    <s v="SG-564465501"/>
    <m/>
    <x v="2"/>
    <s v="Yes"/>
    <n v="65"/>
    <s v="Sanki SDR300"/>
    <x v="3"/>
    <s v="PMJ7"/>
    <s v="FOONG SEL YI"/>
    <n v="769"/>
    <n v="64.224999999999994"/>
    <n v="1.0704166666666666"/>
    <d v="2025-03-24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s v="ILLUMINA SINGAPORE PTE LTD"/>
    <m/>
    <n v="0"/>
    <n v="0"/>
    <n v="0"/>
    <n v="0"/>
    <n v="0"/>
    <n v="0"/>
    <m/>
    <m/>
    <m/>
    <s v="No"/>
    <s v="W663878"/>
    <n v="0"/>
    <m/>
    <s v="I09180"/>
    <m/>
    <m/>
    <s v="S0361680"/>
  </r>
  <r>
    <x v="1042"/>
    <n v="10000"/>
    <n v="10000"/>
    <d v="2025-03-24T00:00:00"/>
    <s v="502LAUGH"/>
    <s v=" 4:10:14 pm"/>
    <s v="SG-5643031 01"/>
    <m/>
    <x v="2"/>
    <s v="Yes"/>
    <n v="59"/>
    <s v="SANKI SD-300 Intermittent"/>
    <x v="2"/>
    <s v="PS74"/>
    <s v="GOH CHIN TECK"/>
    <n v="1549"/>
    <n v="83.724999999999994"/>
    <n v="1.3954166666666665"/>
    <d v="2025-03-24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3879"/>
    <n v="0"/>
    <m/>
    <s v="I09180"/>
    <m/>
    <m/>
    <s v="S0361682"/>
  </r>
  <r>
    <x v="1042"/>
    <n v="20000"/>
    <n v="10000"/>
    <d v="2025-03-24T00:00:00"/>
    <s v="502LAUGH"/>
    <s v=" 4:10:14 pm"/>
    <s v="SG-5643031 01"/>
    <m/>
    <x v="2"/>
    <s v="Yes"/>
    <n v="59"/>
    <s v="SANKI SD-300 Intermittent"/>
    <x v="2"/>
    <s v="PS74"/>
    <s v="GOH CHIN TECK"/>
    <n v="1549"/>
    <n v="83.724999999999994"/>
    <n v="1.3954166666666665"/>
    <d v="2025-03-24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3879"/>
    <n v="0"/>
    <m/>
    <s v="I09180"/>
    <m/>
    <m/>
    <s v="S0361682"/>
  </r>
  <r>
    <x v="1043"/>
    <n v="10000"/>
    <n v="10000"/>
    <d v="2025-03-25T00:00:00"/>
    <s v="502LAUGH"/>
    <s v=" 8:32:48 am"/>
    <s v="SG 5555729 01"/>
    <m/>
    <x v="2"/>
    <s v="Yes"/>
    <n v="65"/>
    <s v="Sanki SDR300"/>
    <x v="3"/>
    <s v="PMJ7"/>
    <s v="FOONG SEL YI"/>
    <n v="6667"/>
    <n v="211.67500000000001"/>
    <n v="3.527916666666667"/>
    <d v="2025-03-24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3880"/>
    <n v="0"/>
    <m/>
    <s v="I09180"/>
    <m/>
    <m/>
    <s v="S0361683"/>
  </r>
  <r>
    <x v="1043"/>
    <n v="20000"/>
    <n v="10000"/>
    <d v="2025-03-25T00:00:00"/>
    <s v="502LAUGH"/>
    <s v=" 8:32:48 am"/>
    <s v="SG 5555729 01"/>
    <m/>
    <x v="2"/>
    <s v="Yes"/>
    <n v="65"/>
    <s v="Sanki SDR300"/>
    <x v="3"/>
    <s v="PMJ7"/>
    <s v="FOONG SEL YI"/>
    <n v="6667"/>
    <n v="211.67500000000001"/>
    <n v="3.527916666666667"/>
    <d v="2025-03-24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3880"/>
    <n v="0"/>
    <m/>
    <s v="I09180"/>
    <m/>
    <m/>
    <s v="S0361683"/>
  </r>
  <r>
    <x v="1043"/>
    <n v="30000"/>
    <n v="10000"/>
    <d v="2025-03-25T00:00:00"/>
    <s v="502LAUGH"/>
    <s v=" 8:32:48 am"/>
    <s v="SG 5555729 01"/>
    <m/>
    <x v="2"/>
    <s v="Yes"/>
    <n v="65"/>
    <s v="Sanki SDR300"/>
    <x v="3"/>
    <s v="PMJ7"/>
    <s v="FOONG SEL YI"/>
    <n v="6667"/>
    <n v="211.67500000000001"/>
    <n v="3.527916666666667"/>
    <d v="2025-03-24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3880"/>
    <n v="0"/>
    <m/>
    <s v="I09180"/>
    <m/>
    <m/>
    <s v="S0361683"/>
  </r>
  <r>
    <x v="1044"/>
    <n v="10000"/>
    <n v="10000"/>
    <d v="2025-03-26T00:00:00"/>
    <s v="502LAUGH"/>
    <s v=" 8:45:40 am"/>
    <s v="TW12172333-02"/>
    <m/>
    <x v="2"/>
    <s v="Yes"/>
    <n v="72"/>
    <s v="Xeikon 3500"/>
    <x v="4"/>
    <s v="PM17"/>
    <s v="NG SWEE CHEA"/>
    <n v="5000"/>
    <m/>
    <m/>
    <d v="2025-03-24T00:00:00"/>
    <m/>
    <n v="8"/>
    <n v="40000"/>
    <s v="PE"/>
    <s v="P1V0150 10001"/>
    <n v="0"/>
    <n v="32800"/>
    <n v="7200"/>
    <n v="0"/>
    <n v="0"/>
    <n v="0"/>
    <m/>
    <m/>
    <n v="0"/>
    <m/>
    <m/>
    <m/>
    <m/>
    <m/>
    <m/>
    <m/>
    <m/>
    <s v="P1V0150 1"/>
    <s v="H08220"/>
    <s v="HAW PAR HEALTHCARE LIMITED"/>
    <m/>
    <n v="0"/>
    <n v="0"/>
    <n v="0"/>
    <n v="0"/>
    <n v="0"/>
    <n v="0"/>
    <m/>
    <m/>
    <m/>
    <s v="No"/>
    <s v="W663901"/>
    <n v="0"/>
    <m/>
    <s v="H08220"/>
    <m/>
    <m/>
    <s v="S0361712"/>
  </r>
  <r>
    <x v="1044"/>
    <n v="10000"/>
    <n v="20000"/>
    <d v="2025-03-26T00:00:00"/>
    <s v="502LAUGH"/>
    <s v=" 8:45:40 am"/>
    <s v="TW12172333-02"/>
    <m/>
    <x v="0"/>
    <s v="Yes"/>
    <n v="86"/>
    <s v="Brotech DF330 "/>
    <x v="0"/>
    <s v="PM45"/>
    <s v="TAY CHIN LIONG"/>
    <n v="4750"/>
    <n v="124.16666666666667"/>
    <n v="2.0694444444444446"/>
    <d v="2025-03-24T00:00:00"/>
    <m/>
    <n v="8"/>
    <n v="38000"/>
    <s v="PE"/>
    <s v="P1V0150 10001"/>
    <n v="0"/>
    <n v="32800"/>
    <n v="5200"/>
    <n v="0"/>
    <n v="0"/>
    <n v="0"/>
    <m/>
    <m/>
    <n v="0"/>
    <m/>
    <m/>
    <m/>
    <m/>
    <m/>
    <m/>
    <m/>
    <m/>
    <s v="P1V0150 1"/>
    <s v="H08220"/>
    <s v="HAW PAR HEALTHCARE LIMITED"/>
    <m/>
    <n v="0"/>
    <n v="0"/>
    <n v="0"/>
    <n v="0"/>
    <n v="0"/>
    <n v="0"/>
    <m/>
    <m/>
    <m/>
    <s v="No"/>
    <s v="W663901"/>
    <n v="0"/>
    <m/>
    <s v="H08220"/>
    <m/>
    <m/>
    <s v="S0361712"/>
  </r>
  <r>
    <x v="1045"/>
    <n v="10000"/>
    <n v="10000"/>
    <d v="2025-03-27T00:00:00"/>
    <s v="502LAUGH"/>
    <s v=" 8:37:42 am"/>
    <s v="SG-564141001"/>
    <s v="FSC29525"/>
    <x v="2"/>
    <s v="No"/>
    <n v="73"/>
    <s v="Brotech DF330"/>
    <x v="0"/>
    <s v="PM18"/>
    <s v="LAI CHIN YANG"/>
    <n v="18000"/>
    <m/>
    <m/>
    <d v="2025-03-25T00:00:00"/>
    <m/>
    <n v="12"/>
    <n v="216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124"/>
  </r>
  <r>
    <x v="1046"/>
    <n v="10000"/>
    <n v="20000"/>
    <d v="2025-03-25T00:00:00"/>
    <s v="502LAUGH"/>
    <s v=" 4:39:10 pm"/>
    <s v="L4816U8015/U4A04S213"/>
    <s v="DC31738"/>
    <x v="2"/>
    <s v="No"/>
    <n v="78"/>
    <s v="Baby Sanki"/>
    <x v="2"/>
    <s v="PM84"/>
    <s v="TAN TAI TOH"/>
    <n v="5000"/>
    <n v="170"/>
    <n v="2.8333333333333335"/>
    <d v="2025-03-25T00:00:00"/>
    <m/>
    <n v="3"/>
    <n v="15000"/>
    <s v="PE"/>
    <s v="PA93015-Y1340001"/>
    <n v="0"/>
    <n v="0"/>
    <n v="0"/>
    <n v="0"/>
    <n v="0"/>
    <n v="0"/>
    <m/>
    <m/>
    <n v="0"/>
    <m/>
    <m/>
    <m/>
    <s v="No"/>
    <n v="0"/>
    <s v="No"/>
    <m/>
    <m/>
    <s v="PA93015-Y134"/>
    <s v="S19296"/>
    <s v="SIIX SINGAPORE PTE LTD"/>
    <m/>
    <n v="0"/>
    <n v="0"/>
    <n v="0"/>
    <n v="0"/>
    <n v="0"/>
    <n v="0"/>
    <m/>
    <m/>
    <m/>
    <s v="No"/>
    <m/>
    <m/>
    <m/>
    <s v="S19296"/>
    <m/>
    <m/>
    <s v="H0064596"/>
  </r>
  <r>
    <x v="1047"/>
    <n v="10000"/>
    <n v="10000"/>
    <d v="2025-03-26T00:00:00"/>
    <s v="502LAUGH"/>
    <s v=" 8:33:16 am"/>
    <s v="U531252097/503011926"/>
    <s v="SC28392"/>
    <x v="2"/>
    <s v="No"/>
    <n v="32"/>
    <s v="Lintec Intermittent"/>
    <x v="2"/>
    <s v="PM26"/>
    <s v="TAN AIK KEONG"/>
    <n v="5860"/>
    <m/>
    <m/>
    <d v="2025-03-25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378"/>
  </r>
  <r>
    <x v="1048"/>
    <n v="10000"/>
    <n v="10000"/>
    <d v="2025-03-26T00:00:00"/>
    <s v="502LAUGH"/>
    <s v=" 8:31:44 am"/>
    <s v="2962621-001"/>
    <s v="SC26996"/>
    <x v="2"/>
    <s v="No"/>
    <n v="31"/>
    <s v="Sanki SKP250 Full Rotary"/>
    <x v="2"/>
    <s v="PS19"/>
    <s v="SNG KOK CHENG"/>
    <n v="500"/>
    <n v="57.5"/>
    <n v="0.95833333333333337"/>
    <d v="2025-03-25T00:00:00"/>
    <m/>
    <n v="1"/>
    <n v="500"/>
    <s v="PE"/>
    <s v="XTR-140.1991.10-0001"/>
    <n v="0"/>
    <n v="0"/>
    <n v="0"/>
    <n v="0"/>
    <n v="0"/>
    <n v="0"/>
    <m/>
    <m/>
    <n v="0"/>
    <m/>
    <m/>
    <m/>
    <s v="No"/>
    <n v="0"/>
    <s v="No"/>
    <m/>
    <m/>
    <s v="XTR-140.1991.10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1386"/>
  </r>
  <r>
    <x v="1049"/>
    <n v="10000"/>
    <n v="10000"/>
    <d v="2025-03-26T00:00:00"/>
    <s v="502LAUGH"/>
    <s v=" 8:31:44 am"/>
    <s v="2962621-001"/>
    <s v="SC26996"/>
    <x v="2"/>
    <s v="No"/>
    <n v="31"/>
    <s v="Sanki SKP250 Full Rotary"/>
    <x v="2"/>
    <s v="PS19"/>
    <s v="SNG KOK CHENG"/>
    <n v="1000"/>
    <n v="70"/>
    <n v="1.1666666666666667"/>
    <d v="2025-03-25T00:00:00"/>
    <m/>
    <n v="1"/>
    <n v="1000"/>
    <s v="PE"/>
    <s v="XTR-140.1991.10-0001"/>
    <n v="0"/>
    <n v="0"/>
    <n v="0"/>
    <n v="0"/>
    <n v="0"/>
    <n v="0"/>
    <m/>
    <m/>
    <n v="0"/>
    <m/>
    <m/>
    <m/>
    <s v="No"/>
    <n v="0"/>
    <s v="No"/>
    <m/>
    <m/>
    <s v="XTR-140.1991.10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1570"/>
  </r>
  <r>
    <x v="1050"/>
    <n v="10000"/>
    <n v="10000"/>
    <d v="2025-04-04T00:00:00"/>
    <s v="502LAUGH"/>
    <s v=" 8:31:55 am"/>
    <s v="I492555H088"/>
    <s v="BC00914"/>
    <x v="2"/>
    <s v="No"/>
    <n v="79"/>
    <s v="HP Indigo 6800"/>
    <x v="4"/>
    <s v="PM16"/>
    <s v="TEO KAH JUN"/>
    <n v="217"/>
    <n v="40.85"/>
    <n v="0.6808333333333334"/>
    <d v="2025-03-25T00:00:00"/>
    <m/>
    <n v="60"/>
    <n v="13020"/>
    <s v="PE"/>
    <s v="LEFTFOOT-80-250001"/>
    <n v="0"/>
    <n v="0"/>
    <n v="0"/>
    <n v="0"/>
    <n v="0"/>
    <n v="0"/>
    <m/>
    <m/>
    <n v="0"/>
    <m/>
    <m/>
    <m/>
    <s v="No"/>
    <n v="0"/>
    <s v="No"/>
    <m/>
    <m/>
    <s v="LEFTFOOT-80-25"/>
    <s v="H08117"/>
    <s v="HELEFLO PRODUCTS PTE LTD"/>
    <m/>
    <n v="0"/>
    <n v="0"/>
    <n v="0"/>
    <n v="0"/>
    <n v="0"/>
    <n v="0"/>
    <m/>
    <m/>
    <m/>
    <s v="No"/>
    <m/>
    <m/>
    <m/>
    <s v="H08117"/>
    <m/>
    <m/>
    <s v="S0361937"/>
  </r>
  <r>
    <x v="1051"/>
    <n v="10000"/>
    <n v="10000"/>
    <d v="2025-03-25T00:00:00"/>
    <s v="502LAUGH"/>
    <d v="1899-12-30T11:26:11"/>
    <s v="L4816U8015/U4A04S213"/>
    <m/>
    <x v="2"/>
    <s v="Yes"/>
    <n v="78"/>
    <s v="Baby Sanki"/>
    <x v="2"/>
    <s v="PM84"/>
    <s v="TAN TAI TOH"/>
    <n v="3667"/>
    <n v="136.67500000000001"/>
    <n v="2.277916666666667"/>
    <d v="2025-03-25T00:00:00"/>
    <m/>
    <n v="3"/>
    <n v="11001"/>
    <s v="PE"/>
    <s v="XOPA93016-Y3050001"/>
    <n v="0"/>
    <n v="11000"/>
    <n v="1"/>
    <n v="0"/>
    <n v="0"/>
    <n v="0"/>
    <m/>
    <m/>
    <n v="0"/>
    <m/>
    <m/>
    <m/>
    <m/>
    <m/>
    <m/>
    <m/>
    <m/>
    <s v="XOPA93016-Y305"/>
    <s v="S19296"/>
    <s v="SIIX SINGAPORE PTE LTD"/>
    <m/>
    <n v="0"/>
    <n v="0"/>
    <n v="0"/>
    <n v="0"/>
    <n v="0"/>
    <n v="0"/>
    <m/>
    <m/>
    <m/>
    <s v="No"/>
    <s v="W663524"/>
    <n v="0"/>
    <m/>
    <s v="S19296"/>
    <m/>
    <m/>
    <s v="H0064236"/>
  </r>
  <r>
    <x v="1052"/>
    <n v="10000"/>
    <n v="20000"/>
    <d v="2025-03-25T00:00:00"/>
    <s v="502LAUGH"/>
    <d v="1899-12-30T10:37:09"/>
    <s v="4067S1"/>
    <m/>
    <x v="2"/>
    <s v="Yes"/>
    <n v="59"/>
    <s v="SANKI SD-300 Intermittent"/>
    <x v="2"/>
    <s v="PS74"/>
    <s v="GOH CHIN TECK"/>
    <n v="2500"/>
    <n v="107.5"/>
    <n v="1.7916666666666667"/>
    <d v="2025-03-25T00:00:00"/>
    <m/>
    <n v="2"/>
    <n v="5000"/>
    <s v="PE"/>
    <s v="710553 INDEX4060001"/>
    <n v="0"/>
    <n v="5000"/>
    <n v="0"/>
    <n v="0"/>
    <n v="0"/>
    <n v="0"/>
    <m/>
    <m/>
    <n v="0"/>
    <m/>
    <m/>
    <m/>
    <m/>
    <m/>
    <m/>
    <m/>
    <m/>
    <s v="710553 INDEX406"/>
    <s v="V22000"/>
    <s v="PT VARTA MICROBATTERY INDONESIA"/>
    <m/>
    <n v="0"/>
    <n v="0"/>
    <n v="0"/>
    <n v="0"/>
    <n v="0"/>
    <n v="0"/>
    <m/>
    <m/>
    <m/>
    <s v="No"/>
    <s v="W663527"/>
    <n v="0"/>
    <m/>
    <s v="V22000"/>
    <m/>
    <m/>
    <s v="S0355006"/>
  </r>
  <r>
    <x v="1053"/>
    <n v="10000"/>
    <n v="10000"/>
    <d v="2025-03-26T00:00:00"/>
    <s v="502LAUGH"/>
    <s v=" 8:41:49 am"/>
    <s v="J00788540"/>
    <m/>
    <x v="2"/>
    <s v="Yes"/>
    <n v="86"/>
    <s v="Brotech DF330 "/>
    <x v="0"/>
    <s v="PM45"/>
    <s v="TAY CHIN LIONG"/>
    <n v="10500"/>
    <n v="220"/>
    <n v="3.6666666666666665"/>
    <d v="2025-03-25T00:00:00"/>
    <m/>
    <n v="4"/>
    <n v="42000"/>
    <s v="PE"/>
    <s v="R001-41015 REV1.0001"/>
    <n v="0"/>
    <n v="42000"/>
    <n v="0"/>
    <n v="0"/>
    <n v="0"/>
    <n v="0"/>
    <m/>
    <m/>
    <n v="0"/>
    <m/>
    <m/>
    <m/>
    <m/>
    <m/>
    <m/>
    <m/>
    <m/>
    <s v="R001-41015 REV1.0"/>
    <s v="R18131"/>
    <s v="RESMED ASIA PTE LTD"/>
    <m/>
    <n v="0"/>
    <n v="0"/>
    <n v="0"/>
    <n v="0"/>
    <n v="0"/>
    <n v="0"/>
    <m/>
    <m/>
    <m/>
    <s v="No"/>
    <s v="W663533"/>
    <n v="0"/>
    <m/>
    <s v="R18131"/>
    <m/>
    <m/>
    <s v="S0356608"/>
  </r>
  <r>
    <x v="1054"/>
    <n v="10000"/>
    <n v="10000"/>
    <d v="2025-03-27T00:00:00"/>
    <s v="502LAUGH"/>
    <d v="1899-12-30T11:13:36"/>
    <s v="U4815S050/U4606S002/25900818/2339-01"/>
    <m/>
    <x v="2"/>
    <s v="Yes"/>
    <n v="78"/>
    <s v="Baby Sanki"/>
    <x v="2"/>
    <s v="PM84"/>
    <s v="TAN TAI TOH"/>
    <n v="4000"/>
    <n v="145"/>
    <n v="2.4166666666666665"/>
    <d v="2025-03-25T00:00:00"/>
    <m/>
    <n v="8"/>
    <n v="32000"/>
    <s v="PE"/>
    <s v="707806 INDEX4060001"/>
    <n v="0"/>
    <n v="5000"/>
    <n v="27000"/>
    <n v="0"/>
    <n v="0"/>
    <n v="0"/>
    <m/>
    <m/>
    <n v="0"/>
    <m/>
    <m/>
    <m/>
    <m/>
    <m/>
    <m/>
    <m/>
    <m/>
    <s v="707806 INDEX406"/>
    <s v="V22000"/>
    <s v="PT VARTA MICROBATTERY INDONESIA"/>
    <m/>
    <n v="0"/>
    <n v="0"/>
    <n v="0"/>
    <n v="0"/>
    <n v="0"/>
    <n v="0"/>
    <m/>
    <m/>
    <m/>
    <s v="No"/>
    <s v="W663537"/>
    <n v="0"/>
    <m/>
    <s v="V22000"/>
    <m/>
    <m/>
    <s v="S0357110"/>
  </r>
  <r>
    <x v="1055"/>
    <n v="10000"/>
    <n v="10000"/>
    <d v="2025-03-25T00:00:00"/>
    <s v="502LAUGH"/>
    <s v=" 5:51:28 pm"/>
    <s v="J00T59561"/>
    <m/>
    <x v="2"/>
    <s v="Yes"/>
    <n v="72"/>
    <s v="Xeikon 3500"/>
    <x v="4"/>
    <s v="PM17"/>
    <s v="NG SWEE CHEA"/>
    <n v="9400"/>
    <m/>
    <m/>
    <d v="2025-03-25T00:00:00"/>
    <m/>
    <n v="5"/>
    <n v="47000"/>
    <s v="PE"/>
    <n v="83624430001"/>
    <n v="0"/>
    <n v="40000"/>
    <n v="7000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3568"/>
    <n v="0"/>
    <m/>
    <s v="B02083"/>
    <m/>
    <m/>
    <s v="S0359207"/>
  </r>
  <r>
    <x v="1055"/>
    <n v="10000"/>
    <n v="20000"/>
    <d v="2025-03-25T00:00:00"/>
    <s v="502LAUGH"/>
    <s v=" 5:51:29 pm"/>
    <s v="J00T59561"/>
    <m/>
    <x v="0"/>
    <s v="Yes"/>
    <n v="71"/>
    <s v="POLLY"/>
    <x v="3"/>
    <s v="PS95"/>
    <s v="LIM CHENG LEONG"/>
    <n v="4445"/>
    <m/>
    <m/>
    <d v="2025-03-25T00:00:00"/>
    <m/>
    <n v="9"/>
    <n v="40005"/>
    <s v="PE"/>
    <n v="83624430001"/>
    <n v="0"/>
    <n v="40000"/>
    <n v="5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3568"/>
    <n v="0"/>
    <m/>
    <s v="B02083"/>
    <m/>
    <m/>
    <s v="S0359207"/>
  </r>
  <r>
    <x v="974"/>
    <n v="10000"/>
    <n v="20000"/>
    <d v="2025-03-25T00:00:00"/>
    <s v="502LAUGH"/>
    <s v=" 1:23:06 pm"/>
    <s v="J00T59561"/>
    <m/>
    <x v="0"/>
    <s v="Yes"/>
    <n v="71"/>
    <s v="POLLY"/>
    <x v="3"/>
    <s v="PS95"/>
    <s v="LIM CHENG LEONG"/>
    <n v="1112"/>
    <m/>
    <m/>
    <d v="2025-03-25T00:00:00"/>
    <m/>
    <n v="9"/>
    <n v="10008"/>
    <s v="PE"/>
    <n v="83634500001"/>
    <n v="0"/>
    <n v="10000"/>
    <n v="8"/>
    <n v="0"/>
    <n v="0"/>
    <n v="0"/>
    <m/>
    <m/>
    <n v="0"/>
    <m/>
    <m/>
    <m/>
    <m/>
    <m/>
    <m/>
    <m/>
    <m/>
    <n v="8363450"/>
    <s v="B02083"/>
    <s v="BECTON DICKINSON MEDICAL (S) PTE LTD"/>
    <m/>
    <n v="0"/>
    <n v="0"/>
    <n v="0"/>
    <n v="0"/>
    <n v="0"/>
    <n v="0"/>
    <m/>
    <m/>
    <m/>
    <s v="No"/>
    <s v="W663570"/>
    <n v="0"/>
    <m/>
    <s v="B02083"/>
    <m/>
    <m/>
    <s v="S0359207"/>
  </r>
  <r>
    <x v="975"/>
    <n v="10000"/>
    <n v="20000"/>
    <d v="2025-03-25T00:00:00"/>
    <s v="502LAUGH"/>
    <s v=" 1:20:49 pm"/>
    <s v="J00T59561"/>
    <m/>
    <x v="0"/>
    <s v="Yes"/>
    <n v="71"/>
    <s v="POLLY"/>
    <x v="3"/>
    <s v="PS95"/>
    <s v="LIM CHENG LEONG"/>
    <n v="1112"/>
    <m/>
    <m/>
    <d v="2025-03-25T00:00:00"/>
    <m/>
    <n v="9"/>
    <n v="10008"/>
    <s v="PE"/>
    <n v="83635750001"/>
    <n v="0"/>
    <n v="10000"/>
    <n v="8"/>
    <n v="0"/>
    <n v="0"/>
    <n v="0"/>
    <m/>
    <m/>
    <n v="0"/>
    <m/>
    <m/>
    <m/>
    <m/>
    <m/>
    <m/>
    <m/>
    <m/>
    <n v="8363575"/>
    <s v="B02083"/>
    <s v="BECTON DICKINSON MEDICAL (S) PTE LTD"/>
    <m/>
    <n v="0"/>
    <n v="0"/>
    <n v="0"/>
    <n v="0"/>
    <n v="0"/>
    <n v="0"/>
    <m/>
    <m/>
    <m/>
    <s v="No"/>
    <s v="W663571"/>
    <n v="0"/>
    <m/>
    <s v="B02083"/>
    <m/>
    <m/>
    <s v="S0359207"/>
  </r>
  <r>
    <x v="976"/>
    <n v="10000"/>
    <n v="20000"/>
    <d v="2025-03-25T00:00:00"/>
    <s v="502LAUGH"/>
    <s v=" 1:22:09 pm"/>
    <s v="J00T59561"/>
    <m/>
    <x v="0"/>
    <s v="Yes"/>
    <n v="71"/>
    <s v="POLLY"/>
    <x v="3"/>
    <s v="PS95"/>
    <s v="LIM CHENG LEONG"/>
    <n v="1112"/>
    <m/>
    <m/>
    <d v="2025-03-25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s v="BECTON DICKINSON MEDICAL (S) PTE LTD"/>
    <m/>
    <n v="0"/>
    <n v="0"/>
    <n v="0"/>
    <n v="0"/>
    <n v="0"/>
    <n v="0"/>
    <m/>
    <m/>
    <m/>
    <s v="No"/>
    <s v="W663572"/>
    <n v="0"/>
    <m/>
    <s v="B02083"/>
    <m/>
    <m/>
    <s v="S0359207"/>
  </r>
  <r>
    <x v="1056"/>
    <n v="10000"/>
    <n v="10000"/>
    <d v="2025-03-26T00:00:00"/>
    <s v="505KANGHS"/>
    <s v=" 8:49:26 am"/>
    <s v="4067S1"/>
    <m/>
    <x v="2"/>
    <s v="Yes"/>
    <n v="61"/>
    <s v="FSK 520"/>
    <x v="2"/>
    <s v="PM68"/>
    <s v="LEE KIM LIANG"/>
    <n v="5000"/>
    <n v="145"/>
    <n v="2.4166666666666665"/>
    <d v="2025-03-25T00:00:00"/>
    <m/>
    <n v="1"/>
    <n v="5000"/>
    <s v="PE"/>
    <s v="714129 REV4020001"/>
    <n v="0"/>
    <n v="5000"/>
    <n v="0"/>
    <n v="0"/>
    <n v="0"/>
    <n v="0"/>
    <m/>
    <m/>
    <n v="0"/>
    <m/>
    <m/>
    <m/>
    <m/>
    <m/>
    <m/>
    <m/>
    <m/>
    <s v="714129 REV403"/>
    <s v="V22000"/>
    <s v="PT VARTA MICROBATTERY INDONESIA"/>
    <m/>
    <n v="0"/>
    <n v="0"/>
    <n v="0"/>
    <n v="0"/>
    <n v="0"/>
    <n v="0"/>
    <m/>
    <m/>
    <m/>
    <s v="No"/>
    <s v="W663606"/>
    <n v="0"/>
    <m/>
    <s v="V22000"/>
    <m/>
    <m/>
    <s v="S0359846"/>
  </r>
  <r>
    <x v="1057"/>
    <n v="10000"/>
    <n v="20000"/>
    <d v="2025-03-26T00:00:00"/>
    <s v="502LAUGH"/>
    <d v="1899-12-30T12:57:46"/>
    <s v="M0BUE5710"/>
    <m/>
    <x v="2"/>
    <s v="Yes"/>
    <n v="94"/>
    <s v="Taiyo"/>
    <x v="2"/>
    <s v="PM09"/>
    <s v="PANG JING FULL"/>
    <n v="9000"/>
    <m/>
    <m/>
    <d v="2025-03-25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s v="WESTERN DIGITAL STORAGE TECHNOLOGIES"/>
    <m/>
    <n v="0"/>
    <n v="0"/>
    <n v="0"/>
    <n v="0"/>
    <n v="0"/>
    <n v="0"/>
    <m/>
    <m/>
    <m/>
    <s v="No"/>
    <s v="W663632"/>
    <n v="0"/>
    <m/>
    <s v="W23041-TH"/>
    <m/>
    <m/>
    <s v="H0064705"/>
  </r>
  <r>
    <x v="1058"/>
    <n v="10000"/>
    <n v="10000"/>
    <d v="2025-03-27T00:00:00"/>
    <s v="502LAUGH"/>
    <s v=" 5:15:20 pm"/>
    <s v="M0BUF4302/M0BUF4281"/>
    <m/>
    <x v="2"/>
    <s v="Yes"/>
    <n v="29"/>
    <s v="Sanki SKP250 Full Rotary"/>
    <x v="2"/>
    <s v="PS70"/>
    <s v="YEO WOO KEONG"/>
    <n v="24000"/>
    <n v="645"/>
    <n v="10.75"/>
    <d v="2025-03-2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650"/>
    <n v="0"/>
    <m/>
    <s v="S19081-TH"/>
    <m/>
    <m/>
    <s v="H0064751"/>
  </r>
  <r>
    <x v="1059"/>
    <n v="10000"/>
    <n v="20000"/>
    <d v="2025-03-26T00:00:00"/>
    <s v="502LAUGH"/>
    <s v=" 8:34:15 am"/>
    <s v="J00T39951"/>
    <m/>
    <x v="2"/>
    <s v="Yes"/>
    <n v="46"/>
    <s v="Sanki 300 Intermittent"/>
    <x v="2"/>
    <s v="PS66"/>
    <s v="SIM ENG KWANG"/>
    <n v="3000"/>
    <n v="120"/>
    <n v="2"/>
    <d v="2025-03-25T00:00:00"/>
    <m/>
    <n v="1"/>
    <n v="3000"/>
    <s v="PE"/>
    <s v="250-5305-000001"/>
    <n v="0"/>
    <n v="3000"/>
    <n v="0"/>
    <n v="0"/>
    <n v="0"/>
    <n v="0"/>
    <m/>
    <m/>
    <n v="0"/>
    <m/>
    <m/>
    <m/>
    <m/>
    <m/>
    <m/>
    <m/>
    <m/>
    <s v="250-5305-00"/>
    <s v="J10025"/>
    <s v="JMS SINGAPORE PTE LTD"/>
    <m/>
    <n v="0"/>
    <n v="0"/>
    <n v="0"/>
    <n v="0"/>
    <n v="0"/>
    <n v="0"/>
    <m/>
    <m/>
    <m/>
    <s v="No"/>
    <s v="W663672"/>
    <n v="0"/>
    <m/>
    <s v="J10025"/>
    <m/>
    <m/>
    <s v="S0361087"/>
  </r>
  <r>
    <x v="1060"/>
    <n v="10000"/>
    <n v="10000"/>
    <d v="2025-03-25T00:00:00"/>
    <s v="502LAUGH"/>
    <s v=" 5:29:06 pm"/>
    <s v="J00T39951"/>
    <m/>
    <x v="2"/>
    <s v="Yes"/>
    <n v="46"/>
    <s v="Sanki 300 Intermittent"/>
    <x v="2"/>
    <s v="PS66"/>
    <s v="SIM ENG KWANG"/>
    <n v="1000"/>
    <n v="70"/>
    <n v="1.1666666666666667"/>
    <d v="2025-03-25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s v="JMS SINGAPORE PTE LTD"/>
    <m/>
    <n v="0"/>
    <n v="0"/>
    <n v="0"/>
    <n v="0"/>
    <n v="0"/>
    <n v="0"/>
    <m/>
    <m/>
    <m/>
    <s v="No"/>
    <s v="W663675"/>
    <n v="0"/>
    <m/>
    <s v="J10025"/>
    <m/>
    <m/>
    <s v="S0361088"/>
  </r>
  <r>
    <x v="1061"/>
    <n v="10000"/>
    <n v="10000"/>
    <d v="2025-03-28T00:00:00"/>
    <s v="505KANGHS"/>
    <s v=" 8:40:26 am"/>
    <s v="4101908U5A"/>
    <m/>
    <x v="2"/>
    <s v="Yes"/>
    <n v="12"/>
    <s v="FSK SR520"/>
    <x v="2"/>
    <s v="PP05"/>
    <s v="WONG KIM FATT"/>
    <n v="45000"/>
    <n v="945"/>
    <n v="15.75"/>
    <d v="2025-03-25T00:00:00"/>
    <m/>
    <n v="1"/>
    <n v="45000"/>
    <s v="PE"/>
    <s v="250-6259-000001"/>
    <n v="0"/>
    <n v="45000"/>
    <n v="0"/>
    <n v="0"/>
    <n v="0"/>
    <n v="0"/>
    <m/>
    <m/>
    <n v="0"/>
    <m/>
    <m/>
    <m/>
    <m/>
    <m/>
    <m/>
    <m/>
    <m/>
    <s v="250-6259-00"/>
    <s v="J10025"/>
    <s v="JMS SINGAPORE PTE LTD"/>
    <m/>
    <n v="0"/>
    <n v="0"/>
    <n v="0"/>
    <n v="0"/>
    <n v="0"/>
    <n v="0"/>
    <m/>
    <m/>
    <m/>
    <s v="No"/>
    <s v="W663704"/>
    <n v="0"/>
    <m/>
    <s v="J10025"/>
    <m/>
    <m/>
    <s v="S0361174"/>
  </r>
  <r>
    <x v="1062"/>
    <n v="10000"/>
    <n v="10000"/>
    <d v="2025-03-26T00:00:00"/>
    <s v="502LAUGH"/>
    <d v="1899-12-30T11:03:23"/>
    <s v="4090411U5A/4090412U5A"/>
    <m/>
    <x v="2"/>
    <s v="Yes"/>
    <n v="22"/>
    <s v="FSK B100"/>
    <x v="2"/>
    <s v="PS13"/>
    <s v="YEE CHENG MENG"/>
    <n v="15000"/>
    <n v="345"/>
    <n v="5.75"/>
    <d v="2025-03-25T00:00:00"/>
    <m/>
    <n v="1"/>
    <n v="15000"/>
    <s v="PE"/>
    <s v="260-6011-000001"/>
    <n v="0"/>
    <n v="15000"/>
    <n v="0"/>
    <n v="0"/>
    <n v="0"/>
    <n v="0"/>
    <m/>
    <m/>
    <n v="0"/>
    <m/>
    <m/>
    <m/>
    <m/>
    <m/>
    <m/>
    <m/>
    <m/>
    <s v="260-6011-00"/>
    <s v="J10025"/>
    <s v="JMS SINGAPORE PTE LTD"/>
    <m/>
    <n v="0"/>
    <n v="0"/>
    <n v="0"/>
    <n v="0"/>
    <n v="0"/>
    <n v="0"/>
    <m/>
    <m/>
    <m/>
    <s v="No"/>
    <s v="W663705"/>
    <n v="0"/>
    <m/>
    <s v="J10025"/>
    <m/>
    <m/>
    <s v="S0361174"/>
  </r>
  <r>
    <x v="1063"/>
    <n v="10000"/>
    <n v="10000"/>
    <d v="2025-03-26T00:00:00"/>
    <s v="505KANGHS"/>
    <s v=" 8:49:26 am"/>
    <s v="5011702U5"/>
    <m/>
    <x v="2"/>
    <s v="Yes"/>
    <n v="61"/>
    <s v="FSK 520"/>
    <x v="2"/>
    <s v="PM61"/>
    <s v="HO CHAN LE"/>
    <n v="2000"/>
    <n v="85"/>
    <n v="1.4166666666666667"/>
    <d v="2025-03-25T00:00:00"/>
    <m/>
    <n v="4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s v="JMS SINGAPORE PTE LTD"/>
    <m/>
    <n v="0"/>
    <n v="0"/>
    <n v="0"/>
    <n v="0"/>
    <n v="0"/>
    <n v="0"/>
    <m/>
    <m/>
    <m/>
    <s v="No"/>
    <s v="W663712"/>
    <n v="0"/>
    <m/>
    <s v="J10025"/>
    <m/>
    <m/>
    <s v="S0361175"/>
  </r>
  <r>
    <x v="1064"/>
    <n v="10000"/>
    <n v="10000"/>
    <d v="2025-03-28T00:00:00"/>
    <s v="505KANGHS"/>
    <s v=" 8:38:09 am"/>
    <s v="SG-5508106-01"/>
    <m/>
    <x v="2"/>
    <s v="Yes"/>
    <n v="61"/>
    <s v="FSK 520"/>
    <x v="2"/>
    <s v="PM68"/>
    <s v="LEE KIM LIANG"/>
    <n v="15000"/>
    <n v="345"/>
    <n v="5.75"/>
    <d v="2025-03-25T00:00:00"/>
    <m/>
    <n v="1"/>
    <n v="15000"/>
    <s v="PE"/>
    <s v="TAK25PLW104C0001"/>
    <n v="0"/>
    <n v="10000"/>
    <n v="5000"/>
    <n v="0"/>
    <n v="0"/>
    <n v="0"/>
    <m/>
    <m/>
    <n v="0"/>
    <m/>
    <m/>
    <m/>
    <m/>
    <m/>
    <m/>
    <m/>
    <m/>
    <s v="TAK25PLW104C"/>
    <s v="T20335"/>
    <s v="TAKEIKI PTE LTD"/>
    <m/>
    <n v="0"/>
    <n v="0"/>
    <n v="0"/>
    <n v="0"/>
    <n v="0"/>
    <n v="0"/>
    <m/>
    <m/>
    <m/>
    <s v="No"/>
    <s v="W663733"/>
    <n v="0"/>
    <m/>
    <s v="T20335"/>
    <m/>
    <m/>
    <s v="S0361246"/>
  </r>
  <r>
    <x v="1065"/>
    <n v="10000"/>
    <n v="10000"/>
    <d v="2025-03-25T00:00:00"/>
    <s v="502LAUGH"/>
    <s v=" 9:14:06 am"/>
    <s v="SG-5622228 01"/>
    <m/>
    <x v="2"/>
    <s v="Yes"/>
    <n v="59"/>
    <s v="SANKI SD-300 Intermittent"/>
    <x v="2"/>
    <s v="PS74"/>
    <s v="GOH CHIN TECK"/>
    <n v="860"/>
    <n v="66.5"/>
    <n v="1.1083333333333334"/>
    <d v="2025-03-2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63747"/>
    <n v="0"/>
    <m/>
    <s v="I09180"/>
    <m/>
    <m/>
    <s v="S0361259"/>
  </r>
  <r>
    <x v="1065"/>
    <n v="20000"/>
    <n v="10000"/>
    <d v="2025-03-25T00:00:00"/>
    <s v="502LAUGH"/>
    <s v=" 9:14:06 am"/>
    <s v="SG-5622228 01"/>
    <m/>
    <x v="2"/>
    <s v="Yes"/>
    <n v="59"/>
    <s v="SANKI SD-300 Intermittent"/>
    <x v="2"/>
    <s v="PS74"/>
    <s v="GOH CHIN TECK"/>
    <n v="860"/>
    <n v="66.5"/>
    <n v="1.1083333333333334"/>
    <d v="2025-03-2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63747"/>
    <n v="0"/>
    <m/>
    <s v="I09180"/>
    <m/>
    <m/>
    <s v="S0361259"/>
  </r>
  <r>
    <x v="1066"/>
    <n v="10000"/>
    <n v="10000"/>
    <d v="2025-03-25T00:00:00"/>
    <s v="502LAUGH"/>
    <s v=" 4:39:10 pm"/>
    <s v="SG-5643031 01"/>
    <m/>
    <x v="2"/>
    <s v="Yes"/>
    <n v="59"/>
    <s v="SANKI SD-300 Intermittent"/>
    <x v="2"/>
    <s v="PS74"/>
    <s v="GOH CHIN TECK"/>
    <n v="1245"/>
    <n v="76.125"/>
    <n v="1.26875"/>
    <d v="2025-03-2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3749"/>
    <n v="0"/>
    <m/>
    <s v="I09180"/>
    <m/>
    <m/>
    <s v="S0361261"/>
  </r>
  <r>
    <x v="1066"/>
    <n v="20000"/>
    <n v="10000"/>
    <d v="2025-03-25T00:00:00"/>
    <s v="502LAUGH"/>
    <s v=" 4:39:10 pm"/>
    <s v="SG-5643031 01"/>
    <m/>
    <x v="2"/>
    <s v="Yes"/>
    <n v="59"/>
    <s v="SANKI SD-300 Intermittent"/>
    <x v="2"/>
    <s v="PS74"/>
    <s v="GOH CHIN TECK"/>
    <n v="1245"/>
    <n v="76.125"/>
    <n v="1.26875"/>
    <d v="2025-03-2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3749"/>
    <n v="0"/>
    <m/>
    <s v="I09180"/>
    <m/>
    <m/>
    <s v="S0361261"/>
  </r>
  <r>
    <x v="1066"/>
    <n v="30000"/>
    <n v="10000"/>
    <d v="2025-03-25T00:00:00"/>
    <s v="502LAUGH"/>
    <s v=" 4:39:10 pm"/>
    <s v="SG-5643031 01"/>
    <m/>
    <x v="2"/>
    <s v="Yes"/>
    <n v="59"/>
    <s v="SANKI SD-300 Intermittent"/>
    <x v="2"/>
    <s v="PS74"/>
    <s v="GOH CHIN TECK"/>
    <n v="1245"/>
    <n v="76.125"/>
    <n v="1.26875"/>
    <d v="2025-03-2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s v="ILLUMINA SINGAPORE PTE LTD"/>
    <m/>
    <n v="0"/>
    <n v="0"/>
    <n v="0"/>
    <n v="0"/>
    <n v="0"/>
    <n v="0"/>
    <m/>
    <m/>
    <m/>
    <s v="No"/>
    <s v="W663749"/>
    <n v="0"/>
    <m/>
    <s v="I09180"/>
    <m/>
    <m/>
    <s v="S0361261"/>
  </r>
  <r>
    <x v="1067"/>
    <n v="10000"/>
    <n v="10000"/>
    <d v="2025-03-25T00:00:00"/>
    <s v="502LAUGH"/>
    <s v=" 1:25:20 pm"/>
    <s v="M0BUE5710"/>
    <m/>
    <x v="2"/>
    <s v="Yes"/>
    <n v="94"/>
    <s v="Taiyo"/>
    <x v="2"/>
    <s v="PM09"/>
    <s v="PANG JING FULL"/>
    <n v="1250"/>
    <m/>
    <m/>
    <d v="2025-03-25T00:00:00"/>
    <m/>
    <n v="4"/>
    <n v="5000"/>
    <s v="PE"/>
    <s v="L001-772785-00000004"/>
    <n v="0"/>
    <n v="5000"/>
    <n v="0"/>
    <n v="0"/>
    <n v="0"/>
    <n v="0"/>
    <m/>
    <m/>
    <n v="0"/>
    <m/>
    <m/>
    <m/>
    <m/>
    <m/>
    <m/>
    <m/>
    <m/>
    <s v="L001-772785-000004CG"/>
    <s v="X24001-WD-SUZHOU"/>
    <s v="TELEPLAN TECHNOLOGIES (SUZHOU) CO., LTD"/>
    <m/>
    <n v="0"/>
    <n v="0"/>
    <n v="0"/>
    <n v="0"/>
    <n v="0"/>
    <n v="0"/>
    <m/>
    <m/>
    <m/>
    <s v="No"/>
    <s v="W663761"/>
    <n v="0"/>
    <m/>
    <s v="X24001-WD-SUZHOU"/>
    <m/>
    <m/>
    <s v="S0361288"/>
  </r>
  <r>
    <x v="1068"/>
    <n v="10000"/>
    <n v="10000"/>
    <d v="2025-03-27T00:00:00"/>
    <s v="502LAUGH"/>
    <s v=" 8:34:49 am"/>
    <s v="J00T59561"/>
    <m/>
    <x v="2"/>
    <s v="Yes"/>
    <n v="72"/>
    <s v="Xeikon 3500"/>
    <x v="4"/>
    <s v="PM17"/>
    <s v="NG SWEE CHEA"/>
    <n v="375"/>
    <m/>
    <m/>
    <d v="2025-03-25T00:00:00"/>
    <m/>
    <n v="24"/>
    <n v="9000"/>
    <s v="PE"/>
    <n v="5000422940001"/>
    <n v="0"/>
    <n v="5000"/>
    <n v="4000"/>
    <n v="0"/>
    <n v="0"/>
    <n v="0"/>
    <m/>
    <m/>
    <n v="0"/>
    <m/>
    <m/>
    <m/>
    <m/>
    <m/>
    <m/>
    <m/>
    <m/>
    <n v="500042294"/>
    <s v="B02083"/>
    <s v="BECTON DICKINSON MEDICAL (S) PTE LTD"/>
    <m/>
    <n v="0"/>
    <n v="0"/>
    <n v="0"/>
    <n v="0"/>
    <n v="0"/>
    <n v="0"/>
    <m/>
    <m/>
    <m/>
    <s v="No"/>
    <s v="W663766"/>
    <n v="0"/>
    <m/>
    <s v="B02083"/>
    <m/>
    <m/>
    <s v="S0361296"/>
  </r>
  <r>
    <x v="1069"/>
    <n v="10000"/>
    <n v="10000"/>
    <d v="2025-03-27T00:00:00"/>
    <s v="502LAUGH"/>
    <s v=" 8:31:51 am"/>
    <s v="J00T59561"/>
    <m/>
    <x v="2"/>
    <s v="Yes"/>
    <n v="72"/>
    <s v="Xeikon 3500"/>
    <x v="4"/>
    <s v="PM17"/>
    <s v="NG SWEE CHEA"/>
    <n v="375"/>
    <m/>
    <m/>
    <d v="2025-03-25T00:00:00"/>
    <m/>
    <n v="24"/>
    <n v="9000"/>
    <s v="PE"/>
    <n v="5000422950001"/>
    <n v="0"/>
    <n v="5000"/>
    <n v="4000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63767"/>
    <n v="0"/>
    <m/>
    <s v="B02083"/>
    <m/>
    <m/>
    <s v="S0361296"/>
  </r>
  <r>
    <x v="1070"/>
    <n v="10000"/>
    <n v="20000"/>
    <d v="2025-03-26T00:00:00"/>
    <s v="502LAUGH"/>
    <s v=" 8:46:10 am"/>
    <s v="J00Q283701525"/>
    <m/>
    <x v="2"/>
    <s v="Yes"/>
    <n v="86"/>
    <s v="Brotech DF330 "/>
    <x v="0"/>
    <s v="PM45"/>
    <s v="TAY CHIN LIONG"/>
    <n v="3000"/>
    <n v="95"/>
    <n v="1.5833333333333333"/>
    <d v="2025-03-25T00:00:00"/>
    <m/>
    <n v="4"/>
    <n v="12000"/>
    <s v="PE"/>
    <s v="R001-4937 REV2.00001"/>
    <n v="0"/>
    <n v="12000"/>
    <n v="0"/>
    <n v="0"/>
    <n v="0"/>
    <n v="0"/>
    <m/>
    <m/>
    <n v="0"/>
    <m/>
    <m/>
    <m/>
    <m/>
    <m/>
    <m/>
    <m/>
    <m/>
    <s v="R001-4937 REV2.0"/>
    <s v="R18131"/>
    <s v="RESMED ASIA PTE LTD"/>
    <m/>
    <n v="0"/>
    <n v="0"/>
    <n v="0"/>
    <n v="0"/>
    <n v="0"/>
    <n v="0"/>
    <m/>
    <m/>
    <m/>
    <s v="No"/>
    <s v="W663772"/>
    <n v="0"/>
    <m/>
    <s v="R18131"/>
    <m/>
    <m/>
    <s v="S0361343"/>
  </r>
  <r>
    <x v="1071"/>
    <n v="10000"/>
    <n v="10000"/>
    <d v="2025-03-26T00:00:00"/>
    <s v="502LAUGH"/>
    <s v=" 8:33:16 am"/>
    <s v="U530352041/501241326"/>
    <m/>
    <x v="2"/>
    <s v="Yes"/>
    <n v="32"/>
    <s v="Lintec Intermittent"/>
    <x v="2"/>
    <s v="PM26"/>
    <s v="TAN AIK KEONG"/>
    <n v="5860"/>
    <m/>
    <m/>
    <d v="2025-03-2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3788"/>
    <n v="0"/>
    <m/>
    <s v="J10025"/>
    <m/>
    <m/>
    <s v="S0361376"/>
  </r>
  <r>
    <x v="1072"/>
    <n v="10000"/>
    <n v="10000"/>
    <d v="2025-03-26T00:00:00"/>
    <s v="502LAUGH"/>
    <s v=" 8:33:16 am"/>
    <s v="U530352041/501241326"/>
    <m/>
    <x v="2"/>
    <s v="Yes"/>
    <n v="32"/>
    <s v="Lintec Intermittent"/>
    <x v="2"/>
    <s v="PM26"/>
    <s v="TAN AIK KEONG"/>
    <n v="5860"/>
    <m/>
    <m/>
    <d v="2025-03-2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4130"/>
    <n v="0"/>
    <m/>
    <s v="J10025"/>
    <m/>
    <m/>
    <s v="S0361377"/>
  </r>
  <r>
    <x v="1028"/>
    <n v="10000"/>
    <n v="20000"/>
    <d v="2025-03-26T00:00:00"/>
    <s v="502LAUGH"/>
    <s v=" 8:38:28 am"/>
    <s v="4820U8013"/>
    <m/>
    <x v="0"/>
    <s v="Yes"/>
    <n v="92"/>
    <s v="Polly Digital Cut"/>
    <x v="6"/>
    <s v="PM87"/>
    <s v="LEE SHIEN WEI"/>
    <n v="1800"/>
    <m/>
    <m/>
    <d v="2025-03-25T00:00:00"/>
    <m/>
    <n v="3"/>
    <n v="5400"/>
    <s v="PE"/>
    <s v="241117-120001"/>
    <n v="0"/>
    <n v="5000"/>
    <n v="400"/>
    <n v="0"/>
    <n v="0"/>
    <n v="0"/>
    <m/>
    <m/>
    <n v="0"/>
    <m/>
    <m/>
    <m/>
    <m/>
    <m/>
    <m/>
    <m/>
    <m/>
    <s v="241117-12"/>
    <s v="T20115"/>
    <s v="ABB  PTE. LTD."/>
    <m/>
    <n v="0"/>
    <n v="0"/>
    <n v="0"/>
    <n v="0"/>
    <n v="0"/>
    <n v="0"/>
    <m/>
    <m/>
    <m/>
    <s v="No"/>
    <s v="W663808"/>
    <n v="0"/>
    <m/>
    <s v="T20115"/>
    <m/>
    <m/>
    <s v="S0361393"/>
  </r>
  <r>
    <x v="1073"/>
    <n v="10000"/>
    <n v="10000"/>
    <d v="2025-03-26T00:00:00"/>
    <s v="502LAUGH"/>
    <s v=" 9:23:36 am"/>
    <s v="E053912079"/>
    <m/>
    <x v="2"/>
    <s v="Yes"/>
    <n v="63"/>
    <s v="SANKI"/>
    <x v="3"/>
    <s v="PM80"/>
    <s v="YAP ZHI PING"/>
    <n v="3000"/>
    <n v="120"/>
    <n v="2"/>
    <d v="2025-03-25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3820"/>
    <n v="0"/>
    <m/>
    <s v="S19314"/>
    <m/>
    <m/>
    <s v="H0064825"/>
  </r>
  <r>
    <x v="1074"/>
    <n v="10000"/>
    <n v="10000"/>
    <d v="2025-03-26T00:00:00"/>
    <s v="502LAUGH"/>
    <s v=" 9:23:36 am"/>
    <s v="E053912079"/>
    <m/>
    <x v="2"/>
    <s v="Yes"/>
    <n v="63"/>
    <s v="SANKI"/>
    <x v="3"/>
    <s v="PM80"/>
    <s v="YAP ZHI PING"/>
    <n v="3000"/>
    <n v="120"/>
    <n v="2"/>
    <d v="2025-03-25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3821"/>
    <n v="0"/>
    <m/>
    <s v="S19314"/>
    <m/>
    <m/>
    <s v="H0064826"/>
  </r>
  <r>
    <x v="1075"/>
    <n v="10000"/>
    <n v="10000"/>
    <d v="2025-03-27T00:00:00"/>
    <s v="502LAUGH"/>
    <s v=" 9:07:52 am"/>
    <s v="M0BUF4311/M0BUF4281/MBUF4302"/>
    <m/>
    <x v="2"/>
    <s v="Yes"/>
    <n v="70"/>
    <s v="SANKI"/>
    <x v="3"/>
    <s v="PS84"/>
    <s v="YIP WENG FAI"/>
    <n v="22500"/>
    <n v="607.5"/>
    <n v="10.125"/>
    <d v="2025-03-2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3822"/>
    <n v="0"/>
    <m/>
    <s v="S19314"/>
    <m/>
    <m/>
    <s v="H0064827"/>
  </r>
  <r>
    <x v="1076"/>
    <n v="10000"/>
    <n v="10000"/>
    <d v="2025-03-27T00:00:00"/>
    <s v="502LAUGH"/>
    <s v=" 9:09:36 am"/>
    <s v="E190912129"/>
    <m/>
    <x v="2"/>
    <s v="Yes"/>
    <n v="63"/>
    <s v="SANKI"/>
    <x v="3"/>
    <s v="PM80"/>
    <s v="YAP ZHI PING"/>
    <n v="1334"/>
    <n v="78.349999999999994"/>
    <n v="1.3058333333333332"/>
    <d v="2025-03-25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s v="W663823"/>
    <n v="0"/>
    <m/>
    <s v="S19314"/>
    <m/>
    <m/>
    <s v="H0064828"/>
  </r>
  <r>
    <x v="1077"/>
    <n v="10000"/>
    <n v="10000"/>
    <d v="2025-03-26T00:00:00"/>
    <s v="502LAUGH"/>
    <s v=" 9:23:36 am"/>
    <n v="1006323"/>
    <m/>
    <x v="2"/>
    <s v="Yes"/>
    <n v="63"/>
    <s v="SANKI"/>
    <x v="3"/>
    <s v="PM80"/>
    <s v="YAP ZHI PING"/>
    <n v="5000"/>
    <n v="170"/>
    <n v="2.8333333333333335"/>
    <d v="2025-03-25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3826"/>
    <n v="0"/>
    <m/>
    <s v="S19314"/>
    <m/>
    <m/>
    <s v="H0064836"/>
  </r>
  <r>
    <x v="1078"/>
    <n v="10000"/>
    <n v="10000"/>
    <d v="2025-03-27T00:00:00"/>
    <s v="502LAUGH"/>
    <s v=" 9:09:36 am"/>
    <s v="E190912129"/>
    <m/>
    <x v="2"/>
    <s v="Yes"/>
    <n v="63"/>
    <s v="SANKI"/>
    <x v="3"/>
    <s v="PM80"/>
    <s v="YAP ZHI PING"/>
    <n v="1334"/>
    <n v="78.349999999999994"/>
    <n v="1.3058333333333332"/>
    <d v="2025-03-2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63829"/>
    <n v="0"/>
    <m/>
    <s v="S19314"/>
    <m/>
    <m/>
    <s v="H0064839"/>
  </r>
  <r>
    <x v="1079"/>
    <n v="10000"/>
    <n v="10000"/>
    <d v="2025-03-27T00:00:00"/>
    <s v="502LAUGH"/>
    <s v=" 9:07:52 am"/>
    <s v="E190912129"/>
    <m/>
    <x v="2"/>
    <s v="Yes"/>
    <n v="63"/>
    <s v="SANKI"/>
    <x v="3"/>
    <s v="PM80"/>
    <s v="YAP ZHI PING"/>
    <n v="2000"/>
    <n v="95"/>
    <n v="1.5833333333333333"/>
    <d v="2025-03-25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3830"/>
    <n v="0"/>
    <m/>
    <s v="S19314"/>
    <m/>
    <m/>
    <s v="H0064840"/>
  </r>
  <r>
    <x v="1080"/>
    <n v="10000"/>
    <n v="10000"/>
    <d v="2025-03-27T00:00:00"/>
    <s v="502LAUGH"/>
    <s v=" 9:09:36 am"/>
    <n v="1006323"/>
    <m/>
    <x v="2"/>
    <s v="Yes"/>
    <n v="90"/>
    <s v="HDS"/>
    <x v="3"/>
    <s v="QC04"/>
    <s v="YANG TONGJING"/>
    <n v="5264"/>
    <m/>
    <m/>
    <d v="2025-03-25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3839"/>
    <n v="0"/>
    <m/>
    <s v="S19314"/>
    <m/>
    <m/>
    <s v="H0064853"/>
  </r>
  <r>
    <x v="1081"/>
    <n v="10000"/>
    <n v="10000"/>
    <d v="2025-03-27T00:00:00"/>
    <s v="502LAUGH"/>
    <s v=" 9:10:09 am"/>
    <n v="8613409"/>
    <m/>
    <x v="2"/>
    <s v="Yes"/>
    <n v="63"/>
    <s v="SANKI"/>
    <x v="3"/>
    <s v="PM80"/>
    <s v="YAP ZHI PING"/>
    <n v="1334"/>
    <n v="78.349999999999994"/>
    <n v="1.3058333333333332"/>
    <d v="2025-03-25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63841"/>
    <n v="0"/>
    <m/>
    <s v="S19314"/>
    <m/>
    <m/>
    <s v="H0064855"/>
  </r>
  <r>
    <x v="1033"/>
    <n v="10000"/>
    <n v="20000"/>
    <d v="2025-03-26T00:00:00"/>
    <s v="502LAUGH"/>
    <s v=" 3:01:13 pm"/>
    <s v="TW12172333-02"/>
    <m/>
    <x v="0"/>
    <s v="Yes"/>
    <n v="86"/>
    <s v="Brotech DF330 "/>
    <x v="0"/>
    <s v="PM45"/>
    <s v="TAY CHIN LIONG"/>
    <n v="4750"/>
    <n v="124.16666666666667"/>
    <n v="2.0694444444444446"/>
    <d v="2025-03-25T00:00:00"/>
    <m/>
    <n v="8"/>
    <n v="38000"/>
    <s v="PE"/>
    <s v="P1S0453 90001"/>
    <n v="0"/>
    <n v="33000"/>
    <n v="5000"/>
    <n v="0"/>
    <n v="0"/>
    <n v="0"/>
    <m/>
    <m/>
    <n v="0"/>
    <m/>
    <m/>
    <m/>
    <m/>
    <m/>
    <m/>
    <m/>
    <m/>
    <s v="P1S0453 9"/>
    <s v="H08220"/>
    <s v="HAW PAR HEALTHCARE LIMITED"/>
    <m/>
    <n v="0"/>
    <n v="0"/>
    <n v="0"/>
    <n v="0"/>
    <n v="0"/>
    <n v="0"/>
    <m/>
    <m/>
    <m/>
    <s v="No"/>
    <s v="W663844"/>
    <n v="0"/>
    <m/>
    <s v="H08220"/>
    <m/>
    <m/>
    <s v="S0361538"/>
  </r>
  <r>
    <x v="1034"/>
    <n v="10000"/>
    <n v="20000"/>
    <d v="2025-03-25T00:00:00"/>
    <s v="502LAUGH"/>
    <s v=" 1:24:04 pm"/>
    <s v="D001F2410/4052209U5"/>
    <m/>
    <x v="0"/>
    <s v="Yes"/>
    <n v="100"/>
    <s v="Vorey Digital Cut"/>
    <x v="6"/>
    <s v="PM87"/>
    <s v="LEE SHIEN WEI"/>
    <n v="5000"/>
    <m/>
    <m/>
    <d v="2025-03-25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3847"/>
    <n v="0"/>
    <m/>
    <s v="T20104"/>
    <m/>
    <m/>
    <s v="S0361537"/>
  </r>
  <r>
    <x v="1082"/>
    <n v="10000"/>
    <n v="10000"/>
    <d v="2025-03-26T00:00:00"/>
    <s v="502LAUGH"/>
    <s v=" 2:19:16 pm"/>
    <s v="11042-2024-03-0031/24H2779151"/>
    <m/>
    <x v="2"/>
    <s v="Yes"/>
    <n v="60"/>
    <s v="Fujishiko UDP-5000"/>
    <x v="3"/>
    <s v="PM30"/>
    <s v="OH KIAN YUAN"/>
    <n v="160"/>
    <n v="48.2"/>
    <n v="0.80333333333333334"/>
    <d v="2025-03-25T00:00:00"/>
    <m/>
    <n v="5"/>
    <n v="800"/>
    <s v="PE"/>
    <s v="TPK-871001-00100001"/>
    <n v="0"/>
    <n v="800"/>
    <n v="0"/>
    <n v="0"/>
    <n v="0"/>
    <n v="0"/>
    <m/>
    <m/>
    <n v="0"/>
    <m/>
    <m/>
    <m/>
    <m/>
    <m/>
    <m/>
    <m/>
    <m/>
    <s v="TPK-871001-0010"/>
    <s v="Z26002"/>
    <s v="CCL DESIGN (PENANG) SDN. BHD."/>
    <m/>
    <n v="0"/>
    <n v="0"/>
    <n v="0"/>
    <n v="0"/>
    <n v="0"/>
    <n v="0"/>
    <m/>
    <m/>
    <m/>
    <s v="No"/>
    <s v="W663854"/>
    <n v="0"/>
    <m/>
    <s v="Z26002"/>
    <m/>
    <m/>
    <s v="ZSA101775"/>
  </r>
  <r>
    <x v="1083"/>
    <n v="10000"/>
    <n v="20000"/>
    <d v="2025-03-25T00:00:00"/>
    <s v="502LAUGH"/>
    <s v=" 2:14:35 pm"/>
    <s v="XHX24B08A1408/XHX2501081024/XHX24B01A0904/JH2024905/A431833"/>
    <m/>
    <x v="2"/>
    <s v="Yes"/>
    <n v="112"/>
    <s v="Hadesheng"/>
    <x v="3"/>
    <s v="PS07"/>
    <s v="KANG HOCK SENG"/>
    <n v="15"/>
    <n v="45.75"/>
    <n v="0.76249999999999996"/>
    <d v="2025-03-25T00:00:00"/>
    <m/>
    <n v="10"/>
    <n v="150"/>
    <s v="PE"/>
    <s v="TPK-874726-00100001"/>
    <n v="0"/>
    <n v="120"/>
    <n v="30"/>
    <n v="0"/>
    <n v="0"/>
    <n v="0"/>
    <m/>
    <m/>
    <n v="0"/>
    <m/>
    <m/>
    <m/>
    <m/>
    <m/>
    <m/>
    <m/>
    <m/>
    <s v="TPK-874726-0010"/>
    <s v="Z26002"/>
    <s v="CCL DESIGN (PENANG) SDN. BHD."/>
    <m/>
    <n v="0"/>
    <n v="0"/>
    <n v="0"/>
    <n v="0"/>
    <n v="0"/>
    <n v="0"/>
    <m/>
    <m/>
    <m/>
    <s v="No"/>
    <s v="W663855"/>
    <n v="0"/>
    <m/>
    <s v="Z26002"/>
    <m/>
    <m/>
    <s v="ZSA101775"/>
  </r>
  <r>
    <x v="1084"/>
    <n v="10000"/>
    <n v="10000"/>
    <d v="2025-03-26T00:00:00"/>
    <s v="502LAUGH"/>
    <s v=" 2:21:14 pm"/>
    <s v="P/O49109/23L11010522"/>
    <m/>
    <x v="2"/>
    <s v="Yes"/>
    <n v="60"/>
    <s v="Fujishiko UDP-5000"/>
    <x v="3"/>
    <s v="PM30"/>
    <s v="OH KIAN YUAN"/>
    <n v="50"/>
    <n v="46"/>
    <n v="0.76666666666666672"/>
    <d v="2025-03-25T00:00:00"/>
    <m/>
    <n v="5"/>
    <n v="250"/>
    <s v="PE"/>
    <s v="TPK-888292-00100001"/>
    <n v="0"/>
    <n v="250"/>
    <n v="0"/>
    <n v="0"/>
    <n v="0"/>
    <n v="0"/>
    <m/>
    <m/>
    <n v="0"/>
    <m/>
    <m/>
    <m/>
    <m/>
    <m/>
    <m/>
    <m/>
    <m/>
    <s v="TPK-888292-0010"/>
    <s v="Z26002"/>
    <s v="CCL DESIGN (PENANG) SDN. BHD."/>
    <m/>
    <n v="0"/>
    <n v="0"/>
    <n v="0"/>
    <n v="0"/>
    <n v="0"/>
    <n v="0"/>
    <m/>
    <m/>
    <m/>
    <s v="No"/>
    <s v="W663859"/>
    <n v="0"/>
    <m/>
    <s v="Z26002"/>
    <m/>
    <m/>
    <s v="ZSA101775"/>
  </r>
  <r>
    <x v="1085"/>
    <n v="10000"/>
    <n v="10000"/>
    <d v="2025-03-25T00:00:00"/>
    <s v="502LAUGH"/>
    <s v=" 4:39:10 pm"/>
    <s v="L4816U8015/U4A04S213"/>
    <m/>
    <x v="2"/>
    <s v="Yes"/>
    <n v="78"/>
    <s v="Baby Sanki"/>
    <x v="2"/>
    <s v="PM84"/>
    <s v="TAN TAI TOH"/>
    <n v="67"/>
    <n v="46.674999999999997"/>
    <n v="0.77791666666666659"/>
    <d v="2025-03-25T00:00:00"/>
    <m/>
    <n v="3"/>
    <n v="201"/>
    <s v="PE"/>
    <s v="X0PA93016-Y4120001"/>
    <n v="0"/>
    <n v="200"/>
    <n v="1"/>
    <n v="0"/>
    <n v="0"/>
    <n v="0"/>
    <m/>
    <m/>
    <n v="0"/>
    <m/>
    <m/>
    <m/>
    <m/>
    <m/>
    <m/>
    <m/>
    <m/>
    <s v="X0PA93016-Y412"/>
    <s v="S19296"/>
    <s v="SIIX SINGAPORE PTE LTD"/>
    <m/>
    <n v="0"/>
    <n v="0"/>
    <n v="0"/>
    <n v="0"/>
    <n v="0"/>
    <n v="0"/>
    <m/>
    <m/>
    <m/>
    <s v="No"/>
    <s v="W663862"/>
    <n v="0"/>
    <m/>
    <s v="S19296"/>
    <m/>
    <m/>
    <s v="H0064857"/>
  </r>
  <r>
    <x v="1039"/>
    <n v="10000"/>
    <n v="20000"/>
    <d v="2025-03-26T00:00:00"/>
    <s v="502LAUGH"/>
    <d v="1899-12-30T10:10:23"/>
    <n v="59470"/>
    <m/>
    <x v="2"/>
    <s v="Yes"/>
    <n v="73"/>
    <s v="Brotech DF330"/>
    <x v="0"/>
    <s v="PM59"/>
    <s v="VOON CHAN PIN"/>
    <n v="15167"/>
    <n v="297.7833333333333"/>
    <n v="4.9630555555555551"/>
    <d v="2025-03-25T00:00:00"/>
    <m/>
    <n v="12"/>
    <n v="182004"/>
    <s v="PE"/>
    <s v="MT-1000241-910RE0002"/>
    <n v="0"/>
    <n v="180678"/>
    <n v="1326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3869"/>
    <n v="0"/>
    <m/>
    <s v="Z26002"/>
    <m/>
    <m/>
    <s v="S0361564"/>
  </r>
  <r>
    <x v="1039"/>
    <n v="10000"/>
    <n v="30000"/>
    <d v="2025-03-26T00:00:00"/>
    <s v="502LAUGH"/>
    <d v="1899-12-30T10:10:23"/>
    <n v="59470"/>
    <m/>
    <x v="0"/>
    <s v="Yes"/>
    <n v="96"/>
    <s v="Luster AOI"/>
    <x v="1"/>
    <s v="QM38"/>
    <s v="YIP SIEW CHING"/>
    <n v="84000"/>
    <m/>
    <m/>
    <d v="2025-03-25T00:00:00"/>
    <m/>
    <n v="6"/>
    <n v="504000"/>
    <s v="PE"/>
    <s v="MT-1000241-910RE0002"/>
    <n v="0"/>
    <n v="504000"/>
    <n v="0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3869"/>
    <n v="0"/>
    <m/>
    <s v="Z26002"/>
    <m/>
    <m/>
    <s v="S0361564"/>
  </r>
  <r>
    <x v="1086"/>
    <n v="10000"/>
    <n v="10000"/>
    <d v="2025-03-25T00:00:00"/>
    <s v="502LAUGH"/>
    <d v="1899-12-30T10:37:09"/>
    <s v="SG 5555729 01"/>
    <m/>
    <x v="2"/>
    <s v="Yes"/>
    <n v="65"/>
    <s v="Sanki SDR300"/>
    <x v="3"/>
    <s v="PMJ7"/>
    <s v="FOONG SEL YI"/>
    <n v="667"/>
    <n v="61.674999999999997"/>
    <n v="1.0279166666666666"/>
    <d v="2025-03-25T00:00:00"/>
    <m/>
    <n v="6"/>
    <n v="4002"/>
    <s v="PE"/>
    <n v="200467500001"/>
    <n v="0"/>
    <n v="4000"/>
    <n v="2"/>
    <n v="0"/>
    <n v="0"/>
    <n v="0"/>
    <m/>
    <m/>
    <n v="0"/>
    <m/>
    <m/>
    <m/>
    <m/>
    <m/>
    <m/>
    <m/>
    <m/>
    <n v="20046750"/>
    <s v="I09180"/>
    <s v="ILLUMINA SINGAPORE PTE LTD"/>
    <m/>
    <n v="0"/>
    <n v="0"/>
    <n v="0"/>
    <n v="0"/>
    <n v="0"/>
    <n v="0"/>
    <m/>
    <m/>
    <m/>
    <s v="No"/>
    <s v="W663881"/>
    <n v="0"/>
    <m/>
    <s v="I09180"/>
    <m/>
    <m/>
    <s v="S0361684"/>
  </r>
  <r>
    <x v="1087"/>
    <n v="10000"/>
    <n v="10000"/>
    <d v="2025-03-26T00:00:00"/>
    <s v="502LAUGH"/>
    <s v=" 9:23:59 am"/>
    <s v="J00U43592"/>
    <m/>
    <x v="2"/>
    <s v="Yes"/>
    <n v="65"/>
    <s v="Sanki SDR300"/>
    <x v="3"/>
    <s v="PMJ7"/>
    <s v="FOONG SEL YI"/>
    <n v="6667"/>
    <n v="211.67500000000001"/>
    <n v="3.527916666666667"/>
    <d v="2025-03-25T00:00:00"/>
    <m/>
    <n v="3"/>
    <n v="20001"/>
    <s v="PE"/>
    <s v="0214-0003-20000001"/>
    <n v="0"/>
    <n v="20000"/>
    <n v="1"/>
    <n v="0"/>
    <n v="0"/>
    <n v="0"/>
    <m/>
    <m/>
    <n v="0"/>
    <m/>
    <m/>
    <m/>
    <m/>
    <m/>
    <m/>
    <m/>
    <m/>
    <s v="150-01458"/>
    <s v="I09146"/>
    <s v="MICRON SEMICONDUCTOR ASIA OPERATIONS PTE LTD"/>
    <m/>
    <n v="0"/>
    <n v="0"/>
    <n v="0"/>
    <n v="0"/>
    <n v="0"/>
    <n v="0"/>
    <m/>
    <m/>
    <m/>
    <s v="No"/>
    <s v="W663882"/>
    <n v="0"/>
    <m/>
    <s v="I09146"/>
    <m/>
    <m/>
    <s v="S0361685"/>
  </r>
  <r>
    <x v="1088"/>
    <n v="10000"/>
    <n v="10000"/>
    <d v="2025-04-02T00:00:00"/>
    <s v="502LAUGH"/>
    <s v=" 8:52:36 am"/>
    <s v="D105Y48501525"/>
    <m/>
    <x v="2"/>
    <s v="Yes"/>
    <n v="88"/>
    <s v="OKI"/>
    <x v="4"/>
    <s v="PP24"/>
    <s v="HO HON SENG"/>
    <n v="800"/>
    <m/>
    <m/>
    <d v="2025-03-25T00:00:00"/>
    <m/>
    <n v="1"/>
    <n v="800"/>
    <s v="PE"/>
    <n v="107449670001"/>
    <n v="0"/>
    <n v="500"/>
    <n v="300"/>
    <n v="0"/>
    <n v="0"/>
    <n v="0"/>
    <m/>
    <m/>
    <n v="0"/>
    <m/>
    <m/>
    <m/>
    <m/>
    <m/>
    <m/>
    <m/>
    <m/>
    <n v="10744967"/>
    <s v="I09109"/>
    <s v="IKE TECHNOLOGY"/>
    <m/>
    <n v="0"/>
    <n v="0"/>
    <n v="0"/>
    <n v="0"/>
    <n v="0"/>
    <n v="0"/>
    <m/>
    <m/>
    <m/>
    <s v="No"/>
    <s v="W663884"/>
    <n v="0"/>
    <m/>
    <s v="I09109"/>
    <m/>
    <m/>
    <s v="S0361694"/>
  </r>
  <r>
    <x v="1088"/>
    <n v="10000"/>
    <n v="20000"/>
    <d v="2025-04-02T00:00:00"/>
    <s v="502LAUGH"/>
    <s v=" 8:52:36 am"/>
    <s v="D105Y48501525"/>
    <m/>
    <x v="0"/>
    <s v="Yes"/>
    <n v="92"/>
    <s v="Polly Digital Cut"/>
    <x v="6"/>
    <s v="PM87"/>
    <s v="LEE SHIEN WEI"/>
    <n v="600"/>
    <m/>
    <m/>
    <d v="2025-03-25T00:00:00"/>
    <m/>
    <n v="1"/>
    <n v="600"/>
    <s v="PE"/>
    <n v="107449670001"/>
    <n v="0"/>
    <n v="500"/>
    <n v="100"/>
    <n v="0"/>
    <n v="0"/>
    <n v="0"/>
    <m/>
    <m/>
    <n v="0"/>
    <m/>
    <m/>
    <m/>
    <m/>
    <m/>
    <m/>
    <m/>
    <m/>
    <n v="10744967"/>
    <s v="I09109"/>
    <s v="IKE TECHNOLOGY"/>
    <m/>
    <n v="0"/>
    <n v="0"/>
    <n v="0"/>
    <n v="0"/>
    <n v="0"/>
    <n v="0"/>
    <m/>
    <m/>
    <m/>
    <s v="No"/>
    <s v="W663884"/>
    <n v="0"/>
    <m/>
    <s v="I09109"/>
    <m/>
    <m/>
    <s v="S0361694"/>
  </r>
  <r>
    <x v="1089"/>
    <n v="10000"/>
    <n v="10000"/>
    <d v="2025-04-02T00:00:00"/>
    <s v="502LAUGH"/>
    <s v=" 8:52:36 am"/>
    <s v="D105Y48501525"/>
    <m/>
    <x v="2"/>
    <s v="Yes"/>
    <n v="88"/>
    <s v="OKI"/>
    <x v="4"/>
    <s v="PP24"/>
    <s v="HO HON SENG"/>
    <n v="20"/>
    <m/>
    <m/>
    <d v="2025-03-25T00:00:00"/>
    <m/>
    <n v="1"/>
    <n v="20"/>
    <s v="PE"/>
    <n v="107449670001"/>
    <n v="0"/>
    <n v="20"/>
    <n v="0"/>
    <n v="0"/>
    <n v="0"/>
    <n v="0"/>
    <m/>
    <m/>
    <n v="0"/>
    <m/>
    <m/>
    <m/>
    <m/>
    <m/>
    <m/>
    <m/>
    <m/>
    <n v="10744967"/>
    <s v="I09109"/>
    <s v="IKE TECHNOLOGY"/>
    <m/>
    <n v="0"/>
    <n v="0"/>
    <n v="0"/>
    <n v="0"/>
    <n v="0"/>
    <n v="0"/>
    <m/>
    <m/>
    <m/>
    <s v="No"/>
    <s v="W663886"/>
    <n v="0"/>
    <m/>
    <s v="I09109"/>
    <m/>
    <m/>
    <s v="ZSA101777"/>
  </r>
  <r>
    <x v="1089"/>
    <n v="10000"/>
    <n v="20000"/>
    <d v="2025-04-02T00:00:00"/>
    <s v="502LAUGH"/>
    <s v=" 8:52:36 am"/>
    <s v="D105Y48501525"/>
    <m/>
    <x v="0"/>
    <s v="Yes"/>
    <n v="92"/>
    <s v="Polly Digital Cut"/>
    <x v="6"/>
    <s v="PM87"/>
    <s v="LEE SHIEN WEI"/>
    <n v="20"/>
    <m/>
    <m/>
    <d v="2025-03-25T00:00:00"/>
    <m/>
    <n v="1"/>
    <n v="20"/>
    <s v="PE"/>
    <n v="107449670001"/>
    <n v="0"/>
    <n v="20"/>
    <n v="0"/>
    <n v="0"/>
    <n v="0"/>
    <n v="0"/>
    <m/>
    <m/>
    <n v="0"/>
    <m/>
    <m/>
    <m/>
    <m/>
    <m/>
    <m/>
    <m/>
    <m/>
    <n v="10744967"/>
    <s v="I09109"/>
    <s v="IKE TECHNOLOGY"/>
    <m/>
    <n v="0"/>
    <n v="0"/>
    <n v="0"/>
    <n v="0"/>
    <n v="0"/>
    <n v="0"/>
    <m/>
    <m/>
    <m/>
    <s v="No"/>
    <s v="W663886"/>
    <n v="0"/>
    <m/>
    <s v="I09109"/>
    <m/>
    <m/>
    <s v="ZSA101777"/>
  </r>
  <r>
    <x v="1090"/>
    <n v="10000"/>
    <n v="10000"/>
    <d v="2025-03-25T00:00:00"/>
    <s v="502LAUGH"/>
    <d v="1899-12-30T11:24:51"/>
    <n v="40718205"/>
    <m/>
    <x v="2"/>
    <s v="Yes"/>
    <n v="65"/>
    <s v="Sanki SDR300"/>
    <x v="3"/>
    <s v="PMJ7"/>
    <s v="FOONG SEL YI"/>
    <n v="385"/>
    <n v="54.625"/>
    <n v="0.91041666666666665"/>
    <d v="2025-03-25T00:00:00"/>
    <m/>
    <n v="26"/>
    <n v="10020"/>
    <s v="PE"/>
    <s v="2V960310001"/>
    <n v="0"/>
    <n v="10000"/>
    <n v="20"/>
    <n v="0"/>
    <n v="0"/>
    <n v="0"/>
    <m/>
    <m/>
    <n v="0"/>
    <m/>
    <m/>
    <m/>
    <m/>
    <m/>
    <m/>
    <m/>
    <m/>
    <s v="2V96031"/>
    <s v="T20198"/>
    <s v="ST NETWORK"/>
    <m/>
    <n v="0"/>
    <n v="0"/>
    <n v="0"/>
    <n v="0"/>
    <n v="0"/>
    <n v="0"/>
    <m/>
    <m/>
    <m/>
    <s v="No"/>
    <s v="W663887"/>
    <n v="0"/>
    <m/>
    <s v="T20198"/>
    <m/>
    <m/>
    <s v="S0361695"/>
  </r>
  <r>
    <x v="1090"/>
    <n v="20000"/>
    <n v="10000"/>
    <d v="2025-03-25T00:00:00"/>
    <s v="502LAUGH"/>
    <d v="1899-12-30T11:24:51"/>
    <n v="40718205"/>
    <m/>
    <x v="2"/>
    <s v="Yes"/>
    <n v="65"/>
    <s v="Sanki SDR300"/>
    <x v="3"/>
    <s v="PMJ7"/>
    <s v="FOONG SEL YI"/>
    <n v="385"/>
    <n v="54.625"/>
    <n v="0.91041666666666665"/>
    <d v="2025-03-25T00:00:00"/>
    <m/>
    <n v="26"/>
    <n v="10000"/>
    <s v="PE"/>
    <s v="2V960310001"/>
    <n v="0"/>
    <n v="10000"/>
    <n v="0"/>
    <n v="0"/>
    <n v="0"/>
    <n v="0"/>
    <m/>
    <m/>
    <n v="0"/>
    <m/>
    <m/>
    <m/>
    <m/>
    <m/>
    <m/>
    <m/>
    <m/>
    <s v="2V96031"/>
    <s v="T20198"/>
    <s v="ST NETWORK"/>
    <m/>
    <n v="0"/>
    <n v="0"/>
    <n v="0"/>
    <n v="0"/>
    <n v="0"/>
    <n v="0"/>
    <m/>
    <m/>
    <m/>
    <s v="No"/>
    <s v="W663887"/>
    <n v="0"/>
    <m/>
    <s v="T20198"/>
    <m/>
    <m/>
    <s v="S0361695"/>
  </r>
  <r>
    <x v="1091"/>
    <n v="10000"/>
    <n v="10000"/>
    <d v="2025-04-02T00:00:00"/>
    <s v="502LAUGH"/>
    <s v=" 8:42:50 am"/>
    <s v="D105Y48501525"/>
    <m/>
    <x v="2"/>
    <s v="Yes"/>
    <n v="88"/>
    <s v="OKI"/>
    <x v="4"/>
    <s v="PP24"/>
    <s v="HO HON SENG"/>
    <n v="800"/>
    <m/>
    <m/>
    <d v="2025-03-25T00:00:00"/>
    <m/>
    <n v="1"/>
    <n v="800"/>
    <s v="PE"/>
    <n v="107472350001"/>
    <n v="0"/>
    <n v="500"/>
    <n v="300"/>
    <n v="0"/>
    <n v="0"/>
    <n v="0"/>
    <m/>
    <m/>
    <n v="0"/>
    <m/>
    <m/>
    <m/>
    <m/>
    <m/>
    <m/>
    <m/>
    <m/>
    <n v="10747235"/>
    <s v="I09109"/>
    <s v="IKE TECHNOLOGY"/>
    <m/>
    <n v="0"/>
    <n v="0"/>
    <n v="0"/>
    <n v="0"/>
    <n v="0"/>
    <n v="0"/>
    <m/>
    <m/>
    <m/>
    <s v="No"/>
    <s v="W663893"/>
    <n v="0"/>
    <m/>
    <s v="I09109"/>
    <m/>
    <m/>
    <s v="S0361705"/>
  </r>
  <r>
    <x v="1092"/>
    <n v="10000"/>
    <n v="10000"/>
    <d v="2025-04-02T00:00:00"/>
    <s v="502LAUGH"/>
    <s v=" 8:42:50 am"/>
    <s v="D105Y48501525"/>
    <m/>
    <x v="2"/>
    <s v="Yes"/>
    <n v="88"/>
    <s v="OKI"/>
    <x v="4"/>
    <s v="PP24"/>
    <s v="HO HON SENG"/>
    <n v="800"/>
    <m/>
    <m/>
    <d v="2025-03-25T00:00:00"/>
    <m/>
    <n v="1"/>
    <n v="800"/>
    <s v="PE"/>
    <n v="107472360001"/>
    <n v="0"/>
    <n v="500"/>
    <n v="300"/>
    <n v="0"/>
    <n v="0"/>
    <n v="0"/>
    <m/>
    <m/>
    <n v="0"/>
    <m/>
    <m/>
    <m/>
    <m/>
    <m/>
    <m/>
    <m/>
    <m/>
    <n v="10747236"/>
    <s v="I09109"/>
    <s v="IKE TECHNOLOGY"/>
    <m/>
    <n v="0"/>
    <n v="0"/>
    <n v="0"/>
    <n v="0"/>
    <n v="0"/>
    <n v="0"/>
    <m/>
    <m/>
    <m/>
    <s v="No"/>
    <s v="W663894"/>
    <n v="0"/>
    <m/>
    <s v="I09109"/>
    <m/>
    <m/>
    <s v="S0361705"/>
  </r>
  <r>
    <x v="1092"/>
    <n v="10000"/>
    <n v="20000"/>
    <d v="2025-04-02T00:00:00"/>
    <s v="502LAUGH"/>
    <s v=" 8:43:41 am"/>
    <s v="D105Y48501525"/>
    <m/>
    <x v="0"/>
    <s v="Yes"/>
    <n v="92"/>
    <s v="Polly Digital Cut"/>
    <x v="6"/>
    <s v="PM87"/>
    <s v="LEE SHIEN WEI"/>
    <n v="600"/>
    <m/>
    <m/>
    <d v="2025-03-25T00:00:00"/>
    <m/>
    <n v="1"/>
    <n v="600"/>
    <s v="PE"/>
    <n v="107472360001"/>
    <n v="0"/>
    <n v="500"/>
    <n v="100"/>
    <n v="0"/>
    <n v="0"/>
    <n v="0"/>
    <m/>
    <m/>
    <n v="0"/>
    <m/>
    <m/>
    <m/>
    <m/>
    <m/>
    <m/>
    <m/>
    <m/>
    <n v="10747236"/>
    <s v="I09109"/>
    <s v="IKE TECHNOLOGY"/>
    <m/>
    <n v="0"/>
    <n v="0"/>
    <n v="0"/>
    <n v="0"/>
    <n v="0"/>
    <n v="0"/>
    <m/>
    <m/>
    <m/>
    <s v="No"/>
    <s v="W663894"/>
    <n v="0"/>
    <m/>
    <s v="I09109"/>
    <m/>
    <m/>
    <s v="S0361705"/>
  </r>
  <r>
    <x v="1093"/>
    <n v="10000"/>
    <n v="10000"/>
    <d v="2025-04-02T00:00:00"/>
    <s v="502LAUGH"/>
    <s v=" 8:42:50 am"/>
    <s v="D105Y48501525"/>
    <m/>
    <x v="2"/>
    <s v="Yes"/>
    <n v="88"/>
    <s v="OKI"/>
    <x v="4"/>
    <s v="PP24"/>
    <s v="HO HON SENG"/>
    <n v="20"/>
    <m/>
    <m/>
    <d v="2025-03-25T00:00:00"/>
    <m/>
    <n v="1"/>
    <n v="20"/>
    <s v="PE"/>
    <n v="107472350001"/>
    <n v="0"/>
    <n v="20"/>
    <n v="0"/>
    <n v="0"/>
    <n v="0"/>
    <n v="0"/>
    <m/>
    <m/>
    <n v="0"/>
    <m/>
    <m/>
    <m/>
    <m/>
    <m/>
    <m/>
    <m/>
    <m/>
    <n v="10747235"/>
    <s v="I09109"/>
    <s v="IKE TECHNOLOGY"/>
    <m/>
    <n v="0"/>
    <n v="0"/>
    <n v="0"/>
    <n v="0"/>
    <n v="0"/>
    <n v="0"/>
    <m/>
    <m/>
    <m/>
    <s v="No"/>
    <s v="W663897"/>
    <n v="0"/>
    <m/>
    <s v="I09109"/>
    <m/>
    <m/>
    <s v="ZSA101778"/>
  </r>
  <r>
    <x v="1094"/>
    <n v="10000"/>
    <n v="10000"/>
    <d v="2025-04-02T00:00:00"/>
    <s v="502LAUGH"/>
    <s v=" 8:43:41 am"/>
    <s v="D105Y48501525"/>
    <m/>
    <x v="2"/>
    <s v="Yes"/>
    <n v="88"/>
    <s v="OKI"/>
    <x v="4"/>
    <s v="PP24"/>
    <s v="HO HON SENG"/>
    <n v="20"/>
    <m/>
    <m/>
    <d v="2025-03-25T00:00:00"/>
    <m/>
    <n v="1"/>
    <n v="20"/>
    <s v="PE"/>
    <n v="107472360001"/>
    <n v="0"/>
    <n v="20"/>
    <n v="0"/>
    <n v="0"/>
    <n v="0"/>
    <n v="0"/>
    <m/>
    <m/>
    <n v="0"/>
    <m/>
    <m/>
    <m/>
    <m/>
    <m/>
    <m/>
    <m/>
    <m/>
    <n v="10747236"/>
    <s v="I09109"/>
    <s v="IKE TECHNOLOGY"/>
    <m/>
    <n v="0"/>
    <n v="0"/>
    <n v="0"/>
    <n v="0"/>
    <n v="0"/>
    <n v="0"/>
    <m/>
    <m/>
    <m/>
    <s v="No"/>
    <s v="W663898"/>
    <n v="0"/>
    <m/>
    <s v="I09109"/>
    <m/>
    <m/>
    <s v="ZSA101778"/>
  </r>
  <r>
    <x v="1094"/>
    <n v="10000"/>
    <n v="20000"/>
    <d v="2025-04-02T00:00:00"/>
    <s v="502LAUGH"/>
    <s v=" 8:43:41 am"/>
    <s v="D105Y48501525"/>
    <m/>
    <x v="0"/>
    <s v="Yes"/>
    <n v="92"/>
    <s v="Polly Digital Cut"/>
    <x v="6"/>
    <s v="PM87"/>
    <s v="LEE SHIEN WEI"/>
    <n v="20"/>
    <m/>
    <m/>
    <d v="2025-03-25T00:00:00"/>
    <m/>
    <n v="1"/>
    <n v="20"/>
    <s v="PE"/>
    <n v="107472360001"/>
    <n v="0"/>
    <n v="20"/>
    <n v="0"/>
    <n v="0"/>
    <n v="0"/>
    <n v="0"/>
    <m/>
    <m/>
    <n v="0"/>
    <m/>
    <m/>
    <m/>
    <m/>
    <m/>
    <m/>
    <m/>
    <m/>
    <n v="10747236"/>
    <s v="I09109"/>
    <s v="IKE TECHNOLOGY"/>
    <m/>
    <n v="0"/>
    <n v="0"/>
    <n v="0"/>
    <n v="0"/>
    <n v="0"/>
    <n v="0"/>
    <m/>
    <m/>
    <m/>
    <s v="No"/>
    <s v="W663898"/>
    <n v="0"/>
    <m/>
    <s v="I09109"/>
    <m/>
    <m/>
    <s v="ZSA101778"/>
  </r>
  <r>
    <x v="1095"/>
    <n v="10000"/>
    <n v="10000"/>
    <d v="2025-03-25T00:00:00"/>
    <s v="502LAUGH"/>
    <s v=" 4:35:14 pm"/>
    <s v="2919261-001"/>
    <m/>
    <x v="2"/>
    <s v="Yes"/>
    <n v="65"/>
    <s v="Sanki SDR300"/>
    <x v="3"/>
    <s v="PMJ7"/>
    <s v="FOONG SEL YI"/>
    <n v="6667"/>
    <n v="211.67500000000001"/>
    <n v="3.527916666666667"/>
    <d v="2025-03-25T00:00:00"/>
    <m/>
    <n v="30"/>
    <n v="200010"/>
    <s v="PE"/>
    <s v="18P9298 EC H80650001"/>
    <n v="0"/>
    <n v="200000"/>
    <n v="10"/>
    <n v="0"/>
    <n v="0"/>
    <n v="0"/>
    <m/>
    <m/>
    <n v="0"/>
    <m/>
    <m/>
    <m/>
    <m/>
    <m/>
    <m/>
    <m/>
    <m/>
    <s v="18P9298 EC H82119"/>
    <s v="N14152-IBM HK"/>
    <s v="SUPPLY TECHNOLOGIES LTD"/>
    <m/>
    <n v="0"/>
    <n v="0"/>
    <n v="0"/>
    <n v="0"/>
    <n v="0"/>
    <n v="0"/>
    <m/>
    <m/>
    <m/>
    <s v="No"/>
    <s v="W663899"/>
    <n v="0"/>
    <m/>
    <s v="N14152-IBM HK"/>
    <m/>
    <m/>
    <s v="S0361707"/>
  </r>
  <r>
    <x v="1096"/>
    <n v="10000"/>
    <n v="10000"/>
    <d v="2025-03-26T00:00:00"/>
    <s v="502LAUGH"/>
    <s v=" 8:40:02 am"/>
    <s v="405172625/3060210U9"/>
    <m/>
    <x v="2"/>
    <s v="Yes"/>
    <n v="88"/>
    <s v="OKI"/>
    <x v="4"/>
    <s v="PP24"/>
    <s v="HO HON SENG"/>
    <n v="800"/>
    <m/>
    <m/>
    <d v="2025-03-25T00:00:00"/>
    <m/>
    <n v="1"/>
    <n v="800"/>
    <s v="PE"/>
    <n v="190073640001"/>
    <n v="0"/>
    <n v="500"/>
    <n v="30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3902"/>
    <n v="0"/>
    <m/>
    <s v="I09109"/>
    <m/>
    <m/>
    <s v="S0361713"/>
  </r>
  <r>
    <x v="1096"/>
    <n v="10000"/>
    <n v="20000"/>
    <d v="2025-03-26T00:00:00"/>
    <s v="502LAUGH"/>
    <s v=" 8:40:02 am"/>
    <s v="405172625/3060210U9"/>
    <m/>
    <x v="0"/>
    <s v="Yes"/>
    <n v="100"/>
    <s v="Vorey Digital Cut"/>
    <x v="6"/>
    <s v="PM87"/>
    <s v="LEE SHIEN WEI"/>
    <n v="600"/>
    <m/>
    <m/>
    <d v="2025-03-25T00:00:00"/>
    <m/>
    <n v="1"/>
    <n v="600"/>
    <s v="PE"/>
    <n v="190073640001"/>
    <n v="0"/>
    <n v="500"/>
    <n v="10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3902"/>
    <n v="0"/>
    <m/>
    <s v="I09109"/>
    <m/>
    <m/>
    <s v="S0361713"/>
  </r>
  <r>
    <x v="1097"/>
    <n v="10000"/>
    <n v="10000"/>
    <d v="2025-03-26T00:00:00"/>
    <s v="502LAUGH"/>
    <s v=" 8:41:22 am"/>
    <s v="405172625/3060210U9"/>
    <m/>
    <x v="2"/>
    <s v="Yes"/>
    <n v="88"/>
    <s v="OKI"/>
    <x v="4"/>
    <s v="PP24"/>
    <s v="HO HON SENG"/>
    <n v="800"/>
    <m/>
    <m/>
    <d v="2025-03-25T00:00:00"/>
    <m/>
    <n v="1"/>
    <n v="800"/>
    <s v="PE"/>
    <n v="190073660001"/>
    <n v="0"/>
    <n v="500"/>
    <n v="30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3903"/>
    <n v="0"/>
    <m/>
    <s v="I09109"/>
    <m/>
    <m/>
    <s v="S0361713"/>
  </r>
  <r>
    <x v="1097"/>
    <n v="10000"/>
    <n v="20000"/>
    <d v="2025-03-26T00:00:00"/>
    <s v="502LAUGH"/>
    <s v=" 8:41:22 am"/>
    <s v="405172625/3060210U9"/>
    <m/>
    <x v="0"/>
    <s v="Yes"/>
    <n v="100"/>
    <s v="Vorey Digital Cut"/>
    <x v="6"/>
    <s v="PM87"/>
    <s v="LEE SHIEN WEI"/>
    <n v="600"/>
    <m/>
    <m/>
    <d v="2025-03-25T00:00:00"/>
    <m/>
    <n v="1"/>
    <n v="600"/>
    <s v="PE"/>
    <n v="190073660001"/>
    <n v="0"/>
    <n v="500"/>
    <n v="10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3903"/>
    <n v="0"/>
    <m/>
    <s v="I09109"/>
    <m/>
    <m/>
    <s v="S0361713"/>
  </r>
  <r>
    <x v="1098"/>
    <n v="10000"/>
    <n v="10000"/>
    <d v="2025-03-26T00:00:00"/>
    <s v="502LAUGH"/>
    <s v=" 8:39:14 am"/>
    <s v="405172625/3060210U9"/>
    <m/>
    <x v="2"/>
    <s v="Yes"/>
    <n v="88"/>
    <s v="OKI"/>
    <x v="4"/>
    <s v="PP24"/>
    <s v="HO HON SENG"/>
    <n v="20"/>
    <m/>
    <m/>
    <d v="2025-03-25T00:00:00"/>
    <m/>
    <n v="1"/>
    <n v="20"/>
    <s v="PE"/>
    <n v="190073640001"/>
    <n v="0"/>
    <n v="20"/>
    <n v="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3904"/>
    <n v="0"/>
    <m/>
    <s v="I09109"/>
    <m/>
    <m/>
    <s v="ZSA101779"/>
  </r>
  <r>
    <x v="1098"/>
    <n v="10000"/>
    <n v="20000"/>
    <d v="2025-03-26T00:00:00"/>
    <s v="502LAUGH"/>
    <s v=" 8:39:14 am"/>
    <s v="405172625/3060210U9"/>
    <m/>
    <x v="0"/>
    <s v="Yes"/>
    <n v="100"/>
    <s v="Vorey Digital Cut"/>
    <x v="6"/>
    <s v="PM87"/>
    <s v="LEE SHIEN WEI"/>
    <n v="20"/>
    <m/>
    <m/>
    <d v="2025-03-25T00:00:00"/>
    <m/>
    <n v="1"/>
    <n v="20"/>
    <s v="PE"/>
    <n v="190073640001"/>
    <n v="0"/>
    <n v="20"/>
    <n v="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3904"/>
    <n v="0"/>
    <m/>
    <s v="I09109"/>
    <m/>
    <m/>
    <s v="ZSA101779"/>
  </r>
  <r>
    <x v="1099"/>
    <n v="10000"/>
    <n v="10000"/>
    <d v="2025-03-26T00:00:00"/>
    <s v="502LAUGH"/>
    <s v=" 8:40:46 am"/>
    <s v="405172625/3060210U9"/>
    <m/>
    <x v="2"/>
    <s v="Yes"/>
    <n v="88"/>
    <s v="OKI"/>
    <x v="4"/>
    <s v="PP24"/>
    <s v="HO HON SENG"/>
    <n v="20"/>
    <m/>
    <m/>
    <d v="2025-03-25T00:00:00"/>
    <m/>
    <n v="1"/>
    <n v="20"/>
    <s v="PE"/>
    <n v="190073660001"/>
    <n v="0"/>
    <n v="20"/>
    <n v="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3905"/>
    <n v="0"/>
    <m/>
    <s v="I09109"/>
    <m/>
    <m/>
    <s v="ZSA101779"/>
  </r>
  <r>
    <x v="1099"/>
    <n v="10000"/>
    <n v="20000"/>
    <d v="2025-03-26T00:00:00"/>
    <s v="502LAUGH"/>
    <s v=" 8:40:46 am"/>
    <s v="405172625/3060210U9"/>
    <m/>
    <x v="0"/>
    <s v="Yes"/>
    <n v="100"/>
    <s v="Vorey Digital Cut"/>
    <x v="6"/>
    <s v="PM87"/>
    <s v="LEE SHIEN WEI"/>
    <n v="20"/>
    <m/>
    <m/>
    <d v="2025-03-25T00:00:00"/>
    <m/>
    <n v="1"/>
    <n v="20"/>
    <s v="PE"/>
    <n v="190073660001"/>
    <n v="0"/>
    <n v="20"/>
    <n v="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3905"/>
    <n v="0"/>
    <m/>
    <s v="I09109"/>
    <m/>
    <m/>
    <s v="ZSA101779"/>
  </r>
  <r>
    <x v="1100"/>
    <n v="10000"/>
    <n v="10000"/>
    <d v="2025-03-26T00:00:00"/>
    <s v="502LAUGH"/>
    <s v=" 5:16:05 pm"/>
    <s v="J00T59561"/>
    <m/>
    <x v="2"/>
    <s v="Yes"/>
    <n v="72"/>
    <s v="Xeikon 3500"/>
    <x v="4"/>
    <s v="PM17"/>
    <s v="NG SWEE CHEA"/>
    <n v="9000"/>
    <m/>
    <m/>
    <d v="2025-03-25T00:00:00"/>
    <m/>
    <n v="4"/>
    <n v="36000"/>
    <s v="PE"/>
    <s v="Y000005SGT0001"/>
    <n v="0"/>
    <n v="30000"/>
    <n v="600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3908"/>
    <n v="0"/>
    <m/>
    <s v="B02083"/>
    <m/>
    <m/>
    <s v="S0361714"/>
  </r>
  <r>
    <x v="1101"/>
    <n v="10000"/>
    <n v="10000"/>
    <d v="2025-03-26T00:00:00"/>
    <s v="502LAUGH"/>
    <d v="1899-12-30T11:05:01"/>
    <s v="J00T59561"/>
    <m/>
    <x v="2"/>
    <s v="Yes"/>
    <n v="72"/>
    <s v="Xeikon 3500"/>
    <x v="4"/>
    <s v="PM17"/>
    <s v="NG SWEE CHEA"/>
    <n v="3000"/>
    <m/>
    <m/>
    <d v="2025-03-25T00:00:00"/>
    <m/>
    <n v="4"/>
    <n v="12000"/>
    <s v="PE"/>
    <s v="Y000010SGT0001"/>
    <n v="0"/>
    <n v="10000"/>
    <n v="200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3910"/>
    <n v="0"/>
    <m/>
    <s v="B02083"/>
    <m/>
    <m/>
    <s v="S0361714"/>
  </r>
  <r>
    <x v="1101"/>
    <n v="10000"/>
    <n v="20000"/>
    <d v="2025-03-26T00:00:00"/>
    <s v="502LAUGH"/>
    <d v="1899-12-30T11:05:01"/>
    <s v="J00T59561"/>
    <m/>
    <x v="0"/>
    <s v="Yes"/>
    <n v="71"/>
    <s v="POLLY"/>
    <x v="3"/>
    <s v="PS95"/>
    <s v="LIM CHENG LEONG"/>
    <n v="2500"/>
    <m/>
    <m/>
    <d v="2025-03-25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3910"/>
    <n v="0"/>
    <m/>
    <s v="B02083"/>
    <m/>
    <m/>
    <s v="S0361714"/>
  </r>
  <r>
    <x v="1102"/>
    <n v="10000"/>
    <n v="10000"/>
    <d v="2025-03-26T00:00:00"/>
    <s v="502LAUGH"/>
    <d v="1899-12-30T11:04:21"/>
    <s v="J00T59561"/>
    <m/>
    <x v="2"/>
    <s v="Yes"/>
    <n v="72"/>
    <s v="Xeikon 3500"/>
    <x v="4"/>
    <s v="PM17"/>
    <s v="NG SWEE CHEA"/>
    <n v="3000"/>
    <m/>
    <m/>
    <d v="2025-03-25T00:00:00"/>
    <m/>
    <n v="4"/>
    <n v="12000"/>
    <s v="PE"/>
    <s v="Y000012SGT0001"/>
    <n v="0"/>
    <n v="10000"/>
    <n v="2000"/>
    <n v="0"/>
    <n v="0"/>
    <n v="0"/>
    <m/>
    <m/>
    <n v="0"/>
    <m/>
    <m/>
    <m/>
    <m/>
    <m/>
    <m/>
    <m/>
    <m/>
    <s v="Y000012SGT"/>
    <s v="B02083"/>
    <s v="BECTON DICKINSON MEDICAL (S) PTE LTD"/>
    <m/>
    <n v="0"/>
    <n v="0"/>
    <n v="0"/>
    <n v="0"/>
    <n v="0"/>
    <n v="0"/>
    <m/>
    <m/>
    <m/>
    <s v="No"/>
    <s v="W663911"/>
    <n v="0"/>
    <m/>
    <s v="B02083"/>
    <m/>
    <m/>
    <s v="S0361714"/>
  </r>
  <r>
    <x v="1103"/>
    <n v="10000"/>
    <n v="10000"/>
    <d v="2025-03-26T00:00:00"/>
    <s v="502LAUGH"/>
    <s v=" 5:14:18 pm"/>
    <s v="J00T59561"/>
    <m/>
    <x v="2"/>
    <s v="Yes"/>
    <n v="72"/>
    <s v="Xeikon 3500"/>
    <x v="4"/>
    <s v="PM17"/>
    <s v="NG SWEE CHEA"/>
    <n v="6000"/>
    <m/>
    <m/>
    <d v="2025-03-25T00:00:00"/>
    <m/>
    <n v="4"/>
    <n v="24000"/>
    <s v="PE"/>
    <s v="Y000005SGT0001"/>
    <n v="0"/>
    <n v="20000"/>
    <n v="400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3914"/>
    <n v="0"/>
    <m/>
    <s v="B02083"/>
    <m/>
    <m/>
    <s v="S0361716"/>
  </r>
  <r>
    <x v="1104"/>
    <n v="10000"/>
    <n v="10000"/>
    <d v="2025-03-26T00:00:00"/>
    <s v="502LAUGH"/>
    <d v="1899-12-30T11:05:34"/>
    <s v="J00T59561"/>
    <m/>
    <x v="2"/>
    <s v="Yes"/>
    <n v="72"/>
    <s v="Xeikon 3500"/>
    <x v="4"/>
    <s v="PM17"/>
    <s v="NG SWEE CHEA"/>
    <n v="3000"/>
    <m/>
    <m/>
    <d v="2025-03-25T00:00:00"/>
    <m/>
    <n v="4"/>
    <n v="12000"/>
    <s v="PE"/>
    <s v="Y000010SGT0001"/>
    <n v="0"/>
    <n v="10000"/>
    <n v="200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3916"/>
    <n v="0"/>
    <m/>
    <s v="B02083"/>
    <m/>
    <m/>
    <s v="S0361716"/>
  </r>
  <r>
    <x v="1104"/>
    <n v="10000"/>
    <n v="20000"/>
    <d v="2025-03-26T00:00:00"/>
    <s v="502LAUGH"/>
    <d v="1899-12-30T11:05:34"/>
    <s v="J00T59561"/>
    <m/>
    <x v="0"/>
    <s v="Yes"/>
    <n v="71"/>
    <s v="POLLY"/>
    <x v="3"/>
    <s v="PS95"/>
    <s v="LIM CHENG LEONG"/>
    <n v="2500"/>
    <m/>
    <m/>
    <d v="2025-03-25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s v="BECTON DICKINSON MEDICAL (S) PTE LTD"/>
    <m/>
    <n v="0"/>
    <n v="0"/>
    <n v="0"/>
    <n v="0"/>
    <n v="0"/>
    <n v="0"/>
    <m/>
    <m/>
    <m/>
    <s v="No"/>
    <s v="W663916"/>
    <n v="0"/>
    <m/>
    <s v="B02083"/>
    <m/>
    <m/>
    <s v="S0361716"/>
  </r>
  <r>
    <x v="1105"/>
    <n v="10000"/>
    <n v="10000"/>
    <d v="2025-03-25T00:00:00"/>
    <s v="502LAUGH"/>
    <s v=" 2:15:03 pm"/>
    <s v="J00T39951"/>
    <m/>
    <x v="2"/>
    <s v="Yes"/>
    <n v="46"/>
    <s v="Sanki 300 Intermittent"/>
    <x v="2"/>
    <s v="PS66"/>
    <s v="SIM ENG KWANG"/>
    <n v="1000"/>
    <n v="70"/>
    <n v="1.1666666666666667"/>
    <d v="2025-03-25T00:00:00"/>
    <m/>
    <n v="1"/>
    <n v="1000"/>
    <s v="PE"/>
    <s v="260-5346-000001"/>
    <n v="0"/>
    <n v="1000"/>
    <n v="0"/>
    <n v="0"/>
    <n v="0"/>
    <n v="0"/>
    <m/>
    <m/>
    <n v="0"/>
    <m/>
    <m/>
    <m/>
    <m/>
    <m/>
    <m/>
    <m/>
    <m/>
    <s v="260-5346-00"/>
    <s v="J10025"/>
    <s v="JMS SINGAPORE PTE LTD"/>
    <m/>
    <n v="0"/>
    <n v="0"/>
    <n v="0"/>
    <n v="0"/>
    <n v="0"/>
    <n v="0"/>
    <m/>
    <m/>
    <m/>
    <s v="No"/>
    <s v="W663918"/>
    <n v="0"/>
    <m/>
    <s v="J10025"/>
    <m/>
    <m/>
    <s v="S0361725"/>
  </r>
  <r>
    <x v="1106"/>
    <n v="10000"/>
    <n v="10000"/>
    <d v="2025-03-25T00:00:00"/>
    <s v="502LAUGH"/>
    <d v="1899-12-30T12:51:41"/>
    <s v="4136S1"/>
    <m/>
    <x v="2"/>
    <s v="Yes"/>
    <n v="65"/>
    <s v="Sanki SDR300"/>
    <x v="3"/>
    <s v="PMJ7"/>
    <s v="FOONG SEL YI"/>
    <n v="1000"/>
    <n v="70"/>
    <n v="1.1666666666666667"/>
    <d v="2025-03-25T00:00:00"/>
    <m/>
    <n v="10"/>
    <n v="10000"/>
    <s v="PE"/>
    <s v="692834 REV5010001"/>
    <n v="0"/>
    <n v="10000"/>
    <n v="0"/>
    <n v="0"/>
    <n v="0"/>
    <n v="0"/>
    <m/>
    <m/>
    <n v="0"/>
    <m/>
    <m/>
    <m/>
    <m/>
    <m/>
    <m/>
    <m/>
    <m/>
    <s v="698054 REV401"/>
    <s v="V22000"/>
    <s v="PT VARTA MICROBATTERY INDONESIA"/>
    <m/>
    <n v="0"/>
    <n v="0"/>
    <n v="0"/>
    <n v="0"/>
    <n v="0"/>
    <n v="0"/>
    <m/>
    <m/>
    <m/>
    <s v="No"/>
    <s v="W663919"/>
    <n v="0"/>
    <m/>
    <s v="V22000"/>
    <m/>
    <m/>
    <s v="S0361732"/>
  </r>
  <r>
    <x v="1107"/>
    <n v="10000"/>
    <n v="10000"/>
    <d v="2025-04-01T00:00:00"/>
    <s v="502LAUGH"/>
    <s v=" 5:44:23 pm"/>
    <s v="M0BVE5230"/>
    <m/>
    <x v="2"/>
    <s v="Yes"/>
    <n v="79"/>
    <s v="HP Indigo 6800"/>
    <x v="4"/>
    <s v="PM16"/>
    <s v="TEO KAH JUN"/>
    <n v="100"/>
    <n v="35"/>
    <n v="0.58333333333333337"/>
    <d v="2025-03-25T00:00:00"/>
    <m/>
    <n v="8"/>
    <n v="800"/>
    <s v="PE"/>
    <s v="10056878001 REVA0001"/>
    <n v="0"/>
    <n v="250"/>
    <n v="550"/>
    <n v="0"/>
    <n v="0"/>
    <n v="0"/>
    <m/>
    <m/>
    <n v="0"/>
    <m/>
    <m/>
    <m/>
    <m/>
    <m/>
    <m/>
    <m/>
    <m/>
    <s v="10056878001 REVA"/>
    <s v="E05166-JAPAC"/>
    <s v="EDWARDS LIFESCIENCES (SINGAPORE) PTE LTD"/>
    <m/>
    <n v="0"/>
    <n v="0"/>
    <n v="0"/>
    <n v="0"/>
    <n v="0"/>
    <n v="0"/>
    <m/>
    <m/>
    <m/>
    <s v="No"/>
    <s v="W664156"/>
    <n v="0"/>
    <m/>
    <s v="E05166-JAPAC"/>
    <m/>
    <m/>
    <s v="S0361738"/>
  </r>
  <r>
    <x v="1108"/>
    <n v="10000"/>
    <n v="10000"/>
    <d v="2025-03-25T00:00:00"/>
    <s v="502LAUGH"/>
    <s v=" 4:36:37 pm"/>
    <s v="M0BVE5230"/>
    <m/>
    <x v="2"/>
    <s v="Yes"/>
    <n v="79"/>
    <s v="HP Indigo 6800"/>
    <x v="4"/>
    <s v="PM16"/>
    <s v="TEO KAH JUN"/>
    <n v="200"/>
    <n v="40"/>
    <n v="0.66666666666666663"/>
    <d v="2025-03-25T00:00:00"/>
    <m/>
    <n v="4"/>
    <n v="800"/>
    <s v="PE"/>
    <s v="10062434 REVA0001"/>
    <n v="0"/>
    <n v="250"/>
    <n v="550"/>
    <n v="0"/>
    <n v="0"/>
    <n v="0"/>
    <m/>
    <m/>
    <n v="0"/>
    <m/>
    <m/>
    <m/>
    <m/>
    <m/>
    <m/>
    <m/>
    <m/>
    <s v="10062434 REVA"/>
    <s v="E05166-JAPAC"/>
    <s v="EDWARDS LIFESCIENCES (SINGAPORE) PTE LTD"/>
    <m/>
    <n v="0"/>
    <n v="0"/>
    <n v="0"/>
    <n v="0"/>
    <n v="0"/>
    <n v="0"/>
    <m/>
    <m/>
    <m/>
    <s v="No"/>
    <s v="W663920"/>
    <n v="0"/>
    <m/>
    <s v="E05166-JAPAC"/>
    <m/>
    <m/>
    <s v="S0361738"/>
  </r>
  <r>
    <x v="1108"/>
    <n v="10000"/>
    <n v="20000"/>
    <d v="2025-03-25T00:00:00"/>
    <s v="502LAUGH"/>
    <s v=" 4:36:37 pm"/>
    <s v="M0BVE5230"/>
    <m/>
    <x v="0"/>
    <s v="Yes"/>
    <n v="73"/>
    <s v="Brotech DF330"/>
    <x v="0"/>
    <s v="PM59"/>
    <s v="VOON CHAN PIN"/>
    <n v="700"/>
    <n v="56.666666666666664"/>
    <n v="0.94444444444444442"/>
    <d v="2025-03-25T00:00:00"/>
    <m/>
    <n v="1"/>
    <n v="700"/>
    <s v="PE"/>
    <s v="10062434 REVA0001"/>
    <n v="0"/>
    <n v="250"/>
    <n v="450"/>
    <n v="0"/>
    <n v="0"/>
    <n v="0"/>
    <m/>
    <m/>
    <n v="0"/>
    <m/>
    <m/>
    <m/>
    <m/>
    <m/>
    <m/>
    <m/>
    <m/>
    <s v="10062434 REVA"/>
    <s v="E05166-JAPAC"/>
    <s v="EDWARDS LIFESCIENCES (SINGAPORE) PTE LTD"/>
    <m/>
    <n v="0"/>
    <n v="0"/>
    <n v="0"/>
    <n v="0"/>
    <n v="0"/>
    <n v="0"/>
    <m/>
    <m/>
    <m/>
    <s v="No"/>
    <s v="W663920"/>
    <n v="0"/>
    <m/>
    <s v="E05166-JAPAC"/>
    <m/>
    <m/>
    <s v="S0361738"/>
  </r>
  <r>
    <x v="1109"/>
    <n v="10000"/>
    <n v="10000"/>
    <d v="2025-03-25T00:00:00"/>
    <s v="502LAUGH"/>
    <s v=" 5:52:02 pm"/>
    <s v="J00T59561"/>
    <m/>
    <x v="2"/>
    <s v="Yes"/>
    <n v="72"/>
    <s v="Xeikon 3500"/>
    <x v="4"/>
    <s v="PM17"/>
    <s v="NG SWEE CHEA"/>
    <n v="9000"/>
    <m/>
    <m/>
    <d v="2025-03-25T00:00:00"/>
    <m/>
    <n v="5"/>
    <n v="45000"/>
    <s v="PE"/>
    <n v="83624430001"/>
    <n v="0"/>
    <n v="40000"/>
    <n v="5000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3921"/>
    <n v="0"/>
    <m/>
    <s v="B02083"/>
    <m/>
    <m/>
    <s v="S0361739"/>
  </r>
  <r>
    <x v="1109"/>
    <n v="10000"/>
    <n v="20000"/>
    <d v="2025-03-25T00:00:00"/>
    <s v="502LAUGH"/>
    <s v=" 5:52:02 pm"/>
    <s v="J00T59561"/>
    <m/>
    <x v="0"/>
    <s v="Yes"/>
    <n v="71"/>
    <s v="POLLY"/>
    <x v="3"/>
    <s v="PS95"/>
    <s v="LIM CHENG LEONG"/>
    <n v="4445"/>
    <m/>
    <m/>
    <d v="2025-03-25T00:00:00"/>
    <m/>
    <n v="9"/>
    <n v="40005"/>
    <s v="PE"/>
    <n v="83624430001"/>
    <n v="0"/>
    <n v="40000"/>
    <n v="5"/>
    <n v="0"/>
    <n v="0"/>
    <n v="0"/>
    <m/>
    <m/>
    <n v="0"/>
    <m/>
    <m/>
    <m/>
    <m/>
    <m/>
    <m/>
    <m/>
    <m/>
    <n v="8362443"/>
    <s v="B02083"/>
    <s v="BECTON DICKINSON MEDICAL (S) PTE LTD"/>
    <m/>
    <n v="0"/>
    <n v="0"/>
    <n v="0"/>
    <n v="0"/>
    <n v="0"/>
    <n v="0"/>
    <m/>
    <m/>
    <m/>
    <s v="No"/>
    <s v="W663921"/>
    <n v="0"/>
    <m/>
    <s v="B02083"/>
    <m/>
    <m/>
    <s v="S0361739"/>
  </r>
  <r>
    <x v="1045"/>
    <n v="10000"/>
    <n v="20000"/>
    <d v="2025-03-27T00:00:00"/>
    <s v="502LAUGH"/>
    <s v=" 8:37:42 am"/>
    <s v="SG-564141001"/>
    <s v="FSC29525"/>
    <x v="0"/>
    <s v="No"/>
    <n v="73"/>
    <s v="Brotech DF330"/>
    <x v="0"/>
    <s v="PM59"/>
    <s v="VOON CHAN PIN"/>
    <n v="18000"/>
    <n v="345"/>
    <n v="5.75"/>
    <d v="2025-03-26T00:00:00"/>
    <m/>
    <n v="12"/>
    <n v="216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124"/>
  </r>
  <r>
    <x v="1110"/>
    <n v="10000"/>
    <n v="10000"/>
    <d v="2025-03-27T00:00:00"/>
    <s v="502LAUGH"/>
    <s v=" 8:41:17 am"/>
    <s v="SG-564141001"/>
    <s v="FSC29942"/>
    <x v="2"/>
    <s v="No"/>
    <n v="73"/>
    <s v="Brotech DF330"/>
    <x v="0"/>
    <s v="PM59"/>
    <s v="VOON CHAN PIN"/>
    <n v="12000"/>
    <n v="245"/>
    <n v="4.083333333333333"/>
    <d v="2025-03-26T00:00:00"/>
    <m/>
    <n v="12"/>
    <n v="144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827"/>
  </r>
  <r>
    <x v="1110"/>
    <n v="10000"/>
    <n v="20000"/>
    <d v="2025-03-27T00:00:00"/>
    <s v="502LAUGH"/>
    <s v=" 8:41:17 am"/>
    <s v="SG-564141001"/>
    <s v="FSC29942"/>
    <x v="2"/>
    <s v="No"/>
    <n v="73"/>
    <s v="Brotech DF330"/>
    <x v="0"/>
    <s v="PM18"/>
    <s v="LAI CHIN YANG"/>
    <n v="12000"/>
    <m/>
    <m/>
    <d v="2025-03-26T00:00:00"/>
    <m/>
    <n v="12"/>
    <n v="144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827"/>
  </r>
  <r>
    <x v="490"/>
    <n v="10000"/>
    <n v="30000"/>
    <d v="2025-04-01T00:00:00"/>
    <s v="502LAUGH"/>
    <s v=" 3:01:06 pm"/>
    <s v="10639931032/10639931026"/>
    <s v="FBC30652"/>
    <x v="1"/>
    <s v="No"/>
    <n v="85"/>
    <s v="Luster AOI"/>
    <x v="1"/>
    <s v="QM78"/>
    <s v="WONG SEAU JIN"/>
    <n v="27273"/>
    <m/>
    <m/>
    <d v="2025-03-26T00:00:00"/>
    <m/>
    <n v="11"/>
    <n v="300003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194"/>
  </r>
  <r>
    <x v="1111"/>
    <n v="10000"/>
    <n v="10000"/>
    <d v="2025-03-28T00:00:00"/>
    <s v="505KANGHS"/>
    <s v=" 8:35:59 am"/>
    <s v="JOOT59561"/>
    <s v="SC26225"/>
    <x v="2"/>
    <s v="No"/>
    <n v="82"/>
    <s v="Polly"/>
    <x v="3"/>
    <s v="PM11"/>
    <s v="TEE MENG CHAI"/>
    <n v="33334"/>
    <m/>
    <m/>
    <d v="2025-03-26T00:00:00"/>
    <m/>
    <n v="15"/>
    <n v="500010"/>
    <s v="PE"/>
    <s v="COMPONENT REV1.00001"/>
    <n v="0"/>
    <n v="0"/>
    <n v="0"/>
    <n v="0"/>
    <n v="0"/>
    <n v="0"/>
    <m/>
    <m/>
    <n v="0"/>
    <m/>
    <m/>
    <m/>
    <s v="No"/>
    <n v="0"/>
    <s v="No"/>
    <m/>
    <m/>
    <s v="Z556 REV1.0"/>
    <s v="R18131"/>
    <s v="RESMED ASIA PTE LTD"/>
    <m/>
    <n v="0"/>
    <n v="0"/>
    <n v="0"/>
    <n v="0"/>
    <n v="0"/>
    <n v="0"/>
    <m/>
    <m/>
    <m/>
    <s v="No"/>
    <m/>
    <m/>
    <m/>
    <s v="R18131"/>
    <m/>
    <m/>
    <s v="S0361147"/>
  </r>
  <r>
    <x v="1112"/>
    <n v="10000"/>
    <n v="10000"/>
    <d v="2025-04-01T00:00:00"/>
    <s v="502LAUGH"/>
    <s v=" 8:43:30 am"/>
    <s v="SG-5650696"/>
    <s v="FSC29943"/>
    <x v="2"/>
    <s v="No"/>
    <n v="73"/>
    <s v="Brotech DF330"/>
    <x v="0"/>
    <s v="PM18"/>
    <s v="LAI CHIN YANG"/>
    <n v="54000"/>
    <m/>
    <m/>
    <d v="2025-03-26T00:00:00"/>
    <m/>
    <n v="12"/>
    <n v="648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20"/>
  </r>
  <r>
    <x v="1113"/>
    <n v="10000"/>
    <n v="10000"/>
    <d v="2025-03-27T00:00:00"/>
    <s v="502LAUGH"/>
    <s v=" 8:40:27 am"/>
    <s v="U530352041/501241326"/>
    <s v="SC28394"/>
    <x v="2"/>
    <s v="No"/>
    <n v="32"/>
    <s v="Lintec Intermittent"/>
    <x v="2"/>
    <s v="PM26"/>
    <s v="TAN AIK KEONG"/>
    <n v="5860"/>
    <m/>
    <m/>
    <d v="2025-03-26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378"/>
  </r>
  <r>
    <x v="1114"/>
    <n v="10000"/>
    <n v="10000"/>
    <d v="2025-03-27T00:00:00"/>
    <s v="502LAUGH"/>
    <d v="1899-12-30T11:44:48"/>
    <s v="M0BTV6762"/>
    <s v="FSC31228"/>
    <x v="2"/>
    <s v="No"/>
    <n v="65"/>
    <s v="Sanki SDR300"/>
    <x v="3"/>
    <s v="PMJ7"/>
    <s v="FOONG SEL YI"/>
    <n v="22500"/>
    <n v="607.5"/>
    <n v="10.125"/>
    <d v="2025-03-26T00:00:00"/>
    <m/>
    <n v="4"/>
    <n v="9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819"/>
  </r>
  <r>
    <x v="1115"/>
    <n v="10000"/>
    <n v="10000"/>
    <d v="2025-04-08T00:00:00"/>
    <s v="502LAUGH"/>
    <s v=" 8:38:49 am"/>
    <n v="10656256085"/>
    <s v="FBC30652"/>
    <x v="2"/>
    <s v="No"/>
    <n v="79"/>
    <s v="HP Indigo 6800"/>
    <x v="4"/>
    <s v="PM21"/>
    <s v="LIM JIA FAN"/>
    <n v="336"/>
    <m/>
    <m/>
    <d v="2025-03-26T00:00:00"/>
    <m/>
    <n v="352"/>
    <n v="118272"/>
    <s v="PE"/>
    <s v="CH562-80137-BH180001"/>
    <n v="0"/>
    <n v="0"/>
    <n v="0"/>
    <n v="0"/>
    <n v="0"/>
    <n v="0"/>
    <m/>
    <m/>
    <n v="0"/>
    <m/>
    <m/>
    <m/>
    <s v="No"/>
    <n v="0"/>
    <s v="No"/>
    <m/>
    <m/>
    <s v="CH562-80137-BH184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874"/>
  </r>
  <r>
    <x v="1116"/>
    <n v="10000"/>
    <n v="10000"/>
    <d v="2025-04-10T00:00:00"/>
    <s v="502LAUGH"/>
    <s v=" 2:40:20 pm"/>
    <n v="10656256091"/>
    <s v="FBC30768"/>
    <x v="2"/>
    <s v="No"/>
    <n v="79"/>
    <s v="HP Indigo 6800"/>
    <x v="4"/>
    <s v="PM16"/>
    <s v="TEO KAH JUN"/>
    <n v="1352"/>
    <n v="97.6"/>
    <n v="1.6266666666666665"/>
    <d v="2025-03-26T00:00:00"/>
    <m/>
    <n v="176"/>
    <n v="237952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882"/>
  </r>
  <r>
    <x v="1117"/>
    <n v="10000"/>
    <n v="10000"/>
    <d v="2025-04-08T00:00:00"/>
    <s v="502LAUGH"/>
    <s v=" 1:03:22 pm"/>
    <n v="10656256092"/>
    <s v="FBC30652"/>
    <x v="2"/>
    <s v="No"/>
    <n v="79"/>
    <s v="HP Indigo 6800"/>
    <x v="4"/>
    <s v="PM21"/>
    <s v="LIM JIA FAN"/>
    <n v="605"/>
    <m/>
    <m/>
    <d v="2025-03-26T00:00:00"/>
    <m/>
    <n v="352"/>
    <n v="21296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917"/>
  </r>
  <r>
    <x v="1118"/>
    <n v="10000"/>
    <n v="10000"/>
    <d v="2025-04-08T00:00:00"/>
    <s v="502LAUGH"/>
    <s v=" 1:04:46 pm"/>
    <n v="10656256091"/>
    <s v="FBC30652"/>
    <x v="2"/>
    <s v="No"/>
    <n v="79"/>
    <s v="HP Indigo 6800"/>
    <x v="4"/>
    <s v="PM21"/>
    <s v="LIM JIA FAN"/>
    <n v="175"/>
    <m/>
    <m/>
    <d v="2025-03-26T00:00:00"/>
    <m/>
    <n v="352"/>
    <n v="6160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925"/>
  </r>
  <r>
    <x v="1119"/>
    <n v="10000"/>
    <n v="10000"/>
    <d v="2025-04-04T00:00:00"/>
    <s v="502LAUGH"/>
    <s v=" 8:41:02 am"/>
    <s v="U2B09S001/U4A043S213"/>
    <s v="DC08843"/>
    <x v="2"/>
    <s v="No"/>
    <n v="88"/>
    <s v="OKI"/>
    <x v="4"/>
    <s v="PP24"/>
    <s v="HO HON SENG"/>
    <n v="500"/>
    <m/>
    <m/>
    <d v="2025-03-26T00:00:00"/>
    <m/>
    <n v="3"/>
    <n v="1500"/>
    <s v="PE"/>
    <s v="URLB14A0001"/>
    <n v="0"/>
    <n v="0"/>
    <n v="0"/>
    <n v="0"/>
    <n v="0"/>
    <n v="0"/>
    <m/>
    <m/>
    <n v="0"/>
    <m/>
    <m/>
    <m/>
    <s v="No"/>
    <n v="0"/>
    <s v="No"/>
    <m/>
    <m/>
    <s v="URLB14A"/>
    <s v="S19708-M"/>
    <s v="SMK ELECTRONICS (MALAYSIA) SDN.BHD."/>
    <m/>
    <n v="0"/>
    <n v="0"/>
    <n v="0"/>
    <n v="0"/>
    <n v="0"/>
    <n v="0"/>
    <m/>
    <m/>
    <m/>
    <s v="No"/>
    <m/>
    <m/>
    <m/>
    <s v="S19708-M"/>
    <m/>
    <m/>
    <s v="S0361972"/>
  </r>
  <r>
    <x v="1120"/>
    <n v="10000"/>
    <n v="20000"/>
    <d v="2025-03-27T00:00:00"/>
    <s v="502LAUGH"/>
    <s v=" 8:33:58 am"/>
    <s v="U4B0458049"/>
    <m/>
    <x v="2"/>
    <s v="Yes"/>
    <n v="72"/>
    <s v="Xeikon 3500"/>
    <x v="4"/>
    <s v="PM17"/>
    <s v="NG SWEE CHEA"/>
    <n v="7085"/>
    <m/>
    <m/>
    <d v="2025-03-26T00:00:00"/>
    <m/>
    <n v="12"/>
    <n v="85020"/>
    <s v="PE"/>
    <s v="RM-LL-RMBW80-NEW0001"/>
    <n v="0"/>
    <n v="75000"/>
    <n v="10020"/>
    <n v="0"/>
    <n v="0"/>
    <n v="0"/>
    <m/>
    <m/>
    <n v="0"/>
    <m/>
    <m/>
    <m/>
    <m/>
    <m/>
    <m/>
    <m/>
    <m/>
    <s v="RM-LL-RMBW80-NEW"/>
    <s v="K11155"/>
    <s v="KLEEN-PAK PRODUCTS PTE LTD"/>
    <m/>
    <n v="0"/>
    <n v="0"/>
    <n v="0"/>
    <n v="0"/>
    <n v="0"/>
    <n v="0"/>
    <m/>
    <m/>
    <m/>
    <s v="No"/>
    <s v="W663514"/>
    <n v="0"/>
    <m/>
    <s v="K11155"/>
    <m/>
    <m/>
    <s v="S0347604"/>
  </r>
  <r>
    <x v="1120"/>
    <n v="10000"/>
    <n v="30000"/>
    <d v="2025-03-27T00:00:00"/>
    <s v="502LAUGH"/>
    <s v=" 8:33:58 am"/>
    <s v="U4B0458049"/>
    <m/>
    <x v="0"/>
    <s v="Yes"/>
    <n v="86"/>
    <s v="Brotech DF330 "/>
    <x v="0"/>
    <s v="PM45"/>
    <s v="TAY CHIN LIONG"/>
    <n v="4612"/>
    <n v="121.86666666666666"/>
    <n v="2.0311111111111111"/>
    <d v="2025-03-26T00:00:00"/>
    <m/>
    <n v="18"/>
    <n v="83016"/>
    <s v="PE"/>
    <s v="RM-LL-RMBW80-NEW0001"/>
    <n v="0"/>
    <n v="75000"/>
    <n v="8016"/>
    <n v="0"/>
    <n v="0"/>
    <n v="0"/>
    <m/>
    <m/>
    <n v="0"/>
    <m/>
    <m/>
    <m/>
    <m/>
    <m/>
    <m/>
    <m/>
    <m/>
    <s v="RM-LL-RMBW80-NEW"/>
    <s v="K11155"/>
    <s v="KLEEN-PAK PRODUCTS PTE LTD"/>
    <m/>
    <n v="0"/>
    <n v="0"/>
    <n v="0"/>
    <n v="0"/>
    <n v="0"/>
    <n v="0"/>
    <m/>
    <m/>
    <m/>
    <s v="No"/>
    <s v="W663514"/>
    <n v="0"/>
    <m/>
    <s v="K11155"/>
    <m/>
    <m/>
    <s v="S0347604"/>
  </r>
  <r>
    <x v="1121"/>
    <n v="10000"/>
    <n v="10000"/>
    <d v="2025-03-27T00:00:00"/>
    <s v="502LAUGH"/>
    <s v=" 8:36:42 am"/>
    <s v="SG-564141001"/>
    <m/>
    <x v="2"/>
    <s v="Yes"/>
    <n v="73"/>
    <s v="Brotech DF330"/>
    <x v="0"/>
    <s v="PM59"/>
    <s v="VOON CHAN PIN"/>
    <n v="24000"/>
    <n v="445"/>
    <n v="7.416666666666667"/>
    <d v="2025-03-26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4069"/>
    <n v="0"/>
    <m/>
    <s v="B02083"/>
    <m/>
    <m/>
    <s v="S0355001"/>
  </r>
  <r>
    <x v="1122"/>
    <n v="10000"/>
    <n v="20000"/>
    <d v="2025-03-26T00:00:00"/>
    <s v="502LAUGH"/>
    <s v=" 5:17:30 pm"/>
    <s v="U4B0458049"/>
    <m/>
    <x v="2"/>
    <s v="Yes"/>
    <n v="72"/>
    <s v="Xeikon 3500"/>
    <x v="4"/>
    <s v="PM17"/>
    <s v="NG SWEE CHEA"/>
    <n v="6500"/>
    <m/>
    <m/>
    <d v="2025-03-26T00:00:00"/>
    <m/>
    <n v="8"/>
    <n v="52000"/>
    <s v="PE"/>
    <s v="RM-LL-BMPW80-RE00001"/>
    <n v="0"/>
    <n v="45000"/>
    <n v="7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3534"/>
    <n v="0"/>
    <m/>
    <s v="K11155"/>
    <m/>
    <m/>
    <s v="S0356645"/>
  </r>
  <r>
    <x v="1122"/>
    <n v="10000"/>
    <n v="30000"/>
    <d v="2025-03-26T00:00:00"/>
    <s v="502LAUGH"/>
    <s v=" 5:17:30 pm"/>
    <s v="U4B0458049"/>
    <m/>
    <x v="0"/>
    <s v="Yes"/>
    <n v="86"/>
    <s v="Brotech DF330 "/>
    <x v="0"/>
    <s v="PM45"/>
    <s v="TAY CHIN LIONG"/>
    <n v="6250"/>
    <n v="149.16666666666669"/>
    <n v="2.4861111111111116"/>
    <d v="2025-03-26T00:00:00"/>
    <m/>
    <n v="8"/>
    <n v="50000"/>
    <s v="PE"/>
    <s v="RM-LL-BMPW80-RE00001"/>
    <n v="0"/>
    <n v="45000"/>
    <n v="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3534"/>
    <n v="0"/>
    <m/>
    <s v="K11155"/>
    <m/>
    <m/>
    <s v="S0356645"/>
  </r>
  <r>
    <x v="999"/>
    <n v="10000"/>
    <n v="30000"/>
    <d v="2025-04-01T00:00:00"/>
    <s v="502LAUGH"/>
    <s v=" 8:47:03 am"/>
    <s v="J00WA5830/J00TP9191"/>
    <m/>
    <x v="2"/>
    <s v="Yes"/>
    <n v="111"/>
    <s v="Brotech"/>
    <x v="0"/>
    <s v="PM46"/>
    <s v="TAN CHEE CHUN"/>
    <n v="31875"/>
    <n v="576.25"/>
    <n v="9.6041666666666661"/>
    <d v="2025-03-26T00:00:00"/>
    <m/>
    <n v="8"/>
    <n v="255000"/>
    <s v="PE"/>
    <s v="Z512 REV 6.00001"/>
    <n v="0"/>
    <n v="254692"/>
    <n v="308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3543"/>
    <n v="0"/>
    <m/>
    <s v="R18131"/>
    <m/>
    <m/>
    <s v="S0357523"/>
  </r>
  <r>
    <x v="1123"/>
    <n v="10000"/>
    <n v="10000"/>
    <d v="2025-03-26T00:00:00"/>
    <s v="502LAUGH"/>
    <s v=" 2:22:17 pm"/>
    <s v="J00788540"/>
    <m/>
    <x v="2"/>
    <s v="Yes"/>
    <n v="86"/>
    <s v="Brotech DF330 "/>
    <x v="0"/>
    <s v="PM45"/>
    <s v="TAY CHIN LIONG"/>
    <n v="7500"/>
    <n v="170"/>
    <n v="2.8333333333333335"/>
    <d v="2025-03-26T00:00:00"/>
    <m/>
    <n v="8"/>
    <n v="60000"/>
    <s v="PE"/>
    <s v="R638-408 REV 4.00001"/>
    <n v="0"/>
    <n v="60000"/>
    <n v="0"/>
    <n v="0"/>
    <n v="0"/>
    <n v="0"/>
    <m/>
    <m/>
    <n v="0"/>
    <m/>
    <m/>
    <m/>
    <m/>
    <m/>
    <m/>
    <m/>
    <m/>
    <s v="R638-408 REV 4.0"/>
    <s v="R18131"/>
    <s v="RESMED ASIA PTE LTD"/>
    <m/>
    <n v="0"/>
    <n v="0"/>
    <n v="0"/>
    <n v="0"/>
    <n v="0"/>
    <n v="0"/>
    <m/>
    <m/>
    <m/>
    <s v="No"/>
    <s v="W663549"/>
    <n v="0"/>
    <m/>
    <s v="R18131"/>
    <m/>
    <m/>
    <s v="S0357796"/>
  </r>
  <r>
    <x v="1124"/>
    <n v="10000"/>
    <n v="10000"/>
    <d v="2025-03-27T00:00:00"/>
    <s v="502LAUGH"/>
    <s v=" 8:35:46 am"/>
    <s v="4239S1"/>
    <m/>
    <x v="2"/>
    <s v="Yes"/>
    <n v="61"/>
    <s v="FSK 520"/>
    <x v="2"/>
    <s v="PM68"/>
    <s v="LEE KIM LIANG"/>
    <n v="8500"/>
    <n v="215"/>
    <n v="3.5833333333333335"/>
    <d v="2025-03-26T00:00:00"/>
    <m/>
    <n v="2"/>
    <n v="17000"/>
    <s v="PE"/>
    <s v="716891 REV4020001"/>
    <n v="0"/>
    <n v="17000"/>
    <n v="0"/>
    <n v="0"/>
    <n v="0"/>
    <n v="0"/>
    <m/>
    <m/>
    <n v="0"/>
    <m/>
    <m/>
    <m/>
    <m/>
    <m/>
    <m/>
    <m/>
    <m/>
    <s v="716891 REV403"/>
    <s v="V22000"/>
    <s v="PT VARTA MICROBATTERY INDONESIA"/>
    <m/>
    <n v="0"/>
    <n v="0"/>
    <n v="0"/>
    <n v="0"/>
    <n v="0"/>
    <n v="0"/>
    <m/>
    <m/>
    <m/>
    <s v="No"/>
    <s v="W663607"/>
    <n v="0"/>
    <m/>
    <s v="V22000"/>
    <m/>
    <m/>
    <s v="S0359848"/>
  </r>
  <r>
    <x v="1125"/>
    <n v="10000"/>
    <n v="10000"/>
    <d v="2025-03-27T00:00:00"/>
    <s v="502LAUGH"/>
    <d v="1899-12-30T11:44:47"/>
    <s v="4239S1"/>
    <m/>
    <x v="2"/>
    <s v="Yes"/>
    <n v="61"/>
    <s v="FSK 520"/>
    <x v="2"/>
    <s v="PM68"/>
    <s v="LEE KIM LIANG"/>
    <n v="6000"/>
    <n v="165"/>
    <n v="2.75"/>
    <d v="2025-03-26T00:00:00"/>
    <m/>
    <n v="3"/>
    <n v="18000"/>
    <s v="PE"/>
    <s v="716919 REV4010001"/>
    <n v="0"/>
    <n v="18000"/>
    <n v="0"/>
    <n v="0"/>
    <n v="0"/>
    <n v="0"/>
    <m/>
    <m/>
    <n v="0"/>
    <m/>
    <m/>
    <m/>
    <m/>
    <m/>
    <m/>
    <m/>
    <m/>
    <s v="716919 REV402"/>
    <s v="V22000"/>
    <s v="PT VARTA MICROBATTERY INDONESIA"/>
    <m/>
    <n v="0"/>
    <n v="0"/>
    <n v="0"/>
    <n v="0"/>
    <n v="0"/>
    <n v="0"/>
    <m/>
    <m/>
    <m/>
    <s v="No"/>
    <s v="W663608"/>
    <n v="0"/>
    <m/>
    <s v="V22000"/>
    <m/>
    <m/>
    <s v="S0359848"/>
  </r>
  <r>
    <x v="1126"/>
    <n v="10000"/>
    <n v="10000"/>
    <d v="2025-03-28T00:00:00"/>
    <s v="502LAUGH"/>
    <s v=" 5:23:09 pm"/>
    <n v="502200327"/>
    <m/>
    <x v="2"/>
    <s v="Yes"/>
    <n v="59"/>
    <s v="SANKI SD-300 Intermittent"/>
    <x v="2"/>
    <s v="PS74"/>
    <s v="GOH CHIN TECK"/>
    <n v="55200"/>
    <n v="1425"/>
    <n v="23.75"/>
    <d v="2025-03-26T00:00:00"/>
    <m/>
    <n v="15"/>
    <n v="828000"/>
    <s v="PE"/>
    <n v="7062440001"/>
    <n v="0"/>
    <n v="828000"/>
    <n v="0"/>
    <n v="0"/>
    <n v="0"/>
    <n v="0"/>
    <m/>
    <m/>
    <n v="0"/>
    <m/>
    <m/>
    <m/>
    <m/>
    <m/>
    <m/>
    <m/>
    <m/>
    <s v="706244 INDEX07"/>
    <s v="V22000-DE"/>
    <s v="VARTA MICROBATTERY GMBH"/>
    <m/>
    <n v="0"/>
    <n v="0"/>
    <n v="0"/>
    <n v="0"/>
    <n v="0"/>
    <n v="0"/>
    <m/>
    <m/>
    <m/>
    <s v="No"/>
    <s v="W663619"/>
    <n v="0"/>
    <m/>
    <s v="V22000-DE"/>
    <m/>
    <m/>
    <s v="S0360724"/>
  </r>
  <r>
    <x v="410"/>
    <n v="10000"/>
    <n v="40000"/>
    <d v="2025-03-26T00:00:00"/>
    <s v="502LAUGH"/>
    <s v=" 5:44:45 pm"/>
    <s v="D006O6500"/>
    <m/>
    <x v="1"/>
    <s v="Yes"/>
    <n v="91"/>
    <s v="Luster AOI"/>
    <x v="1"/>
    <s v="QM54"/>
    <s v="TAN SWEE LENG"/>
    <n v="2000"/>
    <m/>
    <m/>
    <d v="2025-03-26T00:00:00"/>
    <m/>
    <n v="3"/>
    <n v="6000"/>
    <s v="PE"/>
    <s v="5180-4652-FT0001"/>
    <n v="0"/>
    <n v="5000"/>
    <n v="1000"/>
    <n v="0"/>
    <n v="0"/>
    <n v="0"/>
    <m/>
    <m/>
    <n v="0"/>
    <m/>
    <m/>
    <m/>
    <m/>
    <m/>
    <m/>
    <m/>
    <m/>
    <s v="5180-4652-FT"/>
    <s v="H08031-JIM-M"/>
    <s v="HP MALAYSIA MANUFACTURING SDN.BHD."/>
    <m/>
    <n v="0"/>
    <n v="0"/>
    <n v="0"/>
    <n v="0"/>
    <n v="0"/>
    <n v="0"/>
    <m/>
    <m/>
    <m/>
    <s v="No"/>
    <s v="W663624"/>
    <n v="0"/>
    <m/>
    <s v="H08031-JIM-M"/>
    <m/>
    <m/>
    <s v="S0360909"/>
  </r>
  <r>
    <x v="240"/>
    <n v="10000"/>
    <n v="40000"/>
    <d v="2025-03-26T00:00:00"/>
    <s v="502LAUGH"/>
    <s v=" 2:59:28 pm"/>
    <n v="10620258036"/>
    <m/>
    <x v="1"/>
    <s v="Yes"/>
    <n v="85"/>
    <s v="Luster AOI"/>
    <x v="1"/>
    <s v="QM78"/>
    <s v="WONG SEAU JIN"/>
    <n v="31819"/>
    <m/>
    <m/>
    <d v="2025-03-26T00:00:00"/>
    <m/>
    <n v="11"/>
    <n v="350009"/>
    <s v="PE"/>
    <s v="3YM56-80009-FT0001"/>
    <n v="0"/>
    <n v="360000"/>
    <n v="-9991"/>
    <n v="0"/>
    <n v="0"/>
    <n v="0"/>
    <m/>
    <m/>
    <n v="0"/>
    <m/>
    <m/>
    <m/>
    <m/>
    <m/>
    <m/>
    <m/>
    <m/>
    <s v="3YM56-80009-FT"/>
    <s v="H08031-JIM-M"/>
    <s v="HP MALAYSIA MANUFACTURING SDN.BHD."/>
    <m/>
    <n v="0"/>
    <n v="0"/>
    <n v="0"/>
    <n v="0"/>
    <n v="0"/>
    <n v="0"/>
    <m/>
    <m/>
    <m/>
    <s v="No"/>
    <s v="W663627"/>
    <n v="0"/>
    <m/>
    <s v="H08031-JIM-M"/>
    <m/>
    <m/>
    <s v="S0360913"/>
  </r>
  <r>
    <x v="1127"/>
    <n v="10000"/>
    <n v="20000"/>
    <d v="2025-03-27T00:00:00"/>
    <s v="502LAUGH"/>
    <s v=" 8:40:27 am"/>
    <s v="M0BSO3780"/>
    <m/>
    <x v="2"/>
    <s v="Yes"/>
    <n v="94"/>
    <s v="Taiyo"/>
    <x v="2"/>
    <s v="PM09"/>
    <s v="PANG JING FULL"/>
    <n v="4000"/>
    <m/>
    <m/>
    <d v="2025-03-26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3633"/>
    <n v="0"/>
    <m/>
    <s v="W23041-TH"/>
    <m/>
    <m/>
    <s v="H0064706"/>
  </r>
  <r>
    <x v="929"/>
    <n v="10000"/>
    <n v="50000"/>
    <d v="2025-03-26T00:00:00"/>
    <s v="502LAUGH"/>
    <s v=" 5:46:05 pm"/>
    <s v="D008O0920"/>
    <m/>
    <x v="1"/>
    <s v="Yes"/>
    <n v="91"/>
    <s v="Luster AOI"/>
    <x v="1"/>
    <s v="QM54"/>
    <s v="TAN SWEE LENG"/>
    <n v="6667"/>
    <m/>
    <m/>
    <d v="2025-03-26T00:00:00"/>
    <m/>
    <n v="3"/>
    <n v="20001"/>
    <s v="PE"/>
    <s v="1VV05-80009-FT0001"/>
    <n v="0"/>
    <n v="20000"/>
    <n v="1"/>
    <n v="0"/>
    <n v="0"/>
    <n v="0"/>
    <m/>
    <m/>
    <n v="0"/>
    <m/>
    <m/>
    <m/>
    <m/>
    <m/>
    <m/>
    <m/>
    <m/>
    <s v="1VV05-80009-FT"/>
    <s v="H08031-JIM-M"/>
    <s v="HP MALAYSIA MANUFACTURING SDN.BHD."/>
    <m/>
    <n v="0"/>
    <n v="0"/>
    <n v="0"/>
    <n v="0"/>
    <n v="0"/>
    <n v="0"/>
    <m/>
    <m/>
    <m/>
    <s v="No"/>
    <s v="W663635"/>
    <n v="0"/>
    <m/>
    <s v="H08031-JIM-M"/>
    <m/>
    <m/>
    <s v="S0360936"/>
  </r>
  <r>
    <x v="1128"/>
    <n v="10000"/>
    <n v="20000"/>
    <d v="2025-03-26T00:00:00"/>
    <s v="502LAUGH"/>
    <s v=" 2:22:17 pm"/>
    <s v="49109/24F1310472"/>
    <m/>
    <x v="2"/>
    <s v="Yes"/>
    <n v="60"/>
    <s v="Fujishiko UDP-5000"/>
    <x v="3"/>
    <s v="PM30"/>
    <s v="OH KIAN YUAN"/>
    <n v="5200"/>
    <n v="149"/>
    <n v="2.4833333333333334"/>
    <d v="2025-03-26T00:00:00"/>
    <m/>
    <n v="10"/>
    <n v="52000"/>
    <s v="PE"/>
    <s v="TPK-884535-00100001"/>
    <n v="0"/>
    <n v="57000"/>
    <n v="-500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3640"/>
    <n v="0"/>
    <m/>
    <s v="Z26002"/>
    <m/>
    <m/>
    <s v="S0360998"/>
  </r>
  <r>
    <x v="737"/>
    <n v="10000"/>
    <n v="30000"/>
    <d v="2025-04-02T00:00:00"/>
    <s v="502LAUGH"/>
    <s v=" 8:35:14 am"/>
    <s v="L5114U8024/405172625"/>
    <m/>
    <x v="2"/>
    <s v="Yes"/>
    <n v="78"/>
    <s v="Baby Sanki"/>
    <x v="2"/>
    <s v="PM84"/>
    <s v="TAN TAI TOH"/>
    <n v="1500"/>
    <n v="82.5"/>
    <n v="1.375"/>
    <d v="2025-03-26T00:00:00"/>
    <m/>
    <n v="2"/>
    <n v="3000"/>
    <s v="PE"/>
    <s v="TSMC00350020001"/>
    <n v="0"/>
    <n v="600"/>
    <n v="2400"/>
    <n v="0"/>
    <n v="0"/>
    <n v="0"/>
    <m/>
    <m/>
    <n v="0"/>
    <m/>
    <m/>
    <m/>
    <m/>
    <m/>
    <m/>
    <m/>
    <m/>
    <s v="TSMC0035002"/>
    <s v="T20104"/>
    <s v="TOSHIBA TEC SINGAPORE PTE LTD"/>
    <m/>
    <n v="0"/>
    <n v="0"/>
    <n v="0"/>
    <n v="0"/>
    <n v="0"/>
    <n v="0"/>
    <m/>
    <m/>
    <m/>
    <s v="No"/>
    <s v="W663663"/>
    <n v="0"/>
    <m/>
    <s v="T20104"/>
    <m/>
    <m/>
    <s v="S0361067"/>
  </r>
  <r>
    <x v="1129"/>
    <n v="10000"/>
    <n v="10000"/>
    <d v="2025-03-26T00:00:00"/>
    <s v="502LAUGH"/>
    <s v=" 4:13:43 pm"/>
    <s v="J00T39951"/>
    <m/>
    <x v="2"/>
    <s v="Yes"/>
    <n v="46"/>
    <s v="Sanki 300 Intermittent"/>
    <x v="2"/>
    <s v="PS66"/>
    <s v="SIM ENG KWANG"/>
    <n v="1000"/>
    <n v="70"/>
    <n v="1.1666666666666667"/>
    <d v="2025-03-26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s v="JMS SINGAPORE PTE LTD"/>
    <m/>
    <n v="0"/>
    <n v="0"/>
    <n v="0"/>
    <n v="0"/>
    <n v="0"/>
    <n v="0"/>
    <m/>
    <m/>
    <m/>
    <s v="No"/>
    <s v="W663669"/>
    <n v="0"/>
    <m/>
    <s v="J10025"/>
    <m/>
    <m/>
    <s v="S0361087"/>
  </r>
  <r>
    <x v="1130"/>
    <n v="10000"/>
    <n v="10000"/>
    <d v="2025-03-26T00:00:00"/>
    <s v="502LAUGH"/>
    <d v="1899-12-30T12:58:22"/>
    <s v="J00T39951"/>
    <m/>
    <x v="2"/>
    <s v="Yes"/>
    <n v="46"/>
    <s v="Sanki 300 Intermittent"/>
    <x v="2"/>
    <s v="PS66"/>
    <s v="SIM ENG KWANG"/>
    <n v="1000"/>
    <n v="70"/>
    <n v="1.1666666666666667"/>
    <d v="2025-03-26T00:00:00"/>
    <m/>
    <n v="1"/>
    <n v="1000"/>
    <s v="PE"/>
    <s v="250-5303-000001"/>
    <n v="0"/>
    <n v="1000"/>
    <n v="0"/>
    <n v="0"/>
    <n v="0"/>
    <n v="0"/>
    <m/>
    <m/>
    <n v="0"/>
    <m/>
    <m/>
    <m/>
    <m/>
    <m/>
    <m/>
    <m/>
    <m/>
    <s v="250-5303-00"/>
    <s v="J10025"/>
    <s v="JMS SINGAPORE PTE LTD"/>
    <m/>
    <n v="0"/>
    <n v="0"/>
    <n v="0"/>
    <n v="0"/>
    <n v="0"/>
    <n v="0"/>
    <m/>
    <m/>
    <m/>
    <s v="No"/>
    <s v="W663670"/>
    <n v="0"/>
    <m/>
    <s v="J10025"/>
    <m/>
    <m/>
    <s v="S0361087"/>
  </r>
  <r>
    <x v="1131"/>
    <n v="10000"/>
    <n v="10000"/>
    <d v="2025-03-27T00:00:00"/>
    <s v="502LAUGH"/>
    <s v=" 8:35:46 am"/>
    <s v="5011702U5"/>
    <m/>
    <x v="2"/>
    <s v="Yes"/>
    <n v="61"/>
    <s v="FSK 520"/>
    <x v="2"/>
    <s v="PM61"/>
    <s v="HO CHAN LE"/>
    <n v="2000"/>
    <n v="85"/>
    <n v="1.4166666666666667"/>
    <d v="2025-03-26T00:00:00"/>
    <m/>
    <n v="4"/>
    <n v="8000"/>
    <s v="PE"/>
    <s v="260-6605-000001"/>
    <n v="0"/>
    <n v="8000"/>
    <n v="0"/>
    <n v="0"/>
    <n v="0"/>
    <n v="0"/>
    <m/>
    <m/>
    <n v="0"/>
    <m/>
    <m/>
    <m/>
    <m/>
    <m/>
    <m/>
    <m/>
    <m/>
    <s v="260-6605-00"/>
    <s v="J10025"/>
    <s v="JMS SINGAPORE PTE LTD"/>
    <m/>
    <n v="0"/>
    <n v="0"/>
    <n v="0"/>
    <n v="0"/>
    <n v="0"/>
    <n v="0"/>
    <m/>
    <m/>
    <m/>
    <s v="No"/>
    <s v="W663714"/>
    <n v="0"/>
    <m/>
    <s v="J10025"/>
    <m/>
    <m/>
    <s v="S0361175"/>
  </r>
  <r>
    <x v="1132"/>
    <n v="10000"/>
    <n v="10000"/>
    <d v="2025-03-27T00:00:00"/>
    <s v="502LAUGH"/>
    <s v=" 1:25:37 pm"/>
    <s v="4090411U5A"/>
    <m/>
    <x v="2"/>
    <s v="Yes"/>
    <n v="22"/>
    <s v="FSK B100"/>
    <x v="2"/>
    <s v="PS13"/>
    <s v="YEE CHENG MENG"/>
    <n v="27000"/>
    <n v="585"/>
    <n v="9.75"/>
    <d v="2025-03-26T00:00:00"/>
    <m/>
    <n v="1"/>
    <n v="27000"/>
    <s v="PE"/>
    <s v="260-6166-000001"/>
    <n v="0"/>
    <n v="27000"/>
    <n v="0"/>
    <n v="0"/>
    <n v="0"/>
    <n v="0"/>
    <m/>
    <m/>
    <n v="0"/>
    <m/>
    <m/>
    <m/>
    <m/>
    <m/>
    <m/>
    <m/>
    <m/>
    <s v="260-6166-00"/>
    <s v="J10025"/>
    <s v="JMS SINGAPORE PTE LTD"/>
    <m/>
    <n v="0"/>
    <n v="0"/>
    <n v="0"/>
    <n v="0"/>
    <n v="0"/>
    <n v="0"/>
    <m/>
    <m/>
    <m/>
    <s v="No"/>
    <s v="W664098"/>
    <n v="0"/>
    <m/>
    <s v="J10025"/>
    <m/>
    <m/>
    <s v="S0361177"/>
  </r>
  <r>
    <x v="643"/>
    <n v="10000"/>
    <n v="30000"/>
    <d v="2025-03-27T00:00:00"/>
    <s v="502LAUGH"/>
    <s v=" 8:33:09 am"/>
    <n v="10639931025"/>
    <m/>
    <x v="1"/>
    <s v="Yes"/>
    <n v="85"/>
    <s v="Luster AOI"/>
    <x v="1"/>
    <s v="QM78"/>
    <s v="WONG SEAU JIN"/>
    <n v="20000"/>
    <m/>
    <m/>
    <d v="2025-03-26T00:00:00"/>
    <m/>
    <n v="11"/>
    <n v="220000"/>
    <s v="PE"/>
    <s v="7FP21-80002-FT0001"/>
    <n v="0"/>
    <n v="200000"/>
    <n v="20000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4108"/>
    <n v="0"/>
    <m/>
    <s v="H08031-JIM-M"/>
    <m/>
    <m/>
    <s v="S0361193"/>
  </r>
  <r>
    <x v="1133"/>
    <n v="10000"/>
    <n v="10000"/>
    <d v="2025-03-26T00:00:00"/>
    <s v="502LAUGH"/>
    <d v="1899-12-30T12:57:46"/>
    <s v="M0BUE5710"/>
    <m/>
    <x v="2"/>
    <s v="Yes"/>
    <n v="94"/>
    <s v="Taiyo"/>
    <x v="2"/>
    <s v="PM09"/>
    <s v="PANG JING FULL"/>
    <n v="1000"/>
    <m/>
    <m/>
    <d v="2025-03-26T00:00:00"/>
    <m/>
    <n v="4"/>
    <n v="4000"/>
    <s v="PE"/>
    <s v="L001-772785-00000006"/>
    <n v="0"/>
    <n v="4000"/>
    <n v="0"/>
    <n v="0"/>
    <n v="0"/>
    <n v="0"/>
    <m/>
    <m/>
    <n v="0"/>
    <m/>
    <m/>
    <m/>
    <m/>
    <m/>
    <m/>
    <m/>
    <m/>
    <s v="L001-772785-000006CG"/>
    <s v="X24001-WD-SUZHOU"/>
    <s v="TELEPLAN TECHNOLOGIES (SUZHOU) CO., LTD"/>
    <m/>
    <n v="0"/>
    <n v="0"/>
    <n v="0"/>
    <n v="0"/>
    <n v="0"/>
    <n v="0"/>
    <m/>
    <m/>
    <m/>
    <s v="No"/>
    <s v="W663762"/>
    <n v="0"/>
    <m/>
    <s v="X24001-WD-SUZHOU"/>
    <m/>
    <m/>
    <s v="S0361288"/>
  </r>
  <r>
    <x v="1068"/>
    <n v="10000"/>
    <n v="20000"/>
    <d v="2025-03-27T00:00:00"/>
    <s v="502LAUGH"/>
    <s v=" 8:34:49 am"/>
    <s v="J00T59561"/>
    <m/>
    <x v="0"/>
    <s v="Yes"/>
    <n v="71"/>
    <s v="POLLY"/>
    <x v="3"/>
    <s v="PS95"/>
    <s v="LIM CHENG LEONG"/>
    <n v="417"/>
    <m/>
    <m/>
    <d v="2025-03-26T00:00:00"/>
    <m/>
    <n v="12"/>
    <n v="5004"/>
    <s v="PE"/>
    <n v="5000422940001"/>
    <n v="0"/>
    <n v="5000"/>
    <n v="4"/>
    <n v="0"/>
    <n v="0"/>
    <n v="0"/>
    <m/>
    <m/>
    <n v="0"/>
    <m/>
    <m/>
    <m/>
    <m/>
    <m/>
    <m/>
    <m/>
    <m/>
    <n v="500042294"/>
    <s v="B02083"/>
    <s v="BECTON DICKINSON MEDICAL (S) PTE LTD"/>
    <m/>
    <n v="0"/>
    <n v="0"/>
    <n v="0"/>
    <n v="0"/>
    <n v="0"/>
    <n v="0"/>
    <m/>
    <m/>
    <m/>
    <s v="No"/>
    <s v="W663766"/>
    <n v="0"/>
    <m/>
    <s v="B02083"/>
    <m/>
    <m/>
    <s v="S0361296"/>
  </r>
  <r>
    <x v="1069"/>
    <n v="10000"/>
    <n v="20000"/>
    <d v="2025-03-27T00:00:00"/>
    <s v="502LAUGH"/>
    <s v=" 8:31:51 am"/>
    <s v="J00T59561"/>
    <m/>
    <x v="0"/>
    <s v="Yes"/>
    <n v="71"/>
    <s v="POLLY"/>
    <x v="3"/>
    <s v="PS95"/>
    <s v="LIM CHENG LEONG"/>
    <n v="417"/>
    <m/>
    <m/>
    <d v="2025-03-26T00:00:00"/>
    <m/>
    <n v="12"/>
    <n v="5004"/>
    <s v="PE"/>
    <n v="5000422950001"/>
    <n v="0"/>
    <n v="5000"/>
    <n v="4"/>
    <n v="0"/>
    <n v="0"/>
    <n v="0"/>
    <m/>
    <m/>
    <n v="0"/>
    <m/>
    <m/>
    <m/>
    <m/>
    <m/>
    <m/>
    <m/>
    <m/>
    <n v="500042295"/>
    <s v="B02083"/>
    <s v="BECTON DICKINSON MEDICAL (S) PTE LTD"/>
    <m/>
    <n v="0"/>
    <n v="0"/>
    <n v="0"/>
    <n v="0"/>
    <n v="0"/>
    <n v="0"/>
    <m/>
    <m/>
    <m/>
    <s v="No"/>
    <s v="W663767"/>
    <n v="0"/>
    <m/>
    <s v="B02083"/>
    <m/>
    <m/>
    <s v="S0361296"/>
  </r>
  <r>
    <x v="1134"/>
    <n v="10000"/>
    <n v="10000"/>
    <d v="2025-04-02T00:00:00"/>
    <s v="502LAUGH"/>
    <s v=" 8:56:39 am"/>
    <s v="U511658128/405131525"/>
    <m/>
    <x v="2"/>
    <s v="Yes"/>
    <n v="90"/>
    <s v="HDS"/>
    <x v="3"/>
    <s v="PM35"/>
    <s v="TAN MIN KANG"/>
    <n v="22728"/>
    <n v="1181.4000000000001"/>
    <n v="19.690000000000001"/>
    <d v="2025-03-26T00:00:00"/>
    <m/>
    <n v="132"/>
    <n v="3000096"/>
    <s v="PE"/>
    <s v="1114-670-00003 R0001"/>
    <n v="0"/>
    <n v="3000008"/>
    <n v="88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63769"/>
    <n v="0"/>
    <m/>
    <s v="M13337-SMD"/>
    <m/>
    <m/>
    <s v="S0361340"/>
  </r>
  <r>
    <x v="1135"/>
    <n v="10000"/>
    <n v="10000"/>
    <d v="2025-03-27T00:00:00"/>
    <s v="502LAUGH"/>
    <s v=" 9:51:51 am"/>
    <s v="4110602U5A"/>
    <m/>
    <x v="2"/>
    <s v="Yes"/>
    <n v="46"/>
    <s v="Sanki 300 Intermittent"/>
    <x v="2"/>
    <s v="PS66"/>
    <s v="SIM ENG KWANG"/>
    <n v="3000"/>
    <n v="120"/>
    <n v="2"/>
    <d v="2025-03-26T00:00:00"/>
    <m/>
    <n v="1"/>
    <n v="3000"/>
    <s v="PE"/>
    <s v="250-6147-000001"/>
    <n v="0"/>
    <n v="3000"/>
    <n v="0"/>
    <n v="0"/>
    <n v="0"/>
    <n v="0"/>
    <m/>
    <m/>
    <n v="0"/>
    <m/>
    <m/>
    <m/>
    <m/>
    <m/>
    <m/>
    <m/>
    <m/>
    <s v="250-6147-00"/>
    <s v="J10025"/>
    <s v="JMS SINGAPORE PTE LTD"/>
    <m/>
    <n v="0"/>
    <n v="0"/>
    <n v="0"/>
    <n v="0"/>
    <n v="0"/>
    <n v="0"/>
    <m/>
    <m/>
    <m/>
    <s v="No"/>
    <s v="W663782"/>
    <n v="0"/>
    <m/>
    <s v="J10025"/>
    <m/>
    <m/>
    <s v="S0361373"/>
  </r>
  <r>
    <x v="1136"/>
    <n v="10000"/>
    <n v="10000"/>
    <d v="2025-03-27T00:00:00"/>
    <s v="502LAUGH"/>
    <s v=" 8:40:27 am"/>
    <s v="U531252077/503011826"/>
    <m/>
    <x v="2"/>
    <s v="Yes"/>
    <n v="32"/>
    <s v="Lintec Intermittent"/>
    <x v="2"/>
    <s v="PM26"/>
    <s v="TAN AIK KEONG"/>
    <n v="5860"/>
    <m/>
    <m/>
    <d v="2025-03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3787"/>
    <n v="0"/>
    <m/>
    <s v="J10025"/>
    <m/>
    <m/>
    <s v="S0361376"/>
  </r>
  <r>
    <x v="1137"/>
    <n v="10000"/>
    <n v="10000"/>
    <d v="2025-03-27T00:00:00"/>
    <s v="502LAUGH"/>
    <s v=" 8:40:27 am"/>
    <s v="U531252077/503011826"/>
    <m/>
    <x v="2"/>
    <s v="Yes"/>
    <n v="32"/>
    <s v="Lintec Intermittent"/>
    <x v="2"/>
    <s v="PM26"/>
    <s v="TAN AIK KEONG"/>
    <n v="5860"/>
    <m/>
    <m/>
    <d v="2025-03-26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4129"/>
    <n v="0"/>
    <m/>
    <s v="J10025"/>
    <m/>
    <m/>
    <s v="S0361377"/>
  </r>
  <r>
    <x v="1138"/>
    <n v="10000"/>
    <n v="10000"/>
    <d v="2025-03-26T00:00:00"/>
    <s v="502LAUGH"/>
    <s v=" 5:13:28 pm"/>
    <s v="M0BUE5312"/>
    <m/>
    <x v="2"/>
    <s v="Yes"/>
    <n v="26"/>
    <s v="Sanki SKP250 Full Rotary"/>
    <x v="2"/>
    <s v="PS70"/>
    <s v="YEO WOO KEONG"/>
    <n v="4500"/>
    <n v="157.5"/>
    <n v="2.625"/>
    <d v="2025-03-26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s v="SEAGATE TECHNOLOGY INTERNATIONAL (WUXI) CO., LTD"/>
    <m/>
    <n v="0"/>
    <n v="0"/>
    <n v="0"/>
    <n v="0"/>
    <n v="0"/>
    <n v="0"/>
    <m/>
    <m/>
    <m/>
    <s v="No"/>
    <s v="W663824"/>
    <n v="0"/>
    <m/>
    <s v="S19314"/>
    <m/>
    <m/>
    <s v="H0064831"/>
  </r>
  <r>
    <x v="1139"/>
    <n v="10000"/>
    <n v="10000"/>
    <d v="2025-03-28T00:00:00"/>
    <s v="502LAUGH"/>
    <s v=" 9:14:03 am"/>
    <n v="1006323"/>
    <m/>
    <x v="2"/>
    <s v="Yes"/>
    <n v="63"/>
    <s v="SANKI"/>
    <x v="3"/>
    <s v="PM80"/>
    <s v="YAP ZHI PING"/>
    <n v="2400"/>
    <n v="105"/>
    <n v="1.75"/>
    <d v="2025-03-26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3825"/>
    <n v="0"/>
    <m/>
    <s v="S19314"/>
    <m/>
    <m/>
    <s v="H0064835"/>
  </r>
  <r>
    <x v="1140"/>
    <n v="10000"/>
    <n v="10000"/>
    <d v="2025-03-28T00:00:00"/>
    <s v="502LAUGH"/>
    <s v=" 9:13:04 am"/>
    <s v="M0BUE5312"/>
    <m/>
    <x v="2"/>
    <s v="Yes"/>
    <n v="70"/>
    <s v="SANKI"/>
    <x v="3"/>
    <s v="PS84"/>
    <s v="YIP WENG FAI"/>
    <n v="9000"/>
    <n v="270"/>
    <n v="4.5"/>
    <d v="2025-03-26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s v="SEAGATE TECHNOLOGY INTERNATIONAL (WUXI) CO., LTD"/>
    <m/>
    <n v="0"/>
    <n v="0"/>
    <n v="0"/>
    <n v="0"/>
    <n v="0"/>
    <n v="0"/>
    <m/>
    <m/>
    <m/>
    <s v="No"/>
    <s v="W663838"/>
    <n v="0"/>
    <m/>
    <s v="S19314"/>
    <m/>
    <m/>
    <s v="H0064851"/>
  </r>
  <r>
    <x v="1141"/>
    <n v="10000"/>
    <n v="10000"/>
    <d v="2025-03-28T00:00:00"/>
    <s v="502LAUGH"/>
    <s v=" 9:14:03 am"/>
    <n v="8613409"/>
    <m/>
    <x v="2"/>
    <s v="Yes"/>
    <n v="63"/>
    <s v="SANKI"/>
    <x v="3"/>
    <s v="PM80"/>
    <s v="YAP ZHI PING"/>
    <n v="8572"/>
    <n v="259.3"/>
    <n v="4.3216666666666672"/>
    <d v="2025-03-26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3842"/>
    <n v="0"/>
    <m/>
    <s v="S19314"/>
    <m/>
    <m/>
    <s v="H0064856"/>
  </r>
  <r>
    <x v="958"/>
    <n v="10000"/>
    <n v="20000"/>
    <d v="2025-03-26T00:00:00"/>
    <s v="502LAUGH"/>
    <d v="1899-12-30T10:11:30"/>
    <n v="860909190840"/>
    <m/>
    <x v="0"/>
    <s v="Yes"/>
    <n v="86"/>
    <s v="Brotech DF330 "/>
    <x v="0"/>
    <s v="PM45"/>
    <s v="TAY CHIN LIONG"/>
    <n v="167"/>
    <n v="47.783333333333331"/>
    <n v="0.79638888888888881"/>
    <d v="2025-03-26T00:00:00"/>
    <m/>
    <n v="24"/>
    <n v="4008"/>
    <s v="PE"/>
    <n v="200641280001"/>
    <n v="0"/>
    <n v="6000"/>
    <n v="-1992"/>
    <n v="0"/>
    <n v="0"/>
    <n v="0"/>
    <m/>
    <m/>
    <n v="0"/>
    <m/>
    <m/>
    <m/>
    <m/>
    <m/>
    <m/>
    <m/>
    <m/>
    <n v="20064128"/>
    <s v="I09180"/>
    <s v="ILLUMINA SINGAPORE PTE LTD"/>
    <m/>
    <n v="0"/>
    <n v="0"/>
    <n v="0"/>
    <n v="0"/>
    <n v="0"/>
    <n v="0"/>
    <m/>
    <m/>
    <m/>
    <s v="No"/>
    <s v="W663843"/>
    <n v="0"/>
    <m/>
    <s v="I09180"/>
    <m/>
    <m/>
    <s v="S0361532"/>
  </r>
  <r>
    <x v="1142"/>
    <n v="10000"/>
    <n v="10000"/>
    <d v="2025-03-26T00:00:00"/>
    <s v="502LAUGH"/>
    <d v="1899-12-30T10:46:39"/>
    <s v="BYG115-02/24E2495172/24091870151"/>
    <m/>
    <x v="2"/>
    <s v="Yes"/>
    <n v="112"/>
    <s v="Hadesheng"/>
    <x v="3"/>
    <s v="PM40"/>
    <s v="NGOI CHUN YONG"/>
    <n v="15"/>
    <n v="45.75"/>
    <n v="0.76249999999999996"/>
    <d v="2025-03-26T00:00:00"/>
    <m/>
    <n v="4"/>
    <n v="60"/>
    <s v="PE"/>
    <s v="TPK-847984-00100001"/>
    <n v="0"/>
    <n v="60"/>
    <n v="0"/>
    <n v="0"/>
    <n v="0"/>
    <n v="0"/>
    <m/>
    <m/>
    <n v="0"/>
    <m/>
    <m/>
    <m/>
    <m/>
    <m/>
    <m/>
    <m/>
    <m/>
    <s v="TPK-847984-0010"/>
    <s v="Z26002"/>
    <s v="CCL DESIGN (PENANG) SDN. BHD."/>
    <m/>
    <n v="0"/>
    <n v="0"/>
    <n v="0"/>
    <n v="0"/>
    <n v="0"/>
    <n v="0"/>
    <m/>
    <m/>
    <m/>
    <s v="No"/>
    <s v="W663850"/>
    <n v="0"/>
    <m/>
    <s v="Z26002"/>
    <m/>
    <m/>
    <s v="ZSA101775"/>
  </r>
  <r>
    <x v="1143"/>
    <n v="10000"/>
    <n v="10000"/>
    <d v="2025-03-26T00:00:00"/>
    <s v="502LAUGH"/>
    <s v=" 2:21:14 pm"/>
    <s v="24060640251/23L11010522"/>
    <m/>
    <x v="2"/>
    <s v="Yes"/>
    <n v="60"/>
    <s v="Fujishiko UDP-5000"/>
    <x v="3"/>
    <s v="PM30"/>
    <s v="OH KIAN YUAN"/>
    <n v="20"/>
    <n v="45.4"/>
    <n v="0.7566666666666666"/>
    <d v="2025-03-26T00:00:00"/>
    <m/>
    <n v="6"/>
    <n v="120"/>
    <s v="PE"/>
    <s v="TPK-853720-00100001"/>
    <n v="0"/>
    <n v="120"/>
    <n v="0"/>
    <n v="0"/>
    <n v="0"/>
    <n v="0"/>
    <m/>
    <m/>
    <n v="0"/>
    <m/>
    <m/>
    <m/>
    <m/>
    <m/>
    <m/>
    <m/>
    <m/>
    <s v="TPK-853720-0010"/>
    <s v="Z26002"/>
    <s v="CCL DESIGN (PENANG) SDN. BHD."/>
    <m/>
    <n v="0"/>
    <n v="0"/>
    <n v="0"/>
    <n v="0"/>
    <n v="0"/>
    <n v="0"/>
    <m/>
    <m/>
    <m/>
    <s v="No"/>
    <s v="W663851"/>
    <n v="0"/>
    <m/>
    <s v="Z26002"/>
    <m/>
    <m/>
    <s v="ZSA101775"/>
  </r>
  <r>
    <x v="1144"/>
    <n v="10000"/>
    <n v="10000"/>
    <d v="2025-03-26T00:00:00"/>
    <s v="502LAUGH"/>
    <s v=" 2:21:14 pm"/>
    <s v="49109/24F1310472"/>
    <m/>
    <x v="2"/>
    <s v="Yes"/>
    <n v="60"/>
    <s v="Fujishiko UDP-5000"/>
    <x v="3"/>
    <s v="PM30"/>
    <s v="OH KIAN YUAN"/>
    <n v="70"/>
    <n v="46.4"/>
    <n v="0.77333333333333332"/>
    <d v="2025-03-26T00:00:00"/>
    <m/>
    <n v="10"/>
    <n v="700"/>
    <s v="PE"/>
    <s v="TPK-884535-00100001"/>
    <n v="0"/>
    <n v="700"/>
    <n v="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3857"/>
    <n v="0"/>
    <m/>
    <s v="Z26002"/>
    <m/>
    <m/>
    <s v="ZSA101775"/>
  </r>
  <r>
    <x v="1145"/>
    <n v="10000"/>
    <n v="10000"/>
    <d v="2025-03-26T00:00:00"/>
    <s v="502LAUGH"/>
    <s v=" 2:19:16 pm"/>
    <s v="P/O49109/23L11010522"/>
    <m/>
    <x v="2"/>
    <s v="Yes"/>
    <n v="60"/>
    <s v="Fujishiko UDP-5000"/>
    <x v="3"/>
    <s v="PM30"/>
    <s v="OH KIAN YUAN"/>
    <n v="70"/>
    <n v="46.4"/>
    <n v="0.77333333333333332"/>
    <d v="2025-03-26T00:00:00"/>
    <m/>
    <n v="10"/>
    <n v="700"/>
    <s v="PE"/>
    <s v="TPK-884535-00200001"/>
    <n v="0"/>
    <n v="7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3858"/>
    <n v="0"/>
    <m/>
    <s v="Z26002"/>
    <m/>
    <m/>
    <s v="ZSA101775"/>
  </r>
  <r>
    <x v="1146"/>
    <n v="10000"/>
    <n v="10000"/>
    <d v="2025-03-26T00:00:00"/>
    <s v="502LAUGH"/>
    <s v=" 2:19:16 pm"/>
    <s v="24F1310472/49109"/>
    <m/>
    <x v="2"/>
    <s v="Yes"/>
    <n v="60"/>
    <s v="Fujishiko UDP-5000"/>
    <x v="3"/>
    <s v="PM30"/>
    <s v="OH KIAN YUAN"/>
    <n v="25"/>
    <n v="45.5"/>
    <n v="0.7583333333333333"/>
    <d v="2025-03-26T00:00:00"/>
    <m/>
    <n v="10"/>
    <n v="250"/>
    <s v="PE"/>
    <s v="TPK-888450-00100001"/>
    <n v="0"/>
    <n v="250"/>
    <n v="0"/>
    <n v="0"/>
    <n v="0"/>
    <n v="0"/>
    <m/>
    <m/>
    <n v="0"/>
    <m/>
    <m/>
    <m/>
    <m/>
    <m/>
    <m/>
    <m/>
    <m/>
    <s v="TPK-888450-0010"/>
    <s v="Z26002"/>
    <s v="CCL DESIGN (PENANG) SDN. BHD."/>
    <m/>
    <n v="0"/>
    <n v="0"/>
    <n v="0"/>
    <n v="0"/>
    <n v="0"/>
    <n v="0"/>
    <m/>
    <m/>
    <m/>
    <s v="No"/>
    <s v="W663860"/>
    <n v="0"/>
    <m/>
    <s v="Z26002"/>
    <m/>
    <m/>
    <s v="ZSA101775"/>
  </r>
  <r>
    <x v="1147"/>
    <n v="10000"/>
    <n v="10000"/>
    <d v="2025-03-27T00:00:00"/>
    <s v="502LAUGH"/>
    <s v=" 9:11:01 am"/>
    <s v="T0AF1219072"/>
    <m/>
    <x v="2"/>
    <s v="Yes"/>
    <n v="78"/>
    <s v="Baby Sanki"/>
    <x v="2"/>
    <s v="PM84"/>
    <s v="TAN TAI TOH"/>
    <n v="2750"/>
    <n v="113.75"/>
    <n v="1.8958333333333333"/>
    <d v="2025-03-26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3867"/>
    <n v="0"/>
    <m/>
    <s v="S19081-TH"/>
    <m/>
    <m/>
    <s v="H0064870"/>
  </r>
  <r>
    <x v="1147"/>
    <n v="10000"/>
    <n v="20000"/>
    <d v="2025-03-27T00:00:00"/>
    <s v="502LAUGH"/>
    <s v=" 9:11:01 am"/>
    <s v="T0AF1219072"/>
    <m/>
    <x v="0"/>
    <s v="Yes"/>
    <n v="63"/>
    <s v="SANKI"/>
    <x v="3"/>
    <s v="PM80"/>
    <s v="YAP ZHI PING"/>
    <n v="2500"/>
    <n v="107.5"/>
    <n v="1.7916666666666667"/>
    <d v="2025-03-26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3867"/>
    <n v="0"/>
    <m/>
    <s v="S19081-TH"/>
    <m/>
    <m/>
    <s v="H0064870"/>
  </r>
  <r>
    <x v="1148"/>
    <n v="10000"/>
    <n v="10000"/>
    <d v="2025-03-28T00:00:00"/>
    <s v="502LAUGH"/>
    <s v=" 9:15:09 am"/>
    <s v="T0AF1219072"/>
    <m/>
    <x v="2"/>
    <s v="Yes"/>
    <n v="78"/>
    <s v="Baby Sanki"/>
    <x v="2"/>
    <s v="PM84"/>
    <s v="TAN TAI TOH"/>
    <n v="2750"/>
    <n v="113.75"/>
    <n v="1.8958333333333333"/>
    <d v="2025-03-26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4143"/>
    <n v="0"/>
    <m/>
    <s v="S19081-TH"/>
    <m/>
    <m/>
    <s v="H0064871"/>
  </r>
  <r>
    <x v="1148"/>
    <n v="10000"/>
    <n v="20000"/>
    <d v="2025-03-28T00:00:00"/>
    <s v="502LAUGH"/>
    <s v=" 9:15:09 am"/>
    <s v="T0AF1219072"/>
    <m/>
    <x v="0"/>
    <s v="Yes"/>
    <n v="63"/>
    <s v="SANKI"/>
    <x v="3"/>
    <s v="PM80"/>
    <s v="YAP ZHI PING"/>
    <n v="2500"/>
    <n v="107.5"/>
    <n v="1.7916666666666667"/>
    <d v="2025-03-26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4143"/>
    <n v="0"/>
    <m/>
    <s v="S19081-TH"/>
    <m/>
    <m/>
    <s v="H0064871"/>
  </r>
  <r>
    <x v="1149"/>
    <n v="10000"/>
    <n v="20000"/>
    <d v="2025-04-03T00:00:00"/>
    <s v="502LAUGH"/>
    <s v=" 9:30:13 am"/>
    <s v="M0BUF4281/M0BUF4302"/>
    <m/>
    <x v="2"/>
    <s v="Yes"/>
    <n v="70"/>
    <s v="SANKI"/>
    <x v="3"/>
    <s v="PS84"/>
    <s v="YIP WENG FAI"/>
    <n v="60000"/>
    <n v="1545"/>
    <n v="25.75"/>
    <d v="2025-03-26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3868"/>
    <n v="0"/>
    <m/>
    <s v="S19081-TH"/>
    <m/>
    <m/>
    <s v="H0064874"/>
  </r>
  <r>
    <x v="1039"/>
    <n v="10000"/>
    <n v="40000"/>
    <d v="2025-03-26T00:00:00"/>
    <s v="502LAUGH"/>
    <d v="1899-12-30T10:10:23"/>
    <n v="59470"/>
    <m/>
    <x v="0"/>
    <s v="Yes"/>
    <n v="96"/>
    <s v="Luster AOI"/>
    <x v="1"/>
    <s v="QM10"/>
    <s v="KHOO YEE MUN"/>
    <n v="7000"/>
    <m/>
    <m/>
    <d v="2025-03-26T00:00:00"/>
    <m/>
    <n v="6"/>
    <n v="42000"/>
    <s v="PE"/>
    <s v="MT-1000241-910RE0002"/>
    <n v="0"/>
    <n v="42000"/>
    <n v="0"/>
    <n v="0"/>
    <n v="0"/>
    <n v="0"/>
    <m/>
    <m/>
    <n v="0"/>
    <m/>
    <m/>
    <m/>
    <m/>
    <m/>
    <m/>
    <m/>
    <m/>
    <s v="MT-1000241-910REV005"/>
    <s v="Z26002"/>
    <s v="CCL DESIGN (PENANG) SDN. BHD."/>
    <m/>
    <n v="0"/>
    <n v="0"/>
    <n v="0"/>
    <n v="0"/>
    <n v="0"/>
    <n v="0"/>
    <m/>
    <m/>
    <m/>
    <s v="No"/>
    <s v="W663869"/>
    <n v="0"/>
    <m/>
    <s v="Z26002"/>
    <m/>
    <m/>
    <s v="S0361564"/>
  </r>
  <r>
    <x v="1150"/>
    <n v="10000"/>
    <n v="10000"/>
    <d v="2025-04-02T00:00:00"/>
    <s v="502LAUGH"/>
    <s v=" 8:40:57 am"/>
    <s v="U4A04S213/3082512U9"/>
    <m/>
    <x v="2"/>
    <s v="Yes"/>
    <n v="88"/>
    <s v="OKI"/>
    <x v="4"/>
    <s v="PP24"/>
    <s v="HO HON SENG"/>
    <n v="800"/>
    <m/>
    <m/>
    <d v="2025-03-26T00:00:00"/>
    <m/>
    <n v="1"/>
    <n v="800"/>
    <s v="PE"/>
    <n v="104489220001"/>
    <n v="0"/>
    <n v="500"/>
    <n v="300"/>
    <n v="0"/>
    <n v="0"/>
    <n v="0"/>
    <m/>
    <m/>
    <n v="0"/>
    <m/>
    <m/>
    <m/>
    <m/>
    <m/>
    <m/>
    <m/>
    <m/>
    <n v="10448922"/>
    <s v="I09109"/>
    <s v="IKE TECHNOLOGY"/>
    <m/>
    <n v="0"/>
    <n v="0"/>
    <n v="0"/>
    <n v="0"/>
    <n v="0"/>
    <n v="0"/>
    <m/>
    <m/>
    <m/>
    <s v="No"/>
    <s v="W663883"/>
    <n v="0"/>
    <m/>
    <s v="I09109"/>
    <m/>
    <m/>
    <s v="S0361694"/>
  </r>
  <r>
    <x v="1151"/>
    <n v="10000"/>
    <n v="10000"/>
    <d v="2025-04-02T00:00:00"/>
    <s v="502LAUGH"/>
    <s v=" 8:40:57 am"/>
    <s v="U4A04S213/3082512U9"/>
    <m/>
    <x v="2"/>
    <s v="Yes"/>
    <n v="88"/>
    <s v="OKI"/>
    <x v="4"/>
    <s v="PP24"/>
    <s v="HO HON SENG"/>
    <n v="20"/>
    <m/>
    <m/>
    <d v="2025-03-26T00:00:00"/>
    <m/>
    <n v="1"/>
    <n v="20"/>
    <s v="PE"/>
    <n v="104489220001"/>
    <n v="0"/>
    <n v="20"/>
    <n v="0"/>
    <n v="0"/>
    <n v="0"/>
    <n v="0"/>
    <m/>
    <m/>
    <n v="0"/>
    <m/>
    <m/>
    <m/>
    <m/>
    <m/>
    <m/>
    <m/>
    <m/>
    <n v="10448922"/>
    <s v="I09109"/>
    <s v="IKE TECHNOLOGY"/>
    <m/>
    <n v="0"/>
    <n v="0"/>
    <n v="0"/>
    <n v="0"/>
    <n v="0"/>
    <n v="0"/>
    <m/>
    <m/>
    <m/>
    <s v="No"/>
    <s v="W663885"/>
    <n v="0"/>
    <m/>
    <s v="I09109"/>
    <m/>
    <m/>
    <s v="ZSA101777"/>
  </r>
  <r>
    <x v="1152"/>
    <n v="10000"/>
    <n v="10000"/>
    <d v="2025-03-28T00:00:00"/>
    <s v="502LAUGH"/>
    <s v=" 9:48:28 am"/>
    <s v="U530658027"/>
    <m/>
    <x v="2"/>
    <s v="Yes"/>
    <n v="72"/>
    <s v="Xeikon 3500"/>
    <x v="4"/>
    <s v="PM17"/>
    <s v="NG SWEE CHEA"/>
    <n v="1000"/>
    <m/>
    <m/>
    <d v="2025-03-26T00:00:00"/>
    <m/>
    <n v="10"/>
    <n v="10000"/>
    <s v="PE"/>
    <s v="MANGO PUREE0001"/>
    <n v="0"/>
    <n v="5000"/>
    <n v="5000"/>
    <n v="0"/>
    <n v="0"/>
    <n v="0"/>
    <m/>
    <m/>
    <n v="0"/>
    <m/>
    <m/>
    <m/>
    <m/>
    <m/>
    <m/>
    <m/>
    <m/>
    <s v="MANGO PUREE"/>
    <s v="H08138"/>
    <s v="HONEY-LAND INTERNATIONAL PTE LTD"/>
    <m/>
    <n v="0"/>
    <n v="0"/>
    <n v="0"/>
    <n v="0"/>
    <n v="0"/>
    <n v="0"/>
    <m/>
    <m/>
    <m/>
    <s v="No"/>
    <s v="W663890"/>
    <n v="0"/>
    <m/>
    <s v="H08138"/>
    <m/>
    <m/>
    <s v="GRR62162"/>
  </r>
  <r>
    <x v="1153"/>
    <n v="10000"/>
    <n v="10000"/>
    <d v="2025-04-02T00:00:00"/>
    <s v="502LAUGH"/>
    <s v=" 8:44:50 am"/>
    <s v="3082512U9/U4A04S213"/>
    <m/>
    <x v="2"/>
    <s v="Yes"/>
    <n v="88"/>
    <s v="OKI"/>
    <x v="4"/>
    <s v="PP24"/>
    <s v="HO HON SENG"/>
    <n v="800"/>
    <m/>
    <m/>
    <d v="2025-03-26T00:00:00"/>
    <m/>
    <n v="1"/>
    <n v="800"/>
    <s v="PE"/>
    <n v="107355880001"/>
    <n v="0"/>
    <n v="500"/>
    <n v="300"/>
    <n v="0"/>
    <n v="0"/>
    <n v="0"/>
    <m/>
    <m/>
    <n v="0"/>
    <m/>
    <m/>
    <m/>
    <m/>
    <m/>
    <m/>
    <m/>
    <m/>
    <n v="10735588"/>
    <s v="I09109"/>
    <s v="IKE TECHNOLOGY"/>
    <m/>
    <n v="0"/>
    <n v="0"/>
    <n v="0"/>
    <n v="0"/>
    <n v="0"/>
    <n v="0"/>
    <m/>
    <m/>
    <m/>
    <s v="No"/>
    <s v="W663891"/>
    <n v="0"/>
    <m/>
    <s v="I09109"/>
    <m/>
    <m/>
    <s v="S0361705"/>
  </r>
  <r>
    <x v="1154"/>
    <n v="10000"/>
    <n v="10000"/>
    <d v="2025-04-02T00:00:00"/>
    <s v="502LAUGH"/>
    <s v=" 8:49:04 am"/>
    <s v="3082512U9/U4A04S213"/>
    <m/>
    <x v="2"/>
    <s v="Yes"/>
    <n v="88"/>
    <s v="OKI"/>
    <x v="4"/>
    <s v="PP24"/>
    <s v="HO HON SENG"/>
    <n v="800"/>
    <m/>
    <m/>
    <d v="2025-03-26T00:00:00"/>
    <m/>
    <n v="1"/>
    <n v="800"/>
    <s v="PE"/>
    <n v="107355890001"/>
    <n v="0"/>
    <n v="500"/>
    <n v="300"/>
    <n v="0"/>
    <n v="0"/>
    <n v="0"/>
    <m/>
    <m/>
    <n v="0"/>
    <m/>
    <m/>
    <m/>
    <m/>
    <m/>
    <m/>
    <m/>
    <m/>
    <n v="10735589"/>
    <s v="I09109"/>
    <s v="IKE TECHNOLOGY"/>
    <m/>
    <n v="0"/>
    <n v="0"/>
    <n v="0"/>
    <n v="0"/>
    <n v="0"/>
    <n v="0"/>
    <m/>
    <m/>
    <m/>
    <s v="No"/>
    <s v="W663892"/>
    <n v="0"/>
    <m/>
    <s v="I09109"/>
    <m/>
    <m/>
    <s v="S0361705"/>
  </r>
  <r>
    <x v="1155"/>
    <n v="10000"/>
    <n v="10000"/>
    <d v="2025-04-02T00:00:00"/>
    <s v="502LAUGH"/>
    <s v=" 8:44:50 am"/>
    <s v="3082512U9/U4A04S213"/>
    <m/>
    <x v="2"/>
    <s v="Yes"/>
    <n v="88"/>
    <s v="OKI"/>
    <x v="4"/>
    <s v="PP24"/>
    <s v="HO HON SENG"/>
    <n v="20"/>
    <m/>
    <m/>
    <d v="2025-03-26T00:00:00"/>
    <m/>
    <n v="1"/>
    <n v="20"/>
    <s v="PE"/>
    <n v="107355880001"/>
    <n v="0"/>
    <n v="20"/>
    <n v="0"/>
    <n v="0"/>
    <n v="0"/>
    <n v="0"/>
    <m/>
    <m/>
    <n v="0"/>
    <m/>
    <m/>
    <m/>
    <m/>
    <m/>
    <m/>
    <m/>
    <m/>
    <n v="10735588"/>
    <s v="I09109"/>
    <s v="IKE TECHNOLOGY"/>
    <m/>
    <n v="0"/>
    <n v="0"/>
    <n v="0"/>
    <n v="0"/>
    <n v="0"/>
    <n v="0"/>
    <m/>
    <m/>
    <m/>
    <s v="No"/>
    <s v="W663895"/>
    <n v="0"/>
    <m/>
    <s v="I09109"/>
    <m/>
    <m/>
    <s v="ZSA101778"/>
  </r>
  <r>
    <x v="1156"/>
    <n v="10000"/>
    <n v="10000"/>
    <d v="2025-04-02T00:00:00"/>
    <s v="502LAUGH"/>
    <s v=" 8:49:04 am"/>
    <s v="3082512U9/U4A04S213"/>
    <m/>
    <x v="2"/>
    <s v="Yes"/>
    <n v="88"/>
    <s v="OKI"/>
    <x v="4"/>
    <s v="PP24"/>
    <s v="HO HON SENG"/>
    <n v="20"/>
    <m/>
    <m/>
    <d v="2025-03-26T00:00:00"/>
    <m/>
    <n v="1"/>
    <n v="20"/>
    <s v="PE"/>
    <n v="107355890001"/>
    <n v="0"/>
    <n v="20"/>
    <n v="0"/>
    <n v="0"/>
    <n v="0"/>
    <n v="0"/>
    <m/>
    <m/>
    <n v="0"/>
    <m/>
    <m/>
    <m/>
    <m/>
    <m/>
    <m/>
    <m/>
    <m/>
    <n v="10735589"/>
    <s v="I09109"/>
    <s v="IKE TECHNOLOGY"/>
    <m/>
    <n v="0"/>
    <n v="0"/>
    <n v="0"/>
    <n v="0"/>
    <n v="0"/>
    <n v="0"/>
    <m/>
    <m/>
    <m/>
    <s v="No"/>
    <s v="W663896"/>
    <n v="0"/>
    <m/>
    <s v="I09109"/>
    <m/>
    <m/>
    <s v="ZSA101778"/>
  </r>
  <r>
    <x v="1157"/>
    <n v="10000"/>
    <n v="10000"/>
    <d v="2025-03-28T00:00:00"/>
    <s v="502LAUGH"/>
    <s v=" 1:35:55 pm"/>
    <s v="J00VB8021"/>
    <m/>
    <x v="2"/>
    <s v="Yes"/>
    <n v="72"/>
    <s v="Xeikon 3500"/>
    <x v="4"/>
    <s v="PM17"/>
    <s v="NG SWEE CHEA"/>
    <n v="2000"/>
    <m/>
    <m/>
    <d v="2025-03-26T00:00:00"/>
    <m/>
    <n v="6"/>
    <n v="12000"/>
    <s v="PE"/>
    <n v="83014520001"/>
    <n v="0"/>
    <n v="10000"/>
    <n v="2000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3906"/>
    <n v="0"/>
    <m/>
    <s v="B02083"/>
    <m/>
    <m/>
    <s v="S0361714"/>
  </r>
  <r>
    <x v="1158"/>
    <n v="10000"/>
    <n v="10000"/>
    <d v="2025-03-28T00:00:00"/>
    <s v="502LAUGH"/>
    <s v=" 1:37:29 pm"/>
    <s v="J00T59561"/>
    <m/>
    <x v="2"/>
    <s v="Yes"/>
    <n v="72"/>
    <s v="Xeikon 3500"/>
    <x v="4"/>
    <s v="PM17"/>
    <s v="NG SWEE CHEA"/>
    <n v="14000"/>
    <m/>
    <m/>
    <d v="2025-03-26T00:00:00"/>
    <m/>
    <n v="6"/>
    <n v="84000"/>
    <s v="PE"/>
    <s v="Y000004SGT0001"/>
    <n v="0"/>
    <n v="80000"/>
    <n v="400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3907"/>
    <n v="0"/>
    <m/>
    <s v="B02083"/>
    <m/>
    <m/>
    <s v="S0361714"/>
  </r>
  <r>
    <x v="1100"/>
    <n v="10000"/>
    <n v="20000"/>
    <d v="2025-03-26T00:00:00"/>
    <s v="502LAUGH"/>
    <s v=" 5:16:05 pm"/>
    <s v="J00T59561"/>
    <m/>
    <x v="0"/>
    <s v="Yes"/>
    <n v="71"/>
    <s v="POLLY"/>
    <x v="3"/>
    <s v="PS95"/>
    <s v="LIM CHENG LEONG"/>
    <n v="7500"/>
    <m/>
    <m/>
    <d v="2025-03-26T00:00:00"/>
    <m/>
    <n v="4"/>
    <n v="30000"/>
    <s v="PE"/>
    <s v="Y000005SGT0001"/>
    <n v="0"/>
    <n v="30000"/>
    <n v="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3908"/>
    <n v="0"/>
    <m/>
    <s v="B02083"/>
    <m/>
    <m/>
    <s v="S0361714"/>
  </r>
  <r>
    <x v="1159"/>
    <n v="10000"/>
    <n v="10000"/>
    <d v="2025-03-27T00:00:00"/>
    <s v="502LAUGH"/>
    <s v=" 2:37:26 pm"/>
    <s v="J00VB8021"/>
    <m/>
    <x v="2"/>
    <s v="Yes"/>
    <n v="72"/>
    <s v="Xeikon 3500"/>
    <x v="4"/>
    <s v="PM17"/>
    <s v="NG SWEE CHEA"/>
    <n v="7500"/>
    <m/>
    <m/>
    <d v="2025-03-26T00:00:00"/>
    <m/>
    <n v="6"/>
    <n v="45000"/>
    <s v="PE"/>
    <s v="Y000009SGT0001"/>
    <n v="0"/>
    <n v="40000"/>
    <n v="5000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3909"/>
    <n v="0"/>
    <m/>
    <s v="B02083"/>
    <m/>
    <m/>
    <s v="S0361714"/>
  </r>
  <r>
    <x v="1102"/>
    <n v="10000"/>
    <n v="20000"/>
    <d v="2025-03-26T00:00:00"/>
    <s v="502LAUGH"/>
    <d v="1899-12-30T11:04:21"/>
    <s v="J00T59561"/>
    <m/>
    <x v="0"/>
    <s v="Yes"/>
    <n v="71"/>
    <s v="POLLY"/>
    <x v="3"/>
    <s v="PS95"/>
    <s v="LIM CHENG LEONG"/>
    <n v="2500"/>
    <m/>
    <m/>
    <d v="2025-03-26T00:00:00"/>
    <m/>
    <n v="4"/>
    <n v="10000"/>
    <s v="PE"/>
    <s v="Y000012SGT0001"/>
    <n v="0"/>
    <n v="10000"/>
    <n v="0"/>
    <n v="0"/>
    <n v="0"/>
    <n v="0"/>
    <m/>
    <m/>
    <n v="0"/>
    <m/>
    <m/>
    <m/>
    <m/>
    <m/>
    <m/>
    <m/>
    <m/>
    <s v="Y000012SGT"/>
    <s v="B02083"/>
    <s v="BECTON DICKINSON MEDICAL (S) PTE LTD"/>
    <m/>
    <n v="0"/>
    <n v="0"/>
    <n v="0"/>
    <n v="0"/>
    <n v="0"/>
    <n v="0"/>
    <m/>
    <m/>
    <m/>
    <s v="No"/>
    <s v="W663911"/>
    <n v="0"/>
    <m/>
    <s v="B02083"/>
    <m/>
    <m/>
    <s v="S0361714"/>
  </r>
  <r>
    <x v="1160"/>
    <n v="10000"/>
    <n v="10000"/>
    <d v="2025-03-28T00:00:00"/>
    <s v="502LAUGH"/>
    <s v=" 1:35:55 pm"/>
    <s v="J00VB8021"/>
    <m/>
    <x v="2"/>
    <s v="Yes"/>
    <n v="72"/>
    <s v="Xeikon 3500"/>
    <x v="4"/>
    <s v="PM17"/>
    <s v="NG SWEE CHEA"/>
    <n v="1167"/>
    <m/>
    <m/>
    <d v="2025-03-26T00:00:00"/>
    <m/>
    <n v="6"/>
    <n v="7002"/>
    <s v="PE"/>
    <n v="83014520001"/>
    <n v="0"/>
    <n v="5000"/>
    <n v="2002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3912"/>
    <n v="0"/>
    <m/>
    <s v="B02083"/>
    <m/>
    <m/>
    <s v="S0361716"/>
  </r>
  <r>
    <x v="1161"/>
    <n v="10000"/>
    <n v="10000"/>
    <d v="2025-03-28T00:00:00"/>
    <s v="502LAUGH"/>
    <s v=" 1:43:10 pm"/>
    <s v="J00T59561"/>
    <m/>
    <x v="2"/>
    <s v="Yes"/>
    <n v="72"/>
    <s v="Xeikon 3500"/>
    <x v="4"/>
    <s v="PM17"/>
    <s v="NG SWEE CHEA"/>
    <n v="11000"/>
    <m/>
    <m/>
    <d v="2025-03-26T00:00:00"/>
    <m/>
    <n v="6"/>
    <n v="66000"/>
    <s v="PE"/>
    <s v="Y000004SGT0001"/>
    <n v="0"/>
    <n v="60000"/>
    <n v="600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3913"/>
    <n v="0"/>
    <m/>
    <s v="B02083"/>
    <m/>
    <m/>
    <s v="S0361716"/>
  </r>
  <r>
    <x v="1103"/>
    <n v="10000"/>
    <n v="20000"/>
    <d v="2025-03-26T00:00:00"/>
    <s v="502LAUGH"/>
    <s v=" 5:14:18 pm"/>
    <s v="J00T59561"/>
    <m/>
    <x v="0"/>
    <s v="Yes"/>
    <n v="71"/>
    <s v="POLLY"/>
    <x v="3"/>
    <s v="PS95"/>
    <s v="LIM CHENG LEONG"/>
    <n v="5000"/>
    <m/>
    <m/>
    <d v="2025-03-26T00:00:00"/>
    <m/>
    <n v="4"/>
    <n v="20000"/>
    <s v="PE"/>
    <s v="Y000005SGT0001"/>
    <n v="0"/>
    <n v="20000"/>
    <n v="0"/>
    <n v="0"/>
    <n v="0"/>
    <n v="0"/>
    <m/>
    <m/>
    <n v="0"/>
    <m/>
    <m/>
    <m/>
    <m/>
    <m/>
    <m/>
    <m/>
    <m/>
    <s v="Y000005SGT"/>
    <s v="B02083"/>
    <s v="BECTON DICKINSON MEDICAL (S) PTE LTD"/>
    <m/>
    <n v="0"/>
    <n v="0"/>
    <n v="0"/>
    <n v="0"/>
    <n v="0"/>
    <n v="0"/>
    <m/>
    <m/>
    <m/>
    <s v="No"/>
    <s v="W663914"/>
    <n v="0"/>
    <m/>
    <s v="B02083"/>
    <m/>
    <m/>
    <s v="S0361716"/>
  </r>
  <r>
    <x v="1162"/>
    <n v="10000"/>
    <n v="10000"/>
    <d v="2025-03-27T00:00:00"/>
    <s v="502LAUGH"/>
    <s v=" 2:37:27 pm"/>
    <s v="J00VB8021"/>
    <m/>
    <x v="2"/>
    <s v="Yes"/>
    <n v="72"/>
    <s v="Xeikon 3500"/>
    <x v="4"/>
    <s v="PM17"/>
    <s v="NG SWEE CHEA"/>
    <n v="6000"/>
    <m/>
    <m/>
    <d v="2025-03-26T00:00:00"/>
    <m/>
    <n v="6"/>
    <n v="36000"/>
    <s v="PE"/>
    <s v="Y000009SGT0001"/>
    <n v="0"/>
    <n v="30000"/>
    <n v="6000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3915"/>
    <n v="0"/>
    <m/>
    <s v="B02083"/>
    <m/>
    <m/>
    <s v="S0361716"/>
  </r>
  <r>
    <x v="1163"/>
    <n v="10000"/>
    <n v="10000"/>
    <d v="2025-04-03T00:00:00"/>
    <s v="502LAUGH"/>
    <s v=" 8:40:15 am"/>
    <s v="J00LU70911000/3082509U9"/>
    <m/>
    <x v="2"/>
    <s v="Yes"/>
    <n v="88"/>
    <s v="OKI"/>
    <x v="4"/>
    <s v="PP24"/>
    <s v="HO HON SENG"/>
    <n v="3000"/>
    <m/>
    <m/>
    <d v="2025-03-26T00:00:00"/>
    <m/>
    <n v="1"/>
    <n v="3000"/>
    <s v="PE"/>
    <n v="107431990001"/>
    <n v="0"/>
    <n v="2400"/>
    <n v="600"/>
    <n v="0"/>
    <n v="0"/>
    <n v="0"/>
    <m/>
    <m/>
    <n v="0"/>
    <m/>
    <m/>
    <m/>
    <m/>
    <m/>
    <m/>
    <m/>
    <m/>
    <n v="10743199"/>
    <s v="I09109"/>
    <s v="IKE TECHNOLOGY"/>
    <m/>
    <n v="0"/>
    <n v="0"/>
    <n v="0"/>
    <n v="0"/>
    <n v="0"/>
    <n v="0"/>
    <m/>
    <m/>
    <m/>
    <s v="No"/>
    <s v="W664155"/>
    <n v="0"/>
    <m/>
    <s v="I09109"/>
    <m/>
    <m/>
    <s v="S0361727"/>
  </r>
  <r>
    <x v="1164"/>
    <n v="10000"/>
    <n v="10000"/>
    <d v="2025-04-02T00:00:00"/>
    <s v="502LAUGH"/>
    <d v="1899-12-30T11:25:52"/>
    <s v="J00ML98601525"/>
    <m/>
    <x v="2"/>
    <s v="Yes"/>
    <n v="88"/>
    <s v="OKI"/>
    <x v="4"/>
    <s v="PP24"/>
    <s v="HO HON SENG"/>
    <n v="800"/>
    <m/>
    <m/>
    <d v="2025-03-26T00:00:00"/>
    <m/>
    <n v="1"/>
    <n v="800"/>
    <s v="PE"/>
    <n v="107343730001"/>
    <n v="0"/>
    <n v="500"/>
    <n v="300"/>
    <n v="0"/>
    <n v="0"/>
    <n v="0"/>
    <m/>
    <m/>
    <n v="0"/>
    <m/>
    <m/>
    <m/>
    <m/>
    <m/>
    <m/>
    <m/>
    <m/>
    <n v="10734373"/>
    <s v="I09109"/>
    <s v="IKE TECHNOLOGY"/>
    <m/>
    <n v="0"/>
    <n v="0"/>
    <n v="0"/>
    <n v="0"/>
    <n v="0"/>
    <n v="0"/>
    <m/>
    <m/>
    <m/>
    <s v="No"/>
    <s v="W663922"/>
    <n v="0"/>
    <m/>
    <s v="I09109"/>
    <m/>
    <m/>
    <s v="S0361740"/>
  </r>
  <r>
    <x v="1165"/>
    <n v="10000"/>
    <n v="10000"/>
    <d v="2025-04-02T00:00:00"/>
    <s v="502LAUGH"/>
    <d v="1899-12-30T11:25:52"/>
    <s v="J00ML98601525"/>
    <m/>
    <x v="2"/>
    <s v="Yes"/>
    <n v="88"/>
    <s v="OKI"/>
    <x v="4"/>
    <s v="PP24"/>
    <s v="HO HON SENG"/>
    <n v="20"/>
    <m/>
    <m/>
    <d v="2025-03-26T00:00:00"/>
    <m/>
    <n v="1"/>
    <n v="20"/>
    <s v="PE"/>
    <n v="107343730001"/>
    <n v="0"/>
    <n v="20"/>
    <n v="0"/>
    <n v="0"/>
    <n v="0"/>
    <n v="0"/>
    <m/>
    <m/>
    <n v="0"/>
    <m/>
    <m/>
    <m/>
    <m/>
    <m/>
    <m/>
    <m/>
    <m/>
    <n v="10734373"/>
    <s v="I09109"/>
    <s v="IKE TECHNOLOGY"/>
    <m/>
    <n v="0"/>
    <n v="0"/>
    <n v="0"/>
    <n v="0"/>
    <n v="0"/>
    <n v="0"/>
    <m/>
    <m/>
    <m/>
    <s v="No"/>
    <s v="W663924"/>
    <n v="0"/>
    <m/>
    <s v="I09109"/>
    <m/>
    <m/>
    <s v="ZSA101780"/>
  </r>
  <r>
    <x v="1166"/>
    <n v="10000"/>
    <n v="10000"/>
    <d v="2025-03-27T00:00:00"/>
    <s v="502LAUGH"/>
    <s v=" 8:36:42 am"/>
    <s v="M0BUE5312"/>
    <m/>
    <x v="2"/>
    <s v="Yes"/>
    <n v="26"/>
    <s v="Sanki SKP250 Full Rotary"/>
    <x v="2"/>
    <s v="PS70"/>
    <s v="YEO WOO KEONG"/>
    <n v="4500"/>
    <n v="157.5"/>
    <n v="2.625"/>
    <d v="2025-03-26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081-TH"/>
    <s v="SEAGATE TECHNOLOGY (THAILAND) LTD."/>
    <m/>
    <n v="0"/>
    <n v="0"/>
    <n v="0"/>
    <n v="0"/>
    <n v="0"/>
    <n v="0"/>
    <m/>
    <m/>
    <m/>
    <s v="No"/>
    <s v="W663963"/>
    <n v="0"/>
    <m/>
    <s v="S19081-TH"/>
    <m/>
    <m/>
    <s v="H0064887"/>
  </r>
  <r>
    <x v="916"/>
    <n v="10000"/>
    <n v="20000"/>
    <d v="2025-03-28T00:00:00"/>
    <s v="505KANGHS"/>
    <s v=" 8:33:36 am"/>
    <s v="M0BRZ2280990"/>
    <s v="DC23944"/>
    <x v="0"/>
    <s v="No"/>
    <n v="77"/>
    <s v="Brotech DF330 "/>
    <x v="0"/>
    <s v="PM74"/>
    <s v="YONG CHEE SOON"/>
    <n v="250"/>
    <n v="49.166666666666664"/>
    <n v="0.81944444444444442"/>
    <d v="2025-03-27T00:00:00"/>
    <m/>
    <n v="168"/>
    <n v="42000"/>
    <s v="PE"/>
    <s v="5189-80980001"/>
    <n v="0"/>
    <n v="0"/>
    <n v="0"/>
    <n v="0"/>
    <n v="0"/>
    <n v="0"/>
    <m/>
    <m/>
    <n v="0"/>
    <m/>
    <m/>
    <m/>
    <s v="No"/>
    <n v="0"/>
    <s v="No"/>
    <m/>
    <m/>
    <s v="5189-8098"/>
    <s v="H08031-IMS"/>
    <s v="HP SINGAPORE (PRIVATE) LIMITED"/>
    <m/>
    <n v="0"/>
    <n v="0"/>
    <n v="0"/>
    <n v="0"/>
    <n v="0"/>
    <n v="0"/>
    <m/>
    <m/>
    <m/>
    <s v="No"/>
    <m/>
    <m/>
    <m/>
    <s v="H08031-IMS"/>
    <m/>
    <m/>
    <s v="S0361178"/>
  </r>
  <r>
    <x v="917"/>
    <n v="10000"/>
    <n v="20000"/>
    <d v="2025-03-28T00:00:00"/>
    <s v="502LAUGH"/>
    <s v=" 8:32:44 am"/>
    <s v="M0BRZ2280990"/>
    <s v="FDC30764"/>
    <x v="0"/>
    <s v="No"/>
    <n v="77"/>
    <s v="Brotech DF330 "/>
    <x v="0"/>
    <s v="PM74"/>
    <s v="YONG CHEE SOON"/>
    <n v="140"/>
    <n v="47.333333333333336"/>
    <n v="0.78888888888888897"/>
    <d v="2025-03-27T00:00:00"/>
    <m/>
    <n v="25"/>
    <n v="3500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79"/>
  </r>
  <r>
    <x v="918"/>
    <n v="10000"/>
    <n v="20000"/>
    <d v="2025-03-28T00:00:00"/>
    <s v="505KANGHS"/>
    <s v=" 8:33:36 am"/>
    <s v="M0BRZ2280990"/>
    <s v="DC23944"/>
    <x v="0"/>
    <s v="No"/>
    <n v="77"/>
    <s v="Brotech DF330 "/>
    <x v="0"/>
    <s v="PM74"/>
    <s v="YONG CHEE SOON"/>
    <n v="3167"/>
    <n v="97.783333333333331"/>
    <n v="1.6297222222222223"/>
    <d v="2025-03-27T00:00:00"/>
    <m/>
    <n v="168"/>
    <n v="532056"/>
    <s v="PE"/>
    <s v="5180-22950001"/>
    <n v="0"/>
    <n v="0"/>
    <n v="0"/>
    <n v="0"/>
    <n v="0"/>
    <n v="0"/>
    <m/>
    <m/>
    <n v="0"/>
    <m/>
    <m/>
    <m/>
    <s v="No"/>
    <n v="0"/>
    <s v="No"/>
    <m/>
    <m/>
    <s v="5180-229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80"/>
  </r>
  <r>
    <x v="919"/>
    <n v="10000"/>
    <n v="20000"/>
    <d v="2025-03-28T00:00:00"/>
    <s v="502LAUGH"/>
    <s v=" 8:31:51 am"/>
    <s v="M0BRZ2280990"/>
    <s v="FDC30764"/>
    <x v="0"/>
    <s v="No"/>
    <n v="77"/>
    <s v="Brotech DF330 "/>
    <x v="0"/>
    <s v="PM74"/>
    <s v="YONG CHEE SOON"/>
    <n v="500"/>
    <n v="53.333333333333336"/>
    <n v="0.88888888888888895"/>
    <d v="2025-03-27T00:00:00"/>
    <m/>
    <n v="25"/>
    <n v="1250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1181"/>
  </r>
  <r>
    <x v="1167"/>
    <n v="10000"/>
    <n v="30000"/>
    <d v="2025-03-28T00:00:00"/>
    <s v="502LAUGH"/>
    <s v=" 9:09:55 am"/>
    <s v="M0BSO3780"/>
    <s v="FSC29065A"/>
    <x v="2"/>
    <s v="No"/>
    <n v="94"/>
    <s v="Taiyo"/>
    <x v="2"/>
    <s v="PM09"/>
    <s v="PANG JING FULL"/>
    <n v="8000"/>
    <m/>
    <m/>
    <d v="2025-03-27T00:00:00"/>
    <m/>
    <n v="6"/>
    <n v="48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81"/>
  </r>
  <r>
    <x v="1168"/>
    <n v="10000"/>
    <n v="10000"/>
    <d v="2025-03-28T00:00:00"/>
    <s v="505KANGHS"/>
    <s v=" 8:37:19 am"/>
    <s v="U530352041/501241326"/>
    <s v="SC28391"/>
    <x v="2"/>
    <s v="No"/>
    <n v="32"/>
    <s v="Lintec Intermittent"/>
    <x v="2"/>
    <s v="PM26"/>
    <s v="TAN AIK KEONG"/>
    <n v="5860"/>
    <m/>
    <m/>
    <d v="2025-03-27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378"/>
  </r>
  <r>
    <x v="1169"/>
    <n v="10000"/>
    <n v="10000"/>
    <d v="2025-03-27T00:00:00"/>
    <s v="502LAUGH"/>
    <s v=" 4:47:48 pm"/>
    <s v="2962621-001"/>
    <s v="SC27099"/>
    <x v="2"/>
    <s v="No"/>
    <n v="31"/>
    <s v="Sanki SKP250 Full Rotary"/>
    <x v="2"/>
    <s v="PS19"/>
    <s v="SNG KOK CHENG"/>
    <n v="1300"/>
    <n v="77.5"/>
    <n v="1.2916666666666667"/>
    <d v="2025-03-27T00:00:00"/>
    <m/>
    <n v="1"/>
    <n v="1300"/>
    <s v="PE"/>
    <s v="XTR-140.1623.14-0001"/>
    <n v="0"/>
    <n v="0"/>
    <n v="0"/>
    <n v="0"/>
    <n v="0"/>
    <n v="0"/>
    <m/>
    <m/>
    <n v="0"/>
    <m/>
    <m/>
    <m/>
    <s v="No"/>
    <n v="0"/>
    <s v="No"/>
    <m/>
    <m/>
    <s v="XTR-140.1623.14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1386"/>
  </r>
  <r>
    <x v="1170"/>
    <n v="10000"/>
    <n v="10000"/>
    <d v="2025-03-28T00:00:00"/>
    <s v="502LAUGH"/>
    <s v=" 4:14:03 pm"/>
    <s v="M0BTV6762"/>
    <s v="FSC31228"/>
    <x v="2"/>
    <s v="No"/>
    <n v="65"/>
    <s v="Sanki SDR300"/>
    <x v="3"/>
    <s v="PMJ7"/>
    <s v="FOONG SEL YI"/>
    <n v="22500"/>
    <n v="607.5"/>
    <n v="10.125"/>
    <d v="2025-03-27T00:00:00"/>
    <m/>
    <n v="4"/>
    <n v="9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818"/>
  </r>
  <r>
    <x v="1171"/>
    <n v="10000"/>
    <n v="10000"/>
    <d v="2025-04-04T00:00:00"/>
    <s v="502LAUGH"/>
    <s v=" 4:56:28 pm"/>
    <s v="2962621-001"/>
    <s v="SC27099"/>
    <x v="2"/>
    <s v="No"/>
    <n v="31"/>
    <s v="Sanki SKP250 Full Rotary"/>
    <x v="2"/>
    <s v="PS19"/>
    <s v="SNG KOK CHENG"/>
    <n v="1000"/>
    <n v="70"/>
    <n v="1.1666666666666667"/>
    <d v="2025-03-27T00:00:00"/>
    <m/>
    <n v="1"/>
    <n v="1000"/>
    <s v="PE"/>
    <s v="XTR-140.1623.14-0001"/>
    <n v="0"/>
    <n v="0"/>
    <n v="0"/>
    <n v="0"/>
    <n v="0"/>
    <n v="0"/>
    <m/>
    <m/>
    <n v="0"/>
    <m/>
    <m/>
    <m/>
    <s v="No"/>
    <n v="0"/>
    <s v="No"/>
    <m/>
    <m/>
    <s v="XTR-140.1623.14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1570"/>
  </r>
  <r>
    <x v="1172"/>
    <n v="10000"/>
    <n v="10000"/>
    <d v="2025-03-28T00:00:00"/>
    <s v="505KANGHS"/>
    <s v=" 8:37:19 am"/>
    <s v="U531252077/503011826"/>
    <s v="SC28391"/>
    <x v="2"/>
    <s v="No"/>
    <n v="32"/>
    <s v="Lintec Intermittent"/>
    <x v="2"/>
    <s v="PM26"/>
    <s v="TAN AIK KEONG"/>
    <n v="5860"/>
    <m/>
    <m/>
    <d v="2025-03-27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905"/>
  </r>
  <r>
    <x v="1173"/>
    <n v="10000"/>
    <n v="10000"/>
    <d v="2025-03-28T00:00:00"/>
    <s v="505KANGHS"/>
    <s v=" 8:37:19 am"/>
    <s v="U531252077/503011826"/>
    <s v="SC28391"/>
    <x v="2"/>
    <s v="No"/>
    <n v="32"/>
    <s v="Lintec Intermittent"/>
    <x v="2"/>
    <s v="PM26"/>
    <s v="TAN AIK KEONG"/>
    <n v="5860"/>
    <m/>
    <m/>
    <d v="2025-03-27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906"/>
  </r>
  <r>
    <x v="1174"/>
    <n v="10000"/>
    <n v="10000"/>
    <d v="2025-04-03T00:00:00"/>
    <s v="502LAUGH"/>
    <s v=" 8:32:39 am"/>
    <n v="10656256085"/>
    <s v="FDC31216"/>
    <x v="2"/>
    <s v="No"/>
    <n v="79"/>
    <s v="HP Indigo 6800"/>
    <x v="4"/>
    <s v="PM21"/>
    <s v="LIM JIA FAN"/>
    <n v="110"/>
    <m/>
    <m/>
    <d v="2025-03-27T00:00:00"/>
    <m/>
    <n v="660"/>
    <n v="72600"/>
    <s v="PE"/>
    <s v="1VV01-80003-FT0001"/>
    <n v="0"/>
    <n v="0"/>
    <n v="0"/>
    <n v="0"/>
    <n v="0"/>
    <n v="0"/>
    <m/>
    <m/>
    <n v="0"/>
    <m/>
    <m/>
    <m/>
    <s v="No"/>
    <n v="0"/>
    <s v="No"/>
    <m/>
    <m/>
    <s v="1VV01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948"/>
  </r>
  <r>
    <x v="1175"/>
    <n v="10000"/>
    <n v="10000"/>
    <d v="2025-04-04T00:00:00"/>
    <s v="502LAUGH"/>
    <d v="1899-12-30T11:33:19"/>
    <n v="10656256085"/>
    <s v="FSC31917"/>
    <x v="2"/>
    <s v="No"/>
    <n v="79"/>
    <s v="HP Indigo 6800"/>
    <x v="4"/>
    <s v="PM21"/>
    <s v="LIM JIA FAN"/>
    <n v="305"/>
    <m/>
    <m/>
    <d v="2025-03-27T00:00:00"/>
    <m/>
    <n v="264"/>
    <n v="80520"/>
    <s v="PE"/>
    <s v="7FP39-80002-FT0001"/>
    <n v="0"/>
    <n v="0"/>
    <n v="0"/>
    <n v="0"/>
    <n v="0"/>
    <n v="0"/>
    <m/>
    <m/>
    <n v="0"/>
    <m/>
    <m/>
    <m/>
    <s v="No"/>
    <n v="0"/>
    <s v="No"/>
    <m/>
    <m/>
    <s v="7FP39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953"/>
  </r>
  <r>
    <x v="1176"/>
    <n v="10000"/>
    <n v="10000"/>
    <d v="2025-04-10T00:00:00"/>
    <s v="502LAUGH"/>
    <s v=" 8:33:58 am"/>
    <n v="10656256087"/>
    <s v="FBC30768"/>
    <x v="2"/>
    <s v="No"/>
    <n v="79"/>
    <s v="HP Indigo 6800"/>
    <x v="4"/>
    <s v="PM21"/>
    <s v="LIM JIA FAN"/>
    <n v="570"/>
    <m/>
    <m/>
    <d v="2025-03-27T00:00:00"/>
    <m/>
    <n v="176"/>
    <n v="100320"/>
    <s v="PE"/>
    <s v="C2P09-80007-FT0001"/>
    <n v="0"/>
    <n v="0"/>
    <n v="0"/>
    <n v="0"/>
    <n v="0"/>
    <n v="0"/>
    <m/>
    <m/>
    <n v="0"/>
    <m/>
    <m/>
    <m/>
    <s v="No"/>
    <n v="0"/>
    <s v="No"/>
    <m/>
    <m/>
    <s v="C2P09-8000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961"/>
  </r>
  <r>
    <x v="1177"/>
    <n v="10000"/>
    <n v="10000"/>
    <d v="2025-03-28T00:00:00"/>
    <s v="505KANGHS"/>
    <s v=" 8:39:51 am"/>
    <s v="J00T40070"/>
    <m/>
    <x v="2"/>
    <s v="Yes"/>
    <n v="73"/>
    <s v="Brotech DF330"/>
    <x v="0"/>
    <s v="PM59"/>
    <s v="VOON CHAN PIN"/>
    <n v="13500"/>
    <n v="270"/>
    <n v="4.5"/>
    <d v="2025-03-27T00:00:00"/>
    <m/>
    <n v="8"/>
    <n v="108000"/>
    <s v="PE"/>
    <s v="R001-41074 REV1.0001"/>
    <n v="0"/>
    <n v="108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3536"/>
    <n v="0"/>
    <m/>
    <s v="R18131"/>
    <m/>
    <m/>
    <s v="S0357045"/>
  </r>
  <r>
    <x v="1054"/>
    <n v="10000"/>
    <n v="20000"/>
    <d v="2025-03-27T00:00:00"/>
    <s v="502LAUGH"/>
    <d v="1899-12-30T11:14:13"/>
    <s v="U4815S050/U4606S002/25900818/2339-01"/>
    <m/>
    <x v="0"/>
    <s v="Yes"/>
    <n v="60"/>
    <s v="Fujishiko UDP-5000"/>
    <x v="3"/>
    <s v="PM30"/>
    <s v="OH KIAN YUAN"/>
    <n v="1750"/>
    <n v="80"/>
    <n v="1.3333333333333333"/>
    <d v="2025-03-27T00:00:00"/>
    <m/>
    <n v="8"/>
    <n v="14000"/>
    <s v="PE"/>
    <s v="707806 INDEX4060001"/>
    <n v="0"/>
    <n v="5000"/>
    <n v="9000"/>
    <n v="0"/>
    <n v="0"/>
    <n v="0"/>
    <m/>
    <m/>
    <n v="0"/>
    <m/>
    <m/>
    <m/>
    <m/>
    <m/>
    <m/>
    <m/>
    <m/>
    <s v="707806 INDEX406"/>
    <s v="V22000"/>
    <s v="PT VARTA MICROBATTERY INDONESIA"/>
    <m/>
    <n v="0"/>
    <n v="0"/>
    <n v="0"/>
    <n v="0"/>
    <n v="0"/>
    <n v="0"/>
    <m/>
    <m/>
    <m/>
    <s v="No"/>
    <s v="W663537"/>
    <n v="0"/>
    <m/>
    <s v="V22000"/>
    <m/>
    <m/>
    <s v="S0357110"/>
  </r>
  <r>
    <x v="1178"/>
    <n v="10000"/>
    <n v="10000"/>
    <d v="2025-04-02T00:00:00"/>
    <s v="502LAUGH"/>
    <s v=" 4:28:41 pm"/>
    <s v="JOOWA6862/J00WA7110/J00TP91911525/J00WA6960"/>
    <m/>
    <x v="2"/>
    <s v="Yes"/>
    <n v="86"/>
    <s v="Brotech DF330 "/>
    <x v="0"/>
    <s v="PM45"/>
    <s v="TAY CHIN LIONG"/>
    <n v="49750"/>
    <n v="874.16666666666663"/>
    <n v="14.569444444444445"/>
    <d v="2025-03-27T00:00:00"/>
    <m/>
    <n v="4"/>
    <n v="199000"/>
    <s v="PE"/>
    <s v="Z980 REV11.00001"/>
    <n v="0"/>
    <n v="198606"/>
    <n v="394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4071"/>
    <n v="0"/>
    <m/>
    <s v="R18131"/>
    <m/>
    <m/>
    <s v="S0357431"/>
  </r>
  <r>
    <x v="1179"/>
    <n v="10000"/>
    <n v="10000"/>
    <d v="2025-03-28T00:00:00"/>
    <s v="505KANGHS"/>
    <s v=" 8:39:51 am"/>
    <s v="J00T40070"/>
    <m/>
    <x v="2"/>
    <s v="Yes"/>
    <n v="73"/>
    <s v="Brotech DF330"/>
    <x v="0"/>
    <s v="PM59"/>
    <s v="VOON CHAN PIN"/>
    <n v="22000"/>
    <n v="411.66666666666669"/>
    <n v="6.8611111111111116"/>
    <d v="2025-03-27T00:00:00"/>
    <m/>
    <n v="8"/>
    <n v="176000"/>
    <s v="PE"/>
    <s v="R001-41074 REV1.0001"/>
    <n v="0"/>
    <n v="176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3544"/>
    <n v="0"/>
    <m/>
    <s v="R18131"/>
    <m/>
    <m/>
    <s v="S0357524"/>
  </r>
  <r>
    <x v="1179"/>
    <n v="10000"/>
    <n v="20000"/>
    <d v="2025-03-28T00:00:00"/>
    <s v="505KANGHS"/>
    <s v=" 8:39:51 am"/>
    <s v="J00T40070"/>
    <m/>
    <x v="2"/>
    <s v="Yes"/>
    <n v="73"/>
    <s v="Brotech DF330"/>
    <x v="0"/>
    <s v="PM18"/>
    <s v="LAI CHIN YANG"/>
    <n v="5000"/>
    <m/>
    <m/>
    <d v="2025-03-27T00:00:00"/>
    <m/>
    <n v="8"/>
    <n v="40000"/>
    <s v="PE"/>
    <s v="R001-41074 REV1.0001"/>
    <n v="0"/>
    <n v="40000"/>
    <n v="0"/>
    <n v="0"/>
    <n v="0"/>
    <n v="0"/>
    <m/>
    <m/>
    <n v="0"/>
    <m/>
    <m/>
    <m/>
    <m/>
    <m/>
    <m/>
    <m/>
    <m/>
    <s v="R001-41074 REV1.0"/>
    <s v="R18131"/>
    <s v="RESMED ASIA PTE LTD"/>
    <m/>
    <n v="0"/>
    <n v="0"/>
    <n v="0"/>
    <n v="0"/>
    <n v="0"/>
    <n v="0"/>
    <m/>
    <m/>
    <m/>
    <s v="No"/>
    <s v="W663544"/>
    <n v="0"/>
    <m/>
    <s v="R18131"/>
    <m/>
    <m/>
    <s v="S0357524"/>
  </r>
  <r>
    <x v="1180"/>
    <n v="10000"/>
    <n v="10000"/>
    <d v="2025-03-27T00:00:00"/>
    <s v="502LAUGH"/>
    <s v=" 5:29:03 pm"/>
    <s v="401180825/L4016U8015"/>
    <m/>
    <x v="2"/>
    <s v="Yes"/>
    <n v="61"/>
    <s v="FSK 520"/>
    <x v="2"/>
    <s v="PM68"/>
    <s v="LEE KIM LIANG"/>
    <n v="1000"/>
    <n v="65"/>
    <n v="1.0833333333333333"/>
    <d v="2025-03-27T00:00:00"/>
    <m/>
    <n v="1"/>
    <n v="1000"/>
    <s v="PE"/>
    <s v="XOPA99950-02250001"/>
    <n v="0"/>
    <n v="1000"/>
    <n v="0"/>
    <n v="0"/>
    <n v="0"/>
    <n v="0"/>
    <m/>
    <m/>
    <n v="0"/>
    <m/>
    <m/>
    <m/>
    <m/>
    <m/>
    <m/>
    <m/>
    <m/>
    <s v="XOPA99950-0225"/>
    <s v="S19296"/>
    <s v="SIIX SINGAPORE PTE LTD"/>
    <m/>
    <n v="0"/>
    <n v="0"/>
    <n v="0"/>
    <n v="0"/>
    <n v="0"/>
    <n v="0"/>
    <m/>
    <m/>
    <m/>
    <s v="No"/>
    <s v="W663556"/>
    <n v="0"/>
    <m/>
    <s v="S19296"/>
    <m/>
    <m/>
    <s v="H0064593"/>
  </r>
  <r>
    <x v="1181"/>
    <n v="10000"/>
    <n v="20000"/>
    <d v="2025-04-01T00:00:00"/>
    <s v="502LAUGH"/>
    <s v=" 8:50:07 am"/>
    <s v="1762-012"/>
    <m/>
    <x v="2"/>
    <s v="Yes"/>
    <n v="63"/>
    <s v="SANKI"/>
    <x v="3"/>
    <s v="PM80"/>
    <s v="YAP ZHI PING"/>
    <n v="5000"/>
    <n v="170"/>
    <n v="2.8333333333333335"/>
    <d v="2025-03-27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s v="BELTON INDUSTRIAL ( THAILAND ) LTD"/>
    <m/>
    <n v="0"/>
    <n v="0"/>
    <n v="0"/>
    <n v="0"/>
    <n v="0"/>
    <n v="0"/>
    <m/>
    <m/>
    <m/>
    <s v="No"/>
    <s v="W663565"/>
    <n v="0"/>
    <m/>
    <s v="B02144"/>
    <m/>
    <m/>
    <s v="S0358551"/>
  </r>
  <r>
    <x v="1182"/>
    <n v="10000"/>
    <n v="20000"/>
    <d v="2025-03-27T00:00:00"/>
    <s v="502LAUGH"/>
    <s v=" 2:36:07 pm"/>
    <s v="M0BSO3780"/>
    <m/>
    <x v="2"/>
    <s v="Yes"/>
    <n v="94"/>
    <s v="Taiyo"/>
    <x v="2"/>
    <s v="PM09"/>
    <s v="PANG JING FULL"/>
    <n v="4000"/>
    <m/>
    <m/>
    <d v="2025-03-27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s v="WESTERN DIGITAL STORAGE TECHNOLOGIES"/>
    <m/>
    <n v="0"/>
    <n v="0"/>
    <n v="0"/>
    <n v="0"/>
    <n v="0"/>
    <n v="0"/>
    <m/>
    <m/>
    <m/>
    <s v="No"/>
    <s v="W663634"/>
    <n v="0"/>
    <m/>
    <s v="W23041-TH"/>
    <m/>
    <m/>
    <s v="H0064707"/>
  </r>
  <r>
    <x v="794"/>
    <n v="10000"/>
    <n v="40000"/>
    <d v="2025-03-28T00:00:00"/>
    <s v="502LAUGH"/>
    <s v=" 8:35:45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3636"/>
    <n v="0"/>
    <m/>
    <s v="H08031-JIM-M"/>
    <m/>
    <m/>
    <s v="S0360937"/>
  </r>
  <r>
    <x v="1183"/>
    <n v="10000"/>
    <n v="10000"/>
    <d v="2025-04-01T00:00:00"/>
    <s v="502LAUGH"/>
    <s v=" 8:35:19 am"/>
    <s v="M0BUF4241"/>
    <m/>
    <x v="2"/>
    <s v="Yes"/>
    <n v="29"/>
    <s v="Sanki SKP250 Full Rotary"/>
    <x v="2"/>
    <s v="PS70"/>
    <s v="YEO WOO KEONG"/>
    <n v="24000"/>
    <n v="645"/>
    <n v="10.75"/>
    <d v="2025-03-27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3651"/>
    <n v="0"/>
    <m/>
    <s v="S19081-TH"/>
    <m/>
    <m/>
    <s v="H0064752"/>
  </r>
  <r>
    <x v="1184"/>
    <n v="10000"/>
    <n v="10000"/>
    <d v="2025-03-27T00:00:00"/>
    <s v="502LAUGH"/>
    <s v=" 5:15:21 pm"/>
    <s v="4103023U5"/>
    <m/>
    <x v="2"/>
    <s v="Yes"/>
    <n v="46"/>
    <s v="Sanki 300 Intermittent"/>
    <x v="2"/>
    <s v="PS66"/>
    <s v="SIM ENG KWANG"/>
    <n v="3000"/>
    <n v="120"/>
    <n v="2"/>
    <d v="2025-03-27T00:00:00"/>
    <m/>
    <n v="1"/>
    <n v="3000"/>
    <s v="PE"/>
    <s v="250-6123-000001"/>
    <n v="0"/>
    <n v="3000"/>
    <n v="0"/>
    <n v="0"/>
    <n v="0"/>
    <n v="0"/>
    <m/>
    <m/>
    <n v="0"/>
    <m/>
    <m/>
    <m/>
    <m/>
    <m/>
    <m/>
    <m/>
    <m/>
    <s v="250-6123-00"/>
    <s v="J10025"/>
    <s v="JMS SINGAPORE PTE LTD"/>
    <m/>
    <n v="0"/>
    <n v="0"/>
    <n v="0"/>
    <n v="0"/>
    <n v="0"/>
    <n v="0"/>
    <m/>
    <m/>
    <m/>
    <s v="No"/>
    <s v="W663674"/>
    <n v="0"/>
    <m/>
    <s v="J10025"/>
    <m/>
    <m/>
    <s v="S0361087"/>
  </r>
  <r>
    <x v="1185"/>
    <n v="10000"/>
    <n v="10000"/>
    <d v="2025-03-27T00:00:00"/>
    <s v="502LAUGH"/>
    <s v=" 2:36:07 pm"/>
    <s v="4103023U5"/>
    <m/>
    <x v="2"/>
    <s v="Yes"/>
    <n v="46"/>
    <s v="Sanki 300 Intermittent"/>
    <x v="2"/>
    <s v="PS66"/>
    <s v="SIM ENG KWANG"/>
    <n v="2000"/>
    <n v="95"/>
    <n v="1.5833333333333333"/>
    <d v="2025-03-27T00:00:00"/>
    <m/>
    <n v="1"/>
    <n v="2000"/>
    <s v="PE"/>
    <s v="260-6447-000001"/>
    <n v="0"/>
    <n v="2000"/>
    <n v="0"/>
    <n v="0"/>
    <n v="0"/>
    <n v="0"/>
    <m/>
    <m/>
    <n v="0"/>
    <m/>
    <m/>
    <m/>
    <m/>
    <m/>
    <m/>
    <m/>
    <m/>
    <s v="260-6447-00"/>
    <s v="J10025"/>
    <s v="JMS SINGAPORE PTE LTD"/>
    <m/>
    <n v="0"/>
    <n v="0"/>
    <n v="0"/>
    <n v="0"/>
    <n v="0"/>
    <n v="0"/>
    <m/>
    <m/>
    <m/>
    <s v="No"/>
    <s v="W663677"/>
    <n v="0"/>
    <m/>
    <s v="J10025"/>
    <m/>
    <m/>
    <s v="S0361088"/>
  </r>
  <r>
    <x v="1186"/>
    <n v="10000"/>
    <n v="10000"/>
    <d v="2025-03-27T00:00:00"/>
    <s v="502LAUGH"/>
    <s v=" 2:36:07 pm"/>
    <s v="5011701U5"/>
    <m/>
    <x v="2"/>
    <s v="Yes"/>
    <n v="61"/>
    <s v="FSK 520"/>
    <x v="2"/>
    <s v="PM61"/>
    <s v="HO CHAN LE"/>
    <n v="2000"/>
    <n v="85"/>
    <n v="1.4166666666666667"/>
    <d v="2025-03-27T00:00:00"/>
    <m/>
    <n v="4"/>
    <n v="8000"/>
    <s v="PE"/>
    <s v="260-6604-000001"/>
    <n v="0"/>
    <n v="8000"/>
    <n v="0"/>
    <n v="0"/>
    <n v="0"/>
    <n v="0"/>
    <m/>
    <m/>
    <n v="0"/>
    <m/>
    <m/>
    <m/>
    <m/>
    <m/>
    <m/>
    <m/>
    <m/>
    <s v="260-6604-00"/>
    <s v="J10025"/>
    <s v="JMS SINGAPORE PTE LTD"/>
    <m/>
    <n v="0"/>
    <n v="0"/>
    <n v="0"/>
    <n v="0"/>
    <n v="0"/>
    <n v="0"/>
    <m/>
    <m/>
    <m/>
    <s v="No"/>
    <s v="W663713"/>
    <n v="0"/>
    <m/>
    <s v="J10025"/>
    <m/>
    <m/>
    <s v="S0361175"/>
  </r>
  <r>
    <x v="1187"/>
    <n v="10000"/>
    <n v="10000"/>
    <d v="2025-03-27T00:00:00"/>
    <s v="502LAUGH"/>
    <s v=" 5:43:08 pm"/>
    <s v="5011701U5"/>
    <m/>
    <x v="2"/>
    <s v="Yes"/>
    <n v="61"/>
    <s v="FSK 520"/>
    <x v="2"/>
    <s v="PM61"/>
    <s v="HO CHAN LE"/>
    <n v="2000"/>
    <n v="85"/>
    <n v="1.4166666666666667"/>
    <d v="2025-03-27T00:00:00"/>
    <m/>
    <n v="4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s v="JMS SINGAPORE PTE LTD"/>
    <m/>
    <n v="0"/>
    <n v="0"/>
    <n v="0"/>
    <n v="0"/>
    <n v="0"/>
    <n v="0"/>
    <m/>
    <m/>
    <m/>
    <s v="No"/>
    <s v="W663715"/>
    <n v="0"/>
    <m/>
    <s v="J10025"/>
    <m/>
    <m/>
    <s v="S0361175"/>
  </r>
  <r>
    <x v="1188"/>
    <n v="10000"/>
    <n v="10000"/>
    <d v="2025-03-28T00:00:00"/>
    <s v="502LAUGH"/>
    <s v=" 5:05:22 pm"/>
    <s v="4092605U5A"/>
    <m/>
    <x v="2"/>
    <s v="Yes"/>
    <n v="22"/>
    <s v="FSK B100"/>
    <x v="2"/>
    <s v="PS13"/>
    <s v="YEE CHENG MENG"/>
    <n v="26000"/>
    <n v="565"/>
    <n v="9.4166666666666661"/>
    <d v="2025-03-27T00:00:00"/>
    <m/>
    <n v="1"/>
    <n v="26000"/>
    <s v="PE"/>
    <s v="260-6164-000001"/>
    <n v="0"/>
    <n v="26000"/>
    <n v="0"/>
    <n v="0"/>
    <n v="0"/>
    <n v="0"/>
    <m/>
    <m/>
    <n v="0"/>
    <m/>
    <m/>
    <m/>
    <m/>
    <m/>
    <m/>
    <m/>
    <m/>
    <s v="260-6164-00"/>
    <s v="J10025"/>
    <s v="JMS SINGAPORE PTE LTD"/>
    <m/>
    <n v="0"/>
    <n v="0"/>
    <n v="0"/>
    <n v="0"/>
    <n v="0"/>
    <n v="0"/>
    <m/>
    <m/>
    <m/>
    <s v="No"/>
    <s v="W663719"/>
    <n v="0"/>
    <m/>
    <s v="J10025"/>
    <m/>
    <m/>
    <s v="S0361177"/>
  </r>
  <r>
    <x v="816"/>
    <n v="10000"/>
    <n v="30000"/>
    <d v="2025-03-28T00:00:00"/>
    <s v="502LAUGH"/>
    <s v=" 8:39:45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s v="HP MALAYSIA MANUFACTURING SDN.BHD."/>
    <m/>
    <n v="0"/>
    <n v="0"/>
    <n v="0"/>
    <n v="0"/>
    <n v="0"/>
    <n v="0"/>
    <m/>
    <m/>
    <m/>
    <s v="No"/>
    <s v="W664105"/>
    <n v="0"/>
    <m/>
    <s v="H08031-JIM-M"/>
    <m/>
    <m/>
    <s v="S0361188"/>
  </r>
  <r>
    <x v="817"/>
    <n v="10000"/>
    <n v="30000"/>
    <d v="2025-03-28T00:00:00"/>
    <s v="502LAUGH"/>
    <s v=" 8:36:43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s v="HP MALAYSIA MANUFACTURING SDN.BHD."/>
    <m/>
    <n v="0"/>
    <n v="0"/>
    <n v="0"/>
    <n v="0"/>
    <n v="0"/>
    <n v="0"/>
    <m/>
    <m/>
    <m/>
    <s v="No"/>
    <s v="W663727"/>
    <n v="0"/>
    <m/>
    <s v="H08031-JIM-M"/>
    <m/>
    <m/>
    <s v="S0361190"/>
  </r>
  <r>
    <x v="819"/>
    <n v="10000"/>
    <n v="30000"/>
    <d v="2025-03-28T00:00:00"/>
    <s v="505KANGHS"/>
    <s v=" 8:34:54 am"/>
    <s v="10620258038/10520258040/10620258039"/>
    <m/>
    <x v="1"/>
    <s v="Yes"/>
    <n v="85"/>
    <s v="Luster AOI"/>
    <x v="1"/>
    <s v="QM78"/>
    <s v="WONG SEAU JIN"/>
    <n v="20000"/>
    <m/>
    <m/>
    <d v="2025-03-27T00:00:00"/>
    <m/>
    <n v="11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3728"/>
    <n v="0"/>
    <m/>
    <s v="H08031-JIM-M"/>
    <m/>
    <m/>
    <s v="S0361195"/>
  </r>
  <r>
    <x v="1189"/>
    <n v="10000"/>
    <n v="10000"/>
    <d v="2025-03-27T00:00:00"/>
    <s v="502LAUGH"/>
    <s v=" 1:44:48 pm"/>
    <s v="2217S1/U4417S007"/>
    <m/>
    <x v="2"/>
    <s v="Yes"/>
    <n v="78"/>
    <s v="Baby Sanki"/>
    <x v="2"/>
    <s v="PM84"/>
    <s v="TAN TAI TOH"/>
    <n v="250"/>
    <n v="51.25"/>
    <n v="0.85416666666666663"/>
    <d v="2025-03-27T00:00:00"/>
    <m/>
    <n v="2"/>
    <n v="500"/>
    <s v="PE"/>
    <s v="LAB-1016-000001"/>
    <n v="0"/>
    <n v="500"/>
    <n v="0"/>
    <n v="0"/>
    <n v="0"/>
    <n v="0"/>
    <m/>
    <m/>
    <n v="0"/>
    <m/>
    <m/>
    <m/>
    <m/>
    <m/>
    <m/>
    <m/>
    <m/>
    <s v="LAB-1016-00"/>
    <s v="R18068"/>
    <s v="RFNET TECHNOLOGIES PTE LTD"/>
    <m/>
    <n v="0"/>
    <n v="0"/>
    <n v="0"/>
    <n v="0"/>
    <n v="0"/>
    <n v="0"/>
    <m/>
    <m/>
    <m/>
    <s v="No"/>
    <s v="W663729"/>
    <n v="0"/>
    <m/>
    <s v="R18068"/>
    <m/>
    <m/>
    <s v="S0361210"/>
  </r>
  <r>
    <x v="822"/>
    <n v="10000"/>
    <n v="30000"/>
    <d v="2025-03-28T00:00:00"/>
    <s v="502LAUGH"/>
    <s v=" 8:38:48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CC643-801290001"/>
    <n v="0"/>
    <n v="100000"/>
    <n v="10000"/>
    <n v="0"/>
    <n v="0"/>
    <n v="0"/>
    <m/>
    <m/>
    <n v="0"/>
    <m/>
    <m/>
    <m/>
    <m/>
    <m/>
    <m/>
    <m/>
    <m/>
    <s v="CC643-80129"/>
    <s v="H08031-JIM-M"/>
    <s v="HP MALAYSIA MANUFACTURING SDN.BHD."/>
    <m/>
    <n v="0"/>
    <n v="0"/>
    <n v="0"/>
    <n v="0"/>
    <n v="0"/>
    <n v="0"/>
    <m/>
    <m/>
    <m/>
    <s v="No"/>
    <s v="W663732"/>
    <n v="0"/>
    <m/>
    <s v="H08031-JIM-M"/>
    <m/>
    <m/>
    <s v="S0361214"/>
  </r>
  <r>
    <x v="1064"/>
    <n v="10000"/>
    <n v="20000"/>
    <d v="2025-03-28T00:00:00"/>
    <s v="505KANGHS"/>
    <s v=" 8:38:09 am"/>
    <s v="SG-5508106-01"/>
    <m/>
    <x v="0"/>
    <s v="Yes"/>
    <n v="60"/>
    <s v="Fujishiko UDP-5000"/>
    <x v="3"/>
    <s v="PM30"/>
    <s v="OH KIAN YUAN"/>
    <n v="14000"/>
    <n v="325"/>
    <n v="5.416666666666667"/>
    <d v="2025-03-27T00:00:00"/>
    <m/>
    <n v="1"/>
    <n v="14000"/>
    <s v="PE"/>
    <s v="TAK25PLW104C0001"/>
    <n v="0"/>
    <n v="10000"/>
    <n v="4000"/>
    <n v="0"/>
    <n v="0"/>
    <n v="0"/>
    <m/>
    <m/>
    <n v="0"/>
    <m/>
    <m/>
    <m/>
    <m/>
    <m/>
    <m/>
    <m/>
    <m/>
    <s v="TAK25PLW104C"/>
    <s v="T20335"/>
    <s v="TAKEIKI PTE LTD"/>
    <m/>
    <n v="0"/>
    <n v="0"/>
    <n v="0"/>
    <n v="0"/>
    <n v="0"/>
    <n v="0"/>
    <m/>
    <m/>
    <m/>
    <s v="No"/>
    <s v="W663733"/>
    <n v="0"/>
    <m/>
    <s v="T20335"/>
    <m/>
    <m/>
    <s v="S0361246"/>
  </r>
  <r>
    <x v="1190"/>
    <n v="10000"/>
    <n v="10000"/>
    <d v="2025-03-28T00:00:00"/>
    <s v="502LAUGH"/>
    <s v=" 5:25:13 pm"/>
    <s v="J00VB8021"/>
    <m/>
    <x v="2"/>
    <s v="Yes"/>
    <n v="72"/>
    <s v="Xeikon 3500"/>
    <x v="4"/>
    <s v="PM17"/>
    <s v="NG SWEE CHEA"/>
    <n v="1750"/>
    <m/>
    <m/>
    <d v="2025-03-27T00:00:00"/>
    <m/>
    <n v="4"/>
    <n v="7000"/>
    <s v="PE"/>
    <n v="83615110001"/>
    <n v="0"/>
    <n v="5000"/>
    <n v="2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3734"/>
    <n v="0"/>
    <m/>
    <s v="B02083"/>
    <m/>
    <m/>
    <s v="S0361249"/>
  </r>
  <r>
    <x v="1191"/>
    <n v="10000"/>
    <n v="10000"/>
    <d v="2025-03-28T00:00:00"/>
    <s v="502LAUGH"/>
    <s v=" 5:26:40 pm"/>
    <s v="J00VB8021"/>
    <m/>
    <x v="2"/>
    <s v="Yes"/>
    <n v="72"/>
    <s v="Xeikon 3500"/>
    <x v="4"/>
    <s v="PM17"/>
    <s v="NG SWEE CHEA"/>
    <n v="2000"/>
    <m/>
    <m/>
    <d v="2025-03-27T00:00:00"/>
    <m/>
    <n v="4"/>
    <n v="8000"/>
    <s v="PE"/>
    <n v="83615230001"/>
    <n v="0"/>
    <n v="6000"/>
    <n v="2000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3735"/>
    <n v="0"/>
    <m/>
    <s v="B02083"/>
    <m/>
    <m/>
    <s v="S0361249"/>
  </r>
  <r>
    <x v="1192"/>
    <n v="10000"/>
    <n v="10000"/>
    <d v="2025-04-01T00:00:00"/>
    <s v="502LAUGH"/>
    <s v=" 8:37:33 am"/>
    <s v="J00VB8021"/>
    <m/>
    <x v="2"/>
    <s v="Yes"/>
    <n v="72"/>
    <s v="Xeikon 3500"/>
    <x v="4"/>
    <s v="PM17"/>
    <s v="NG SWEE CHEA"/>
    <n v="4500"/>
    <m/>
    <m/>
    <d v="2025-03-27T00:00:00"/>
    <m/>
    <n v="4"/>
    <n v="18000"/>
    <s v="PE"/>
    <n v="83615250001"/>
    <n v="0"/>
    <n v="15000"/>
    <n v="3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736"/>
    <n v="0"/>
    <m/>
    <s v="B02083"/>
    <m/>
    <m/>
    <s v="S0361249"/>
  </r>
  <r>
    <x v="1193"/>
    <n v="10000"/>
    <n v="10000"/>
    <d v="2025-03-28T00:00:00"/>
    <s v="502LAUGH"/>
    <s v=" 4:12:58 pm"/>
    <s v="J00VB8021"/>
    <m/>
    <x v="2"/>
    <s v="Yes"/>
    <n v="72"/>
    <s v="Xeikon 3500"/>
    <x v="4"/>
    <s v="PM17"/>
    <s v="NG SWEE CHEA"/>
    <n v="1750"/>
    <m/>
    <m/>
    <d v="2025-03-27T00:00:00"/>
    <m/>
    <n v="4"/>
    <n v="7000"/>
    <s v="PE"/>
    <n v="5000443900001"/>
    <n v="0"/>
    <n v="5000"/>
    <n v="2000"/>
    <n v="0"/>
    <n v="0"/>
    <n v="0"/>
    <m/>
    <m/>
    <n v="0"/>
    <m/>
    <m/>
    <m/>
    <m/>
    <m/>
    <m/>
    <m/>
    <m/>
    <n v="500044390"/>
    <s v="B02083"/>
    <s v="BECTON DICKINSON MEDICAL (S) PTE LTD"/>
    <m/>
    <n v="0"/>
    <n v="0"/>
    <n v="0"/>
    <n v="0"/>
    <n v="0"/>
    <n v="0"/>
    <m/>
    <m/>
    <m/>
    <s v="No"/>
    <s v="W663737"/>
    <n v="0"/>
    <m/>
    <s v="B02083"/>
    <m/>
    <m/>
    <s v="S0361249"/>
  </r>
  <r>
    <x v="1194"/>
    <n v="10000"/>
    <n v="10000"/>
    <d v="2025-04-01T00:00:00"/>
    <s v="502LAUGH"/>
    <s v=" 8:34:01 am"/>
    <s v="J00VB8021"/>
    <m/>
    <x v="2"/>
    <s v="Yes"/>
    <n v="72"/>
    <s v="Xeikon 3500"/>
    <x v="4"/>
    <s v="PM17"/>
    <s v="NG SWEE CHEA"/>
    <n v="4250"/>
    <m/>
    <m/>
    <d v="2025-03-27T00:00:00"/>
    <m/>
    <n v="4"/>
    <n v="17000"/>
    <s v="PE"/>
    <n v="5000444460001"/>
    <n v="0"/>
    <n v="15000"/>
    <n v="20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738"/>
    <n v="0"/>
    <m/>
    <s v="B02083"/>
    <m/>
    <m/>
    <s v="S0361249"/>
  </r>
  <r>
    <x v="1195"/>
    <n v="10000"/>
    <n v="10000"/>
    <d v="2025-03-28T00:00:00"/>
    <s v="502LAUGH"/>
    <s v=" 4:33:05 pm"/>
    <s v="J00VB8021"/>
    <m/>
    <x v="2"/>
    <s v="Yes"/>
    <n v="72"/>
    <s v="Xeikon 3500"/>
    <x v="4"/>
    <s v="PM17"/>
    <s v="NG SWEE CHEA"/>
    <n v="5750"/>
    <m/>
    <m/>
    <d v="2025-03-27T00:00:00"/>
    <m/>
    <n v="4"/>
    <n v="23000"/>
    <s v="PE"/>
    <n v="5000514810001"/>
    <n v="0"/>
    <n v="20000"/>
    <n v="300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3739"/>
    <n v="0"/>
    <m/>
    <s v="B02083"/>
    <m/>
    <m/>
    <s v="S0361249"/>
  </r>
  <r>
    <x v="1196"/>
    <n v="10000"/>
    <n v="10000"/>
    <d v="2025-03-28T00:00:00"/>
    <s v="502LAUGH"/>
    <d v="1899-12-30T11:34:21"/>
    <s v="J00VB8021"/>
    <m/>
    <x v="2"/>
    <s v="Yes"/>
    <n v="72"/>
    <s v="Xeikon 3500"/>
    <x v="4"/>
    <s v="PMJ4"/>
    <s v="LEE JUN HONG"/>
    <n v="1750"/>
    <m/>
    <m/>
    <d v="2025-03-27T00:00:00"/>
    <m/>
    <n v="4"/>
    <n v="7000"/>
    <s v="PE"/>
    <n v="5000435310001"/>
    <n v="0"/>
    <n v="5000"/>
    <n v="2000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3740"/>
    <n v="0"/>
    <m/>
    <s v="B02083"/>
    <m/>
    <m/>
    <s v="S0361250"/>
  </r>
  <r>
    <x v="1197"/>
    <n v="10000"/>
    <n v="10000"/>
    <d v="2025-03-28T00:00:00"/>
    <s v="502LAUGH"/>
    <d v="1899-12-30T11:34:21"/>
    <s v="J00VB8021"/>
    <m/>
    <x v="2"/>
    <s v="Yes"/>
    <n v="72"/>
    <s v="Xeikon 3500"/>
    <x v="4"/>
    <s v="PMJ4"/>
    <s v="LEE JUN HONG"/>
    <n v="1750"/>
    <m/>
    <m/>
    <d v="2025-03-27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3742"/>
    <n v="0"/>
    <m/>
    <s v="B02083"/>
    <m/>
    <m/>
    <s v="S0361250"/>
  </r>
  <r>
    <x v="825"/>
    <n v="10000"/>
    <n v="30000"/>
    <d v="2025-03-28T00:00:00"/>
    <s v="502LAUGH"/>
    <s v=" 8:34:28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4117"/>
    <n v="0"/>
    <m/>
    <s v="H08031-JIM-M"/>
    <m/>
    <m/>
    <s v="S0361290"/>
  </r>
  <r>
    <x v="826"/>
    <n v="10000"/>
    <n v="30000"/>
    <d v="2025-03-28T00:00:00"/>
    <s v="502LAUGH"/>
    <s v=" 8:37:45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s v="HP MALAYSIA MANUFACTURING SDN.BHD."/>
    <m/>
    <n v="0"/>
    <n v="0"/>
    <n v="0"/>
    <n v="0"/>
    <n v="0"/>
    <n v="0"/>
    <m/>
    <m/>
    <m/>
    <s v="No"/>
    <s v="W663757"/>
    <n v="0"/>
    <m/>
    <s v="H08031-JIM-M"/>
    <m/>
    <m/>
    <s v="S0361291"/>
  </r>
  <r>
    <x v="1198"/>
    <n v="10000"/>
    <n v="10000"/>
    <d v="2025-03-27T00:00:00"/>
    <s v="502LAUGH"/>
    <d v="1899-12-30T11:13:36"/>
    <s v="M0BSO7380"/>
    <m/>
    <x v="2"/>
    <s v="Yes"/>
    <n v="94"/>
    <s v="Taiyo"/>
    <x v="2"/>
    <s v="PM09"/>
    <s v="PANG JING FULL"/>
    <n v="167"/>
    <m/>
    <m/>
    <d v="2025-03-27T00:00:00"/>
    <m/>
    <n v="6"/>
    <n v="1002"/>
    <s v="PE"/>
    <s v="L001-773057-00000001"/>
    <n v="0"/>
    <n v="1000"/>
    <n v="2"/>
    <n v="0"/>
    <n v="0"/>
    <n v="0"/>
    <m/>
    <m/>
    <n v="0"/>
    <m/>
    <m/>
    <m/>
    <m/>
    <m/>
    <m/>
    <m/>
    <m/>
    <s v="L001-773057-000001CM"/>
    <s v="X24001-WD-SUZHOU"/>
    <s v="TELEPLAN TECHNOLOGIES (SUZHOU) CO., LTD"/>
    <m/>
    <n v="0"/>
    <n v="0"/>
    <n v="0"/>
    <n v="0"/>
    <n v="0"/>
    <n v="0"/>
    <m/>
    <m/>
    <m/>
    <s v="No"/>
    <s v="W663763"/>
    <n v="0"/>
    <m/>
    <s v="X24001-WD-SUZHOU"/>
    <m/>
    <m/>
    <s v="S0361288"/>
  </r>
  <r>
    <x v="1199"/>
    <n v="10000"/>
    <n v="10000"/>
    <d v="2025-03-28T00:00:00"/>
    <s v="502LAUGH"/>
    <d v="1899-12-30T11:02:15"/>
    <s v="3830U7060/L4501U8011"/>
    <m/>
    <x v="2"/>
    <s v="Yes"/>
    <n v="61"/>
    <s v="FSK 520"/>
    <x v="2"/>
    <s v="PM68"/>
    <s v="LEE KIM LIANG"/>
    <n v="1500"/>
    <n v="75"/>
    <n v="1.25"/>
    <d v="2025-03-27T00:00:00"/>
    <m/>
    <n v="2"/>
    <n v="3000"/>
    <s v="PE"/>
    <n v="701534290001"/>
    <n v="0"/>
    <n v="3000"/>
    <n v="0"/>
    <n v="0"/>
    <n v="0"/>
    <n v="0"/>
    <m/>
    <m/>
    <n v="0"/>
    <m/>
    <m/>
    <m/>
    <m/>
    <m/>
    <m/>
    <m/>
    <m/>
    <n v="70153429"/>
    <s v="P16186"/>
    <s v="PEPPERL+FUCHS ASIA PTE. LTD"/>
    <m/>
    <n v="0"/>
    <n v="0"/>
    <n v="0"/>
    <n v="0"/>
    <n v="0"/>
    <n v="0"/>
    <m/>
    <m/>
    <m/>
    <s v="No"/>
    <s v="W663773"/>
    <n v="0"/>
    <m/>
    <s v="P16186"/>
    <m/>
    <m/>
    <s v="S0361353"/>
  </r>
  <r>
    <x v="852"/>
    <n v="10000"/>
    <n v="30000"/>
    <d v="2025-03-28T00:00:00"/>
    <s v="502LAUGH"/>
    <s v=" 8:43:08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3816"/>
    <n v="0"/>
    <m/>
    <s v="H08031-JIM-M"/>
    <m/>
    <m/>
    <s v="S0361412"/>
  </r>
  <r>
    <x v="853"/>
    <n v="10000"/>
    <n v="30000"/>
    <d v="2025-03-28T00:00:00"/>
    <s v="502LAUGH"/>
    <s v=" 8:40:54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4133"/>
    <n v="0"/>
    <m/>
    <s v="H08031-JIM-M"/>
    <m/>
    <m/>
    <s v="S0361415"/>
  </r>
  <r>
    <x v="854"/>
    <n v="10000"/>
    <n v="30000"/>
    <d v="2025-03-28T00:00:00"/>
    <s v="502LAUGH"/>
    <s v=" 8:41:49 am"/>
    <s v="10620258038/10620258040/10620258039"/>
    <m/>
    <x v="1"/>
    <s v="Yes"/>
    <n v="85"/>
    <s v="Luster AOI"/>
    <x v="1"/>
    <s v="QM78"/>
    <s v="WONG SEAU JIN"/>
    <n v="10000"/>
    <m/>
    <m/>
    <d v="2025-03-27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3817"/>
    <n v="0"/>
    <m/>
    <s v="H08031-JIM-M"/>
    <m/>
    <m/>
    <s v="S0361416"/>
  </r>
  <r>
    <x v="1200"/>
    <n v="10000"/>
    <n v="20000"/>
    <d v="2025-04-01T00:00:00"/>
    <s v="502LAUGH"/>
    <s v=" 8:50:07 am"/>
    <s v="E190912129"/>
    <m/>
    <x v="2"/>
    <s v="Yes"/>
    <n v="63"/>
    <s v="SANKI"/>
    <x v="3"/>
    <s v="PM80"/>
    <s v="YAP ZHI PING"/>
    <n v="6667"/>
    <n v="211.67500000000001"/>
    <n v="3.527916666666667"/>
    <d v="2025-03-27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63840"/>
    <n v="0"/>
    <m/>
    <s v="S19314"/>
    <m/>
    <m/>
    <s v="H0064854"/>
  </r>
  <r>
    <x v="1201"/>
    <n v="10000"/>
    <n v="10000"/>
    <d v="2025-03-28T00:00:00"/>
    <s v="502LAUGH"/>
    <s v=" 9:13:04 am"/>
    <s v="M0BUG7282"/>
    <m/>
    <x v="2"/>
    <s v="Yes"/>
    <n v="63"/>
    <s v="SANKI"/>
    <x v="3"/>
    <s v="PM80"/>
    <s v="YAP ZHI PING"/>
    <n v="4000"/>
    <n v="145"/>
    <n v="2.4166666666666665"/>
    <d v="2025-03-27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3864"/>
    <n v="0"/>
    <m/>
    <s v="S19081-TH"/>
    <m/>
    <m/>
    <s v="H0064858"/>
  </r>
  <r>
    <x v="1202"/>
    <n v="10000"/>
    <n v="10000"/>
    <d v="2025-03-28T00:00:00"/>
    <s v="502LAUGH"/>
    <s v=" 1:24:19 pm"/>
    <s v="J00X14971"/>
    <m/>
    <x v="2"/>
    <s v="Yes"/>
    <n v="79"/>
    <s v="HP Indigo 6800"/>
    <x v="4"/>
    <s v="PM16"/>
    <s v="TEO KAH JUN"/>
    <n v="36"/>
    <n v="31.8"/>
    <n v="0.53"/>
    <d v="2025-03-27T00:00:00"/>
    <m/>
    <n v="1"/>
    <n v="36"/>
    <s v="PE"/>
    <s v="COLOR TOLERANCE0016"/>
    <n v="0"/>
    <n v="36"/>
    <n v="0"/>
    <n v="0"/>
    <n v="0"/>
    <n v="0"/>
    <m/>
    <m/>
    <n v="0"/>
    <m/>
    <m/>
    <m/>
    <m/>
    <m/>
    <m/>
    <m/>
    <m/>
    <s v="COLOR TOLERANCE"/>
    <s v="G07042"/>
    <s v="GES (SINGAPORE) PTE LTD"/>
    <m/>
    <n v="0"/>
    <n v="0"/>
    <n v="0"/>
    <n v="0"/>
    <n v="0"/>
    <n v="0"/>
    <m/>
    <m/>
    <m/>
    <s v="No"/>
    <s v="W663872"/>
    <n v="0"/>
    <m/>
    <s v="G07042"/>
    <m/>
    <m/>
    <s v="ZSA101776"/>
  </r>
  <r>
    <x v="1203"/>
    <n v="10000"/>
    <n v="20000"/>
    <d v="2025-03-28T00:00:00"/>
    <s v="502LAUGH"/>
    <s v=" 5:54:14 pm"/>
    <s v="J00X14971"/>
    <m/>
    <x v="2"/>
    <s v="Yes"/>
    <n v="79"/>
    <s v="HP Indigo 6800"/>
    <x v="4"/>
    <s v="PM16"/>
    <s v="TEO KAH JUN"/>
    <n v="917"/>
    <n v="75.849999999999994"/>
    <n v="1.2641666666666667"/>
    <d v="2025-03-27T00:00:00"/>
    <m/>
    <n v="120"/>
    <n v="110040"/>
    <s v="PE"/>
    <s v="T8-S-309717-R0001"/>
    <n v="0"/>
    <n v="100000"/>
    <n v="1004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888"/>
    <n v="0"/>
    <m/>
    <s v="G07042"/>
    <m/>
    <m/>
    <s v="S0361697"/>
  </r>
  <r>
    <x v="1204"/>
    <n v="10000"/>
    <n v="10000"/>
    <d v="2025-03-28T00:00:00"/>
    <s v="502LAUGH"/>
    <s v=" 1:08:19 pm"/>
    <s v="J00X14971"/>
    <m/>
    <x v="2"/>
    <s v="Yes"/>
    <n v="79"/>
    <s v="HP Indigo 6800"/>
    <x v="4"/>
    <s v="PM16"/>
    <s v="TEO KAH JUN"/>
    <n v="575"/>
    <n v="58.75"/>
    <n v="0.97916666666666663"/>
    <d v="2025-03-27T00:00:00"/>
    <m/>
    <n v="200"/>
    <n v="115000"/>
    <s v="PE"/>
    <s v="T8-S-309718-R0001"/>
    <n v="0"/>
    <n v="100000"/>
    <n v="1500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889"/>
    <n v="0"/>
    <m/>
    <s v="G07042"/>
    <m/>
    <m/>
    <s v="S0361697"/>
  </r>
  <r>
    <x v="1158"/>
    <n v="10000"/>
    <n v="20000"/>
    <d v="2025-03-28T00:00:00"/>
    <s v="502LAUGH"/>
    <s v=" 1:37:29 pm"/>
    <s v="J00T59561"/>
    <m/>
    <x v="0"/>
    <s v="Yes"/>
    <n v="71"/>
    <s v="POLLY"/>
    <x v="3"/>
    <s v="PS95"/>
    <s v="LIM CHENG LEONG"/>
    <n v="13334"/>
    <m/>
    <m/>
    <d v="2025-03-27T00:00:00"/>
    <m/>
    <n v="6"/>
    <n v="80004"/>
    <s v="PE"/>
    <s v="Y000004SGT0001"/>
    <n v="0"/>
    <n v="80000"/>
    <n v="4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3907"/>
    <n v="0"/>
    <m/>
    <s v="B02083"/>
    <m/>
    <m/>
    <s v="S0361714"/>
  </r>
  <r>
    <x v="1159"/>
    <n v="10000"/>
    <n v="20000"/>
    <d v="2025-03-27T00:00:00"/>
    <s v="502LAUGH"/>
    <s v=" 2:37:27 pm"/>
    <s v="J00VB8021"/>
    <m/>
    <x v="0"/>
    <s v="Yes"/>
    <n v="71"/>
    <s v="POLLY"/>
    <x v="3"/>
    <s v="PS95"/>
    <s v="LIM CHENG LEONG"/>
    <n v="6667"/>
    <m/>
    <m/>
    <d v="2025-03-27T00:00:00"/>
    <m/>
    <n v="6"/>
    <n v="40002"/>
    <s v="PE"/>
    <s v="Y000009SGT0001"/>
    <n v="0"/>
    <n v="40000"/>
    <n v="2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3909"/>
    <n v="0"/>
    <m/>
    <s v="B02083"/>
    <m/>
    <m/>
    <s v="S0361714"/>
  </r>
  <r>
    <x v="1161"/>
    <n v="10000"/>
    <n v="20000"/>
    <d v="2025-03-28T00:00:00"/>
    <s v="502LAUGH"/>
    <s v=" 1:43:10 pm"/>
    <s v="J00T59561"/>
    <m/>
    <x v="0"/>
    <s v="Yes"/>
    <n v="71"/>
    <s v="POLLY"/>
    <x v="3"/>
    <s v="PS95"/>
    <s v="LIM CHENG LEONG"/>
    <n v="10000"/>
    <m/>
    <m/>
    <d v="2025-03-27T00:00:00"/>
    <m/>
    <n v="6"/>
    <n v="60000"/>
    <s v="PE"/>
    <s v="Y000004SGT0001"/>
    <n v="0"/>
    <n v="60000"/>
    <n v="0"/>
    <n v="0"/>
    <n v="0"/>
    <n v="0"/>
    <m/>
    <m/>
    <n v="0"/>
    <m/>
    <m/>
    <m/>
    <m/>
    <m/>
    <m/>
    <m/>
    <m/>
    <s v="Y000004SGT"/>
    <s v="B02083"/>
    <s v="BECTON DICKINSON MEDICAL (S) PTE LTD"/>
    <m/>
    <n v="0"/>
    <n v="0"/>
    <n v="0"/>
    <n v="0"/>
    <n v="0"/>
    <n v="0"/>
    <m/>
    <m/>
    <m/>
    <s v="No"/>
    <s v="W663913"/>
    <n v="0"/>
    <m/>
    <s v="B02083"/>
    <m/>
    <m/>
    <s v="S0361716"/>
  </r>
  <r>
    <x v="1162"/>
    <n v="10000"/>
    <n v="20000"/>
    <d v="2025-03-27T00:00:00"/>
    <s v="502LAUGH"/>
    <s v=" 2:37:27 pm"/>
    <s v="J00VB8021"/>
    <m/>
    <x v="0"/>
    <s v="Yes"/>
    <n v="71"/>
    <s v="POLLY"/>
    <x v="3"/>
    <s v="PS95"/>
    <s v="LIM CHENG LEONG"/>
    <n v="5000"/>
    <m/>
    <m/>
    <d v="2025-03-27T00:00:00"/>
    <m/>
    <n v="6"/>
    <n v="30000"/>
    <s v="PE"/>
    <s v="Y000009SGT0001"/>
    <n v="0"/>
    <n v="30000"/>
    <n v="0"/>
    <n v="0"/>
    <n v="0"/>
    <n v="0"/>
    <m/>
    <m/>
    <n v="0"/>
    <m/>
    <m/>
    <m/>
    <m/>
    <m/>
    <m/>
    <m/>
    <m/>
    <s v="Y000009SGT"/>
    <s v="B02083"/>
    <s v="BECTON DICKINSON MEDICAL (S) PTE LTD"/>
    <m/>
    <n v="0"/>
    <n v="0"/>
    <n v="0"/>
    <n v="0"/>
    <n v="0"/>
    <n v="0"/>
    <m/>
    <m/>
    <m/>
    <s v="No"/>
    <s v="W663915"/>
    <n v="0"/>
    <m/>
    <s v="B02083"/>
    <m/>
    <m/>
    <s v="S0361716"/>
  </r>
  <r>
    <x v="1205"/>
    <n v="10000"/>
    <n v="10000"/>
    <d v="2025-04-02T00:00:00"/>
    <s v="502LAUGH"/>
    <d v="1899-12-30T11:28:38"/>
    <s v="J00ML98601525"/>
    <m/>
    <x v="2"/>
    <s v="Yes"/>
    <n v="88"/>
    <s v="OKI"/>
    <x v="4"/>
    <s v="PP24"/>
    <s v="HO HON SENG"/>
    <n v="800"/>
    <m/>
    <m/>
    <d v="2025-03-27T00:00:00"/>
    <m/>
    <n v="1"/>
    <n v="800"/>
    <s v="PE"/>
    <n v="107343750001"/>
    <n v="0"/>
    <n v="500"/>
    <n v="300"/>
    <n v="0"/>
    <n v="0"/>
    <n v="0"/>
    <m/>
    <m/>
    <n v="0"/>
    <m/>
    <m/>
    <m/>
    <m/>
    <m/>
    <m/>
    <m/>
    <m/>
    <n v="10734375"/>
    <s v="I09109"/>
    <s v="IKE TECHNOLOGY"/>
    <m/>
    <n v="0"/>
    <n v="0"/>
    <n v="0"/>
    <n v="0"/>
    <n v="0"/>
    <n v="0"/>
    <m/>
    <m/>
    <m/>
    <s v="No"/>
    <s v="W663923"/>
    <n v="0"/>
    <m/>
    <s v="I09109"/>
    <m/>
    <m/>
    <s v="S0361740"/>
  </r>
  <r>
    <x v="1206"/>
    <n v="10000"/>
    <n v="10000"/>
    <d v="2025-04-02T00:00:00"/>
    <s v="502LAUGH"/>
    <d v="1899-12-30T11:27:59"/>
    <s v="J00ML98601525"/>
    <m/>
    <x v="2"/>
    <s v="Yes"/>
    <n v="88"/>
    <s v="OKI"/>
    <x v="4"/>
    <s v="PP24"/>
    <s v="HO HON SENG"/>
    <n v="20"/>
    <m/>
    <m/>
    <d v="2025-03-27T00:00:00"/>
    <m/>
    <n v="1"/>
    <n v="20"/>
    <s v="PE"/>
    <n v="107343750001"/>
    <n v="0"/>
    <n v="20"/>
    <n v="0"/>
    <n v="0"/>
    <n v="0"/>
    <n v="0"/>
    <m/>
    <m/>
    <n v="0"/>
    <m/>
    <m/>
    <m/>
    <m/>
    <m/>
    <m/>
    <m/>
    <m/>
    <n v="10734375"/>
    <s v="I09109"/>
    <s v="IKE TECHNOLOGY"/>
    <m/>
    <n v="0"/>
    <n v="0"/>
    <n v="0"/>
    <n v="0"/>
    <n v="0"/>
    <n v="0"/>
    <m/>
    <m/>
    <m/>
    <s v="No"/>
    <s v="W663925"/>
    <n v="0"/>
    <m/>
    <s v="I09109"/>
    <m/>
    <m/>
    <s v="ZSA101780"/>
  </r>
  <r>
    <x v="1207"/>
    <n v="10000"/>
    <n v="10000"/>
    <d v="2025-03-28T00:00:00"/>
    <s v="502LAUGH"/>
    <s v=" 5:54:14 pm"/>
    <s v="J00X14971"/>
    <m/>
    <x v="2"/>
    <s v="Yes"/>
    <n v="79"/>
    <s v="HP Indigo 6800"/>
    <x v="4"/>
    <s v="PM16"/>
    <s v="TEO KAH JUN"/>
    <n v="917"/>
    <n v="75.849999999999994"/>
    <n v="1.2641666666666667"/>
    <d v="2025-03-27T00:00:00"/>
    <m/>
    <n v="120"/>
    <n v="110040"/>
    <s v="PE"/>
    <s v="T8-S-309717-R0001"/>
    <n v="0"/>
    <n v="100000"/>
    <n v="1004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26"/>
    <n v="0"/>
    <m/>
    <s v="G07042"/>
    <m/>
    <m/>
    <s v="S0361698"/>
  </r>
  <r>
    <x v="1208"/>
    <n v="10000"/>
    <n v="10000"/>
    <d v="2025-03-28T00:00:00"/>
    <s v="502LAUGH"/>
    <s v=" 1:08:19 pm"/>
    <s v="J00X14971"/>
    <m/>
    <x v="2"/>
    <s v="Yes"/>
    <n v="79"/>
    <s v="HP Indigo 6800"/>
    <x v="4"/>
    <s v="PM16"/>
    <s v="TEO KAH JUN"/>
    <n v="575"/>
    <n v="58.75"/>
    <n v="0.97916666666666663"/>
    <d v="2025-03-27T00:00:00"/>
    <m/>
    <n v="200"/>
    <n v="115000"/>
    <s v="PE"/>
    <s v="T8-S-309718-R0001"/>
    <n v="0"/>
    <n v="100000"/>
    <n v="1500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27"/>
    <n v="0"/>
    <m/>
    <s v="G07042"/>
    <m/>
    <m/>
    <s v="S0361698"/>
  </r>
  <r>
    <x v="1209"/>
    <n v="10000"/>
    <n v="10000"/>
    <d v="2025-03-28T00:00:00"/>
    <s v="502LAUGH"/>
    <s v=" 5:54:14 pm"/>
    <s v="J00X14971"/>
    <m/>
    <x v="2"/>
    <s v="Yes"/>
    <n v="79"/>
    <s v="HP Indigo 6800"/>
    <x v="4"/>
    <s v="PM21"/>
    <s v="LIM JIA FAN"/>
    <n v="917"/>
    <n v="75.849999999999994"/>
    <n v="1.2641666666666667"/>
    <d v="2025-03-27T00:00:00"/>
    <m/>
    <n v="120"/>
    <n v="110040"/>
    <s v="PE"/>
    <s v="T8-S-309717-R0001"/>
    <n v="0"/>
    <n v="100000"/>
    <n v="1004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28"/>
    <n v="0"/>
    <m/>
    <s v="G07042"/>
    <m/>
    <m/>
    <s v="S0361742"/>
  </r>
  <r>
    <x v="1210"/>
    <n v="10000"/>
    <n v="10000"/>
    <d v="2025-03-28T00:00:00"/>
    <s v="502LAUGH"/>
    <s v=" 1:08:19 pm"/>
    <s v="J00X14971"/>
    <m/>
    <x v="2"/>
    <s v="Yes"/>
    <n v="79"/>
    <s v="HP Indigo 6800"/>
    <x v="4"/>
    <s v="PM16"/>
    <s v="TEO KAH JUN"/>
    <n v="575"/>
    <n v="58.75"/>
    <n v="0.97916666666666663"/>
    <d v="2025-03-27T00:00:00"/>
    <m/>
    <n v="200"/>
    <n v="115000"/>
    <s v="PE"/>
    <s v="T8-S-309718-R0001"/>
    <n v="0"/>
    <n v="100000"/>
    <n v="1500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29"/>
    <n v="0"/>
    <m/>
    <s v="G07042"/>
    <m/>
    <m/>
    <s v="S0361742"/>
  </r>
  <r>
    <x v="1211"/>
    <n v="10000"/>
    <n v="10000"/>
    <d v="2025-03-28T00:00:00"/>
    <s v="502LAUGH"/>
    <s v=" 5:54:14 pm"/>
    <s v="J00X14971"/>
    <m/>
    <x v="2"/>
    <s v="Yes"/>
    <n v="79"/>
    <s v="HP Indigo 6800"/>
    <x v="4"/>
    <s v="PM21"/>
    <s v="LIM JIA FAN"/>
    <n v="917"/>
    <n v="75.849999999999994"/>
    <n v="1.2641666666666667"/>
    <d v="2025-03-27T00:00:00"/>
    <m/>
    <n v="120"/>
    <n v="110040"/>
    <s v="PE"/>
    <s v="T8-S-309717-R0001"/>
    <n v="0"/>
    <n v="100000"/>
    <n v="1004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30"/>
    <n v="0"/>
    <m/>
    <s v="G07042"/>
    <m/>
    <m/>
    <s v="S0361743"/>
  </r>
  <r>
    <x v="1212"/>
    <n v="10000"/>
    <n v="10000"/>
    <d v="2025-03-28T00:00:00"/>
    <s v="502LAUGH"/>
    <s v=" 1:08:19 pm"/>
    <s v="J00X14971"/>
    <m/>
    <x v="2"/>
    <s v="Yes"/>
    <n v="79"/>
    <s v="HP Indigo 6800"/>
    <x v="4"/>
    <s v="PM16"/>
    <s v="TEO KAH JUN"/>
    <n v="575"/>
    <n v="58.75"/>
    <n v="0.97916666666666663"/>
    <d v="2025-03-27T00:00:00"/>
    <m/>
    <n v="200"/>
    <n v="115000"/>
    <s v="PE"/>
    <s v="T8-S-309718-R0001"/>
    <n v="0"/>
    <n v="100000"/>
    <n v="1500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31"/>
    <n v="0"/>
    <m/>
    <s v="G07042"/>
    <m/>
    <m/>
    <s v="S0361743"/>
  </r>
  <r>
    <x v="1213"/>
    <n v="10000"/>
    <n v="10000"/>
    <d v="2025-03-28T00:00:00"/>
    <s v="502LAUGH"/>
    <s v=" 5:54:14 pm"/>
    <s v="J00X14971"/>
    <m/>
    <x v="2"/>
    <s v="Yes"/>
    <n v="79"/>
    <s v="HP Indigo 6800"/>
    <x v="4"/>
    <s v="PM21"/>
    <s v="LIM JIA FAN"/>
    <n v="917"/>
    <n v="75.849999999999994"/>
    <n v="1.2641666666666667"/>
    <d v="2025-03-27T00:00:00"/>
    <m/>
    <n v="120"/>
    <n v="110040"/>
    <s v="PE"/>
    <s v="T8-S-309717-R0001"/>
    <n v="0"/>
    <n v="100000"/>
    <n v="1004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32"/>
    <n v="0"/>
    <m/>
    <s v="G07042"/>
    <m/>
    <m/>
    <s v="S0361745"/>
  </r>
  <r>
    <x v="1214"/>
    <n v="10000"/>
    <n v="10000"/>
    <d v="2025-03-28T00:00:00"/>
    <s v="502LAUGH"/>
    <s v=" 1:08:19 pm"/>
    <s v="J00X14971"/>
    <m/>
    <x v="2"/>
    <s v="Yes"/>
    <n v="79"/>
    <s v="HP Indigo 6800"/>
    <x v="4"/>
    <s v="PM16"/>
    <s v="TEO KAH JUN"/>
    <n v="575"/>
    <n v="58.75"/>
    <n v="0.97916666666666663"/>
    <d v="2025-03-27T00:00:00"/>
    <m/>
    <n v="200"/>
    <n v="115000"/>
    <s v="PE"/>
    <s v="T8-S-309718-R0001"/>
    <n v="0"/>
    <n v="100000"/>
    <n v="15000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33"/>
    <n v="0"/>
    <m/>
    <s v="G07042"/>
    <m/>
    <m/>
    <s v="S0361745"/>
  </r>
  <r>
    <x v="1215"/>
    <n v="10000"/>
    <n v="10000"/>
    <d v="2025-04-03T00:00:00"/>
    <s v="502LAUGH"/>
    <s v=" 8:33:24 am"/>
    <s v="I2A235H010"/>
    <m/>
    <x v="2"/>
    <s v="Yes"/>
    <n v="88"/>
    <s v="OKI"/>
    <x v="4"/>
    <s v="PP24"/>
    <s v="HO HON SENG"/>
    <n v="1500"/>
    <m/>
    <m/>
    <d v="2025-03-27T00:00:00"/>
    <m/>
    <n v="1"/>
    <n v="1500"/>
    <s v="PE"/>
    <s v="UR79LB4028AB0001"/>
    <n v="0"/>
    <n v="1000"/>
    <n v="500"/>
    <n v="0"/>
    <n v="0"/>
    <n v="0"/>
    <m/>
    <m/>
    <n v="0"/>
    <m/>
    <m/>
    <m/>
    <m/>
    <m/>
    <m/>
    <m/>
    <m/>
    <s v="UR79LB4028AB"/>
    <s v="S19708-M"/>
    <s v="SMK ELECTRONICS (MALAYSIA) SDN.BHD."/>
    <m/>
    <n v="0"/>
    <n v="0"/>
    <n v="0"/>
    <n v="0"/>
    <n v="0"/>
    <n v="0"/>
    <m/>
    <m/>
    <m/>
    <s v="No"/>
    <s v="W664160"/>
    <n v="0"/>
    <m/>
    <s v="S19708-M"/>
    <m/>
    <m/>
    <s v="S0361754"/>
  </r>
  <r>
    <x v="1216"/>
    <n v="10000"/>
    <n v="10000"/>
    <d v="2025-03-28T00:00:00"/>
    <s v="502LAUGH"/>
    <s v=" 5:25:13 pm"/>
    <s v="J00VB8021"/>
    <m/>
    <x v="2"/>
    <s v="Yes"/>
    <n v="72"/>
    <s v="Xeikon 3500"/>
    <x v="4"/>
    <s v="PM17"/>
    <s v="NG SWEE CHEA"/>
    <n v="2000"/>
    <m/>
    <m/>
    <d v="2025-03-27T00:00:00"/>
    <m/>
    <n v="4"/>
    <n v="8000"/>
    <s v="PE"/>
    <n v="83615110001"/>
    <n v="0"/>
    <n v="6000"/>
    <n v="2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3945"/>
    <n v="0"/>
    <m/>
    <s v="B02083"/>
    <m/>
    <m/>
    <s v="S0361915"/>
  </r>
  <r>
    <x v="1217"/>
    <n v="10000"/>
    <n v="10000"/>
    <d v="2025-03-28T00:00:00"/>
    <s v="502LAUGH"/>
    <s v=" 5:26:40 pm"/>
    <s v="J00VB8021"/>
    <m/>
    <x v="2"/>
    <s v="Yes"/>
    <n v="72"/>
    <s v="Xeikon 3500"/>
    <x v="4"/>
    <s v="PM17"/>
    <s v="NG SWEE CHEA"/>
    <n v="1750"/>
    <m/>
    <m/>
    <d v="2025-03-27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3946"/>
    <n v="0"/>
    <m/>
    <s v="B02083"/>
    <m/>
    <m/>
    <s v="S0361915"/>
  </r>
  <r>
    <x v="1218"/>
    <n v="10000"/>
    <n v="10000"/>
    <d v="2025-04-01T00:00:00"/>
    <s v="502LAUGH"/>
    <s v=" 8:37:33 am"/>
    <s v="J00VB8021"/>
    <m/>
    <x v="2"/>
    <s v="Yes"/>
    <n v="72"/>
    <s v="Xeikon 3500"/>
    <x v="4"/>
    <s v="PM17"/>
    <s v="NG SWEE CHEA"/>
    <n v="7000"/>
    <m/>
    <m/>
    <d v="2025-03-27T00:00:00"/>
    <m/>
    <n v="4"/>
    <n v="28000"/>
    <s v="PE"/>
    <n v="83615250001"/>
    <n v="0"/>
    <n v="25000"/>
    <n v="3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947"/>
    <n v="0"/>
    <m/>
    <s v="B02083"/>
    <m/>
    <m/>
    <s v="S0361915"/>
  </r>
  <r>
    <x v="1219"/>
    <n v="10000"/>
    <n v="10000"/>
    <d v="2025-04-01T00:00:00"/>
    <s v="502LAUGH"/>
    <s v=" 8:34:01 am"/>
    <s v="J00VB8021"/>
    <m/>
    <x v="2"/>
    <s v="Yes"/>
    <n v="72"/>
    <s v="Xeikon 3500"/>
    <x v="4"/>
    <s v="PM17"/>
    <s v="NG SWEE CHEA"/>
    <n v="7000"/>
    <m/>
    <m/>
    <d v="2025-03-27T00:00:00"/>
    <m/>
    <n v="4"/>
    <n v="28000"/>
    <s v="PE"/>
    <n v="5000444460001"/>
    <n v="0"/>
    <n v="25000"/>
    <n v="30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948"/>
    <n v="0"/>
    <m/>
    <s v="B02083"/>
    <m/>
    <m/>
    <s v="S0361915"/>
  </r>
  <r>
    <x v="1220"/>
    <n v="10000"/>
    <n v="10000"/>
    <d v="2025-04-01T00:00:00"/>
    <s v="502LAUGH"/>
    <s v=" 8:37:33 am"/>
    <s v="J00VB8021"/>
    <m/>
    <x v="2"/>
    <s v="Yes"/>
    <n v="72"/>
    <s v="Xeikon 3500"/>
    <x v="4"/>
    <s v="PM17"/>
    <s v="NG SWEE CHEA"/>
    <n v="7000"/>
    <m/>
    <m/>
    <d v="2025-03-27T00:00:00"/>
    <m/>
    <n v="4"/>
    <n v="28000"/>
    <s v="PE"/>
    <n v="83615250001"/>
    <n v="0"/>
    <n v="25000"/>
    <n v="3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951"/>
    <n v="0"/>
    <m/>
    <s v="B02083"/>
    <m/>
    <m/>
    <s v="S0361916"/>
  </r>
  <r>
    <x v="1221"/>
    <n v="10000"/>
    <n v="10000"/>
    <d v="2025-04-01T00:00:00"/>
    <s v="502LAUGH"/>
    <s v=" 8:34:01 am"/>
    <s v="J00VB8021"/>
    <m/>
    <x v="2"/>
    <s v="Yes"/>
    <n v="72"/>
    <s v="Xeikon 3500"/>
    <x v="4"/>
    <s v="PM17"/>
    <s v="NG SWEE CHEA"/>
    <n v="8250"/>
    <m/>
    <m/>
    <d v="2025-03-27T00:00:00"/>
    <m/>
    <n v="4"/>
    <n v="33000"/>
    <s v="PE"/>
    <n v="5000444460001"/>
    <n v="0"/>
    <n v="30000"/>
    <n v="300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952"/>
    <n v="0"/>
    <m/>
    <s v="B02083"/>
    <m/>
    <m/>
    <s v="S0361916"/>
  </r>
  <r>
    <x v="1222"/>
    <n v="10000"/>
    <n v="10000"/>
    <d v="2025-03-27T00:00:00"/>
    <s v="502LAUGH"/>
    <s v=" 5:43:08 pm"/>
    <s v="XHX24C12A0909/P049390/XHX24B19A1410"/>
    <m/>
    <x v="2"/>
    <s v="Yes"/>
    <n v="95"/>
    <s v="HDS 8"/>
    <x v="3"/>
    <s v="PM40"/>
    <s v="NGOI CHUN YONG"/>
    <n v="7693"/>
    <n v="429.65"/>
    <n v="7.1608333333333327"/>
    <d v="2025-03-27T00:00:00"/>
    <m/>
    <n v="13"/>
    <n v="100009"/>
    <s v="PE"/>
    <s v="REV 16A-1-NYLON0001"/>
    <n v="0"/>
    <n v="100000"/>
    <n v="9"/>
    <n v="0"/>
    <n v="0"/>
    <n v="0"/>
    <m/>
    <m/>
    <n v="0"/>
    <m/>
    <m/>
    <m/>
    <m/>
    <m/>
    <m/>
    <m/>
    <m/>
    <s v="REV 16A-1-NYLON"/>
    <s v="V22072"/>
    <s v="VG TAG IN-SOLUTIONS PTE LTD"/>
    <m/>
    <n v="0"/>
    <n v="0"/>
    <n v="0"/>
    <n v="0"/>
    <n v="0"/>
    <n v="0"/>
    <m/>
    <m/>
    <m/>
    <s v="No"/>
    <s v="W663957"/>
    <n v="0"/>
    <m/>
    <s v="V22072"/>
    <m/>
    <m/>
    <s v="S0361926"/>
  </r>
  <r>
    <x v="1223"/>
    <n v="10000"/>
    <n v="20000"/>
    <d v="2025-03-28T00:00:00"/>
    <s v="502LAUGH"/>
    <s v=" 4:12:57 pm"/>
    <s v="M0BSO3780"/>
    <s v="FSC29065A"/>
    <x v="2"/>
    <s v="No"/>
    <n v="94"/>
    <s v="Taiyo"/>
    <x v="2"/>
    <s v="PM09"/>
    <s v="PANG JING FULL"/>
    <n v="8000"/>
    <m/>
    <m/>
    <d v="2025-03-28T00:00:00"/>
    <m/>
    <n v="6"/>
    <n v="48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80"/>
  </r>
  <r>
    <x v="780"/>
    <n v="10000"/>
    <n v="30000"/>
    <d v="2025-04-01T00:00:00"/>
    <s v="502LAUGH"/>
    <s v=" 1:59:11 pm"/>
    <n v="10620258042"/>
    <s v="FSC30754"/>
    <x v="1"/>
    <s v="No"/>
    <n v="85"/>
    <s v="Luster AOI"/>
    <x v="1"/>
    <s v="QM78"/>
    <s v="WONG SEAU JIN"/>
    <n v="6819"/>
    <m/>
    <m/>
    <d v="2025-03-28T00:00:00"/>
    <m/>
    <n v="11"/>
    <n v="75009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1413"/>
  </r>
  <r>
    <x v="1224"/>
    <n v="10000"/>
    <n v="20000"/>
    <d v="2025-04-08T00:00:00"/>
    <s v="502LAUGH"/>
    <d v="1899-12-30T11:07:09"/>
    <s v="M0BUR8623/M0BTV6762"/>
    <s v="FSC31228"/>
    <x v="2"/>
    <s v="No"/>
    <n v="65"/>
    <s v="Sanki SDR300"/>
    <x v="3"/>
    <s v="PMJ7"/>
    <s v="FOONG SEL YI"/>
    <n v="22500"/>
    <n v="607.5"/>
    <n v="10.125"/>
    <d v="2025-03-28T00:00:00"/>
    <m/>
    <n v="4"/>
    <n v="9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820"/>
  </r>
  <r>
    <x v="1225"/>
    <n v="10000"/>
    <n v="10000"/>
    <d v="2025-04-08T00:00:00"/>
    <s v="502LAUGH"/>
    <s v=" 8:37:52 am"/>
    <s v="4112311U5A/4110110425"/>
    <s v="DC25820"/>
    <x v="2"/>
    <s v="No"/>
    <n v="79"/>
    <s v="HP Indigo 6800"/>
    <x v="4"/>
    <s v="PM16"/>
    <s v="TEO KAH JUN"/>
    <n v="500"/>
    <n v="55"/>
    <n v="0.91666666666666663"/>
    <d v="2025-03-28T00:00:00"/>
    <m/>
    <n v="5"/>
    <n v="2500"/>
    <s v="PE"/>
    <s v="ALL PURPOSE F57 0001"/>
    <n v="0"/>
    <n v="0"/>
    <n v="0"/>
    <n v="0"/>
    <n v="0"/>
    <n v="0"/>
    <m/>
    <m/>
    <n v="0"/>
    <m/>
    <m/>
    <m/>
    <s v="No"/>
    <n v="0"/>
    <s v="No"/>
    <m/>
    <m/>
    <s v="ALL PURPOSE F57 LBL"/>
    <s v="R18140"/>
    <s v="RICHILL INDUSTRIES PTE LTD"/>
    <m/>
    <n v="0"/>
    <n v="0"/>
    <n v="0"/>
    <n v="0"/>
    <n v="0"/>
    <n v="0"/>
    <m/>
    <m/>
    <m/>
    <s v="No"/>
    <m/>
    <m/>
    <m/>
    <s v="R18140"/>
    <m/>
    <m/>
    <s v="S0361715"/>
  </r>
  <r>
    <x v="1226"/>
    <n v="10000"/>
    <n v="10000"/>
    <d v="2025-04-08T00:00:00"/>
    <s v="502LAUGH"/>
    <s v=" 8:37:52 am"/>
    <s v="4112311U5A/4110110425"/>
    <s v="DC25820"/>
    <x v="2"/>
    <s v="No"/>
    <n v="79"/>
    <s v="HP Indigo 6800"/>
    <x v="4"/>
    <s v="PM16"/>
    <s v="TEO KAH JUN"/>
    <n v="1400"/>
    <n v="100"/>
    <n v="1.6666666666666667"/>
    <d v="2025-03-28T00:00:00"/>
    <m/>
    <n v="5"/>
    <n v="7000"/>
    <s v="PE"/>
    <s v="GUNWASH-F49 LBL0001"/>
    <n v="0"/>
    <n v="0"/>
    <n v="0"/>
    <n v="0"/>
    <n v="0"/>
    <n v="0"/>
    <m/>
    <m/>
    <n v="0"/>
    <m/>
    <m/>
    <m/>
    <s v="No"/>
    <n v="0"/>
    <s v="No"/>
    <m/>
    <m/>
    <s v="GUNWASH-F49 LBL"/>
    <s v="R18140"/>
    <s v="RICHILL INDUSTRIES PTE LTD"/>
    <m/>
    <n v="0"/>
    <n v="0"/>
    <n v="0"/>
    <n v="0"/>
    <n v="0"/>
    <n v="0"/>
    <m/>
    <m/>
    <m/>
    <s v="No"/>
    <m/>
    <m/>
    <m/>
    <s v="R18140"/>
    <m/>
    <m/>
    <s v="S0361715"/>
  </r>
  <r>
    <x v="1227"/>
    <n v="10000"/>
    <n v="10000"/>
    <d v="2025-03-28T00:00:00"/>
    <s v="502LAUGH"/>
    <s v=" 3:08:34 pm"/>
    <s v="4032223U5/402072425"/>
    <s v="DC31657"/>
    <x v="2"/>
    <s v="No"/>
    <n v="61"/>
    <s v="FSK 520"/>
    <x v="2"/>
    <s v="PM68"/>
    <s v="LEE KIM LIANG"/>
    <n v="667"/>
    <n v="58.34"/>
    <n v="0.97233333333333338"/>
    <d v="2025-03-28T00:00:00"/>
    <m/>
    <n v="3"/>
    <n v="2001"/>
    <s v="PE"/>
    <n v="4.70044086004E+17"/>
    <n v="0"/>
    <n v="0"/>
    <n v="0"/>
    <n v="0"/>
    <n v="0"/>
    <n v="0"/>
    <m/>
    <m/>
    <n v="0"/>
    <m/>
    <m/>
    <m/>
    <s v="No"/>
    <n v="0"/>
    <s v="No"/>
    <m/>
    <m/>
    <n v="47004408600400"/>
    <s v="T20096"/>
    <s v="DIGI SINGAPORE PTE LTD"/>
    <m/>
    <n v="0"/>
    <n v="0"/>
    <n v="0"/>
    <n v="0"/>
    <n v="0"/>
    <n v="0"/>
    <m/>
    <m/>
    <m/>
    <s v="No"/>
    <m/>
    <m/>
    <m/>
    <s v="T20096"/>
    <m/>
    <m/>
    <s v="S0361750"/>
  </r>
  <r>
    <x v="1228"/>
    <n v="10000"/>
    <n v="10000"/>
    <d v="2025-04-07T00:00:00"/>
    <s v="502LAUGH"/>
    <s v=" 8:32:32 am"/>
    <s v="J00WF0611"/>
    <m/>
    <x v="2"/>
    <s v="No"/>
    <n v="79"/>
    <s v="HP Indigo 6800"/>
    <x v="4"/>
    <s v="PM16"/>
    <s v="TEO KAH JUN"/>
    <n v="400"/>
    <n v="50"/>
    <n v="0.83333333333333337"/>
    <d v="2025-03-28T00:00:00"/>
    <m/>
    <n v="2"/>
    <n v="800"/>
    <s v="PE"/>
    <s v="HPM-4VW11-801970001"/>
    <n v="0"/>
    <n v="0"/>
    <n v="0"/>
    <n v="0"/>
    <n v="0"/>
    <n v="0"/>
    <m/>
    <m/>
    <n v="0"/>
    <m/>
    <m/>
    <m/>
    <s v="No"/>
    <n v="0"/>
    <s v="No"/>
    <m/>
    <m/>
    <s v="HPM-4VW11-80197"/>
    <s v="Z26005"/>
    <s v="CCL DESIGN SDN. BHD."/>
    <m/>
    <n v="0"/>
    <n v="0"/>
    <n v="0"/>
    <n v="0"/>
    <n v="0"/>
    <n v="0"/>
    <m/>
    <m/>
    <m/>
    <s v="No"/>
    <m/>
    <m/>
    <m/>
    <s v="Z26005"/>
    <m/>
    <m/>
    <s v="S0361760"/>
  </r>
  <r>
    <x v="1229"/>
    <n v="10000"/>
    <n v="10000"/>
    <d v="2025-04-03T00:00:00"/>
    <s v="502LAUGH"/>
    <s v=" 8:37:58 am"/>
    <s v="U530352041/501241326"/>
    <s v="SC28394"/>
    <x v="2"/>
    <s v="No"/>
    <n v="32"/>
    <s v="Lintec Intermittent"/>
    <x v="2"/>
    <s v="PM26"/>
    <s v="TAN AIK KEONG"/>
    <n v="5860"/>
    <m/>
    <m/>
    <d v="2025-03-28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905"/>
  </r>
  <r>
    <x v="1230"/>
    <n v="10000"/>
    <n v="10000"/>
    <d v="2025-03-28T00:00:00"/>
    <s v="502LAUGH"/>
    <s v=" 5:41:15 pm"/>
    <s v="U531252077/503011826"/>
    <s v="SC28391"/>
    <x v="2"/>
    <s v="No"/>
    <n v="32"/>
    <s v="Lintec Intermittent"/>
    <x v="2"/>
    <s v="PM26"/>
    <s v="TAN AIK KEONG"/>
    <n v="5860"/>
    <m/>
    <m/>
    <d v="2025-03-2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1907"/>
  </r>
  <r>
    <x v="1231"/>
    <n v="10000"/>
    <n v="10000"/>
    <d v="2025-04-09T00:00:00"/>
    <s v="502LAUGH"/>
    <d v="1899-12-30T10:15:01"/>
    <s v="U3117S008/4047SE"/>
    <s v="SC21765"/>
    <x v="2"/>
    <s v="No"/>
    <n v="88"/>
    <s v="OKI"/>
    <x v="4"/>
    <s v="PP24"/>
    <s v="HO HON SENG"/>
    <n v="750"/>
    <m/>
    <m/>
    <d v="2025-03-28T00:00:00"/>
    <m/>
    <n v="2"/>
    <n v="1500"/>
    <s v="PE"/>
    <n v="4.40170086005E+17"/>
    <n v="0"/>
    <n v="0"/>
    <n v="0"/>
    <n v="0"/>
    <n v="0"/>
    <n v="0"/>
    <m/>
    <m/>
    <n v="0"/>
    <m/>
    <m/>
    <m/>
    <s v="No"/>
    <n v="0"/>
    <s v="No"/>
    <m/>
    <m/>
    <n v="44017008600501"/>
    <s v="T20096"/>
    <s v="DIGI SINGAPORE PTE LTD"/>
    <m/>
    <n v="0"/>
    <n v="0"/>
    <n v="0"/>
    <n v="0"/>
    <n v="0"/>
    <n v="0"/>
    <m/>
    <m/>
    <m/>
    <s v="No"/>
    <m/>
    <m/>
    <m/>
    <s v="T20096"/>
    <m/>
    <m/>
    <s v="S0361936"/>
  </r>
  <r>
    <x v="1232"/>
    <n v="10000"/>
    <n v="10000"/>
    <d v="2025-04-07T00:00:00"/>
    <s v="505KANGHS"/>
    <s v=" 1:54:41 pm"/>
    <s v="BYK017-03"/>
    <s v="BC07869"/>
    <x v="2"/>
    <s v="No"/>
    <n v="88"/>
    <s v="OKI"/>
    <x v="4"/>
    <s v="PP24"/>
    <s v="HO HON SENG"/>
    <n v="2500"/>
    <m/>
    <m/>
    <d v="2025-03-28T00:00:00"/>
    <m/>
    <n v="1"/>
    <n v="2500"/>
    <s v="PE"/>
    <s v="ARROW UP-70X100M0001"/>
    <n v="0"/>
    <n v="0"/>
    <n v="0"/>
    <n v="0"/>
    <n v="0"/>
    <n v="0"/>
    <m/>
    <m/>
    <n v="0"/>
    <m/>
    <m/>
    <m/>
    <s v="No"/>
    <n v="0"/>
    <s v="No"/>
    <m/>
    <m/>
    <s v="ARROW UP-70X100MM"/>
    <s v="A01409"/>
    <s v="ASMPT SINGAPORE PTE LTD"/>
    <m/>
    <n v="0"/>
    <n v="0"/>
    <n v="0"/>
    <n v="0"/>
    <n v="0"/>
    <n v="0"/>
    <m/>
    <m/>
    <m/>
    <s v="No"/>
    <m/>
    <m/>
    <m/>
    <s v="A01409"/>
    <m/>
    <m/>
    <s v="S0361945"/>
  </r>
  <r>
    <x v="1233"/>
    <n v="10000"/>
    <n v="10000"/>
    <d v="2025-04-08T00:00:00"/>
    <s v="502LAUGH"/>
    <s v=" 5:47:09 pm"/>
    <s v="4B275A007/L4005U7005"/>
    <s v="D05022"/>
    <x v="2"/>
    <s v="No"/>
    <n v="79"/>
    <s v="HP Indigo 6800"/>
    <x v="4"/>
    <s v="PM16"/>
    <s v="TEO KAH JUN"/>
    <n v="150"/>
    <n v="37.5"/>
    <n v="0.625"/>
    <d v="2025-03-28T00:00:00"/>
    <m/>
    <n v="60"/>
    <n v="9000"/>
    <s v="PE"/>
    <s v="AJAHN STICKER0001"/>
    <n v="0"/>
    <n v="0"/>
    <n v="0"/>
    <n v="0"/>
    <n v="0"/>
    <n v="0"/>
    <m/>
    <m/>
    <n v="0"/>
    <m/>
    <m/>
    <m/>
    <s v="No"/>
    <n v="0"/>
    <s v="No"/>
    <m/>
    <m/>
    <s v="AJAHN STICKER"/>
    <s v="T20365"/>
    <s v="TAMMY QUAH"/>
    <m/>
    <n v="0"/>
    <n v="0"/>
    <n v="0"/>
    <n v="0"/>
    <n v="0"/>
    <n v="0"/>
    <m/>
    <m/>
    <m/>
    <s v="No"/>
    <m/>
    <m/>
    <m/>
    <s v="T20365"/>
    <m/>
    <m/>
    <s v="S0362017"/>
  </r>
  <r>
    <x v="1234"/>
    <n v="10000"/>
    <n v="10000"/>
    <d v="2025-03-28T00:00:00"/>
    <s v="502LAUGH"/>
    <d v="1899-12-30T12:40:14"/>
    <s v="4170S1/3830U7060"/>
    <m/>
    <x v="2"/>
    <s v="Yes"/>
    <n v="61"/>
    <s v="FSK 520"/>
    <x v="2"/>
    <s v="PM68"/>
    <s v="LEE KIM LIANG"/>
    <n v="2000"/>
    <n v="85"/>
    <n v="1.4166666666666667"/>
    <d v="2025-03-28T00:00:00"/>
    <m/>
    <n v="1"/>
    <n v="2000"/>
    <s v="PE"/>
    <n v="4.50019086004E+17"/>
    <n v="0"/>
    <n v="2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63638"/>
    <n v="0"/>
    <m/>
    <s v="T20096"/>
    <m/>
    <m/>
    <s v="S0360941"/>
  </r>
  <r>
    <x v="1235"/>
    <n v="10000"/>
    <n v="10000"/>
    <d v="2025-03-28T00:00:00"/>
    <s v="502LAUGH"/>
    <d v="1899-12-30T12:40:15"/>
    <s v="4170S1/3830U7060"/>
    <m/>
    <x v="2"/>
    <s v="Yes"/>
    <n v="61"/>
    <s v="FSK 520"/>
    <x v="2"/>
    <s v="PM68"/>
    <s v="LEE KIM LIANG"/>
    <n v="2000"/>
    <n v="85"/>
    <n v="1.4166666666666667"/>
    <d v="2025-03-28T00:00:00"/>
    <m/>
    <n v="1"/>
    <n v="2000"/>
    <s v="PE"/>
    <n v="4.7001408600600998E+17"/>
    <n v="0"/>
    <n v="2000"/>
    <n v="0"/>
    <n v="0"/>
    <n v="0"/>
    <n v="0"/>
    <m/>
    <m/>
    <n v="0"/>
    <m/>
    <m/>
    <m/>
    <m/>
    <m/>
    <m/>
    <m/>
    <m/>
    <n v="47001408600601"/>
    <s v="T20096"/>
    <s v="DIGI SINGAPORE PTE LTD"/>
    <m/>
    <n v="0"/>
    <n v="0"/>
    <n v="0"/>
    <n v="0"/>
    <n v="0"/>
    <n v="0"/>
    <m/>
    <m/>
    <m/>
    <s v="No"/>
    <s v="W663639"/>
    <n v="0"/>
    <m/>
    <s v="T20096"/>
    <m/>
    <m/>
    <s v="S0360941"/>
  </r>
  <r>
    <x v="1236"/>
    <n v="10000"/>
    <n v="10000"/>
    <d v="2025-03-28T00:00:00"/>
    <s v="502LAUGH"/>
    <s v=" 3:08:34 pm"/>
    <s v="4032223U5/402072425"/>
    <m/>
    <x v="2"/>
    <s v="Yes"/>
    <n v="61"/>
    <s v="FSK 520"/>
    <x v="2"/>
    <s v="PM68"/>
    <s v="LEE KIM LIANG"/>
    <n v="667"/>
    <n v="58.34"/>
    <n v="0.97233333333333338"/>
    <d v="2025-03-28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s v="DIGI SINGAPORE PTE LTD"/>
    <m/>
    <n v="0"/>
    <n v="0"/>
    <n v="0"/>
    <n v="0"/>
    <n v="0"/>
    <n v="0"/>
    <m/>
    <m/>
    <m/>
    <s v="No"/>
    <s v="W664089"/>
    <n v="0"/>
    <m/>
    <s v="T20096"/>
    <m/>
    <m/>
    <s v="S0360941"/>
  </r>
  <r>
    <x v="1237"/>
    <n v="10000"/>
    <n v="10000"/>
    <d v="2025-04-01T00:00:00"/>
    <s v="502LAUGH"/>
    <s v=" 8:39:14 am"/>
    <s v="4112304U5A"/>
    <m/>
    <x v="2"/>
    <s v="Yes"/>
    <n v="46"/>
    <s v="Sanki 300 Intermittent"/>
    <x v="2"/>
    <s v="PS66"/>
    <s v="SIM ENG KWANG"/>
    <n v="18000"/>
    <n v="495"/>
    <n v="8.25"/>
    <d v="2025-03-28T00:00:00"/>
    <m/>
    <n v="1"/>
    <n v="18000"/>
    <s v="PE"/>
    <s v="260-6107-000001"/>
    <n v="0"/>
    <n v="18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3676"/>
    <n v="0"/>
    <m/>
    <s v="J10025"/>
    <m/>
    <m/>
    <s v="S0361088"/>
  </r>
  <r>
    <x v="1238"/>
    <n v="10000"/>
    <n v="10000"/>
    <d v="2025-03-28T00:00:00"/>
    <s v="502LAUGH"/>
    <d v="1899-12-30T11:02:15"/>
    <s v="4103023U5"/>
    <m/>
    <x v="2"/>
    <s v="Yes"/>
    <n v="46"/>
    <s v="Sanki 300 Intermittent"/>
    <x v="2"/>
    <s v="PS66"/>
    <s v="SIM ENG KWANG"/>
    <n v="1000"/>
    <n v="70"/>
    <n v="1.1666666666666667"/>
    <d v="2025-03-28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63678"/>
    <n v="0"/>
    <m/>
    <s v="J10025"/>
    <m/>
    <m/>
    <s v="S0361088"/>
  </r>
  <r>
    <x v="1239"/>
    <n v="10000"/>
    <n v="20000"/>
    <d v="2025-03-28T00:00:00"/>
    <s v="502LAUGH"/>
    <d v="1899-12-30T12:41:50"/>
    <s v="J00RN4261"/>
    <m/>
    <x v="2"/>
    <s v="Yes"/>
    <n v="60"/>
    <s v="Fujishiko UDP-5000"/>
    <x v="3"/>
    <s v="PM30"/>
    <s v="OH KIAN YUAN"/>
    <n v="1000"/>
    <n v="65"/>
    <n v="1.0833333333333333"/>
    <d v="2025-03-28T00:00:00"/>
    <m/>
    <n v="1"/>
    <n v="1000"/>
    <s v="PE"/>
    <s v="250-8018-000001"/>
    <n v="0"/>
    <n v="1000"/>
    <n v="0"/>
    <n v="0"/>
    <n v="0"/>
    <n v="0"/>
    <m/>
    <m/>
    <n v="0"/>
    <m/>
    <m/>
    <m/>
    <m/>
    <m/>
    <m/>
    <m/>
    <m/>
    <s v="250-8018-00"/>
    <s v="J10025"/>
    <s v="JMS SINGAPORE PTE LTD"/>
    <m/>
    <n v="0"/>
    <n v="0"/>
    <n v="0"/>
    <n v="0"/>
    <n v="0"/>
    <n v="0"/>
    <m/>
    <m/>
    <m/>
    <s v="No"/>
    <s v="W663680"/>
    <n v="0"/>
    <m/>
    <s v="J10025"/>
    <m/>
    <m/>
    <s v="S0361089"/>
  </r>
  <r>
    <x v="642"/>
    <n v="10000"/>
    <n v="30000"/>
    <d v="2025-04-01T00:00:00"/>
    <s v="502LAUGH"/>
    <s v=" 2:02:46 pm"/>
    <n v="10639931114"/>
    <m/>
    <x v="1"/>
    <s v="Yes"/>
    <n v="85"/>
    <s v="Luster AOI"/>
    <x v="1"/>
    <s v="QM78"/>
    <s v="WONG SEAU JIN"/>
    <n v="20910"/>
    <m/>
    <m/>
    <d v="2025-03-28T00:00:00"/>
    <m/>
    <n v="11"/>
    <n v="230010"/>
    <s v="PE"/>
    <s v="6ZD21-800010001"/>
    <n v="0"/>
    <n v="215000"/>
    <n v="15010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4106"/>
    <n v="0"/>
    <m/>
    <s v="H08031-JIM-M"/>
    <m/>
    <m/>
    <s v="S0361191"/>
  </r>
  <r>
    <x v="1240"/>
    <n v="10000"/>
    <n v="10000"/>
    <d v="2025-03-28T00:00:00"/>
    <s v="502LAUGH"/>
    <s v=" 4:12:58 pm"/>
    <s v="4170S1"/>
    <m/>
    <x v="2"/>
    <s v="Yes"/>
    <n v="61"/>
    <s v="FSK 520"/>
    <x v="2"/>
    <s v="PM68"/>
    <s v="LEE KIM LIANG"/>
    <n v="250"/>
    <n v="50"/>
    <n v="0.83333333333333337"/>
    <d v="2025-03-28T00:00:00"/>
    <m/>
    <n v="2"/>
    <n v="500"/>
    <s v="PE"/>
    <s v="LAB-1105-010001"/>
    <n v="0"/>
    <n v="500"/>
    <n v="0"/>
    <n v="0"/>
    <n v="0"/>
    <n v="0"/>
    <m/>
    <m/>
    <n v="0"/>
    <m/>
    <m/>
    <m/>
    <m/>
    <m/>
    <m/>
    <m/>
    <m/>
    <s v="LAB-1105-01"/>
    <s v="R18068"/>
    <s v="RFNET TECHNOLOGIES PTE LTD"/>
    <m/>
    <n v="0"/>
    <n v="0"/>
    <n v="0"/>
    <n v="0"/>
    <n v="0"/>
    <n v="0"/>
    <m/>
    <m/>
    <m/>
    <s v="No"/>
    <s v="W663731"/>
    <n v="0"/>
    <m/>
    <s v="R18068"/>
    <m/>
    <m/>
    <s v="S0361210"/>
  </r>
  <r>
    <x v="648"/>
    <n v="10000"/>
    <n v="30000"/>
    <d v="2025-03-28T00:00:00"/>
    <s v="502LAUGH"/>
    <s v=" 5:04:08 pm"/>
    <n v="10639931114"/>
    <m/>
    <x v="1"/>
    <s v="Yes"/>
    <n v="85"/>
    <s v="Luster AOI"/>
    <x v="1"/>
    <s v="QM78"/>
    <s v="WONG SEAU JIN"/>
    <n v="8000"/>
    <m/>
    <m/>
    <d v="2025-03-28T00:00:00"/>
    <m/>
    <n v="11"/>
    <n v="88000"/>
    <s v="PE"/>
    <s v="C2P08-80005-FT0001"/>
    <n v="0"/>
    <n v="80000"/>
    <n v="8000"/>
    <n v="0"/>
    <n v="0"/>
    <n v="0"/>
    <m/>
    <m/>
    <n v="0"/>
    <m/>
    <m/>
    <m/>
    <m/>
    <m/>
    <m/>
    <m/>
    <m/>
    <s v="C2P08-80005-FT"/>
    <s v="H08031-JIM-M"/>
    <s v="HP MALAYSIA MANUFACTURING SDN.BHD."/>
    <m/>
    <n v="0"/>
    <n v="0"/>
    <n v="0"/>
    <n v="0"/>
    <n v="0"/>
    <n v="0"/>
    <m/>
    <m/>
    <m/>
    <s v="No"/>
    <s v="W664110"/>
    <n v="0"/>
    <m/>
    <s v="H08031-JIM-M"/>
    <m/>
    <m/>
    <s v="S0361215"/>
  </r>
  <r>
    <x v="1190"/>
    <n v="10000"/>
    <n v="20000"/>
    <d v="2025-03-28T00:00:00"/>
    <s v="502LAUGH"/>
    <s v=" 5:25:13 pm"/>
    <s v="J00VB8021"/>
    <m/>
    <x v="0"/>
    <s v="Yes"/>
    <n v="71"/>
    <s v="POLLY"/>
    <x v="3"/>
    <s v="PS95"/>
    <s v="LIM CHENG LEONG"/>
    <n v="834"/>
    <m/>
    <m/>
    <d v="2025-03-28T00:00:00"/>
    <m/>
    <n v="6"/>
    <n v="5004"/>
    <s v="PE"/>
    <n v="83615110001"/>
    <n v="0"/>
    <n v="5000"/>
    <n v="4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3734"/>
    <n v="0"/>
    <m/>
    <s v="B02083"/>
    <m/>
    <m/>
    <s v="S0361249"/>
  </r>
  <r>
    <x v="1191"/>
    <n v="10000"/>
    <n v="20000"/>
    <d v="2025-03-28T00:00:00"/>
    <s v="502LAUGH"/>
    <s v=" 5:26:40 pm"/>
    <s v="J00VB8021"/>
    <m/>
    <x v="0"/>
    <s v="Yes"/>
    <n v="71"/>
    <s v="POLLY"/>
    <x v="3"/>
    <s v="PS95"/>
    <s v="LIM CHENG LEONG"/>
    <n v="1000"/>
    <m/>
    <m/>
    <d v="2025-03-28T00:00:00"/>
    <m/>
    <n v="6"/>
    <n v="6000"/>
    <s v="PE"/>
    <n v="83615230001"/>
    <n v="0"/>
    <n v="6000"/>
    <n v="0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3735"/>
    <n v="0"/>
    <m/>
    <s v="B02083"/>
    <m/>
    <m/>
    <s v="S0361249"/>
  </r>
  <r>
    <x v="1193"/>
    <n v="10000"/>
    <n v="20000"/>
    <d v="2025-03-28T00:00:00"/>
    <s v="502LAUGH"/>
    <s v=" 4:12:58 pm"/>
    <s v="J00VB8021"/>
    <m/>
    <x v="0"/>
    <s v="Yes"/>
    <n v="71"/>
    <s v="POLLY"/>
    <x v="3"/>
    <s v="PS95"/>
    <s v="LIM CHENG LEONG"/>
    <n v="834"/>
    <m/>
    <m/>
    <d v="2025-03-28T00:00:00"/>
    <m/>
    <n v="6"/>
    <n v="5004"/>
    <s v="PE"/>
    <n v="5000443900001"/>
    <n v="0"/>
    <n v="5000"/>
    <n v="4"/>
    <n v="0"/>
    <n v="0"/>
    <n v="0"/>
    <m/>
    <m/>
    <n v="0"/>
    <m/>
    <m/>
    <m/>
    <m/>
    <m/>
    <m/>
    <m/>
    <m/>
    <n v="500044390"/>
    <s v="B02083"/>
    <s v="BECTON DICKINSON MEDICAL (S) PTE LTD"/>
    <m/>
    <n v="0"/>
    <n v="0"/>
    <n v="0"/>
    <n v="0"/>
    <n v="0"/>
    <n v="0"/>
    <m/>
    <m/>
    <m/>
    <s v="No"/>
    <s v="W663737"/>
    <n v="0"/>
    <m/>
    <s v="B02083"/>
    <m/>
    <m/>
    <s v="S0361249"/>
  </r>
  <r>
    <x v="1195"/>
    <n v="10000"/>
    <n v="20000"/>
    <d v="2025-03-28T00:00:00"/>
    <s v="502LAUGH"/>
    <s v=" 4:33:05 pm"/>
    <s v="J00VB8021"/>
    <m/>
    <x v="0"/>
    <s v="Yes"/>
    <n v="71"/>
    <s v="POLLY"/>
    <x v="3"/>
    <s v="PS95"/>
    <s v="LIM CHENG LEONG"/>
    <n v="3334"/>
    <m/>
    <m/>
    <d v="2025-03-28T00:00:00"/>
    <m/>
    <n v="6"/>
    <n v="20004"/>
    <s v="PE"/>
    <n v="5000514810001"/>
    <n v="0"/>
    <n v="20000"/>
    <n v="4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3739"/>
    <n v="0"/>
    <m/>
    <s v="B02083"/>
    <m/>
    <m/>
    <s v="S0361249"/>
  </r>
  <r>
    <x v="1196"/>
    <n v="10000"/>
    <n v="20000"/>
    <d v="2025-03-28T00:00:00"/>
    <s v="502LAUGH"/>
    <d v="1899-12-30T11:34:21"/>
    <s v="J00VB8021"/>
    <m/>
    <x v="0"/>
    <s v="Yes"/>
    <n v="82"/>
    <s v="Polly"/>
    <x v="3"/>
    <s v="PM11"/>
    <s v="TEE MENG CHAI"/>
    <n v="1167"/>
    <m/>
    <m/>
    <d v="2025-03-28T00:00:00"/>
    <m/>
    <n v="6"/>
    <n v="7002"/>
    <s v="PE"/>
    <n v="5000435310001"/>
    <n v="0"/>
    <n v="5000"/>
    <n v="2002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3740"/>
    <n v="0"/>
    <m/>
    <s v="B02083"/>
    <m/>
    <m/>
    <s v="S0361250"/>
  </r>
  <r>
    <x v="1241"/>
    <n v="10000"/>
    <n v="10000"/>
    <d v="2025-03-28T00:00:00"/>
    <s v="502LAUGH"/>
    <s v=" 2:42:18 pm"/>
    <s v="J00VB8021"/>
    <m/>
    <x v="2"/>
    <s v="Yes"/>
    <n v="72"/>
    <s v="Xeikon 3500"/>
    <x v="4"/>
    <s v="PM17"/>
    <s v="NG SWEE CHEA"/>
    <n v="2000"/>
    <m/>
    <m/>
    <d v="2025-03-28T00:00:00"/>
    <m/>
    <n v="4"/>
    <n v="8000"/>
    <s v="PE"/>
    <n v="5000435340001"/>
    <n v="0"/>
    <n v="6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741"/>
    <n v="0"/>
    <m/>
    <s v="B02083"/>
    <m/>
    <m/>
    <s v="S0361250"/>
  </r>
  <r>
    <x v="1241"/>
    <n v="10000"/>
    <n v="20000"/>
    <d v="2025-03-28T00:00:00"/>
    <s v="502LAUGH"/>
    <s v=" 2:42:18 pm"/>
    <s v="J00VB8021"/>
    <m/>
    <x v="0"/>
    <s v="Yes"/>
    <n v="82"/>
    <s v="Polly"/>
    <x v="3"/>
    <s v="PM11"/>
    <s v="TEE MENG CHAI"/>
    <n v="1167"/>
    <m/>
    <m/>
    <d v="2025-03-28T00:00:00"/>
    <m/>
    <n v="6"/>
    <n v="7002"/>
    <s v="PE"/>
    <n v="5000435340001"/>
    <n v="0"/>
    <n v="6000"/>
    <n v="1002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741"/>
    <n v="0"/>
    <m/>
    <s v="B02083"/>
    <m/>
    <m/>
    <s v="S0361250"/>
  </r>
  <r>
    <x v="1197"/>
    <n v="10000"/>
    <n v="20000"/>
    <d v="2025-03-28T00:00:00"/>
    <s v="502LAUGH"/>
    <d v="1899-12-30T11:34:21"/>
    <s v="J00VB8021"/>
    <m/>
    <x v="0"/>
    <s v="Yes"/>
    <n v="82"/>
    <s v="Polly"/>
    <x v="3"/>
    <s v="PM11"/>
    <s v="TEE MENG CHAI"/>
    <n v="1167"/>
    <m/>
    <m/>
    <d v="2025-03-28T00:00:00"/>
    <m/>
    <n v="6"/>
    <n v="7002"/>
    <s v="PE"/>
    <n v="5000444160001"/>
    <n v="0"/>
    <n v="5000"/>
    <n v="2002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3742"/>
    <n v="0"/>
    <m/>
    <s v="B02083"/>
    <m/>
    <m/>
    <s v="S0361250"/>
  </r>
  <r>
    <x v="1134"/>
    <n v="10000"/>
    <n v="20000"/>
    <d v="2025-04-02T00:00:00"/>
    <s v="502LAUGH"/>
    <s v=" 8:56:39 am"/>
    <s v="U511658128/405131525"/>
    <m/>
    <x v="2"/>
    <s v="Yes"/>
    <n v="90"/>
    <s v="HDS"/>
    <x v="3"/>
    <s v="QC04"/>
    <s v="YANG TONGJING"/>
    <n v="8182"/>
    <m/>
    <m/>
    <d v="2025-03-28T00:00:00"/>
    <m/>
    <n v="132"/>
    <n v="1080024"/>
    <s v="PE"/>
    <s v="1114-670-00003 R0001"/>
    <n v="0"/>
    <n v="1079992"/>
    <n v="32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63769"/>
    <n v="0"/>
    <m/>
    <s v="M13337-SMD"/>
    <m/>
    <m/>
    <s v="S0361340"/>
  </r>
  <r>
    <x v="759"/>
    <n v="10000"/>
    <n v="20000"/>
    <d v="2025-03-28T00:00:00"/>
    <s v="502LAUGH"/>
    <d v="1899-12-30T12:41:27"/>
    <s v="4348S1/3505U8007"/>
    <m/>
    <x v="2"/>
    <s v="Yes"/>
    <n v="60"/>
    <s v="Fujishiko UDP-5000"/>
    <x v="3"/>
    <s v="PM30"/>
    <s v="OH KIAN YUAN"/>
    <n v="5000"/>
    <n v="145"/>
    <n v="2.4166666666666665"/>
    <d v="2025-03-28T00:00:00"/>
    <m/>
    <n v="1"/>
    <n v="5000"/>
    <s v="PE"/>
    <s v="DANGER STICKER0002"/>
    <n v="0"/>
    <n v="5000"/>
    <n v="0"/>
    <n v="0"/>
    <n v="0"/>
    <n v="0"/>
    <m/>
    <m/>
    <n v="0"/>
    <m/>
    <m/>
    <m/>
    <m/>
    <m/>
    <m/>
    <m/>
    <m/>
    <s v="DANGER STICKER"/>
    <s v="A01471"/>
    <s v="AIRVERCLEAN PTE LTD"/>
    <m/>
    <n v="0"/>
    <n v="0"/>
    <n v="0"/>
    <n v="0"/>
    <n v="0"/>
    <n v="0"/>
    <m/>
    <m/>
    <m/>
    <s v="No"/>
    <s v="W663774"/>
    <n v="0"/>
    <m/>
    <s v="A01471"/>
    <m/>
    <m/>
    <s v="S0361355"/>
  </r>
  <r>
    <x v="1242"/>
    <n v="10000"/>
    <n v="10000"/>
    <d v="2025-03-28T00:00:00"/>
    <s v="502LAUGH"/>
    <s v=" 5:41:15 pm"/>
    <s v="29262621-001/3830U7060"/>
    <m/>
    <x v="2"/>
    <s v="Yes"/>
    <n v="61"/>
    <s v="FSK 520"/>
    <x v="2"/>
    <s v="PM68"/>
    <s v="LEE KIM LIANG"/>
    <n v="400"/>
    <n v="53"/>
    <n v="0.8833333333333333"/>
    <d v="2025-03-28T00:00:00"/>
    <m/>
    <n v="5"/>
    <n v="2000"/>
    <s v="PE"/>
    <s v="FMMB00764010001"/>
    <n v="0"/>
    <n v="2000"/>
    <n v="0"/>
    <n v="0"/>
    <n v="0"/>
    <n v="0"/>
    <m/>
    <m/>
    <n v="0"/>
    <m/>
    <m/>
    <m/>
    <m/>
    <m/>
    <m/>
    <m/>
    <m/>
    <s v="FMMB0076401"/>
    <s v="T20104"/>
    <s v="TOSHIBA TEC SINGAPORE PTE LTD"/>
    <m/>
    <n v="0"/>
    <n v="0"/>
    <n v="0"/>
    <n v="0"/>
    <n v="0"/>
    <n v="0"/>
    <m/>
    <m/>
    <m/>
    <s v="No"/>
    <s v="W663845"/>
    <n v="0"/>
    <m/>
    <s v="T20104"/>
    <m/>
    <m/>
    <s v="S0361537"/>
  </r>
  <r>
    <x v="1243"/>
    <n v="10000"/>
    <n v="10000"/>
    <d v="2025-03-28T00:00:00"/>
    <s v="502LAUGH"/>
    <s v=" 5:41:15 pm"/>
    <s v="29262621-001/3830U7060"/>
    <m/>
    <x v="2"/>
    <s v="Yes"/>
    <n v="61"/>
    <s v="FSK 520"/>
    <x v="2"/>
    <s v="PM68"/>
    <s v="LEE KIM LIANG"/>
    <n v="600"/>
    <n v="57"/>
    <n v="0.95"/>
    <d v="2025-03-28T00:00:00"/>
    <m/>
    <n v="5"/>
    <n v="3000"/>
    <s v="PE"/>
    <s v="FMMB00764010001"/>
    <n v="0"/>
    <n v="3000"/>
    <n v="0"/>
    <n v="0"/>
    <n v="0"/>
    <n v="0"/>
    <m/>
    <m/>
    <n v="0"/>
    <m/>
    <m/>
    <m/>
    <m/>
    <m/>
    <m/>
    <m/>
    <m/>
    <s v="FMMB0076401"/>
    <s v="T20104"/>
    <s v="TOSHIBA TEC SINGAPORE PTE LTD"/>
    <m/>
    <n v="0"/>
    <n v="0"/>
    <n v="0"/>
    <n v="0"/>
    <n v="0"/>
    <n v="0"/>
    <m/>
    <m/>
    <m/>
    <s v="No"/>
    <s v="W663512"/>
    <n v="0"/>
    <m/>
    <s v="T20104"/>
    <m/>
    <m/>
    <s v="PR006405"/>
  </r>
  <r>
    <x v="1244"/>
    <n v="10000"/>
    <n v="10000"/>
    <d v="2025-04-03T00:00:00"/>
    <s v="502LAUGH"/>
    <s v=" 8:39:28 am"/>
    <s v="3082510U9/401180925"/>
    <m/>
    <x v="2"/>
    <s v="Yes"/>
    <n v="88"/>
    <s v="OKI"/>
    <x v="4"/>
    <s v="PP24"/>
    <s v="HO HON SENG"/>
    <n v="800"/>
    <m/>
    <m/>
    <d v="2025-03-28T00:00:00"/>
    <m/>
    <n v="1"/>
    <n v="800"/>
    <s v="PE"/>
    <n v="107176710001"/>
    <n v="0"/>
    <n v="500"/>
    <n v="300"/>
    <n v="0"/>
    <n v="0"/>
    <n v="0"/>
    <m/>
    <m/>
    <n v="0"/>
    <m/>
    <m/>
    <m/>
    <m/>
    <m/>
    <m/>
    <m/>
    <m/>
    <n v="10717671"/>
    <s v="I09109"/>
    <s v="IKE TECHNOLOGY"/>
    <m/>
    <n v="0"/>
    <n v="0"/>
    <n v="0"/>
    <n v="0"/>
    <n v="0"/>
    <n v="0"/>
    <m/>
    <m/>
    <m/>
    <s v="No"/>
    <s v="W663861"/>
    <n v="0"/>
    <m/>
    <s v="I09109"/>
    <m/>
    <m/>
    <s v="S0361542"/>
  </r>
  <r>
    <x v="1202"/>
    <n v="10000"/>
    <n v="20000"/>
    <d v="2025-03-28T00:00:00"/>
    <s v="502LAUGH"/>
    <s v=" 1:24:19 pm"/>
    <s v="J00X14971"/>
    <m/>
    <x v="0"/>
    <s v="Yes"/>
    <n v="86"/>
    <s v="Brotech DF330 "/>
    <x v="0"/>
    <s v="PM45"/>
    <s v="TAY CHIN LIONG"/>
    <n v="36"/>
    <n v="45.6"/>
    <n v="0.76"/>
    <d v="2025-03-28T00:00:00"/>
    <m/>
    <n v="1"/>
    <n v="36"/>
    <s v="PE"/>
    <s v="COLOR TOLERANCE0016"/>
    <n v="0"/>
    <n v="36"/>
    <n v="0"/>
    <n v="0"/>
    <n v="0"/>
    <n v="0"/>
    <m/>
    <m/>
    <n v="0"/>
    <m/>
    <m/>
    <m/>
    <m/>
    <m/>
    <m/>
    <m/>
    <m/>
    <s v="COLOR TOLERANCE"/>
    <s v="G07042"/>
    <s v="GES (SINGAPORE) PTE LTD"/>
    <m/>
    <n v="0"/>
    <n v="0"/>
    <n v="0"/>
    <n v="0"/>
    <n v="0"/>
    <n v="0"/>
    <m/>
    <m/>
    <m/>
    <s v="No"/>
    <s v="W663872"/>
    <n v="0"/>
    <m/>
    <s v="G07042"/>
    <m/>
    <m/>
    <s v="ZSA101776"/>
  </r>
  <r>
    <x v="1203"/>
    <n v="10000"/>
    <n v="30000"/>
    <d v="2025-03-28T00:00:00"/>
    <s v="502LAUGH"/>
    <s v=" 5:54:14 pm"/>
    <s v="J00X14971"/>
    <m/>
    <x v="0"/>
    <s v="Yes"/>
    <n v="86"/>
    <s v="Brotech DF330 "/>
    <x v="0"/>
    <s v="PM45"/>
    <s v="TAY CHIN LIONG"/>
    <n v="3600"/>
    <n v="105"/>
    <n v="1.75"/>
    <d v="2025-03-28T00:00:00"/>
    <m/>
    <n v="30"/>
    <n v="108000"/>
    <s v="PE"/>
    <s v="T8-S-309717-R0001"/>
    <n v="0"/>
    <n v="100000"/>
    <n v="8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888"/>
    <n v="0"/>
    <m/>
    <s v="G07042"/>
    <m/>
    <m/>
    <s v="S0361697"/>
  </r>
  <r>
    <x v="1204"/>
    <n v="10000"/>
    <n v="20000"/>
    <d v="2025-03-28T00:00:00"/>
    <s v="502LAUGH"/>
    <s v=" 1:08:19 pm"/>
    <s v="J00X14971"/>
    <m/>
    <x v="0"/>
    <s v="Yes"/>
    <n v="86"/>
    <s v="Brotech DF330 "/>
    <x v="0"/>
    <s v="PM45"/>
    <s v="TAY CHIN LIONG"/>
    <n v="1719"/>
    <n v="73.650000000000006"/>
    <n v="1.2275"/>
    <d v="2025-03-28T00:00:00"/>
    <m/>
    <n v="64"/>
    <n v="110016"/>
    <s v="PE"/>
    <s v="T8-S-309718-R0001"/>
    <n v="0"/>
    <n v="100000"/>
    <n v="10016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889"/>
    <n v="0"/>
    <m/>
    <s v="G07042"/>
    <m/>
    <m/>
    <s v="S0361697"/>
  </r>
  <r>
    <x v="1152"/>
    <n v="10000"/>
    <n v="20000"/>
    <d v="2025-03-28T00:00:00"/>
    <s v="502LAUGH"/>
    <s v=" 9:48:28 am"/>
    <s v="U530658027"/>
    <m/>
    <x v="0"/>
    <s v="Yes"/>
    <n v="82"/>
    <s v="Polly"/>
    <x v="3"/>
    <s v="PM11"/>
    <s v="TEE MENG CHAI"/>
    <n v="600"/>
    <m/>
    <m/>
    <d v="2025-03-28T00:00:00"/>
    <m/>
    <n v="15"/>
    <n v="9000"/>
    <s v="PE"/>
    <s v="MANGO PUREE0001"/>
    <n v="0"/>
    <n v="5000"/>
    <n v="4000"/>
    <n v="0"/>
    <n v="0"/>
    <n v="0"/>
    <m/>
    <m/>
    <n v="0"/>
    <m/>
    <m/>
    <m/>
    <m/>
    <m/>
    <m/>
    <m/>
    <m/>
    <s v="MANGO PUREE"/>
    <s v="H08138"/>
    <s v="HONEY-LAND INTERNATIONAL PTE LTD"/>
    <m/>
    <n v="0"/>
    <n v="0"/>
    <n v="0"/>
    <n v="0"/>
    <n v="0"/>
    <n v="0"/>
    <m/>
    <m/>
    <m/>
    <s v="No"/>
    <s v="W663890"/>
    <n v="0"/>
    <m/>
    <s v="H08138"/>
    <m/>
    <m/>
    <s v="GRR62162"/>
  </r>
  <r>
    <x v="1245"/>
    <n v="10000"/>
    <n v="10000"/>
    <d v="2025-04-03T00:00:00"/>
    <s v="502LAUGH"/>
    <s v=" 8:38:48 am"/>
    <s v="40718205/3082509U9"/>
    <m/>
    <x v="2"/>
    <s v="Yes"/>
    <n v="88"/>
    <s v="OKI"/>
    <x v="4"/>
    <s v="PP24"/>
    <s v="HO HON SENG"/>
    <n v="500"/>
    <m/>
    <m/>
    <d v="2025-03-28T00:00:00"/>
    <m/>
    <n v="1"/>
    <n v="500"/>
    <s v="PE"/>
    <s v="209277A0001"/>
    <n v="0"/>
    <n v="200"/>
    <n v="300"/>
    <n v="0"/>
    <n v="0"/>
    <n v="0"/>
    <m/>
    <m/>
    <n v="0"/>
    <m/>
    <m/>
    <m/>
    <m/>
    <m/>
    <m/>
    <m/>
    <m/>
    <s v="209277A"/>
    <s v="E05185"/>
    <s v="ELECTRO SCIENTIFIC INDUSTRIES (S) PTE LTD"/>
    <m/>
    <n v="0"/>
    <n v="0"/>
    <n v="0"/>
    <n v="0"/>
    <n v="0"/>
    <n v="0"/>
    <m/>
    <m/>
    <m/>
    <s v="No"/>
    <s v="W664152"/>
    <n v="0"/>
    <m/>
    <s v="E05185"/>
    <m/>
    <m/>
    <s v="S0361706"/>
  </r>
  <r>
    <x v="1157"/>
    <n v="10000"/>
    <n v="20000"/>
    <d v="2025-03-28T00:00:00"/>
    <s v="502LAUGH"/>
    <s v=" 1:35:55 pm"/>
    <s v="J00VB8021"/>
    <m/>
    <x v="0"/>
    <s v="Yes"/>
    <n v="71"/>
    <s v="POLLY"/>
    <x v="3"/>
    <s v="PS95"/>
    <s v="LIM CHENG LEONG"/>
    <n v="1667"/>
    <m/>
    <m/>
    <d v="2025-03-28T00:00:00"/>
    <m/>
    <n v="6"/>
    <n v="10002"/>
    <s v="PE"/>
    <n v="83014520001"/>
    <n v="0"/>
    <n v="10000"/>
    <n v="2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3906"/>
    <n v="0"/>
    <m/>
    <s v="B02083"/>
    <m/>
    <m/>
    <s v="S0361714"/>
  </r>
  <r>
    <x v="1160"/>
    <n v="10000"/>
    <n v="20000"/>
    <d v="2025-03-28T00:00:00"/>
    <s v="502LAUGH"/>
    <s v=" 1:35:55 pm"/>
    <s v="J00VB8021"/>
    <m/>
    <x v="0"/>
    <s v="Yes"/>
    <n v="71"/>
    <s v="POLLY"/>
    <x v="3"/>
    <s v="PS95"/>
    <s v="LIM CHENG LEONG"/>
    <n v="834"/>
    <m/>
    <m/>
    <d v="2025-03-28T00:00:00"/>
    <m/>
    <n v="6"/>
    <n v="5004"/>
    <s v="PE"/>
    <n v="83014520001"/>
    <n v="0"/>
    <n v="5000"/>
    <n v="4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3912"/>
    <n v="0"/>
    <m/>
    <s v="B02083"/>
    <m/>
    <m/>
    <s v="S0361716"/>
  </r>
  <r>
    <x v="1246"/>
    <n v="10000"/>
    <n v="10000"/>
    <d v="2025-04-02T00:00:00"/>
    <s v="502LAUGH"/>
    <s v=" 8:32:31 am"/>
    <s v="L5305U8039"/>
    <m/>
    <x v="2"/>
    <s v="Yes"/>
    <n v="82"/>
    <s v="Polly"/>
    <x v="3"/>
    <s v="PM11"/>
    <s v="TEE MENG CHAI"/>
    <n v="8000"/>
    <m/>
    <m/>
    <d v="2025-03-28T00:00:00"/>
    <m/>
    <n v="5"/>
    <n v="40000"/>
    <s v="PE"/>
    <s v="150-02285-2K0001"/>
    <n v="0"/>
    <n v="40000"/>
    <n v="0"/>
    <n v="0"/>
    <n v="0"/>
    <n v="0"/>
    <m/>
    <m/>
    <n v="0"/>
    <m/>
    <m/>
    <m/>
    <m/>
    <m/>
    <m/>
    <m/>
    <m/>
    <s v="150-02319"/>
    <s v="I09146"/>
    <s v="MICRON SEMICONDUCTOR ASIA OPERATIONS PTE LTD"/>
    <m/>
    <n v="0"/>
    <n v="0"/>
    <n v="0"/>
    <n v="0"/>
    <n v="0"/>
    <n v="0"/>
    <m/>
    <m/>
    <m/>
    <s v="No"/>
    <s v="W663917"/>
    <n v="0"/>
    <m/>
    <s v="I09146"/>
    <m/>
    <m/>
    <s v="S0361722"/>
  </r>
  <r>
    <x v="1207"/>
    <n v="10000"/>
    <n v="20000"/>
    <d v="2025-03-28T00:00:00"/>
    <s v="502LAUGH"/>
    <s v=" 5:54:14 pm"/>
    <s v="J00X14971"/>
    <m/>
    <x v="0"/>
    <s v="Yes"/>
    <n v="86"/>
    <s v="Brotech DF330 "/>
    <x v="0"/>
    <s v="PM45"/>
    <s v="TAY CHIN LIONG"/>
    <n v="3600"/>
    <n v="105"/>
    <n v="1.75"/>
    <d v="2025-03-28T00:00:00"/>
    <m/>
    <n v="30"/>
    <n v="108000"/>
    <s v="PE"/>
    <s v="T8-S-309717-R0001"/>
    <n v="0"/>
    <n v="100000"/>
    <n v="8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26"/>
    <n v="0"/>
    <m/>
    <s v="G07042"/>
    <m/>
    <m/>
    <s v="S0361698"/>
  </r>
  <r>
    <x v="1208"/>
    <n v="10000"/>
    <n v="20000"/>
    <d v="2025-03-28T00:00:00"/>
    <s v="502LAUGH"/>
    <s v=" 1:08:19 pm"/>
    <s v="J00X14971"/>
    <m/>
    <x v="0"/>
    <s v="Yes"/>
    <n v="86"/>
    <s v="Brotech DF330 "/>
    <x v="0"/>
    <s v="PM45"/>
    <s v="TAY CHIN LIONG"/>
    <n v="1719"/>
    <n v="73.650000000000006"/>
    <n v="1.2275"/>
    <d v="2025-03-28T00:00:00"/>
    <m/>
    <n v="64"/>
    <n v="110016"/>
    <s v="PE"/>
    <s v="T8-S-309718-R0001"/>
    <n v="0"/>
    <n v="100000"/>
    <n v="10016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27"/>
    <n v="0"/>
    <m/>
    <s v="G07042"/>
    <m/>
    <m/>
    <s v="S0361698"/>
  </r>
  <r>
    <x v="1209"/>
    <n v="10000"/>
    <n v="20000"/>
    <d v="2025-03-28T00:00:00"/>
    <s v="502LAUGH"/>
    <s v=" 5:54:14 pm"/>
    <s v="J00X14971"/>
    <m/>
    <x v="0"/>
    <s v="Yes"/>
    <n v="86"/>
    <s v="Brotech DF330 "/>
    <x v="0"/>
    <s v="PM45"/>
    <s v="TAY CHIN LIONG"/>
    <n v="3600"/>
    <n v="105"/>
    <n v="1.75"/>
    <d v="2025-03-28T00:00:00"/>
    <m/>
    <n v="30"/>
    <n v="108000"/>
    <s v="PE"/>
    <s v="T8-S-309717-R0001"/>
    <n v="0"/>
    <n v="100000"/>
    <n v="8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28"/>
    <n v="0"/>
    <m/>
    <s v="G07042"/>
    <m/>
    <m/>
    <s v="S0361742"/>
  </r>
  <r>
    <x v="1210"/>
    <n v="10000"/>
    <n v="20000"/>
    <d v="2025-03-28T00:00:00"/>
    <s v="502LAUGH"/>
    <s v=" 1:08:19 pm"/>
    <s v="J00X14971"/>
    <m/>
    <x v="0"/>
    <s v="Yes"/>
    <n v="86"/>
    <s v="Brotech DF330 "/>
    <x v="0"/>
    <s v="PM45"/>
    <s v="TAY CHIN LIONG"/>
    <n v="1719"/>
    <n v="73.650000000000006"/>
    <n v="1.2275"/>
    <d v="2025-03-28T00:00:00"/>
    <m/>
    <n v="64"/>
    <n v="110016"/>
    <s v="PE"/>
    <s v="T8-S-309718-R0001"/>
    <n v="0"/>
    <n v="100000"/>
    <n v="10016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29"/>
    <n v="0"/>
    <m/>
    <s v="G07042"/>
    <m/>
    <m/>
    <s v="S0361742"/>
  </r>
  <r>
    <x v="1211"/>
    <n v="10000"/>
    <n v="20000"/>
    <d v="2025-03-28T00:00:00"/>
    <s v="502LAUGH"/>
    <s v=" 5:54:14 pm"/>
    <s v="J00X14971"/>
    <m/>
    <x v="0"/>
    <s v="Yes"/>
    <n v="86"/>
    <s v="Brotech DF330 "/>
    <x v="0"/>
    <s v="PM45"/>
    <s v="TAY CHIN LIONG"/>
    <n v="3600"/>
    <n v="105"/>
    <n v="1.75"/>
    <d v="2025-03-28T00:00:00"/>
    <m/>
    <n v="30"/>
    <n v="108000"/>
    <s v="PE"/>
    <s v="T8-S-309717-R0001"/>
    <n v="0"/>
    <n v="100000"/>
    <n v="8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30"/>
    <n v="0"/>
    <m/>
    <s v="G07042"/>
    <m/>
    <m/>
    <s v="S0361743"/>
  </r>
  <r>
    <x v="1212"/>
    <n v="10000"/>
    <n v="20000"/>
    <d v="2025-03-28T00:00:00"/>
    <s v="502LAUGH"/>
    <s v=" 1:08:19 pm"/>
    <s v="J00X14971"/>
    <m/>
    <x v="0"/>
    <s v="Yes"/>
    <n v="86"/>
    <s v="Brotech DF330 "/>
    <x v="0"/>
    <s v="PM45"/>
    <s v="TAY CHIN LIONG"/>
    <n v="1719"/>
    <n v="73.650000000000006"/>
    <n v="1.2275"/>
    <d v="2025-03-28T00:00:00"/>
    <m/>
    <n v="64"/>
    <n v="110016"/>
    <s v="PE"/>
    <s v="T8-S-309718-R0001"/>
    <n v="0"/>
    <n v="100000"/>
    <n v="10016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31"/>
    <n v="0"/>
    <m/>
    <s v="G07042"/>
    <m/>
    <m/>
    <s v="S0361743"/>
  </r>
  <r>
    <x v="1213"/>
    <n v="10000"/>
    <n v="20000"/>
    <d v="2025-03-28T00:00:00"/>
    <s v="502LAUGH"/>
    <s v=" 5:54:14 pm"/>
    <s v="J00X14971"/>
    <m/>
    <x v="0"/>
    <s v="Yes"/>
    <n v="86"/>
    <s v="Brotech DF330 "/>
    <x v="0"/>
    <s v="PM45"/>
    <s v="TAY CHIN LIONG"/>
    <n v="3600"/>
    <n v="105"/>
    <n v="1.75"/>
    <d v="2025-03-28T00:00:00"/>
    <m/>
    <n v="30"/>
    <n v="108000"/>
    <s v="PE"/>
    <s v="T8-S-309717-R0001"/>
    <n v="0"/>
    <n v="100000"/>
    <n v="8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3932"/>
    <n v="0"/>
    <m/>
    <s v="G07042"/>
    <m/>
    <m/>
    <s v="S0361745"/>
  </r>
  <r>
    <x v="1214"/>
    <n v="10000"/>
    <n v="20000"/>
    <d v="2025-03-28T00:00:00"/>
    <s v="502LAUGH"/>
    <s v=" 1:08:19 pm"/>
    <s v="J00X14971"/>
    <m/>
    <x v="0"/>
    <s v="Yes"/>
    <n v="86"/>
    <s v="Brotech DF330 "/>
    <x v="0"/>
    <s v="PM45"/>
    <s v="TAY CHIN LIONG"/>
    <n v="1719"/>
    <n v="73.650000000000006"/>
    <n v="1.2275"/>
    <d v="2025-03-28T00:00:00"/>
    <m/>
    <n v="64"/>
    <n v="110016"/>
    <s v="PE"/>
    <s v="T8-S-309718-R0001"/>
    <n v="0"/>
    <n v="100000"/>
    <n v="10016"/>
    <n v="0"/>
    <n v="0"/>
    <n v="0"/>
    <m/>
    <m/>
    <n v="0"/>
    <m/>
    <m/>
    <m/>
    <m/>
    <m/>
    <m/>
    <m/>
    <m/>
    <s v="T8-S-309718-R"/>
    <s v="G07042"/>
    <s v="GES (SINGAPORE) PTE LTD"/>
    <m/>
    <n v="0"/>
    <n v="0"/>
    <n v="0"/>
    <n v="0"/>
    <n v="0"/>
    <n v="0"/>
    <m/>
    <m/>
    <m/>
    <s v="No"/>
    <s v="W663933"/>
    <n v="0"/>
    <m/>
    <s v="G07042"/>
    <m/>
    <m/>
    <s v="S0361745"/>
  </r>
  <r>
    <x v="1247"/>
    <n v="10000"/>
    <n v="10000"/>
    <d v="2025-03-28T00:00:00"/>
    <s v="502LAUGH"/>
    <d v="1899-12-30T12:40:15"/>
    <s v="4170S1/3830U7060"/>
    <m/>
    <x v="2"/>
    <s v="Yes"/>
    <n v="61"/>
    <s v="FSK 520"/>
    <x v="2"/>
    <s v="PM68"/>
    <s v="LEE KIM LIANG"/>
    <n v="2000"/>
    <n v="85"/>
    <n v="1.4166666666666667"/>
    <d v="2025-03-28T00:00:00"/>
    <m/>
    <n v="1"/>
    <n v="2000"/>
    <s v="PE"/>
    <n v="4.50019086004E+17"/>
    <n v="0"/>
    <n v="2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63935"/>
    <n v="0"/>
    <m/>
    <s v="T20096"/>
    <m/>
    <m/>
    <s v="S0361750"/>
  </r>
  <r>
    <x v="1216"/>
    <n v="10000"/>
    <n v="20000"/>
    <d v="2025-03-28T00:00:00"/>
    <s v="502LAUGH"/>
    <s v=" 5:25:13 pm"/>
    <s v="J00VB8021"/>
    <m/>
    <x v="0"/>
    <s v="Yes"/>
    <n v="71"/>
    <s v="POLLY"/>
    <x v="3"/>
    <s v="PS95"/>
    <s v="LIM CHENG LEONG"/>
    <n v="1000"/>
    <m/>
    <m/>
    <d v="2025-03-28T00:00:00"/>
    <m/>
    <n v="6"/>
    <n v="6000"/>
    <s v="PE"/>
    <n v="83615110001"/>
    <n v="0"/>
    <n v="6000"/>
    <n v="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3945"/>
    <n v="0"/>
    <m/>
    <s v="B02083"/>
    <m/>
    <m/>
    <s v="S0361915"/>
  </r>
  <r>
    <x v="1217"/>
    <n v="10000"/>
    <n v="20000"/>
    <d v="2025-03-28T00:00:00"/>
    <s v="502LAUGH"/>
    <s v=" 5:26:40 pm"/>
    <s v="J00VB8021"/>
    <m/>
    <x v="0"/>
    <s v="Yes"/>
    <n v="71"/>
    <s v="POLLY"/>
    <x v="3"/>
    <s v="PS95"/>
    <s v="LIM CHENG LEONG"/>
    <n v="834"/>
    <m/>
    <m/>
    <d v="2025-03-28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3946"/>
    <n v="0"/>
    <m/>
    <s v="B02083"/>
    <m/>
    <m/>
    <s v="S0361915"/>
  </r>
  <r>
    <x v="1248"/>
    <n v="10000"/>
    <n v="10000"/>
    <d v="2025-03-28T00:00:00"/>
    <s v="502LAUGH"/>
    <s v=" 2:42:18 pm"/>
    <s v="J00VB8021"/>
    <m/>
    <x v="2"/>
    <s v="Yes"/>
    <n v="72"/>
    <s v="Xeikon 3500"/>
    <x v="4"/>
    <s v="PM17"/>
    <s v="NG SWEE CHEA"/>
    <n v="1750"/>
    <m/>
    <m/>
    <d v="2025-03-28T00:00:00"/>
    <m/>
    <n v="4"/>
    <n v="7000"/>
    <s v="PE"/>
    <n v="5000435340001"/>
    <n v="0"/>
    <n v="5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953"/>
    <n v="0"/>
    <m/>
    <s v="B02083"/>
    <m/>
    <m/>
    <s v="S0361918"/>
  </r>
  <r>
    <x v="1248"/>
    <n v="10000"/>
    <n v="20000"/>
    <d v="2025-03-28T00:00:00"/>
    <s v="502LAUGH"/>
    <s v=" 2:42:18 pm"/>
    <s v="J00VB8021"/>
    <m/>
    <x v="0"/>
    <s v="Yes"/>
    <n v="82"/>
    <s v="Polly"/>
    <x v="3"/>
    <s v="PM11"/>
    <s v="TEE MENG CHAI"/>
    <n v="1167"/>
    <m/>
    <m/>
    <d v="2025-03-28T00:00:00"/>
    <m/>
    <n v="6"/>
    <n v="7002"/>
    <s v="PE"/>
    <n v="5000435340001"/>
    <n v="0"/>
    <n v="5000"/>
    <n v="2002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953"/>
    <n v="0"/>
    <m/>
    <s v="B02083"/>
    <m/>
    <m/>
    <s v="S0361918"/>
  </r>
  <r>
    <x v="1249"/>
    <n v="10000"/>
    <n v="10000"/>
    <d v="2025-03-28T00:00:00"/>
    <s v="502LAUGH"/>
    <s v=" 2:42:18 pm"/>
    <s v="J00VB8021"/>
    <m/>
    <x v="2"/>
    <s v="Yes"/>
    <n v="72"/>
    <s v="Xeikon 3500"/>
    <x v="4"/>
    <s v="PM17"/>
    <s v="NG SWEE CHEA"/>
    <n v="1750"/>
    <m/>
    <m/>
    <d v="2025-03-28T00:00:00"/>
    <m/>
    <n v="4"/>
    <n v="7000"/>
    <s v="PE"/>
    <n v="5000435340001"/>
    <n v="0"/>
    <n v="5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956"/>
    <n v="0"/>
    <m/>
    <s v="B02083"/>
    <m/>
    <m/>
    <s v="S0361919"/>
  </r>
  <r>
    <x v="1249"/>
    <n v="10000"/>
    <n v="20000"/>
    <d v="2025-03-28T00:00:00"/>
    <s v="502LAUGH"/>
    <s v=" 2:42:18 pm"/>
    <s v="J00VB8021"/>
    <m/>
    <x v="0"/>
    <s v="Yes"/>
    <n v="82"/>
    <s v="Polly"/>
    <x v="3"/>
    <s v="PM11"/>
    <s v="TEE MENG CHAI"/>
    <n v="1167"/>
    <m/>
    <m/>
    <d v="2025-03-28T00:00:00"/>
    <m/>
    <n v="6"/>
    <n v="7002"/>
    <s v="PE"/>
    <n v="5000435340001"/>
    <n v="0"/>
    <n v="5000"/>
    <n v="2002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3956"/>
    <n v="0"/>
    <m/>
    <s v="B02083"/>
    <m/>
    <m/>
    <s v="S0361919"/>
  </r>
  <r>
    <x v="1250"/>
    <n v="10000"/>
    <n v="10000"/>
    <d v="2025-04-11T00:00:00"/>
    <s v="502LAUGH"/>
    <d v="1899-12-30T11:10:55"/>
    <s v="BZC064-08"/>
    <s v="SC31633"/>
    <x v="2"/>
    <s v="No"/>
    <n v="79"/>
    <s v="HP Indigo 6800"/>
    <x v="4"/>
    <s v="PM21"/>
    <s v="LIM JIA FAN"/>
    <n v="11400"/>
    <m/>
    <m/>
    <d v="2025-03-29T00:00:00"/>
    <m/>
    <n v="5"/>
    <n v="57000"/>
    <s v="PE"/>
    <s v="RR 6X6-WHITE0001"/>
    <n v="0"/>
    <n v="0"/>
    <n v="0"/>
    <n v="0"/>
    <n v="0"/>
    <n v="0"/>
    <m/>
    <m/>
    <n v="0"/>
    <m/>
    <m/>
    <m/>
    <s v="No"/>
    <n v="0"/>
    <s v="No"/>
    <m/>
    <m/>
    <s v="RR 6X6-WHITE"/>
    <s v="E05203"/>
    <s v="E-Z LETTERING SERVICE"/>
    <m/>
    <n v="0"/>
    <n v="0"/>
    <n v="0"/>
    <n v="0"/>
    <n v="0"/>
    <n v="0"/>
    <m/>
    <m/>
    <m/>
    <s v="No"/>
    <m/>
    <m/>
    <m/>
    <s v="E05203"/>
    <m/>
    <m/>
    <s v="S0355056"/>
  </r>
  <r>
    <x v="1251"/>
    <n v="10000"/>
    <n v="20000"/>
    <d v="2025-04-01T00:00:00"/>
    <s v="502LAUGH"/>
    <s v=" 8:35:19 am"/>
    <s v="M0BTQ4850"/>
    <s v="SC26016S"/>
    <x v="2"/>
    <s v="No"/>
    <n v="94"/>
    <s v="Taiyo"/>
    <x v="2"/>
    <s v="PM09"/>
    <s v="PANG JING FULL"/>
    <n v="10000"/>
    <m/>
    <m/>
    <d v="2025-03-29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08"/>
  </r>
  <r>
    <x v="1252"/>
    <n v="10000"/>
    <n v="20000"/>
    <d v="2025-04-01T00:00:00"/>
    <s v="502LAUGH"/>
    <s v=" 8:39:14 am"/>
    <s v="M0BTQ4850"/>
    <s v="SC26016S"/>
    <x v="2"/>
    <s v="No"/>
    <n v="94"/>
    <s v="Taiyo"/>
    <x v="2"/>
    <s v="PM09"/>
    <s v="PANG JING FULL"/>
    <n v="10000"/>
    <m/>
    <m/>
    <d v="2025-03-29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709"/>
  </r>
  <r>
    <x v="1112"/>
    <n v="10000"/>
    <n v="20000"/>
    <d v="2025-04-01T00:00:00"/>
    <s v="502LAUGH"/>
    <s v=" 8:43:30 am"/>
    <s v="SG-5650696"/>
    <s v="FSC29943"/>
    <x v="2"/>
    <s v="No"/>
    <n v="73"/>
    <s v="Brotech DF330"/>
    <x v="0"/>
    <s v="PM59"/>
    <s v="VOON CHAN PIN"/>
    <n v="6000"/>
    <n v="145"/>
    <n v="2.4166666666666665"/>
    <d v="2025-03-29T00:00:00"/>
    <m/>
    <n v="12"/>
    <n v="72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20"/>
  </r>
  <r>
    <x v="1253"/>
    <n v="10000"/>
    <n v="10000"/>
    <d v="2025-04-04T00:00:00"/>
    <s v="502LAUGH"/>
    <s v=" 8:42:11 am"/>
    <s v="SG-5650696"/>
    <s v="FSC29943"/>
    <x v="2"/>
    <s v="No"/>
    <n v="73"/>
    <s v="Brotech DF330"/>
    <x v="0"/>
    <s v="PM59"/>
    <s v="VOON CHAN PIN"/>
    <n v="12000"/>
    <n v="245"/>
    <n v="4.083333333333333"/>
    <d v="2025-03-29T00:00:00"/>
    <m/>
    <n v="12"/>
    <n v="144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21"/>
  </r>
  <r>
    <x v="1253"/>
    <n v="10000"/>
    <n v="20000"/>
    <d v="2025-04-04T00:00:00"/>
    <s v="502LAUGH"/>
    <s v=" 8:42:11 am"/>
    <s v="SG-5650696"/>
    <s v="FSC29943"/>
    <x v="2"/>
    <s v="No"/>
    <n v="73"/>
    <s v="Brotech DF330"/>
    <x v="0"/>
    <s v="PM18"/>
    <s v="LAI CHIN YANG"/>
    <n v="48000"/>
    <m/>
    <m/>
    <d v="2025-03-29T00:00:00"/>
    <m/>
    <n v="12"/>
    <n v="57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21"/>
  </r>
  <r>
    <x v="1254"/>
    <n v="10000"/>
    <n v="10000"/>
    <d v="2025-04-02T00:00:00"/>
    <s v="502LAUGH"/>
    <d v="1899-12-30T11:24:16"/>
    <s v="J00WT7100"/>
    <s v="BC14073"/>
    <x v="2"/>
    <s v="No"/>
    <n v="72"/>
    <s v="Xeikon 3500"/>
    <x v="4"/>
    <s v="PMJ4"/>
    <s v="LEE JUN HONG"/>
    <n v="1750"/>
    <m/>
    <m/>
    <d v="2025-03-29T00:00:00"/>
    <m/>
    <n v="4"/>
    <n v="7000"/>
    <s v="PE"/>
    <n v="5000435330001"/>
    <n v="0"/>
    <n v="0"/>
    <n v="0"/>
    <n v="0"/>
    <n v="0"/>
    <n v="0"/>
    <m/>
    <m/>
    <n v="0"/>
    <m/>
    <m/>
    <m/>
    <s v="No"/>
    <n v="0"/>
    <s v="No"/>
    <m/>
    <m/>
    <n v="50004353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918"/>
  </r>
  <r>
    <x v="1178"/>
    <n v="10000"/>
    <n v="20000"/>
    <d v="2025-04-02T00:00:00"/>
    <s v="502LAUGH"/>
    <s v=" 4:28:41 pm"/>
    <s v="JOOWA6862/J00WA7110/J00TP91911525/J00WA6960"/>
    <m/>
    <x v="2"/>
    <s v="Yes"/>
    <n v="110"/>
    <s v="Brotech"/>
    <x v="0"/>
    <s v="PM40"/>
    <s v="NGOI CHUN YONG"/>
    <n v="76500"/>
    <n v="1320"/>
    <n v="22"/>
    <d v="2025-03-29T00:00:00"/>
    <m/>
    <n v="4"/>
    <n v="306000"/>
    <s v="PE"/>
    <s v="Z980 REV11.00001"/>
    <n v="0"/>
    <n v="305394"/>
    <n v="606"/>
    <n v="0"/>
    <n v="0"/>
    <n v="0"/>
    <m/>
    <m/>
    <n v="0"/>
    <m/>
    <m/>
    <m/>
    <m/>
    <m/>
    <m/>
    <m/>
    <m/>
    <s v="Z980 REV11.0"/>
    <s v="R18131"/>
    <s v="RESMED ASIA PTE LTD"/>
    <m/>
    <n v="0"/>
    <n v="0"/>
    <n v="0"/>
    <n v="0"/>
    <n v="0"/>
    <n v="0"/>
    <m/>
    <m/>
    <m/>
    <s v="No"/>
    <s v="W664071"/>
    <n v="0"/>
    <m/>
    <s v="R18131"/>
    <m/>
    <m/>
    <s v="S0357431"/>
  </r>
  <r>
    <x v="999"/>
    <n v="10000"/>
    <n v="40000"/>
    <d v="2025-04-01T00:00:00"/>
    <s v="502LAUGH"/>
    <s v=" 8:47:03 am"/>
    <s v="J00WA5830/J00TP9191"/>
    <m/>
    <x v="2"/>
    <s v="Yes"/>
    <n v="111"/>
    <s v="Brotech"/>
    <x v="0"/>
    <s v="PS07"/>
    <s v="KANG HOCK SENG"/>
    <n v="15500"/>
    <n v="303.33333333333331"/>
    <n v="5.0555555555555554"/>
    <d v="2025-03-29T00:00:00"/>
    <m/>
    <n v="8"/>
    <n v="124000"/>
    <s v="PE"/>
    <s v="Z512 REV 6.00001"/>
    <n v="0"/>
    <n v="123850"/>
    <n v="15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3543"/>
    <n v="0"/>
    <m/>
    <s v="R18131"/>
    <m/>
    <m/>
    <s v="S0357523"/>
  </r>
  <r>
    <x v="1255"/>
    <n v="10000"/>
    <n v="10000"/>
    <d v="2025-04-02T00:00:00"/>
    <s v="502LAUGH"/>
    <s v=" 2:22:20 pm"/>
    <s v="M0BUF4241"/>
    <m/>
    <x v="2"/>
    <s v="Yes"/>
    <n v="29"/>
    <s v="Sanki SKP250 Full Rotary"/>
    <x v="2"/>
    <s v="PS70"/>
    <s v="YEO WOO KEONG"/>
    <n v="24000"/>
    <n v="645"/>
    <n v="10.75"/>
    <d v="2025-03-2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4090"/>
    <n v="0"/>
    <m/>
    <s v="S19081-TH"/>
    <m/>
    <m/>
    <s v="H0064753"/>
  </r>
  <r>
    <x v="1256"/>
    <n v="10000"/>
    <n v="10000"/>
    <d v="2025-04-02T00:00:00"/>
    <s v="502LAUGH"/>
    <s v=" 3:37:47 pm"/>
    <s v="4101908U5A"/>
    <m/>
    <x v="2"/>
    <s v="Yes"/>
    <n v="12"/>
    <s v="FSK SR520"/>
    <x v="2"/>
    <s v="PP05"/>
    <s v="WONG KIM FATT"/>
    <n v="45000"/>
    <n v="945"/>
    <n v="15.75"/>
    <d v="2025-03-29T00:00:00"/>
    <m/>
    <n v="1"/>
    <n v="45000"/>
    <s v="PE"/>
    <s v="250-6222-000001"/>
    <n v="0"/>
    <n v="45000"/>
    <n v="0"/>
    <n v="0"/>
    <n v="0"/>
    <n v="0"/>
    <m/>
    <m/>
    <n v="0"/>
    <m/>
    <m/>
    <m/>
    <m/>
    <m/>
    <m/>
    <m/>
    <m/>
    <s v="250-6222-00"/>
    <s v="J10025"/>
    <s v="JMS SINGAPORE PTE LTD"/>
    <m/>
    <n v="0"/>
    <n v="0"/>
    <n v="0"/>
    <n v="0"/>
    <n v="0"/>
    <n v="0"/>
    <m/>
    <m/>
    <m/>
    <s v="No"/>
    <s v="W664095"/>
    <n v="0"/>
    <m/>
    <s v="J10025"/>
    <m/>
    <m/>
    <s v="S0361174"/>
  </r>
  <r>
    <x v="1192"/>
    <n v="10000"/>
    <n v="20000"/>
    <d v="2025-04-01T00:00:00"/>
    <s v="502LAUGH"/>
    <s v=" 8:37:33 am"/>
    <s v="J00VB8021"/>
    <m/>
    <x v="0"/>
    <s v="Yes"/>
    <n v="71"/>
    <s v="POLLY"/>
    <x v="3"/>
    <s v="PS95"/>
    <s v="LIM CHENG LEONG"/>
    <n v="2500"/>
    <m/>
    <m/>
    <d v="2025-03-29T00:00:00"/>
    <m/>
    <n v="6"/>
    <n v="15000"/>
    <s v="PE"/>
    <n v="83615250001"/>
    <n v="0"/>
    <n v="15000"/>
    <n v="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736"/>
    <n v="0"/>
    <m/>
    <s v="B02083"/>
    <m/>
    <m/>
    <s v="S0361249"/>
  </r>
  <r>
    <x v="1194"/>
    <n v="10000"/>
    <n v="20000"/>
    <d v="2025-04-01T00:00:00"/>
    <s v="502LAUGH"/>
    <s v=" 8:34:01 am"/>
    <s v="J00VB8021"/>
    <m/>
    <x v="0"/>
    <s v="Yes"/>
    <n v="71"/>
    <s v="POLLY"/>
    <x v="3"/>
    <s v="PS95"/>
    <s v="LIM CHENG LEONG"/>
    <n v="2500"/>
    <m/>
    <m/>
    <d v="2025-03-29T00:00:00"/>
    <m/>
    <n v="6"/>
    <n v="15000"/>
    <s v="PE"/>
    <n v="5000444460001"/>
    <n v="0"/>
    <n v="15000"/>
    <n v="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738"/>
    <n v="0"/>
    <m/>
    <s v="B02083"/>
    <m/>
    <m/>
    <s v="S0361249"/>
  </r>
  <r>
    <x v="1257"/>
    <n v="10000"/>
    <n v="20000"/>
    <d v="2025-04-04T00:00:00"/>
    <s v="502LAUGH"/>
    <s v=" 8:34:07 am"/>
    <s v="U4A04S306"/>
    <m/>
    <x v="2"/>
    <s v="Yes"/>
    <n v="72"/>
    <s v="Xeikon 3500"/>
    <x v="4"/>
    <s v="PMJ4"/>
    <s v="LEE JUN HONG"/>
    <n v="1000"/>
    <m/>
    <m/>
    <d v="2025-03-29T00:00:00"/>
    <m/>
    <n v="4"/>
    <n v="4000"/>
    <s v="PE"/>
    <s v="60005003-D LIGHT0001"/>
    <n v="0"/>
    <n v="2000"/>
    <n v="2000"/>
    <n v="0"/>
    <n v="0"/>
    <n v="0"/>
    <m/>
    <m/>
    <n v="0"/>
    <m/>
    <m/>
    <m/>
    <m/>
    <m/>
    <m/>
    <m/>
    <m/>
    <s v="60005003-D LIGHT GRN"/>
    <s v="B02083"/>
    <s v="BECTON DICKINSON MEDICAL (S) PTE LTD"/>
    <m/>
    <n v="0"/>
    <n v="0"/>
    <n v="0"/>
    <n v="0"/>
    <n v="0"/>
    <n v="0"/>
    <m/>
    <m/>
    <m/>
    <s v="No"/>
    <s v="W664113"/>
    <n v="0"/>
    <m/>
    <s v="B02083"/>
    <m/>
    <m/>
    <s v="S0361285"/>
  </r>
  <r>
    <x v="1258"/>
    <n v="10000"/>
    <n v="20000"/>
    <d v="2025-04-03T00:00:00"/>
    <s v="502LAUGH"/>
    <s v=" 8:36:27 am"/>
    <s v="U4A04S306"/>
    <m/>
    <x v="2"/>
    <s v="Yes"/>
    <n v="72"/>
    <s v="Xeikon 3500"/>
    <x v="4"/>
    <s v="PMJ4"/>
    <s v="LEE JUN HONG"/>
    <n v="1000"/>
    <m/>
    <m/>
    <d v="2025-03-29T00:00:00"/>
    <m/>
    <n v="4"/>
    <n v="4000"/>
    <s v="PE"/>
    <s v="60005003-D-BLUE0001"/>
    <n v="0"/>
    <n v="2000"/>
    <n v="2000"/>
    <n v="0"/>
    <n v="0"/>
    <n v="0"/>
    <m/>
    <m/>
    <n v="0"/>
    <m/>
    <m/>
    <m/>
    <m/>
    <m/>
    <m/>
    <m/>
    <m/>
    <s v="60005003-D-BLUE"/>
    <s v="B02083"/>
    <s v="BECTON DICKINSON MEDICAL (S) PTE LTD"/>
    <m/>
    <n v="0"/>
    <n v="0"/>
    <n v="0"/>
    <n v="0"/>
    <n v="0"/>
    <n v="0"/>
    <m/>
    <m/>
    <m/>
    <s v="No"/>
    <s v="W663753"/>
    <n v="0"/>
    <m/>
    <s v="B02083"/>
    <m/>
    <m/>
    <s v="S0361285"/>
  </r>
  <r>
    <x v="1259"/>
    <n v="10000"/>
    <n v="10000"/>
    <d v="2025-04-03T00:00:00"/>
    <s v="502LAUGH"/>
    <s v=" 5:04:42 pm"/>
    <s v="U4A04S306"/>
    <m/>
    <x v="2"/>
    <s v="Yes"/>
    <n v="72"/>
    <s v="Xeikon 3500"/>
    <x v="4"/>
    <s v="PMJ4"/>
    <s v="LEE JUN HONG"/>
    <n v="4500"/>
    <m/>
    <m/>
    <d v="2025-03-29T00:00:00"/>
    <m/>
    <n v="4"/>
    <n v="18000"/>
    <s v="PE"/>
    <s v="60005003-D-DARK 0001"/>
    <n v="0"/>
    <n v="15000"/>
    <n v="3000"/>
    <n v="0"/>
    <n v="0"/>
    <n v="0"/>
    <m/>
    <m/>
    <n v="0"/>
    <m/>
    <m/>
    <m/>
    <m/>
    <m/>
    <m/>
    <m/>
    <m/>
    <s v="60005003-D-DARK GREY"/>
    <s v="B02083"/>
    <s v="BECTON DICKINSON MEDICAL (S) PTE LTD"/>
    <m/>
    <n v="0"/>
    <n v="0"/>
    <n v="0"/>
    <n v="0"/>
    <n v="0"/>
    <n v="0"/>
    <m/>
    <m/>
    <m/>
    <s v="No"/>
    <s v="W664114"/>
    <n v="0"/>
    <m/>
    <s v="B02083"/>
    <m/>
    <m/>
    <s v="S0361285"/>
  </r>
  <r>
    <x v="1260"/>
    <n v="10000"/>
    <n v="10000"/>
    <d v="2025-04-02T00:00:00"/>
    <s v="502LAUGH"/>
    <d v="1899-12-30T11:27:08"/>
    <s v="U4A04S306"/>
    <m/>
    <x v="2"/>
    <s v="Yes"/>
    <n v="72"/>
    <s v="Xeikon 3500"/>
    <x v="4"/>
    <s v="PMJ4"/>
    <s v="LEE JUN HONG"/>
    <n v="1750"/>
    <m/>
    <m/>
    <d v="2025-03-29T00:00:00"/>
    <m/>
    <n v="4"/>
    <n v="7000"/>
    <s v="PE"/>
    <s v="60005003-D-GREEN0001"/>
    <n v="0"/>
    <n v="5000"/>
    <n v="2000"/>
    <n v="0"/>
    <n v="0"/>
    <n v="0"/>
    <m/>
    <m/>
    <n v="0"/>
    <m/>
    <m/>
    <m/>
    <m/>
    <m/>
    <m/>
    <m/>
    <m/>
    <s v="60005003-D-GREEN"/>
    <s v="B02083"/>
    <s v="BECTON DICKINSON MEDICAL (S) PTE LTD"/>
    <m/>
    <n v="0"/>
    <n v="0"/>
    <n v="0"/>
    <n v="0"/>
    <n v="0"/>
    <n v="0"/>
    <m/>
    <m/>
    <m/>
    <s v="No"/>
    <s v="W663754"/>
    <n v="0"/>
    <m/>
    <s v="B02083"/>
    <m/>
    <m/>
    <s v="S0361285"/>
  </r>
  <r>
    <x v="1261"/>
    <n v="10000"/>
    <n v="10000"/>
    <d v="2025-04-04T00:00:00"/>
    <s v="502LAUGH"/>
    <s v=" 8:33:27 am"/>
    <s v="U4A04S306"/>
    <m/>
    <x v="2"/>
    <s v="Yes"/>
    <n v="72"/>
    <s v="Xeikon 3500"/>
    <x v="4"/>
    <s v="PMJ4"/>
    <s v="LEE JUN HONG"/>
    <n v="1250"/>
    <m/>
    <m/>
    <d v="2025-03-29T00:00:00"/>
    <m/>
    <n v="4"/>
    <n v="5000"/>
    <s v="PE"/>
    <s v="60005003-D-IVORY0001"/>
    <n v="0"/>
    <n v="3000"/>
    <n v="2000"/>
    <n v="0"/>
    <n v="0"/>
    <n v="0"/>
    <m/>
    <m/>
    <n v="0"/>
    <m/>
    <m/>
    <m/>
    <m/>
    <m/>
    <m/>
    <m/>
    <m/>
    <s v="60005003-D-IVORY"/>
    <s v="B02083"/>
    <s v="BECTON DICKINSON MEDICAL (S) PTE LTD"/>
    <m/>
    <n v="0"/>
    <n v="0"/>
    <n v="0"/>
    <n v="0"/>
    <n v="0"/>
    <n v="0"/>
    <m/>
    <m/>
    <m/>
    <s v="No"/>
    <s v="W664115"/>
    <n v="0"/>
    <m/>
    <s v="B02083"/>
    <m/>
    <m/>
    <s v="S0361285"/>
  </r>
  <r>
    <x v="1262"/>
    <n v="10000"/>
    <n v="10000"/>
    <d v="2025-04-02T00:00:00"/>
    <s v="502LAUGH"/>
    <s v=" 3:35:20 pm"/>
    <s v="U4A04S306"/>
    <m/>
    <x v="2"/>
    <s v="Yes"/>
    <n v="72"/>
    <s v="Xeikon 3500"/>
    <x v="4"/>
    <s v="PMJ4"/>
    <s v="LEE JUN HONG"/>
    <n v="500"/>
    <m/>
    <m/>
    <d v="2025-03-29T00:00:00"/>
    <m/>
    <n v="4"/>
    <n v="2000"/>
    <s v="PE"/>
    <s v="60005003-D-ROSE0001"/>
    <n v="0"/>
    <n v="1000"/>
    <n v="1000"/>
    <n v="0"/>
    <n v="0"/>
    <n v="0"/>
    <m/>
    <m/>
    <n v="0"/>
    <m/>
    <m/>
    <m/>
    <m/>
    <m/>
    <m/>
    <m/>
    <m/>
    <s v="60005003-D-ROSE"/>
    <s v="B02083"/>
    <s v="BECTON DICKINSON MEDICAL (S) PTE LTD"/>
    <m/>
    <n v="0"/>
    <n v="0"/>
    <n v="0"/>
    <n v="0"/>
    <n v="0"/>
    <n v="0"/>
    <m/>
    <m/>
    <m/>
    <s v="No"/>
    <s v="W663755"/>
    <n v="0"/>
    <m/>
    <s v="B02083"/>
    <m/>
    <m/>
    <s v="S0361285"/>
  </r>
  <r>
    <x v="1263"/>
    <n v="10000"/>
    <n v="10000"/>
    <d v="2025-04-02T00:00:00"/>
    <s v="502LAUGH"/>
    <s v=" 4:17:10 pm"/>
    <s v="U4A04S306"/>
    <m/>
    <x v="2"/>
    <s v="Yes"/>
    <n v="72"/>
    <s v="Xeikon 3500"/>
    <x v="4"/>
    <s v="PMJ4"/>
    <s v="LEE JUN HONG"/>
    <n v="1000"/>
    <m/>
    <m/>
    <d v="2025-03-29T00:00:00"/>
    <m/>
    <n v="4"/>
    <n v="4000"/>
    <s v="PE"/>
    <s v="60005003-D-WHITE0001"/>
    <n v="0"/>
    <n v="2000"/>
    <n v="2000"/>
    <n v="0"/>
    <n v="0"/>
    <n v="0"/>
    <m/>
    <m/>
    <n v="0"/>
    <m/>
    <m/>
    <m/>
    <m/>
    <m/>
    <m/>
    <m/>
    <m/>
    <s v="60005003-D-WHITE"/>
    <s v="B02083"/>
    <s v="BECTON DICKINSON MEDICAL (S) PTE LTD"/>
    <m/>
    <n v="0"/>
    <n v="0"/>
    <n v="0"/>
    <n v="0"/>
    <n v="0"/>
    <n v="0"/>
    <m/>
    <m/>
    <m/>
    <s v="No"/>
    <s v="W663756"/>
    <n v="0"/>
    <m/>
    <s v="B02083"/>
    <m/>
    <m/>
    <s v="S0361285"/>
  </r>
  <r>
    <x v="1264"/>
    <n v="10000"/>
    <n v="10000"/>
    <d v="2025-04-04T00:00:00"/>
    <s v="502LAUGH"/>
    <s v=" 8:35:18 am"/>
    <s v="U4A04S306"/>
    <m/>
    <x v="2"/>
    <s v="Yes"/>
    <n v="72"/>
    <s v="Xeikon 3500"/>
    <x v="4"/>
    <s v="PMJ4"/>
    <s v="LEE JUN HONG"/>
    <n v="1000"/>
    <m/>
    <m/>
    <d v="2025-03-29T00:00:00"/>
    <m/>
    <n v="4"/>
    <n v="4000"/>
    <s v="PE"/>
    <s v="60005003-D-YELLO0001"/>
    <n v="0"/>
    <n v="2000"/>
    <n v="2000"/>
    <n v="0"/>
    <n v="0"/>
    <n v="0"/>
    <m/>
    <m/>
    <n v="0"/>
    <m/>
    <m/>
    <m/>
    <m/>
    <m/>
    <m/>
    <m/>
    <m/>
    <s v="60005003-D-YELLOW"/>
    <s v="B02083"/>
    <s v="BECTON DICKINSON MEDICAL (S) PTE LTD"/>
    <m/>
    <n v="0"/>
    <n v="0"/>
    <n v="0"/>
    <n v="0"/>
    <n v="0"/>
    <n v="0"/>
    <m/>
    <m/>
    <m/>
    <s v="No"/>
    <s v="W664116"/>
    <n v="0"/>
    <m/>
    <s v="B02083"/>
    <m/>
    <m/>
    <s v="S0361285"/>
  </r>
  <r>
    <x v="1265"/>
    <n v="10000"/>
    <n v="10000"/>
    <d v="2025-04-01T00:00:00"/>
    <s v="502LAUGH"/>
    <s v=" 8:39:14 am"/>
    <s v="4112304U5A"/>
    <m/>
    <x v="2"/>
    <s v="Yes"/>
    <n v="46"/>
    <s v="Sanki 300 Intermittent"/>
    <x v="2"/>
    <s v="PS66"/>
    <s v="SIM ENG KWANG"/>
    <n v="4000"/>
    <n v="145"/>
    <n v="2.4166666666666665"/>
    <d v="2025-03-29T00:00:00"/>
    <m/>
    <n v="1"/>
    <n v="4000"/>
    <s v="PE"/>
    <s v="260-6107-000001"/>
    <n v="0"/>
    <n v="4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4127"/>
    <n v="0"/>
    <m/>
    <s v="J10025"/>
    <m/>
    <m/>
    <s v="S0361373"/>
  </r>
  <r>
    <x v="1266"/>
    <n v="10000"/>
    <n v="10000"/>
    <d v="2025-04-01T00:00:00"/>
    <s v="502LAUGH"/>
    <s v=" 8:42:16 am"/>
    <n v="405172525"/>
    <m/>
    <x v="2"/>
    <s v="Yes"/>
    <n v="61"/>
    <s v="FSK 520"/>
    <x v="2"/>
    <s v="PM26"/>
    <s v="TAN AIK KEONG"/>
    <n v="250"/>
    <n v="50"/>
    <n v="0.83333333333333337"/>
    <d v="2025-03-29T00:00:00"/>
    <m/>
    <n v="4"/>
    <n v="1000"/>
    <s v="PE"/>
    <s v="T9048DG0001"/>
    <n v="0"/>
    <n v="1000"/>
    <n v="0"/>
    <n v="0"/>
    <n v="0"/>
    <n v="0"/>
    <m/>
    <m/>
    <n v="0"/>
    <m/>
    <m/>
    <m/>
    <m/>
    <m/>
    <m/>
    <m/>
    <m/>
    <s v="T9048DG"/>
    <s v="Y25022"/>
    <s v="YOKOGAWA ELECTRIC ASIA PTE LTD"/>
    <m/>
    <n v="0"/>
    <n v="0"/>
    <n v="0"/>
    <n v="0"/>
    <n v="0"/>
    <n v="0"/>
    <m/>
    <m/>
    <m/>
    <s v="No"/>
    <s v="W663800"/>
    <n v="0"/>
    <m/>
    <s v="Y25022"/>
    <m/>
    <m/>
    <s v="S0361384"/>
  </r>
  <r>
    <x v="1267"/>
    <n v="10000"/>
    <n v="10000"/>
    <d v="2025-04-01T00:00:00"/>
    <s v="502LAUGH"/>
    <s v=" 8:41:25 am"/>
    <s v="3082510U9/2962621-001"/>
    <m/>
    <x v="2"/>
    <s v="Yes"/>
    <n v="61"/>
    <s v="FSK 520"/>
    <x v="2"/>
    <s v="PM26"/>
    <s v="TAN AIK KEONG"/>
    <n v="750"/>
    <n v="60"/>
    <n v="1"/>
    <d v="2025-03-29T00:00:00"/>
    <m/>
    <n v="4"/>
    <n v="3000"/>
    <s v="PE"/>
    <s v="TSMB00698020001"/>
    <n v="0"/>
    <n v="3000"/>
    <n v="0"/>
    <n v="0"/>
    <n v="0"/>
    <n v="0"/>
    <m/>
    <m/>
    <n v="0"/>
    <m/>
    <m/>
    <m/>
    <m/>
    <m/>
    <m/>
    <m/>
    <m/>
    <s v="TSMB0069802"/>
    <s v="T20104"/>
    <s v="TOSHIBA TEC SINGAPORE PTE LTD"/>
    <m/>
    <n v="0"/>
    <n v="0"/>
    <n v="0"/>
    <n v="0"/>
    <n v="0"/>
    <n v="0"/>
    <m/>
    <m/>
    <m/>
    <s v="No"/>
    <s v="W663846"/>
    <n v="0"/>
    <m/>
    <s v="T20104"/>
    <m/>
    <m/>
    <s v="S0361537"/>
  </r>
  <r>
    <x v="1268"/>
    <n v="10000"/>
    <n v="10000"/>
    <d v="2025-04-01T00:00:00"/>
    <s v="502LAUGH"/>
    <s v=" 8:40:34 am"/>
    <s v="L4816U8015/U4722S135"/>
    <m/>
    <x v="2"/>
    <s v="Yes"/>
    <n v="61"/>
    <s v="FSK 520"/>
    <x v="2"/>
    <s v="PM26"/>
    <s v="TAN AIK KEONG"/>
    <n v="1000"/>
    <n v="65"/>
    <n v="1.0833333333333333"/>
    <d v="2025-03-29T00:00:00"/>
    <m/>
    <n v="1"/>
    <n v="1000"/>
    <s v="PE"/>
    <s v="TSQC01579010001"/>
    <n v="0"/>
    <n v="1000"/>
    <n v="0"/>
    <n v="0"/>
    <n v="0"/>
    <n v="0"/>
    <m/>
    <m/>
    <n v="0"/>
    <m/>
    <m/>
    <m/>
    <m/>
    <m/>
    <m/>
    <m/>
    <m/>
    <s v="TSQC0157901"/>
    <s v="T20104"/>
    <s v="TOSHIBA TEC SINGAPORE PTE LTD"/>
    <m/>
    <n v="0"/>
    <n v="0"/>
    <n v="0"/>
    <n v="0"/>
    <n v="0"/>
    <n v="0"/>
    <m/>
    <m/>
    <m/>
    <s v="No"/>
    <s v="W663848"/>
    <n v="0"/>
    <m/>
    <s v="T20104"/>
    <m/>
    <m/>
    <s v="S0361537"/>
  </r>
  <r>
    <x v="1269"/>
    <n v="10000"/>
    <n v="10000"/>
    <d v="2025-04-01T00:00:00"/>
    <s v="502LAUGH"/>
    <s v=" 8:41:25 am"/>
    <s v="3082510U9/2962621-001"/>
    <m/>
    <x v="2"/>
    <s v="Yes"/>
    <n v="61"/>
    <s v="FSK 520"/>
    <x v="2"/>
    <s v="PM26"/>
    <s v="TAN AIK KEONG"/>
    <n v="750"/>
    <n v="60"/>
    <n v="1"/>
    <d v="2025-03-29T00:00:00"/>
    <m/>
    <n v="4"/>
    <n v="3000"/>
    <s v="PE"/>
    <s v="TSMB00698020001"/>
    <n v="0"/>
    <n v="3000"/>
    <n v="0"/>
    <n v="0"/>
    <n v="0"/>
    <n v="0"/>
    <m/>
    <m/>
    <n v="0"/>
    <m/>
    <m/>
    <m/>
    <m/>
    <m/>
    <m/>
    <m/>
    <m/>
    <s v="TSMB0069802"/>
    <s v="T20104"/>
    <s v="TOSHIBA TEC SINGAPORE PTE LTD"/>
    <m/>
    <n v="0"/>
    <n v="0"/>
    <n v="0"/>
    <n v="0"/>
    <n v="0"/>
    <n v="0"/>
    <m/>
    <m/>
    <m/>
    <s v="No"/>
    <s v="W663511"/>
    <n v="0"/>
    <m/>
    <s v="T20104"/>
    <m/>
    <m/>
    <s v="PR006405"/>
  </r>
  <r>
    <x v="1270"/>
    <n v="10000"/>
    <n v="10000"/>
    <d v="2025-04-01T00:00:00"/>
    <s v="502LAUGH"/>
    <s v=" 8:40:34 am"/>
    <s v="L4820U8019/U4722S135"/>
    <m/>
    <x v="2"/>
    <s v="Yes"/>
    <n v="61"/>
    <s v="FSK 520"/>
    <x v="2"/>
    <s v="PM26"/>
    <s v="TAN AIK KEONG"/>
    <n v="2000"/>
    <n v="85"/>
    <n v="1.4166666666666667"/>
    <d v="2025-03-29T00:00:00"/>
    <m/>
    <n v="1"/>
    <n v="2000"/>
    <s v="PE"/>
    <s v="TSQC01579010001"/>
    <n v="0"/>
    <n v="2000"/>
    <n v="0"/>
    <n v="0"/>
    <n v="0"/>
    <n v="0"/>
    <m/>
    <m/>
    <n v="0"/>
    <m/>
    <m/>
    <m/>
    <m/>
    <m/>
    <m/>
    <m/>
    <m/>
    <s v="TSQC0157901"/>
    <s v="T20104"/>
    <s v="TOSHIBA TEC SINGAPORE PTE LTD"/>
    <m/>
    <n v="0"/>
    <n v="0"/>
    <n v="0"/>
    <n v="0"/>
    <n v="0"/>
    <n v="0"/>
    <m/>
    <m/>
    <m/>
    <s v="No"/>
    <s v="W663968"/>
    <n v="0"/>
    <m/>
    <s v="T20104"/>
    <m/>
    <m/>
    <s v="PR006405"/>
  </r>
  <r>
    <x v="1271"/>
    <n v="10000"/>
    <n v="10000"/>
    <d v="2025-04-01T00:00:00"/>
    <s v="502LAUGH"/>
    <s v=" 8:42:16 am"/>
    <n v="405172525"/>
    <m/>
    <x v="2"/>
    <s v="Yes"/>
    <n v="61"/>
    <s v="FSK 520"/>
    <x v="2"/>
    <s v="PM26"/>
    <s v="TAN AIK KEONG"/>
    <n v="250"/>
    <n v="50"/>
    <n v="0.83333333333333337"/>
    <d v="2025-03-29T00:00:00"/>
    <m/>
    <n v="4"/>
    <n v="1000"/>
    <s v="PE"/>
    <s v="T9048DG0001"/>
    <n v="0"/>
    <n v="1000"/>
    <n v="0"/>
    <n v="0"/>
    <n v="0"/>
    <n v="0"/>
    <m/>
    <m/>
    <n v="0"/>
    <m/>
    <m/>
    <m/>
    <m/>
    <m/>
    <m/>
    <m/>
    <m/>
    <s v="T9048DG"/>
    <s v="Y25022"/>
    <s v="YOKOGAWA ELECTRIC ASIA PTE LTD"/>
    <m/>
    <n v="0"/>
    <n v="0"/>
    <n v="0"/>
    <n v="0"/>
    <n v="0"/>
    <n v="0"/>
    <m/>
    <m/>
    <m/>
    <s v="No"/>
    <s v="W663937"/>
    <n v="0"/>
    <m/>
    <s v="Y25022"/>
    <m/>
    <m/>
    <s v="S0361910"/>
  </r>
  <r>
    <x v="1272"/>
    <n v="10000"/>
    <n v="10000"/>
    <d v="2025-04-01T00:00:00"/>
    <s v="502LAUGH"/>
    <s v=" 4:47:19 pm"/>
    <s v="J00WT7100"/>
    <m/>
    <x v="2"/>
    <s v="Yes"/>
    <n v="72"/>
    <s v="Xeikon 3500"/>
    <x v="4"/>
    <s v="PMJ4"/>
    <s v="LEE JUN HONG"/>
    <n v="1625"/>
    <m/>
    <m/>
    <d v="2025-03-29T00:00:00"/>
    <m/>
    <n v="4"/>
    <n v="6500"/>
    <s v="PE"/>
    <n v="5000562920001"/>
    <n v="0"/>
    <n v="5000"/>
    <n v="15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3939"/>
    <n v="0"/>
    <m/>
    <s v="B02083"/>
    <m/>
    <m/>
    <s v="S0361912"/>
  </r>
  <r>
    <x v="1273"/>
    <n v="10000"/>
    <n v="10000"/>
    <d v="2025-04-01T00:00:00"/>
    <s v="502LAUGH"/>
    <s v=" 4:46:04 pm"/>
    <s v="J00WT7100"/>
    <m/>
    <x v="2"/>
    <s v="Yes"/>
    <n v="72"/>
    <s v="Xeikon 3500"/>
    <x v="4"/>
    <s v="PMJ4"/>
    <s v="LEE JUN HONG"/>
    <n v="2000"/>
    <m/>
    <m/>
    <d v="2025-03-29T00:00:00"/>
    <m/>
    <n v="4"/>
    <n v="8000"/>
    <s v="PE"/>
    <n v="5000579950001"/>
    <n v="0"/>
    <n v="6000"/>
    <n v="2000"/>
    <n v="0"/>
    <n v="0"/>
    <n v="0"/>
    <m/>
    <m/>
    <n v="0"/>
    <m/>
    <m/>
    <m/>
    <m/>
    <m/>
    <m/>
    <m/>
    <m/>
    <n v="500057995"/>
    <s v="B02083"/>
    <s v="BECTON DICKINSON MEDICAL (S) PTE LTD"/>
    <m/>
    <n v="0"/>
    <n v="0"/>
    <n v="0"/>
    <n v="0"/>
    <n v="0"/>
    <n v="0"/>
    <m/>
    <m/>
    <m/>
    <s v="No"/>
    <s v="W663940"/>
    <n v="0"/>
    <m/>
    <s v="B02083"/>
    <m/>
    <m/>
    <s v="S0361912"/>
  </r>
  <r>
    <x v="1274"/>
    <n v="10000"/>
    <n v="10000"/>
    <d v="2025-04-02T00:00:00"/>
    <s v="502LAUGH"/>
    <s v=" 8:38:44 am"/>
    <s v="J00WT7100"/>
    <m/>
    <x v="2"/>
    <s v="Yes"/>
    <n v="72"/>
    <s v="Xeikon 3500"/>
    <x v="4"/>
    <s v="PMJ4"/>
    <s v="LEE JUN HONG"/>
    <n v="750"/>
    <m/>
    <m/>
    <d v="2025-03-29T00:00:00"/>
    <m/>
    <n v="4"/>
    <n v="3000"/>
    <s v="PE"/>
    <n v="5000514720001"/>
    <n v="0"/>
    <n v="1000"/>
    <n v="2000"/>
    <n v="0"/>
    <n v="0"/>
    <n v="0"/>
    <m/>
    <m/>
    <n v="0"/>
    <m/>
    <m/>
    <m/>
    <m/>
    <m/>
    <m/>
    <m/>
    <m/>
    <n v="500051472"/>
    <s v="B02083"/>
    <s v="BECTON DICKINSON MEDICAL (S) PTE LTD"/>
    <m/>
    <n v="0"/>
    <n v="0"/>
    <n v="0"/>
    <n v="0"/>
    <n v="0"/>
    <n v="0"/>
    <m/>
    <m/>
    <m/>
    <s v="No"/>
    <s v="W663941"/>
    <n v="0"/>
    <m/>
    <s v="B02083"/>
    <m/>
    <m/>
    <s v="S0361914"/>
  </r>
  <r>
    <x v="1275"/>
    <n v="10000"/>
    <n v="10000"/>
    <d v="2025-04-02T00:00:00"/>
    <s v="502LAUGH"/>
    <s v=" 8:38:44 am"/>
    <s v="J00WT7100"/>
    <m/>
    <x v="2"/>
    <s v="Yes"/>
    <n v="72"/>
    <s v="Xeikon 3500"/>
    <x v="4"/>
    <s v="PMJ4"/>
    <s v="LEE JUN HONG"/>
    <n v="1750"/>
    <m/>
    <m/>
    <d v="2025-03-29T00:00:00"/>
    <m/>
    <n v="4"/>
    <n v="7000"/>
    <s v="PE"/>
    <n v="5000514730001"/>
    <n v="0"/>
    <n v="5000"/>
    <n v="2000"/>
    <n v="0"/>
    <n v="0"/>
    <n v="0"/>
    <m/>
    <m/>
    <n v="0"/>
    <m/>
    <m/>
    <m/>
    <m/>
    <m/>
    <m/>
    <m/>
    <m/>
    <n v="500051473"/>
    <s v="B02083"/>
    <s v="BECTON DICKINSON MEDICAL (S) PTE LTD"/>
    <m/>
    <n v="0"/>
    <n v="0"/>
    <n v="0"/>
    <n v="0"/>
    <n v="0"/>
    <n v="0"/>
    <m/>
    <m/>
    <m/>
    <s v="No"/>
    <s v="W663942"/>
    <n v="0"/>
    <m/>
    <s v="B02083"/>
    <m/>
    <m/>
    <s v="S0361914"/>
  </r>
  <r>
    <x v="1276"/>
    <n v="10000"/>
    <n v="10000"/>
    <d v="2025-04-02T00:00:00"/>
    <s v="502LAUGH"/>
    <s v=" 8:38:44 am"/>
    <s v="J00WT7100"/>
    <m/>
    <x v="2"/>
    <s v="Yes"/>
    <n v="72"/>
    <s v="Xeikon 3500"/>
    <x v="4"/>
    <s v="PMJ4"/>
    <s v="LEE JUN HONG"/>
    <n v="1750"/>
    <m/>
    <m/>
    <d v="2025-03-29T00:00:00"/>
    <m/>
    <n v="4"/>
    <n v="7000"/>
    <s v="PE"/>
    <n v="5000579970001"/>
    <n v="0"/>
    <n v="5000"/>
    <n v="2000"/>
    <n v="0"/>
    <n v="0"/>
    <n v="0"/>
    <m/>
    <m/>
    <n v="0"/>
    <m/>
    <m/>
    <m/>
    <m/>
    <m/>
    <m/>
    <m/>
    <m/>
    <n v="500057997"/>
    <s v="B02083"/>
    <s v="BECTON DICKINSON MEDICAL (S) PTE LTD"/>
    <m/>
    <n v="0"/>
    <n v="0"/>
    <n v="0"/>
    <n v="0"/>
    <n v="0"/>
    <n v="0"/>
    <m/>
    <m/>
    <m/>
    <s v="No"/>
    <s v="W663943"/>
    <n v="0"/>
    <m/>
    <s v="B02083"/>
    <m/>
    <m/>
    <s v="S0361914"/>
  </r>
  <r>
    <x v="1277"/>
    <n v="10000"/>
    <n v="10000"/>
    <d v="2025-04-02T00:00:00"/>
    <s v="502LAUGH"/>
    <s v=" 8:38:44 am"/>
    <s v="J00WT7100"/>
    <m/>
    <x v="2"/>
    <s v="Yes"/>
    <n v="72"/>
    <s v="Xeikon 3500"/>
    <x v="4"/>
    <s v="PMJ4"/>
    <s v="LEE JUN HONG"/>
    <n v="1750"/>
    <m/>
    <m/>
    <d v="2025-03-29T00:00:00"/>
    <m/>
    <n v="4"/>
    <n v="7000"/>
    <s v="PE"/>
    <n v="5000595780001"/>
    <n v="0"/>
    <n v="5000"/>
    <n v="2000"/>
    <n v="0"/>
    <n v="0"/>
    <n v="0"/>
    <m/>
    <m/>
    <n v="0"/>
    <m/>
    <m/>
    <m/>
    <m/>
    <m/>
    <m/>
    <m/>
    <m/>
    <n v="500059578"/>
    <s v="B02083"/>
    <s v="BECTON DICKINSON MEDICAL (S) PTE LTD"/>
    <m/>
    <n v="0"/>
    <n v="0"/>
    <n v="0"/>
    <n v="0"/>
    <n v="0"/>
    <n v="0"/>
    <m/>
    <m/>
    <m/>
    <s v="No"/>
    <s v="W663944"/>
    <n v="0"/>
    <m/>
    <s v="B02083"/>
    <m/>
    <m/>
    <s v="S0361914"/>
  </r>
  <r>
    <x v="1218"/>
    <n v="10000"/>
    <n v="20000"/>
    <d v="2025-04-01T00:00:00"/>
    <s v="502LAUGH"/>
    <s v=" 8:37:33 am"/>
    <s v="J00VB8021"/>
    <m/>
    <x v="0"/>
    <s v="Yes"/>
    <n v="71"/>
    <s v="POLLY"/>
    <x v="3"/>
    <s v="PS95"/>
    <s v="LIM CHENG LEONG"/>
    <n v="4167"/>
    <m/>
    <m/>
    <d v="2025-03-29T00:00:00"/>
    <m/>
    <n v="6"/>
    <n v="25002"/>
    <s v="PE"/>
    <n v="83615250001"/>
    <n v="0"/>
    <n v="25000"/>
    <n v="2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947"/>
    <n v="0"/>
    <m/>
    <s v="B02083"/>
    <m/>
    <m/>
    <s v="S0361915"/>
  </r>
  <r>
    <x v="1219"/>
    <n v="10000"/>
    <n v="20000"/>
    <d v="2025-04-01T00:00:00"/>
    <s v="502LAUGH"/>
    <s v=" 8:34:01 am"/>
    <s v="J00VB8021"/>
    <m/>
    <x v="0"/>
    <s v="Yes"/>
    <n v="71"/>
    <s v="POLLY"/>
    <x v="3"/>
    <s v="PS95"/>
    <s v="LIM CHENG LEONG"/>
    <n v="4167"/>
    <m/>
    <m/>
    <d v="2025-03-29T00:00:00"/>
    <m/>
    <n v="6"/>
    <n v="25002"/>
    <s v="PE"/>
    <n v="5000444460001"/>
    <n v="0"/>
    <n v="25000"/>
    <n v="2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948"/>
    <n v="0"/>
    <m/>
    <s v="B02083"/>
    <m/>
    <m/>
    <s v="S0361915"/>
  </r>
  <r>
    <x v="1278"/>
    <n v="10000"/>
    <n v="10000"/>
    <d v="2025-04-01T00:00:00"/>
    <s v="502LAUGH"/>
    <s v=" 4:48:20 pm"/>
    <s v="J00WT7100"/>
    <m/>
    <x v="2"/>
    <s v="Yes"/>
    <n v="72"/>
    <s v="Xeikon 3500"/>
    <x v="4"/>
    <s v="PMJ4"/>
    <s v="LEE JUN HONG"/>
    <n v="4125"/>
    <m/>
    <m/>
    <d v="2025-03-29T00:00:00"/>
    <m/>
    <n v="4"/>
    <n v="16500"/>
    <s v="PE"/>
    <n v="5000562920001"/>
    <n v="0"/>
    <n v="15000"/>
    <n v="15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3949"/>
    <n v="0"/>
    <m/>
    <s v="B02083"/>
    <m/>
    <m/>
    <s v="S0361915"/>
  </r>
  <r>
    <x v="1279"/>
    <n v="10000"/>
    <n v="10000"/>
    <d v="2025-04-01T00:00:00"/>
    <s v="502LAUGH"/>
    <s v=" 4:49:06 pm"/>
    <s v="J00WT7100"/>
    <m/>
    <x v="2"/>
    <s v="Yes"/>
    <n v="72"/>
    <s v="Xeikon 3500"/>
    <x v="4"/>
    <s v="PMJ4"/>
    <s v="LEE JUN HONG"/>
    <n v="4500"/>
    <m/>
    <m/>
    <d v="2025-03-29T00:00:00"/>
    <m/>
    <n v="4"/>
    <n v="18000"/>
    <s v="PE"/>
    <n v="5000769160001"/>
    <n v="0"/>
    <n v="15000"/>
    <n v="300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3950"/>
    <n v="0"/>
    <m/>
    <s v="B02083"/>
    <m/>
    <m/>
    <s v="S0361915"/>
  </r>
  <r>
    <x v="1220"/>
    <n v="10000"/>
    <n v="20000"/>
    <d v="2025-04-01T00:00:00"/>
    <s v="502LAUGH"/>
    <s v=" 8:37:33 am"/>
    <s v="J00VB8021"/>
    <m/>
    <x v="0"/>
    <s v="Yes"/>
    <n v="71"/>
    <s v="POLLY"/>
    <x v="3"/>
    <s v="PS95"/>
    <s v="LIM CHENG LEONG"/>
    <n v="4167"/>
    <m/>
    <m/>
    <d v="2025-03-29T00:00:00"/>
    <m/>
    <n v="6"/>
    <n v="25002"/>
    <s v="PE"/>
    <n v="83615250001"/>
    <n v="0"/>
    <n v="25000"/>
    <n v="2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3951"/>
    <n v="0"/>
    <m/>
    <s v="B02083"/>
    <m/>
    <m/>
    <s v="S0361916"/>
  </r>
  <r>
    <x v="1221"/>
    <n v="10000"/>
    <n v="20000"/>
    <d v="2025-04-01T00:00:00"/>
    <s v="502LAUGH"/>
    <s v=" 8:34:01 am"/>
    <s v="J00VB8021"/>
    <m/>
    <x v="0"/>
    <s v="Yes"/>
    <n v="71"/>
    <s v="POLLY"/>
    <x v="3"/>
    <s v="PS95"/>
    <s v="LIM CHENG LEONG"/>
    <n v="5000"/>
    <m/>
    <m/>
    <d v="2025-03-29T00:00:00"/>
    <m/>
    <n v="6"/>
    <n v="30000"/>
    <s v="PE"/>
    <n v="5000444460001"/>
    <n v="0"/>
    <n v="30000"/>
    <n v="0"/>
    <n v="0"/>
    <n v="0"/>
    <n v="0"/>
    <m/>
    <m/>
    <n v="0"/>
    <m/>
    <m/>
    <m/>
    <m/>
    <m/>
    <m/>
    <m/>
    <m/>
    <n v="500044446"/>
    <s v="B02083"/>
    <s v="BECTON DICKINSON MEDICAL (S) PTE LTD"/>
    <m/>
    <n v="0"/>
    <n v="0"/>
    <n v="0"/>
    <n v="0"/>
    <n v="0"/>
    <n v="0"/>
    <m/>
    <m/>
    <m/>
    <s v="No"/>
    <s v="W663952"/>
    <n v="0"/>
    <m/>
    <s v="B02083"/>
    <m/>
    <m/>
    <s v="S0361916"/>
  </r>
  <r>
    <x v="1280"/>
    <n v="10000"/>
    <n v="10000"/>
    <d v="2025-04-02T00:00:00"/>
    <s v="502LAUGH"/>
    <s v=" 8:38:44 am"/>
    <s v="J00WT7100"/>
    <m/>
    <x v="2"/>
    <s v="Yes"/>
    <n v="72"/>
    <s v="Xeikon 3500"/>
    <x v="4"/>
    <s v="PMJ4"/>
    <s v="LEE JUN HONG"/>
    <n v="750"/>
    <m/>
    <m/>
    <d v="2025-03-29T00:00:00"/>
    <m/>
    <n v="4"/>
    <n v="3000"/>
    <s v="PE"/>
    <n v="5000444000001"/>
    <n v="0"/>
    <n v="1000"/>
    <n v="2000"/>
    <n v="0"/>
    <n v="0"/>
    <n v="0"/>
    <m/>
    <m/>
    <n v="0"/>
    <m/>
    <m/>
    <m/>
    <m/>
    <m/>
    <m/>
    <m/>
    <m/>
    <n v="500044400"/>
    <s v="B02083"/>
    <s v="BECTON DICKINSON MEDICAL (S) PTE LTD"/>
    <m/>
    <n v="0"/>
    <n v="0"/>
    <n v="0"/>
    <n v="0"/>
    <n v="0"/>
    <n v="0"/>
    <m/>
    <m/>
    <m/>
    <s v="No"/>
    <s v="W663954"/>
    <n v="0"/>
    <m/>
    <s v="B02083"/>
    <m/>
    <m/>
    <s v="S0361918"/>
  </r>
  <r>
    <x v="1281"/>
    <n v="10000"/>
    <n v="10000"/>
    <d v="2025-04-02T00:00:00"/>
    <s v="502LAUGH"/>
    <s v=" 8:39:27 am"/>
    <s v="J00WT7100"/>
    <m/>
    <x v="2"/>
    <s v="Yes"/>
    <n v="72"/>
    <s v="Xeikon 3500"/>
    <x v="4"/>
    <s v="PMJ4"/>
    <s v="LEE JUN HONG"/>
    <n v="1750"/>
    <m/>
    <m/>
    <d v="2025-03-29T00:00:00"/>
    <m/>
    <n v="4"/>
    <n v="7000"/>
    <s v="PE"/>
    <n v="5000444260001"/>
    <n v="0"/>
    <n v="5000"/>
    <n v="200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3955"/>
    <n v="0"/>
    <m/>
    <s v="B02083"/>
    <m/>
    <m/>
    <s v="S0361918"/>
  </r>
  <r>
    <x v="1282"/>
    <n v="10000"/>
    <n v="10000"/>
    <d v="2025-04-01T00:00:00"/>
    <s v="502LAUGH"/>
    <s v=" 1:18:03 pm"/>
    <s v="J00WT7100"/>
    <m/>
    <x v="2"/>
    <s v="Yes"/>
    <n v="72"/>
    <s v="Xeikon 3500"/>
    <x v="4"/>
    <s v="PMJ4"/>
    <s v="LEE JUN HONG"/>
    <n v="2000"/>
    <m/>
    <m/>
    <d v="2025-03-29T00:00:00"/>
    <m/>
    <n v="4"/>
    <n v="8000"/>
    <s v="PE"/>
    <n v="5000580730001"/>
    <n v="0"/>
    <n v="6000"/>
    <n v="2000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63959"/>
    <n v="0"/>
    <m/>
    <s v="B02083"/>
    <m/>
    <m/>
    <s v="S0361931"/>
  </r>
  <r>
    <x v="1283"/>
    <n v="10000"/>
    <n v="10000"/>
    <d v="2025-04-01T00:00:00"/>
    <s v="502LAUGH"/>
    <s v=" 1:18:47 pm"/>
    <s v="J00WT7100"/>
    <m/>
    <x v="2"/>
    <s v="Yes"/>
    <n v="72"/>
    <s v="Xeikon 3500"/>
    <x v="4"/>
    <s v="PMJ4"/>
    <s v="LEE JUN HONG"/>
    <n v="3750"/>
    <m/>
    <m/>
    <d v="2025-03-29T00:00:00"/>
    <m/>
    <n v="4"/>
    <n v="15000"/>
    <s v="PE"/>
    <n v="5000582200001"/>
    <n v="0"/>
    <n v="12000"/>
    <n v="300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3960"/>
    <n v="0"/>
    <m/>
    <s v="B02083"/>
    <m/>
    <m/>
    <s v="S0361931"/>
  </r>
  <r>
    <x v="1284"/>
    <n v="10000"/>
    <n v="10000"/>
    <d v="2025-04-01T00:00:00"/>
    <s v="502LAUGH"/>
    <s v=" 1:19:34 pm"/>
    <s v="J00WT7100"/>
    <m/>
    <x v="2"/>
    <s v="Yes"/>
    <n v="72"/>
    <s v="Xeikon 3500"/>
    <x v="4"/>
    <s v="PMJ4"/>
    <s v="LEE JUN HONG"/>
    <n v="1750"/>
    <m/>
    <m/>
    <d v="2025-03-29T00:00:00"/>
    <m/>
    <n v="4"/>
    <n v="7000"/>
    <s v="PE"/>
    <n v="5000582250001"/>
    <n v="0"/>
    <n v="5000"/>
    <n v="2000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3961"/>
    <n v="0"/>
    <m/>
    <s v="B02083"/>
    <m/>
    <m/>
    <s v="S03619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71AE0-4B1E-439A-B7A9-CEE650E8F8B7}" name="PivotTable1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3" firstHeaderRow="1" firstDataRow="2" firstDataCol="1"/>
  <pivotFields count="62">
    <pivotField dataField="1" showAll="0">
      <items count="1286">
        <item x="29"/>
        <item x="1120"/>
        <item x="491"/>
        <item x="377"/>
        <item x="430"/>
        <item x="431"/>
        <item x="492"/>
        <item x="0"/>
        <item x="551"/>
        <item x="606"/>
        <item x="721"/>
        <item x="30"/>
        <item x="722"/>
        <item x="782"/>
        <item x="723"/>
        <item x="31"/>
        <item x="253"/>
        <item x="773"/>
        <item x="327"/>
        <item x="32"/>
        <item x="432"/>
        <item x="433"/>
        <item x="1"/>
        <item x="683"/>
        <item x="88"/>
        <item x="33"/>
        <item x="2"/>
        <item x="724"/>
        <item x="552"/>
        <item x="254"/>
        <item x="1051"/>
        <item x="378"/>
        <item x="379"/>
        <item x="34"/>
        <item x="607"/>
        <item x="871"/>
        <item x="35"/>
        <item x="434"/>
        <item x="1052"/>
        <item x="684"/>
        <item x="1121"/>
        <item x="158"/>
        <item x="783"/>
        <item x="997"/>
        <item x="1250"/>
        <item x="250"/>
        <item x="159"/>
        <item x="36"/>
        <item x="160"/>
        <item x="493"/>
        <item x="37"/>
        <item x="663"/>
        <item x="161"/>
        <item x="872"/>
        <item x="920"/>
        <item x="784"/>
        <item x="725"/>
        <item x="328"/>
        <item x="1053"/>
        <item x="1122"/>
        <item x="726"/>
        <item x="380"/>
        <item x="727"/>
        <item x="1177"/>
        <item x="1054"/>
        <item x="3"/>
        <item x="4"/>
        <item x="664"/>
        <item x="728"/>
        <item x="1045"/>
        <item x="89"/>
        <item x="435"/>
        <item x="553"/>
        <item x="608"/>
        <item x="5"/>
        <item x="1178"/>
        <item x="90"/>
        <item x="91"/>
        <item x="255"/>
        <item x="256"/>
        <item x="921"/>
        <item x="361"/>
        <item x="162"/>
        <item x="163"/>
        <item x="164"/>
        <item x="92"/>
        <item x="257"/>
        <item x="999"/>
        <item x="1179"/>
        <item x="1000"/>
        <item x="665"/>
        <item x="968"/>
        <item x="329"/>
        <item x="554"/>
        <item x="381"/>
        <item x="165"/>
        <item x="166"/>
        <item x="555"/>
        <item x="1123"/>
        <item x="38"/>
        <item x="609"/>
        <item x="685"/>
        <item x="1110"/>
        <item x="93"/>
        <item x="94"/>
        <item x="922"/>
        <item x="167"/>
        <item x="39"/>
        <item x="6"/>
        <item x="40"/>
        <item x="7"/>
        <item x="41"/>
        <item x="556"/>
        <item x="873"/>
        <item x="557"/>
        <item x="258"/>
        <item x="330"/>
        <item x="95"/>
        <item x="96"/>
        <item x="259"/>
        <item x="97"/>
        <item x="331"/>
        <item x="8"/>
        <item x="969"/>
        <item x="970"/>
        <item x="9"/>
        <item x="10"/>
        <item x="11"/>
        <item x="168"/>
        <item x="169"/>
        <item x="170"/>
        <item x="171"/>
        <item x="923"/>
        <item x="12"/>
        <item x="98"/>
        <item x="260"/>
        <item x="261"/>
        <item x="262"/>
        <item x="263"/>
        <item x="264"/>
        <item x="265"/>
        <item x="266"/>
        <item x="267"/>
        <item x="486"/>
        <item x="42"/>
        <item x="13"/>
        <item x="666"/>
        <item x="14"/>
        <item x="268"/>
        <item x="172"/>
        <item x="43"/>
        <item x="1180"/>
        <item x="1001"/>
        <item x="1046"/>
        <item x="1002"/>
        <item x="436"/>
        <item x="774"/>
        <item x="99"/>
        <item x="44"/>
        <item x="45"/>
        <item x="100"/>
        <item x="46"/>
        <item x="15"/>
        <item x="47"/>
        <item x="101"/>
        <item x="173"/>
        <item x="269"/>
        <item x="332"/>
        <item x="667"/>
        <item x="668"/>
        <item x="48"/>
        <item x="16"/>
        <item x="49"/>
        <item x="270"/>
        <item x="333"/>
        <item x="174"/>
        <item x="17"/>
        <item x="874"/>
        <item x="924"/>
        <item x="971"/>
        <item x="1003"/>
        <item x="382"/>
        <item x="334"/>
        <item x="362"/>
        <item x="363"/>
        <item x="669"/>
        <item x="271"/>
        <item x="272"/>
        <item x="335"/>
        <item x="558"/>
        <item x="175"/>
        <item x="176"/>
        <item x="177"/>
        <item x="336"/>
        <item x="178"/>
        <item x="179"/>
        <item x="102"/>
        <item x="103"/>
        <item x="273"/>
        <item x="50"/>
        <item x="180"/>
        <item x="274"/>
        <item x="181"/>
        <item x="182"/>
        <item x="104"/>
        <item x="51"/>
        <item x="925"/>
        <item x="966"/>
        <item x="610"/>
        <item x="670"/>
        <item x="275"/>
        <item x="105"/>
        <item x="52"/>
        <item x="337"/>
        <item x="183"/>
        <item x="276"/>
        <item x="686"/>
        <item x="106"/>
        <item x="107"/>
        <item x="53"/>
        <item x="277"/>
        <item x="184"/>
        <item x="278"/>
        <item x="279"/>
        <item x="18"/>
        <item x="54"/>
        <item x="108"/>
        <item x="185"/>
        <item x="280"/>
        <item x="364"/>
        <item x="365"/>
        <item x="494"/>
        <item x="55"/>
        <item x="1181"/>
        <item x="186"/>
        <item x="611"/>
        <item x="109"/>
        <item x="495"/>
        <item x="383"/>
        <item x="110"/>
        <item x="19"/>
        <item x="56"/>
        <item x="384"/>
        <item x="612"/>
        <item x="57"/>
        <item x="58"/>
        <item x="187"/>
        <item x="20"/>
        <item x="188"/>
        <item x="111"/>
        <item x="281"/>
        <item x="385"/>
        <item x="282"/>
        <item x="437"/>
        <item x="59"/>
        <item x="112"/>
        <item x="113"/>
        <item x="366"/>
        <item x="60"/>
        <item x="21"/>
        <item x="61"/>
        <item x="367"/>
        <item x="114"/>
        <item x="496"/>
        <item x="189"/>
        <item x="283"/>
        <item x="497"/>
        <item x="926"/>
        <item x="927"/>
        <item x="875"/>
        <item x="386"/>
        <item x="115"/>
        <item x="438"/>
        <item x="22"/>
        <item x="785"/>
        <item x="786"/>
        <item x="439"/>
        <item x="440"/>
        <item x="671"/>
        <item x="672"/>
        <item x="23"/>
        <item x="284"/>
        <item x="285"/>
        <item x="24"/>
        <item x="25"/>
        <item x="116"/>
        <item x="117"/>
        <item x="972"/>
        <item x="1055"/>
        <item x="973"/>
        <item x="118"/>
        <item x="974"/>
        <item x="975"/>
        <item x="976"/>
        <item x="338"/>
        <item x="339"/>
        <item x="119"/>
        <item x="190"/>
        <item x="286"/>
        <item x="498"/>
        <item x="191"/>
        <item x="340"/>
        <item x="62"/>
        <item x="287"/>
        <item x="368"/>
        <item x="341"/>
        <item x="192"/>
        <item x="288"/>
        <item x="441"/>
        <item x="369"/>
        <item x="193"/>
        <item x="289"/>
        <item x="442"/>
        <item x="443"/>
        <item x="729"/>
        <item x="1004"/>
        <item x="194"/>
        <item x="195"/>
        <item x="444"/>
        <item x="120"/>
        <item x="196"/>
        <item x="387"/>
        <item x="290"/>
        <item x="26"/>
        <item x="291"/>
        <item x="197"/>
        <item x="198"/>
        <item x="199"/>
        <item x="200"/>
        <item x="499"/>
        <item x="121"/>
        <item x="122"/>
        <item x="123"/>
        <item x="124"/>
        <item x="125"/>
        <item x="673"/>
        <item x="445"/>
        <item x="126"/>
        <item x="201"/>
        <item x="787"/>
        <item x="127"/>
        <item x="292"/>
        <item x="202"/>
        <item x="203"/>
        <item x="204"/>
        <item x="128"/>
        <item x="205"/>
        <item x="129"/>
        <item x="206"/>
        <item x="207"/>
        <item x="208"/>
        <item x="681"/>
        <item x="209"/>
        <item x="500"/>
        <item x="63"/>
        <item x="388"/>
        <item x="501"/>
        <item x="130"/>
        <item x="210"/>
        <item x="502"/>
        <item x="293"/>
        <item x="730"/>
        <item x="211"/>
        <item x="294"/>
        <item x="295"/>
        <item x="296"/>
        <item x="212"/>
        <item x="788"/>
        <item x="213"/>
        <item x="131"/>
        <item x="132"/>
        <item x="789"/>
        <item x="214"/>
        <item x="297"/>
        <item x="604"/>
        <item x="215"/>
        <item x="298"/>
        <item x="731"/>
        <item x="790"/>
        <item x="342"/>
        <item x="343"/>
        <item x="370"/>
        <item x="299"/>
        <item x="251"/>
        <item x="300"/>
        <item x="301"/>
        <item x="133"/>
        <item x="687"/>
        <item x="688"/>
        <item x="134"/>
        <item x="135"/>
        <item x="216"/>
        <item x="217"/>
        <item x="389"/>
        <item x="218"/>
        <item x="344"/>
        <item x="345"/>
        <item x="346"/>
        <item x="219"/>
        <item x="27"/>
        <item x="220"/>
        <item x="136"/>
        <item x="503"/>
        <item x="504"/>
        <item x="446"/>
        <item x="390"/>
        <item x="391"/>
        <item x="447"/>
        <item x="64"/>
        <item x="65"/>
        <item x="137"/>
        <item x="138"/>
        <item x="66"/>
        <item x="302"/>
        <item x="139"/>
        <item x="371"/>
        <item x="372"/>
        <item x="140"/>
        <item x="221"/>
        <item x="141"/>
        <item x="67"/>
        <item x="222"/>
        <item x="223"/>
        <item x="68"/>
        <item x="142"/>
        <item x="224"/>
        <item x="143"/>
        <item x="225"/>
        <item x="144"/>
        <item x="145"/>
        <item x="226"/>
        <item x="146"/>
        <item x="227"/>
        <item x="147"/>
        <item x="505"/>
        <item x="148"/>
        <item x="228"/>
        <item x="303"/>
        <item x="69"/>
        <item x="149"/>
        <item x="229"/>
        <item x="70"/>
        <item x="71"/>
        <item x="150"/>
        <item x="72"/>
        <item x="151"/>
        <item x="1056"/>
        <item x="1124"/>
        <item x="1125"/>
        <item x="152"/>
        <item x="73"/>
        <item x="74"/>
        <item x="28"/>
        <item x="75"/>
        <item x="76"/>
        <item x="77"/>
        <item x="78"/>
        <item x="79"/>
        <item x="80"/>
        <item x="81"/>
        <item x="392"/>
        <item x="928"/>
        <item x="977"/>
        <item x="153"/>
        <item x="978"/>
        <item x="979"/>
        <item x="1005"/>
        <item x="1006"/>
        <item x="347"/>
        <item x="876"/>
        <item x="82"/>
        <item x="83"/>
        <item x="84"/>
        <item x="85"/>
        <item x="348"/>
        <item x="230"/>
        <item x="154"/>
        <item x="791"/>
        <item x="86"/>
        <item x="231"/>
        <item x="689"/>
        <item x="1126"/>
        <item x="304"/>
        <item x="613"/>
        <item x="448"/>
        <item x="506"/>
        <item x="393"/>
        <item x="394"/>
        <item x="559"/>
        <item x="560"/>
        <item x="87"/>
        <item x="349"/>
        <item x="507"/>
        <item x="395"/>
        <item x="155"/>
        <item x="350"/>
        <item x="232"/>
        <item x="156"/>
        <item x="351"/>
        <item x="233"/>
        <item x="234"/>
        <item x="305"/>
        <item x="396"/>
        <item x="674"/>
        <item x="508"/>
        <item x="792"/>
        <item x="235"/>
        <item x="236"/>
        <item x="237"/>
        <item x="397"/>
        <item x="398"/>
        <item x="399"/>
        <item x="509"/>
        <item x="400"/>
        <item x="401"/>
        <item x="402"/>
        <item x="403"/>
        <item x="561"/>
        <item x="306"/>
        <item x="307"/>
        <item x="308"/>
        <item x="352"/>
        <item x="309"/>
        <item x="310"/>
        <item x="311"/>
        <item x="793"/>
        <item x="562"/>
        <item x="404"/>
        <item x="312"/>
        <item x="405"/>
        <item x="353"/>
        <item x="406"/>
        <item x="449"/>
        <item x="354"/>
        <item x="355"/>
        <item x="313"/>
        <item x="314"/>
        <item x="315"/>
        <item x="373"/>
        <item x="374"/>
        <item x="407"/>
        <item x="450"/>
        <item x="408"/>
        <item x="409"/>
        <item x="375"/>
        <item x="510"/>
        <item x="451"/>
        <item x="452"/>
        <item x="511"/>
        <item x="453"/>
        <item x="356"/>
        <item x="357"/>
        <item x="316"/>
        <item x="317"/>
        <item x="318"/>
        <item x="410"/>
        <item x="319"/>
        <item x="238"/>
        <item x="239"/>
        <item x="240"/>
        <item x="241"/>
        <item x="320"/>
        <item x="321"/>
        <item x="322"/>
        <item x="242"/>
        <item x="243"/>
        <item x="244"/>
        <item x="563"/>
        <item x="564"/>
        <item x="245"/>
        <item x="246"/>
        <item x="252"/>
        <item x="512"/>
        <item x="487"/>
        <item x="1007"/>
        <item x="1057"/>
        <item x="1127"/>
        <item x="1182"/>
        <item x="1251"/>
        <item x="1252"/>
        <item x="565"/>
        <item x="566"/>
        <item x="567"/>
        <item x="568"/>
        <item x="247"/>
        <item x="323"/>
        <item x="376"/>
        <item x="248"/>
        <item x="929"/>
        <item x="794"/>
        <item x="249"/>
        <item x="1234"/>
        <item x="1235"/>
        <item x="1236"/>
        <item x="358"/>
        <item x="324"/>
        <item x="795"/>
        <item x="1128"/>
        <item x="359"/>
        <item x="325"/>
        <item x="411"/>
        <item x="326"/>
        <item x="157"/>
        <item x="454"/>
        <item x="549"/>
        <item x="614"/>
        <item x="732"/>
        <item x="615"/>
        <item x="550"/>
        <item x="616"/>
        <item x="733"/>
        <item x="775"/>
        <item x="513"/>
        <item x="617"/>
        <item x="618"/>
        <item x="980"/>
        <item x="981"/>
        <item x="455"/>
        <item x="412"/>
        <item x="619"/>
        <item x="456"/>
        <item x="796"/>
        <item x="734"/>
        <item x="735"/>
        <item x="457"/>
        <item x="569"/>
        <item x="413"/>
        <item x="458"/>
        <item x="414"/>
        <item x="620"/>
        <item x="621"/>
        <item x="459"/>
        <item x="415"/>
        <item x="690"/>
        <item x="514"/>
        <item x="416"/>
        <item x="797"/>
        <item x="460"/>
        <item x="515"/>
        <item x="417"/>
        <item x="461"/>
        <item x="462"/>
        <item x="516"/>
        <item x="463"/>
        <item x="418"/>
        <item x="419"/>
        <item x="420"/>
        <item x="570"/>
        <item x="517"/>
        <item x="518"/>
        <item x="464"/>
        <item x="465"/>
        <item x="466"/>
        <item x="360"/>
        <item x="519"/>
        <item x="421"/>
        <item x="467"/>
        <item x="622"/>
        <item x="422"/>
        <item x="623"/>
        <item x="520"/>
        <item x="521"/>
        <item x="522"/>
        <item x="523"/>
        <item x="736"/>
        <item x="798"/>
        <item x="423"/>
        <item x="691"/>
        <item x="468"/>
        <item x="930"/>
        <item x="982"/>
        <item x="1058"/>
        <item x="1183"/>
        <item x="1255"/>
        <item x="469"/>
        <item x="799"/>
        <item x="470"/>
        <item x="571"/>
        <item x="572"/>
        <item x="624"/>
        <item x="424"/>
        <item x="573"/>
        <item x="574"/>
        <item x="1008"/>
        <item x="471"/>
        <item x="682"/>
        <item x="524"/>
        <item x="800"/>
        <item x="877"/>
        <item x="878"/>
        <item x="879"/>
        <item x="931"/>
        <item x="932"/>
        <item x="625"/>
        <item x="626"/>
        <item x="525"/>
        <item x="488"/>
        <item x="627"/>
        <item x="425"/>
        <item x="426"/>
        <item x="628"/>
        <item x="629"/>
        <item x="526"/>
        <item x="527"/>
        <item x="472"/>
        <item x="575"/>
        <item x="630"/>
        <item x="576"/>
        <item x="577"/>
        <item x="578"/>
        <item x="579"/>
        <item x="801"/>
        <item x="580"/>
        <item x="737"/>
        <item x="738"/>
        <item x="581"/>
        <item x="528"/>
        <item x="692"/>
        <item x="582"/>
        <item x="631"/>
        <item x="583"/>
        <item x="632"/>
        <item x="584"/>
        <item x="585"/>
        <item x="529"/>
        <item x="933"/>
        <item x="530"/>
        <item x="586"/>
        <item x="983"/>
        <item x="802"/>
        <item x="693"/>
        <item x="803"/>
        <item x="739"/>
        <item x="675"/>
        <item x="694"/>
        <item x="676"/>
        <item x="587"/>
        <item x="740"/>
        <item x="984"/>
        <item x="804"/>
        <item x="531"/>
        <item x="880"/>
        <item x="633"/>
        <item x="1129"/>
        <item x="1130"/>
        <item x="881"/>
        <item x="1059"/>
        <item x="985"/>
        <item x="1184"/>
        <item x="634"/>
        <item x="1060"/>
        <item x="1237"/>
        <item x="1185"/>
        <item x="1238"/>
        <item x="1009"/>
        <item x="635"/>
        <item x="1239"/>
        <item x="1010"/>
        <item x="695"/>
        <item x="473"/>
        <item x="532"/>
        <item x="474"/>
        <item x="475"/>
        <item x="476"/>
        <item x="533"/>
        <item x="805"/>
        <item x="806"/>
        <item x="696"/>
        <item x="697"/>
        <item x="477"/>
        <item x="478"/>
        <item x="479"/>
        <item x="534"/>
        <item x="636"/>
        <item x="480"/>
        <item x="481"/>
        <item x="934"/>
        <item x="535"/>
        <item x="935"/>
        <item x="428"/>
        <item x="482"/>
        <item x="427"/>
        <item x="483"/>
        <item x="536"/>
        <item x="429"/>
        <item x="807"/>
        <item x="537"/>
        <item x="588"/>
        <item x="589"/>
        <item x="936"/>
        <item x="698"/>
        <item x="484"/>
        <item x="538"/>
        <item x="699"/>
        <item x="700"/>
        <item x="637"/>
        <item x="638"/>
        <item x="539"/>
        <item x="540"/>
        <item x="590"/>
        <item x="808"/>
        <item x="701"/>
        <item x="882"/>
        <item x="591"/>
        <item x="541"/>
        <item x="542"/>
        <item x="543"/>
        <item x="544"/>
        <item x="741"/>
        <item x="639"/>
        <item x="485"/>
        <item x="677"/>
        <item x="592"/>
        <item x="640"/>
        <item x="702"/>
        <item x="883"/>
        <item x="742"/>
        <item x="809"/>
        <item x="937"/>
        <item x="884"/>
        <item x="743"/>
        <item x="810"/>
        <item x="938"/>
        <item x="939"/>
        <item x="986"/>
        <item x="703"/>
        <item x="744"/>
        <item x="1011"/>
        <item x="745"/>
        <item x="545"/>
        <item x="593"/>
        <item x="885"/>
        <item x="746"/>
        <item x="747"/>
        <item x="811"/>
        <item x="812"/>
        <item x="594"/>
        <item x="678"/>
        <item x="940"/>
        <item x="987"/>
        <item x="988"/>
        <item x="989"/>
        <item x="748"/>
        <item x="1256"/>
        <item x="704"/>
        <item x="1061"/>
        <item x="1062"/>
        <item x="595"/>
        <item x="1012"/>
        <item x="705"/>
        <item x="941"/>
        <item x="886"/>
        <item x="1013"/>
        <item x="1063"/>
        <item x="1186"/>
        <item x="1131"/>
        <item x="1187"/>
        <item x="596"/>
        <item x="749"/>
        <item x="1014"/>
        <item x="887"/>
        <item x="641"/>
        <item x="1188"/>
        <item x="813"/>
        <item x="1132"/>
        <item x="1015"/>
        <item x="750"/>
        <item x="814"/>
        <item x="706"/>
        <item x="888"/>
        <item x="916"/>
        <item x="917"/>
        <item x="918"/>
        <item x="919"/>
        <item x="546"/>
        <item x="547"/>
        <item x="548"/>
        <item x="1223"/>
        <item x="1167"/>
        <item x="815"/>
        <item x="707"/>
        <item x="597"/>
        <item x="598"/>
        <item x="816"/>
        <item x="489"/>
        <item x="817"/>
        <item x="642"/>
        <item x="818"/>
        <item x="643"/>
        <item x="490"/>
        <item x="819"/>
        <item x="751"/>
        <item x="820"/>
        <item x="821"/>
        <item x="708"/>
        <item x="644"/>
        <item x="645"/>
        <item x="599"/>
        <item x="1189"/>
        <item x="646"/>
        <item x="889"/>
        <item x="1240"/>
        <item x="647"/>
        <item x="605"/>
        <item x="890"/>
        <item x="822"/>
        <item x="648"/>
        <item x="649"/>
        <item x="600"/>
        <item x="650"/>
        <item x="1064"/>
        <item x="651"/>
        <item x="752"/>
        <item x="652"/>
        <item x="653"/>
        <item x="654"/>
        <item x="1190"/>
        <item x="655"/>
        <item x="1191"/>
        <item x="1192"/>
        <item x="1193"/>
        <item x="1194"/>
        <item x="1195"/>
        <item x="1196"/>
        <item x="1241"/>
        <item x="1197"/>
        <item x="823"/>
        <item x="824"/>
        <item x="601"/>
        <item x="602"/>
        <item x="753"/>
        <item x="754"/>
        <item x="1111"/>
        <item x="656"/>
        <item x="1016"/>
        <item x="1065"/>
        <item x="1017"/>
        <item x="1066"/>
        <item x="603"/>
        <item x="709"/>
        <item x="891"/>
        <item x="679"/>
        <item x="710"/>
        <item x="1018"/>
        <item x="719"/>
        <item x="720"/>
        <item x="776"/>
        <item x="777"/>
        <item x="657"/>
        <item x="658"/>
        <item x="711"/>
        <item x="755"/>
        <item x="756"/>
        <item x="712"/>
        <item x="659"/>
        <item x="713"/>
        <item x="1257"/>
        <item x="1258"/>
        <item x="1259"/>
        <item x="1260"/>
        <item x="1261"/>
        <item x="1262"/>
        <item x="1263"/>
        <item x="1264"/>
        <item x="825"/>
        <item x="826"/>
        <item x="660"/>
        <item x="942"/>
        <item x="943"/>
        <item x="1019"/>
        <item x="1067"/>
        <item x="1133"/>
        <item x="661"/>
        <item x="1198"/>
        <item x="714"/>
        <item x="827"/>
        <item x="715"/>
        <item x="757"/>
        <item x="758"/>
        <item x="716"/>
        <item x="828"/>
        <item x="717"/>
        <item x="1068"/>
        <item x="1069"/>
        <item x="680"/>
        <item x="859"/>
        <item x="1112"/>
        <item x="1253"/>
        <item x="1134"/>
        <item x="944"/>
        <item x="662"/>
        <item x="1070"/>
        <item x="1199"/>
        <item x="759"/>
        <item x="892"/>
        <item x="829"/>
        <item x="830"/>
        <item x="831"/>
        <item x="945"/>
        <item x="718"/>
        <item x="990"/>
        <item x="991"/>
        <item x="760"/>
        <item x="832"/>
        <item x="893"/>
        <item x="1020"/>
        <item x="894"/>
        <item x="1021"/>
        <item x="946"/>
        <item x="1135"/>
        <item x="1022"/>
        <item x="947"/>
        <item x="1023"/>
        <item x="1265"/>
        <item x="761"/>
        <item x="1024"/>
        <item x="1136"/>
        <item x="1071"/>
        <item x="948"/>
        <item x="1025"/>
        <item x="1137"/>
        <item x="1072"/>
        <item x="992"/>
        <item x="1047"/>
        <item x="1168"/>
        <item x="1113"/>
        <item x="967"/>
        <item x="762"/>
        <item x="763"/>
        <item x="764"/>
        <item x="765"/>
        <item x="766"/>
        <item x="833"/>
        <item x="767"/>
        <item x="768"/>
        <item x="769"/>
        <item x="770"/>
        <item x="771"/>
        <item x="834"/>
        <item x="835"/>
        <item x="836"/>
        <item x="837"/>
        <item x="838"/>
        <item x="839"/>
        <item x="840"/>
        <item x="993"/>
        <item x="895"/>
        <item x="896"/>
        <item x="897"/>
        <item x="1266"/>
        <item x="1169"/>
        <item x="1026"/>
        <item x="1027"/>
        <item x="1048"/>
        <item x="772"/>
        <item x="841"/>
        <item x="842"/>
        <item x="949"/>
        <item x="950"/>
        <item x="951"/>
        <item x="952"/>
        <item x="953"/>
        <item x="1028"/>
        <item x="843"/>
        <item x="844"/>
        <item x="845"/>
        <item x="846"/>
        <item x="994"/>
        <item x="847"/>
        <item x="848"/>
        <item x="778"/>
        <item x="860"/>
        <item x="861"/>
        <item x="779"/>
        <item x="849"/>
        <item x="850"/>
        <item x="862"/>
        <item x="863"/>
        <item x="851"/>
        <item x="852"/>
        <item x="780"/>
        <item x="781"/>
        <item x="853"/>
        <item x="854"/>
        <item x="855"/>
        <item x="864"/>
        <item x="865"/>
        <item x="866"/>
        <item x="1170"/>
        <item x="1114"/>
        <item x="1224"/>
        <item x="898"/>
        <item x="1073"/>
        <item x="1074"/>
        <item x="1075"/>
        <item x="1076"/>
        <item x="1138"/>
        <item x="1139"/>
        <item x="1077"/>
        <item x="1029"/>
        <item x="1030"/>
        <item x="1078"/>
        <item x="1079"/>
        <item x="1031"/>
        <item x="1032"/>
        <item x="954"/>
        <item x="955"/>
        <item x="956"/>
        <item x="957"/>
        <item x="899"/>
        <item x="1140"/>
        <item x="1080"/>
        <item x="1200"/>
        <item x="1081"/>
        <item x="1141"/>
        <item x="958"/>
        <item x="1033"/>
        <item x="1242"/>
        <item x="900"/>
        <item x="901"/>
        <item x="1267"/>
        <item x="1034"/>
        <item x="1268"/>
        <item x="902"/>
        <item x="1243"/>
        <item x="903"/>
        <item x="904"/>
        <item x="1269"/>
        <item x="1270"/>
        <item x="905"/>
        <item x="867"/>
        <item x="856"/>
        <item x="857"/>
        <item x="858"/>
        <item x="906"/>
        <item x="907"/>
        <item x="908"/>
        <item x="909"/>
        <item x="910"/>
        <item x="959"/>
        <item x="1142"/>
        <item x="911"/>
        <item x="1143"/>
        <item x="912"/>
        <item x="913"/>
        <item x="914"/>
        <item x="960"/>
        <item x="995"/>
        <item x="1035"/>
        <item x="1082"/>
        <item x="1083"/>
        <item x="1036"/>
        <item x="1144"/>
        <item x="1145"/>
        <item x="1084"/>
        <item x="1146"/>
        <item x="1244"/>
        <item x="1085"/>
        <item x="915"/>
        <item x="1201"/>
        <item x="1037"/>
        <item x="1038"/>
        <item x="1147"/>
        <item x="1148"/>
        <item x="868"/>
        <item x="998"/>
        <item x="1149"/>
        <item x="1039"/>
        <item x="961"/>
        <item x="869"/>
        <item x="870"/>
        <item x="1171"/>
        <item x="1040"/>
        <item x="1049"/>
        <item x="1202"/>
        <item x="962"/>
        <item x="963"/>
        <item x="964"/>
        <item x="965"/>
        <item x="996"/>
        <item x="1041"/>
        <item x="1042"/>
        <item x="1043"/>
        <item x="1086"/>
        <item x="1087"/>
        <item x="1150"/>
        <item x="1088"/>
        <item x="1151"/>
        <item x="1089"/>
        <item x="1090"/>
        <item x="1203"/>
        <item x="1204"/>
        <item x="1152"/>
        <item x="1153"/>
        <item x="1154"/>
        <item x="1091"/>
        <item x="1092"/>
        <item x="1155"/>
        <item x="1156"/>
        <item x="1093"/>
        <item x="1094"/>
        <item x="1095"/>
        <item x="1245"/>
        <item x="1044"/>
        <item x="1096"/>
        <item x="1097"/>
        <item x="1098"/>
        <item x="1099"/>
        <item x="1157"/>
        <item x="1158"/>
        <item x="1100"/>
        <item x="1159"/>
        <item x="1101"/>
        <item x="1102"/>
        <item x="1160"/>
        <item x="1161"/>
        <item x="1103"/>
        <item x="1162"/>
        <item x="1104"/>
        <item x="1246"/>
        <item x="1225"/>
        <item x="1226"/>
        <item x="1105"/>
        <item x="1163"/>
        <item x="1106"/>
        <item x="1107"/>
        <item x="1108"/>
        <item x="1109"/>
        <item x="1164"/>
        <item x="1205"/>
        <item x="1165"/>
        <item x="1206"/>
        <item x="1207"/>
        <item x="1208"/>
        <item x="1209"/>
        <item x="1210"/>
        <item x="1211"/>
        <item x="1212"/>
        <item x="1213"/>
        <item x="1214"/>
        <item x="1247"/>
        <item x="1227"/>
        <item x="1215"/>
        <item x="1228"/>
        <item x="1115"/>
        <item x="1116"/>
        <item x="1172"/>
        <item x="1229"/>
        <item x="1173"/>
        <item x="1230"/>
        <item x="1271"/>
        <item x="1272"/>
        <item x="1273"/>
        <item x="1274"/>
        <item x="1275"/>
        <item x="1276"/>
        <item x="1277"/>
        <item x="1216"/>
        <item x="1217"/>
        <item x="1218"/>
        <item x="1219"/>
        <item x="1278"/>
        <item x="1279"/>
        <item x="1220"/>
        <item x="1221"/>
        <item x="1117"/>
        <item x="1254"/>
        <item x="1248"/>
        <item x="1280"/>
        <item x="1281"/>
        <item x="1249"/>
        <item x="1118"/>
        <item x="1222"/>
        <item x="1282"/>
        <item x="1283"/>
        <item x="1284"/>
        <item x="1231"/>
        <item x="1050"/>
        <item x="1166"/>
        <item x="1232"/>
        <item x="1174"/>
        <item x="1175"/>
        <item x="1176"/>
        <item x="1119"/>
        <item x="123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9">
        <item x="1"/>
        <item x="3"/>
        <item x="6"/>
        <item x="5"/>
        <item x="4"/>
        <item x="0"/>
        <item x="7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F792-3EC4-4128-B2E0-323E8F0F30AE}">
  <dimension ref="A1:BF36"/>
  <sheetViews>
    <sheetView topLeftCell="A16" workbookViewId="0">
      <selection activeCell="C32" sqref="C32:C33"/>
    </sheetView>
  </sheetViews>
  <sheetFormatPr defaultRowHeight="14.5" x14ac:dyDescent="0.35"/>
  <cols>
    <col min="1" max="1" width="11.90625" customWidth="1"/>
    <col min="2" max="2" width="18.54296875" bestFit="1" customWidth="1"/>
    <col min="3" max="3" width="18.36328125" bestFit="1" customWidth="1"/>
    <col min="4" max="4" width="9.08984375" bestFit="1" customWidth="1"/>
    <col min="5" max="5" width="10.7265625" bestFit="1" customWidth="1"/>
    <col min="6" max="6" width="10.90625" bestFit="1" customWidth="1"/>
    <col min="7" max="7" width="59.453125" bestFit="1" customWidth="1"/>
    <col min="8" max="8" width="7.453125" bestFit="1" customWidth="1"/>
    <col min="9" max="9" width="11.1796875" bestFit="1" customWidth="1"/>
    <col min="10" max="10" width="6.90625" bestFit="1" customWidth="1"/>
    <col min="11" max="11" width="13.36328125" bestFit="1" customWidth="1"/>
    <col min="12" max="12" width="10.08984375" bestFit="1" customWidth="1"/>
    <col min="13" max="13" width="11.26953125" bestFit="1" customWidth="1"/>
    <col min="14" max="14" width="11.7265625" bestFit="1" customWidth="1"/>
    <col min="15" max="15" width="11.81640625" bestFit="1" customWidth="1"/>
    <col min="16" max="16" width="15.26953125" bestFit="1" customWidth="1"/>
    <col min="17" max="17" width="15.36328125" bestFit="1" customWidth="1"/>
    <col min="18" max="18" width="9.81640625" bestFit="1" customWidth="1"/>
    <col min="19" max="19" width="15.08984375" bestFit="1" customWidth="1"/>
    <col min="20" max="20" width="11.54296875" bestFit="1" customWidth="1"/>
    <col min="21" max="21" width="20.81640625" bestFit="1" customWidth="1"/>
    <col min="22" max="22" width="8.26953125" bestFit="1" customWidth="1"/>
    <col min="23" max="23" width="20.453125" bestFit="1" customWidth="1"/>
    <col min="24" max="24" width="16.7265625" bestFit="1" customWidth="1"/>
    <col min="25" max="25" width="4.36328125" bestFit="1" customWidth="1"/>
    <col min="26" max="26" width="6.81640625" bestFit="1" customWidth="1"/>
    <col min="27" max="27" width="6.08984375" bestFit="1" customWidth="1"/>
    <col min="28" max="28" width="11.26953125" bestFit="1" customWidth="1"/>
    <col min="29" max="29" width="10.6328125" bestFit="1" customWidth="1"/>
    <col min="30" max="30" width="11.453125" bestFit="1" customWidth="1"/>
    <col min="31" max="31" width="13.08984375" bestFit="1" customWidth="1"/>
    <col min="32" max="32" width="12" bestFit="1" customWidth="1"/>
    <col min="33" max="33" width="20.7265625" bestFit="1" customWidth="1"/>
    <col min="34" max="35" width="14.26953125" bestFit="1" customWidth="1"/>
    <col min="36" max="36" width="7.6328125" bestFit="1" customWidth="1"/>
    <col min="37" max="37" width="10.90625" bestFit="1" customWidth="1"/>
    <col min="38" max="38" width="12.6328125" bestFit="1" customWidth="1"/>
    <col min="39" max="39" width="21.08984375" bestFit="1" customWidth="1"/>
    <col min="40" max="40" width="14.7265625" bestFit="1" customWidth="1"/>
    <col min="41" max="41" width="6.36328125" bestFit="1" customWidth="1"/>
    <col min="42" max="42" width="22.08984375" bestFit="1" customWidth="1"/>
    <col min="43" max="43" width="14.81640625" bestFit="1" customWidth="1"/>
    <col min="44" max="44" width="22.08984375" bestFit="1" customWidth="1"/>
    <col min="45" max="45" width="14.81640625" bestFit="1" customWidth="1"/>
    <col min="46" max="46" width="22.08984375" bestFit="1" customWidth="1"/>
    <col min="47" max="47" width="14.81640625" bestFit="1" customWidth="1"/>
    <col min="48" max="48" width="20.453125" bestFit="1" customWidth="1"/>
    <col min="49" max="49" width="12.26953125" bestFit="1" customWidth="1"/>
    <col min="50" max="50" width="18" bestFit="1" customWidth="1"/>
    <col min="51" max="51" width="11.7265625" bestFit="1" customWidth="1"/>
    <col min="52" max="52" width="21" bestFit="1" customWidth="1"/>
    <col min="53" max="53" width="6.81640625" bestFit="1" customWidth="1"/>
    <col min="54" max="54" width="8.81640625" bestFit="1" customWidth="1"/>
    <col min="55" max="55" width="13.08984375" bestFit="1" customWidth="1"/>
    <col min="56" max="56" width="6.26953125" bestFit="1" customWidth="1"/>
    <col min="57" max="57" width="3.36328125" bestFit="1" customWidth="1"/>
    <col min="58" max="58" width="14.81640625" bestFit="1" customWidth="1"/>
  </cols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</v>
      </c>
      <c r="B5">
        <v>10000</v>
      </c>
      <c r="C5">
        <v>40000</v>
      </c>
      <c r="D5" s="2">
        <v>45720</v>
      </c>
      <c r="E5" t="s">
        <v>61</v>
      </c>
      <c r="F5" s="3">
        <v>0.46662037037037035</v>
      </c>
      <c r="G5" t="s">
        <v>62</v>
      </c>
      <c r="I5">
        <v>2</v>
      </c>
      <c r="J5" t="s">
        <v>63</v>
      </c>
      <c r="K5">
        <v>86</v>
      </c>
      <c r="L5" t="s">
        <v>64</v>
      </c>
      <c r="M5" s="4">
        <v>8334</v>
      </c>
      <c r="P5" s="2">
        <v>45717</v>
      </c>
      <c r="R5">
        <v>36</v>
      </c>
      <c r="S5" s="4">
        <v>300024</v>
      </c>
      <c r="T5" t="s">
        <v>65</v>
      </c>
      <c r="U5" t="s">
        <v>66</v>
      </c>
      <c r="V5">
        <v>0</v>
      </c>
      <c r="W5" s="4">
        <v>280379</v>
      </c>
      <c r="X5" s="4">
        <v>19645</v>
      </c>
      <c r="Y5">
        <v>0</v>
      </c>
      <c r="Z5">
        <v>0</v>
      </c>
      <c r="AA5">
        <v>0</v>
      </c>
      <c r="AD5">
        <v>0</v>
      </c>
      <c r="AM5" t="s">
        <v>67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70</v>
      </c>
      <c r="BA5">
        <v>0</v>
      </c>
      <c r="BC5" t="s">
        <v>68</v>
      </c>
      <c r="BF5" t="s">
        <v>71</v>
      </c>
    </row>
    <row r="6" spans="1:58" x14ac:dyDescent="0.35">
      <c r="A6" t="s">
        <v>72</v>
      </c>
      <c r="B6">
        <v>10000</v>
      </c>
      <c r="C6">
        <v>30000</v>
      </c>
      <c r="D6" s="2">
        <v>45719</v>
      </c>
      <c r="E6" t="s">
        <v>61</v>
      </c>
      <c r="F6" t="s">
        <v>73</v>
      </c>
      <c r="G6" t="s">
        <v>74</v>
      </c>
      <c r="I6">
        <v>3</v>
      </c>
      <c r="J6" t="s">
        <v>63</v>
      </c>
      <c r="K6">
        <v>91</v>
      </c>
      <c r="L6" t="s">
        <v>75</v>
      </c>
      <c r="M6" s="4">
        <v>56000</v>
      </c>
      <c r="P6" s="2">
        <v>45717</v>
      </c>
      <c r="R6">
        <v>9</v>
      </c>
      <c r="S6" s="4">
        <v>504000</v>
      </c>
      <c r="T6" t="s">
        <v>65</v>
      </c>
      <c r="U6" t="s">
        <v>76</v>
      </c>
      <c r="V6">
        <v>0</v>
      </c>
      <c r="W6" s="4">
        <v>500000</v>
      </c>
      <c r="X6" s="4">
        <v>4000</v>
      </c>
      <c r="Y6">
        <v>0</v>
      </c>
      <c r="Z6">
        <v>0</v>
      </c>
      <c r="AA6">
        <v>0</v>
      </c>
      <c r="AD6">
        <v>0</v>
      </c>
      <c r="AM6" t="s">
        <v>77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78</v>
      </c>
      <c r="BA6">
        <v>0</v>
      </c>
      <c r="BC6" t="s">
        <v>68</v>
      </c>
      <c r="BF6" t="s">
        <v>79</v>
      </c>
    </row>
    <row r="7" spans="1:58" x14ac:dyDescent="0.35">
      <c r="A7" t="s">
        <v>80</v>
      </c>
      <c r="B7">
        <v>10000</v>
      </c>
      <c r="C7">
        <v>30000</v>
      </c>
      <c r="D7" s="2">
        <v>45730</v>
      </c>
      <c r="E7" t="s">
        <v>61</v>
      </c>
      <c r="F7" t="s">
        <v>81</v>
      </c>
      <c r="G7" t="s">
        <v>82</v>
      </c>
      <c r="I7">
        <v>2</v>
      </c>
      <c r="J7" t="s">
        <v>63</v>
      </c>
      <c r="K7">
        <v>86</v>
      </c>
      <c r="L7" t="s">
        <v>64</v>
      </c>
      <c r="M7" s="4">
        <v>29723</v>
      </c>
      <c r="P7" s="2">
        <v>45717</v>
      </c>
      <c r="R7">
        <v>36</v>
      </c>
      <c r="S7" s="4">
        <v>1070028</v>
      </c>
      <c r="T7" t="s">
        <v>65</v>
      </c>
      <c r="U7" t="s">
        <v>83</v>
      </c>
      <c r="V7">
        <v>0</v>
      </c>
      <c r="W7" s="4">
        <v>1000000</v>
      </c>
      <c r="X7" s="4">
        <v>70028</v>
      </c>
      <c r="Y7">
        <v>0</v>
      </c>
      <c r="Z7">
        <v>0</v>
      </c>
      <c r="AA7">
        <v>0</v>
      </c>
      <c r="AD7">
        <v>0</v>
      </c>
      <c r="AM7" t="s">
        <v>84</v>
      </c>
      <c r="AN7" t="s">
        <v>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85</v>
      </c>
      <c r="BA7">
        <v>0</v>
      </c>
      <c r="BC7" t="s">
        <v>68</v>
      </c>
      <c r="BF7" t="s">
        <v>86</v>
      </c>
    </row>
    <row r="8" spans="1:58" x14ac:dyDescent="0.35">
      <c r="A8" t="s">
        <v>87</v>
      </c>
      <c r="B8">
        <v>10000</v>
      </c>
      <c r="C8">
        <v>20000</v>
      </c>
      <c r="D8" s="2">
        <v>45719</v>
      </c>
      <c r="E8" t="s">
        <v>61</v>
      </c>
      <c r="F8" t="s">
        <v>88</v>
      </c>
      <c r="G8" t="s">
        <v>89</v>
      </c>
      <c r="I8">
        <v>1</v>
      </c>
      <c r="J8" t="s">
        <v>63</v>
      </c>
      <c r="K8">
        <v>73</v>
      </c>
      <c r="L8" t="s">
        <v>90</v>
      </c>
      <c r="M8" s="4">
        <v>24000</v>
      </c>
      <c r="P8" s="2">
        <v>45717</v>
      </c>
      <c r="R8">
        <v>12</v>
      </c>
      <c r="S8" s="4">
        <v>288000</v>
      </c>
      <c r="T8" t="s">
        <v>65</v>
      </c>
      <c r="U8">
        <v>80256220001</v>
      </c>
      <c r="V8">
        <v>0</v>
      </c>
      <c r="W8" s="4">
        <v>288000</v>
      </c>
      <c r="X8">
        <v>0</v>
      </c>
      <c r="Y8">
        <v>0</v>
      </c>
      <c r="Z8">
        <v>0</v>
      </c>
      <c r="AA8">
        <v>0</v>
      </c>
      <c r="AD8">
        <v>0</v>
      </c>
      <c r="AM8">
        <v>8025622</v>
      </c>
      <c r="AN8" t="s">
        <v>91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92</v>
      </c>
      <c r="BA8">
        <v>0</v>
      </c>
      <c r="BC8" t="s">
        <v>91</v>
      </c>
      <c r="BF8" t="s">
        <v>93</v>
      </c>
    </row>
    <row r="9" spans="1:58" x14ac:dyDescent="0.35">
      <c r="A9" t="s">
        <v>94</v>
      </c>
      <c r="B9">
        <v>10000</v>
      </c>
      <c r="C9">
        <v>10000</v>
      </c>
      <c r="D9" s="2">
        <v>45719</v>
      </c>
      <c r="E9" t="s">
        <v>95</v>
      </c>
      <c r="F9" t="s">
        <v>96</v>
      </c>
      <c r="G9" t="s">
        <v>89</v>
      </c>
      <c r="I9">
        <v>1</v>
      </c>
      <c r="J9" t="s">
        <v>63</v>
      </c>
      <c r="K9" t="s">
        <v>97</v>
      </c>
      <c r="L9" t="s">
        <v>98</v>
      </c>
      <c r="M9" s="4">
        <v>36000</v>
      </c>
      <c r="P9" s="2">
        <v>45717</v>
      </c>
      <c r="R9">
        <v>12</v>
      </c>
      <c r="S9" s="4">
        <v>432000</v>
      </c>
      <c r="T9" t="s">
        <v>65</v>
      </c>
      <c r="U9">
        <v>80256220001</v>
      </c>
      <c r="V9">
        <v>0</v>
      </c>
      <c r="W9" s="4">
        <v>432000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8025622</v>
      </c>
      <c r="AN9" t="s">
        <v>91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99</v>
      </c>
      <c r="BA9">
        <v>0</v>
      </c>
      <c r="BC9" t="s">
        <v>91</v>
      </c>
      <c r="BF9" t="s">
        <v>100</v>
      </c>
    </row>
    <row r="10" spans="1:58" x14ac:dyDescent="0.35">
      <c r="A10" t="s">
        <v>101</v>
      </c>
      <c r="B10">
        <v>10000</v>
      </c>
      <c r="C10">
        <v>30000</v>
      </c>
      <c r="D10" s="2">
        <v>45719</v>
      </c>
      <c r="E10" t="s">
        <v>61</v>
      </c>
      <c r="F10" t="s">
        <v>102</v>
      </c>
      <c r="G10" t="s">
        <v>103</v>
      </c>
      <c r="I10">
        <v>3</v>
      </c>
      <c r="J10" t="s">
        <v>63</v>
      </c>
      <c r="K10">
        <v>101</v>
      </c>
      <c r="L10" t="s">
        <v>104</v>
      </c>
      <c r="M10" s="4">
        <v>34000</v>
      </c>
      <c r="P10" s="2">
        <v>45717</v>
      </c>
      <c r="R10">
        <v>3</v>
      </c>
      <c r="S10" s="4">
        <v>102000</v>
      </c>
      <c r="T10" t="s">
        <v>65</v>
      </c>
      <c r="U10" t="s">
        <v>105</v>
      </c>
      <c r="V10">
        <v>0</v>
      </c>
      <c r="W10" s="4">
        <v>110000</v>
      </c>
      <c r="X10" s="4">
        <v>-8000</v>
      </c>
      <c r="Y10">
        <v>0</v>
      </c>
      <c r="Z10">
        <v>0</v>
      </c>
      <c r="AA10">
        <v>0</v>
      </c>
      <c r="AD10">
        <v>0</v>
      </c>
      <c r="AM10" t="s">
        <v>106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108</v>
      </c>
      <c r="BA10">
        <v>0</v>
      </c>
      <c r="BC10" t="s">
        <v>107</v>
      </c>
      <c r="BF10" t="s">
        <v>109</v>
      </c>
    </row>
    <row r="11" spans="1:58" x14ac:dyDescent="0.35">
      <c r="A11" t="s">
        <v>110</v>
      </c>
      <c r="B11">
        <v>10000</v>
      </c>
      <c r="C11">
        <v>10000</v>
      </c>
      <c r="D11" s="2">
        <v>45719</v>
      </c>
      <c r="E11" t="s">
        <v>61</v>
      </c>
      <c r="F11" t="s">
        <v>111</v>
      </c>
      <c r="G11" t="s">
        <v>112</v>
      </c>
      <c r="I11">
        <v>1</v>
      </c>
      <c r="J11" t="s">
        <v>63</v>
      </c>
      <c r="K11">
        <v>46</v>
      </c>
      <c r="L11" t="s">
        <v>113</v>
      </c>
      <c r="M11" s="4">
        <v>4000</v>
      </c>
      <c r="P11" s="2">
        <v>45717</v>
      </c>
      <c r="R11">
        <v>1</v>
      </c>
      <c r="S11" s="4">
        <v>4000</v>
      </c>
      <c r="T11" t="s">
        <v>65</v>
      </c>
      <c r="U11" t="s">
        <v>114</v>
      </c>
      <c r="V11">
        <v>0</v>
      </c>
      <c r="W11" s="4">
        <v>4000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115</v>
      </c>
      <c r="AN11" t="s">
        <v>116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117</v>
      </c>
      <c r="BA11">
        <v>0</v>
      </c>
      <c r="BC11" t="s">
        <v>116</v>
      </c>
      <c r="BF11" t="s">
        <v>118</v>
      </c>
    </row>
    <row r="12" spans="1:58" x14ac:dyDescent="0.35">
      <c r="A12" t="s">
        <v>119</v>
      </c>
      <c r="B12">
        <v>10000</v>
      </c>
      <c r="C12">
        <v>30000</v>
      </c>
      <c r="D12" s="2">
        <v>45721</v>
      </c>
      <c r="E12" t="s">
        <v>61</v>
      </c>
      <c r="F12" t="s">
        <v>120</v>
      </c>
      <c r="G12" t="s">
        <v>112</v>
      </c>
      <c r="I12">
        <v>1</v>
      </c>
      <c r="J12" t="s">
        <v>63</v>
      </c>
      <c r="K12">
        <v>46</v>
      </c>
      <c r="L12" t="s">
        <v>113</v>
      </c>
      <c r="M12" s="4">
        <v>2000</v>
      </c>
      <c r="P12" s="2">
        <v>45717</v>
      </c>
      <c r="R12">
        <v>1</v>
      </c>
      <c r="S12" s="4">
        <v>2000</v>
      </c>
      <c r="T12" t="s">
        <v>65</v>
      </c>
      <c r="U12" t="s">
        <v>121</v>
      </c>
      <c r="V12">
        <v>0</v>
      </c>
      <c r="W12" s="4">
        <v>2000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122</v>
      </c>
      <c r="AN12" t="s">
        <v>116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123</v>
      </c>
      <c r="BA12">
        <v>0</v>
      </c>
      <c r="BC12" t="s">
        <v>116</v>
      </c>
      <c r="BF12" t="s">
        <v>118</v>
      </c>
    </row>
    <row r="13" spans="1:58" x14ac:dyDescent="0.35">
      <c r="A13" t="s">
        <v>124</v>
      </c>
      <c r="B13">
        <v>10000</v>
      </c>
      <c r="C13">
        <v>20000</v>
      </c>
      <c r="D13" s="2">
        <v>45720</v>
      </c>
      <c r="E13" t="s">
        <v>61</v>
      </c>
      <c r="F13" t="s">
        <v>125</v>
      </c>
      <c r="G13" t="s">
        <v>126</v>
      </c>
      <c r="I13">
        <v>2</v>
      </c>
      <c r="J13" t="s">
        <v>63</v>
      </c>
      <c r="K13">
        <v>77</v>
      </c>
      <c r="L13" t="s">
        <v>127</v>
      </c>
      <c r="M13" s="4">
        <v>10600</v>
      </c>
      <c r="P13" s="2">
        <v>45717</v>
      </c>
      <c r="R13">
        <v>10</v>
      </c>
      <c r="S13" s="4">
        <v>106000</v>
      </c>
      <c r="T13" t="s">
        <v>65</v>
      </c>
      <c r="U13" t="s">
        <v>128</v>
      </c>
      <c r="V13">
        <v>0</v>
      </c>
      <c r="W13" s="4">
        <v>100000</v>
      </c>
      <c r="X13" s="4">
        <v>6000</v>
      </c>
      <c r="Y13">
        <v>0</v>
      </c>
      <c r="Z13">
        <v>0</v>
      </c>
      <c r="AA13">
        <v>0</v>
      </c>
      <c r="AD13">
        <v>0</v>
      </c>
      <c r="AM13" t="s">
        <v>129</v>
      </c>
      <c r="AN13" t="s">
        <v>107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130</v>
      </c>
      <c r="BA13">
        <v>0</v>
      </c>
      <c r="BC13" t="s">
        <v>107</v>
      </c>
      <c r="BF13" t="s">
        <v>131</v>
      </c>
    </row>
    <row r="14" spans="1:58" x14ac:dyDescent="0.35">
      <c r="A14" t="s">
        <v>132</v>
      </c>
      <c r="B14">
        <v>10000</v>
      </c>
      <c r="C14">
        <v>20000</v>
      </c>
      <c r="D14" s="2">
        <v>45719</v>
      </c>
      <c r="E14" t="s">
        <v>61</v>
      </c>
      <c r="F14" t="s">
        <v>133</v>
      </c>
      <c r="G14" t="s">
        <v>134</v>
      </c>
      <c r="I14">
        <v>2</v>
      </c>
      <c r="J14" t="s">
        <v>63</v>
      </c>
      <c r="K14">
        <v>71</v>
      </c>
      <c r="L14" t="s">
        <v>135</v>
      </c>
      <c r="M14" s="4">
        <v>4167</v>
      </c>
      <c r="P14" s="2">
        <v>45717</v>
      </c>
      <c r="R14">
        <v>6</v>
      </c>
      <c r="S14" s="4">
        <v>25002</v>
      </c>
      <c r="T14" t="s">
        <v>65</v>
      </c>
      <c r="U14">
        <v>86090880001</v>
      </c>
      <c r="V14">
        <v>0</v>
      </c>
      <c r="W14" s="4">
        <v>25000</v>
      </c>
      <c r="X14">
        <v>2</v>
      </c>
      <c r="Y14">
        <v>0</v>
      </c>
      <c r="Z14">
        <v>0</v>
      </c>
      <c r="AA14">
        <v>0</v>
      </c>
      <c r="AD14">
        <v>0</v>
      </c>
      <c r="AM14">
        <v>8609088</v>
      </c>
      <c r="AN14" t="s">
        <v>91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136</v>
      </c>
      <c r="BA14">
        <v>0</v>
      </c>
      <c r="BC14" t="s">
        <v>91</v>
      </c>
      <c r="BF14" t="s">
        <v>137</v>
      </c>
    </row>
    <row r="15" spans="1:58" x14ac:dyDescent="0.35">
      <c r="A15" t="s">
        <v>138</v>
      </c>
      <c r="B15">
        <v>10000</v>
      </c>
      <c r="C15">
        <v>20000</v>
      </c>
      <c r="D15" s="2">
        <v>45719</v>
      </c>
      <c r="E15" t="s">
        <v>61</v>
      </c>
      <c r="F15" t="s">
        <v>139</v>
      </c>
      <c r="G15" t="s">
        <v>134</v>
      </c>
      <c r="I15">
        <v>2</v>
      </c>
      <c r="J15" t="s">
        <v>63</v>
      </c>
      <c r="K15">
        <v>71</v>
      </c>
      <c r="L15" t="s">
        <v>135</v>
      </c>
      <c r="M15" s="4">
        <v>1667</v>
      </c>
      <c r="P15" s="2">
        <v>45717</v>
      </c>
      <c r="R15">
        <v>6</v>
      </c>
      <c r="S15" s="4">
        <v>10002</v>
      </c>
      <c r="T15" t="s">
        <v>65</v>
      </c>
      <c r="U15">
        <v>86090890001</v>
      </c>
      <c r="V15">
        <v>0</v>
      </c>
      <c r="W15" s="4">
        <v>10000</v>
      </c>
      <c r="X15">
        <v>2</v>
      </c>
      <c r="Y15">
        <v>0</v>
      </c>
      <c r="Z15">
        <v>0</v>
      </c>
      <c r="AA15">
        <v>0</v>
      </c>
      <c r="AD15">
        <v>0</v>
      </c>
      <c r="AM15">
        <v>8609089</v>
      </c>
      <c r="AN15" t="s">
        <v>91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140</v>
      </c>
      <c r="BA15">
        <v>0</v>
      </c>
      <c r="BC15" t="s">
        <v>91</v>
      </c>
      <c r="BF15" t="s">
        <v>137</v>
      </c>
    </row>
    <row r="16" spans="1:58" x14ac:dyDescent="0.35">
      <c r="A16" t="s">
        <v>141</v>
      </c>
      <c r="B16">
        <v>10000</v>
      </c>
      <c r="C16">
        <v>20000</v>
      </c>
      <c r="D16" s="2">
        <v>45719</v>
      </c>
      <c r="E16" t="s">
        <v>61</v>
      </c>
      <c r="F16" t="s">
        <v>142</v>
      </c>
      <c r="G16" t="s">
        <v>134</v>
      </c>
      <c r="I16">
        <v>2</v>
      </c>
      <c r="J16" t="s">
        <v>63</v>
      </c>
      <c r="K16">
        <v>71</v>
      </c>
      <c r="L16" t="s">
        <v>135</v>
      </c>
      <c r="M16" s="4">
        <v>1667</v>
      </c>
      <c r="P16" s="2">
        <v>45717</v>
      </c>
      <c r="R16">
        <v>6</v>
      </c>
      <c r="S16" s="4">
        <v>10002</v>
      </c>
      <c r="T16" t="s">
        <v>65</v>
      </c>
      <c r="U16">
        <v>86090900001</v>
      </c>
      <c r="V16">
        <v>0</v>
      </c>
      <c r="W16" s="4">
        <v>10000</v>
      </c>
      <c r="X16">
        <v>2</v>
      </c>
      <c r="Y16">
        <v>0</v>
      </c>
      <c r="Z16">
        <v>0</v>
      </c>
      <c r="AA16">
        <v>0</v>
      </c>
      <c r="AD16">
        <v>0</v>
      </c>
      <c r="AM16">
        <v>8609090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143</v>
      </c>
      <c r="BA16">
        <v>0</v>
      </c>
      <c r="BC16" t="s">
        <v>91</v>
      </c>
      <c r="BF16" t="s">
        <v>137</v>
      </c>
    </row>
    <row r="17" spans="1:58" x14ac:dyDescent="0.35">
      <c r="A17" t="s">
        <v>144</v>
      </c>
      <c r="B17">
        <v>10000</v>
      </c>
      <c r="C17">
        <v>20000</v>
      </c>
      <c r="D17" s="2">
        <v>45719</v>
      </c>
      <c r="E17" t="s">
        <v>61</v>
      </c>
      <c r="F17" t="s">
        <v>145</v>
      </c>
      <c r="G17" t="s">
        <v>146</v>
      </c>
      <c r="I17">
        <v>2</v>
      </c>
      <c r="J17" t="s">
        <v>63</v>
      </c>
      <c r="K17">
        <v>77</v>
      </c>
      <c r="L17" t="s">
        <v>127</v>
      </c>
      <c r="M17" s="4">
        <v>18500</v>
      </c>
      <c r="P17" s="2">
        <v>45717</v>
      </c>
      <c r="R17">
        <v>10</v>
      </c>
      <c r="S17" s="4">
        <v>185000</v>
      </c>
      <c r="T17" t="s">
        <v>65</v>
      </c>
      <c r="U17" t="s">
        <v>147</v>
      </c>
      <c r="V17">
        <v>0</v>
      </c>
      <c r="W17" s="4">
        <v>175000</v>
      </c>
      <c r="X17" s="4">
        <v>10000</v>
      </c>
      <c r="Y17">
        <v>0</v>
      </c>
      <c r="Z17">
        <v>0</v>
      </c>
      <c r="AA17">
        <v>0</v>
      </c>
      <c r="AD17">
        <v>0</v>
      </c>
      <c r="AM17" t="s">
        <v>148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149</v>
      </c>
      <c r="BA17">
        <v>0</v>
      </c>
      <c r="BC17" t="s">
        <v>107</v>
      </c>
      <c r="BF17" t="s">
        <v>150</v>
      </c>
    </row>
    <row r="18" spans="1:58" x14ac:dyDescent="0.35">
      <c r="A18" t="s">
        <v>151</v>
      </c>
      <c r="B18">
        <v>10000</v>
      </c>
      <c r="C18">
        <v>10000</v>
      </c>
      <c r="D18" s="2">
        <v>45719</v>
      </c>
      <c r="E18" t="s">
        <v>61</v>
      </c>
      <c r="F18" t="s">
        <v>152</v>
      </c>
      <c r="G18" t="s">
        <v>153</v>
      </c>
      <c r="I18">
        <v>1</v>
      </c>
      <c r="J18" t="s">
        <v>63</v>
      </c>
      <c r="K18">
        <v>90</v>
      </c>
      <c r="L18" t="s">
        <v>154</v>
      </c>
      <c r="M18" s="4">
        <v>27000</v>
      </c>
      <c r="P18" s="2">
        <v>45717</v>
      </c>
      <c r="R18">
        <v>2</v>
      </c>
      <c r="S18" s="4">
        <v>54000</v>
      </c>
      <c r="T18" t="s">
        <v>65</v>
      </c>
      <c r="U18" t="s">
        <v>155</v>
      </c>
      <c r="V18">
        <v>0</v>
      </c>
      <c r="W18" s="4">
        <v>54000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156</v>
      </c>
      <c r="AN18" t="s">
        <v>157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158</v>
      </c>
      <c r="BA18">
        <v>0</v>
      </c>
      <c r="BC18" t="s">
        <v>157</v>
      </c>
      <c r="BF18" t="s">
        <v>159</v>
      </c>
    </row>
    <row r="19" spans="1:58" x14ac:dyDescent="0.35">
      <c r="A19" t="s">
        <v>160</v>
      </c>
      <c r="B19">
        <v>10000</v>
      </c>
      <c r="C19">
        <v>30000</v>
      </c>
      <c r="D19" s="2">
        <v>45719</v>
      </c>
      <c r="E19" t="s">
        <v>61</v>
      </c>
      <c r="F19" t="s">
        <v>161</v>
      </c>
      <c r="G19" t="s">
        <v>162</v>
      </c>
      <c r="I19">
        <v>2</v>
      </c>
      <c r="J19" t="s">
        <v>63</v>
      </c>
      <c r="K19">
        <v>60</v>
      </c>
      <c r="L19" t="s">
        <v>163</v>
      </c>
      <c r="M19" s="4">
        <v>5000</v>
      </c>
      <c r="P19" s="2">
        <v>45717</v>
      </c>
      <c r="R19">
        <v>1</v>
      </c>
      <c r="S19" s="4">
        <v>5000</v>
      </c>
      <c r="T19" t="s">
        <v>65</v>
      </c>
      <c r="U19" t="s">
        <v>164</v>
      </c>
      <c r="V19">
        <v>0</v>
      </c>
      <c r="W19" s="4">
        <v>3378</v>
      </c>
      <c r="X19" s="4">
        <v>1622</v>
      </c>
      <c r="Y19">
        <v>0</v>
      </c>
      <c r="Z19">
        <v>0</v>
      </c>
      <c r="AA19">
        <v>0</v>
      </c>
      <c r="AD19">
        <v>0</v>
      </c>
      <c r="AM19" t="s">
        <v>165</v>
      </c>
      <c r="AN19" t="s">
        <v>166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167</v>
      </c>
      <c r="BA19">
        <v>0</v>
      </c>
      <c r="BC19" t="s">
        <v>166</v>
      </c>
      <c r="BF19" t="s">
        <v>168</v>
      </c>
    </row>
    <row r="20" spans="1:58" x14ac:dyDescent="0.35">
      <c r="A20" t="s">
        <v>169</v>
      </c>
      <c r="B20">
        <v>10000</v>
      </c>
      <c r="C20">
        <v>10000</v>
      </c>
      <c r="D20" s="2">
        <v>45720</v>
      </c>
      <c r="E20" t="s">
        <v>61</v>
      </c>
      <c r="F20" t="s">
        <v>170</v>
      </c>
      <c r="G20" t="s">
        <v>171</v>
      </c>
      <c r="I20">
        <v>1</v>
      </c>
      <c r="J20" t="s">
        <v>63</v>
      </c>
      <c r="K20">
        <v>87</v>
      </c>
      <c r="L20" t="s">
        <v>172</v>
      </c>
      <c r="M20" s="4">
        <v>20250</v>
      </c>
      <c r="P20" s="2">
        <v>45717</v>
      </c>
      <c r="R20">
        <v>2</v>
      </c>
      <c r="S20" s="4">
        <v>40500</v>
      </c>
      <c r="T20" t="s">
        <v>65</v>
      </c>
      <c r="U20" t="s">
        <v>173</v>
      </c>
      <c r="V20">
        <v>0</v>
      </c>
      <c r="W20" s="4">
        <v>40500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174</v>
      </c>
      <c r="AN20" t="s">
        <v>175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176</v>
      </c>
      <c r="BA20">
        <v>0</v>
      </c>
      <c r="BC20" t="s">
        <v>175</v>
      </c>
      <c r="BF20" t="s">
        <v>177</v>
      </c>
    </row>
    <row r="21" spans="1:58" x14ac:dyDescent="0.35">
      <c r="A21" t="s">
        <v>178</v>
      </c>
      <c r="B21">
        <v>10000</v>
      </c>
      <c r="C21">
        <v>10000</v>
      </c>
      <c r="D21" s="2">
        <v>45719</v>
      </c>
      <c r="E21" t="s">
        <v>61</v>
      </c>
      <c r="F21" t="s">
        <v>179</v>
      </c>
      <c r="G21" t="s">
        <v>180</v>
      </c>
      <c r="I21">
        <v>1</v>
      </c>
      <c r="J21" t="s">
        <v>63</v>
      </c>
      <c r="K21">
        <v>59</v>
      </c>
      <c r="L21" t="s">
        <v>181</v>
      </c>
      <c r="M21">
        <v>258</v>
      </c>
      <c r="P21" s="2">
        <v>45717</v>
      </c>
      <c r="R21">
        <v>4</v>
      </c>
      <c r="S21" s="4">
        <v>1032</v>
      </c>
      <c r="T21" t="s">
        <v>65</v>
      </c>
      <c r="U21">
        <v>112887750001</v>
      </c>
      <c r="V21">
        <v>0</v>
      </c>
      <c r="W21" s="4">
        <v>1030</v>
      </c>
      <c r="X21">
        <v>2</v>
      </c>
      <c r="Y21">
        <v>0</v>
      </c>
      <c r="Z21">
        <v>0</v>
      </c>
      <c r="AA21">
        <v>0</v>
      </c>
      <c r="AD21">
        <v>0</v>
      </c>
      <c r="AM21">
        <v>11288775</v>
      </c>
      <c r="AN21" t="s">
        <v>182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183</v>
      </c>
      <c r="BA21">
        <v>0</v>
      </c>
      <c r="BC21" t="s">
        <v>182</v>
      </c>
      <c r="BF21" t="s">
        <v>184</v>
      </c>
    </row>
    <row r="22" spans="1:58" x14ac:dyDescent="0.35">
      <c r="A22" t="s">
        <v>185</v>
      </c>
      <c r="B22">
        <v>10000</v>
      </c>
      <c r="C22">
        <v>10000</v>
      </c>
      <c r="D22" s="2">
        <v>45719</v>
      </c>
      <c r="E22" t="s">
        <v>61</v>
      </c>
      <c r="F22" t="s">
        <v>186</v>
      </c>
      <c r="G22" t="s">
        <v>187</v>
      </c>
      <c r="I22">
        <v>1</v>
      </c>
      <c r="J22" t="s">
        <v>63</v>
      </c>
      <c r="K22">
        <v>78</v>
      </c>
      <c r="L22" t="s">
        <v>188</v>
      </c>
      <c r="M22" s="4">
        <v>1667</v>
      </c>
      <c r="P22" s="2">
        <v>45717</v>
      </c>
      <c r="R22">
        <v>3</v>
      </c>
      <c r="S22" s="4">
        <v>5001</v>
      </c>
      <c r="T22" t="s">
        <v>65</v>
      </c>
      <c r="U22" t="s">
        <v>189</v>
      </c>
      <c r="V22">
        <v>0</v>
      </c>
      <c r="W22" s="4">
        <v>5000</v>
      </c>
      <c r="X22">
        <v>1</v>
      </c>
      <c r="Y22">
        <v>0</v>
      </c>
      <c r="Z22">
        <v>0</v>
      </c>
      <c r="AA22">
        <v>0</v>
      </c>
      <c r="AD22">
        <v>0</v>
      </c>
      <c r="AM22" t="s">
        <v>190</v>
      </c>
      <c r="AN22" t="s">
        <v>191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192</v>
      </c>
      <c r="BA22">
        <v>0</v>
      </c>
      <c r="BC22" t="s">
        <v>191</v>
      </c>
      <c r="BF22" t="s">
        <v>193</v>
      </c>
    </row>
    <row r="23" spans="1:58" x14ac:dyDescent="0.35">
      <c r="A23" t="s">
        <v>194</v>
      </c>
      <c r="B23">
        <v>10000</v>
      </c>
      <c r="C23">
        <v>10000</v>
      </c>
      <c r="D23" s="2">
        <v>45719</v>
      </c>
      <c r="E23" t="s">
        <v>61</v>
      </c>
      <c r="F23" t="s">
        <v>195</v>
      </c>
      <c r="G23" t="s">
        <v>196</v>
      </c>
      <c r="I23">
        <v>1</v>
      </c>
      <c r="J23" t="s">
        <v>63</v>
      </c>
      <c r="K23">
        <v>61</v>
      </c>
      <c r="L23" t="s">
        <v>197</v>
      </c>
      <c r="M23" s="4">
        <v>8334</v>
      </c>
      <c r="P23" s="2">
        <v>45717</v>
      </c>
      <c r="R23">
        <v>6</v>
      </c>
      <c r="S23" s="4">
        <v>50004</v>
      </c>
      <c r="T23" t="s">
        <v>65</v>
      </c>
      <c r="U23" t="s">
        <v>198</v>
      </c>
      <c r="V23">
        <v>0</v>
      </c>
      <c r="W23" s="4">
        <v>50000</v>
      </c>
      <c r="X23">
        <v>4</v>
      </c>
      <c r="Y23">
        <v>0</v>
      </c>
      <c r="Z23">
        <v>0</v>
      </c>
      <c r="AA23">
        <v>0</v>
      </c>
      <c r="AD23">
        <v>0</v>
      </c>
      <c r="AM23" t="s">
        <v>199</v>
      </c>
      <c r="AN23" t="s">
        <v>116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200</v>
      </c>
      <c r="BA23">
        <v>0</v>
      </c>
      <c r="BC23" t="s">
        <v>116</v>
      </c>
      <c r="BF23" t="s">
        <v>201</v>
      </c>
    </row>
    <row r="24" spans="1:58" x14ac:dyDescent="0.35">
      <c r="A24" t="s">
        <v>202</v>
      </c>
      <c r="B24">
        <v>10000</v>
      </c>
      <c r="C24">
        <v>10000</v>
      </c>
      <c r="D24" s="2">
        <v>45719</v>
      </c>
      <c r="E24" t="s">
        <v>61</v>
      </c>
      <c r="F24" t="s">
        <v>186</v>
      </c>
      <c r="G24" t="s">
        <v>203</v>
      </c>
      <c r="I24">
        <v>1</v>
      </c>
      <c r="J24" t="s">
        <v>63</v>
      </c>
      <c r="K24">
        <v>78</v>
      </c>
      <c r="L24" t="s">
        <v>188</v>
      </c>
      <c r="M24" s="4">
        <v>6000</v>
      </c>
      <c r="P24" s="2">
        <v>45717</v>
      </c>
      <c r="R24">
        <v>1</v>
      </c>
      <c r="S24" s="4">
        <v>6000</v>
      </c>
      <c r="T24" t="s">
        <v>65</v>
      </c>
      <c r="U24" t="s">
        <v>204</v>
      </c>
      <c r="V24">
        <v>0</v>
      </c>
      <c r="W24" s="4">
        <v>6000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205</v>
      </c>
      <c r="AN24" t="s">
        <v>206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207</v>
      </c>
      <c r="BA24">
        <v>0</v>
      </c>
      <c r="BC24" t="s">
        <v>206</v>
      </c>
      <c r="BF24" t="s">
        <v>208</v>
      </c>
    </row>
    <row r="25" spans="1:58" x14ac:dyDescent="0.35">
      <c r="A25" t="s">
        <v>209</v>
      </c>
      <c r="B25">
        <v>10000</v>
      </c>
      <c r="C25">
        <v>20000</v>
      </c>
      <c r="D25" s="2">
        <v>45719</v>
      </c>
      <c r="E25" t="s">
        <v>61</v>
      </c>
      <c r="F25" t="s">
        <v>210</v>
      </c>
      <c r="G25" t="s">
        <v>134</v>
      </c>
      <c r="I25">
        <v>2</v>
      </c>
      <c r="J25" t="s">
        <v>63</v>
      </c>
      <c r="K25">
        <v>71</v>
      </c>
      <c r="L25" t="s">
        <v>135</v>
      </c>
      <c r="M25" s="4">
        <v>1667</v>
      </c>
      <c r="P25" s="2">
        <v>45717</v>
      </c>
      <c r="R25">
        <v>6</v>
      </c>
      <c r="S25" s="4">
        <v>10002</v>
      </c>
      <c r="T25" t="s">
        <v>65</v>
      </c>
      <c r="U25">
        <v>80834720001</v>
      </c>
      <c r="V25">
        <v>0</v>
      </c>
      <c r="W25" s="4">
        <v>10000</v>
      </c>
      <c r="X25">
        <v>2</v>
      </c>
      <c r="Y25">
        <v>0</v>
      </c>
      <c r="Z25">
        <v>0</v>
      </c>
      <c r="AA25">
        <v>0</v>
      </c>
      <c r="AD25">
        <v>0</v>
      </c>
      <c r="AM25">
        <v>8083472</v>
      </c>
      <c r="AN25" t="s">
        <v>91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211</v>
      </c>
      <c r="BA25">
        <v>0</v>
      </c>
      <c r="BC25" t="s">
        <v>91</v>
      </c>
      <c r="BF25" t="s">
        <v>212</v>
      </c>
    </row>
    <row r="26" spans="1:58" x14ac:dyDescent="0.35">
      <c r="A26" t="s">
        <v>213</v>
      </c>
      <c r="B26">
        <v>10000</v>
      </c>
      <c r="C26">
        <v>10000</v>
      </c>
      <c r="D26" s="2">
        <v>45719</v>
      </c>
      <c r="E26" t="s">
        <v>61</v>
      </c>
      <c r="F26" t="s">
        <v>214</v>
      </c>
      <c r="G26" t="s">
        <v>215</v>
      </c>
      <c r="I26">
        <v>61</v>
      </c>
      <c r="J26" t="s">
        <v>63</v>
      </c>
      <c r="K26">
        <v>61</v>
      </c>
      <c r="L26" t="s">
        <v>216</v>
      </c>
      <c r="M26" s="4">
        <v>1250</v>
      </c>
      <c r="P26" s="2">
        <v>45717</v>
      </c>
      <c r="R26">
        <v>8</v>
      </c>
      <c r="S26" s="4">
        <v>10000</v>
      </c>
      <c r="T26" t="s">
        <v>65</v>
      </c>
      <c r="U26" t="s">
        <v>217</v>
      </c>
      <c r="V26">
        <v>0</v>
      </c>
      <c r="W26" s="4">
        <v>10000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218</v>
      </c>
      <c r="AN26" t="s">
        <v>206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219</v>
      </c>
      <c r="BA26">
        <v>0</v>
      </c>
      <c r="BC26" t="s">
        <v>206</v>
      </c>
      <c r="BF26" t="s">
        <v>220</v>
      </c>
    </row>
    <row r="27" spans="1:58" x14ac:dyDescent="0.35">
      <c r="A27" t="s">
        <v>221</v>
      </c>
      <c r="B27">
        <v>10000</v>
      </c>
      <c r="C27">
        <v>10000</v>
      </c>
      <c r="D27" s="2">
        <v>45719</v>
      </c>
      <c r="E27" t="s">
        <v>61</v>
      </c>
      <c r="F27" t="s">
        <v>222</v>
      </c>
      <c r="G27" t="s">
        <v>180</v>
      </c>
      <c r="I27">
        <v>1</v>
      </c>
      <c r="J27" t="s">
        <v>63</v>
      </c>
      <c r="K27">
        <v>59</v>
      </c>
      <c r="L27" t="s">
        <v>181</v>
      </c>
      <c r="M27" s="4">
        <v>2130</v>
      </c>
      <c r="P27" s="2">
        <v>45717</v>
      </c>
      <c r="R27">
        <v>2</v>
      </c>
      <c r="S27" s="4">
        <v>4260</v>
      </c>
      <c r="T27" t="s">
        <v>65</v>
      </c>
      <c r="U27">
        <v>150281190001</v>
      </c>
      <c r="V27">
        <v>0</v>
      </c>
      <c r="W27" s="4">
        <v>4260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15028119</v>
      </c>
      <c r="AN27" t="s">
        <v>182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223</v>
      </c>
      <c r="BA27">
        <v>0</v>
      </c>
      <c r="BC27" t="s">
        <v>182</v>
      </c>
      <c r="BF27" t="s">
        <v>224</v>
      </c>
    </row>
    <row r="28" spans="1:58" x14ac:dyDescent="0.35">
      <c r="A28" t="s">
        <v>225</v>
      </c>
      <c r="B28">
        <v>10000</v>
      </c>
      <c r="C28">
        <v>30000</v>
      </c>
      <c r="D28" s="2">
        <v>45720</v>
      </c>
      <c r="E28" t="s">
        <v>61</v>
      </c>
      <c r="F28" t="s">
        <v>226</v>
      </c>
      <c r="G28" t="s">
        <v>227</v>
      </c>
      <c r="I28">
        <v>3</v>
      </c>
      <c r="J28" t="s">
        <v>63</v>
      </c>
      <c r="K28">
        <v>73</v>
      </c>
      <c r="L28" t="s">
        <v>228</v>
      </c>
      <c r="M28" s="4">
        <v>207000</v>
      </c>
      <c r="P28" s="2">
        <v>45717</v>
      </c>
      <c r="R28">
        <v>1</v>
      </c>
      <c r="S28" s="4">
        <v>207000</v>
      </c>
      <c r="T28" t="s">
        <v>65</v>
      </c>
      <c r="U28">
        <v>150370360001</v>
      </c>
      <c r="V28">
        <v>0</v>
      </c>
      <c r="W28" s="4">
        <v>122826</v>
      </c>
      <c r="X28" s="4">
        <v>84174</v>
      </c>
      <c r="Y28">
        <v>0</v>
      </c>
      <c r="Z28">
        <v>0</v>
      </c>
      <c r="AA28">
        <v>0</v>
      </c>
      <c r="AD28">
        <v>0</v>
      </c>
      <c r="AM28">
        <v>15037036</v>
      </c>
      <c r="AN28" t="s">
        <v>182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229</v>
      </c>
      <c r="BA28">
        <v>0</v>
      </c>
      <c r="BC28" t="s">
        <v>182</v>
      </c>
      <c r="BF28" t="s">
        <v>230</v>
      </c>
    </row>
    <row r="29" spans="1:58" x14ac:dyDescent="0.35">
      <c r="A29" t="s">
        <v>231</v>
      </c>
      <c r="B29">
        <v>10000</v>
      </c>
      <c r="C29">
        <v>20000</v>
      </c>
      <c r="D29" s="2">
        <v>45719</v>
      </c>
      <c r="E29" t="s">
        <v>61</v>
      </c>
      <c r="F29" t="s">
        <v>232</v>
      </c>
      <c r="G29" t="s">
        <v>134</v>
      </c>
      <c r="I29">
        <v>2</v>
      </c>
      <c r="J29" t="s">
        <v>63</v>
      </c>
      <c r="K29">
        <v>71</v>
      </c>
      <c r="L29" t="s">
        <v>135</v>
      </c>
      <c r="M29">
        <v>834</v>
      </c>
      <c r="P29" s="2">
        <v>45717</v>
      </c>
      <c r="R29">
        <v>6</v>
      </c>
      <c r="S29" s="4">
        <v>5004</v>
      </c>
      <c r="T29" t="s">
        <v>65</v>
      </c>
      <c r="U29">
        <v>5000582250001</v>
      </c>
      <c r="V29">
        <v>0</v>
      </c>
      <c r="W29" s="4">
        <v>5000</v>
      </c>
      <c r="X29">
        <v>4</v>
      </c>
      <c r="Y29">
        <v>0</v>
      </c>
      <c r="Z29">
        <v>0</v>
      </c>
      <c r="AA29">
        <v>0</v>
      </c>
      <c r="AD29">
        <v>0</v>
      </c>
      <c r="AM29">
        <v>500058225</v>
      </c>
      <c r="AN29" t="s">
        <v>91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233</v>
      </c>
      <c r="BA29">
        <v>0</v>
      </c>
      <c r="BC29" t="s">
        <v>91</v>
      </c>
      <c r="BF29" t="s">
        <v>234</v>
      </c>
    </row>
    <row r="30" spans="1:58" x14ac:dyDescent="0.35">
      <c r="A30" t="s">
        <v>235</v>
      </c>
      <c r="B30">
        <v>10000</v>
      </c>
      <c r="C30">
        <v>20000</v>
      </c>
      <c r="D30" s="2">
        <v>45719</v>
      </c>
      <c r="E30" t="s">
        <v>61</v>
      </c>
      <c r="F30" t="s">
        <v>236</v>
      </c>
      <c r="G30" t="s">
        <v>134</v>
      </c>
      <c r="I30">
        <v>2</v>
      </c>
      <c r="J30" t="s">
        <v>63</v>
      </c>
      <c r="K30">
        <v>71</v>
      </c>
      <c r="L30" t="s">
        <v>135</v>
      </c>
      <c r="M30">
        <v>834</v>
      </c>
      <c r="P30" s="2">
        <v>45717</v>
      </c>
      <c r="R30">
        <v>6</v>
      </c>
      <c r="S30" s="4">
        <v>5004</v>
      </c>
      <c r="T30" t="s">
        <v>65</v>
      </c>
      <c r="U30">
        <v>5000596240001</v>
      </c>
      <c r="V30">
        <v>0</v>
      </c>
      <c r="W30" s="4">
        <v>5000</v>
      </c>
      <c r="X30">
        <v>4</v>
      </c>
      <c r="Y30">
        <v>0</v>
      </c>
      <c r="Z30">
        <v>0</v>
      </c>
      <c r="AA30">
        <v>0</v>
      </c>
      <c r="AD30">
        <v>0</v>
      </c>
      <c r="AM30">
        <v>500059624</v>
      </c>
      <c r="AN30" t="s">
        <v>91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237</v>
      </c>
      <c r="BA30">
        <v>0</v>
      </c>
      <c r="BC30" t="s">
        <v>91</v>
      </c>
      <c r="BF30" t="s">
        <v>234</v>
      </c>
    </row>
    <row r="31" spans="1:58" x14ac:dyDescent="0.35">
      <c r="A31" t="s">
        <v>238</v>
      </c>
      <c r="B31">
        <v>10000</v>
      </c>
      <c r="C31">
        <v>20000</v>
      </c>
      <c r="D31" s="2">
        <v>45719</v>
      </c>
      <c r="E31" t="s">
        <v>95</v>
      </c>
      <c r="F31" t="s">
        <v>239</v>
      </c>
      <c r="G31" t="s">
        <v>240</v>
      </c>
      <c r="I31">
        <v>2</v>
      </c>
      <c r="J31" t="s">
        <v>63</v>
      </c>
      <c r="K31">
        <v>86</v>
      </c>
      <c r="L31" t="s">
        <v>64</v>
      </c>
      <c r="M31" s="4">
        <v>1400</v>
      </c>
      <c r="P31" s="2">
        <v>45717</v>
      </c>
      <c r="R31">
        <v>1</v>
      </c>
      <c r="S31" s="4">
        <v>1400</v>
      </c>
      <c r="T31" t="s">
        <v>65</v>
      </c>
      <c r="U31" t="s">
        <v>241</v>
      </c>
      <c r="V31">
        <v>0</v>
      </c>
      <c r="W31" s="4">
        <v>1000</v>
      </c>
      <c r="X31">
        <v>400</v>
      </c>
      <c r="Y31">
        <v>0</v>
      </c>
      <c r="Z31">
        <v>0</v>
      </c>
      <c r="AA31">
        <v>0</v>
      </c>
      <c r="AD31">
        <v>0</v>
      </c>
      <c r="AM31" t="s">
        <v>242</v>
      </c>
      <c r="AN31" t="s">
        <v>243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244</v>
      </c>
      <c r="BA31">
        <v>0</v>
      </c>
      <c r="BC31" t="s">
        <v>243</v>
      </c>
      <c r="BF31" t="s">
        <v>245</v>
      </c>
    </row>
    <row r="32" spans="1:58" x14ac:dyDescent="0.35">
      <c r="A32" t="s">
        <v>246</v>
      </c>
      <c r="B32">
        <v>10000</v>
      </c>
      <c r="C32">
        <v>10000</v>
      </c>
      <c r="D32" s="2">
        <v>45719</v>
      </c>
      <c r="E32" t="s">
        <v>61</v>
      </c>
      <c r="F32" t="s">
        <v>247</v>
      </c>
      <c r="G32" t="s">
        <v>248</v>
      </c>
      <c r="I32">
        <v>1</v>
      </c>
      <c r="J32" t="s">
        <v>63</v>
      </c>
      <c r="K32">
        <v>29</v>
      </c>
      <c r="L32" t="s">
        <v>249</v>
      </c>
      <c r="M32" s="4">
        <v>24000</v>
      </c>
      <c r="P32" s="2">
        <v>45717</v>
      </c>
      <c r="R32">
        <v>2</v>
      </c>
      <c r="S32" s="4">
        <v>48000</v>
      </c>
      <c r="T32" t="s">
        <v>65</v>
      </c>
      <c r="U32" t="s">
        <v>250</v>
      </c>
      <c r="V32">
        <v>0</v>
      </c>
      <c r="W32" s="4">
        <v>48000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251</v>
      </c>
      <c r="AN32" t="s">
        <v>175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252</v>
      </c>
      <c r="BA32">
        <v>0</v>
      </c>
      <c r="BC32" t="s">
        <v>175</v>
      </c>
      <c r="BF32" t="s">
        <v>253</v>
      </c>
    </row>
    <row r="33" spans="1:58" x14ac:dyDescent="0.35">
      <c r="A33" t="s">
        <v>254</v>
      </c>
      <c r="B33">
        <v>10000</v>
      </c>
      <c r="C33">
        <v>10000</v>
      </c>
      <c r="D33" s="2">
        <v>45719</v>
      </c>
      <c r="E33" t="s">
        <v>61</v>
      </c>
      <c r="F33" t="s">
        <v>222</v>
      </c>
      <c r="G33" t="s">
        <v>180</v>
      </c>
      <c r="I33">
        <v>1</v>
      </c>
      <c r="J33" t="s">
        <v>63</v>
      </c>
      <c r="K33">
        <v>59</v>
      </c>
      <c r="L33" t="s">
        <v>181</v>
      </c>
      <c r="M33">
        <v>258</v>
      </c>
      <c r="P33" s="2">
        <v>45717</v>
      </c>
      <c r="R33">
        <v>4</v>
      </c>
      <c r="S33" s="4">
        <v>1032</v>
      </c>
      <c r="T33" t="s">
        <v>65</v>
      </c>
      <c r="U33">
        <v>112887410001</v>
      </c>
      <c r="V33">
        <v>0</v>
      </c>
      <c r="W33" s="4">
        <v>1030</v>
      </c>
      <c r="X33">
        <v>2</v>
      </c>
      <c r="Y33">
        <v>0</v>
      </c>
      <c r="Z33">
        <v>0</v>
      </c>
      <c r="AA33">
        <v>0</v>
      </c>
      <c r="AD33">
        <v>0</v>
      </c>
      <c r="AM33">
        <v>11288741</v>
      </c>
      <c r="AN33" t="s">
        <v>182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255</v>
      </c>
      <c r="BA33">
        <v>0</v>
      </c>
      <c r="BC33" t="s">
        <v>182</v>
      </c>
      <c r="BF33" t="s">
        <v>256</v>
      </c>
    </row>
    <row r="36" spans="1:58" x14ac:dyDescent="0.35">
      <c r="A36">
        <f>COUNTA(A5:A33)</f>
        <v>29</v>
      </c>
    </row>
  </sheetData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B1F6-A255-4403-AD05-868F5DDAA677}">
  <sheetPr filterMode="1"/>
  <dimension ref="A1:BF100"/>
  <sheetViews>
    <sheetView topLeftCell="A84" workbookViewId="0">
      <selection activeCell="D101" sqref="D101"/>
    </sheetView>
  </sheetViews>
  <sheetFormatPr defaultRowHeight="14.5" x14ac:dyDescent="0.35"/>
  <cols>
    <col min="4" max="4" width="9.08984375" bestFit="1" customWidth="1"/>
    <col min="6" max="6" width="10.90625" bestFit="1" customWidth="1"/>
    <col min="9" max="9" width="10.26953125" customWidth="1"/>
    <col min="21" max="21" width="13.54296875" customWidth="1"/>
  </cols>
  <sheetData>
    <row r="1" spans="1:58" x14ac:dyDescent="0.35">
      <c r="A1" t="s">
        <v>0</v>
      </c>
    </row>
    <row r="2" spans="1:58" x14ac:dyDescent="0.35">
      <c r="A2" t="s">
        <v>257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258</v>
      </c>
      <c r="B5">
        <v>10000</v>
      </c>
      <c r="C5">
        <v>10000</v>
      </c>
      <c r="D5" s="2">
        <v>45719</v>
      </c>
      <c r="E5" t="s">
        <v>61</v>
      </c>
      <c r="F5" t="s">
        <v>259</v>
      </c>
      <c r="G5" t="s">
        <v>260</v>
      </c>
      <c r="I5">
        <v>1</v>
      </c>
      <c r="J5" t="s">
        <v>63</v>
      </c>
      <c r="K5">
        <v>86</v>
      </c>
      <c r="L5" t="s">
        <v>64</v>
      </c>
      <c r="M5">
        <v>632</v>
      </c>
      <c r="P5" s="2">
        <v>45719</v>
      </c>
      <c r="R5">
        <v>8</v>
      </c>
      <c r="S5" s="4">
        <v>5056</v>
      </c>
      <c r="T5" t="s">
        <v>65</v>
      </c>
      <c r="U5" t="s">
        <v>261</v>
      </c>
      <c r="V5">
        <v>0</v>
      </c>
      <c r="W5" s="4">
        <v>5050</v>
      </c>
      <c r="X5">
        <v>6</v>
      </c>
      <c r="Y5">
        <v>0</v>
      </c>
      <c r="Z5">
        <v>0</v>
      </c>
      <c r="AA5">
        <v>0</v>
      </c>
      <c r="AD5">
        <v>0</v>
      </c>
      <c r="AM5" t="s">
        <v>262</v>
      </c>
      <c r="AN5" t="s">
        <v>263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264</v>
      </c>
      <c r="BA5">
        <v>0</v>
      </c>
      <c r="BC5" t="s">
        <v>263</v>
      </c>
      <c r="BF5" t="s">
        <v>265</v>
      </c>
    </row>
    <row r="6" spans="1:58" hidden="1" x14ac:dyDescent="0.35">
      <c r="A6" t="s">
        <v>60</v>
      </c>
      <c r="B6">
        <v>10000</v>
      </c>
      <c r="C6">
        <v>60000</v>
      </c>
      <c r="D6" s="2">
        <v>45720</v>
      </c>
      <c r="E6" t="s">
        <v>61</v>
      </c>
      <c r="F6" s="3">
        <v>0.46662037037037035</v>
      </c>
      <c r="G6" t="s">
        <v>62</v>
      </c>
      <c r="I6">
        <v>3</v>
      </c>
      <c r="J6" t="s">
        <v>63</v>
      </c>
      <c r="K6">
        <v>91</v>
      </c>
      <c r="L6" t="s">
        <v>75</v>
      </c>
      <c r="M6" s="4">
        <v>36000</v>
      </c>
      <c r="P6" s="2">
        <v>45719</v>
      </c>
      <c r="R6">
        <v>9</v>
      </c>
      <c r="S6" s="4">
        <v>324000</v>
      </c>
      <c r="T6" t="s">
        <v>65</v>
      </c>
      <c r="U6" t="s">
        <v>66</v>
      </c>
      <c r="V6">
        <v>0</v>
      </c>
      <c r="W6" s="4">
        <v>321429</v>
      </c>
      <c r="X6" s="4">
        <v>2571</v>
      </c>
      <c r="Y6">
        <v>0</v>
      </c>
      <c r="Z6">
        <v>0</v>
      </c>
      <c r="AA6">
        <v>0</v>
      </c>
      <c r="AD6">
        <v>0</v>
      </c>
      <c r="AM6" t="s">
        <v>67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70</v>
      </c>
      <c r="BA6">
        <v>0</v>
      </c>
      <c r="BC6" t="s">
        <v>68</v>
      </c>
      <c r="BF6" t="s">
        <v>71</v>
      </c>
    </row>
    <row r="7" spans="1:58" x14ac:dyDescent="0.35">
      <c r="A7" t="s">
        <v>266</v>
      </c>
      <c r="B7">
        <v>10000</v>
      </c>
      <c r="C7">
        <v>10000</v>
      </c>
      <c r="D7" s="2">
        <v>45719</v>
      </c>
      <c r="E7" t="s">
        <v>95</v>
      </c>
      <c r="F7" t="s">
        <v>96</v>
      </c>
      <c r="G7" t="s">
        <v>267</v>
      </c>
      <c r="I7">
        <v>1</v>
      </c>
      <c r="J7" t="s">
        <v>63</v>
      </c>
      <c r="K7">
        <v>65</v>
      </c>
      <c r="L7" t="s">
        <v>268</v>
      </c>
      <c r="M7" s="4">
        <v>18000</v>
      </c>
      <c r="P7" s="2">
        <v>45719</v>
      </c>
      <c r="R7">
        <v>12</v>
      </c>
      <c r="S7" s="4">
        <v>216000</v>
      </c>
      <c r="T7" t="s">
        <v>65</v>
      </c>
      <c r="U7" t="s">
        <v>269</v>
      </c>
      <c r="V7">
        <v>0</v>
      </c>
      <c r="W7" s="4">
        <v>216000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270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272</v>
      </c>
      <c r="BA7">
        <v>0</v>
      </c>
      <c r="BC7" t="s">
        <v>271</v>
      </c>
      <c r="BF7" t="s">
        <v>273</v>
      </c>
    </row>
    <row r="8" spans="1:58" x14ac:dyDescent="0.35">
      <c r="A8" t="s">
        <v>274</v>
      </c>
      <c r="B8">
        <v>10000</v>
      </c>
      <c r="C8">
        <v>20000</v>
      </c>
      <c r="D8" s="2">
        <v>45720</v>
      </c>
      <c r="E8" t="s">
        <v>61</v>
      </c>
      <c r="F8" t="s">
        <v>275</v>
      </c>
      <c r="G8" t="s">
        <v>276</v>
      </c>
      <c r="I8">
        <v>1</v>
      </c>
      <c r="J8" t="s">
        <v>63</v>
      </c>
      <c r="K8">
        <v>60</v>
      </c>
      <c r="L8" t="s">
        <v>277</v>
      </c>
      <c r="M8" s="4">
        <v>6000</v>
      </c>
      <c r="P8" s="2">
        <v>45719</v>
      </c>
      <c r="R8">
        <v>1</v>
      </c>
      <c r="S8" s="4">
        <v>6000</v>
      </c>
      <c r="T8" t="s">
        <v>65</v>
      </c>
      <c r="U8" t="s">
        <v>278</v>
      </c>
      <c r="V8">
        <v>0</v>
      </c>
      <c r="W8" s="4">
        <v>6000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279</v>
      </c>
      <c r="AN8" t="s">
        <v>280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281</v>
      </c>
      <c r="BA8">
        <v>0</v>
      </c>
      <c r="BC8" t="s">
        <v>280</v>
      </c>
      <c r="BF8" t="s">
        <v>282</v>
      </c>
    </row>
    <row r="9" spans="1:58" x14ac:dyDescent="0.35">
      <c r="A9" t="s">
        <v>283</v>
      </c>
      <c r="B9">
        <v>10000</v>
      </c>
      <c r="C9">
        <v>20000</v>
      </c>
      <c r="D9" s="2">
        <v>45719</v>
      </c>
      <c r="E9" t="s">
        <v>61</v>
      </c>
      <c r="F9" t="s">
        <v>284</v>
      </c>
      <c r="G9" t="s">
        <v>285</v>
      </c>
      <c r="I9">
        <v>1</v>
      </c>
      <c r="J9" t="s">
        <v>63</v>
      </c>
      <c r="K9">
        <v>111</v>
      </c>
      <c r="L9" t="s">
        <v>286</v>
      </c>
      <c r="M9" s="4">
        <v>15000</v>
      </c>
      <c r="P9" s="2">
        <v>45719</v>
      </c>
      <c r="R9">
        <v>10</v>
      </c>
      <c r="S9" s="4">
        <v>150000</v>
      </c>
      <c r="T9" t="s">
        <v>65</v>
      </c>
      <c r="U9" t="s">
        <v>287</v>
      </c>
      <c r="V9">
        <v>0</v>
      </c>
      <c r="W9" s="4">
        <v>150000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288</v>
      </c>
      <c r="AN9" t="s">
        <v>289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290</v>
      </c>
      <c r="BA9">
        <v>0</v>
      </c>
      <c r="BC9" t="s">
        <v>289</v>
      </c>
      <c r="BF9" t="s">
        <v>291</v>
      </c>
    </row>
    <row r="10" spans="1:58" x14ac:dyDescent="0.35">
      <c r="A10" t="s">
        <v>292</v>
      </c>
      <c r="B10">
        <v>10000</v>
      </c>
      <c r="C10">
        <v>20000</v>
      </c>
      <c r="D10" s="2">
        <v>45749</v>
      </c>
      <c r="E10" t="s">
        <v>61</v>
      </c>
      <c r="F10" t="s">
        <v>293</v>
      </c>
      <c r="G10" t="s">
        <v>294</v>
      </c>
      <c r="I10">
        <v>1</v>
      </c>
      <c r="J10" t="s">
        <v>63</v>
      </c>
      <c r="K10" t="s">
        <v>295</v>
      </c>
      <c r="L10" t="s">
        <v>296</v>
      </c>
      <c r="M10" s="4">
        <v>10093</v>
      </c>
      <c r="P10" s="2">
        <v>45719</v>
      </c>
      <c r="R10">
        <v>108</v>
      </c>
      <c r="S10" s="4">
        <v>1090044</v>
      </c>
      <c r="T10" t="s">
        <v>65</v>
      </c>
      <c r="U10" t="s">
        <v>66</v>
      </c>
      <c r="V10">
        <v>0</v>
      </c>
      <c r="W10" s="4">
        <v>1000000</v>
      </c>
      <c r="X10" s="4">
        <v>90044</v>
      </c>
      <c r="Y10">
        <v>0</v>
      </c>
      <c r="Z10">
        <v>0</v>
      </c>
      <c r="AA10">
        <v>0</v>
      </c>
      <c r="AD10">
        <v>0</v>
      </c>
      <c r="AM10" t="s">
        <v>67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297</v>
      </c>
      <c r="BA10">
        <v>0</v>
      </c>
      <c r="BC10" t="s">
        <v>68</v>
      </c>
      <c r="BF10" t="s">
        <v>298</v>
      </c>
    </row>
    <row r="11" spans="1:58" x14ac:dyDescent="0.35">
      <c r="A11" t="s">
        <v>299</v>
      </c>
      <c r="B11">
        <v>10000</v>
      </c>
      <c r="C11">
        <v>10000</v>
      </c>
      <c r="D11" s="2">
        <v>45723</v>
      </c>
      <c r="E11" t="s">
        <v>61</v>
      </c>
      <c r="F11" s="3">
        <v>0.47342592592592592</v>
      </c>
      <c r="G11" t="s">
        <v>300</v>
      </c>
      <c r="I11">
        <v>1</v>
      </c>
      <c r="J11" t="s">
        <v>63</v>
      </c>
      <c r="K11">
        <v>111</v>
      </c>
      <c r="L11" t="s">
        <v>286</v>
      </c>
      <c r="M11" s="4">
        <v>60000</v>
      </c>
      <c r="P11" s="2">
        <v>45719</v>
      </c>
      <c r="R11">
        <v>10</v>
      </c>
      <c r="S11" s="4">
        <v>600000</v>
      </c>
      <c r="T11" t="s">
        <v>65</v>
      </c>
      <c r="U11" t="s">
        <v>287</v>
      </c>
      <c r="V11">
        <v>0</v>
      </c>
      <c r="W11" s="4">
        <v>600000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288</v>
      </c>
      <c r="AN11" t="s">
        <v>289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301</v>
      </c>
      <c r="BA11">
        <v>0</v>
      </c>
      <c r="BC11" t="s">
        <v>289</v>
      </c>
      <c r="BF11" t="s">
        <v>302</v>
      </c>
    </row>
    <row r="12" spans="1:58" x14ac:dyDescent="0.35">
      <c r="A12" t="s">
        <v>303</v>
      </c>
      <c r="B12">
        <v>10000</v>
      </c>
      <c r="C12">
        <v>10000</v>
      </c>
      <c r="D12" s="2">
        <v>45719</v>
      </c>
      <c r="E12" t="s">
        <v>61</v>
      </c>
      <c r="F12" t="s">
        <v>259</v>
      </c>
      <c r="G12" t="s">
        <v>304</v>
      </c>
      <c r="I12">
        <v>1</v>
      </c>
      <c r="J12" t="s">
        <v>63</v>
      </c>
      <c r="K12">
        <v>73</v>
      </c>
      <c r="L12" t="s">
        <v>90</v>
      </c>
      <c r="M12" s="4">
        <v>10500</v>
      </c>
      <c r="P12" s="2">
        <v>45719</v>
      </c>
      <c r="R12">
        <v>8</v>
      </c>
      <c r="S12" s="4">
        <v>84000</v>
      </c>
      <c r="T12" t="s">
        <v>65</v>
      </c>
      <c r="U12" t="s">
        <v>305</v>
      </c>
      <c r="V12">
        <v>0</v>
      </c>
      <c r="W12" s="4">
        <v>84000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306</v>
      </c>
      <c r="AN12" t="s">
        <v>271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307</v>
      </c>
      <c r="BA12">
        <v>0</v>
      </c>
      <c r="BC12" t="s">
        <v>271</v>
      </c>
      <c r="BF12" t="s">
        <v>308</v>
      </c>
    </row>
    <row r="13" spans="1:58" x14ac:dyDescent="0.35">
      <c r="A13" t="s">
        <v>309</v>
      </c>
      <c r="B13">
        <v>10000</v>
      </c>
      <c r="C13">
        <v>10000</v>
      </c>
      <c r="D13" s="2">
        <v>45719</v>
      </c>
      <c r="E13" t="s">
        <v>95</v>
      </c>
      <c r="F13" t="s">
        <v>310</v>
      </c>
      <c r="G13" t="s">
        <v>180</v>
      </c>
      <c r="I13">
        <v>1</v>
      </c>
      <c r="J13" t="s">
        <v>63</v>
      </c>
      <c r="K13">
        <v>59</v>
      </c>
      <c r="L13" t="s">
        <v>181</v>
      </c>
      <c r="M13" s="4">
        <v>4150</v>
      </c>
      <c r="P13" s="2">
        <v>45719</v>
      </c>
      <c r="R13">
        <v>2</v>
      </c>
      <c r="S13" s="4">
        <v>8300</v>
      </c>
      <c r="T13" t="s">
        <v>65</v>
      </c>
      <c r="U13">
        <v>112887240001</v>
      </c>
      <c r="V13">
        <v>0</v>
      </c>
      <c r="W13" s="4">
        <v>8300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11288724</v>
      </c>
      <c r="AN13" t="s">
        <v>311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312</v>
      </c>
      <c r="BA13">
        <v>0</v>
      </c>
      <c r="BC13" t="s">
        <v>311</v>
      </c>
      <c r="BF13" t="s">
        <v>313</v>
      </c>
    </row>
    <row r="14" spans="1:58" x14ac:dyDescent="0.35">
      <c r="A14" t="s">
        <v>314</v>
      </c>
      <c r="B14">
        <v>10000</v>
      </c>
      <c r="C14">
        <v>10000</v>
      </c>
      <c r="D14" s="2">
        <v>45728</v>
      </c>
      <c r="E14" t="s">
        <v>61</v>
      </c>
      <c r="F14" t="s">
        <v>315</v>
      </c>
      <c r="G14" t="s">
        <v>316</v>
      </c>
      <c r="I14">
        <v>1</v>
      </c>
      <c r="J14" t="s">
        <v>63</v>
      </c>
      <c r="K14" t="s">
        <v>317</v>
      </c>
      <c r="L14" t="s">
        <v>318</v>
      </c>
      <c r="M14" s="4">
        <v>39375</v>
      </c>
      <c r="P14" s="2">
        <v>45719</v>
      </c>
      <c r="R14">
        <v>8</v>
      </c>
      <c r="S14" s="4">
        <v>315000</v>
      </c>
      <c r="T14" t="s">
        <v>65</v>
      </c>
      <c r="U14" t="s">
        <v>319</v>
      </c>
      <c r="V14">
        <v>0</v>
      </c>
      <c r="W14" s="4">
        <v>315000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320</v>
      </c>
      <c r="AN14" t="s">
        <v>321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322</v>
      </c>
      <c r="BA14">
        <v>0</v>
      </c>
      <c r="BC14" t="s">
        <v>321</v>
      </c>
      <c r="BF14" t="s">
        <v>323</v>
      </c>
    </row>
    <row r="15" spans="1:58" hidden="1" x14ac:dyDescent="0.35">
      <c r="A15" t="s">
        <v>324</v>
      </c>
      <c r="B15">
        <v>10000</v>
      </c>
      <c r="C15">
        <v>30000</v>
      </c>
      <c r="D15" s="2">
        <v>45719</v>
      </c>
      <c r="E15" t="s">
        <v>61</v>
      </c>
      <c r="F15" t="s">
        <v>325</v>
      </c>
      <c r="G15" t="s">
        <v>326</v>
      </c>
      <c r="I15">
        <v>3</v>
      </c>
      <c r="J15" t="s">
        <v>63</v>
      </c>
      <c r="K15">
        <v>85</v>
      </c>
      <c r="L15" t="s">
        <v>327</v>
      </c>
      <c r="M15" s="4">
        <v>36364</v>
      </c>
      <c r="P15" s="2">
        <v>45719</v>
      </c>
      <c r="R15">
        <v>11</v>
      </c>
      <c r="S15" s="4">
        <v>400004</v>
      </c>
      <c r="T15" t="s">
        <v>65</v>
      </c>
      <c r="U15" t="s">
        <v>328</v>
      </c>
      <c r="V15">
        <v>0</v>
      </c>
      <c r="W15" s="4">
        <v>400000</v>
      </c>
      <c r="X15">
        <v>4</v>
      </c>
      <c r="Y15">
        <v>0</v>
      </c>
      <c r="Z15">
        <v>0</v>
      </c>
      <c r="AA15">
        <v>0</v>
      </c>
      <c r="AD15">
        <v>0</v>
      </c>
      <c r="AM15" t="s">
        <v>329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330</v>
      </c>
      <c r="BA15">
        <v>0</v>
      </c>
      <c r="BC15" t="s">
        <v>107</v>
      </c>
      <c r="BF15" t="s">
        <v>331</v>
      </c>
    </row>
    <row r="16" spans="1:58" hidden="1" x14ac:dyDescent="0.35">
      <c r="A16" t="s">
        <v>332</v>
      </c>
      <c r="B16">
        <v>10000</v>
      </c>
      <c r="C16">
        <v>30000</v>
      </c>
      <c r="D16" s="2">
        <v>45719</v>
      </c>
      <c r="E16" t="s">
        <v>61</v>
      </c>
      <c r="F16" s="3">
        <v>0.46189814814814817</v>
      </c>
      <c r="G16" t="s">
        <v>333</v>
      </c>
      <c r="I16">
        <v>3</v>
      </c>
      <c r="J16" t="s">
        <v>63</v>
      </c>
      <c r="K16">
        <v>101</v>
      </c>
      <c r="L16" t="s">
        <v>104</v>
      </c>
      <c r="M16" s="4">
        <v>6667</v>
      </c>
      <c r="P16" s="2">
        <v>45719</v>
      </c>
      <c r="R16">
        <v>3</v>
      </c>
      <c r="S16" s="4">
        <v>20001</v>
      </c>
      <c r="T16" t="s">
        <v>65</v>
      </c>
      <c r="U16" t="s">
        <v>334</v>
      </c>
      <c r="V16">
        <v>0</v>
      </c>
      <c r="W16" s="4">
        <v>20000</v>
      </c>
      <c r="X16">
        <v>1</v>
      </c>
      <c r="Y16">
        <v>0</v>
      </c>
      <c r="Z16">
        <v>0</v>
      </c>
      <c r="AA16">
        <v>0</v>
      </c>
      <c r="AD16">
        <v>0</v>
      </c>
      <c r="AM16" t="s">
        <v>335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336</v>
      </c>
      <c r="BA16">
        <v>0</v>
      </c>
      <c r="BC16" t="s">
        <v>107</v>
      </c>
      <c r="BF16" t="s">
        <v>337</v>
      </c>
    </row>
    <row r="17" spans="1:58" x14ac:dyDescent="0.35">
      <c r="A17" t="s">
        <v>338</v>
      </c>
      <c r="B17">
        <v>10000</v>
      </c>
      <c r="C17">
        <v>10000</v>
      </c>
      <c r="D17" s="2">
        <v>45719</v>
      </c>
      <c r="E17" t="s">
        <v>61</v>
      </c>
      <c r="F17" t="s">
        <v>339</v>
      </c>
      <c r="G17" t="s">
        <v>340</v>
      </c>
      <c r="I17">
        <v>1</v>
      </c>
      <c r="J17" t="s">
        <v>63</v>
      </c>
      <c r="K17">
        <v>82</v>
      </c>
      <c r="L17" t="s">
        <v>341</v>
      </c>
      <c r="M17" s="4">
        <v>6667</v>
      </c>
      <c r="P17" s="2">
        <v>45719</v>
      </c>
      <c r="R17">
        <v>15</v>
      </c>
      <c r="S17" s="4">
        <v>100005</v>
      </c>
      <c r="T17" t="s">
        <v>65</v>
      </c>
      <c r="U17" t="s">
        <v>342</v>
      </c>
      <c r="V17">
        <v>0</v>
      </c>
      <c r="W17" s="4">
        <v>100000</v>
      </c>
      <c r="X17">
        <v>5</v>
      </c>
      <c r="Y17">
        <v>0</v>
      </c>
      <c r="Z17">
        <v>0</v>
      </c>
      <c r="AA17">
        <v>0</v>
      </c>
      <c r="AD17">
        <v>0</v>
      </c>
      <c r="AM17" t="s">
        <v>343</v>
      </c>
      <c r="AN17" t="s">
        <v>91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344</v>
      </c>
      <c r="BA17">
        <v>0</v>
      </c>
      <c r="BC17" t="s">
        <v>91</v>
      </c>
      <c r="BF17" t="s">
        <v>345</v>
      </c>
    </row>
    <row r="18" spans="1:58" x14ac:dyDescent="0.35">
      <c r="A18" t="s">
        <v>346</v>
      </c>
      <c r="B18">
        <v>10000</v>
      </c>
      <c r="C18">
        <v>10000</v>
      </c>
      <c r="D18" s="2">
        <v>45720</v>
      </c>
      <c r="E18" t="s">
        <v>61</v>
      </c>
      <c r="F18" t="s">
        <v>347</v>
      </c>
      <c r="G18" t="s">
        <v>348</v>
      </c>
      <c r="I18">
        <v>1</v>
      </c>
      <c r="J18" t="s">
        <v>63</v>
      </c>
      <c r="K18">
        <v>46</v>
      </c>
      <c r="L18" t="s">
        <v>113</v>
      </c>
      <c r="M18" s="4">
        <v>3000</v>
      </c>
      <c r="P18" s="2">
        <v>45719</v>
      </c>
      <c r="R18">
        <v>1</v>
      </c>
      <c r="S18" s="4">
        <v>3000</v>
      </c>
      <c r="T18" t="s">
        <v>65</v>
      </c>
      <c r="U18" t="s">
        <v>349</v>
      </c>
      <c r="V18">
        <v>0</v>
      </c>
      <c r="W18" s="4">
        <v>3000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350</v>
      </c>
      <c r="AN18" t="s">
        <v>116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351</v>
      </c>
      <c r="BA18">
        <v>0</v>
      </c>
      <c r="BC18" t="s">
        <v>116</v>
      </c>
      <c r="BF18" t="s">
        <v>352</v>
      </c>
    </row>
    <row r="19" spans="1:58" x14ac:dyDescent="0.35">
      <c r="A19" t="s">
        <v>353</v>
      </c>
      <c r="B19">
        <v>10000</v>
      </c>
      <c r="C19">
        <v>10000</v>
      </c>
      <c r="D19" s="2">
        <v>45719</v>
      </c>
      <c r="E19" t="s">
        <v>61</v>
      </c>
      <c r="F19" t="s">
        <v>354</v>
      </c>
      <c r="G19" t="s">
        <v>112</v>
      </c>
      <c r="I19">
        <v>1</v>
      </c>
      <c r="J19" t="s">
        <v>63</v>
      </c>
      <c r="K19">
        <v>46</v>
      </c>
      <c r="L19" t="s">
        <v>113</v>
      </c>
      <c r="M19" s="4">
        <v>4000</v>
      </c>
      <c r="P19" s="2">
        <v>45719</v>
      </c>
      <c r="R19">
        <v>1</v>
      </c>
      <c r="S19" s="4">
        <v>4000</v>
      </c>
      <c r="T19" t="s">
        <v>65</v>
      </c>
      <c r="U19" t="s">
        <v>355</v>
      </c>
      <c r="V19">
        <v>0</v>
      </c>
      <c r="W19" s="4">
        <v>4000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356</v>
      </c>
      <c r="AN19" t="s">
        <v>116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357</v>
      </c>
      <c r="BA19">
        <v>0</v>
      </c>
      <c r="BC19" t="s">
        <v>116</v>
      </c>
      <c r="BF19" t="s">
        <v>118</v>
      </c>
    </row>
    <row r="20" spans="1:58" x14ac:dyDescent="0.35">
      <c r="A20" t="s">
        <v>358</v>
      </c>
      <c r="B20">
        <v>10000</v>
      </c>
      <c r="C20">
        <v>20000</v>
      </c>
      <c r="D20" s="2">
        <v>45719</v>
      </c>
      <c r="E20" t="s">
        <v>95</v>
      </c>
      <c r="F20" t="s">
        <v>359</v>
      </c>
      <c r="G20" t="s">
        <v>360</v>
      </c>
      <c r="I20">
        <v>1</v>
      </c>
      <c r="J20" t="s">
        <v>63</v>
      </c>
      <c r="K20">
        <v>94</v>
      </c>
      <c r="L20" t="s">
        <v>361</v>
      </c>
      <c r="M20" s="4">
        <v>3000</v>
      </c>
      <c r="P20" s="2">
        <v>45719</v>
      </c>
      <c r="R20">
        <v>4</v>
      </c>
      <c r="S20" s="4">
        <v>12000</v>
      </c>
      <c r="T20" t="s">
        <v>65</v>
      </c>
      <c r="U20" t="s">
        <v>362</v>
      </c>
      <c r="V20">
        <v>0</v>
      </c>
      <c r="W20" s="4">
        <v>6000</v>
      </c>
      <c r="X20" s="4">
        <v>6000</v>
      </c>
      <c r="Y20">
        <v>0</v>
      </c>
      <c r="Z20">
        <v>0</v>
      </c>
      <c r="AA20">
        <v>0</v>
      </c>
      <c r="AD20">
        <v>0</v>
      </c>
      <c r="AM20" t="s">
        <v>363</v>
      </c>
      <c r="AN20" t="s">
        <v>364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365</v>
      </c>
      <c r="BA20">
        <v>0</v>
      </c>
      <c r="BC20" t="s">
        <v>364</v>
      </c>
      <c r="BF20" t="s">
        <v>366</v>
      </c>
    </row>
    <row r="21" spans="1:58" hidden="1" x14ac:dyDescent="0.35">
      <c r="A21" t="s">
        <v>367</v>
      </c>
      <c r="B21">
        <v>10000</v>
      </c>
      <c r="C21">
        <v>30000</v>
      </c>
      <c r="D21" s="2">
        <v>45719</v>
      </c>
      <c r="E21" t="s">
        <v>61</v>
      </c>
      <c r="F21" s="3">
        <v>0.46121527777777777</v>
      </c>
      <c r="G21" t="s">
        <v>333</v>
      </c>
      <c r="I21">
        <v>3</v>
      </c>
      <c r="J21" t="s">
        <v>63</v>
      </c>
      <c r="K21">
        <v>101</v>
      </c>
      <c r="L21" t="s">
        <v>104</v>
      </c>
      <c r="M21" s="4">
        <v>6667</v>
      </c>
      <c r="P21" s="2">
        <v>45719</v>
      </c>
      <c r="R21">
        <v>3</v>
      </c>
      <c r="S21" s="4">
        <v>20001</v>
      </c>
      <c r="T21" t="s">
        <v>65</v>
      </c>
      <c r="U21" t="s">
        <v>368</v>
      </c>
      <c r="V21">
        <v>0</v>
      </c>
      <c r="W21" s="4">
        <v>20000</v>
      </c>
      <c r="X21">
        <v>1</v>
      </c>
      <c r="Y21">
        <v>0</v>
      </c>
      <c r="Z21">
        <v>0</v>
      </c>
      <c r="AA21">
        <v>0</v>
      </c>
      <c r="AD21">
        <v>0</v>
      </c>
      <c r="AM21" t="s">
        <v>369</v>
      </c>
      <c r="AN21" t="s">
        <v>107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370</v>
      </c>
      <c r="BA21">
        <v>0</v>
      </c>
      <c r="BC21" t="s">
        <v>107</v>
      </c>
      <c r="BF21" t="s">
        <v>371</v>
      </c>
    </row>
    <row r="22" spans="1:58" hidden="1" x14ac:dyDescent="0.35">
      <c r="A22" t="s">
        <v>124</v>
      </c>
      <c r="B22">
        <v>10000</v>
      </c>
      <c r="C22">
        <v>30000</v>
      </c>
      <c r="D22" s="2">
        <v>45720</v>
      </c>
      <c r="E22" t="s">
        <v>61</v>
      </c>
      <c r="F22" t="s">
        <v>125</v>
      </c>
      <c r="G22" t="s">
        <v>126</v>
      </c>
      <c r="I22">
        <v>3</v>
      </c>
      <c r="J22" t="s">
        <v>63</v>
      </c>
      <c r="K22">
        <v>101</v>
      </c>
      <c r="L22" t="s">
        <v>104</v>
      </c>
      <c r="M22" s="4">
        <v>34667</v>
      </c>
      <c r="P22" s="2">
        <v>45719</v>
      </c>
      <c r="R22">
        <v>3</v>
      </c>
      <c r="S22" s="4">
        <v>104001</v>
      </c>
      <c r="T22" t="s">
        <v>65</v>
      </c>
      <c r="U22" t="s">
        <v>128</v>
      </c>
      <c r="V22">
        <v>0</v>
      </c>
      <c r="W22" s="4">
        <v>100000</v>
      </c>
      <c r="X22" s="4">
        <v>4001</v>
      </c>
      <c r="Y22">
        <v>0</v>
      </c>
      <c r="Z22">
        <v>0</v>
      </c>
      <c r="AA22">
        <v>0</v>
      </c>
      <c r="AD22">
        <v>0</v>
      </c>
      <c r="AM22" t="s">
        <v>129</v>
      </c>
      <c r="AN22" t="s">
        <v>107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130</v>
      </c>
      <c r="BA22">
        <v>0</v>
      </c>
      <c r="BC22" t="s">
        <v>107</v>
      </c>
      <c r="BF22" t="s">
        <v>131</v>
      </c>
    </row>
    <row r="23" spans="1:58" hidden="1" x14ac:dyDescent="0.35">
      <c r="A23" t="s">
        <v>372</v>
      </c>
      <c r="B23">
        <v>10000</v>
      </c>
      <c r="C23">
        <v>30000</v>
      </c>
      <c r="D23" s="2">
        <v>45720</v>
      </c>
      <c r="E23" t="s">
        <v>61</v>
      </c>
      <c r="F23" s="3">
        <v>0.46773148148148147</v>
      </c>
      <c r="G23">
        <v>10639931093</v>
      </c>
      <c r="I23">
        <v>3</v>
      </c>
      <c r="J23" t="s">
        <v>63</v>
      </c>
      <c r="K23">
        <v>85</v>
      </c>
      <c r="L23" t="s">
        <v>327</v>
      </c>
      <c r="M23" s="4">
        <v>5455</v>
      </c>
      <c r="P23" s="2">
        <v>45719</v>
      </c>
      <c r="R23">
        <v>11</v>
      </c>
      <c r="S23" s="4">
        <v>60005</v>
      </c>
      <c r="T23" t="s">
        <v>65</v>
      </c>
      <c r="U23" t="s">
        <v>373</v>
      </c>
      <c r="V23">
        <v>0</v>
      </c>
      <c r="W23" s="4">
        <v>50000</v>
      </c>
      <c r="X23" s="4">
        <v>10005</v>
      </c>
      <c r="Y23">
        <v>0</v>
      </c>
      <c r="Z23">
        <v>0</v>
      </c>
      <c r="AA23">
        <v>0</v>
      </c>
      <c r="AD23">
        <v>0</v>
      </c>
      <c r="AM23" t="s">
        <v>374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375</v>
      </c>
      <c r="BA23">
        <v>0</v>
      </c>
      <c r="BC23" t="s">
        <v>107</v>
      </c>
      <c r="BF23" t="s">
        <v>376</v>
      </c>
    </row>
    <row r="24" spans="1:58" hidden="1" x14ac:dyDescent="0.35">
      <c r="A24" t="s">
        <v>144</v>
      </c>
      <c r="B24">
        <v>10000</v>
      </c>
      <c r="C24">
        <v>30000</v>
      </c>
      <c r="D24" s="2">
        <v>45719</v>
      </c>
      <c r="E24" t="s">
        <v>61</v>
      </c>
      <c r="F24" t="s">
        <v>145</v>
      </c>
      <c r="G24" t="s">
        <v>146</v>
      </c>
      <c r="I24">
        <v>3</v>
      </c>
      <c r="J24" t="s">
        <v>63</v>
      </c>
      <c r="K24">
        <v>101</v>
      </c>
      <c r="L24" t="s">
        <v>104</v>
      </c>
      <c r="M24" s="4">
        <v>60000</v>
      </c>
      <c r="P24" s="2">
        <v>45719</v>
      </c>
      <c r="R24">
        <v>3</v>
      </c>
      <c r="S24" s="4">
        <v>180000</v>
      </c>
      <c r="T24" t="s">
        <v>65</v>
      </c>
      <c r="U24" t="s">
        <v>147</v>
      </c>
      <c r="V24">
        <v>0</v>
      </c>
      <c r="W24" s="4">
        <v>175000</v>
      </c>
      <c r="X24" s="4">
        <v>5000</v>
      </c>
      <c r="Y24">
        <v>0</v>
      </c>
      <c r="Z24">
        <v>0</v>
      </c>
      <c r="AA24">
        <v>0</v>
      </c>
      <c r="AD24">
        <v>0</v>
      </c>
      <c r="AM24" t="s">
        <v>148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149</v>
      </c>
      <c r="BA24">
        <v>0</v>
      </c>
      <c r="BC24" t="s">
        <v>107</v>
      </c>
      <c r="BF24" t="s">
        <v>150</v>
      </c>
    </row>
    <row r="25" spans="1:58" x14ac:dyDescent="0.35">
      <c r="A25" t="s">
        <v>377</v>
      </c>
      <c r="B25">
        <v>10000</v>
      </c>
      <c r="C25">
        <v>10000</v>
      </c>
      <c r="D25" s="2">
        <v>45720</v>
      </c>
      <c r="E25" t="s">
        <v>61</v>
      </c>
      <c r="F25" t="s">
        <v>378</v>
      </c>
      <c r="G25" t="s">
        <v>379</v>
      </c>
      <c r="I25">
        <v>1</v>
      </c>
      <c r="J25" t="s">
        <v>63</v>
      </c>
      <c r="K25">
        <v>67</v>
      </c>
      <c r="L25" t="s">
        <v>380</v>
      </c>
      <c r="M25" s="4">
        <v>10000</v>
      </c>
      <c r="P25" s="2">
        <v>45719</v>
      </c>
      <c r="R25">
        <v>1</v>
      </c>
      <c r="S25" s="4">
        <v>10000</v>
      </c>
      <c r="T25" t="s">
        <v>65</v>
      </c>
      <c r="U25" t="s">
        <v>381</v>
      </c>
      <c r="V25">
        <v>0</v>
      </c>
      <c r="W25" s="4">
        <v>10000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382</v>
      </c>
      <c r="AN25" t="s">
        <v>157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383</v>
      </c>
      <c r="BA25">
        <v>0</v>
      </c>
      <c r="BC25" t="s">
        <v>157</v>
      </c>
      <c r="BF25" t="s">
        <v>384</v>
      </c>
    </row>
    <row r="26" spans="1:58" x14ac:dyDescent="0.35">
      <c r="A26" t="s">
        <v>377</v>
      </c>
      <c r="B26">
        <v>10000</v>
      </c>
      <c r="C26">
        <v>20000</v>
      </c>
      <c r="D26" s="2">
        <v>45720</v>
      </c>
      <c r="E26" t="s">
        <v>61</v>
      </c>
      <c r="F26" t="s">
        <v>378</v>
      </c>
      <c r="G26" t="s">
        <v>379</v>
      </c>
      <c r="I26">
        <v>1</v>
      </c>
      <c r="J26" t="s">
        <v>63</v>
      </c>
      <c r="K26">
        <v>66</v>
      </c>
      <c r="L26" t="s">
        <v>385</v>
      </c>
      <c r="M26" s="4">
        <v>50000</v>
      </c>
      <c r="P26" s="2">
        <v>45719</v>
      </c>
      <c r="R26">
        <v>1</v>
      </c>
      <c r="S26" s="4">
        <v>50000</v>
      </c>
      <c r="T26" t="s">
        <v>65</v>
      </c>
      <c r="U26" t="s">
        <v>381</v>
      </c>
      <c r="V26">
        <v>0</v>
      </c>
      <c r="W26" s="4">
        <v>50000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382</v>
      </c>
      <c r="AN26" t="s">
        <v>157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383</v>
      </c>
      <c r="BA26">
        <v>0</v>
      </c>
      <c r="BC26" t="s">
        <v>157</v>
      </c>
      <c r="BF26" t="s">
        <v>384</v>
      </c>
    </row>
    <row r="27" spans="1:58" x14ac:dyDescent="0.35">
      <c r="A27" t="s">
        <v>386</v>
      </c>
      <c r="B27">
        <v>10000</v>
      </c>
      <c r="C27">
        <v>10000</v>
      </c>
      <c r="D27" s="2">
        <v>45720</v>
      </c>
      <c r="E27" t="s">
        <v>61</v>
      </c>
      <c r="F27" s="3">
        <v>0.42090277777777779</v>
      </c>
      <c r="G27" t="s">
        <v>387</v>
      </c>
      <c r="I27">
        <v>1</v>
      </c>
      <c r="J27" t="s">
        <v>63</v>
      </c>
      <c r="K27">
        <v>78</v>
      </c>
      <c r="L27" t="s">
        <v>188</v>
      </c>
      <c r="M27" s="4">
        <v>5000</v>
      </c>
      <c r="P27" s="2">
        <v>45719</v>
      </c>
      <c r="R27">
        <v>2</v>
      </c>
      <c r="S27" s="4">
        <v>10000</v>
      </c>
      <c r="T27" t="s">
        <v>65</v>
      </c>
      <c r="U27" t="s">
        <v>388</v>
      </c>
      <c r="V27">
        <v>0</v>
      </c>
      <c r="W27" s="4">
        <v>10000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389</v>
      </c>
      <c r="AN27" t="s">
        <v>206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390</v>
      </c>
      <c r="BA27">
        <v>0</v>
      </c>
      <c r="BC27" t="s">
        <v>206</v>
      </c>
      <c r="BF27" t="s">
        <v>391</v>
      </c>
    </row>
    <row r="28" spans="1:58" x14ac:dyDescent="0.35">
      <c r="A28" t="s">
        <v>392</v>
      </c>
      <c r="B28">
        <v>10000</v>
      </c>
      <c r="C28">
        <v>50000</v>
      </c>
      <c r="D28" s="2">
        <v>45720</v>
      </c>
      <c r="E28" t="s">
        <v>61</v>
      </c>
      <c r="F28" t="s">
        <v>393</v>
      </c>
      <c r="G28" t="s">
        <v>394</v>
      </c>
      <c r="I28">
        <v>1</v>
      </c>
      <c r="J28" t="s">
        <v>63</v>
      </c>
      <c r="K28">
        <v>66</v>
      </c>
      <c r="L28" t="s">
        <v>385</v>
      </c>
      <c r="M28" s="4">
        <v>5000</v>
      </c>
      <c r="P28" s="2">
        <v>45719</v>
      </c>
      <c r="R28">
        <v>1</v>
      </c>
      <c r="S28" s="4">
        <v>5000</v>
      </c>
      <c r="T28" t="s">
        <v>65</v>
      </c>
      <c r="U28" t="s">
        <v>381</v>
      </c>
      <c r="V28">
        <v>0</v>
      </c>
      <c r="W28" s="4">
        <v>5000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382</v>
      </c>
      <c r="AN28" t="s">
        <v>175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395</v>
      </c>
      <c r="BA28">
        <v>0</v>
      </c>
      <c r="BC28" t="s">
        <v>175</v>
      </c>
      <c r="BF28" t="s">
        <v>396</v>
      </c>
    </row>
    <row r="29" spans="1:58" x14ac:dyDescent="0.35">
      <c r="A29" t="s">
        <v>397</v>
      </c>
      <c r="B29">
        <v>10000</v>
      </c>
      <c r="C29">
        <v>10000</v>
      </c>
      <c r="D29" s="2">
        <v>45722</v>
      </c>
      <c r="E29" t="s">
        <v>61</v>
      </c>
      <c r="F29" t="s">
        <v>398</v>
      </c>
      <c r="G29" t="s">
        <v>394</v>
      </c>
      <c r="I29">
        <v>1</v>
      </c>
      <c r="J29" t="s">
        <v>63</v>
      </c>
      <c r="K29" t="s">
        <v>399</v>
      </c>
      <c r="L29" t="s">
        <v>380</v>
      </c>
      <c r="M29" s="4">
        <v>120000</v>
      </c>
      <c r="P29" s="2">
        <v>45719</v>
      </c>
      <c r="R29">
        <v>1</v>
      </c>
      <c r="S29" s="4">
        <v>120000</v>
      </c>
      <c r="T29" t="s">
        <v>65</v>
      </c>
      <c r="U29" t="s">
        <v>381</v>
      </c>
      <c r="V29">
        <v>0</v>
      </c>
      <c r="W29" s="4">
        <v>120000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382</v>
      </c>
      <c r="AN29" t="s">
        <v>175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400</v>
      </c>
      <c r="BA29">
        <v>0</v>
      </c>
      <c r="BC29" t="s">
        <v>175</v>
      </c>
      <c r="BF29" t="s">
        <v>401</v>
      </c>
    </row>
    <row r="30" spans="1:58" x14ac:dyDescent="0.35">
      <c r="A30" t="s">
        <v>402</v>
      </c>
      <c r="B30">
        <v>10000</v>
      </c>
      <c r="C30">
        <v>10000</v>
      </c>
      <c r="D30" s="2">
        <v>45720</v>
      </c>
      <c r="E30" t="s">
        <v>61</v>
      </c>
      <c r="F30" t="s">
        <v>403</v>
      </c>
      <c r="G30" t="s">
        <v>404</v>
      </c>
      <c r="I30">
        <v>1</v>
      </c>
      <c r="J30" t="s">
        <v>63</v>
      </c>
      <c r="K30">
        <v>90</v>
      </c>
      <c r="L30" t="s">
        <v>405</v>
      </c>
      <c r="M30" s="4">
        <v>29700</v>
      </c>
      <c r="P30" s="2">
        <v>45719</v>
      </c>
      <c r="R30">
        <v>2</v>
      </c>
      <c r="S30" s="4">
        <v>59400</v>
      </c>
      <c r="T30" t="s">
        <v>65</v>
      </c>
      <c r="U30" t="s">
        <v>155</v>
      </c>
      <c r="V30">
        <v>0</v>
      </c>
      <c r="W30" s="4">
        <v>59400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156</v>
      </c>
      <c r="AN30" t="s">
        <v>175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406</v>
      </c>
      <c r="BA30">
        <v>0</v>
      </c>
      <c r="BC30" t="s">
        <v>175</v>
      </c>
      <c r="BF30" t="s">
        <v>407</v>
      </c>
    </row>
    <row r="31" spans="1:58" x14ac:dyDescent="0.35">
      <c r="A31" t="s">
        <v>402</v>
      </c>
      <c r="B31">
        <v>10000</v>
      </c>
      <c r="C31">
        <v>20000</v>
      </c>
      <c r="D31" s="2">
        <v>45720</v>
      </c>
      <c r="E31" t="s">
        <v>61</v>
      </c>
      <c r="F31" t="s">
        <v>403</v>
      </c>
      <c r="G31" t="s">
        <v>404</v>
      </c>
      <c r="I31">
        <v>1</v>
      </c>
      <c r="J31" t="s">
        <v>63</v>
      </c>
      <c r="K31">
        <v>90</v>
      </c>
      <c r="L31" t="s">
        <v>154</v>
      </c>
      <c r="M31" s="4">
        <v>24300</v>
      </c>
      <c r="P31" s="2">
        <v>45719</v>
      </c>
      <c r="R31">
        <v>2</v>
      </c>
      <c r="S31" s="4">
        <v>48600</v>
      </c>
      <c r="T31" t="s">
        <v>65</v>
      </c>
      <c r="U31" t="s">
        <v>155</v>
      </c>
      <c r="V31">
        <v>0</v>
      </c>
      <c r="W31" s="4">
        <v>48600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156</v>
      </c>
      <c r="AN31" t="s">
        <v>175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406</v>
      </c>
      <c r="BA31">
        <v>0</v>
      </c>
      <c r="BC31" t="s">
        <v>175</v>
      </c>
      <c r="BF31" t="s">
        <v>407</v>
      </c>
    </row>
    <row r="32" spans="1:58" x14ac:dyDescent="0.35">
      <c r="A32" t="s">
        <v>408</v>
      </c>
      <c r="B32">
        <v>10000</v>
      </c>
      <c r="C32">
        <v>10000</v>
      </c>
      <c r="D32" s="2">
        <v>45721</v>
      </c>
      <c r="E32" t="s">
        <v>61</v>
      </c>
      <c r="F32" t="s">
        <v>409</v>
      </c>
      <c r="G32" t="s">
        <v>410</v>
      </c>
      <c r="I32">
        <v>1</v>
      </c>
      <c r="J32" t="s">
        <v>63</v>
      </c>
      <c r="K32">
        <v>87</v>
      </c>
      <c r="L32" t="s">
        <v>172</v>
      </c>
      <c r="M32" s="4">
        <v>20250</v>
      </c>
      <c r="P32" s="2">
        <v>45719</v>
      </c>
      <c r="R32">
        <v>2</v>
      </c>
      <c r="S32" s="4">
        <v>40500</v>
      </c>
      <c r="T32" t="s">
        <v>65</v>
      </c>
      <c r="U32" t="s">
        <v>173</v>
      </c>
      <c r="V32">
        <v>0</v>
      </c>
      <c r="W32" s="4">
        <v>40500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174</v>
      </c>
      <c r="AN32" t="s">
        <v>175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411</v>
      </c>
      <c r="BA32">
        <v>0</v>
      </c>
      <c r="BC32" t="s">
        <v>175</v>
      </c>
      <c r="BF32" t="s">
        <v>412</v>
      </c>
    </row>
    <row r="33" spans="1:58" x14ac:dyDescent="0.35">
      <c r="A33" t="s">
        <v>413</v>
      </c>
      <c r="B33">
        <v>10000</v>
      </c>
      <c r="C33">
        <v>10000</v>
      </c>
      <c r="D33" s="2">
        <v>45719</v>
      </c>
      <c r="E33" t="s">
        <v>61</v>
      </c>
      <c r="F33" t="s">
        <v>247</v>
      </c>
      <c r="G33" t="s">
        <v>180</v>
      </c>
      <c r="I33">
        <v>1</v>
      </c>
      <c r="J33" t="s">
        <v>63</v>
      </c>
      <c r="K33">
        <v>59</v>
      </c>
      <c r="L33" t="s">
        <v>181</v>
      </c>
      <c r="M33" s="4">
        <v>1660</v>
      </c>
      <c r="P33" s="2">
        <v>45719</v>
      </c>
      <c r="R33">
        <v>2</v>
      </c>
      <c r="S33" s="4">
        <v>3320</v>
      </c>
      <c r="T33" t="s">
        <v>65</v>
      </c>
      <c r="U33">
        <v>112887240001</v>
      </c>
      <c r="V33">
        <v>0</v>
      </c>
      <c r="W33" s="4">
        <v>3320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11288724</v>
      </c>
      <c r="AN33" t="s">
        <v>182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414</v>
      </c>
      <c r="BA33">
        <v>0</v>
      </c>
      <c r="BC33" t="s">
        <v>182</v>
      </c>
      <c r="BF33" t="s">
        <v>415</v>
      </c>
    </row>
    <row r="34" spans="1:58" x14ac:dyDescent="0.35">
      <c r="A34" t="s">
        <v>413</v>
      </c>
      <c r="B34">
        <v>20000</v>
      </c>
      <c r="C34">
        <v>10000</v>
      </c>
      <c r="D34" s="2">
        <v>45719</v>
      </c>
      <c r="E34" t="s">
        <v>61</v>
      </c>
      <c r="F34" t="s">
        <v>247</v>
      </c>
      <c r="G34" t="s">
        <v>180</v>
      </c>
      <c r="I34">
        <v>1</v>
      </c>
      <c r="J34" t="s">
        <v>63</v>
      </c>
      <c r="K34">
        <v>59</v>
      </c>
      <c r="L34" t="s">
        <v>181</v>
      </c>
      <c r="M34" s="4">
        <v>1245</v>
      </c>
      <c r="P34" s="2">
        <v>45719</v>
      </c>
      <c r="R34">
        <v>2</v>
      </c>
      <c r="S34" s="4">
        <v>2490</v>
      </c>
      <c r="T34" t="s">
        <v>65</v>
      </c>
      <c r="U34">
        <v>112887240001</v>
      </c>
      <c r="V34">
        <v>0</v>
      </c>
      <c r="W34" s="4">
        <v>2490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11288724</v>
      </c>
      <c r="AN34" t="s">
        <v>182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414</v>
      </c>
      <c r="BA34">
        <v>0</v>
      </c>
      <c r="BC34" t="s">
        <v>182</v>
      </c>
      <c r="BF34" t="s">
        <v>415</v>
      </c>
    </row>
    <row r="35" spans="1:58" x14ac:dyDescent="0.35">
      <c r="A35" t="s">
        <v>416</v>
      </c>
      <c r="B35">
        <v>10000</v>
      </c>
      <c r="C35">
        <v>10000</v>
      </c>
      <c r="D35" s="2">
        <v>45719</v>
      </c>
      <c r="E35" t="s">
        <v>61</v>
      </c>
      <c r="F35" t="s">
        <v>417</v>
      </c>
      <c r="G35" t="s">
        <v>418</v>
      </c>
      <c r="I35">
        <v>1</v>
      </c>
      <c r="J35" t="s">
        <v>63</v>
      </c>
      <c r="K35">
        <v>59</v>
      </c>
      <c r="L35" t="s">
        <v>181</v>
      </c>
      <c r="M35">
        <v>860</v>
      </c>
      <c r="P35" s="2">
        <v>45719</v>
      </c>
      <c r="R35">
        <v>1</v>
      </c>
      <c r="S35">
        <v>860</v>
      </c>
      <c r="T35" t="s">
        <v>65</v>
      </c>
      <c r="U35">
        <v>150034910001</v>
      </c>
      <c r="V35">
        <v>0</v>
      </c>
      <c r="W35">
        <v>860</v>
      </c>
      <c r="X35">
        <v>0</v>
      </c>
      <c r="Y35">
        <v>0</v>
      </c>
      <c r="Z35">
        <v>0</v>
      </c>
      <c r="AA35">
        <v>0</v>
      </c>
      <c r="AD35">
        <v>0</v>
      </c>
      <c r="AM35">
        <v>15003491</v>
      </c>
      <c r="AN35" t="s">
        <v>182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419</v>
      </c>
      <c r="BA35">
        <v>0</v>
      </c>
      <c r="BC35" t="s">
        <v>182</v>
      </c>
      <c r="BF35" t="s">
        <v>420</v>
      </c>
    </row>
    <row r="36" spans="1:58" x14ac:dyDescent="0.35">
      <c r="A36" t="s">
        <v>416</v>
      </c>
      <c r="B36">
        <v>20000</v>
      </c>
      <c r="C36">
        <v>10000</v>
      </c>
      <c r="D36" s="2">
        <v>45719</v>
      </c>
      <c r="E36" t="s">
        <v>61</v>
      </c>
      <c r="F36" t="s">
        <v>417</v>
      </c>
      <c r="G36" t="s">
        <v>418</v>
      </c>
      <c r="I36">
        <v>1</v>
      </c>
      <c r="J36" t="s">
        <v>63</v>
      </c>
      <c r="K36">
        <v>59</v>
      </c>
      <c r="L36" t="s">
        <v>181</v>
      </c>
      <c r="M36">
        <v>860</v>
      </c>
      <c r="P36" s="2">
        <v>45719</v>
      </c>
      <c r="R36">
        <v>1</v>
      </c>
      <c r="S36">
        <v>860</v>
      </c>
      <c r="T36" t="s">
        <v>65</v>
      </c>
      <c r="U36">
        <v>150034910001</v>
      </c>
      <c r="V36">
        <v>0</v>
      </c>
      <c r="W36">
        <v>860</v>
      </c>
      <c r="X36">
        <v>0</v>
      </c>
      <c r="Y36">
        <v>0</v>
      </c>
      <c r="Z36">
        <v>0</v>
      </c>
      <c r="AA36">
        <v>0</v>
      </c>
      <c r="AD36">
        <v>0</v>
      </c>
      <c r="AM36">
        <v>15003491</v>
      </c>
      <c r="AN36" t="s">
        <v>182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419</v>
      </c>
      <c r="BA36">
        <v>0</v>
      </c>
      <c r="BC36" t="s">
        <v>182</v>
      </c>
      <c r="BF36" t="s">
        <v>420</v>
      </c>
    </row>
    <row r="37" spans="1:58" hidden="1" x14ac:dyDescent="0.35">
      <c r="A37" t="s">
        <v>421</v>
      </c>
      <c r="B37">
        <v>10000</v>
      </c>
      <c r="C37">
        <v>20000</v>
      </c>
      <c r="D37" s="2">
        <v>45721</v>
      </c>
      <c r="E37" t="s">
        <v>61</v>
      </c>
      <c r="F37" t="s">
        <v>422</v>
      </c>
      <c r="G37" t="s">
        <v>423</v>
      </c>
      <c r="I37">
        <v>2</v>
      </c>
      <c r="J37" t="s">
        <v>63</v>
      </c>
      <c r="K37">
        <v>92</v>
      </c>
      <c r="L37" t="s">
        <v>424</v>
      </c>
      <c r="M37" s="4">
        <v>8300</v>
      </c>
      <c r="P37" s="2">
        <v>45719</v>
      </c>
      <c r="R37">
        <v>1</v>
      </c>
      <c r="S37" s="4">
        <v>8300</v>
      </c>
      <c r="T37" t="s">
        <v>65</v>
      </c>
      <c r="U37" t="s">
        <v>425</v>
      </c>
      <c r="V37">
        <v>0</v>
      </c>
      <c r="W37" s="4">
        <v>8000</v>
      </c>
      <c r="X37">
        <v>300</v>
      </c>
      <c r="Y37">
        <v>0</v>
      </c>
      <c r="Z37">
        <v>0</v>
      </c>
      <c r="AA37">
        <v>0</v>
      </c>
      <c r="AD37">
        <v>0</v>
      </c>
      <c r="AM37" t="s">
        <v>426</v>
      </c>
      <c r="AN37" t="s">
        <v>427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428</v>
      </c>
      <c r="BA37">
        <v>0</v>
      </c>
      <c r="BC37" t="s">
        <v>427</v>
      </c>
      <c r="BF37" t="s">
        <v>429</v>
      </c>
    </row>
    <row r="38" spans="1:58" hidden="1" x14ac:dyDescent="0.35">
      <c r="A38" t="s">
        <v>430</v>
      </c>
      <c r="B38">
        <v>10000</v>
      </c>
      <c r="C38">
        <v>30000</v>
      </c>
      <c r="D38" s="2">
        <v>45720</v>
      </c>
      <c r="E38" t="s">
        <v>61</v>
      </c>
      <c r="F38" t="s">
        <v>431</v>
      </c>
      <c r="G38" t="s">
        <v>432</v>
      </c>
      <c r="I38">
        <v>3</v>
      </c>
      <c r="J38" t="s">
        <v>63</v>
      </c>
      <c r="K38">
        <v>85</v>
      </c>
      <c r="L38" t="s">
        <v>327</v>
      </c>
      <c r="M38" s="4">
        <v>10000</v>
      </c>
      <c r="P38" s="2">
        <v>45719</v>
      </c>
      <c r="R38">
        <v>11</v>
      </c>
      <c r="S38" s="4">
        <v>110000</v>
      </c>
      <c r="T38" t="s">
        <v>65</v>
      </c>
      <c r="U38" t="s">
        <v>433</v>
      </c>
      <c r="V38">
        <v>0</v>
      </c>
      <c r="W38" s="4">
        <v>100000</v>
      </c>
      <c r="X38" s="4">
        <v>10000</v>
      </c>
      <c r="Y38">
        <v>0</v>
      </c>
      <c r="Z38">
        <v>0</v>
      </c>
      <c r="AA38">
        <v>0</v>
      </c>
      <c r="AD38">
        <v>0</v>
      </c>
      <c r="AM38" t="s">
        <v>434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435</v>
      </c>
      <c r="BA38">
        <v>0</v>
      </c>
      <c r="BC38" t="s">
        <v>107</v>
      </c>
      <c r="BF38" t="s">
        <v>436</v>
      </c>
    </row>
    <row r="39" spans="1:58" hidden="1" x14ac:dyDescent="0.35">
      <c r="A39" t="s">
        <v>437</v>
      </c>
      <c r="B39">
        <v>10000</v>
      </c>
      <c r="C39">
        <v>20000</v>
      </c>
      <c r="D39" s="2">
        <v>45720</v>
      </c>
      <c r="E39" t="s">
        <v>61</v>
      </c>
      <c r="F39" t="s">
        <v>438</v>
      </c>
      <c r="G39" t="s">
        <v>439</v>
      </c>
      <c r="I39">
        <v>2</v>
      </c>
      <c r="J39" t="s">
        <v>63</v>
      </c>
      <c r="K39">
        <v>77</v>
      </c>
      <c r="L39" t="s">
        <v>127</v>
      </c>
      <c r="M39" s="4">
        <v>21300</v>
      </c>
      <c r="P39" s="2">
        <v>45719</v>
      </c>
      <c r="R39">
        <v>10</v>
      </c>
      <c r="S39" s="4">
        <v>213000</v>
      </c>
      <c r="T39" t="s">
        <v>65</v>
      </c>
      <c r="U39" t="s">
        <v>440</v>
      </c>
      <c r="V39">
        <v>0</v>
      </c>
      <c r="W39" s="4">
        <v>200000</v>
      </c>
      <c r="X39" s="4">
        <v>13000</v>
      </c>
      <c r="Y39">
        <v>0</v>
      </c>
      <c r="Z39">
        <v>0</v>
      </c>
      <c r="AA39">
        <v>0</v>
      </c>
      <c r="AD39">
        <v>0</v>
      </c>
      <c r="AM39" t="s">
        <v>441</v>
      </c>
      <c r="AN39" t="s">
        <v>107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442</v>
      </c>
      <c r="BA39">
        <v>0</v>
      </c>
      <c r="BC39" t="s">
        <v>107</v>
      </c>
      <c r="BF39" t="s">
        <v>443</v>
      </c>
    </row>
    <row r="40" spans="1:58" x14ac:dyDescent="0.35">
      <c r="A40" t="s">
        <v>444</v>
      </c>
      <c r="B40">
        <v>10000</v>
      </c>
      <c r="C40">
        <v>10000</v>
      </c>
      <c r="D40" s="2">
        <v>45719</v>
      </c>
      <c r="E40" t="s">
        <v>61</v>
      </c>
      <c r="F40" t="s">
        <v>445</v>
      </c>
      <c r="G40" t="s">
        <v>446</v>
      </c>
      <c r="I40">
        <v>1</v>
      </c>
      <c r="J40" t="s">
        <v>63</v>
      </c>
      <c r="K40">
        <v>78</v>
      </c>
      <c r="L40" t="s">
        <v>188</v>
      </c>
      <c r="M40" s="4">
        <v>1000</v>
      </c>
      <c r="P40" s="2">
        <v>45719</v>
      </c>
      <c r="R40">
        <v>1</v>
      </c>
      <c r="S40" s="4">
        <v>1000</v>
      </c>
      <c r="T40" t="s">
        <v>65</v>
      </c>
      <c r="U40" s="6" t="s">
        <v>447</v>
      </c>
      <c r="V40">
        <v>0</v>
      </c>
      <c r="W40" s="4">
        <v>1000</v>
      </c>
      <c r="X40">
        <v>0</v>
      </c>
      <c r="Y40">
        <v>0</v>
      </c>
      <c r="Z40">
        <v>0</v>
      </c>
      <c r="AA40">
        <v>0</v>
      </c>
      <c r="AD40">
        <v>0</v>
      </c>
      <c r="AM40" s="6" t="s">
        <v>448</v>
      </c>
      <c r="AN40" t="s">
        <v>449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450</v>
      </c>
      <c r="BA40">
        <v>0</v>
      </c>
      <c r="BC40" t="s">
        <v>449</v>
      </c>
      <c r="BF40" t="s">
        <v>451</v>
      </c>
    </row>
    <row r="41" spans="1:58" x14ac:dyDescent="0.35">
      <c r="A41" t="s">
        <v>452</v>
      </c>
      <c r="B41">
        <v>10000</v>
      </c>
      <c r="C41">
        <v>10000</v>
      </c>
      <c r="D41" s="2">
        <v>45719</v>
      </c>
      <c r="E41" t="s">
        <v>61</v>
      </c>
      <c r="F41" t="s">
        <v>453</v>
      </c>
      <c r="G41" t="s">
        <v>446</v>
      </c>
      <c r="I41">
        <v>1</v>
      </c>
      <c r="J41" t="s">
        <v>63</v>
      </c>
      <c r="K41">
        <v>78</v>
      </c>
      <c r="L41" t="s">
        <v>188</v>
      </c>
      <c r="M41">
        <v>50</v>
      </c>
      <c r="P41" s="2">
        <v>45719</v>
      </c>
      <c r="R41">
        <v>1</v>
      </c>
      <c r="S41">
        <v>50</v>
      </c>
      <c r="T41" t="s">
        <v>65</v>
      </c>
      <c r="U41" s="6" t="s">
        <v>447</v>
      </c>
      <c r="V41">
        <v>0</v>
      </c>
      <c r="W41">
        <v>50</v>
      </c>
      <c r="X41">
        <v>0</v>
      </c>
      <c r="Y41">
        <v>0</v>
      </c>
      <c r="Z41">
        <v>0</v>
      </c>
      <c r="AA41">
        <v>0</v>
      </c>
      <c r="AD41">
        <v>0</v>
      </c>
      <c r="AM41" s="6" t="s">
        <v>448</v>
      </c>
      <c r="AN41" t="s">
        <v>449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454</v>
      </c>
      <c r="BA41">
        <v>0</v>
      </c>
      <c r="BC41" t="s">
        <v>449</v>
      </c>
      <c r="BF41" t="s">
        <v>455</v>
      </c>
    </row>
    <row r="42" spans="1:58" x14ac:dyDescent="0.35">
      <c r="A42" t="s">
        <v>456</v>
      </c>
      <c r="B42">
        <v>10000</v>
      </c>
      <c r="C42">
        <v>20000</v>
      </c>
      <c r="D42" s="2">
        <v>45720</v>
      </c>
      <c r="E42" t="s">
        <v>61</v>
      </c>
      <c r="F42" t="s">
        <v>457</v>
      </c>
      <c r="G42" t="s">
        <v>458</v>
      </c>
      <c r="I42">
        <v>1</v>
      </c>
      <c r="J42" t="s">
        <v>63</v>
      </c>
      <c r="K42">
        <v>75</v>
      </c>
      <c r="L42" t="s">
        <v>459</v>
      </c>
      <c r="M42" s="4">
        <v>18462</v>
      </c>
      <c r="P42" s="2">
        <v>45719</v>
      </c>
      <c r="R42">
        <v>13</v>
      </c>
      <c r="S42" s="4">
        <v>240006</v>
      </c>
      <c r="T42" t="s">
        <v>65</v>
      </c>
      <c r="U42" t="s">
        <v>460</v>
      </c>
      <c r="V42">
        <v>0</v>
      </c>
      <c r="W42" s="4">
        <v>240000</v>
      </c>
      <c r="X42">
        <v>6</v>
      </c>
      <c r="Y42">
        <v>0</v>
      </c>
      <c r="Z42">
        <v>0</v>
      </c>
      <c r="AA42">
        <v>0</v>
      </c>
      <c r="AD42">
        <v>0</v>
      </c>
      <c r="AM42" t="s">
        <v>461</v>
      </c>
      <c r="AN42" t="s">
        <v>175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462</v>
      </c>
      <c r="BA42">
        <v>0</v>
      </c>
      <c r="BC42" t="s">
        <v>175</v>
      </c>
      <c r="BF42" t="s">
        <v>463</v>
      </c>
    </row>
    <row r="43" spans="1:58" x14ac:dyDescent="0.35">
      <c r="A43" t="s">
        <v>464</v>
      </c>
      <c r="B43">
        <v>10000</v>
      </c>
      <c r="C43">
        <v>10000</v>
      </c>
      <c r="D43" s="2">
        <v>45719</v>
      </c>
      <c r="E43" t="s">
        <v>95</v>
      </c>
      <c r="F43" t="s">
        <v>96</v>
      </c>
      <c r="G43" t="s">
        <v>465</v>
      </c>
      <c r="I43">
        <v>1</v>
      </c>
      <c r="J43" t="s">
        <v>63</v>
      </c>
      <c r="K43">
        <v>22</v>
      </c>
      <c r="L43" t="s">
        <v>466</v>
      </c>
      <c r="M43" s="4">
        <v>16000</v>
      </c>
      <c r="P43" s="2">
        <v>45719</v>
      </c>
      <c r="R43">
        <v>1</v>
      </c>
      <c r="S43" s="4">
        <v>16000</v>
      </c>
      <c r="T43" t="s">
        <v>65</v>
      </c>
      <c r="U43" t="s">
        <v>467</v>
      </c>
      <c r="V43">
        <v>0</v>
      </c>
      <c r="W43" s="4">
        <v>16000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468</v>
      </c>
      <c r="AN43" t="s">
        <v>116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469</v>
      </c>
      <c r="BA43">
        <v>0</v>
      </c>
      <c r="BC43" t="s">
        <v>116</v>
      </c>
      <c r="BF43" t="s">
        <v>470</v>
      </c>
    </row>
    <row r="44" spans="1:58" x14ac:dyDescent="0.35">
      <c r="A44" t="s">
        <v>471</v>
      </c>
      <c r="B44">
        <v>10000</v>
      </c>
      <c r="C44">
        <v>10000</v>
      </c>
      <c r="D44" s="2">
        <v>45720</v>
      </c>
      <c r="E44" t="s">
        <v>61</v>
      </c>
      <c r="F44" t="s">
        <v>347</v>
      </c>
      <c r="G44" t="s">
        <v>472</v>
      </c>
      <c r="I44">
        <v>1</v>
      </c>
      <c r="J44" t="s">
        <v>63</v>
      </c>
      <c r="K44">
        <v>61</v>
      </c>
      <c r="L44" t="s">
        <v>197</v>
      </c>
      <c r="M44" s="4">
        <v>6667</v>
      </c>
      <c r="P44" s="2">
        <v>45719</v>
      </c>
      <c r="R44">
        <v>6</v>
      </c>
      <c r="S44" s="4">
        <v>40002</v>
      </c>
      <c r="T44" t="s">
        <v>65</v>
      </c>
      <c r="U44" t="s">
        <v>198</v>
      </c>
      <c r="V44">
        <v>0</v>
      </c>
      <c r="W44" s="4">
        <v>40000</v>
      </c>
      <c r="X44">
        <v>2</v>
      </c>
      <c r="Y44">
        <v>0</v>
      </c>
      <c r="Z44">
        <v>0</v>
      </c>
      <c r="AA44">
        <v>0</v>
      </c>
      <c r="AD44">
        <v>0</v>
      </c>
      <c r="AM44" t="s">
        <v>199</v>
      </c>
      <c r="AN44" t="s">
        <v>116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473</v>
      </c>
      <c r="BA44">
        <v>0</v>
      </c>
      <c r="BC44" t="s">
        <v>116</v>
      </c>
      <c r="BF44" t="s">
        <v>474</v>
      </c>
    </row>
    <row r="45" spans="1:58" x14ac:dyDescent="0.35">
      <c r="A45" t="s">
        <v>475</v>
      </c>
      <c r="B45">
        <v>10000</v>
      </c>
      <c r="C45">
        <v>10000</v>
      </c>
      <c r="D45" s="2">
        <v>45719</v>
      </c>
      <c r="E45" t="s">
        <v>95</v>
      </c>
      <c r="F45" t="s">
        <v>476</v>
      </c>
      <c r="G45" t="s">
        <v>477</v>
      </c>
      <c r="I45">
        <v>1</v>
      </c>
      <c r="J45" t="s">
        <v>63</v>
      </c>
      <c r="K45">
        <v>12</v>
      </c>
      <c r="L45" t="s">
        <v>478</v>
      </c>
      <c r="M45" s="4">
        <v>10000</v>
      </c>
      <c r="P45" s="2">
        <v>45719</v>
      </c>
      <c r="R45">
        <v>10</v>
      </c>
      <c r="S45" s="4">
        <v>100000</v>
      </c>
      <c r="T45" t="s">
        <v>65</v>
      </c>
      <c r="U45" t="s">
        <v>479</v>
      </c>
      <c r="V45">
        <v>0</v>
      </c>
      <c r="W45" s="4">
        <v>100000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480</v>
      </c>
      <c r="AN45" t="s">
        <v>481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482</v>
      </c>
      <c r="BA45">
        <v>0</v>
      </c>
      <c r="BC45" t="s">
        <v>481</v>
      </c>
      <c r="BF45" t="s">
        <v>483</v>
      </c>
    </row>
    <row r="46" spans="1:58" hidden="1" x14ac:dyDescent="0.35">
      <c r="A46" t="s">
        <v>484</v>
      </c>
      <c r="B46">
        <v>10000</v>
      </c>
      <c r="C46">
        <v>20000</v>
      </c>
      <c r="D46" s="2">
        <v>45719</v>
      </c>
      <c r="E46" t="s">
        <v>61</v>
      </c>
      <c r="F46" t="s">
        <v>485</v>
      </c>
      <c r="G46" t="s">
        <v>486</v>
      </c>
      <c r="I46">
        <v>2</v>
      </c>
      <c r="J46" t="s">
        <v>63</v>
      </c>
      <c r="K46">
        <v>100</v>
      </c>
      <c r="L46" t="s">
        <v>424</v>
      </c>
      <c r="M46">
        <v>600</v>
      </c>
      <c r="P46" s="2">
        <v>45719</v>
      </c>
      <c r="R46">
        <v>1</v>
      </c>
      <c r="S46">
        <v>600</v>
      </c>
      <c r="T46" t="s">
        <v>65</v>
      </c>
      <c r="U46">
        <v>107112140001</v>
      </c>
      <c r="V46">
        <v>0</v>
      </c>
      <c r="W46">
        <v>500</v>
      </c>
      <c r="X46">
        <v>100</v>
      </c>
      <c r="Y46">
        <v>0</v>
      </c>
      <c r="Z46">
        <v>0</v>
      </c>
      <c r="AA46">
        <v>0</v>
      </c>
      <c r="AD46">
        <v>0</v>
      </c>
      <c r="AM46">
        <v>10711214</v>
      </c>
      <c r="AN46" t="s">
        <v>487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488</v>
      </c>
      <c r="BA46">
        <v>0</v>
      </c>
      <c r="BC46" t="s">
        <v>487</v>
      </c>
      <c r="BF46" t="s">
        <v>489</v>
      </c>
    </row>
    <row r="47" spans="1:58" x14ac:dyDescent="0.35">
      <c r="A47" t="s">
        <v>490</v>
      </c>
      <c r="B47">
        <v>10000</v>
      </c>
      <c r="C47">
        <v>10000</v>
      </c>
      <c r="D47" s="2">
        <v>45720</v>
      </c>
      <c r="E47" t="s">
        <v>61</v>
      </c>
      <c r="F47" t="s">
        <v>491</v>
      </c>
      <c r="G47" t="s">
        <v>492</v>
      </c>
      <c r="I47">
        <v>1</v>
      </c>
      <c r="J47" t="s">
        <v>63</v>
      </c>
      <c r="K47">
        <v>12</v>
      </c>
      <c r="L47" t="s">
        <v>478</v>
      </c>
      <c r="M47" s="4">
        <v>4000</v>
      </c>
      <c r="P47" s="2">
        <v>45719</v>
      </c>
      <c r="R47">
        <v>1</v>
      </c>
      <c r="S47" s="4">
        <v>4000</v>
      </c>
      <c r="T47" t="s">
        <v>65</v>
      </c>
      <c r="U47" t="s">
        <v>493</v>
      </c>
      <c r="V47">
        <v>0</v>
      </c>
      <c r="W47" s="4">
        <v>4000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494</v>
      </c>
      <c r="AN47" t="s">
        <v>206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495</v>
      </c>
      <c r="BA47">
        <v>0</v>
      </c>
      <c r="BC47" t="s">
        <v>206</v>
      </c>
      <c r="BF47" t="s">
        <v>208</v>
      </c>
    </row>
    <row r="48" spans="1:58" x14ac:dyDescent="0.35">
      <c r="A48" t="s">
        <v>496</v>
      </c>
      <c r="B48">
        <v>10000</v>
      </c>
      <c r="C48">
        <v>10000</v>
      </c>
      <c r="D48" s="2">
        <v>45719</v>
      </c>
      <c r="E48" t="s">
        <v>95</v>
      </c>
      <c r="F48" t="s">
        <v>497</v>
      </c>
      <c r="G48" t="s">
        <v>498</v>
      </c>
      <c r="I48">
        <v>1</v>
      </c>
      <c r="J48" t="s">
        <v>63</v>
      </c>
      <c r="K48">
        <v>78</v>
      </c>
      <c r="L48" t="s">
        <v>188</v>
      </c>
      <c r="M48">
        <v>100</v>
      </c>
      <c r="P48" s="2">
        <v>45719</v>
      </c>
      <c r="R48">
        <v>1</v>
      </c>
      <c r="S48">
        <v>100</v>
      </c>
      <c r="T48" t="s">
        <v>65</v>
      </c>
      <c r="U48">
        <v>107314450001</v>
      </c>
      <c r="V48">
        <v>0</v>
      </c>
      <c r="W48">
        <v>100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10731445</v>
      </c>
      <c r="AN48" t="s">
        <v>487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499</v>
      </c>
      <c r="BA48">
        <v>0</v>
      </c>
      <c r="BC48" t="s">
        <v>487</v>
      </c>
      <c r="BF48" t="s">
        <v>500</v>
      </c>
    </row>
    <row r="49" spans="1:58" x14ac:dyDescent="0.35">
      <c r="A49" t="s">
        <v>501</v>
      </c>
      <c r="B49">
        <v>10000</v>
      </c>
      <c r="C49">
        <v>10000</v>
      </c>
      <c r="D49" s="2">
        <v>45719</v>
      </c>
      <c r="E49" t="s">
        <v>95</v>
      </c>
      <c r="F49" t="s">
        <v>497</v>
      </c>
      <c r="G49" t="s">
        <v>498</v>
      </c>
      <c r="I49">
        <v>1</v>
      </c>
      <c r="J49" t="s">
        <v>63</v>
      </c>
      <c r="K49">
        <v>78</v>
      </c>
      <c r="L49" t="s">
        <v>188</v>
      </c>
      <c r="M49">
        <v>5</v>
      </c>
      <c r="P49" s="2">
        <v>45719</v>
      </c>
      <c r="R49">
        <v>1</v>
      </c>
      <c r="S49">
        <v>5</v>
      </c>
      <c r="T49" t="s">
        <v>65</v>
      </c>
      <c r="U49">
        <v>107314450001</v>
      </c>
      <c r="V49">
        <v>0</v>
      </c>
      <c r="W49">
        <v>5</v>
      </c>
      <c r="X49">
        <v>0</v>
      </c>
      <c r="Y49">
        <v>0</v>
      </c>
      <c r="Z49">
        <v>0</v>
      </c>
      <c r="AA49">
        <v>0</v>
      </c>
      <c r="AD49">
        <v>0</v>
      </c>
      <c r="AM49">
        <v>10731445</v>
      </c>
      <c r="AN49" t="s">
        <v>487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502</v>
      </c>
      <c r="BA49">
        <v>0</v>
      </c>
      <c r="BC49" t="s">
        <v>487</v>
      </c>
      <c r="BF49" t="s">
        <v>503</v>
      </c>
    </row>
    <row r="50" spans="1:58" x14ac:dyDescent="0.35">
      <c r="A50" t="s">
        <v>504</v>
      </c>
      <c r="B50">
        <v>10000</v>
      </c>
      <c r="C50">
        <v>10000</v>
      </c>
      <c r="D50" s="2">
        <v>45720</v>
      </c>
      <c r="E50" t="s">
        <v>61</v>
      </c>
      <c r="F50" s="3">
        <v>0.42174768518518518</v>
      </c>
      <c r="G50" t="s">
        <v>505</v>
      </c>
      <c r="I50">
        <v>1</v>
      </c>
      <c r="J50" t="s">
        <v>63</v>
      </c>
      <c r="K50">
        <v>65</v>
      </c>
      <c r="L50" t="s">
        <v>268</v>
      </c>
      <c r="M50">
        <v>250</v>
      </c>
      <c r="P50" s="2">
        <v>45719</v>
      </c>
      <c r="R50">
        <v>80</v>
      </c>
      <c r="S50" s="4">
        <v>20000</v>
      </c>
      <c r="T50" t="s">
        <v>65</v>
      </c>
      <c r="U50" t="s">
        <v>506</v>
      </c>
      <c r="V50">
        <v>0</v>
      </c>
      <c r="W50" s="4">
        <v>20000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507</v>
      </c>
      <c r="AN50" t="s">
        <v>508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509</v>
      </c>
      <c r="BA50">
        <v>0</v>
      </c>
      <c r="BC50" t="s">
        <v>508</v>
      </c>
      <c r="BF50" t="s">
        <v>510</v>
      </c>
    </row>
    <row r="51" spans="1:58" hidden="1" x14ac:dyDescent="0.35">
      <c r="A51" t="s">
        <v>511</v>
      </c>
      <c r="B51">
        <v>10000</v>
      </c>
      <c r="C51">
        <v>30000</v>
      </c>
      <c r="D51" s="2">
        <v>45720</v>
      </c>
      <c r="E51" t="s">
        <v>61</v>
      </c>
      <c r="F51" t="s">
        <v>512</v>
      </c>
      <c r="G51">
        <v>10567308045</v>
      </c>
      <c r="I51">
        <v>3</v>
      </c>
      <c r="J51" t="s">
        <v>63</v>
      </c>
      <c r="K51">
        <v>91</v>
      </c>
      <c r="L51" t="s">
        <v>75</v>
      </c>
      <c r="M51" s="4">
        <v>1112</v>
      </c>
      <c r="P51" s="2">
        <v>45719</v>
      </c>
      <c r="R51">
        <v>9</v>
      </c>
      <c r="S51" s="4">
        <v>10008</v>
      </c>
      <c r="T51" t="s">
        <v>65</v>
      </c>
      <c r="U51" t="s">
        <v>513</v>
      </c>
      <c r="V51">
        <v>0</v>
      </c>
      <c r="W51" s="4">
        <v>10000</v>
      </c>
      <c r="X51">
        <v>8</v>
      </c>
      <c r="Y51">
        <v>0</v>
      </c>
      <c r="Z51">
        <v>0</v>
      </c>
      <c r="AA51">
        <v>0</v>
      </c>
      <c r="AD51">
        <v>0</v>
      </c>
      <c r="AM51" t="s">
        <v>514</v>
      </c>
      <c r="AN51" t="s">
        <v>68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515</v>
      </c>
      <c r="BA51">
        <v>0</v>
      </c>
      <c r="BC51" t="s">
        <v>68</v>
      </c>
      <c r="BF51" t="s">
        <v>516</v>
      </c>
    </row>
    <row r="52" spans="1:58" x14ac:dyDescent="0.35">
      <c r="A52" t="s">
        <v>517</v>
      </c>
      <c r="B52">
        <v>10000</v>
      </c>
      <c r="C52">
        <v>10000</v>
      </c>
      <c r="D52" s="2">
        <v>45720</v>
      </c>
      <c r="E52" t="s">
        <v>61</v>
      </c>
      <c r="F52" t="s">
        <v>457</v>
      </c>
      <c r="G52" t="s">
        <v>518</v>
      </c>
      <c r="I52">
        <v>1</v>
      </c>
      <c r="J52" t="s">
        <v>63</v>
      </c>
      <c r="K52">
        <v>63</v>
      </c>
      <c r="L52" t="s">
        <v>519</v>
      </c>
      <c r="M52" s="4">
        <v>1000</v>
      </c>
      <c r="P52" s="2">
        <v>45719</v>
      </c>
      <c r="R52">
        <v>20</v>
      </c>
      <c r="S52" s="4">
        <v>20000</v>
      </c>
      <c r="T52" t="s">
        <v>65</v>
      </c>
      <c r="U52" t="s">
        <v>520</v>
      </c>
      <c r="V52">
        <v>0</v>
      </c>
      <c r="W52" s="4">
        <v>20000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521</v>
      </c>
      <c r="AN52" t="s">
        <v>522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523</v>
      </c>
      <c r="BA52">
        <v>0</v>
      </c>
      <c r="BC52" t="s">
        <v>522</v>
      </c>
      <c r="BF52" t="s">
        <v>524</v>
      </c>
    </row>
    <row r="53" spans="1:58" x14ac:dyDescent="0.35">
      <c r="A53" t="s">
        <v>525</v>
      </c>
      <c r="B53">
        <v>10000</v>
      </c>
      <c r="C53">
        <v>10000</v>
      </c>
      <c r="D53" s="2">
        <v>45723</v>
      </c>
      <c r="E53" t="s">
        <v>61</v>
      </c>
      <c r="F53" t="s">
        <v>526</v>
      </c>
      <c r="G53" t="s">
        <v>527</v>
      </c>
      <c r="I53">
        <v>1</v>
      </c>
      <c r="J53" t="s">
        <v>63</v>
      </c>
      <c r="K53">
        <v>72</v>
      </c>
      <c r="L53" t="s">
        <v>528</v>
      </c>
      <c r="M53">
        <v>667</v>
      </c>
      <c r="P53" s="2">
        <v>45719</v>
      </c>
      <c r="R53">
        <v>6</v>
      </c>
      <c r="S53" s="4">
        <v>4002</v>
      </c>
      <c r="T53" t="s">
        <v>65</v>
      </c>
      <c r="U53" t="s">
        <v>529</v>
      </c>
      <c r="V53">
        <v>0</v>
      </c>
      <c r="W53" s="4">
        <v>3000</v>
      </c>
      <c r="X53" s="4">
        <v>1002</v>
      </c>
      <c r="Y53">
        <v>0</v>
      </c>
      <c r="Z53">
        <v>0</v>
      </c>
      <c r="AA53">
        <v>0</v>
      </c>
      <c r="AD53">
        <v>0</v>
      </c>
      <c r="AM53" t="s">
        <v>530</v>
      </c>
      <c r="AN53" t="s">
        <v>271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531</v>
      </c>
      <c r="BA53">
        <v>0</v>
      </c>
      <c r="BC53" t="s">
        <v>271</v>
      </c>
      <c r="BF53" t="s">
        <v>532</v>
      </c>
    </row>
    <row r="54" spans="1:58" hidden="1" x14ac:dyDescent="0.35">
      <c r="A54" t="s">
        <v>525</v>
      </c>
      <c r="B54">
        <v>10000</v>
      </c>
      <c r="C54">
        <v>20000</v>
      </c>
      <c r="D54" s="2">
        <v>45723</v>
      </c>
      <c r="E54" t="s">
        <v>61</v>
      </c>
      <c r="F54" t="s">
        <v>526</v>
      </c>
      <c r="G54" t="s">
        <v>527</v>
      </c>
      <c r="I54">
        <v>2</v>
      </c>
      <c r="J54" t="s">
        <v>63</v>
      </c>
      <c r="K54">
        <v>30</v>
      </c>
      <c r="L54" t="s">
        <v>533</v>
      </c>
      <c r="M54" s="4">
        <v>1500</v>
      </c>
      <c r="P54" s="2">
        <v>45719</v>
      </c>
      <c r="R54">
        <v>2</v>
      </c>
      <c r="S54" s="4">
        <v>3000</v>
      </c>
      <c r="T54" t="s">
        <v>65</v>
      </c>
      <c r="U54" t="s">
        <v>529</v>
      </c>
      <c r="V54">
        <v>0</v>
      </c>
      <c r="W54" s="4">
        <v>3000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530</v>
      </c>
      <c r="AN54" t="s">
        <v>271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531</v>
      </c>
      <c r="BA54">
        <v>0</v>
      </c>
      <c r="BC54" t="s">
        <v>271</v>
      </c>
      <c r="BF54" t="s">
        <v>532</v>
      </c>
    </row>
    <row r="55" spans="1:58" hidden="1" x14ac:dyDescent="0.35">
      <c r="A55" t="s">
        <v>225</v>
      </c>
      <c r="B55">
        <v>10000</v>
      </c>
      <c r="C55">
        <v>40000</v>
      </c>
      <c r="D55" s="2">
        <v>45720</v>
      </c>
      <c r="E55" t="s">
        <v>61</v>
      </c>
      <c r="F55" t="s">
        <v>226</v>
      </c>
      <c r="G55" t="s">
        <v>227</v>
      </c>
      <c r="I55">
        <v>4</v>
      </c>
      <c r="J55" t="s">
        <v>63</v>
      </c>
      <c r="K55">
        <v>86</v>
      </c>
      <c r="L55" t="s">
        <v>64</v>
      </c>
      <c r="M55" s="4">
        <v>6000</v>
      </c>
      <c r="P55" s="2">
        <v>45719</v>
      </c>
      <c r="R55">
        <v>30</v>
      </c>
      <c r="S55" s="4">
        <v>180000</v>
      </c>
      <c r="T55" t="s">
        <v>65</v>
      </c>
      <c r="U55">
        <v>150370360001</v>
      </c>
      <c r="V55">
        <v>0</v>
      </c>
      <c r="W55" s="4">
        <v>122826</v>
      </c>
      <c r="X55" s="4">
        <v>57174</v>
      </c>
      <c r="Y55">
        <v>0</v>
      </c>
      <c r="Z55">
        <v>0</v>
      </c>
      <c r="AA55">
        <v>0</v>
      </c>
      <c r="AD55">
        <v>0</v>
      </c>
      <c r="AM55">
        <v>15037036</v>
      </c>
      <c r="AN55" t="s">
        <v>182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229</v>
      </c>
      <c r="BA55">
        <v>0</v>
      </c>
      <c r="BC55" t="s">
        <v>182</v>
      </c>
      <c r="BF55" t="s">
        <v>230</v>
      </c>
    </row>
    <row r="56" spans="1:58" hidden="1" x14ac:dyDescent="0.35">
      <c r="A56" t="s">
        <v>534</v>
      </c>
      <c r="B56">
        <v>10000</v>
      </c>
      <c r="C56">
        <v>20000</v>
      </c>
      <c r="D56" s="2">
        <v>45719</v>
      </c>
      <c r="E56" t="s">
        <v>61</v>
      </c>
      <c r="F56" t="s">
        <v>535</v>
      </c>
      <c r="G56" t="s">
        <v>134</v>
      </c>
      <c r="I56">
        <v>2</v>
      </c>
      <c r="J56" t="s">
        <v>63</v>
      </c>
      <c r="K56">
        <v>71</v>
      </c>
      <c r="L56" t="s">
        <v>135</v>
      </c>
      <c r="M56">
        <v>834</v>
      </c>
      <c r="P56" s="2">
        <v>45719</v>
      </c>
      <c r="R56">
        <v>6</v>
      </c>
      <c r="S56" s="4">
        <v>5004</v>
      </c>
      <c r="T56" t="s">
        <v>65</v>
      </c>
      <c r="U56">
        <v>5000443950001</v>
      </c>
      <c r="V56">
        <v>0</v>
      </c>
      <c r="W56" s="4">
        <v>5000</v>
      </c>
      <c r="X56">
        <v>4</v>
      </c>
      <c r="Y56">
        <v>0</v>
      </c>
      <c r="Z56">
        <v>0</v>
      </c>
      <c r="AA56">
        <v>0</v>
      </c>
      <c r="AD56">
        <v>0</v>
      </c>
      <c r="AM56">
        <v>500044395</v>
      </c>
      <c r="AN56" t="s">
        <v>91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536</v>
      </c>
      <c r="BA56">
        <v>0</v>
      </c>
      <c r="BC56" t="s">
        <v>91</v>
      </c>
      <c r="BF56" t="s">
        <v>537</v>
      </c>
    </row>
    <row r="57" spans="1:58" hidden="1" x14ac:dyDescent="0.35">
      <c r="A57" t="s">
        <v>538</v>
      </c>
      <c r="B57">
        <v>10000</v>
      </c>
      <c r="C57">
        <v>20000</v>
      </c>
      <c r="D57" s="2">
        <v>45719</v>
      </c>
      <c r="E57" t="s">
        <v>61</v>
      </c>
      <c r="F57" t="s">
        <v>539</v>
      </c>
      <c r="G57" t="s">
        <v>134</v>
      </c>
      <c r="I57">
        <v>2</v>
      </c>
      <c r="J57" t="s">
        <v>63</v>
      </c>
      <c r="K57">
        <v>71</v>
      </c>
      <c r="L57" t="s">
        <v>135</v>
      </c>
      <c r="M57">
        <v>834</v>
      </c>
      <c r="P57" s="2">
        <v>45719</v>
      </c>
      <c r="R57">
        <v>6</v>
      </c>
      <c r="S57" s="4">
        <v>5004</v>
      </c>
      <c r="T57" t="s">
        <v>65</v>
      </c>
      <c r="U57">
        <v>5000635410001</v>
      </c>
      <c r="V57">
        <v>0</v>
      </c>
      <c r="W57" s="4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500063541</v>
      </c>
      <c r="AN57" t="s">
        <v>91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540</v>
      </c>
      <c r="BA57">
        <v>0</v>
      </c>
      <c r="BC57" t="s">
        <v>91</v>
      </c>
      <c r="BF57" t="s">
        <v>541</v>
      </c>
    </row>
    <row r="58" spans="1:58" hidden="1" x14ac:dyDescent="0.35">
      <c r="A58" t="s">
        <v>542</v>
      </c>
      <c r="B58">
        <v>10000</v>
      </c>
      <c r="C58">
        <v>20000</v>
      </c>
      <c r="D58" s="2">
        <v>45719</v>
      </c>
      <c r="E58" t="s">
        <v>61</v>
      </c>
      <c r="F58" t="s">
        <v>543</v>
      </c>
      <c r="G58" t="s">
        <v>134</v>
      </c>
      <c r="I58">
        <v>2</v>
      </c>
      <c r="J58" t="s">
        <v>63</v>
      </c>
      <c r="K58">
        <v>71</v>
      </c>
      <c r="L58" t="s">
        <v>135</v>
      </c>
      <c r="M58" s="4">
        <v>2223</v>
      </c>
      <c r="P58" s="2">
        <v>45719</v>
      </c>
      <c r="R58">
        <v>9</v>
      </c>
      <c r="S58" s="4">
        <v>20007</v>
      </c>
      <c r="T58" t="s">
        <v>65</v>
      </c>
      <c r="U58">
        <v>83634490001</v>
      </c>
      <c r="V58">
        <v>0</v>
      </c>
      <c r="W58" s="4">
        <v>20000</v>
      </c>
      <c r="X58">
        <v>7</v>
      </c>
      <c r="Y58">
        <v>0</v>
      </c>
      <c r="Z58">
        <v>0</v>
      </c>
      <c r="AA58">
        <v>0</v>
      </c>
      <c r="AD58">
        <v>0</v>
      </c>
      <c r="AM58">
        <v>8363449</v>
      </c>
      <c r="AN58" t="s">
        <v>91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544</v>
      </c>
      <c r="BA58">
        <v>0</v>
      </c>
      <c r="BC58" t="s">
        <v>91</v>
      </c>
      <c r="BF58" t="s">
        <v>545</v>
      </c>
    </row>
    <row r="59" spans="1:58" hidden="1" x14ac:dyDescent="0.35">
      <c r="A59" t="s">
        <v>546</v>
      </c>
      <c r="B59">
        <v>10000</v>
      </c>
      <c r="C59">
        <v>20000</v>
      </c>
      <c r="D59" s="2">
        <v>45719</v>
      </c>
      <c r="E59" t="s">
        <v>95</v>
      </c>
      <c r="F59" t="s">
        <v>359</v>
      </c>
      <c r="G59" t="s">
        <v>547</v>
      </c>
      <c r="I59">
        <v>2</v>
      </c>
      <c r="J59" t="s">
        <v>63</v>
      </c>
      <c r="K59">
        <v>100</v>
      </c>
      <c r="L59" t="s">
        <v>424</v>
      </c>
      <c r="M59">
        <v>600</v>
      </c>
      <c r="P59" s="2">
        <v>45719</v>
      </c>
      <c r="R59">
        <v>1</v>
      </c>
      <c r="S59">
        <v>600</v>
      </c>
      <c r="T59" t="s">
        <v>65</v>
      </c>
      <c r="U59">
        <v>107480290001</v>
      </c>
      <c r="V59">
        <v>0</v>
      </c>
      <c r="W59">
        <v>500</v>
      </c>
      <c r="X59">
        <v>100</v>
      </c>
      <c r="Y59">
        <v>0</v>
      </c>
      <c r="Z59">
        <v>0</v>
      </c>
      <c r="AA59">
        <v>0</v>
      </c>
      <c r="AD59">
        <v>0</v>
      </c>
      <c r="AM59">
        <v>10748029</v>
      </c>
      <c r="AN59" t="s">
        <v>487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548</v>
      </c>
      <c r="BA59">
        <v>0</v>
      </c>
      <c r="BC59" t="s">
        <v>487</v>
      </c>
      <c r="BF59" t="s">
        <v>549</v>
      </c>
    </row>
    <row r="60" spans="1:58" x14ac:dyDescent="0.35">
      <c r="A60" t="s">
        <v>550</v>
      </c>
      <c r="B60">
        <v>10000</v>
      </c>
      <c r="C60">
        <v>10000</v>
      </c>
      <c r="D60" s="2">
        <v>45722</v>
      </c>
      <c r="E60" t="s">
        <v>61</v>
      </c>
      <c r="F60" t="s">
        <v>551</v>
      </c>
      <c r="G60" t="s">
        <v>552</v>
      </c>
      <c r="I60">
        <v>1</v>
      </c>
      <c r="J60" t="s">
        <v>63</v>
      </c>
      <c r="K60">
        <v>32</v>
      </c>
      <c r="L60" t="s">
        <v>553</v>
      </c>
      <c r="M60" s="4">
        <v>5860</v>
      </c>
      <c r="P60" s="2">
        <v>45719</v>
      </c>
      <c r="R60">
        <v>1</v>
      </c>
      <c r="S60" s="4">
        <v>5860</v>
      </c>
      <c r="T60" t="s">
        <v>65</v>
      </c>
      <c r="U60" t="s">
        <v>554</v>
      </c>
      <c r="V60">
        <v>0</v>
      </c>
      <c r="W60" s="4">
        <v>5360</v>
      </c>
      <c r="X60">
        <v>500</v>
      </c>
      <c r="Y60">
        <v>0</v>
      </c>
      <c r="Z60">
        <v>0</v>
      </c>
      <c r="AA60">
        <v>0</v>
      </c>
      <c r="AD60">
        <v>0</v>
      </c>
      <c r="AM60" t="s">
        <v>555</v>
      </c>
      <c r="AN60" t="s">
        <v>116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556</v>
      </c>
      <c r="BA60">
        <v>0</v>
      </c>
      <c r="BC60" t="s">
        <v>116</v>
      </c>
      <c r="BF60" t="s">
        <v>557</v>
      </c>
    </row>
    <row r="61" spans="1:58" hidden="1" x14ac:dyDescent="0.35">
      <c r="A61" t="s">
        <v>238</v>
      </c>
      <c r="B61">
        <v>10000</v>
      </c>
      <c r="C61">
        <v>30000</v>
      </c>
      <c r="D61" s="2">
        <v>45719</v>
      </c>
      <c r="E61" t="s">
        <v>95</v>
      </c>
      <c r="F61" t="s">
        <v>239</v>
      </c>
      <c r="G61" t="s">
        <v>240</v>
      </c>
      <c r="I61">
        <v>3</v>
      </c>
      <c r="J61" t="s">
        <v>63</v>
      </c>
      <c r="K61">
        <v>86</v>
      </c>
      <c r="L61" t="s">
        <v>64</v>
      </c>
      <c r="M61">
        <v>650</v>
      </c>
      <c r="P61" s="2">
        <v>45719</v>
      </c>
      <c r="R61">
        <v>2</v>
      </c>
      <c r="S61" s="4">
        <v>1300</v>
      </c>
      <c r="T61" t="s">
        <v>65</v>
      </c>
      <c r="U61" t="s">
        <v>241</v>
      </c>
      <c r="V61">
        <v>0</v>
      </c>
      <c r="W61" s="4">
        <v>1000</v>
      </c>
      <c r="X61">
        <v>300</v>
      </c>
      <c r="Y61">
        <v>0</v>
      </c>
      <c r="Z61">
        <v>0</v>
      </c>
      <c r="AA61">
        <v>0</v>
      </c>
      <c r="AD61">
        <v>0</v>
      </c>
      <c r="AM61" t="s">
        <v>242</v>
      </c>
      <c r="AN61" t="s">
        <v>243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244</v>
      </c>
      <c r="BA61">
        <v>0</v>
      </c>
      <c r="BC61" t="s">
        <v>243</v>
      </c>
      <c r="BF61" t="s">
        <v>245</v>
      </c>
    </row>
    <row r="62" spans="1:58" hidden="1" x14ac:dyDescent="0.35">
      <c r="A62" t="s">
        <v>558</v>
      </c>
      <c r="B62">
        <v>10000</v>
      </c>
      <c r="C62">
        <v>20000</v>
      </c>
      <c r="D62" s="2">
        <v>45720</v>
      </c>
      <c r="E62" t="s">
        <v>61</v>
      </c>
      <c r="F62" s="3">
        <v>0.42276620370370371</v>
      </c>
      <c r="G62" t="s">
        <v>559</v>
      </c>
      <c r="I62">
        <v>2</v>
      </c>
      <c r="J62" t="s">
        <v>63</v>
      </c>
      <c r="K62">
        <v>71</v>
      </c>
      <c r="L62" t="s">
        <v>135</v>
      </c>
      <c r="M62" s="4">
        <v>10000</v>
      </c>
      <c r="P62" s="2">
        <v>45719</v>
      </c>
      <c r="R62">
        <v>3</v>
      </c>
      <c r="S62" s="4">
        <v>30000</v>
      </c>
      <c r="T62" t="s">
        <v>65</v>
      </c>
      <c r="U62" t="s">
        <v>560</v>
      </c>
      <c r="V62">
        <v>0</v>
      </c>
      <c r="W62" s="4">
        <v>30000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561</v>
      </c>
      <c r="AN62" t="s">
        <v>562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563</v>
      </c>
      <c r="BA62">
        <v>0</v>
      </c>
      <c r="BC62" t="s">
        <v>562</v>
      </c>
      <c r="BF62" t="s">
        <v>564</v>
      </c>
    </row>
    <row r="63" spans="1:58" hidden="1" x14ac:dyDescent="0.35">
      <c r="A63" t="s">
        <v>565</v>
      </c>
      <c r="B63">
        <v>10000</v>
      </c>
      <c r="C63">
        <v>20000</v>
      </c>
      <c r="D63" s="2">
        <v>45722</v>
      </c>
      <c r="E63" t="s">
        <v>61</v>
      </c>
      <c r="F63" t="s">
        <v>566</v>
      </c>
      <c r="G63" t="s">
        <v>567</v>
      </c>
      <c r="I63">
        <v>2</v>
      </c>
      <c r="J63" t="s">
        <v>63</v>
      </c>
      <c r="K63">
        <v>77</v>
      </c>
      <c r="L63" t="s">
        <v>127</v>
      </c>
      <c r="M63" s="4">
        <v>31800</v>
      </c>
      <c r="P63" s="2">
        <v>45719</v>
      </c>
      <c r="R63">
        <v>10</v>
      </c>
      <c r="S63" s="4">
        <v>318000</v>
      </c>
      <c r="T63" t="s">
        <v>65</v>
      </c>
      <c r="U63" t="s">
        <v>147</v>
      </c>
      <c r="V63">
        <v>0</v>
      </c>
      <c r="W63" s="4">
        <v>325000</v>
      </c>
      <c r="X63" s="4">
        <v>-7000</v>
      </c>
      <c r="Y63">
        <v>0</v>
      </c>
      <c r="Z63">
        <v>0</v>
      </c>
      <c r="AA63">
        <v>0</v>
      </c>
      <c r="AD63">
        <v>0</v>
      </c>
      <c r="AM63" t="s">
        <v>148</v>
      </c>
      <c r="AN63" t="s">
        <v>107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568</v>
      </c>
      <c r="BA63">
        <v>0</v>
      </c>
      <c r="BC63" t="s">
        <v>107</v>
      </c>
      <c r="BF63" t="s">
        <v>569</v>
      </c>
    </row>
    <row r="64" spans="1:58" x14ac:dyDescent="0.35">
      <c r="A64" t="s">
        <v>570</v>
      </c>
      <c r="B64">
        <v>10000</v>
      </c>
      <c r="C64">
        <v>30000</v>
      </c>
      <c r="D64" s="2">
        <v>45737</v>
      </c>
      <c r="E64" t="s">
        <v>61</v>
      </c>
      <c r="F64" t="s">
        <v>571</v>
      </c>
      <c r="G64" t="s">
        <v>572</v>
      </c>
      <c r="I64">
        <v>1</v>
      </c>
      <c r="J64" t="s">
        <v>63</v>
      </c>
      <c r="K64">
        <v>79</v>
      </c>
      <c r="L64" t="s">
        <v>573</v>
      </c>
      <c r="M64" s="4">
        <v>1836</v>
      </c>
      <c r="P64" s="2">
        <v>45719</v>
      </c>
      <c r="R64">
        <v>297</v>
      </c>
      <c r="S64" s="4">
        <v>545292</v>
      </c>
      <c r="T64" t="s">
        <v>65</v>
      </c>
      <c r="U64" t="s">
        <v>574</v>
      </c>
      <c r="V64">
        <v>0</v>
      </c>
      <c r="W64" s="4">
        <v>500000</v>
      </c>
      <c r="X64" s="4">
        <v>45292</v>
      </c>
      <c r="Y64">
        <v>0</v>
      </c>
      <c r="Z64">
        <v>0</v>
      </c>
      <c r="AA64">
        <v>0</v>
      </c>
      <c r="AD64">
        <v>0</v>
      </c>
      <c r="AM64" t="s">
        <v>575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576</v>
      </c>
      <c r="BA64">
        <v>0</v>
      </c>
      <c r="BC64" t="s">
        <v>107</v>
      </c>
      <c r="BF64" t="s">
        <v>577</v>
      </c>
    </row>
    <row r="65" spans="1:58" hidden="1" x14ac:dyDescent="0.35">
      <c r="A65" t="s">
        <v>578</v>
      </c>
      <c r="B65">
        <v>10000</v>
      </c>
      <c r="C65">
        <v>20000</v>
      </c>
      <c r="D65" s="2">
        <v>45719</v>
      </c>
      <c r="E65" t="s">
        <v>61</v>
      </c>
      <c r="F65" t="s">
        <v>579</v>
      </c>
      <c r="G65" t="s">
        <v>580</v>
      </c>
      <c r="I65">
        <v>2</v>
      </c>
      <c r="J65" t="s">
        <v>63</v>
      </c>
      <c r="K65">
        <v>82</v>
      </c>
      <c r="L65" t="s">
        <v>341</v>
      </c>
      <c r="M65">
        <v>429</v>
      </c>
      <c r="P65" s="2">
        <v>45719</v>
      </c>
      <c r="R65">
        <v>56</v>
      </c>
      <c r="S65" s="4">
        <v>24024</v>
      </c>
      <c r="T65" t="s">
        <v>65</v>
      </c>
      <c r="U65" t="s">
        <v>581</v>
      </c>
      <c r="V65">
        <v>0</v>
      </c>
      <c r="W65" s="4">
        <v>11000</v>
      </c>
      <c r="X65" s="4">
        <v>13024</v>
      </c>
      <c r="Y65">
        <v>0</v>
      </c>
      <c r="Z65">
        <v>0</v>
      </c>
      <c r="AA65">
        <v>0</v>
      </c>
      <c r="AD65">
        <v>0</v>
      </c>
      <c r="AM65" t="s">
        <v>582</v>
      </c>
      <c r="AN65" t="s">
        <v>449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583</v>
      </c>
      <c r="BA65">
        <v>0</v>
      </c>
      <c r="BC65" t="s">
        <v>449</v>
      </c>
      <c r="BF65" t="s">
        <v>584</v>
      </c>
    </row>
    <row r="66" spans="1:58" x14ac:dyDescent="0.35">
      <c r="A66" t="s">
        <v>585</v>
      </c>
      <c r="B66">
        <v>10000</v>
      </c>
      <c r="C66">
        <v>10000</v>
      </c>
      <c r="D66" s="2">
        <v>45720</v>
      </c>
      <c r="E66" t="s">
        <v>61</v>
      </c>
      <c r="F66" t="s">
        <v>457</v>
      </c>
      <c r="G66" t="s">
        <v>586</v>
      </c>
      <c r="I66">
        <v>1</v>
      </c>
      <c r="J66" t="s">
        <v>63</v>
      </c>
      <c r="K66">
        <v>63</v>
      </c>
      <c r="L66" t="s">
        <v>519</v>
      </c>
      <c r="M66" s="4">
        <v>10000</v>
      </c>
      <c r="P66" s="2">
        <v>45719</v>
      </c>
      <c r="R66">
        <v>60</v>
      </c>
      <c r="S66" s="4">
        <v>600000</v>
      </c>
      <c r="T66" t="s">
        <v>65</v>
      </c>
      <c r="U66" t="s">
        <v>587</v>
      </c>
      <c r="V66">
        <v>0</v>
      </c>
      <c r="W66" s="4">
        <v>600000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588</v>
      </c>
      <c r="AN66" t="s">
        <v>175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589</v>
      </c>
      <c r="BA66">
        <v>0</v>
      </c>
      <c r="BC66" t="s">
        <v>175</v>
      </c>
      <c r="BF66" t="s">
        <v>590</v>
      </c>
    </row>
    <row r="67" spans="1:58" x14ac:dyDescent="0.35">
      <c r="A67" t="s">
        <v>591</v>
      </c>
      <c r="B67">
        <v>10000</v>
      </c>
      <c r="C67">
        <v>10000</v>
      </c>
      <c r="D67" s="2">
        <v>45720</v>
      </c>
      <c r="E67" t="s">
        <v>61</v>
      </c>
      <c r="F67" t="s">
        <v>457</v>
      </c>
      <c r="G67" t="s">
        <v>586</v>
      </c>
      <c r="I67">
        <v>1</v>
      </c>
      <c r="J67" t="s">
        <v>63</v>
      </c>
      <c r="K67">
        <v>63</v>
      </c>
      <c r="L67" t="s">
        <v>519</v>
      </c>
      <c r="M67" s="4">
        <v>10000</v>
      </c>
      <c r="P67" s="2">
        <v>45719</v>
      </c>
      <c r="R67">
        <v>60</v>
      </c>
      <c r="S67" s="4">
        <v>600000</v>
      </c>
      <c r="T67" t="s">
        <v>65</v>
      </c>
      <c r="U67" t="s">
        <v>587</v>
      </c>
      <c r="V67">
        <v>0</v>
      </c>
      <c r="W67" s="4">
        <v>600000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588</v>
      </c>
      <c r="AN67" t="s">
        <v>175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592</v>
      </c>
      <c r="BA67">
        <v>0</v>
      </c>
      <c r="BC67" t="s">
        <v>175</v>
      </c>
      <c r="BF67" t="s">
        <v>593</v>
      </c>
    </row>
    <row r="68" spans="1:58" x14ac:dyDescent="0.35">
      <c r="A68" t="s">
        <v>594</v>
      </c>
      <c r="B68">
        <v>10000</v>
      </c>
      <c r="C68">
        <v>10000</v>
      </c>
      <c r="D68" s="2">
        <v>45720</v>
      </c>
      <c r="E68" t="s">
        <v>61</v>
      </c>
      <c r="F68" t="s">
        <v>595</v>
      </c>
      <c r="G68" t="s">
        <v>596</v>
      </c>
      <c r="I68">
        <v>1</v>
      </c>
      <c r="J68" t="s">
        <v>63</v>
      </c>
      <c r="K68">
        <v>95</v>
      </c>
      <c r="L68" t="s">
        <v>597</v>
      </c>
      <c r="M68" s="4">
        <v>36286</v>
      </c>
      <c r="P68" s="2">
        <v>45719</v>
      </c>
      <c r="R68">
        <v>7</v>
      </c>
      <c r="S68" s="4">
        <v>254002</v>
      </c>
      <c r="T68" t="s">
        <v>65</v>
      </c>
      <c r="U68">
        <v>86.915900010000001</v>
      </c>
      <c r="V68">
        <v>0</v>
      </c>
      <c r="W68" s="4">
        <v>259500</v>
      </c>
      <c r="X68" s="4">
        <v>-5498</v>
      </c>
      <c r="Y68">
        <v>0</v>
      </c>
      <c r="Z68">
        <v>0</v>
      </c>
      <c r="AA68">
        <v>0</v>
      </c>
      <c r="AD68">
        <v>0</v>
      </c>
      <c r="AM68">
        <v>86.915899999999993</v>
      </c>
      <c r="AN68" t="s">
        <v>449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598</v>
      </c>
      <c r="BA68">
        <v>0</v>
      </c>
      <c r="BC68" t="s">
        <v>449</v>
      </c>
      <c r="BF68" t="s">
        <v>599</v>
      </c>
    </row>
    <row r="69" spans="1:58" hidden="1" x14ac:dyDescent="0.35">
      <c r="A69" t="s">
        <v>600</v>
      </c>
      <c r="B69">
        <v>10000</v>
      </c>
      <c r="C69">
        <v>20000</v>
      </c>
      <c r="D69" s="2">
        <v>45719</v>
      </c>
      <c r="E69" t="s">
        <v>61</v>
      </c>
      <c r="F69" t="s">
        <v>601</v>
      </c>
      <c r="G69" t="s">
        <v>580</v>
      </c>
      <c r="I69">
        <v>2</v>
      </c>
      <c r="J69" t="s">
        <v>63</v>
      </c>
      <c r="K69">
        <v>82</v>
      </c>
      <c r="L69" t="s">
        <v>341</v>
      </c>
      <c r="M69">
        <v>429</v>
      </c>
      <c r="P69" s="2">
        <v>45719</v>
      </c>
      <c r="R69">
        <v>56</v>
      </c>
      <c r="S69" s="4">
        <v>24024</v>
      </c>
      <c r="T69" t="s">
        <v>65</v>
      </c>
      <c r="U69" t="s">
        <v>581</v>
      </c>
      <c r="V69">
        <v>0</v>
      </c>
      <c r="W69" s="4">
        <v>10000</v>
      </c>
      <c r="X69" s="4">
        <v>14024</v>
      </c>
      <c r="Y69">
        <v>0</v>
      </c>
      <c r="Z69">
        <v>0</v>
      </c>
      <c r="AA69">
        <v>0</v>
      </c>
      <c r="AD69">
        <v>0</v>
      </c>
      <c r="AM69" t="s">
        <v>582</v>
      </c>
      <c r="AN69" t="s">
        <v>449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602</v>
      </c>
      <c r="BA69">
        <v>0</v>
      </c>
      <c r="BC69" t="s">
        <v>449</v>
      </c>
      <c r="BF69" t="s">
        <v>603</v>
      </c>
    </row>
    <row r="70" spans="1:58" hidden="1" x14ac:dyDescent="0.35">
      <c r="A70" t="s">
        <v>604</v>
      </c>
      <c r="B70">
        <v>10000</v>
      </c>
      <c r="C70">
        <v>20000</v>
      </c>
      <c r="D70" s="2">
        <v>45719</v>
      </c>
      <c r="E70" t="s">
        <v>61</v>
      </c>
      <c r="F70" t="s">
        <v>605</v>
      </c>
      <c r="G70" t="s">
        <v>580</v>
      </c>
      <c r="I70">
        <v>2</v>
      </c>
      <c r="J70" t="s">
        <v>63</v>
      </c>
      <c r="K70">
        <v>82</v>
      </c>
      <c r="L70" t="s">
        <v>341</v>
      </c>
      <c r="M70" s="4">
        <v>1000</v>
      </c>
      <c r="P70" s="2">
        <v>45719</v>
      </c>
      <c r="R70">
        <v>56</v>
      </c>
      <c r="S70" s="4">
        <v>56000</v>
      </c>
      <c r="T70" t="s">
        <v>65</v>
      </c>
      <c r="U70" t="s">
        <v>581</v>
      </c>
      <c r="V70">
        <v>0</v>
      </c>
      <c r="W70" s="4">
        <v>50000</v>
      </c>
      <c r="X70" s="4">
        <v>6000</v>
      </c>
      <c r="Y70">
        <v>0</v>
      </c>
      <c r="Z70">
        <v>0</v>
      </c>
      <c r="AA70">
        <v>0</v>
      </c>
      <c r="AD70">
        <v>0</v>
      </c>
      <c r="AM70" t="s">
        <v>582</v>
      </c>
      <c r="AN70" t="s">
        <v>606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607</v>
      </c>
      <c r="BA70">
        <v>0</v>
      </c>
      <c r="BC70" t="s">
        <v>606</v>
      </c>
      <c r="BF70" t="s">
        <v>608</v>
      </c>
    </row>
    <row r="71" spans="1:58" x14ac:dyDescent="0.35">
      <c r="A71" t="s">
        <v>609</v>
      </c>
      <c r="B71">
        <v>10000</v>
      </c>
      <c r="C71">
        <v>10000</v>
      </c>
      <c r="D71" s="2">
        <v>45730</v>
      </c>
      <c r="E71" t="s">
        <v>61</v>
      </c>
      <c r="F71" t="s">
        <v>610</v>
      </c>
      <c r="G71">
        <v>10639931002</v>
      </c>
      <c r="I71">
        <v>1</v>
      </c>
      <c r="J71" t="s">
        <v>63</v>
      </c>
      <c r="K71">
        <v>79</v>
      </c>
      <c r="L71" t="s">
        <v>573</v>
      </c>
      <c r="M71" s="4">
        <v>1714</v>
      </c>
      <c r="P71" s="2">
        <v>45719</v>
      </c>
      <c r="R71">
        <v>176</v>
      </c>
      <c r="S71" s="4">
        <v>301664</v>
      </c>
      <c r="T71" t="s">
        <v>65</v>
      </c>
      <c r="U71" t="s">
        <v>611</v>
      </c>
      <c r="V71">
        <v>0</v>
      </c>
      <c r="W71" s="4">
        <v>260000</v>
      </c>
      <c r="X71" s="4">
        <v>41664</v>
      </c>
      <c r="Y71">
        <v>0</v>
      </c>
      <c r="Z71">
        <v>0</v>
      </c>
      <c r="AA71">
        <v>0</v>
      </c>
      <c r="AD71">
        <v>0</v>
      </c>
      <c r="AM71" t="s">
        <v>612</v>
      </c>
      <c r="AN71" t="s">
        <v>107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613</v>
      </c>
      <c r="BA71">
        <v>0</v>
      </c>
      <c r="BC71" t="s">
        <v>107</v>
      </c>
      <c r="BF71" t="s">
        <v>614</v>
      </c>
    </row>
    <row r="72" spans="1:58" x14ac:dyDescent="0.35">
      <c r="A72" t="s">
        <v>615</v>
      </c>
      <c r="B72">
        <v>10000</v>
      </c>
      <c r="C72">
        <v>10000</v>
      </c>
      <c r="D72" s="2">
        <v>45720</v>
      </c>
      <c r="E72" t="s">
        <v>61</v>
      </c>
      <c r="F72" t="s">
        <v>616</v>
      </c>
      <c r="G72" t="s">
        <v>617</v>
      </c>
      <c r="I72">
        <v>1</v>
      </c>
      <c r="J72" t="s">
        <v>63</v>
      </c>
      <c r="K72">
        <v>61</v>
      </c>
      <c r="L72" t="s">
        <v>216</v>
      </c>
      <c r="M72">
        <v>100</v>
      </c>
      <c r="P72" s="2">
        <v>45719</v>
      </c>
      <c r="R72">
        <v>2</v>
      </c>
      <c r="S72">
        <v>200</v>
      </c>
      <c r="T72" t="s">
        <v>65</v>
      </c>
      <c r="U72" t="s">
        <v>618</v>
      </c>
      <c r="V72">
        <v>0</v>
      </c>
      <c r="W72">
        <v>200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619</v>
      </c>
      <c r="AN72" t="s">
        <v>508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620</v>
      </c>
      <c r="BA72">
        <v>0</v>
      </c>
      <c r="BC72" t="s">
        <v>508</v>
      </c>
      <c r="BF72" t="s">
        <v>621</v>
      </c>
    </row>
    <row r="73" spans="1:58" x14ac:dyDescent="0.35">
      <c r="A73" t="s">
        <v>622</v>
      </c>
      <c r="B73">
        <v>10000</v>
      </c>
      <c r="C73">
        <v>10000</v>
      </c>
      <c r="D73" s="2">
        <v>45737</v>
      </c>
      <c r="E73" t="s">
        <v>61</v>
      </c>
      <c r="F73" s="3">
        <v>0.48247685185185185</v>
      </c>
      <c r="G73">
        <v>10639931001</v>
      </c>
      <c r="I73">
        <v>1</v>
      </c>
      <c r="J73" t="s">
        <v>63</v>
      </c>
      <c r="K73">
        <v>79</v>
      </c>
      <c r="L73" t="s">
        <v>573</v>
      </c>
      <c r="M73">
        <v>228</v>
      </c>
      <c r="P73" s="2">
        <v>45719</v>
      </c>
      <c r="R73">
        <v>308</v>
      </c>
      <c r="S73" s="4">
        <v>70224</v>
      </c>
      <c r="T73" t="s">
        <v>65</v>
      </c>
      <c r="U73" t="s">
        <v>623</v>
      </c>
      <c r="V73">
        <v>0</v>
      </c>
      <c r="W73" s="4">
        <v>50000</v>
      </c>
      <c r="X73" s="4">
        <v>20224</v>
      </c>
      <c r="Y73">
        <v>0</v>
      </c>
      <c r="Z73">
        <v>0</v>
      </c>
      <c r="AA73">
        <v>0</v>
      </c>
      <c r="AD73">
        <v>0</v>
      </c>
      <c r="AM73" t="s">
        <v>624</v>
      </c>
      <c r="AN73" t="s">
        <v>107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625</v>
      </c>
      <c r="BA73">
        <v>0</v>
      </c>
      <c r="BC73" t="s">
        <v>107</v>
      </c>
      <c r="BF73" t="s">
        <v>626</v>
      </c>
    </row>
    <row r="74" spans="1:58" x14ac:dyDescent="0.35">
      <c r="A74" t="s">
        <v>627</v>
      </c>
      <c r="B74">
        <v>10000</v>
      </c>
      <c r="C74">
        <v>10000</v>
      </c>
      <c r="D74" s="2">
        <v>45721</v>
      </c>
      <c r="E74" t="s">
        <v>61</v>
      </c>
      <c r="F74" t="s">
        <v>628</v>
      </c>
      <c r="G74" t="s">
        <v>629</v>
      </c>
      <c r="I74">
        <v>1</v>
      </c>
      <c r="J74" t="s">
        <v>63</v>
      </c>
      <c r="K74">
        <v>88</v>
      </c>
      <c r="L74" t="s">
        <v>630</v>
      </c>
      <c r="M74" s="4">
        <v>2500</v>
      </c>
      <c r="P74" s="2">
        <v>45719</v>
      </c>
      <c r="R74">
        <v>1</v>
      </c>
      <c r="S74" s="4">
        <v>2500</v>
      </c>
      <c r="T74" t="s">
        <v>65</v>
      </c>
      <c r="U74" t="s">
        <v>631</v>
      </c>
      <c r="V74">
        <v>0</v>
      </c>
      <c r="W74" s="4">
        <v>2500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632</v>
      </c>
      <c r="AN74" t="s">
        <v>633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634</v>
      </c>
      <c r="BA74">
        <v>0</v>
      </c>
      <c r="BC74" t="s">
        <v>633</v>
      </c>
      <c r="BF74" t="s">
        <v>635</v>
      </c>
    </row>
    <row r="75" spans="1:58" x14ac:dyDescent="0.35">
      <c r="A75" t="s">
        <v>636</v>
      </c>
      <c r="B75">
        <v>10000</v>
      </c>
      <c r="C75">
        <v>10000</v>
      </c>
      <c r="D75" s="2">
        <v>45721</v>
      </c>
      <c r="E75" t="s">
        <v>61</v>
      </c>
      <c r="F75" t="s">
        <v>637</v>
      </c>
      <c r="G75" t="s">
        <v>638</v>
      </c>
      <c r="I75">
        <v>1</v>
      </c>
      <c r="J75" t="s">
        <v>63</v>
      </c>
      <c r="K75">
        <v>88</v>
      </c>
      <c r="L75" t="s">
        <v>630</v>
      </c>
      <c r="M75" s="4">
        <v>3000</v>
      </c>
      <c r="P75" s="2">
        <v>45719</v>
      </c>
      <c r="R75">
        <v>1</v>
      </c>
      <c r="S75" s="4">
        <v>3000</v>
      </c>
      <c r="T75" t="s">
        <v>65</v>
      </c>
      <c r="U75" t="s">
        <v>639</v>
      </c>
      <c r="V75">
        <v>0</v>
      </c>
      <c r="W75" s="4">
        <v>2500</v>
      </c>
      <c r="X75">
        <v>500</v>
      </c>
      <c r="Y75">
        <v>0</v>
      </c>
      <c r="Z75">
        <v>0</v>
      </c>
      <c r="AA75">
        <v>0</v>
      </c>
      <c r="AD75">
        <v>0</v>
      </c>
      <c r="AM75" t="s">
        <v>640</v>
      </c>
      <c r="AN75" t="s">
        <v>633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641</v>
      </c>
      <c r="BA75">
        <v>0</v>
      </c>
      <c r="BC75" t="s">
        <v>633</v>
      </c>
      <c r="BF75" t="s">
        <v>635</v>
      </c>
    </row>
    <row r="76" spans="1:58" x14ac:dyDescent="0.35">
      <c r="A76" t="s">
        <v>642</v>
      </c>
      <c r="B76">
        <v>10000</v>
      </c>
      <c r="C76">
        <v>10000</v>
      </c>
      <c r="D76" s="2">
        <v>45721</v>
      </c>
      <c r="E76" t="s">
        <v>61</v>
      </c>
      <c r="F76" t="s">
        <v>643</v>
      </c>
      <c r="G76" t="s">
        <v>629</v>
      </c>
      <c r="I76">
        <v>1</v>
      </c>
      <c r="J76" t="s">
        <v>63</v>
      </c>
      <c r="K76">
        <v>88</v>
      </c>
      <c r="L76" t="s">
        <v>630</v>
      </c>
      <c r="M76">
        <v>500</v>
      </c>
      <c r="P76" s="2">
        <v>45719</v>
      </c>
      <c r="R76">
        <v>1</v>
      </c>
      <c r="S76">
        <v>500</v>
      </c>
      <c r="T76" t="s">
        <v>65</v>
      </c>
      <c r="U76" t="s">
        <v>631</v>
      </c>
      <c r="V76">
        <v>0</v>
      </c>
      <c r="W76">
        <v>500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632</v>
      </c>
      <c r="AN76" t="s">
        <v>633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644</v>
      </c>
      <c r="BA76">
        <v>0</v>
      </c>
      <c r="BC76" t="s">
        <v>633</v>
      </c>
      <c r="BF76" t="s">
        <v>645</v>
      </c>
    </row>
    <row r="77" spans="1:58" x14ac:dyDescent="0.35">
      <c r="A77" t="s">
        <v>646</v>
      </c>
      <c r="B77">
        <v>10000</v>
      </c>
      <c r="C77">
        <v>10000</v>
      </c>
      <c r="D77" s="2">
        <v>45720</v>
      </c>
      <c r="E77" t="s">
        <v>61</v>
      </c>
      <c r="F77" t="s">
        <v>647</v>
      </c>
      <c r="G77" t="s">
        <v>648</v>
      </c>
      <c r="I77">
        <v>1</v>
      </c>
      <c r="J77" t="s">
        <v>63</v>
      </c>
      <c r="K77">
        <v>93</v>
      </c>
      <c r="L77" t="s">
        <v>163</v>
      </c>
      <c r="M77">
        <v>100</v>
      </c>
      <c r="P77" s="2">
        <v>45719</v>
      </c>
      <c r="R77">
        <v>49</v>
      </c>
      <c r="S77" s="4">
        <v>4900</v>
      </c>
      <c r="T77" t="s">
        <v>65</v>
      </c>
      <c r="U77">
        <v>200715740001</v>
      </c>
      <c r="V77">
        <v>0</v>
      </c>
      <c r="W77" s="4">
        <v>3000</v>
      </c>
      <c r="X77" s="4">
        <v>1900</v>
      </c>
      <c r="Y77">
        <v>0</v>
      </c>
      <c r="Z77">
        <v>0</v>
      </c>
      <c r="AA77">
        <v>0</v>
      </c>
      <c r="AD77">
        <v>0</v>
      </c>
      <c r="AM77">
        <v>20071574</v>
      </c>
      <c r="AN77" t="s">
        <v>182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649</v>
      </c>
      <c r="BA77">
        <v>0</v>
      </c>
      <c r="BC77" t="s">
        <v>182</v>
      </c>
      <c r="BF77" t="s">
        <v>650</v>
      </c>
    </row>
    <row r="78" spans="1:58" x14ac:dyDescent="0.35">
      <c r="A78" t="s">
        <v>651</v>
      </c>
      <c r="B78">
        <v>10000</v>
      </c>
      <c r="C78">
        <v>10000</v>
      </c>
      <c r="D78" s="2">
        <v>45720</v>
      </c>
      <c r="E78" t="s">
        <v>61</v>
      </c>
      <c r="F78" t="s">
        <v>652</v>
      </c>
      <c r="G78" t="s">
        <v>648</v>
      </c>
      <c r="I78">
        <v>1</v>
      </c>
      <c r="J78" t="s">
        <v>63</v>
      </c>
      <c r="K78">
        <v>93</v>
      </c>
      <c r="L78" t="s">
        <v>163</v>
      </c>
      <c r="M78">
        <v>124</v>
      </c>
      <c r="P78" s="2">
        <v>45719</v>
      </c>
      <c r="R78">
        <v>49</v>
      </c>
      <c r="S78" s="4">
        <v>6085</v>
      </c>
      <c r="T78" t="s">
        <v>65</v>
      </c>
      <c r="U78">
        <v>200715740001</v>
      </c>
      <c r="V78">
        <v>0</v>
      </c>
      <c r="W78" s="4">
        <v>13000</v>
      </c>
      <c r="X78" s="4">
        <v>-6915</v>
      </c>
      <c r="Y78">
        <v>0</v>
      </c>
      <c r="Z78">
        <v>0</v>
      </c>
      <c r="AA78">
        <v>0</v>
      </c>
      <c r="AD78">
        <v>0</v>
      </c>
      <c r="AM78">
        <v>20071574</v>
      </c>
      <c r="AN78" t="s">
        <v>182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653</v>
      </c>
      <c r="BA78">
        <v>0</v>
      </c>
      <c r="BC78" t="s">
        <v>182</v>
      </c>
      <c r="BF78" t="s">
        <v>654</v>
      </c>
    </row>
    <row r="79" spans="1:58" x14ac:dyDescent="0.35">
      <c r="A79" t="s">
        <v>651</v>
      </c>
      <c r="B79">
        <v>20000</v>
      </c>
      <c r="C79">
        <v>10000</v>
      </c>
      <c r="D79" s="2">
        <v>45720</v>
      </c>
      <c r="E79" t="s">
        <v>61</v>
      </c>
      <c r="F79" t="s">
        <v>652</v>
      </c>
      <c r="G79" t="s">
        <v>648</v>
      </c>
      <c r="I79">
        <v>1</v>
      </c>
      <c r="J79" t="s">
        <v>63</v>
      </c>
      <c r="K79">
        <v>93</v>
      </c>
      <c r="L79" t="s">
        <v>163</v>
      </c>
      <c r="M79">
        <v>41</v>
      </c>
      <c r="P79" s="2">
        <v>45719</v>
      </c>
      <c r="R79">
        <v>49</v>
      </c>
      <c r="S79" s="4">
        <v>2000</v>
      </c>
      <c r="T79" t="s">
        <v>65</v>
      </c>
      <c r="U79">
        <v>200715740001</v>
      </c>
      <c r="V79">
        <v>0</v>
      </c>
      <c r="W79" s="4">
        <v>2000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20071574</v>
      </c>
      <c r="AN79" t="s">
        <v>182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653</v>
      </c>
      <c r="BA79">
        <v>0</v>
      </c>
      <c r="BC79" t="s">
        <v>182</v>
      </c>
      <c r="BF79" t="s">
        <v>654</v>
      </c>
    </row>
    <row r="80" spans="1:58" x14ac:dyDescent="0.35">
      <c r="A80" t="s">
        <v>655</v>
      </c>
      <c r="B80">
        <v>10000</v>
      </c>
      <c r="C80">
        <v>10000</v>
      </c>
      <c r="D80" s="2">
        <v>45720</v>
      </c>
      <c r="E80" t="s">
        <v>61</v>
      </c>
      <c r="F80" t="s">
        <v>656</v>
      </c>
      <c r="G80" t="s">
        <v>657</v>
      </c>
      <c r="I80">
        <v>1</v>
      </c>
      <c r="J80" t="s">
        <v>63</v>
      </c>
      <c r="K80">
        <v>87</v>
      </c>
      <c r="L80" t="s">
        <v>658</v>
      </c>
      <c r="M80">
        <v>100</v>
      </c>
      <c r="P80" s="2">
        <v>45719</v>
      </c>
      <c r="R80">
        <v>2</v>
      </c>
      <c r="S80">
        <v>200</v>
      </c>
      <c r="T80" t="s">
        <v>65</v>
      </c>
      <c r="U80" t="s">
        <v>659</v>
      </c>
      <c r="V80">
        <v>0</v>
      </c>
      <c r="W80">
        <v>200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660</v>
      </c>
      <c r="AN80" t="s">
        <v>661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662</v>
      </c>
      <c r="BA80">
        <v>0</v>
      </c>
      <c r="BC80" t="s">
        <v>661</v>
      </c>
      <c r="BF80" t="s">
        <v>663</v>
      </c>
    </row>
    <row r="81" spans="1:58" x14ac:dyDescent="0.35">
      <c r="A81" t="s">
        <v>664</v>
      </c>
      <c r="B81">
        <v>10000</v>
      </c>
      <c r="C81">
        <v>10000</v>
      </c>
      <c r="D81" s="2">
        <v>45734</v>
      </c>
      <c r="E81" t="s">
        <v>61</v>
      </c>
      <c r="F81" t="s">
        <v>665</v>
      </c>
      <c r="G81">
        <v>10639931060</v>
      </c>
      <c r="I81">
        <v>1</v>
      </c>
      <c r="J81" t="s">
        <v>63</v>
      </c>
      <c r="K81">
        <v>79</v>
      </c>
      <c r="L81" t="s">
        <v>573</v>
      </c>
      <c r="M81">
        <v>133</v>
      </c>
      <c r="P81" s="2">
        <v>45719</v>
      </c>
      <c r="R81">
        <v>264</v>
      </c>
      <c r="S81" s="4">
        <v>35112</v>
      </c>
      <c r="T81" t="s">
        <v>65</v>
      </c>
      <c r="U81" t="s">
        <v>666</v>
      </c>
      <c r="V81">
        <v>0</v>
      </c>
      <c r="W81" s="4">
        <v>20000</v>
      </c>
      <c r="X81" s="4">
        <v>15112</v>
      </c>
      <c r="Y81">
        <v>0</v>
      </c>
      <c r="Z81">
        <v>0</v>
      </c>
      <c r="AA81">
        <v>0</v>
      </c>
      <c r="AD81">
        <v>0</v>
      </c>
      <c r="AM81" t="s">
        <v>667</v>
      </c>
      <c r="AN81" t="s">
        <v>107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668</v>
      </c>
      <c r="BA81">
        <v>0</v>
      </c>
      <c r="BC81" t="s">
        <v>107</v>
      </c>
      <c r="BF81" t="s">
        <v>669</v>
      </c>
    </row>
    <row r="82" spans="1:58" x14ac:dyDescent="0.35">
      <c r="A82" t="s">
        <v>670</v>
      </c>
      <c r="B82">
        <v>10000</v>
      </c>
      <c r="C82">
        <v>10000</v>
      </c>
      <c r="D82" s="2">
        <v>45729</v>
      </c>
      <c r="E82" t="s">
        <v>61</v>
      </c>
      <c r="F82" t="s">
        <v>671</v>
      </c>
      <c r="G82">
        <v>10639931060</v>
      </c>
      <c r="I82">
        <v>1</v>
      </c>
      <c r="J82" t="s">
        <v>63</v>
      </c>
      <c r="K82">
        <v>79</v>
      </c>
      <c r="L82" t="s">
        <v>573</v>
      </c>
      <c r="M82">
        <v>304</v>
      </c>
      <c r="P82" s="2">
        <v>45719</v>
      </c>
      <c r="R82">
        <v>264</v>
      </c>
      <c r="S82" s="4">
        <v>80256</v>
      </c>
      <c r="T82" t="s">
        <v>65</v>
      </c>
      <c r="U82" t="s">
        <v>672</v>
      </c>
      <c r="V82">
        <v>0</v>
      </c>
      <c r="W82" s="4">
        <v>50000</v>
      </c>
      <c r="X82" s="4">
        <v>30256</v>
      </c>
      <c r="Y82">
        <v>0</v>
      </c>
      <c r="Z82">
        <v>0</v>
      </c>
      <c r="AA82">
        <v>0</v>
      </c>
      <c r="AD82">
        <v>0</v>
      </c>
      <c r="AM82" t="s">
        <v>673</v>
      </c>
      <c r="AN82" t="s">
        <v>107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674</v>
      </c>
      <c r="BA82">
        <v>0</v>
      </c>
      <c r="BC82" t="s">
        <v>107</v>
      </c>
      <c r="BF82" t="s">
        <v>675</v>
      </c>
    </row>
    <row r="83" spans="1:58" x14ac:dyDescent="0.35">
      <c r="A83" t="s">
        <v>676</v>
      </c>
      <c r="B83">
        <v>10000</v>
      </c>
      <c r="C83">
        <v>10000</v>
      </c>
      <c r="D83" s="2">
        <v>45729</v>
      </c>
      <c r="E83" t="s">
        <v>61</v>
      </c>
      <c r="F83" t="s">
        <v>677</v>
      </c>
      <c r="G83">
        <v>10639931060</v>
      </c>
      <c r="I83">
        <v>1</v>
      </c>
      <c r="J83" t="s">
        <v>63</v>
      </c>
      <c r="K83">
        <v>79</v>
      </c>
      <c r="L83" t="s">
        <v>573</v>
      </c>
      <c r="M83">
        <v>171</v>
      </c>
      <c r="P83" s="2">
        <v>45719</v>
      </c>
      <c r="R83">
        <v>176</v>
      </c>
      <c r="S83" s="4">
        <v>30096</v>
      </c>
      <c r="T83" t="s">
        <v>65</v>
      </c>
      <c r="U83" t="s">
        <v>678</v>
      </c>
      <c r="V83">
        <v>0</v>
      </c>
      <c r="W83" s="4">
        <v>20000</v>
      </c>
      <c r="X83" s="4">
        <v>10096</v>
      </c>
      <c r="Y83">
        <v>0</v>
      </c>
      <c r="Z83">
        <v>0</v>
      </c>
      <c r="AA83">
        <v>0</v>
      </c>
      <c r="AD83">
        <v>0</v>
      </c>
      <c r="AM83" t="s">
        <v>679</v>
      </c>
      <c r="AN83" t="s">
        <v>107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680</v>
      </c>
      <c r="BA83">
        <v>0</v>
      </c>
      <c r="BC83" t="s">
        <v>107</v>
      </c>
      <c r="BF83" t="s">
        <v>681</v>
      </c>
    </row>
    <row r="84" spans="1:58" x14ac:dyDescent="0.35">
      <c r="A84" t="s">
        <v>682</v>
      </c>
      <c r="B84">
        <v>10000</v>
      </c>
      <c r="C84">
        <v>10000</v>
      </c>
      <c r="D84" s="2">
        <v>45729</v>
      </c>
      <c r="E84" t="s">
        <v>61</v>
      </c>
      <c r="F84" t="s">
        <v>683</v>
      </c>
      <c r="G84">
        <v>10639931060</v>
      </c>
      <c r="I84">
        <v>1</v>
      </c>
      <c r="J84" t="s">
        <v>63</v>
      </c>
      <c r="K84">
        <v>79</v>
      </c>
      <c r="L84" t="s">
        <v>573</v>
      </c>
      <c r="M84">
        <v>133</v>
      </c>
      <c r="P84" s="2">
        <v>45719</v>
      </c>
      <c r="R84">
        <v>264</v>
      </c>
      <c r="S84" s="4">
        <v>35112</v>
      </c>
      <c r="T84" t="s">
        <v>65</v>
      </c>
      <c r="U84" t="s">
        <v>684</v>
      </c>
      <c r="V84">
        <v>0</v>
      </c>
      <c r="W84" s="4">
        <v>20000</v>
      </c>
      <c r="X84" s="4">
        <v>15112</v>
      </c>
      <c r="Y84">
        <v>0</v>
      </c>
      <c r="Z84">
        <v>0</v>
      </c>
      <c r="AA84">
        <v>0</v>
      </c>
      <c r="AD84">
        <v>0</v>
      </c>
      <c r="AM84" t="s">
        <v>685</v>
      </c>
      <c r="AN84" t="s">
        <v>107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686</v>
      </c>
      <c r="BA84">
        <v>0</v>
      </c>
      <c r="BC84" t="s">
        <v>107</v>
      </c>
      <c r="BF84" t="s">
        <v>687</v>
      </c>
    </row>
    <row r="85" spans="1:58" x14ac:dyDescent="0.35">
      <c r="A85" t="s">
        <v>688</v>
      </c>
      <c r="B85">
        <v>10000</v>
      </c>
      <c r="C85">
        <v>10000</v>
      </c>
      <c r="D85" s="2">
        <v>45729</v>
      </c>
      <c r="E85" t="s">
        <v>61</v>
      </c>
      <c r="F85" t="s">
        <v>689</v>
      </c>
      <c r="G85">
        <v>10639931060</v>
      </c>
      <c r="I85">
        <v>1</v>
      </c>
      <c r="J85" t="s">
        <v>63</v>
      </c>
      <c r="K85">
        <v>79</v>
      </c>
      <c r="L85" t="s">
        <v>573</v>
      </c>
      <c r="M85">
        <v>133</v>
      </c>
      <c r="P85" s="2">
        <v>45719</v>
      </c>
      <c r="R85">
        <v>264</v>
      </c>
      <c r="S85" s="4">
        <v>35112</v>
      </c>
      <c r="T85" t="s">
        <v>65</v>
      </c>
      <c r="U85" t="s">
        <v>690</v>
      </c>
      <c r="V85">
        <v>0</v>
      </c>
      <c r="W85" s="4">
        <v>20000</v>
      </c>
      <c r="X85" s="4">
        <v>15112</v>
      </c>
      <c r="Y85">
        <v>0</v>
      </c>
      <c r="Z85">
        <v>0</v>
      </c>
      <c r="AA85">
        <v>0</v>
      </c>
      <c r="AD85">
        <v>0</v>
      </c>
      <c r="AM85" t="s">
        <v>691</v>
      </c>
      <c r="AN85" t="s">
        <v>107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692</v>
      </c>
      <c r="BA85">
        <v>0</v>
      </c>
      <c r="BC85" t="s">
        <v>107</v>
      </c>
      <c r="BF85" t="s">
        <v>693</v>
      </c>
    </row>
    <row r="86" spans="1:58" x14ac:dyDescent="0.35">
      <c r="A86" t="s">
        <v>694</v>
      </c>
      <c r="B86">
        <v>10000</v>
      </c>
      <c r="C86">
        <v>10000</v>
      </c>
      <c r="D86" s="2">
        <v>45719</v>
      </c>
      <c r="E86" t="s">
        <v>61</v>
      </c>
      <c r="F86" t="s">
        <v>247</v>
      </c>
      <c r="G86" t="s">
        <v>695</v>
      </c>
      <c r="I86">
        <v>1</v>
      </c>
      <c r="J86" t="s">
        <v>63</v>
      </c>
      <c r="K86">
        <v>82</v>
      </c>
      <c r="L86" t="s">
        <v>341</v>
      </c>
      <c r="M86">
        <v>560</v>
      </c>
      <c r="P86" s="2">
        <v>45719</v>
      </c>
      <c r="R86">
        <v>44</v>
      </c>
      <c r="S86" s="4">
        <v>24640</v>
      </c>
      <c r="T86" t="s">
        <v>65</v>
      </c>
      <c r="U86">
        <v>111699440001</v>
      </c>
      <c r="V86">
        <v>0</v>
      </c>
      <c r="W86" s="4">
        <v>24640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11169944</v>
      </c>
      <c r="AN86" t="s">
        <v>182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696</v>
      </c>
      <c r="BA86">
        <v>0</v>
      </c>
      <c r="BC86" t="s">
        <v>182</v>
      </c>
      <c r="BF86" t="s">
        <v>697</v>
      </c>
    </row>
    <row r="87" spans="1:58" x14ac:dyDescent="0.35">
      <c r="A87" t="s">
        <v>698</v>
      </c>
      <c r="B87">
        <v>10000</v>
      </c>
      <c r="C87">
        <v>10000</v>
      </c>
      <c r="D87" s="2">
        <v>45719</v>
      </c>
      <c r="E87" t="s">
        <v>61</v>
      </c>
      <c r="F87" t="s">
        <v>354</v>
      </c>
      <c r="G87" t="s">
        <v>699</v>
      </c>
      <c r="I87">
        <v>1</v>
      </c>
      <c r="J87" t="s">
        <v>63</v>
      </c>
      <c r="K87">
        <v>82</v>
      </c>
      <c r="L87" t="s">
        <v>341</v>
      </c>
      <c r="M87">
        <v>385</v>
      </c>
      <c r="P87" s="2">
        <v>45719</v>
      </c>
      <c r="R87">
        <v>26</v>
      </c>
      <c r="S87" s="4">
        <v>10020</v>
      </c>
      <c r="T87" t="s">
        <v>65</v>
      </c>
      <c r="U87">
        <v>112023880001</v>
      </c>
      <c r="V87">
        <v>0</v>
      </c>
      <c r="W87" s="4">
        <v>10000</v>
      </c>
      <c r="X87">
        <v>20</v>
      </c>
      <c r="Y87">
        <v>0</v>
      </c>
      <c r="Z87">
        <v>0</v>
      </c>
      <c r="AA87">
        <v>0</v>
      </c>
      <c r="AD87">
        <v>0</v>
      </c>
      <c r="AM87">
        <v>11202388</v>
      </c>
      <c r="AN87" t="s">
        <v>182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700</v>
      </c>
      <c r="BA87">
        <v>0</v>
      </c>
      <c r="BC87" t="s">
        <v>182</v>
      </c>
      <c r="BF87" t="s">
        <v>701</v>
      </c>
    </row>
    <row r="88" spans="1:58" x14ac:dyDescent="0.35">
      <c r="A88" t="s">
        <v>698</v>
      </c>
      <c r="B88">
        <v>20000</v>
      </c>
      <c r="C88">
        <v>10000</v>
      </c>
      <c r="D88" s="2">
        <v>45719</v>
      </c>
      <c r="E88" t="s">
        <v>61</v>
      </c>
      <c r="F88" t="s">
        <v>354</v>
      </c>
      <c r="G88" t="s">
        <v>699</v>
      </c>
      <c r="I88">
        <v>1</v>
      </c>
      <c r="J88" t="s">
        <v>63</v>
      </c>
      <c r="K88">
        <v>82</v>
      </c>
      <c r="L88" t="s">
        <v>341</v>
      </c>
      <c r="M88">
        <v>385</v>
      </c>
      <c r="P88" s="2">
        <v>45719</v>
      </c>
      <c r="R88">
        <v>26</v>
      </c>
      <c r="S88" s="4">
        <v>10000</v>
      </c>
      <c r="T88" t="s">
        <v>65</v>
      </c>
      <c r="U88">
        <v>112023880001</v>
      </c>
      <c r="V88">
        <v>0</v>
      </c>
      <c r="W88" s="4">
        <v>10000</v>
      </c>
      <c r="X88">
        <v>0</v>
      </c>
      <c r="Y88">
        <v>0</v>
      </c>
      <c r="Z88">
        <v>0</v>
      </c>
      <c r="AA88">
        <v>0</v>
      </c>
      <c r="AD88">
        <v>0</v>
      </c>
      <c r="AM88">
        <v>11202388</v>
      </c>
      <c r="AN88" t="s">
        <v>182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700</v>
      </c>
      <c r="BA88">
        <v>0</v>
      </c>
      <c r="BC88" t="s">
        <v>182</v>
      </c>
      <c r="BF88" t="s">
        <v>701</v>
      </c>
    </row>
    <row r="89" spans="1:58" x14ac:dyDescent="0.35">
      <c r="A89" t="s">
        <v>702</v>
      </c>
      <c r="B89">
        <v>10000</v>
      </c>
      <c r="C89">
        <v>10000</v>
      </c>
      <c r="D89" s="2">
        <v>45720</v>
      </c>
      <c r="E89" t="s">
        <v>61</v>
      </c>
      <c r="F89" t="s">
        <v>703</v>
      </c>
      <c r="G89" t="s">
        <v>648</v>
      </c>
      <c r="I89">
        <v>1</v>
      </c>
      <c r="J89" t="s">
        <v>63</v>
      </c>
      <c r="K89">
        <v>93</v>
      </c>
      <c r="L89" t="s">
        <v>163</v>
      </c>
      <c r="M89">
        <v>50</v>
      </c>
      <c r="P89" s="2">
        <v>45719</v>
      </c>
      <c r="R89">
        <v>224</v>
      </c>
      <c r="S89" s="4">
        <v>11200</v>
      </c>
      <c r="T89" t="s">
        <v>65</v>
      </c>
      <c r="U89">
        <v>201088630001</v>
      </c>
      <c r="V89">
        <v>0</v>
      </c>
      <c r="W89" s="4">
        <v>8000</v>
      </c>
      <c r="X89" s="4">
        <v>3200</v>
      </c>
      <c r="Y89">
        <v>0</v>
      </c>
      <c r="Z89">
        <v>0</v>
      </c>
      <c r="AA89">
        <v>0</v>
      </c>
      <c r="AD89">
        <v>0</v>
      </c>
      <c r="AM89">
        <v>20108863</v>
      </c>
      <c r="AN89" t="s">
        <v>182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704</v>
      </c>
      <c r="BA89">
        <v>0</v>
      </c>
      <c r="BC89" t="s">
        <v>182</v>
      </c>
      <c r="BF89" t="s">
        <v>705</v>
      </c>
    </row>
    <row r="90" spans="1:58" x14ac:dyDescent="0.35">
      <c r="A90" t="s">
        <v>706</v>
      </c>
      <c r="B90">
        <v>10000</v>
      </c>
      <c r="C90">
        <v>10000</v>
      </c>
      <c r="D90" s="2">
        <v>45720</v>
      </c>
      <c r="E90" t="s">
        <v>61</v>
      </c>
      <c r="F90" t="s">
        <v>707</v>
      </c>
      <c r="G90" t="s">
        <v>648</v>
      </c>
      <c r="I90">
        <v>1</v>
      </c>
      <c r="J90" t="s">
        <v>63</v>
      </c>
      <c r="K90">
        <v>93</v>
      </c>
      <c r="L90" t="s">
        <v>163</v>
      </c>
      <c r="M90">
        <v>52</v>
      </c>
      <c r="P90" s="2">
        <v>45719</v>
      </c>
      <c r="R90">
        <v>224</v>
      </c>
      <c r="S90" s="4">
        <v>11680</v>
      </c>
      <c r="T90" t="s">
        <v>65</v>
      </c>
      <c r="U90">
        <v>201088630001</v>
      </c>
      <c r="V90">
        <v>0</v>
      </c>
      <c r="W90" s="4">
        <v>8000</v>
      </c>
      <c r="X90" s="4">
        <v>3680</v>
      </c>
      <c r="Y90">
        <v>0</v>
      </c>
      <c r="Z90">
        <v>0</v>
      </c>
      <c r="AA90">
        <v>0</v>
      </c>
      <c r="AD90">
        <v>0</v>
      </c>
      <c r="AM90">
        <v>20108863</v>
      </c>
      <c r="AN90" t="s">
        <v>182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708</v>
      </c>
      <c r="BA90">
        <v>0</v>
      </c>
      <c r="BC90" t="s">
        <v>182</v>
      </c>
      <c r="BF90" t="s">
        <v>709</v>
      </c>
    </row>
    <row r="91" spans="1:58" x14ac:dyDescent="0.35">
      <c r="A91" t="s">
        <v>706</v>
      </c>
      <c r="B91">
        <v>20000</v>
      </c>
      <c r="C91">
        <v>10000</v>
      </c>
      <c r="D91" s="2">
        <v>45720</v>
      </c>
      <c r="E91" t="s">
        <v>61</v>
      </c>
      <c r="F91" t="s">
        <v>707</v>
      </c>
      <c r="G91" t="s">
        <v>648</v>
      </c>
      <c r="I91">
        <v>1</v>
      </c>
      <c r="J91" t="s">
        <v>63</v>
      </c>
      <c r="K91">
        <v>93</v>
      </c>
      <c r="L91" t="s">
        <v>163</v>
      </c>
      <c r="M91">
        <v>18</v>
      </c>
      <c r="P91" s="2">
        <v>45719</v>
      </c>
      <c r="R91">
        <v>224</v>
      </c>
      <c r="S91" s="4">
        <v>4000</v>
      </c>
      <c r="T91" t="s">
        <v>65</v>
      </c>
      <c r="U91">
        <v>201088630001</v>
      </c>
      <c r="V91">
        <v>0</v>
      </c>
      <c r="W91" s="4">
        <v>4000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20108863</v>
      </c>
      <c r="AN91" t="s">
        <v>182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708</v>
      </c>
      <c r="BA91">
        <v>0</v>
      </c>
      <c r="BC91" t="s">
        <v>182</v>
      </c>
      <c r="BF91" t="s">
        <v>709</v>
      </c>
    </row>
    <row r="92" spans="1:58" x14ac:dyDescent="0.35">
      <c r="A92" t="s">
        <v>710</v>
      </c>
      <c r="B92">
        <v>10000</v>
      </c>
      <c r="C92">
        <v>10000</v>
      </c>
      <c r="D92" s="2">
        <v>45720</v>
      </c>
      <c r="E92" t="s">
        <v>61</v>
      </c>
      <c r="F92" s="3">
        <v>0.42364583333333333</v>
      </c>
      <c r="G92" t="s">
        <v>711</v>
      </c>
      <c r="I92">
        <v>1</v>
      </c>
      <c r="J92" t="s">
        <v>63</v>
      </c>
      <c r="K92">
        <v>93</v>
      </c>
      <c r="L92" t="s">
        <v>163</v>
      </c>
      <c r="M92">
        <v>100</v>
      </c>
      <c r="P92" s="2">
        <v>45719</v>
      </c>
      <c r="R92">
        <v>144</v>
      </c>
      <c r="S92" s="4">
        <v>14400</v>
      </c>
      <c r="T92" t="s">
        <v>65</v>
      </c>
      <c r="U92">
        <v>52028070001</v>
      </c>
      <c r="V92">
        <v>0</v>
      </c>
      <c r="W92" s="4">
        <v>10000</v>
      </c>
      <c r="X92" s="4">
        <v>4400</v>
      </c>
      <c r="Y92">
        <v>0</v>
      </c>
      <c r="Z92">
        <v>0</v>
      </c>
      <c r="AA92">
        <v>0</v>
      </c>
      <c r="AD92">
        <v>0</v>
      </c>
      <c r="AM92">
        <v>5202807</v>
      </c>
      <c r="AN92" t="s">
        <v>712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713</v>
      </c>
      <c r="BA92">
        <v>0</v>
      </c>
      <c r="BC92" t="s">
        <v>712</v>
      </c>
      <c r="BF92" t="s">
        <v>714</v>
      </c>
    </row>
    <row r="93" spans="1:58" x14ac:dyDescent="0.35">
      <c r="A93" t="s">
        <v>715</v>
      </c>
      <c r="B93">
        <v>10000</v>
      </c>
      <c r="C93">
        <v>10000</v>
      </c>
      <c r="D93" s="2">
        <v>45720</v>
      </c>
      <c r="E93" t="s">
        <v>61</v>
      </c>
      <c r="F93" t="s">
        <v>716</v>
      </c>
      <c r="G93" t="s">
        <v>648</v>
      </c>
      <c r="I93">
        <v>1</v>
      </c>
      <c r="J93" t="s">
        <v>63</v>
      </c>
      <c r="K93">
        <v>93</v>
      </c>
      <c r="L93" t="s">
        <v>163</v>
      </c>
      <c r="M93">
        <v>140</v>
      </c>
      <c r="P93" s="2">
        <v>45719</v>
      </c>
      <c r="R93">
        <v>108</v>
      </c>
      <c r="S93" s="4">
        <v>15120</v>
      </c>
      <c r="T93" t="s">
        <v>65</v>
      </c>
      <c r="U93">
        <v>200900090001</v>
      </c>
      <c r="V93">
        <v>0</v>
      </c>
      <c r="W93" s="4">
        <v>40000</v>
      </c>
      <c r="X93" s="4">
        <v>-24880</v>
      </c>
      <c r="Y93">
        <v>0</v>
      </c>
      <c r="Z93">
        <v>0</v>
      </c>
      <c r="AA93">
        <v>0</v>
      </c>
      <c r="AD93">
        <v>0</v>
      </c>
      <c r="AM93">
        <v>20090009</v>
      </c>
      <c r="AN93" t="s">
        <v>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717</v>
      </c>
      <c r="BA93">
        <v>0</v>
      </c>
      <c r="BC93" t="s">
        <v>182</v>
      </c>
      <c r="BF93" t="s">
        <v>718</v>
      </c>
    </row>
    <row r="94" spans="1:58" x14ac:dyDescent="0.35">
      <c r="A94" t="s">
        <v>719</v>
      </c>
      <c r="B94">
        <v>10000</v>
      </c>
      <c r="C94">
        <v>10000</v>
      </c>
      <c r="D94" s="2">
        <v>45720</v>
      </c>
      <c r="E94" t="s">
        <v>61</v>
      </c>
      <c r="F94" t="s">
        <v>720</v>
      </c>
      <c r="G94" t="s">
        <v>648</v>
      </c>
      <c r="I94">
        <v>1</v>
      </c>
      <c r="J94" t="s">
        <v>63</v>
      </c>
      <c r="K94">
        <v>93</v>
      </c>
      <c r="L94" t="s">
        <v>163</v>
      </c>
      <c r="M94">
        <v>171</v>
      </c>
      <c r="P94" s="2">
        <v>45719</v>
      </c>
      <c r="R94">
        <v>88</v>
      </c>
      <c r="S94" s="4">
        <v>15048</v>
      </c>
      <c r="T94" t="s">
        <v>65</v>
      </c>
      <c r="U94">
        <v>200689890001</v>
      </c>
      <c r="V94">
        <v>0</v>
      </c>
      <c r="W94" s="4">
        <v>12000</v>
      </c>
      <c r="X94" s="4">
        <v>3048</v>
      </c>
      <c r="Y94">
        <v>0</v>
      </c>
      <c r="Z94">
        <v>0</v>
      </c>
      <c r="AA94">
        <v>0</v>
      </c>
      <c r="AD94">
        <v>0</v>
      </c>
      <c r="AM94">
        <v>20068989</v>
      </c>
      <c r="AN94" t="s">
        <v>721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722</v>
      </c>
      <c r="BA94">
        <v>0</v>
      </c>
      <c r="BC94" t="s">
        <v>721</v>
      </c>
      <c r="BF94" t="s">
        <v>723</v>
      </c>
    </row>
    <row r="100" spans="1:2" x14ac:dyDescent="0.35">
      <c r="A100">
        <f>COUNTA(A5:A97)</f>
        <v>90</v>
      </c>
      <c r="B100">
        <f>'1-Mar'!A36+'3_Mar'!A100</f>
        <v>119</v>
      </c>
    </row>
  </sheetData>
  <autoFilter ref="A4:BF94" xr:uid="{F933B1F6-A255-4403-AD05-868F5DDAA677}">
    <filterColumn colId="8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2D5-A3E6-4D86-BC18-ED5105711775}">
  <dimension ref="A1:BF100"/>
  <sheetViews>
    <sheetView topLeftCell="A86" workbookViewId="0">
      <selection activeCell="H99" sqref="H9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724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725</v>
      </c>
      <c r="B5">
        <v>10000</v>
      </c>
      <c r="C5">
        <v>30000</v>
      </c>
      <c r="D5" s="2">
        <v>45730</v>
      </c>
      <c r="E5" t="s">
        <v>61</v>
      </c>
      <c r="F5" t="s">
        <v>726</v>
      </c>
      <c r="G5" t="s">
        <v>727</v>
      </c>
      <c r="I5">
        <v>2</v>
      </c>
      <c r="J5" t="s">
        <v>63</v>
      </c>
      <c r="K5">
        <v>86</v>
      </c>
      <c r="L5" t="s">
        <v>64</v>
      </c>
      <c r="M5" s="4">
        <v>29800</v>
      </c>
      <c r="P5" s="2">
        <v>45720</v>
      </c>
      <c r="R5">
        <v>36</v>
      </c>
      <c r="S5" s="4">
        <v>1072800</v>
      </c>
      <c r="T5" t="s">
        <v>65</v>
      </c>
      <c r="U5" t="s">
        <v>728</v>
      </c>
      <c r="V5">
        <v>0</v>
      </c>
      <c r="W5" s="4">
        <v>1000000</v>
      </c>
      <c r="X5" s="4">
        <v>72800</v>
      </c>
      <c r="Y5">
        <v>0</v>
      </c>
      <c r="Z5">
        <v>0</v>
      </c>
      <c r="AA5">
        <v>0</v>
      </c>
      <c r="AD5">
        <v>0</v>
      </c>
      <c r="AM5" t="s">
        <v>729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730</v>
      </c>
      <c r="BA5">
        <v>0</v>
      </c>
      <c r="BC5" t="s">
        <v>68</v>
      </c>
      <c r="BF5" t="s">
        <v>731</v>
      </c>
    </row>
    <row r="6" spans="1:58" x14ac:dyDescent="0.35">
      <c r="A6" t="s">
        <v>314</v>
      </c>
      <c r="B6">
        <v>10000</v>
      </c>
      <c r="C6">
        <v>20000</v>
      </c>
      <c r="D6" s="2">
        <v>45728</v>
      </c>
      <c r="E6" t="s">
        <v>61</v>
      </c>
      <c r="F6" t="s">
        <v>315</v>
      </c>
      <c r="G6" t="s">
        <v>316</v>
      </c>
      <c r="I6">
        <v>1</v>
      </c>
      <c r="J6" t="s">
        <v>63</v>
      </c>
      <c r="K6" t="s">
        <v>317</v>
      </c>
      <c r="L6" t="s">
        <v>732</v>
      </c>
      <c r="M6" s="4">
        <v>35000</v>
      </c>
      <c r="P6" s="2">
        <v>45720</v>
      </c>
      <c r="R6">
        <v>8</v>
      </c>
      <c r="S6" s="4">
        <v>280000</v>
      </c>
      <c r="T6" t="s">
        <v>65</v>
      </c>
      <c r="U6" t="s">
        <v>319</v>
      </c>
      <c r="V6">
        <v>0</v>
      </c>
      <c r="W6" s="4">
        <v>280000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320</v>
      </c>
      <c r="AN6" t="s">
        <v>321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322</v>
      </c>
      <c r="BA6">
        <v>0</v>
      </c>
      <c r="BC6" t="s">
        <v>321</v>
      </c>
      <c r="BF6" t="s">
        <v>323</v>
      </c>
    </row>
    <row r="7" spans="1:58" x14ac:dyDescent="0.35">
      <c r="A7" t="s">
        <v>314</v>
      </c>
      <c r="B7">
        <v>10000</v>
      </c>
      <c r="C7">
        <v>30000</v>
      </c>
      <c r="D7" s="2">
        <v>45728</v>
      </c>
      <c r="E7" t="s">
        <v>61</v>
      </c>
      <c r="F7" t="s">
        <v>315</v>
      </c>
      <c r="G7" t="s">
        <v>316</v>
      </c>
      <c r="I7">
        <v>1</v>
      </c>
      <c r="J7" t="s">
        <v>63</v>
      </c>
      <c r="K7">
        <v>103</v>
      </c>
      <c r="L7" t="s">
        <v>733</v>
      </c>
      <c r="M7" s="4">
        <v>15625</v>
      </c>
      <c r="P7" s="2">
        <v>45720</v>
      </c>
      <c r="R7">
        <v>8</v>
      </c>
      <c r="S7" s="4">
        <v>125000</v>
      </c>
      <c r="T7" t="s">
        <v>65</v>
      </c>
      <c r="U7" t="s">
        <v>319</v>
      </c>
      <c r="V7">
        <v>0</v>
      </c>
      <c r="W7" s="4">
        <v>125000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320</v>
      </c>
      <c r="AN7" t="s">
        <v>321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322</v>
      </c>
      <c r="BA7">
        <v>0</v>
      </c>
      <c r="BC7" t="s">
        <v>321</v>
      </c>
      <c r="BF7" t="s">
        <v>323</v>
      </c>
    </row>
    <row r="8" spans="1:58" x14ac:dyDescent="0.35">
      <c r="A8" t="s">
        <v>314</v>
      </c>
      <c r="B8">
        <v>20000</v>
      </c>
      <c r="C8">
        <v>10000</v>
      </c>
      <c r="D8" s="2">
        <v>45728</v>
      </c>
      <c r="E8" t="s">
        <v>61</v>
      </c>
      <c r="F8" t="s">
        <v>315</v>
      </c>
      <c r="G8" t="s">
        <v>316</v>
      </c>
      <c r="I8">
        <v>1</v>
      </c>
      <c r="J8" t="s">
        <v>63</v>
      </c>
      <c r="K8">
        <v>103</v>
      </c>
      <c r="L8" t="s">
        <v>733</v>
      </c>
      <c r="M8" s="4">
        <v>43125</v>
      </c>
      <c r="P8" s="2">
        <v>45720</v>
      </c>
      <c r="R8">
        <v>8</v>
      </c>
      <c r="S8" s="4">
        <v>345000</v>
      </c>
      <c r="T8" t="s">
        <v>65</v>
      </c>
      <c r="U8" t="s">
        <v>319</v>
      </c>
      <c r="V8">
        <v>0</v>
      </c>
      <c r="W8" s="4">
        <v>345000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320</v>
      </c>
      <c r="AN8" t="s">
        <v>321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322</v>
      </c>
      <c r="BA8">
        <v>0</v>
      </c>
      <c r="BC8" t="s">
        <v>321</v>
      </c>
      <c r="BF8" t="s">
        <v>323</v>
      </c>
    </row>
    <row r="9" spans="1:58" x14ac:dyDescent="0.35">
      <c r="A9" t="s">
        <v>734</v>
      </c>
      <c r="B9">
        <v>10000</v>
      </c>
      <c r="C9">
        <v>10000</v>
      </c>
      <c r="D9" s="2">
        <v>45728</v>
      </c>
      <c r="E9" t="s">
        <v>61</v>
      </c>
      <c r="F9" t="s">
        <v>735</v>
      </c>
      <c r="G9" t="s">
        <v>89</v>
      </c>
      <c r="I9">
        <v>1</v>
      </c>
      <c r="J9" t="s">
        <v>63</v>
      </c>
      <c r="K9" t="s">
        <v>97</v>
      </c>
      <c r="L9" t="s">
        <v>98</v>
      </c>
      <c r="M9" s="4">
        <v>60000</v>
      </c>
      <c r="P9" s="2">
        <v>45720</v>
      </c>
      <c r="R9">
        <v>12</v>
      </c>
      <c r="S9" s="4">
        <v>720000</v>
      </c>
      <c r="T9" t="s">
        <v>65</v>
      </c>
      <c r="U9">
        <v>80256230001</v>
      </c>
      <c r="V9">
        <v>0</v>
      </c>
      <c r="W9" s="4">
        <v>720000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8025623</v>
      </c>
      <c r="AN9" t="s">
        <v>91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736</v>
      </c>
      <c r="BA9">
        <v>0</v>
      </c>
      <c r="BC9" t="s">
        <v>91</v>
      </c>
      <c r="BF9" t="s">
        <v>737</v>
      </c>
    </row>
    <row r="10" spans="1:58" x14ac:dyDescent="0.35">
      <c r="A10" t="s">
        <v>738</v>
      </c>
      <c r="B10">
        <v>10000</v>
      </c>
      <c r="C10">
        <v>20000</v>
      </c>
      <c r="D10" s="2">
        <v>45721</v>
      </c>
      <c r="E10" t="s">
        <v>61</v>
      </c>
      <c r="F10" t="s">
        <v>431</v>
      </c>
      <c r="G10" t="s">
        <v>387</v>
      </c>
      <c r="I10">
        <v>1</v>
      </c>
      <c r="J10" t="s">
        <v>63</v>
      </c>
      <c r="K10">
        <v>12</v>
      </c>
      <c r="L10" t="s">
        <v>478</v>
      </c>
      <c r="M10" s="4">
        <v>5000</v>
      </c>
      <c r="P10" s="2">
        <v>45720</v>
      </c>
      <c r="R10">
        <v>1</v>
      </c>
      <c r="S10" s="4">
        <v>5000</v>
      </c>
      <c r="T10" t="s">
        <v>65</v>
      </c>
      <c r="U10" t="s">
        <v>739</v>
      </c>
      <c r="V10">
        <v>0</v>
      </c>
      <c r="W10" s="4">
        <v>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740</v>
      </c>
      <c r="AN10" t="s">
        <v>206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741</v>
      </c>
      <c r="BA10">
        <v>0</v>
      </c>
      <c r="BC10" t="s">
        <v>206</v>
      </c>
      <c r="BF10" t="s">
        <v>742</v>
      </c>
    </row>
    <row r="11" spans="1:58" x14ac:dyDescent="0.35">
      <c r="A11" t="s">
        <v>743</v>
      </c>
      <c r="B11">
        <v>10000</v>
      </c>
      <c r="C11">
        <v>10000</v>
      </c>
      <c r="D11" s="2">
        <v>45720</v>
      </c>
      <c r="E11" t="s">
        <v>61</v>
      </c>
      <c r="F11" t="s">
        <v>744</v>
      </c>
      <c r="G11" t="s">
        <v>418</v>
      </c>
      <c r="I11">
        <v>1</v>
      </c>
      <c r="J11" t="s">
        <v>63</v>
      </c>
      <c r="K11">
        <v>59</v>
      </c>
      <c r="L11" t="s">
        <v>745</v>
      </c>
      <c r="M11" s="4">
        <v>10000</v>
      </c>
      <c r="P11" s="2">
        <v>45720</v>
      </c>
      <c r="R11">
        <v>6</v>
      </c>
      <c r="S11" s="4">
        <v>60000</v>
      </c>
      <c r="T11" t="s">
        <v>65</v>
      </c>
      <c r="U11" t="s">
        <v>746</v>
      </c>
      <c r="V11">
        <v>0</v>
      </c>
      <c r="W11" s="4">
        <v>60000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747</v>
      </c>
      <c r="AN11" t="s">
        <v>311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748</v>
      </c>
      <c r="BA11">
        <v>0</v>
      </c>
      <c r="BC11" t="s">
        <v>311</v>
      </c>
      <c r="BF11" t="s">
        <v>749</v>
      </c>
    </row>
    <row r="12" spans="1:58" x14ac:dyDescent="0.35">
      <c r="A12" t="s">
        <v>750</v>
      </c>
      <c r="B12">
        <v>10000</v>
      </c>
      <c r="C12">
        <v>10000</v>
      </c>
      <c r="D12" s="2">
        <v>45721</v>
      </c>
      <c r="E12" t="s">
        <v>61</v>
      </c>
      <c r="F12" s="3">
        <v>0.48003472222222221</v>
      </c>
      <c r="G12" t="s">
        <v>348</v>
      </c>
      <c r="I12">
        <v>1</v>
      </c>
      <c r="J12" t="s">
        <v>63</v>
      </c>
      <c r="K12">
        <v>46</v>
      </c>
      <c r="L12" t="s">
        <v>113</v>
      </c>
      <c r="M12" s="4">
        <v>27000</v>
      </c>
      <c r="P12" s="2">
        <v>45720</v>
      </c>
      <c r="R12">
        <v>1</v>
      </c>
      <c r="S12" s="4">
        <v>27000</v>
      </c>
      <c r="T12" t="s">
        <v>65</v>
      </c>
      <c r="U12" t="s">
        <v>349</v>
      </c>
      <c r="V12">
        <v>0</v>
      </c>
      <c r="W12" s="4">
        <v>27000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350</v>
      </c>
      <c r="AN12" t="s">
        <v>751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752</v>
      </c>
      <c r="BA12">
        <v>0</v>
      </c>
      <c r="BC12" t="s">
        <v>751</v>
      </c>
      <c r="BF12" t="s">
        <v>753</v>
      </c>
    </row>
    <row r="13" spans="1:58" x14ac:dyDescent="0.35">
      <c r="A13" t="s">
        <v>754</v>
      </c>
      <c r="B13">
        <v>10000</v>
      </c>
      <c r="C13">
        <v>20000</v>
      </c>
      <c r="D13" s="2">
        <v>45720</v>
      </c>
      <c r="E13" t="s">
        <v>61</v>
      </c>
      <c r="F13" t="s">
        <v>755</v>
      </c>
      <c r="G13" t="s">
        <v>756</v>
      </c>
      <c r="I13">
        <v>1</v>
      </c>
      <c r="J13" t="s">
        <v>63</v>
      </c>
      <c r="K13">
        <v>82</v>
      </c>
      <c r="L13" t="s">
        <v>341</v>
      </c>
      <c r="M13" s="4">
        <v>5143</v>
      </c>
      <c r="P13" s="2">
        <v>45720</v>
      </c>
      <c r="R13">
        <v>140</v>
      </c>
      <c r="S13" s="4">
        <v>720020</v>
      </c>
      <c r="T13" t="s">
        <v>65</v>
      </c>
      <c r="U13" t="s">
        <v>757</v>
      </c>
      <c r="V13">
        <v>0</v>
      </c>
      <c r="W13" s="4">
        <v>720000</v>
      </c>
      <c r="X13">
        <v>20</v>
      </c>
      <c r="Y13">
        <v>0</v>
      </c>
      <c r="Z13">
        <v>0</v>
      </c>
      <c r="AA13">
        <v>0</v>
      </c>
      <c r="AD13">
        <v>0</v>
      </c>
      <c r="AM13" t="s">
        <v>758</v>
      </c>
      <c r="AN13" t="s">
        <v>759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760</v>
      </c>
      <c r="BA13">
        <v>0</v>
      </c>
      <c r="BC13" t="s">
        <v>759</v>
      </c>
      <c r="BF13" t="s">
        <v>761</v>
      </c>
    </row>
    <row r="14" spans="1:58" x14ac:dyDescent="0.35">
      <c r="A14" t="s">
        <v>762</v>
      </c>
      <c r="B14">
        <v>10000</v>
      </c>
      <c r="C14">
        <v>30000</v>
      </c>
      <c r="D14" s="2">
        <v>45723</v>
      </c>
      <c r="E14" t="s">
        <v>61</v>
      </c>
      <c r="F14" t="s">
        <v>763</v>
      </c>
      <c r="G14" t="s">
        <v>764</v>
      </c>
      <c r="I14">
        <v>1</v>
      </c>
      <c r="J14" t="s">
        <v>63</v>
      </c>
      <c r="K14">
        <v>90</v>
      </c>
      <c r="L14" t="s">
        <v>405</v>
      </c>
      <c r="M14" s="4">
        <v>11000</v>
      </c>
      <c r="P14" s="2">
        <v>45720</v>
      </c>
      <c r="R14">
        <v>4</v>
      </c>
      <c r="S14" s="4">
        <v>44000</v>
      </c>
      <c r="T14" t="s">
        <v>65</v>
      </c>
      <c r="U14" t="s">
        <v>765</v>
      </c>
      <c r="V14">
        <v>0</v>
      </c>
      <c r="W14" s="4">
        <v>44000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766</v>
      </c>
      <c r="AN14" t="s">
        <v>767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768</v>
      </c>
      <c r="BA14">
        <v>0</v>
      </c>
      <c r="BC14" t="s">
        <v>767</v>
      </c>
      <c r="BF14" t="s">
        <v>769</v>
      </c>
    </row>
    <row r="15" spans="1:58" x14ac:dyDescent="0.35">
      <c r="A15" t="s">
        <v>762</v>
      </c>
      <c r="B15">
        <v>10000</v>
      </c>
      <c r="C15">
        <v>40000</v>
      </c>
      <c r="D15" s="2">
        <v>45723</v>
      </c>
      <c r="E15" t="s">
        <v>61</v>
      </c>
      <c r="F15" t="s">
        <v>763</v>
      </c>
      <c r="G15" t="s">
        <v>764</v>
      </c>
      <c r="I15">
        <v>1</v>
      </c>
      <c r="J15" t="s">
        <v>63</v>
      </c>
      <c r="K15" t="s">
        <v>770</v>
      </c>
      <c r="L15" t="s">
        <v>154</v>
      </c>
      <c r="M15" s="4">
        <v>6500</v>
      </c>
      <c r="P15" s="2">
        <v>45720</v>
      </c>
      <c r="R15">
        <v>4</v>
      </c>
      <c r="S15" s="4">
        <v>26000</v>
      </c>
      <c r="T15" t="s">
        <v>65</v>
      </c>
      <c r="U15" t="s">
        <v>765</v>
      </c>
      <c r="V15">
        <v>0</v>
      </c>
      <c r="W15" s="4">
        <v>26000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766</v>
      </c>
      <c r="AN15" t="s">
        <v>767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768</v>
      </c>
      <c r="BA15">
        <v>0</v>
      </c>
      <c r="BC15" t="s">
        <v>767</v>
      </c>
      <c r="BF15" t="s">
        <v>769</v>
      </c>
    </row>
    <row r="16" spans="1:58" x14ac:dyDescent="0.35">
      <c r="A16" t="s">
        <v>771</v>
      </c>
      <c r="B16">
        <v>10000</v>
      </c>
      <c r="C16">
        <v>20000</v>
      </c>
      <c r="D16" s="2">
        <v>45721</v>
      </c>
      <c r="E16" t="s">
        <v>61</v>
      </c>
      <c r="F16" t="s">
        <v>772</v>
      </c>
      <c r="G16">
        <v>10639931010</v>
      </c>
      <c r="I16">
        <v>2</v>
      </c>
      <c r="J16" t="s">
        <v>63</v>
      </c>
      <c r="K16">
        <v>77</v>
      </c>
      <c r="L16" t="s">
        <v>127</v>
      </c>
      <c r="M16" s="4">
        <v>1705</v>
      </c>
      <c r="P16" s="2">
        <v>45720</v>
      </c>
      <c r="R16">
        <v>88</v>
      </c>
      <c r="S16" s="4">
        <v>150040</v>
      </c>
      <c r="T16" t="s">
        <v>65</v>
      </c>
      <c r="U16" t="s">
        <v>773</v>
      </c>
      <c r="V16">
        <v>0</v>
      </c>
      <c r="W16" s="4">
        <v>140000</v>
      </c>
      <c r="X16" s="4">
        <v>10040</v>
      </c>
      <c r="Y16">
        <v>0</v>
      </c>
      <c r="Z16">
        <v>0</v>
      </c>
      <c r="AA16">
        <v>0</v>
      </c>
      <c r="AD16">
        <v>0</v>
      </c>
      <c r="AM16" t="s">
        <v>774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775</v>
      </c>
      <c r="BA16">
        <v>0</v>
      </c>
      <c r="BC16" t="s">
        <v>107</v>
      </c>
      <c r="BF16" t="s">
        <v>776</v>
      </c>
    </row>
    <row r="17" spans="1:58" x14ac:dyDescent="0.35">
      <c r="A17" t="s">
        <v>777</v>
      </c>
      <c r="B17">
        <v>10000</v>
      </c>
      <c r="C17">
        <v>20000</v>
      </c>
      <c r="D17" s="2">
        <v>45721</v>
      </c>
      <c r="E17" t="s">
        <v>61</v>
      </c>
      <c r="F17" s="3">
        <v>0.45700231481481479</v>
      </c>
      <c r="G17" t="s">
        <v>778</v>
      </c>
      <c r="I17">
        <v>2</v>
      </c>
      <c r="J17" t="s">
        <v>63</v>
      </c>
      <c r="K17">
        <v>77</v>
      </c>
      <c r="L17" t="s">
        <v>127</v>
      </c>
      <c r="M17" s="4">
        <v>4807</v>
      </c>
      <c r="P17" s="2">
        <v>45720</v>
      </c>
      <c r="R17">
        <v>88</v>
      </c>
      <c r="S17" s="4">
        <v>423016</v>
      </c>
      <c r="T17" t="s">
        <v>65</v>
      </c>
      <c r="U17" t="s">
        <v>328</v>
      </c>
      <c r="V17">
        <v>0</v>
      </c>
      <c r="W17" s="4">
        <v>440000</v>
      </c>
      <c r="X17" s="4">
        <v>-16984</v>
      </c>
      <c r="Y17">
        <v>0</v>
      </c>
      <c r="Z17">
        <v>0</v>
      </c>
      <c r="AA17">
        <v>0</v>
      </c>
      <c r="AD17">
        <v>0</v>
      </c>
      <c r="AM17" t="s">
        <v>329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779</v>
      </c>
      <c r="BA17">
        <v>0</v>
      </c>
      <c r="BC17" t="s">
        <v>107</v>
      </c>
      <c r="BF17" t="s">
        <v>780</v>
      </c>
    </row>
    <row r="18" spans="1:58" x14ac:dyDescent="0.35">
      <c r="A18" t="s">
        <v>781</v>
      </c>
      <c r="B18">
        <v>10000</v>
      </c>
      <c r="C18">
        <v>20000</v>
      </c>
      <c r="D18" s="2">
        <v>45722</v>
      </c>
      <c r="E18" t="s">
        <v>61</v>
      </c>
      <c r="F18" t="s">
        <v>782</v>
      </c>
      <c r="G18" t="s">
        <v>783</v>
      </c>
      <c r="I18">
        <v>2</v>
      </c>
      <c r="J18" t="s">
        <v>63</v>
      </c>
      <c r="K18">
        <v>77</v>
      </c>
      <c r="L18" t="s">
        <v>127</v>
      </c>
      <c r="M18" s="4">
        <v>2500</v>
      </c>
      <c r="P18" s="2">
        <v>45720</v>
      </c>
      <c r="R18">
        <v>88</v>
      </c>
      <c r="S18" s="4">
        <v>220000</v>
      </c>
      <c r="T18" t="s">
        <v>65</v>
      </c>
      <c r="U18" t="s">
        <v>784</v>
      </c>
      <c r="V18">
        <v>0</v>
      </c>
      <c r="W18" s="4">
        <v>200000</v>
      </c>
      <c r="X18" s="4">
        <v>20000</v>
      </c>
      <c r="Y18">
        <v>0</v>
      </c>
      <c r="Z18">
        <v>0</v>
      </c>
      <c r="AA18">
        <v>0</v>
      </c>
      <c r="AD18">
        <v>0</v>
      </c>
      <c r="AM18" t="s">
        <v>785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786</v>
      </c>
      <c r="BA18">
        <v>0</v>
      </c>
      <c r="BC18" t="s">
        <v>107</v>
      </c>
      <c r="BF18" t="s">
        <v>787</v>
      </c>
    </row>
    <row r="19" spans="1:58" x14ac:dyDescent="0.35">
      <c r="A19" t="s">
        <v>788</v>
      </c>
      <c r="B19">
        <v>10000</v>
      </c>
      <c r="C19">
        <v>20000</v>
      </c>
      <c r="D19" s="2">
        <v>45722</v>
      </c>
      <c r="E19" t="s">
        <v>61</v>
      </c>
      <c r="F19" t="s">
        <v>789</v>
      </c>
      <c r="G19">
        <v>10639931010</v>
      </c>
      <c r="I19">
        <v>2</v>
      </c>
      <c r="J19" t="s">
        <v>63</v>
      </c>
      <c r="K19">
        <v>77</v>
      </c>
      <c r="L19" t="s">
        <v>127</v>
      </c>
      <c r="M19" s="4">
        <v>1250</v>
      </c>
      <c r="P19" s="2">
        <v>45720</v>
      </c>
      <c r="R19">
        <v>88</v>
      </c>
      <c r="S19" s="4">
        <v>110000</v>
      </c>
      <c r="T19" t="s">
        <v>65</v>
      </c>
      <c r="U19" t="s">
        <v>784</v>
      </c>
      <c r="V19">
        <v>0</v>
      </c>
      <c r="W19" s="4">
        <v>100000</v>
      </c>
      <c r="X19" s="4">
        <v>10000</v>
      </c>
      <c r="Y19">
        <v>0</v>
      </c>
      <c r="Z19">
        <v>0</v>
      </c>
      <c r="AA19">
        <v>0</v>
      </c>
      <c r="AD19">
        <v>0</v>
      </c>
      <c r="AM19" t="s">
        <v>785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790</v>
      </c>
      <c r="BA19">
        <v>0</v>
      </c>
      <c r="BC19" t="s">
        <v>107</v>
      </c>
      <c r="BF19" t="s">
        <v>791</v>
      </c>
    </row>
    <row r="20" spans="1:58" x14ac:dyDescent="0.35">
      <c r="A20" t="s">
        <v>792</v>
      </c>
      <c r="B20">
        <v>10000</v>
      </c>
      <c r="C20">
        <v>10000</v>
      </c>
      <c r="D20" s="2">
        <v>45722</v>
      </c>
      <c r="E20" t="s">
        <v>61</v>
      </c>
      <c r="F20" t="s">
        <v>793</v>
      </c>
      <c r="G20" t="s">
        <v>794</v>
      </c>
      <c r="I20">
        <v>1</v>
      </c>
      <c r="J20" t="s">
        <v>63</v>
      </c>
      <c r="K20">
        <v>70</v>
      </c>
      <c r="L20" t="s">
        <v>795</v>
      </c>
      <c r="M20" s="4">
        <v>10000</v>
      </c>
      <c r="P20" s="2">
        <v>45720</v>
      </c>
      <c r="R20">
        <v>6</v>
      </c>
      <c r="S20" s="4">
        <v>60000</v>
      </c>
      <c r="T20" t="s">
        <v>65</v>
      </c>
      <c r="U20" t="s">
        <v>796</v>
      </c>
      <c r="V20">
        <v>0</v>
      </c>
      <c r="W20" s="4">
        <v>60000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797</v>
      </c>
      <c r="AN20" t="s">
        <v>175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798</v>
      </c>
      <c r="BA20">
        <v>0</v>
      </c>
      <c r="BC20" t="s">
        <v>175</v>
      </c>
      <c r="BF20" t="s">
        <v>799</v>
      </c>
    </row>
    <row r="21" spans="1:58" x14ac:dyDescent="0.35">
      <c r="A21" t="s">
        <v>397</v>
      </c>
      <c r="B21">
        <v>10000</v>
      </c>
      <c r="C21">
        <v>20000</v>
      </c>
      <c r="D21" s="2">
        <v>45722</v>
      </c>
      <c r="E21" t="s">
        <v>61</v>
      </c>
      <c r="F21" t="s">
        <v>398</v>
      </c>
      <c r="G21" t="s">
        <v>394</v>
      </c>
      <c r="I21">
        <v>1</v>
      </c>
      <c r="J21" t="s">
        <v>63</v>
      </c>
      <c r="K21">
        <v>66</v>
      </c>
      <c r="L21" t="s">
        <v>800</v>
      </c>
      <c r="M21" s="4">
        <v>110000</v>
      </c>
      <c r="P21" s="2">
        <v>45720</v>
      </c>
      <c r="R21">
        <v>1</v>
      </c>
      <c r="S21" s="4">
        <v>110000</v>
      </c>
      <c r="T21" t="s">
        <v>65</v>
      </c>
      <c r="U21" t="s">
        <v>381</v>
      </c>
      <c r="V21">
        <v>0</v>
      </c>
      <c r="W21" s="4">
        <v>110000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382</v>
      </c>
      <c r="AN21" t="s">
        <v>175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400</v>
      </c>
      <c r="BA21">
        <v>0</v>
      </c>
      <c r="BC21" t="s">
        <v>175</v>
      </c>
      <c r="BF21" t="s">
        <v>401</v>
      </c>
    </row>
    <row r="22" spans="1:58" x14ac:dyDescent="0.35">
      <c r="A22" t="s">
        <v>801</v>
      </c>
      <c r="B22">
        <v>10000</v>
      </c>
      <c r="C22">
        <v>10000</v>
      </c>
      <c r="D22" s="2">
        <v>45722</v>
      </c>
      <c r="E22" t="s">
        <v>61</v>
      </c>
      <c r="F22" t="s">
        <v>802</v>
      </c>
      <c r="G22">
        <v>12190705006</v>
      </c>
      <c r="I22">
        <v>1</v>
      </c>
      <c r="J22" t="s">
        <v>63</v>
      </c>
      <c r="K22">
        <v>68</v>
      </c>
      <c r="L22" t="s">
        <v>385</v>
      </c>
      <c r="M22" s="4">
        <v>19000</v>
      </c>
      <c r="P22" s="2">
        <v>45720</v>
      </c>
      <c r="R22">
        <v>2</v>
      </c>
      <c r="S22" s="4">
        <v>38000</v>
      </c>
      <c r="T22" t="s">
        <v>65</v>
      </c>
      <c r="U22" t="s">
        <v>803</v>
      </c>
      <c r="V22">
        <v>0</v>
      </c>
      <c r="W22" s="4">
        <v>38000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804</v>
      </c>
      <c r="AN22" t="s">
        <v>175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805</v>
      </c>
      <c r="BA22">
        <v>0</v>
      </c>
      <c r="BC22" t="s">
        <v>175</v>
      </c>
      <c r="BF22" t="s">
        <v>806</v>
      </c>
    </row>
    <row r="23" spans="1:58" x14ac:dyDescent="0.35">
      <c r="A23" t="s">
        <v>807</v>
      </c>
      <c r="B23">
        <v>10000</v>
      </c>
      <c r="C23">
        <v>10000</v>
      </c>
      <c r="D23" s="2">
        <v>45722</v>
      </c>
      <c r="E23" t="s">
        <v>61</v>
      </c>
      <c r="F23" t="s">
        <v>808</v>
      </c>
      <c r="G23" t="s">
        <v>809</v>
      </c>
      <c r="I23">
        <v>1</v>
      </c>
      <c r="J23" t="s">
        <v>63</v>
      </c>
      <c r="K23">
        <v>87</v>
      </c>
      <c r="L23" t="s">
        <v>172</v>
      </c>
      <c r="M23" s="4">
        <v>20250</v>
      </c>
      <c r="P23" s="2">
        <v>45720</v>
      </c>
      <c r="R23">
        <v>2</v>
      </c>
      <c r="S23" s="4">
        <v>40500</v>
      </c>
      <c r="T23" t="s">
        <v>65</v>
      </c>
      <c r="U23" t="s">
        <v>173</v>
      </c>
      <c r="V23">
        <v>0</v>
      </c>
      <c r="W23" s="4">
        <v>40500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174</v>
      </c>
      <c r="AN23" t="s">
        <v>175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810</v>
      </c>
      <c r="BA23">
        <v>0</v>
      </c>
      <c r="BC23" t="s">
        <v>175</v>
      </c>
      <c r="BF23" t="s">
        <v>811</v>
      </c>
    </row>
    <row r="24" spans="1:58" x14ac:dyDescent="0.35">
      <c r="A24" t="s">
        <v>812</v>
      </c>
      <c r="B24">
        <v>10000</v>
      </c>
      <c r="C24">
        <v>20000</v>
      </c>
      <c r="D24" s="2">
        <v>45729</v>
      </c>
      <c r="E24" t="s">
        <v>61</v>
      </c>
      <c r="F24" t="s">
        <v>813</v>
      </c>
      <c r="G24">
        <v>10639931052</v>
      </c>
      <c r="I24">
        <v>1</v>
      </c>
      <c r="J24" t="s">
        <v>63</v>
      </c>
      <c r="K24">
        <v>79</v>
      </c>
      <c r="L24" t="s">
        <v>573</v>
      </c>
      <c r="M24">
        <v>304</v>
      </c>
      <c r="P24" s="2">
        <v>45720</v>
      </c>
      <c r="R24">
        <v>297</v>
      </c>
      <c r="S24" s="4">
        <v>90288</v>
      </c>
      <c r="T24" t="s">
        <v>65</v>
      </c>
      <c r="U24" t="s">
        <v>814</v>
      </c>
      <c r="V24">
        <v>0</v>
      </c>
      <c r="W24" s="4">
        <v>70000</v>
      </c>
      <c r="X24" s="4">
        <v>20288</v>
      </c>
      <c r="Y24">
        <v>0</v>
      </c>
      <c r="Z24">
        <v>0</v>
      </c>
      <c r="AA24">
        <v>0</v>
      </c>
      <c r="AD24">
        <v>0</v>
      </c>
      <c r="AM24" t="s">
        <v>815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816</v>
      </c>
      <c r="BA24">
        <v>0</v>
      </c>
      <c r="BC24" t="s">
        <v>107</v>
      </c>
      <c r="BF24" t="s">
        <v>817</v>
      </c>
    </row>
    <row r="25" spans="1:58" x14ac:dyDescent="0.35">
      <c r="A25" t="s">
        <v>437</v>
      </c>
      <c r="B25">
        <v>10000</v>
      </c>
      <c r="C25">
        <v>30000</v>
      </c>
      <c r="D25" s="2">
        <v>45720</v>
      </c>
      <c r="E25" t="s">
        <v>61</v>
      </c>
      <c r="F25" t="s">
        <v>438</v>
      </c>
      <c r="G25" t="s">
        <v>439</v>
      </c>
      <c r="I25">
        <v>3</v>
      </c>
      <c r="J25" t="s">
        <v>63</v>
      </c>
      <c r="K25">
        <v>101</v>
      </c>
      <c r="L25" t="s">
        <v>104</v>
      </c>
      <c r="M25" s="4">
        <v>42000</v>
      </c>
      <c r="P25" s="2">
        <v>45720</v>
      </c>
      <c r="R25">
        <v>3</v>
      </c>
      <c r="S25" s="4">
        <v>126000</v>
      </c>
      <c r="T25" t="s">
        <v>65</v>
      </c>
      <c r="U25" t="s">
        <v>440</v>
      </c>
      <c r="V25">
        <v>0</v>
      </c>
      <c r="W25" s="4">
        <v>200000</v>
      </c>
      <c r="X25" s="4">
        <v>-74000</v>
      </c>
      <c r="Y25">
        <v>0</v>
      </c>
      <c r="Z25">
        <v>0</v>
      </c>
      <c r="AA25">
        <v>0</v>
      </c>
      <c r="AD25">
        <v>0</v>
      </c>
      <c r="AM25" t="s">
        <v>441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442</v>
      </c>
      <c r="BA25">
        <v>0</v>
      </c>
      <c r="BC25" t="s">
        <v>107</v>
      </c>
      <c r="BF25" t="s">
        <v>443</v>
      </c>
    </row>
    <row r="26" spans="1:58" x14ac:dyDescent="0.35">
      <c r="A26" t="s">
        <v>818</v>
      </c>
      <c r="B26">
        <v>10000</v>
      </c>
      <c r="C26">
        <v>20000</v>
      </c>
      <c r="D26" s="2">
        <v>45729</v>
      </c>
      <c r="E26" t="s">
        <v>61</v>
      </c>
      <c r="F26" t="s">
        <v>819</v>
      </c>
      <c r="G26">
        <v>10639931052</v>
      </c>
      <c r="I26">
        <v>1</v>
      </c>
      <c r="J26" t="s">
        <v>63</v>
      </c>
      <c r="K26">
        <v>79</v>
      </c>
      <c r="L26" t="s">
        <v>573</v>
      </c>
      <c r="M26">
        <v>337</v>
      </c>
      <c r="P26" s="2">
        <v>45720</v>
      </c>
      <c r="R26">
        <v>297</v>
      </c>
      <c r="S26" s="4">
        <v>100089</v>
      </c>
      <c r="T26" t="s">
        <v>65</v>
      </c>
      <c r="U26" t="s">
        <v>820</v>
      </c>
      <c r="V26">
        <v>0</v>
      </c>
      <c r="W26" s="4">
        <v>80000</v>
      </c>
      <c r="X26" s="4">
        <v>20089</v>
      </c>
      <c r="Y26">
        <v>0</v>
      </c>
      <c r="Z26">
        <v>0</v>
      </c>
      <c r="AA26">
        <v>0</v>
      </c>
      <c r="AD26">
        <v>0</v>
      </c>
      <c r="AM26" t="s">
        <v>821</v>
      </c>
      <c r="AN26" t="s">
        <v>107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822</v>
      </c>
      <c r="BA26">
        <v>0</v>
      </c>
      <c r="BC26" t="s">
        <v>107</v>
      </c>
      <c r="BF26" t="s">
        <v>823</v>
      </c>
    </row>
    <row r="27" spans="1:58" x14ac:dyDescent="0.35">
      <c r="A27" t="s">
        <v>824</v>
      </c>
      <c r="B27">
        <v>10000</v>
      </c>
      <c r="C27">
        <v>20000</v>
      </c>
      <c r="D27" s="2">
        <v>45720</v>
      </c>
      <c r="E27" t="s">
        <v>61</v>
      </c>
      <c r="F27" t="s">
        <v>825</v>
      </c>
      <c r="G27" t="s">
        <v>826</v>
      </c>
      <c r="I27">
        <v>1</v>
      </c>
      <c r="J27" t="s">
        <v>63</v>
      </c>
      <c r="K27">
        <v>94</v>
      </c>
      <c r="L27" t="s">
        <v>181</v>
      </c>
      <c r="M27">
        <v>500</v>
      </c>
      <c r="P27" s="2">
        <v>45720</v>
      </c>
      <c r="R27">
        <v>4</v>
      </c>
      <c r="S27" s="4">
        <v>2000</v>
      </c>
      <c r="T27" t="s">
        <v>65</v>
      </c>
      <c r="U27" t="s">
        <v>827</v>
      </c>
      <c r="V27">
        <v>0</v>
      </c>
      <c r="W27" s="4">
        <v>2000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828</v>
      </c>
      <c r="AN27" t="s">
        <v>829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830</v>
      </c>
      <c r="BA27">
        <v>0</v>
      </c>
      <c r="BC27" t="s">
        <v>829</v>
      </c>
      <c r="BF27" t="s">
        <v>831</v>
      </c>
    </row>
    <row r="28" spans="1:58" x14ac:dyDescent="0.35">
      <c r="A28" t="s">
        <v>832</v>
      </c>
      <c r="B28">
        <v>10000</v>
      </c>
      <c r="C28">
        <v>10000</v>
      </c>
      <c r="D28" s="2">
        <v>45721</v>
      </c>
      <c r="E28" t="s">
        <v>61</v>
      </c>
      <c r="F28" t="s">
        <v>833</v>
      </c>
      <c r="G28" t="s">
        <v>834</v>
      </c>
      <c r="I28">
        <v>1</v>
      </c>
      <c r="J28" t="s">
        <v>63</v>
      </c>
      <c r="K28">
        <v>22</v>
      </c>
      <c r="L28" t="s">
        <v>466</v>
      </c>
      <c r="M28" s="4">
        <v>15000</v>
      </c>
      <c r="P28" s="2">
        <v>45720</v>
      </c>
      <c r="R28">
        <v>2</v>
      </c>
      <c r="S28" s="4">
        <v>30000</v>
      </c>
      <c r="T28" t="s">
        <v>65</v>
      </c>
      <c r="U28" t="s">
        <v>835</v>
      </c>
      <c r="V28">
        <v>0</v>
      </c>
      <c r="W28" s="4">
        <v>30000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836</v>
      </c>
      <c r="AN28" t="s">
        <v>116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837</v>
      </c>
      <c r="BA28">
        <v>0</v>
      </c>
      <c r="BC28" t="s">
        <v>116</v>
      </c>
      <c r="BF28" t="s">
        <v>838</v>
      </c>
    </row>
    <row r="29" spans="1:58" x14ac:dyDescent="0.35">
      <c r="A29" t="s">
        <v>839</v>
      </c>
      <c r="B29">
        <v>10000</v>
      </c>
      <c r="C29">
        <v>10000</v>
      </c>
      <c r="D29" s="2">
        <v>45720</v>
      </c>
      <c r="E29" t="s">
        <v>61</v>
      </c>
      <c r="F29" t="s">
        <v>840</v>
      </c>
      <c r="G29" t="s">
        <v>465</v>
      </c>
      <c r="I29">
        <v>1</v>
      </c>
      <c r="J29" t="s">
        <v>63</v>
      </c>
      <c r="K29">
        <v>22</v>
      </c>
      <c r="L29" t="s">
        <v>466</v>
      </c>
      <c r="M29" s="4">
        <v>15000</v>
      </c>
      <c r="P29" s="2">
        <v>45720</v>
      </c>
      <c r="R29">
        <v>1</v>
      </c>
      <c r="S29" s="4">
        <v>15000</v>
      </c>
      <c r="T29" t="s">
        <v>65</v>
      </c>
      <c r="U29" t="s">
        <v>841</v>
      </c>
      <c r="V29">
        <v>0</v>
      </c>
      <c r="W29" s="4">
        <v>15000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842</v>
      </c>
      <c r="AN29" t="s">
        <v>116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843</v>
      </c>
      <c r="BA29">
        <v>0</v>
      </c>
      <c r="BC29" t="s">
        <v>116</v>
      </c>
      <c r="BF29" t="s">
        <v>838</v>
      </c>
    </row>
    <row r="30" spans="1:58" x14ac:dyDescent="0.35">
      <c r="A30" t="s">
        <v>844</v>
      </c>
      <c r="B30">
        <v>10000</v>
      </c>
      <c r="C30">
        <v>10000</v>
      </c>
      <c r="D30" s="2">
        <v>45720</v>
      </c>
      <c r="E30" t="s">
        <v>61</v>
      </c>
      <c r="F30" t="s">
        <v>845</v>
      </c>
      <c r="G30" t="s">
        <v>472</v>
      </c>
      <c r="I30">
        <v>1</v>
      </c>
      <c r="J30" t="s">
        <v>63</v>
      </c>
      <c r="K30">
        <v>61</v>
      </c>
      <c r="L30" t="s">
        <v>197</v>
      </c>
      <c r="M30" s="4">
        <v>8334</v>
      </c>
      <c r="P30" s="2">
        <v>45720</v>
      </c>
      <c r="R30">
        <v>6</v>
      </c>
      <c r="S30" s="4">
        <v>50004</v>
      </c>
      <c r="T30" t="s">
        <v>65</v>
      </c>
      <c r="U30" t="s">
        <v>198</v>
      </c>
      <c r="V30">
        <v>0</v>
      </c>
      <c r="W30" s="4">
        <v>50000</v>
      </c>
      <c r="X30">
        <v>4</v>
      </c>
      <c r="Y30">
        <v>0</v>
      </c>
      <c r="Z30">
        <v>0</v>
      </c>
      <c r="AA30">
        <v>0</v>
      </c>
      <c r="AD30">
        <v>0</v>
      </c>
      <c r="AM30" t="s">
        <v>199</v>
      </c>
      <c r="AN30" t="s">
        <v>116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846</v>
      </c>
      <c r="BA30">
        <v>0</v>
      </c>
      <c r="BC30" t="s">
        <v>116</v>
      </c>
      <c r="BF30" t="s">
        <v>847</v>
      </c>
    </row>
    <row r="31" spans="1:58" x14ac:dyDescent="0.35">
      <c r="A31" t="s">
        <v>848</v>
      </c>
      <c r="B31">
        <v>10000</v>
      </c>
      <c r="C31">
        <v>10000</v>
      </c>
      <c r="D31" s="2">
        <v>45720</v>
      </c>
      <c r="E31" t="s">
        <v>61</v>
      </c>
      <c r="F31" t="s">
        <v>849</v>
      </c>
      <c r="G31" t="s">
        <v>498</v>
      </c>
      <c r="I31">
        <v>1</v>
      </c>
      <c r="J31" t="s">
        <v>63</v>
      </c>
      <c r="K31">
        <v>12</v>
      </c>
      <c r="L31" t="s">
        <v>478</v>
      </c>
      <c r="M31" s="4">
        <v>3000</v>
      </c>
      <c r="P31" s="2">
        <v>45720</v>
      </c>
      <c r="R31">
        <v>1</v>
      </c>
      <c r="S31" s="4">
        <v>3000</v>
      </c>
      <c r="T31" t="s">
        <v>65</v>
      </c>
      <c r="U31">
        <v>107475960001</v>
      </c>
      <c r="V31">
        <v>0</v>
      </c>
      <c r="W31" s="4">
        <v>3000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10747596</v>
      </c>
      <c r="AN31" t="s">
        <v>487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850</v>
      </c>
      <c r="BA31">
        <v>0</v>
      </c>
      <c r="BC31" t="s">
        <v>487</v>
      </c>
      <c r="BF31" t="s">
        <v>851</v>
      </c>
    </row>
    <row r="32" spans="1:58" x14ac:dyDescent="0.35">
      <c r="A32" t="s">
        <v>852</v>
      </c>
      <c r="B32">
        <v>10000</v>
      </c>
      <c r="C32">
        <v>10000</v>
      </c>
      <c r="D32" s="2">
        <v>45720</v>
      </c>
      <c r="E32" t="s">
        <v>61</v>
      </c>
      <c r="F32" t="s">
        <v>853</v>
      </c>
      <c r="G32" t="s">
        <v>854</v>
      </c>
      <c r="I32">
        <v>1</v>
      </c>
      <c r="J32" t="s">
        <v>63</v>
      </c>
      <c r="K32">
        <v>78</v>
      </c>
      <c r="L32" t="s">
        <v>188</v>
      </c>
      <c r="M32" s="4">
        <v>4000</v>
      </c>
      <c r="P32" s="2">
        <v>45720</v>
      </c>
      <c r="R32">
        <v>5</v>
      </c>
      <c r="S32" s="4">
        <v>20000</v>
      </c>
      <c r="T32" t="s">
        <v>65</v>
      </c>
      <c r="U32" t="s">
        <v>855</v>
      </c>
      <c r="V32">
        <v>0</v>
      </c>
      <c r="W32" s="4">
        <v>20000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856</v>
      </c>
      <c r="AN32" t="s">
        <v>206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857</v>
      </c>
      <c r="BA32">
        <v>0</v>
      </c>
      <c r="BC32" t="s">
        <v>206</v>
      </c>
      <c r="BF32" t="s">
        <v>208</v>
      </c>
    </row>
    <row r="33" spans="1:58" x14ac:dyDescent="0.35">
      <c r="A33" t="s">
        <v>858</v>
      </c>
      <c r="B33">
        <v>10000</v>
      </c>
      <c r="C33">
        <v>10000</v>
      </c>
      <c r="D33" s="2">
        <v>45721</v>
      </c>
      <c r="E33" t="s">
        <v>61</v>
      </c>
      <c r="F33" t="s">
        <v>859</v>
      </c>
      <c r="G33" t="s">
        <v>860</v>
      </c>
      <c r="I33">
        <v>1</v>
      </c>
      <c r="J33" t="s">
        <v>63</v>
      </c>
      <c r="K33">
        <v>26</v>
      </c>
      <c r="L33" t="s">
        <v>249</v>
      </c>
      <c r="M33" s="4">
        <v>13500</v>
      </c>
      <c r="P33" s="2">
        <v>45720</v>
      </c>
      <c r="R33">
        <v>4</v>
      </c>
      <c r="S33" s="4">
        <v>54000</v>
      </c>
      <c r="T33" t="s">
        <v>65</v>
      </c>
      <c r="U33" t="s">
        <v>861</v>
      </c>
      <c r="V33">
        <v>0</v>
      </c>
      <c r="W33" s="4">
        <v>54000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862</v>
      </c>
      <c r="AN33" t="s">
        <v>157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863</v>
      </c>
      <c r="BA33">
        <v>0</v>
      </c>
      <c r="BC33" t="s">
        <v>157</v>
      </c>
      <c r="BF33" t="s">
        <v>864</v>
      </c>
    </row>
    <row r="34" spans="1:58" x14ac:dyDescent="0.35">
      <c r="A34" t="s">
        <v>865</v>
      </c>
      <c r="B34">
        <v>10000</v>
      </c>
      <c r="C34">
        <v>10000</v>
      </c>
      <c r="D34" s="2">
        <v>45720</v>
      </c>
      <c r="E34" t="s">
        <v>61</v>
      </c>
      <c r="F34" s="3">
        <v>0.42174768518518518</v>
      </c>
      <c r="G34" t="s">
        <v>505</v>
      </c>
      <c r="I34">
        <v>1</v>
      </c>
      <c r="J34" t="s">
        <v>63</v>
      </c>
      <c r="K34">
        <v>65</v>
      </c>
      <c r="L34" t="s">
        <v>268</v>
      </c>
      <c r="M34" s="4">
        <v>2250</v>
      </c>
      <c r="P34" s="2">
        <v>45720</v>
      </c>
      <c r="R34">
        <v>80</v>
      </c>
      <c r="S34" s="4">
        <v>180000</v>
      </c>
      <c r="T34" t="s">
        <v>65</v>
      </c>
      <c r="U34" t="s">
        <v>506</v>
      </c>
      <c r="V34">
        <v>0</v>
      </c>
      <c r="W34" s="4">
        <v>180000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507</v>
      </c>
      <c r="AN34" t="s">
        <v>508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866</v>
      </c>
      <c r="BA34">
        <v>0</v>
      </c>
      <c r="BC34" t="s">
        <v>508</v>
      </c>
      <c r="BF34" t="s">
        <v>867</v>
      </c>
    </row>
    <row r="35" spans="1:58" x14ac:dyDescent="0.35">
      <c r="A35" t="s">
        <v>868</v>
      </c>
      <c r="B35">
        <v>10000</v>
      </c>
      <c r="C35">
        <v>20000</v>
      </c>
      <c r="D35" s="2">
        <v>45721</v>
      </c>
      <c r="E35" t="s">
        <v>61</v>
      </c>
      <c r="F35" t="s">
        <v>869</v>
      </c>
      <c r="G35" t="s">
        <v>826</v>
      </c>
      <c r="I35">
        <v>1</v>
      </c>
      <c r="J35" t="s">
        <v>63</v>
      </c>
      <c r="K35">
        <v>94</v>
      </c>
      <c r="L35" t="s">
        <v>181</v>
      </c>
      <c r="M35" s="4">
        <v>3000</v>
      </c>
      <c r="P35" s="2">
        <v>45720</v>
      </c>
      <c r="R35">
        <v>4</v>
      </c>
      <c r="S35" s="4">
        <v>12000</v>
      </c>
      <c r="T35" t="s">
        <v>65</v>
      </c>
      <c r="U35" t="s">
        <v>870</v>
      </c>
      <c r="V35">
        <v>0</v>
      </c>
      <c r="W35" s="4">
        <v>12000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871</v>
      </c>
      <c r="AN35" t="s">
        <v>364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872</v>
      </c>
      <c r="BA35">
        <v>0</v>
      </c>
      <c r="BC35" t="s">
        <v>364</v>
      </c>
      <c r="BF35" t="s">
        <v>873</v>
      </c>
    </row>
    <row r="36" spans="1:58" x14ac:dyDescent="0.35">
      <c r="A36" t="s">
        <v>874</v>
      </c>
      <c r="B36">
        <v>10000</v>
      </c>
      <c r="C36">
        <v>10000</v>
      </c>
      <c r="D36" s="2">
        <v>45722</v>
      </c>
      <c r="E36" t="s">
        <v>61</v>
      </c>
      <c r="F36" t="s">
        <v>875</v>
      </c>
      <c r="G36">
        <v>501222196</v>
      </c>
      <c r="I36">
        <v>1</v>
      </c>
      <c r="J36" t="s">
        <v>63</v>
      </c>
      <c r="K36">
        <v>72</v>
      </c>
      <c r="L36" t="s">
        <v>528</v>
      </c>
      <c r="M36" s="4">
        <v>1667</v>
      </c>
      <c r="P36" s="2">
        <v>45720</v>
      </c>
      <c r="R36">
        <v>30</v>
      </c>
      <c r="S36" s="4">
        <v>50010</v>
      </c>
      <c r="T36" t="s">
        <v>65</v>
      </c>
      <c r="U36" t="s">
        <v>876</v>
      </c>
      <c r="V36">
        <v>0</v>
      </c>
      <c r="W36" s="4">
        <v>40000</v>
      </c>
      <c r="X36" s="4">
        <v>10010</v>
      </c>
      <c r="Y36">
        <v>0</v>
      </c>
      <c r="Z36">
        <v>0</v>
      </c>
      <c r="AA36">
        <v>0</v>
      </c>
      <c r="AD36">
        <v>0</v>
      </c>
      <c r="AM36" t="s">
        <v>877</v>
      </c>
      <c r="AN36" t="s">
        <v>878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879</v>
      </c>
      <c r="BA36">
        <v>0</v>
      </c>
      <c r="BC36" t="s">
        <v>878</v>
      </c>
      <c r="BF36" t="s">
        <v>880</v>
      </c>
    </row>
    <row r="37" spans="1:58" x14ac:dyDescent="0.35">
      <c r="A37" t="s">
        <v>881</v>
      </c>
      <c r="B37">
        <v>10000</v>
      </c>
      <c r="C37">
        <v>10000</v>
      </c>
      <c r="D37" s="2">
        <v>45720</v>
      </c>
      <c r="E37" t="s">
        <v>61</v>
      </c>
      <c r="F37" t="s">
        <v>744</v>
      </c>
      <c r="G37" t="s">
        <v>418</v>
      </c>
      <c r="I37">
        <v>1</v>
      </c>
      <c r="J37" t="s">
        <v>63</v>
      </c>
      <c r="K37">
        <v>59</v>
      </c>
      <c r="L37" t="s">
        <v>745</v>
      </c>
      <c r="M37" s="4">
        <v>1000</v>
      </c>
      <c r="P37" s="2">
        <v>45720</v>
      </c>
      <c r="R37">
        <v>6</v>
      </c>
      <c r="S37" s="4">
        <v>6000</v>
      </c>
      <c r="T37" t="s">
        <v>65</v>
      </c>
      <c r="U37" t="s">
        <v>746</v>
      </c>
      <c r="V37">
        <v>0</v>
      </c>
      <c r="W37" s="4">
        <v>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747</v>
      </c>
      <c r="AN37" t="s">
        <v>182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882</v>
      </c>
      <c r="BA37">
        <v>0</v>
      </c>
      <c r="BC37" t="s">
        <v>182</v>
      </c>
      <c r="BF37" t="s">
        <v>883</v>
      </c>
    </row>
    <row r="38" spans="1:58" x14ac:dyDescent="0.35">
      <c r="A38" t="s">
        <v>881</v>
      </c>
      <c r="B38">
        <v>20000</v>
      </c>
      <c r="C38">
        <v>10000</v>
      </c>
      <c r="D38" s="2">
        <v>45720</v>
      </c>
      <c r="E38" t="s">
        <v>61</v>
      </c>
      <c r="F38" t="s">
        <v>744</v>
      </c>
      <c r="G38" t="s">
        <v>418</v>
      </c>
      <c r="I38">
        <v>1</v>
      </c>
      <c r="J38" t="s">
        <v>63</v>
      </c>
      <c r="K38">
        <v>59</v>
      </c>
      <c r="L38" t="s">
        <v>745</v>
      </c>
      <c r="M38">
        <v>500</v>
      </c>
      <c r="P38" s="2">
        <v>45720</v>
      </c>
      <c r="R38">
        <v>6</v>
      </c>
      <c r="S38" s="4">
        <v>3000</v>
      </c>
      <c r="T38" t="s">
        <v>65</v>
      </c>
      <c r="U38" t="s">
        <v>746</v>
      </c>
      <c r="V38">
        <v>0</v>
      </c>
      <c r="W38" s="4">
        <v>3000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747</v>
      </c>
      <c r="AN38" t="s">
        <v>182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882</v>
      </c>
      <c r="BA38">
        <v>0</v>
      </c>
      <c r="BC38" t="s">
        <v>182</v>
      </c>
      <c r="BF38" t="s">
        <v>883</v>
      </c>
    </row>
    <row r="39" spans="1:58" x14ac:dyDescent="0.35">
      <c r="A39" t="s">
        <v>884</v>
      </c>
      <c r="B39">
        <v>10000</v>
      </c>
      <c r="C39">
        <v>10000</v>
      </c>
      <c r="D39" s="2">
        <v>45721</v>
      </c>
      <c r="E39" t="s">
        <v>61</v>
      </c>
      <c r="F39" s="3">
        <v>0.47946759259259258</v>
      </c>
      <c r="G39" t="s">
        <v>885</v>
      </c>
      <c r="I39">
        <v>1</v>
      </c>
      <c r="J39" t="s">
        <v>63</v>
      </c>
      <c r="K39">
        <v>59</v>
      </c>
      <c r="L39" t="s">
        <v>745</v>
      </c>
      <c r="M39" s="4">
        <v>5000</v>
      </c>
      <c r="P39" s="2">
        <v>45720</v>
      </c>
      <c r="R39">
        <v>6</v>
      </c>
      <c r="S39" s="4">
        <v>30000</v>
      </c>
      <c r="T39" t="s">
        <v>65</v>
      </c>
      <c r="U39" t="s">
        <v>886</v>
      </c>
      <c r="V39">
        <v>0</v>
      </c>
      <c r="W39" s="4">
        <v>30000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887</v>
      </c>
      <c r="AN39" t="s">
        <v>311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888</v>
      </c>
      <c r="BA39">
        <v>0</v>
      </c>
      <c r="BC39" t="s">
        <v>311</v>
      </c>
      <c r="BF39" t="s">
        <v>889</v>
      </c>
    </row>
    <row r="40" spans="1:58" x14ac:dyDescent="0.35">
      <c r="A40" t="s">
        <v>890</v>
      </c>
      <c r="B40">
        <v>10000</v>
      </c>
      <c r="C40">
        <v>10000</v>
      </c>
      <c r="D40" s="2">
        <v>45720</v>
      </c>
      <c r="E40" t="s">
        <v>61</v>
      </c>
      <c r="F40" t="s">
        <v>275</v>
      </c>
      <c r="G40" t="s">
        <v>891</v>
      </c>
      <c r="I40">
        <v>1</v>
      </c>
      <c r="J40" t="s">
        <v>63</v>
      </c>
      <c r="K40">
        <v>71</v>
      </c>
      <c r="L40" t="s">
        <v>135</v>
      </c>
      <c r="M40" s="4">
        <v>2500</v>
      </c>
      <c r="P40" s="2">
        <v>45720</v>
      </c>
      <c r="R40">
        <v>4</v>
      </c>
      <c r="S40" s="4">
        <v>10000</v>
      </c>
      <c r="T40" t="s">
        <v>65</v>
      </c>
      <c r="U40">
        <v>83624410001</v>
      </c>
      <c r="V40">
        <v>0</v>
      </c>
      <c r="W40" s="4">
        <v>10000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8362441</v>
      </c>
      <c r="AN40" t="s">
        <v>91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892</v>
      </c>
      <c r="BA40">
        <v>0</v>
      </c>
      <c r="BC40" t="s">
        <v>91</v>
      </c>
      <c r="BF40" t="s">
        <v>893</v>
      </c>
    </row>
    <row r="41" spans="1:58" x14ac:dyDescent="0.35">
      <c r="A41" t="s">
        <v>894</v>
      </c>
      <c r="B41">
        <v>10000</v>
      </c>
      <c r="C41">
        <v>10000</v>
      </c>
      <c r="D41" s="2">
        <v>45720</v>
      </c>
      <c r="E41" t="s">
        <v>61</v>
      </c>
      <c r="F41" t="s">
        <v>849</v>
      </c>
      <c r="G41" t="s">
        <v>895</v>
      </c>
      <c r="I41">
        <v>1</v>
      </c>
      <c r="J41" t="s">
        <v>63</v>
      </c>
      <c r="K41">
        <v>71</v>
      </c>
      <c r="L41" t="s">
        <v>135</v>
      </c>
      <c r="M41" s="4">
        <v>1667</v>
      </c>
      <c r="P41" s="2">
        <v>45720</v>
      </c>
      <c r="R41">
        <v>6</v>
      </c>
      <c r="S41" s="4">
        <v>10002</v>
      </c>
      <c r="T41" t="s">
        <v>65</v>
      </c>
      <c r="U41">
        <v>83634480001</v>
      </c>
      <c r="V41">
        <v>0</v>
      </c>
      <c r="W41" s="4">
        <v>10000</v>
      </c>
      <c r="X41">
        <v>2</v>
      </c>
      <c r="Y41">
        <v>0</v>
      </c>
      <c r="Z41">
        <v>0</v>
      </c>
      <c r="AA41">
        <v>0</v>
      </c>
      <c r="AD41">
        <v>0</v>
      </c>
      <c r="AM41">
        <v>8363448</v>
      </c>
      <c r="AN41" t="s">
        <v>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896</v>
      </c>
      <c r="BA41">
        <v>0</v>
      </c>
      <c r="BC41" t="s">
        <v>91</v>
      </c>
      <c r="BF41" t="s">
        <v>893</v>
      </c>
    </row>
    <row r="42" spans="1:58" x14ac:dyDescent="0.35">
      <c r="A42" t="s">
        <v>897</v>
      </c>
      <c r="B42">
        <v>10000</v>
      </c>
      <c r="C42">
        <v>10000</v>
      </c>
      <c r="D42" s="2">
        <v>45721</v>
      </c>
      <c r="E42" t="s">
        <v>61</v>
      </c>
      <c r="F42" t="s">
        <v>898</v>
      </c>
      <c r="G42" t="s">
        <v>899</v>
      </c>
      <c r="I42">
        <v>1</v>
      </c>
      <c r="J42" t="s">
        <v>63</v>
      </c>
      <c r="K42">
        <v>93</v>
      </c>
      <c r="L42" t="s">
        <v>900</v>
      </c>
      <c r="M42">
        <v>500</v>
      </c>
      <c r="P42" s="2">
        <v>45720</v>
      </c>
      <c r="R42">
        <v>342</v>
      </c>
      <c r="S42" s="4">
        <v>171000</v>
      </c>
      <c r="T42" t="s">
        <v>65</v>
      </c>
      <c r="U42" t="s">
        <v>901</v>
      </c>
      <c r="V42">
        <v>0</v>
      </c>
      <c r="W42" s="4">
        <v>105000</v>
      </c>
      <c r="X42" s="4">
        <v>66000</v>
      </c>
      <c r="Y42">
        <v>0</v>
      </c>
      <c r="Z42">
        <v>0</v>
      </c>
      <c r="AA42">
        <v>0</v>
      </c>
      <c r="AD42">
        <v>0</v>
      </c>
      <c r="AM42" t="s">
        <v>902</v>
      </c>
      <c r="AN42" t="s">
        <v>903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904</v>
      </c>
      <c r="BA42">
        <v>0</v>
      </c>
      <c r="BC42" t="s">
        <v>903</v>
      </c>
      <c r="BF42" t="s">
        <v>905</v>
      </c>
    </row>
    <row r="43" spans="1:58" x14ac:dyDescent="0.35">
      <c r="A43" t="s">
        <v>906</v>
      </c>
      <c r="B43">
        <v>10000</v>
      </c>
      <c r="C43">
        <v>10000</v>
      </c>
      <c r="D43" s="2">
        <v>45721</v>
      </c>
      <c r="E43" t="s">
        <v>61</v>
      </c>
      <c r="F43" s="3">
        <v>0.48063657407407406</v>
      </c>
      <c r="G43">
        <v>501222196</v>
      </c>
      <c r="I43">
        <v>1</v>
      </c>
      <c r="J43" t="s">
        <v>63</v>
      </c>
      <c r="K43">
        <v>72</v>
      </c>
      <c r="L43" t="s">
        <v>528</v>
      </c>
      <c r="M43" s="4">
        <v>1400</v>
      </c>
      <c r="P43" s="2">
        <v>45720</v>
      </c>
      <c r="R43">
        <v>10</v>
      </c>
      <c r="S43" s="4">
        <v>14000</v>
      </c>
      <c r="T43" t="s">
        <v>65</v>
      </c>
      <c r="U43" t="s">
        <v>907</v>
      </c>
      <c r="V43">
        <v>0</v>
      </c>
      <c r="W43" s="4">
        <v>10000</v>
      </c>
      <c r="X43" s="4">
        <v>4000</v>
      </c>
      <c r="Y43">
        <v>0</v>
      </c>
      <c r="Z43">
        <v>0</v>
      </c>
      <c r="AA43">
        <v>0</v>
      </c>
      <c r="AD43">
        <v>0</v>
      </c>
      <c r="AM43" t="s">
        <v>908</v>
      </c>
      <c r="AN43" t="s">
        <v>909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910</v>
      </c>
      <c r="BA43">
        <v>0</v>
      </c>
      <c r="BC43" t="s">
        <v>909</v>
      </c>
      <c r="BF43" t="s">
        <v>911</v>
      </c>
    </row>
    <row r="44" spans="1:58" x14ac:dyDescent="0.35">
      <c r="A44" t="s">
        <v>912</v>
      </c>
      <c r="B44">
        <v>10000</v>
      </c>
      <c r="C44">
        <v>20000</v>
      </c>
      <c r="D44" s="2">
        <v>45721</v>
      </c>
      <c r="E44" t="s">
        <v>61</v>
      </c>
      <c r="F44" t="s">
        <v>913</v>
      </c>
      <c r="G44" t="s">
        <v>914</v>
      </c>
      <c r="I44">
        <v>2</v>
      </c>
      <c r="J44" t="s">
        <v>63</v>
      </c>
      <c r="K44">
        <v>77</v>
      </c>
      <c r="L44" t="s">
        <v>127</v>
      </c>
      <c r="M44">
        <v>100</v>
      </c>
      <c r="P44" s="2">
        <v>45720</v>
      </c>
      <c r="R44">
        <v>25</v>
      </c>
      <c r="S44" s="4">
        <v>2500</v>
      </c>
      <c r="T44" t="s">
        <v>65</v>
      </c>
      <c r="U44" t="s">
        <v>915</v>
      </c>
      <c r="V44">
        <v>0</v>
      </c>
      <c r="W44" s="4">
        <v>1000</v>
      </c>
      <c r="X44" s="4">
        <v>1500</v>
      </c>
      <c r="Y44">
        <v>0</v>
      </c>
      <c r="Z44">
        <v>0</v>
      </c>
      <c r="AA44">
        <v>0</v>
      </c>
      <c r="AD44">
        <v>0</v>
      </c>
      <c r="AM44" t="s">
        <v>916</v>
      </c>
      <c r="AN44" t="s">
        <v>68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917</v>
      </c>
      <c r="BA44">
        <v>0</v>
      </c>
      <c r="BC44" t="s">
        <v>68</v>
      </c>
      <c r="BF44" t="s">
        <v>918</v>
      </c>
    </row>
    <row r="45" spans="1:58" x14ac:dyDescent="0.35">
      <c r="A45" t="s">
        <v>919</v>
      </c>
      <c r="B45">
        <v>10000</v>
      </c>
      <c r="C45">
        <v>20000</v>
      </c>
      <c r="D45" s="2">
        <v>45721</v>
      </c>
      <c r="E45" t="s">
        <v>61</v>
      </c>
      <c r="F45" t="s">
        <v>920</v>
      </c>
      <c r="G45" t="s">
        <v>914</v>
      </c>
      <c r="I45">
        <v>2</v>
      </c>
      <c r="J45" t="s">
        <v>63</v>
      </c>
      <c r="K45">
        <v>77</v>
      </c>
      <c r="L45" t="s">
        <v>127</v>
      </c>
      <c r="M45">
        <v>100</v>
      </c>
      <c r="P45" s="2">
        <v>45720</v>
      </c>
      <c r="R45">
        <v>25</v>
      </c>
      <c r="S45" s="4">
        <v>2500</v>
      </c>
      <c r="T45" t="s">
        <v>65</v>
      </c>
      <c r="U45" t="s">
        <v>921</v>
      </c>
      <c r="V45">
        <v>0</v>
      </c>
      <c r="W45" s="4">
        <v>1000</v>
      </c>
      <c r="X45" s="4">
        <v>1500</v>
      </c>
      <c r="Y45">
        <v>0</v>
      </c>
      <c r="Z45">
        <v>0</v>
      </c>
      <c r="AA45">
        <v>0</v>
      </c>
      <c r="AD45">
        <v>0</v>
      </c>
      <c r="AM45" t="s">
        <v>922</v>
      </c>
      <c r="AN45" t="s">
        <v>68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923</v>
      </c>
      <c r="BA45">
        <v>0</v>
      </c>
      <c r="BC45" t="s">
        <v>68</v>
      </c>
      <c r="BF45" t="s">
        <v>924</v>
      </c>
    </row>
    <row r="46" spans="1:58" x14ac:dyDescent="0.35">
      <c r="A46" t="s">
        <v>925</v>
      </c>
      <c r="B46">
        <v>10000</v>
      </c>
      <c r="C46">
        <v>20000</v>
      </c>
      <c r="D46" s="2">
        <v>45721</v>
      </c>
      <c r="E46" t="s">
        <v>61</v>
      </c>
      <c r="F46" t="s">
        <v>926</v>
      </c>
      <c r="G46" t="s">
        <v>914</v>
      </c>
      <c r="I46">
        <v>2</v>
      </c>
      <c r="J46" t="s">
        <v>63</v>
      </c>
      <c r="K46">
        <v>77</v>
      </c>
      <c r="L46" t="s">
        <v>127</v>
      </c>
      <c r="M46">
        <v>480</v>
      </c>
      <c r="P46" s="2">
        <v>45720</v>
      </c>
      <c r="R46">
        <v>25</v>
      </c>
      <c r="S46" s="4">
        <v>12000</v>
      </c>
      <c r="T46" t="s">
        <v>65</v>
      </c>
      <c r="U46" t="s">
        <v>927</v>
      </c>
      <c r="V46">
        <v>0</v>
      </c>
      <c r="W46" s="4">
        <v>10000</v>
      </c>
      <c r="X46" s="4">
        <v>2000</v>
      </c>
      <c r="Y46">
        <v>0</v>
      </c>
      <c r="Z46">
        <v>0</v>
      </c>
      <c r="AA46">
        <v>0</v>
      </c>
      <c r="AD46">
        <v>0</v>
      </c>
      <c r="AM46" t="s">
        <v>928</v>
      </c>
      <c r="AN46" t="s">
        <v>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929</v>
      </c>
      <c r="BA46">
        <v>0</v>
      </c>
      <c r="BC46" t="s">
        <v>68</v>
      </c>
      <c r="BF46" t="s">
        <v>930</v>
      </c>
    </row>
    <row r="47" spans="1:58" x14ac:dyDescent="0.35">
      <c r="A47" t="s">
        <v>931</v>
      </c>
      <c r="B47">
        <v>10000</v>
      </c>
      <c r="C47">
        <v>20000</v>
      </c>
      <c r="D47" s="2">
        <v>45721</v>
      </c>
      <c r="E47" t="s">
        <v>61</v>
      </c>
      <c r="F47" t="s">
        <v>932</v>
      </c>
      <c r="G47" t="s">
        <v>914</v>
      </c>
      <c r="I47">
        <v>2</v>
      </c>
      <c r="J47" t="s">
        <v>63</v>
      </c>
      <c r="K47">
        <v>77</v>
      </c>
      <c r="L47" t="s">
        <v>127</v>
      </c>
      <c r="M47">
        <v>179</v>
      </c>
      <c r="P47" s="2">
        <v>45720</v>
      </c>
      <c r="R47">
        <v>168</v>
      </c>
      <c r="S47" s="4">
        <v>30072</v>
      </c>
      <c r="T47" t="s">
        <v>65</v>
      </c>
      <c r="U47" t="s">
        <v>933</v>
      </c>
      <c r="V47">
        <v>0</v>
      </c>
      <c r="W47" s="4">
        <v>10000</v>
      </c>
      <c r="X47" s="4">
        <v>20072</v>
      </c>
      <c r="Y47">
        <v>0</v>
      </c>
      <c r="Z47">
        <v>0</v>
      </c>
      <c r="AA47">
        <v>0</v>
      </c>
      <c r="AD47">
        <v>0</v>
      </c>
      <c r="AM47" t="s">
        <v>934</v>
      </c>
      <c r="AN47" t="s">
        <v>68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935</v>
      </c>
      <c r="BA47">
        <v>0</v>
      </c>
      <c r="BC47" t="s">
        <v>68</v>
      </c>
      <c r="BF47" t="s">
        <v>936</v>
      </c>
    </row>
    <row r="48" spans="1:58" x14ac:dyDescent="0.35">
      <c r="A48" t="s">
        <v>937</v>
      </c>
      <c r="B48">
        <v>10000</v>
      </c>
      <c r="C48">
        <v>20000</v>
      </c>
      <c r="D48" s="2">
        <v>45721</v>
      </c>
      <c r="E48" t="s">
        <v>61</v>
      </c>
      <c r="F48" t="s">
        <v>938</v>
      </c>
      <c r="G48" t="s">
        <v>914</v>
      </c>
      <c r="I48">
        <v>2</v>
      </c>
      <c r="J48" t="s">
        <v>63</v>
      </c>
      <c r="K48">
        <v>77</v>
      </c>
      <c r="L48" t="s">
        <v>127</v>
      </c>
      <c r="M48">
        <v>179</v>
      </c>
      <c r="P48" s="2">
        <v>45720</v>
      </c>
      <c r="R48">
        <v>168</v>
      </c>
      <c r="S48" s="4">
        <v>30072</v>
      </c>
      <c r="T48" t="s">
        <v>65</v>
      </c>
      <c r="U48" t="s">
        <v>939</v>
      </c>
      <c r="V48">
        <v>0</v>
      </c>
      <c r="W48" s="4">
        <v>10000</v>
      </c>
      <c r="X48" s="4">
        <v>20072</v>
      </c>
      <c r="Y48">
        <v>0</v>
      </c>
      <c r="Z48">
        <v>0</v>
      </c>
      <c r="AA48">
        <v>0</v>
      </c>
      <c r="AD48">
        <v>0</v>
      </c>
      <c r="AM48" t="s">
        <v>940</v>
      </c>
      <c r="AN48" t="s">
        <v>68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941</v>
      </c>
      <c r="BA48">
        <v>0</v>
      </c>
      <c r="BC48" t="s">
        <v>68</v>
      </c>
      <c r="BF48" t="s">
        <v>942</v>
      </c>
    </row>
    <row r="49" spans="1:58" x14ac:dyDescent="0.35">
      <c r="A49" t="s">
        <v>943</v>
      </c>
      <c r="B49">
        <v>10000</v>
      </c>
      <c r="C49">
        <v>20000</v>
      </c>
      <c r="D49" s="2">
        <v>45721</v>
      </c>
      <c r="E49" t="s">
        <v>61</v>
      </c>
      <c r="F49" t="s">
        <v>944</v>
      </c>
      <c r="G49">
        <v>10639931007</v>
      </c>
      <c r="I49">
        <v>2</v>
      </c>
      <c r="J49" t="s">
        <v>63</v>
      </c>
      <c r="K49">
        <v>77</v>
      </c>
      <c r="L49" t="s">
        <v>127</v>
      </c>
      <c r="M49" s="4">
        <v>1834</v>
      </c>
      <c r="P49" s="2">
        <v>45720</v>
      </c>
      <c r="R49">
        <v>180</v>
      </c>
      <c r="S49" s="4">
        <v>330120</v>
      </c>
      <c r="T49" t="s">
        <v>65</v>
      </c>
      <c r="U49" t="s">
        <v>945</v>
      </c>
      <c r="V49">
        <v>0</v>
      </c>
      <c r="W49" s="4">
        <v>280000</v>
      </c>
      <c r="X49" s="4">
        <v>50120</v>
      </c>
      <c r="Y49">
        <v>0</v>
      </c>
      <c r="Z49">
        <v>0</v>
      </c>
      <c r="AA49">
        <v>0</v>
      </c>
      <c r="AD49">
        <v>0</v>
      </c>
      <c r="AM49" t="s">
        <v>946</v>
      </c>
      <c r="AN49" t="s">
        <v>107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947</v>
      </c>
      <c r="BA49">
        <v>0</v>
      </c>
      <c r="BC49" t="s">
        <v>107</v>
      </c>
      <c r="BF49" t="s">
        <v>948</v>
      </c>
    </row>
    <row r="50" spans="1:58" x14ac:dyDescent="0.35">
      <c r="A50" t="s">
        <v>949</v>
      </c>
      <c r="B50">
        <v>10000</v>
      </c>
      <c r="C50">
        <v>10000</v>
      </c>
      <c r="D50" s="2">
        <v>45729</v>
      </c>
      <c r="E50" t="s">
        <v>61</v>
      </c>
      <c r="F50" t="s">
        <v>950</v>
      </c>
      <c r="G50">
        <v>10639931049</v>
      </c>
      <c r="I50">
        <v>1</v>
      </c>
      <c r="J50" t="s">
        <v>63</v>
      </c>
      <c r="K50">
        <v>79</v>
      </c>
      <c r="L50" t="s">
        <v>573</v>
      </c>
      <c r="M50" s="4">
        <v>1073</v>
      </c>
      <c r="P50" s="2">
        <v>45720</v>
      </c>
      <c r="R50">
        <v>176</v>
      </c>
      <c r="S50" s="4">
        <v>188848</v>
      </c>
      <c r="T50" t="s">
        <v>65</v>
      </c>
      <c r="U50" t="s">
        <v>951</v>
      </c>
      <c r="V50">
        <v>0</v>
      </c>
      <c r="W50" s="4">
        <v>160000</v>
      </c>
      <c r="X50" s="4">
        <v>28848</v>
      </c>
      <c r="Y50">
        <v>0</v>
      </c>
      <c r="Z50">
        <v>0</v>
      </c>
      <c r="AA50">
        <v>0</v>
      </c>
      <c r="AD50">
        <v>0</v>
      </c>
      <c r="AM50" t="s">
        <v>952</v>
      </c>
      <c r="AN50" t="s">
        <v>107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953</v>
      </c>
      <c r="BA50">
        <v>0</v>
      </c>
      <c r="BC50" t="s">
        <v>107</v>
      </c>
      <c r="BF50" t="s">
        <v>954</v>
      </c>
    </row>
    <row r="51" spans="1:58" x14ac:dyDescent="0.35">
      <c r="A51" t="s">
        <v>955</v>
      </c>
      <c r="B51">
        <v>10000</v>
      </c>
      <c r="C51">
        <v>10000</v>
      </c>
      <c r="D51" s="2">
        <v>45734</v>
      </c>
      <c r="E51" t="s">
        <v>61</v>
      </c>
      <c r="F51" t="s">
        <v>956</v>
      </c>
      <c r="G51">
        <v>10639931051</v>
      </c>
      <c r="I51">
        <v>1</v>
      </c>
      <c r="J51" t="s">
        <v>63</v>
      </c>
      <c r="K51">
        <v>79</v>
      </c>
      <c r="L51" t="s">
        <v>573</v>
      </c>
      <c r="M51">
        <v>130</v>
      </c>
      <c r="P51" s="2">
        <v>45720</v>
      </c>
      <c r="R51">
        <v>308</v>
      </c>
      <c r="S51" s="4">
        <v>40040</v>
      </c>
      <c r="T51" t="s">
        <v>65</v>
      </c>
      <c r="U51" t="s">
        <v>957</v>
      </c>
      <c r="V51">
        <v>0</v>
      </c>
      <c r="W51" s="4">
        <v>20000</v>
      </c>
      <c r="X51" s="4">
        <v>20040</v>
      </c>
      <c r="Y51">
        <v>0</v>
      </c>
      <c r="Z51">
        <v>0</v>
      </c>
      <c r="AA51">
        <v>0</v>
      </c>
      <c r="AD51">
        <v>0</v>
      </c>
      <c r="AM51" t="s">
        <v>958</v>
      </c>
      <c r="AN51" t="s">
        <v>107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959</v>
      </c>
      <c r="BA51">
        <v>0</v>
      </c>
      <c r="BC51" t="s">
        <v>107</v>
      </c>
      <c r="BF51" t="s">
        <v>960</v>
      </c>
    </row>
    <row r="52" spans="1:58" x14ac:dyDescent="0.35">
      <c r="A52" t="s">
        <v>961</v>
      </c>
      <c r="B52">
        <v>10000</v>
      </c>
      <c r="C52">
        <v>10000</v>
      </c>
      <c r="D52" s="2">
        <v>45733</v>
      </c>
      <c r="E52" t="s">
        <v>61</v>
      </c>
      <c r="F52" t="s">
        <v>962</v>
      </c>
      <c r="G52" t="s">
        <v>963</v>
      </c>
      <c r="I52">
        <v>1</v>
      </c>
      <c r="J52" t="s">
        <v>63</v>
      </c>
      <c r="K52">
        <v>79</v>
      </c>
      <c r="L52" t="s">
        <v>573</v>
      </c>
      <c r="M52">
        <v>569</v>
      </c>
      <c r="P52" s="2">
        <v>45720</v>
      </c>
      <c r="R52">
        <v>176</v>
      </c>
      <c r="S52" s="4">
        <v>100144</v>
      </c>
      <c r="T52" t="s">
        <v>65</v>
      </c>
      <c r="U52" t="s">
        <v>964</v>
      </c>
      <c r="V52">
        <v>0</v>
      </c>
      <c r="W52" s="4">
        <v>80000</v>
      </c>
      <c r="X52" s="4">
        <v>20144</v>
      </c>
      <c r="Y52">
        <v>0</v>
      </c>
      <c r="Z52">
        <v>0</v>
      </c>
      <c r="AA52">
        <v>0</v>
      </c>
      <c r="AD52">
        <v>0</v>
      </c>
      <c r="AM52" t="s">
        <v>965</v>
      </c>
      <c r="AN52" t="s">
        <v>107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966</v>
      </c>
      <c r="BA52">
        <v>0</v>
      </c>
      <c r="BC52" t="s">
        <v>107</v>
      </c>
      <c r="BF52" t="s">
        <v>967</v>
      </c>
    </row>
    <row r="53" spans="1:58" x14ac:dyDescent="0.35">
      <c r="A53" t="s">
        <v>968</v>
      </c>
      <c r="B53">
        <v>10000</v>
      </c>
      <c r="C53">
        <v>10000</v>
      </c>
      <c r="D53" s="2">
        <v>45729</v>
      </c>
      <c r="E53" t="s">
        <v>61</v>
      </c>
      <c r="F53" t="s">
        <v>969</v>
      </c>
      <c r="G53">
        <v>10639931050</v>
      </c>
      <c r="I53">
        <v>1</v>
      </c>
      <c r="J53" t="s">
        <v>63</v>
      </c>
      <c r="K53">
        <v>79</v>
      </c>
      <c r="L53" t="s">
        <v>573</v>
      </c>
      <c r="M53">
        <v>636</v>
      </c>
      <c r="P53" s="2">
        <v>45720</v>
      </c>
      <c r="R53">
        <v>297</v>
      </c>
      <c r="S53" s="4">
        <v>188892</v>
      </c>
      <c r="T53" t="s">
        <v>65</v>
      </c>
      <c r="U53" t="s">
        <v>970</v>
      </c>
      <c r="V53">
        <v>0</v>
      </c>
      <c r="W53" s="4">
        <v>180000</v>
      </c>
      <c r="X53" s="4">
        <v>8892</v>
      </c>
      <c r="Y53">
        <v>0</v>
      </c>
      <c r="Z53">
        <v>0</v>
      </c>
      <c r="AA53">
        <v>0</v>
      </c>
      <c r="AD53">
        <v>0</v>
      </c>
      <c r="AM53" t="s">
        <v>971</v>
      </c>
      <c r="AN53" t="s">
        <v>107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972</v>
      </c>
      <c r="BA53">
        <v>0</v>
      </c>
      <c r="BC53" t="s">
        <v>107</v>
      </c>
      <c r="BF53" t="s">
        <v>973</v>
      </c>
    </row>
    <row r="54" spans="1:58" x14ac:dyDescent="0.35">
      <c r="A54" t="s">
        <v>974</v>
      </c>
      <c r="B54">
        <v>10000</v>
      </c>
      <c r="C54">
        <v>10000</v>
      </c>
      <c r="D54" s="2">
        <v>45729</v>
      </c>
      <c r="E54" t="s">
        <v>61</v>
      </c>
      <c r="F54" t="s">
        <v>975</v>
      </c>
      <c r="G54">
        <v>10639931052</v>
      </c>
      <c r="I54">
        <v>1</v>
      </c>
      <c r="J54" t="s">
        <v>63</v>
      </c>
      <c r="K54">
        <v>79</v>
      </c>
      <c r="L54" t="s">
        <v>573</v>
      </c>
      <c r="M54">
        <v>899</v>
      </c>
      <c r="P54" s="2">
        <v>45720</v>
      </c>
      <c r="R54">
        <v>297</v>
      </c>
      <c r="S54" s="4">
        <v>267003</v>
      </c>
      <c r="T54" t="s">
        <v>65</v>
      </c>
      <c r="U54" t="s">
        <v>773</v>
      </c>
      <c r="V54">
        <v>0</v>
      </c>
      <c r="W54" s="4">
        <v>230000</v>
      </c>
      <c r="X54" s="4">
        <v>37003</v>
      </c>
      <c r="Y54">
        <v>0</v>
      </c>
      <c r="Z54">
        <v>0</v>
      </c>
      <c r="AA54">
        <v>0</v>
      </c>
      <c r="AD54">
        <v>0</v>
      </c>
      <c r="AM54" t="s">
        <v>774</v>
      </c>
      <c r="AN54" t="s">
        <v>107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976</v>
      </c>
      <c r="BA54">
        <v>0</v>
      </c>
      <c r="BC54" t="s">
        <v>107</v>
      </c>
      <c r="BF54" t="s">
        <v>977</v>
      </c>
    </row>
    <row r="55" spans="1:58" x14ac:dyDescent="0.35">
      <c r="A55" t="s">
        <v>978</v>
      </c>
      <c r="B55">
        <v>10000</v>
      </c>
      <c r="C55">
        <v>10000</v>
      </c>
      <c r="D55" s="2">
        <v>45729</v>
      </c>
      <c r="E55" t="s">
        <v>61</v>
      </c>
      <c r="F55" t="s">
        <v>979</v>
      </c>
      <c r="G55" t="s">
        <v>980</v>
      </c>
      <c r="I55">
        <v>1</v>
      </c>
      <c r="J55" t="s">
        <v>63</v>
      </c>
      <c r="K55">
        <v>79</v>
      </c>
      <c r="L55" t="s">
        <v>573</v>
      </c>
      <c r="M55" s="4">
        <v>1094</v>
      </c>
      <c r="P55" s="2">
        <v>45720</v>
      </c>
      <c r="R55">
        <v>297</v>
      </c>
      <c r="S55" s="4">
        <v>324918</v>
      </c>
      <c r="T55" t="s">
        <v>65</v>
      </c>
      <c r="U55" t="s">
        <v>981</v>
      </c>
      <c r="V55">
        <v>0</v>
      </c>
      <c r="W55" s="4">
        <v>310000</v>
      </c>
      <c r="X55" s="4">
        <v>14918</v>
      </c>
      <c r="Y55">
        <v>0</v>
      </c>
      <c r="Z55">
        <v>0</v>
      </c>
      <c r="AA55">
        <v>0</v>
      </c>
      <c r="AD55">
        <v>0</v>
      </c>
      <c r="AM55" t="s">
        <v>982</v>
      </c>
      <c r="AN55" t="s">
        <v>107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983</v>
      </c>
      <c r="BA55">
        <v>0</v>
      </c>
      <c r="BC55" t="s">
        <v>107</v>
      </c>
      <c r="BF55" t="s">
        <v>984</v>
      </c>
    </row>
    <row r="56" spans="1:58" x14ac:dyDescent="0.35">
      <c r="A56" t="s">
        <v>985</v>
      </c>
      <c r="B56">
        <v>10000</v>
      </c>
      <c r="C56">
        <v>10000</v>
      </c>
      <c r="D56" s="2">
        <v>45727</v>
      </c>
      <c r="E56" t="s">
        <v>61</v>
      </c>
      <c r="F56" s="3">
        <v>0.47247685185185184</v>
      </c>
      <c r="G56" t="s">
        <v>986</v>
      </c>
      <c r="I56">
        <v>1</v>
      </c>
      <c r="J56" t="s">
        <v>63</v>
      </c>
      <c r="K56">
        <v>93</v>
      </c>
      <c r="L56" t="s">
        <v>900</v>
      </c>
      <c r="M56">
        <v>56</v>
      </c>
      <c r="P56" s="2">
        <v>45720</v>
      </c>
      <c r="R56">
        <v>36</v>
      </c>
      <c r="S56" s="4">
        <v>2016</v>
      </c>
      <c r="T56" t="s">
        <v>65</v>
      </c>
      <c r="U56" t="s">
        <v>987</v>
      </c>
      <c r="V56">
        <v>0</v>
      </c>
      <c r="W56" s="4">
        <v>1000</v>
      </c>
      <c r="X56" s="4">
        <v>1016</v>
      </c>
      <c r="Y56">
        <v>0</v>
      </c>
      <c r="Z56">
        <v>0</v>
      </c>
      <c r="AA56">
        <v>0</v>
      </c>
      <c r="AD56">
        <v>0</v>
      </c>
      <c r="AM56" t="s">
        <v>988</v>
      </c>
      <c r="AN56" t="s">
        <v>989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990</v>
      </c>
      <c r="BA56">
        <v>0</v>
      </c>
      <c r="BC56" t="s">
        <v>989</v>
      </c>
      <c r="BF56" t="s">
        <v>991</v>
      </c>
    </row>
    <row r="57" spans="1:58" x14ac:dyDescent="0.35">
      <c r="A57" t="s">
        <v>992</v>
      </c>
      <c r="B57">
        <v>10000</v>
      </c>
      <c r="C57">
        <v>20000</v>
      </c>
      <c r="D57" s="2">
        <v>45722</v>
      </c>
      <c r="E57" t="s">
        <v>61</v>
      </c>
      <c r="F57" s="3">
        <v>0.4880902777777778</v>
      </c>
      <c r="G57">
        <v>59469</v>
      </c>
      <c r="I57">
        <v>1</v>
      </c>
      <c r="J57" t="s">
        <v>63</v>
      </c>
      <c r="K57">
        <v>73</v>
      </c>
      <c r="L57" t="s">
        <v>90</v>
      </c>
      <c r="M57">
        <v>42</v>
      </c>
      <c r="P57" s="2">
        <v>45720</v>
      </c>
      <c r="R57">
        <v>12</v>
      </c>
      <c r="S57">
        <v>504</v>
      </c>
      <c r="T57" t="s">
        <v>65</v>
      </c>
      <c r="U57" t="s">
        <v>993</v>
      </c>
      <c r="V57">
        <v>0</v>
      </c>
      <c r="W57">
        <v>100</v>
      </c>
      <c r="X57">
        <v>404</v>
      </c>
      <c r="Y57">
        <v>0</v>
      </c>
      <c r="Z57">
        <v>0</v>
      </c>
      <c r="AA57">
        <v>0</v>
      </c>
      <c r="AD57">
        <v>0</v>
      </c>
      <c r="AM57" t="s">
        <v>994</v>
      </c>
      <c r="AN57" t="s">
        <v>321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995</v>
      </c>
      <c r="BA57">
        <v>0</v>
      </c>
      <c r="BC57" t="s">
        <v>321</v>
      </c>
      <c r="BF57" t="s">
        <v>996</v>
      </c>
    </row>
    <row r="58" spans="1:58" x14ac:dyDescent="0.35">
      <c r="A58" t="s">
        <v>997</v>
      </c>
      <c r="B58">
        <v>10000</v>
      </c>
      <c r="C58">
        <v>30000</v>
      </c>
      <c r="D58" s="2">
        <v>45722</v>
      </c>
      <c r="E58" t="s">
        <v>61</v>
      </c>
      <c r="F58" t="s">
        <v>998</v>
      </c>
      <c r="G58">
        <v>59469</v>
      </c>
      <c r="I58">
        <v>1</v>
      </c>
      <c r="J58" t="s">
        <v>63</v>
      </c>
      <c r="K58">
        <v>73</v>
      </c>
      <c r="L58" t="s">
        <v>90</v>
      </c>
      <c r="M58">
        <v>42</v>
      </c>
      <c r="P58" s="2">
        <v>45720</v>
      </c>
      <c r="R58">
        <v>12</v>
      </c>
      <c r="S58">
        <v>504</v>
      </c>
      <c r="T58" t="s">
        <v>65</v>
      </c>
      <c r="U58" t="s">
        <v>999</v>
      </c>
      <c r="V58">
        <v>0</v>
      </c>
      <c r="W58">
        <v>100</v>
      </c>
      <c r="X58">
        <v>404</v>
      </c>
      <c r="Y58">
        <v>0</v>
      </c>
      <c r="Z58">
        <v>0</v>
      </c>
      <c r="AA58">
        <v>0</v>
      </c>
      <c r="AD58">
        <v>0</v>
      </c>
      <c r="AM58" t="s">
        <v>1000</v>
      </c>
      <c r="AN58" t="s">
        <v>321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1001</v>
      </c>
      <c r="BA58">
        <v>0</v>
      </c>
      <c r="BC58" t="s">
        <v>321</v>
      </c>
      <c r="BF58" t="s">
        <v>996</v>
      </c>
    </row>
    <row r="59" spans="1:58" x14ac:dyDescent="0.35">
      <c r="A59" t="s">
        <v>1002</v>
      </c>
      <c r="B59">
        <v>10000</v>
      </c>
      <c r="C59">
        <v>10000</v>
      </c>
      <c r="D59" s="2">
        <v>45720</v>
      </c>
      <c r="E59" t="s">
        <v>61</v>
      </c>
      <c r="F59" t="s">
        <v>853</v>
      </c>
      <c r="G59" t="s">
        <v>860</v>
      </c>
      <c r="I59">
        <v>1</v>
      </c>
      <c r="J59" t="s">
        <v>63</v>
      </c>
      <c r="K59">
        <v>26</v>
      </c>
      <c r="L59" t="s">
        <v>249</v>
      </c>
      <c r="M59" s="4">
        <v>4500</v>
      </c>
      <c r="P59" s="2">
        <v>45720</v>
      </c>
      <c r="R59">
        <v>4</v>
      </c>
      <c r="S59" s="4">
        <v>18000</v>
      </c>
      <c r="T59" t="s">
        <v>65</v>
      </c>
      <c r="U59" t="s">
        <v>1003</v>
      </c>
      <c r="V59">
        <v>0</v>
      </c>
      <c r="W59" s="4">
        <v>18000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1004</v>
      </c>
      <c r="AN59" t="s">
        <v>175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1005</v>
      </c>
      <c r="BA59">
        <v>0</v>
      </c>
      <c r="BC59" t="s">
        <v>175</v>
      </c>
      <c r="BF59" t="s">
        <v>1006</v>
      </c>
    </row>
    <row r="60" spans="1:58" x14ac:dyDescent="0.35">
      <c r="A60" t="s">
        <v>1007</v>
      </c>
      <c r="B60">
        <v>10000</v>
      </c>
      <c r="C60">
        <v>10000</v>
      </c>
      <c r="D60" s="2">
        <v>45721</v>
      </c>
      <c r="E60" t="s">
        <v>61</v>
      </c>
      <c r="F60" t="s">
        <v>1008</v>
      </c>
      <c r="G60" t="s">
        <v>586</v>
      </c>
      <c r="I60">
        <v>1</v>
      </c>
      <c r="J60" t="s">
        <v>63</v>
      </c>
      <c r="K60">
        <v>63</v>
      </c>
      <c r="L60" t="s">
        <v>519</v>
      </c>
      <c r="M60" s="4">
        <v>10000</v>
      </c>
      <c r="P60" s="2">
        <v>45720</v>
      </c>
      <c r="R60">
        <v>60</v>
      </c>
      <c r="S60" s="4">
        <v>600000</v>
      </c>
      <c r="T60" t="s">
        <v>65</v>
      </c>
      <c r="U60" t="s">
        <v>587</v>
      </c>
      <c r="V60">
        <v>0</v>
      </c>
      <c r="W60" s="4">
        <v>600000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588</v>
      </c>
      <c r="AN60" t="s">
        <v>175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1009</v>
      </c>
      <c r="BA60">
        <v>0</v>
      </c>
      <c r="BC60" t="s">
        <v>175</v>
      </c>
      <c r="BF60" t="s">
        <v>1010</v>
      </c>
    </row>
    <row r="61" spans="1:58" x14ac:dyDescent="0.35">
      <c r="A61" t="s">
        <v>1011</v>
      </c>
      <c r="B61">
        <v>10000</v>
      </c>
      <c r="C61">
        <v>10000</v>
      </c>
      <c r="D61" s="2">
        <v>45721</v>
      </c>
      <c r="E61" t="s">
        <v>61</v>
      </c>
      <c r="F61" t="s">
        <v>1008</v>
      </c>
      <c r="G61" t="s">
        <v>586</v>
      </c>
      <c r="I61">
        <v>1</v>
      </c>
      <c r="J61" t="s">
        <v>63</v>
      </c>
      <c r="K61">
        <v>63</v>
      </c>
      <c r="L61" t="s">
        <v>519</v>
      </c>
      <c r="M61" s="4">
        <v>10000</v>
      </c>
      <c r="P61" s="2">
        <v>45720</v>
      </c>
      <c r="R61">
        <v>60</v>
      </c>
      <c r="S61" s="4">
        <v>600000</v>
      </c>
      <c r="T61" t="s">
        <v>65</v>
      </c>
      <c r="U61" t="s">
        <v>587</v>
      </c>
      <c r="V61">
        <v>0</v>
      </c>
      <c r="W61" s="4">
        <v>600000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588</v>
      </c>
      <c r="AN61" t="s">
        <v>175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1012</v>
      </c>
      <c r="BA61">
        <v>0</v>
      </c>
      <c r="BC61" t="s">
        <v>175</v>
      </c>
      <c r="BF61" t="s">
        <v>1013</v>
      </c>
    </row>
    <row r="62" spans="1:58" x14ac:dyDescent="0.35">
      <c r="A62" t="s">
        <v>1014</v>
      </c>
      <c r="B62">
        <v>10000</v>
      </c>
      <c r="C62">
        <v>10000</v>
      </c>
      <c r="D62" s="2">
        <v>45726</v>
      </c>
      <c r="E62" t="s">
        <v>61</v>
      </c>
      <c r="F62" t="s">
        <v>1015</v>
      </c>
      <c r="G62" s="6">
        <v>925200</v>
      </c>
      <c r="I62">
        <v>1</v>
      </c>
      <c r="J62" t="s">
        <v>63</v>
      </c>
      <c r="K62">
        <v>79</v>
      </c>
      <c r="L62" t="s">
        <v>573</v>
      </c>
      <c r="M62">
        <v>417</v>
      </c>
      <c r="P62" s="2">
        <v>45720</v>
      </c>
      <c r="R62">
        <v>12</v>
      </c>
      <c r="S62" s="4">
        <v>5004</v>
      </c>
      <c r="T62" t="s">
        <v>65</v>
      </c>
      <c r="U62">
        <v>10258252000001</v>
      </c>
      <c r="V62">
        <v>0</v>
      </c>
      <c r="W62" s="4">
        <v>3000</v>
      </c>
      <c r="X62" s="4">
        <v>2004</v>
      </c>
      <c r="Y62">
        <v>0</v>
      </c>
      <c r="Z62">
        <v>0</v>
      </c>
      <c r="AA62">
        <v>0</v>
      </c>
      <c r="AD62">
        <v>0</v>
      </c>
      <c r="AM62">
        <v>1025825200</v>
      </c>
      <c r="AN62" t="s">
        <v>1016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1017</v>
      </c>
      <c r="BA62">
        <v>0</v>
      </c>
      <c r="BC62" t="s">
        <v>1016</v>
      </c>
      <c r="BF62" t="s">
        <v>1018</v>
      </c>
    </row>
    <row r="63" spans="1:58" x14ac:dyDescent="0.35">
      <c r="A63" t="s">
        <v>1019</v>
      </c>
      <c r="B63">
        <v>10000</v>
      </c>
      <c r="C63">
        <v>20000</v>
      </c>
      <c r="D63" s="2">
        <v>45723</v>
      </c>
      <c r="E63" t="s">
        <v>61</v>
      </c>
      <c r="F63" t="s">
        <v>1020</v>
      </c>
      <c r="G63" t="s">
        <v>1021</v>
      </c>
      <c r="I63">
        <v>1</v>
      </c>
      <c r="J63" t="s">
        <v>63</v>
      </c>
      <c r="K63">
        <v>95</v>
      </c>
      <c r="L63" t="s">
        <v>597</v>
      </c>
      <c r="M63" s="4">
        <v>33429</v>
      </c>
      <c r="P63" s="2">
        <v>45720</v>
      </c>
      <c r="R63">
        <v>7</v>
      </c>
      <c r="S63" s="4">
        <v>234003</v>
      </c>
      <c r="T63" t="s">
        <v>65</v>
      </c>
      <c r="U63">
        <v>86.915900010000001</v>
      </c>
      <c r="V63">
        <v>0</v>
      </c>
      <c r="W63" s="4">
        <v>234000</v>
      </c>
      <c r="X63">
        <v>3</v>
      </c>
      <c r="Y63">
        <v>0</v>
      </c>
      <c r="Z63">
        <v>0</v>
      </c>
      <c r="AA63">
        <v>0</v>
      </c>
      <c r="AD63">
        <v>0</v>
      </c>
      <c r="AM63">
        <v>86.915899999999993</v>
      </c>
      <c r="AN63" t="s">
        <v>449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1022</v>
      </c>
      <c r="BA63">
        <v>0</v>
      </c>
      <c r="BC63" t="s">
        <v>449</v>
      </c>
      <c r="BF63" t="s">
        <v>603</v>
      </c>
    </row>
    <row r="64" spans="1:58" x14ac:dyDescent="0.35">
      <c r="A64" t="s">
        <v>1023</v>
      </c>
      <c r="B64">
        <v>10000</v>
      </c>
      <c r="C64">
        <v>10000</v>
      </c>
      <c r="D64" s="2">
        <v>45727</v>
      </c>
      <c r="E64" t="s">
        <v>61</v>
      </c>
      <c r="F64" t="s">
        <v>1024</v>
      </c>
      <c r="G64" t="s">
        <v>1025</v>
      </c>
      <c r="I64">
        <v>1</v>
      </c>
      <c r="J64" t="s">
        <v>63</v>
      </c>
      <c r="K64">
        <v>82</v>
      </c>
      <c r="L64" t="s">
        <v>341</v>
      </c>
      <c r="M64" s="4">
        <v>10834</v>
      </c>
      <c r="P64" s="2">
        <v>45720</v>
      </c>
      <c r="R64">
        <v>6</v>
      </c>
      <c r="S64" s="4">
        <v>65004</v>
      </c>
      <c r="T64" t="s">
        <v>65</v>
      </c>
      <c r="U64" t="s">
        <v>1026</v>
      </c>
      <c r="V64">
        <v>0</v>
      </c>
      <c r="W64" s="4">
        <v>65003</v>
      </c>
      <c r="X64">
        <v>1</v>
      </c>
      <c r="Y64">
        <v>0</v>
      </c>
      <c r="Z64">
        <v>0</v>
      </c>
      <c r="AA64">
        <v>0</v>
      </c>
      <c r="AD64">
        <v>0</v>
      </c>
      <c r="AM64" t="s">
        <v>1027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1028</v>
      </c>
      <c r="BA64">
        <v>0</v>
      </c>
      <c r="BC64" t="s">
        <v>107</v>
      </c>
      <c r="BF64" t="s">
        <v>1029</v>
      </c>
    </row>
    <row r="65" spans="1:58" x14ac:dyDescent="0.35">
      <c r="A65" t="s">
        <v>1030</v>
      </c>
      <c r="B65">
        <v>10000</v>
      </c>
      <c r="C65">
        <v>10000</v>
      </c>
      <c r="D65" s="2">
        <v>45721</v>
      </c>
      <c r="E65" t="s">
        <v>61</v>
      </c>
      <c r="F65" t="s">
        <v>1031</v>
      </c>
      <c r="G65" t="s">
        <v>1032</v>
      </c>
      <c r="I65">
        <v>1</v>
      </c>
      <c r="J65" t="s">
        <v>63</v>
      </c>
      <c r="K65">
        <v>65</v>
      </c>
      <c r="L65" t="s">
        <v>268</v>
      </c>
      <c r="M65">
        <v>167</v>
      </c>
      <c r="P65" s="2">
        <v>45720</v>
      </c>
      <c r="R65">
        <v>6</v>
      </c>
      <c r="S65" s="4">
        <v>1002</v>
      </c>
      <c r="T65" t="s">
        <v>65</v>
      </c>
      <c r="U65" t="s">
        <v>1033</v>
      </c>
      <c r="V65">
        <v>0</v>
      </c>
      <c r="W65" s="4">
        <v>1000</v>
      </c>
      <c r="X65">
        <v>2</v>
      </c>
      <c r="Y65">
        <v>0</v>
      </c>
      <c r="Z65">
        <v>0</v>
      </c>
      <c r="AA65">
        <v>0</v>
      </c>
      <c r="AD65">
        <v>0</v>
      </c>
      <c r="AM65" t="s">
        <v>1034</v>
      </c>
      <c r="AN65" t="s">
        <v>508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1035</v>
      </c>
      <c r="BA65">
        <v>0</v>
      </c>
      <c r="BC65" t="s">
        <v>508</v>
      </c>
      <c r="BF65" t="s">
        <v>621</v>
      </c>
    </row>
    <row r="66" spans="1:58" x14ac:dyDescent="0.35">
      <c r="A66" t="s">
        <v>1036</v>
      </c>
      <c r="B66">
        <v>10000</v>
      </c>
      <c r="C66">
        <v>10000</v>
      </c>
      <c r="D66" s="2">
        <v>45721</v>
      </c>
      <c r="E66" t="s">
        <v>61</v>
      </c>
      <c r="F66" t="s">
        <v>1037</v>
      </c>
      <c r="G66" t="s">
        <v>1032</v>
      </c>
      <c r="I66">
        <v>1</v>
      </c>
      <c r="J66" t="s">
        <v>63</v>
      </c>
      <c r="K66">
        <v>65</v>
      </c>
      <c r="L66" t="s">
        <v>268</v>
      </c>
      <c r="M66">
        <v>143</v>
      </c>
      <c r="P66" s="2">
        <v>45720</v>
      </c>
      <c r="R66">
        <v>7</v>
      </c>
      <c r="S66" s="4">
        <v>1001</v>
      </c>
      <c r="T66" t="s">
        <v>65</v>
      </c>
      <c r="U66" t="s">
        <v>1038</v>
      </c>
      <c r="V66">
        <v>0</v>
      </c>
      <c r="W66" s="4">
        <v>1000</v>
      </c>
      <c r="X66">
        <v>1</v>
      </c>
      <c r="Y66">
        <v>0</v>
      </c>
      <c r="Z66">
        <v>0</v>
      </c>
      <c r="AA66">
        <v>0</v>
      </c>
      <c r="AD66">
        <v>0</v>
      </c>
      <c r="AM66" t="s">
        <v>1039</v>
      </c>
      <c r="AN66" t="s">
        <v>508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1040</v>
      </c>
      <c r="BA66">
        <v>0</v>
      </c>
      <c r="BC66" t="s">
        <v>508</v>
      </c>
      <c r="BF66" t="s">
        <v>621</v>
      </c>
    </row>
    <row r="67" spans="1:58" x14ac:dyDescent="0.35">
      <c r="A67" t="s">
        <v>1041</v>
      </c>
      <c r="B67">
        <v>10000</v>
      </c>
      <c r="C67">
        <v>10000</v>
      </c>
      <c r="D67" s="2">
        <v>45720</v>
      </c>
      <c r="E67" t="s">
        <v>61</v>
      </c>
      <c r="F67" t="s">
        <v>845</v>
      </c>
      <c r="G67" t="s">
        <v>1032</v>
      </c>
      <c r="I67">
        <v>1</v>
      </c>
      <c r="J67" t="s">
        <v>63</v>
      </c>
      <c r="K67">
        <v>65</v>
      </c>
      <c r="L67" t="s">
        <v>268</v>
      </c>
      <c r="M67">
        <v>462</v>
      </c>
      <c r="P67" s="2">
        <v>45720</v>
      </c>
      <c r="R67">
        <v>13</v>
      </c>
      <c r="S67" s="4">
        <v>6006</v>
      </c>
      <c r="T67" t="s">
        <v>65</v>
      </c>
      <c r="U67" t="s">
        <v>1042</v>
      </c>
      <c r="V67">
        <v>0</v>
      </c>
      <c r="W67" s="4">
        <v>6000</v>
      </c>
      <c r="X67">
        <v>6</v>
      </c>
      <c r="Y67">
        <v>0</v>
      </c>
      <c r="Z67">
        <v>0</v>
      </c>
      <c r="AA67">
        <v>0</v>
      </c>
      <c r="AD67">
        <v>0</v>
      </c>
      <c r="AM67" t="s">
        <v>1043</v>
      </c>
      <c r="AN67" t="s">
        <v>508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1044</v>
      </c>
      <c r="BA67">
        <v>0</v>
      </c>
      <c r="BC67" t="s">
        <v>508</v>
      </c>
      <c r="BF67" t="s">
        <v>621</v>
      </c>
    </row>
    <row r="68" spans="1:58" x14ac:dyDescent="0.35">
      <c r="A68" t="s">
        <v>1045</v>
      </c>
      <c r="B68">
        <v>10000</v>
      </c>
      <c r="C68">
        <v>10000</v>
      </c>
      <c r="D68" s="2">
        <v>45721</v>
      </c>
      <c r="E68" t="s">
        <v>61</v>
      </c>
      <c r="F68" t="s">
        <v>1037</v>
      </c>
      <c r="G68" t="s">
        <v>1032</v>
      </c>
      <c r="I68">
        <v>1</v>
      </c>
      <c r="J68" t="s">
        <v>63</v>
      </c>
      <c r="K68">
        <v>65</v>
      </c>
      <c r="L68" t="s">
        <v>268</v>
      </c>
      <c r="M68">
        <v>667</v>
      </c>
      <c r="P68" s="2">
        <v>45720</v>
      </c>
      <c r="R68">
        <v>6</v>
      </c>
      <c r="S68" s="4">
        <v>4002</v>
      </c>
      <c r="T68" t="s">
        <v>65</v>
      </c>
      <c r="U68" t="s">
        <v>1033</v>
      </c>
      <c r="V68">
        <v>0</v>
      </c>
      <c r="W68" s="4">
        <v>4000</v>
      </c>
      <c r="X68">
        <v>2</v>
      </c>
      <c r="Y68">
        <v>0</v>
      </c>
      <c r="Z68">
        <v>0</v>
      </c>
      <c r="AA68">
        <v>0</v>
      </c>
      <c r="AD68">
        <v>0</v>
      </c>
      <c r="AM68" t="s">
        <v>1034</v>
      </c>
      <c r="AN68" t="s">
        <v>508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1046</v>
      </c>
      <c r="BA68">
        <v>0</v>
      </c>
      <c r="BC68" t="s">
        <v>508</v>
      </c>
      <c r="BF68" t="s">
        <v>1047</v>
      </c>
    </row>
    <row r="69" spans="1:58" x14ac:dyDescent="0.35">
      <c r="A69" t="s">
        <v>1048</v>
      </c>
      <c r="B69">
        <v>10000</v>
      </c>
      <c r="C69">
        <v>10000</v>
      </c>
      <c r="D69" s="2">
        <v>45721</v>
      </c>
      <c r="E69" t="s">
        <v>61</v>
      </c>
      <c r="F69" t="s">
        <v>1037</v>
      </c>
      <c r="G69" t="s">
        <v>1032</v>
      </c>
      <c r="I69">
        <v>1</v>
      </c>
      <c r="J69" t="s">
        <v>63</v>
      </c>
      <c r="K69">
        <v>65</v>
      </c>
      <c r="L69" t="s">
        <v>268</v>
      </c>
      <c r="M69">
        <v>286</v>
      </c>
      <c r="P69" s="2">
        <v>45720</v>
      </c>
      <c r="R69">
        <v>7</v>
      </c>
      <c r="S69" s="4">
        <v>2002</v>
      </c>
      <c r="T69" t="s">
        <v>65</v>
      </c>
      <c r="U69" t="s">
        <v>1038</v>
      </c>
      <c r="V69">
        <v>0</v>
      </c>
      <c r="W69" s="4">
        <v>2000</v>
      </c>
      <c r="X69">
        <v>2</v>
      </c>
      <c r="Y69">
        <v>0</v>
      </c>
      <c r="Z69">
        <v>0</v>
      </c>
      <c r="AA69">
        <v>0</v>
      </c>
      <c r="AD69">
        <v>0</v>
      </c>
      <c r="AM69" t="s">
        <v>1039</v>
      </c>
      <c r="AN69" t="s">
        <v>508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1049</v>
      </c>
      <c r="BA69">
        <v>0</v>
      </c>
      <c r="BC69" t="s">
        <v>508</v>
      </c>
      <c r="BF69" t="s">
        <v>1047</v>
      </c>
    </row>
    <row r="70" spans="1:58" x14ac:dyDescent="0.35">
      <c r="A70" t="s">
        <v>1050</v>
      </c>
      <c r="B70">
        <v>10000</v>
      </c>
      <c r="C70">
        <v>10000</v>
      </c>
      <c r="D70" s="2">
        <v>45720</v>
      </c>
      <c r="E70" t="s">
        <v>61</v>
      </c>
      <c r="F70" t="s">
        <v>845</v>
      </c>
      <c r="G70" t="s">
        <v>1032</v>
      </c>
      <c r="I70">
        <v>1</v>
      </c>
      <c r="J70" t="s">
        <v>63</v>
      </c>
      <c r="K70">
        <v>65</v>
      </c>
      <c r="L70" t="s">
        <v>268</v>
      </c>
      <c r="M70">
        <v>462</v>
      </c>
      <c r="P70" s="2">
        <v>45720</v>
      </c>
      <c r="R70">
        <v>13</v>
      </c>
      <c r="S70" s="4">
        <v>6006</v>
      </c>
      <c r="T70" t="s">
        <v>65</v>
      </c>
      <c r="U70" t="s">
        <v>1042</v>
      </c>
      <c r="V70">
        <v>0</v>
      </c>
      <c r="W70" s="4">
        <v>6000</v>
      </c>
      <c r="X70">
        <v>6</v>
      </c>
      <c r="Y70">
        <v>0</v>
      </c>
      <c r="Z70">
        <v>0</v>
      </c>
      <c r="AA70">
        <v>0</v>
      </c>
      <c r="AD70">
        <v>0</v>
      </c>
      <c r="AM70" t="s">
        <v>1043</v>
      </c>
      <c r="AN70" t="s">
        <v>508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1051</v>
      </c>
      <c r="BA70">
        <v>0</v>
      </c>
      <c r="BC70" t="s">
        <v>508</v>
      </c>
      <c r="BF70" t="s">
        <v>1047</v>
      </c>
    </row>
    <row r="71" spans="1:58" x14ac:dyDescent="0.35">
      <c r="A71" t="s">
        <v>1052</v>
      </c>
      <c r="B71">
        <v>10000</v>
      </c>
      <c r="C71">
        <v>10000</v>
      </c>
      <c r="D71" s="2">
        <v>45721</v>
      </c>
      <c r="E71" t="s">
        <v>61</v>
      </c>
      <c r="F71" t="s">
        <v>1053</v>
      </c>
      <c r="G71" t="s">
        <v>134</v>
      </c>
      <c r="I71">
        <v>1</v>
      </c>
      <c r="J71" t="s">
        <v>63</v>
      </c>
      <c r="K71">
        <v>72</v>
      </c>
      <c r="L71" t="s">
        <v>528</v>
      </c>
      <c r="M71" s="4">
        <v>3250</v>
      </c>
      <c r="P71" s="2">
        <v>45720</v>
      </c>
      <c r="R71">
        <v>4</v>
      </c>
      <c r="S71" s="4">
        <v>13000</v>
      </c>
      <c r="T71" t="s">
        <v>65</v>
      </c>
      <c r="U71">
        <v>5000769160001</v>
      </c>
      <c r="V71">
        <v>0</v>
      </c>
      <c r="W71" s="4">
        <v>10000</v>
      </c>
      <c r="X71" s="4">
        <v>3000</v>
      </c>
      <c r="Y71">
        <v>0</v>
      </c>
      <c r="Z71">
        <v>0</v>
      </c>
      <c r="AA71">
        <v>0</v>
      </c>
      <c r="AD71">
        <v>0</v>
      </c>
      <c r="AM71">
        <v>500076916</v>
      </c>
      <c r="AN71" t="s">
        <v>91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1054</v>
      </c>
      <c r="BA71">
        <v>0</v>
      </c>
      <c r="BC71" t="s">
        <v>91</v>
      </c>
      <c r="BF71" t="s">
        <v>1055</v>
      </c>
    </row>
    <row r="72" spans="1:58" x14ac:dyDescent="0.35">
      <c r="A72" t="s">
        <v>1052</v>
      </c>
      <c r="B72">
        <v>10000</v>
      </c>
      <c r="C72">
        <v>20000</v>
      </c>
      <c r="D72" s="2">
        <v>45721</v>
      </c>
      <c r="E72" t="s">
        <v>61</v>
      </c>
      <c r="F72" t="s">
        <v>1053</v>
      </c>
      <c r="G72" t="s">
        <v>134</v>
      </c>
      <c r="I72">
        <v>2</v>
      </c>
      <c r="J72" t="s">
        <v>63</v>
      </c>
      <c r="K72">
        <v>71</v>
      </c>
      <c r="L72" t="s">
        <v>135</v>
      </c>
      <c r="M72" s="4">
        <v>1250</v>
      </c>
      <c r="P72" s="2">
        <v>45720</v>
      </c>
      <c r="R72">
        <v>8</v>
      </c>
      <c r="S72" s="4">
        <v>10000</v>
      </c>
      <c r="T72" t="s">
        <v>65</v>
      </c>
      <c r="U72">
        <v>5000769160001</v>
      </c>
      <c r="V72">
        <v>0</v>
      </c>
      <c r="W72" s="4">
        <v>10000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500076916</v>
      </c>
      <c r="AN72" t="s">
        <v>91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1054</v>
      </c>
      <c r="BA72">
        <v>0</v>
      </c>
      <c r="BC72" t="s">
        <v>91</v>
      </c>
      <c r="BF72" t="s">
        <v>1055</v>
      </c>
    </row>
    <row r="73" spans="1:58" x14ac:dyDescent="0.35">
      <c r="A73" t="s">
        <v>1056</v>
      </c>
      <c r="B73">
        <v>10000</v>
      </c>
      <c r="C73">
        <v>10000</v>
      </c>
      <c r="D73" s="2">
        <v>45737</v>
      </c>
      <c r="E73" t="s">
        <v>61</v>
      </c>
      <c r="F73" s="3">
        <v>0.48155092592592591</v>
      </c>
      <c r="G73">
        <v>10639931050</v>
      </c>
      <c r="I73">
        <v>1</v>
      </c>
      <c r="J73" t="s">
        <v>63</v>
      </c>
      <c r="K73">
        <v>79</v>
      </c>
      <c r="L73" t="s">
        <v>573</v>
      </c>
      <c r="M73">
        <v>168</v>
      </c>
      <c r="P73" s="2">
        <v>45720</v>
      </c>
      <c r="R73">
        <v>297</v>
      </c>
      <c r="S73" s="4">
        <v>49896</v>
      </c>
      <c r="T73" t="s">
        <v>65</v>
      </c>
      <c r="U73" t="s">
        <v>1057</v>
      </c>
      <c r="V73">
        <v>0</v>
      </c>
      <c r="W73" s="4">
        <v>30000</v>
      </c>
      <c r="X73" s="4">
        <v>19896</v>
      </c>
      <c r="Y73">
        <v>0</v>
      </c>
      <c r="Z73">
        <v>0</v>
      </c>
      <c r="AA73">
        <v>0</v>
      </c>
      <c r="AD73">
        <v>0</v>
      </c>
      <c r="AM73" t="s">
        <v>1058</v>
      </c>
      <c r="AN73" t="s">
        <v>107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1059</v>
      </c>
      <c r="BA73">
        <v>0</v>
      </c>
      <c r="BC73" t="s">
        <v>107</v>
      </c>
      <c r="BF73" t="s">
        <v>626</v>
      </c>
    </row>
    <row r="74" spans="1:58" x14ac:dyDescent="0.35">
      <c r="A74" t="s">
        <v>627</v>
      </c>
      <c r="B74">
        <v>10000</v>
      </c>
      <c r="C74">
        <v>20000</v>
      </c>
      <c r="D74" s="2">
        <v>45721</v>
      </c>
      <c r="E74" t="s">
        <v>61</v>
      </c>
      <c r="F74" t="s">
        <v>628</v>
      </c>
      <c r="G74" t="s">
        <v>629</v>
      </c>
      <c r="I74">
        <v>2</v>
      </c>
      <c r="J74" t="s">
        <v>63</v>
      </c>
      <c r="K74">
        <v>105</v>
      </c>
      <c r="L74" t="s">
        <v>424</v>
      </c>
      <c r="M74" s="4">
        <v>2500</v>
      </c>
      <c r="P74" s="2">
        <v>45720</v>
      </c>
      <c r="R74">
        <v>1</v>
      </c>
      <c r="S74" s="4">
        <v>2500</v>
      </c>
      <c r="T74" t="s">
        <v>65</v>
      </c>
      <c r="U74" t="s">
        <v>631</v>
      </c>
      <c r="V74">
        <v>0</v>
      </c>
      <c r="W74" s="4">
        <v>2500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632</v>
      </c>
      <c r="AN74" t="s">
        <v>633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634</v>
      </c>
      <c r="BA74">
        <v>0</v>
      </c>
      <c r="BC74" t="s">
        <v>633</v>
      </c>
      <c r="BF74" t="s">
        <v>635</v>
      </c>
    </row>
    <row r="75" spans="1:58" x14ac:dyDescent="0.35">
      <c r="A75" t="s">
        <v>636</v>
      </c>
      <c r="B75">
        <v>10000</v>
      </c>
      <c r="C75">
        <v>20000</v>
      </c>
      <c r="D75" s="2">
        <v>45721</v>
      </c>
      <c r="E75" t="s">
        <v>61</v>
      </c>
      <c r="F75" t="s">
        <v>637</v>
      </c>
      <c r="G75" t="s">
        <v>638</v>
      </c>
      <c r="I75">
        <v>2</v>
      </c>
      <c r="J75" t="s">
        <v>63</v>
      </c>
      <c r="K75">
        <v>100</v>
      </c>
      <c r="L75" t="s">
        <v>424</v>
      </c>
      <c r="M75">
        <v>600</v>
      </c>
      <c r="P75" s="2">
        <v>45720</v>
      </c>
      <c r="R75">
        <v>5</v>
      </c>
      <c r="S75" s="4">
        <v>3000</v>
      </c>
      <c r="T75" t="s">
        <v>65</v>
      </c>
      <c r="U75" t="s">
        <v>639</v>
      </c>
      <c r="V75">
        <v>0</v>
      </c>
      <c r="W75" s="4">
        <v>2500</v>
      </c>
      <c r="X75">
        <v>500</v>
      </c>
      <c r="Y75">
        <v>0</v>
      </c>
      <c r="Z75">
        <v>0</v>
      </c>
      <c r="AA75">
        <v>0</v>
      </c>
      <c r="AD75">
        <v>0</v>
      </c>
      <c r="AM75" t="s">
        <v>640</v>
      </c>
      <c r="AN75" t="s">
        <v>633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641</v>
      </c>
      <c r="BA75">
        <v>0</v>
      </c>
      <c r="BC75" t="s">
        <v>633</v>
      </c>
      <c r="BF75" t="s">
        <v>635</v>
      </c>
    </row>
    <row r="76" spans="1:58" x14ac:dyDescent="0.35">
      <c r="A76" t="s">
        <v>1060</v>
      </c>
      <c r="B76">
        <v>10000</v>
      </c>
      <c r="C76">
        <v>10000</v>
      </c>
      <c r="D76" s="2">
        <v>45721</v>
      </c>
      <c r="E76" t="s">
        <v>61</v>
      </c>
      <c r="F76" t="s">
        <v>1061</v>
      </c>
      <c r="G76" t="s">
        <v>1062</v>
      </c>
      <c r="I76">
        <v>1</v>
      </c>
      <c r="J76" t="s">
        <v>63</v>
      </c>
      <c r="K76">
        <v>88</v>
      </c>
      <c r="L76" t="s">
        <v>630</v>
      </c>
      <c r="M76" s="4">
        <v>2800</v>
      </c>
      <c r="P76" s="2">
        <v>45720</v>
      </c>
      <c r="R76">
        <v>1</v>
      </c>
      <c r="S76" s="4">
        <v>2800</v>
      </c>
      <c r="T76" t="s">
        <v>65</v>
      </c>
      <c r="U76" t="s">
        <v>1063</v>
      </c>
      <c r="V76">
        <v>0</v>
      </c>
      <c r="W76" s="4">
        <v>2500</v>
      </c>
      <c r="X76">
        <v>300</v>
      </c>
      <c r="Y76">
        <v>0</v>
      </c>
      <c r="Z76">
        <v>0</v>
      </c>
      <c r="AA76">
        <v>0</v>
      </c>
      <c r="AD76">
        <v>0</v>
      </c>
      <c r="AM76" t="s">
        <v>1064</v>
      </c>
      <c r="AN76" t="s">
        <v>633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1065</v>
      </c>
      <c r="BA76">
        <v>0</v>
      </c>
      <c r="BC76" t="s">
        <v>633</v>
      </c>
      <c r="BF76" t="s">
        <v>635</v>
      </c>
    </row>
    <row r="77" spans="1:58" x14ac:dyDescent="0.35">
      <c r="A77" t="s">
        <v>1060</v>
      </c>
      <c r="B77">
        <v>10000</v>
      </c>
      <c r="C77">
        <v>20000</v>
      </c>
      <c r="D77" s="2">
        <v>45721</v>
      </c>
      <c r="E77" t="s">
        <v>61</v>
      </c>
      <c r="F77" t="s">
        <v>1061</v>
      </c>
      <c r="G77" t="s">
        <v>1062</v>
      </c>
      <c r="I77">
        <v>2</v>
      </c>
      <c r="J77" t="s">
        <v>63</v>
      </c>
      <c r="K77">
        <v>100</v>
      </c>
      <c r="L77" t="s">
        <v>424</v>
      </c>
      <c r="M77" s="4">
        <v>2700</v>
      </c>
      <c r="P77" s="2">
        <v>45720</v>
      </c>
      <c r="R77">
        <v>1</v>
      </c>
      <c r="S77" s="4">
        <v>2700</v>
      </c>
      <c r="T77" t="s">
        <v>65</v>
      </c>
      <c r="U77" t="s">
        <v>1063</v>
      </c>
      <c r="V77">
        <v>0</v>
      </c>
      <c r="W77" s="4">
        <v>2500</v>
      </c>
      <c r="X77">
        <v>200</v>
      </c>
      <c r="Y77">
        <v>0</v>
      </c>
      <c r="Z77">
        <v>0</v>
      </c>
      <c r="AA77">
        <v>0</v>
      </c>
      <c r="AD77">
        <v>0</v>
      </c>
      <c r="AM77" t="s">
        <v>1064</v>
      </c>
      <c r="AN77" t="s">
        <v>633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1065</v>
      </c>
      <c r="BA77">
        <v>0</v>
      </c>
      <c r="BC77" t="s">
        <v>633</v>
      </c>
      <c r="BF77" t="s">
        <v>635</v>
      </c>
    </row>
    <row r="78" spans="1:58" x14ac:dyDescent="0.35">
      <c r="A78" t="s">
        <v>642</v>
      </c>
      <c r="B78">
        <v>10000</v>
      </c>
      <c r="C78">
        <v>20000</v>
      </c>
      <c r="D78" s="2">
        <v>45721</v>
      </c>
      <c r="E78" t="s">
        <v>61</v>
      </c>
      <c r="F78" t="s">
        <v>643</v>
      </c>
      <c r="G78" t="s">
        <v>629</v>
      </c>
      <c r="I78">
        <v>2</v>
      </c>
      <c r="J78" t="s">
        <v>63</v>
      </c>
      <c r="K78">
        <v>105</v>
      </c>
      <c r="L78" t="s">
        <v>424</v>
      </c>
      <c r="M78">
        <v>500</v>
      </c>
      <c r="P78" s="2">
        <v>45720</v>
      </c>
      <c r="R78">
        <v>1</v>
      </c>
      <c r="S78">
        <v>500</v>
      </c>
      <c r="T78" t="s">
        <v>65</v>
      </c>
      <c r="U78" t="s">
        <v>631</v>
      </c>
      <c r="V78">
        <v>0</v>
      </c>
      <c r="W78">
        <v>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632</v>
      </c>
      <c r="AN78" t="s">
        <v>633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644</v>
      </c>
      <c r="BA78">
        <v>0</v>
      </c>
      <c r="BC78" t="s">
        <v>633</v>
      </c>
      <c r="BF78" t="s">
        <v>645</v>
      </c>
    </row>
    <row r="79" spans="1:58" x14ac:dyDescent="0.35">
      <c r="A79" t="s">
        <v>1066</v>
      </c>
      <c r="B79">
        <v>10000</v>
      </c>
      <c r="C79">
        <v>10000</v>
      </c>
      <c r="D79" s="2">
        <v>45721</v>
      </c>
      <c r="E79" t="s">
        <v>61</v>
      </c>
      <c r="F79" t="s">
        <v>1067</v>
      </c>
      <c r="G79" t="s">
        <v>1068</v>
      </c>
      <c r="I79">
        <v>1</v>
      </c>
      <c r="J79" t="s">
        <v>63</v>
      </c>
      <c r="K79">
        <v>88</v>
      </c>
      <c r="L79" t="s">
        <v>630</v>
      </c>
      <c r="M79">
        <v>700</v>
      </c>
      <c r="P79" s="2">
        <v>45720</v>
      </c>
      <c r="R79">
        <v>5</v>
      </c>
      <c r="S79" s="4">
        <v>3500</v>
      </c>
      <c r="T79" t="s">
        <v>65</v>
      </c>
      <c r="U79" t="s">
        <v>1069</v>
      </c>
      <c r="V79">
        <v>0</v>
      </c>
      <c r="W79" s="4">
        <v>3000</v>
      </c>
      <c r="X79">
        <v>500</v>
      </c>
      <c r="Y79">
        <v>0</v>
      </c>
      <c r="Z79">
        <v>0</v>
      </c>
      <c r="AA79">
        <v>0</v>
      </c>
      <c r="AD79">
        <v>0</v>
      </c>
      <c r="AM79" t="s">
        <v>1070</v>
      </c>
      <c r="AN79" t="s">
        <v>633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1071</v>
      </c>
      <c r="BA79">
        <v>0</v>
      </c>
      <c r="BC79" t="s">
        <v>633</v>
      </c>
      <c r="BF79" t="s">
        <v>645</v>
      </c>
    </row>
    <row r="80" spans="1:58" x14ac:dyDescent="0.35">
      <c r="A80" t="s">
        <v>1072</v>
      </c>
      <c r="B80">
        <v>10000</v>
      </c>
      <c r="C80">
        <v>10000</v>
      </c>
      <c r="D80" s="2">
        <v>45720</v>
      </c>
      <c r="E80" t="s">
        <v>61</v>
      </c>
      <c r="F80" s="3">
        <v>0.42090277777777779</v>
      </c>
      <c r="G80" t="s">
        <v>1073</v>
      </c>
      <c r="I80">
        <v>1</v>
      </c>
      <c r="J80" t="s">
        <v>63</v>
      </c>
      <c r="K80">
        <v>65</v>
      </c>
      <c r="L80" t="s">
        <v>268</v>
      </c>
      <c r="M80">
        <v>160</v>
      </c>
      <c r="P80" s="2">
        <v>45720</v>
      </c>
      <c r="R80">
        <v>20</v>
      </c>
      <c r="S80" s="4">
        <v>3200</v>
      </c>
      <c r="T80" t="s">
        <v>65</v>
      </c>
      <c r="U80" t="s">
        <v>1074</v>
      </c>
      <c r="V80">
        <v>0</v>
      </c>
      <c r="W80" s="4">
        <v>3200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1075</v>
      </c>
      <c r="AN80" t="s">
        <v>206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1076</v>
      </c>
      <c r="BA80">
        <v>0</v>
      </c>
      <c r="BC80" t="s">
        <v>206</v>
      </c>
      <c r="BF80" t="s">
        <v>1077</v>
      </c>
    </row>
    <row r="81" spans="1:58" x14ac:dyDescent="0.35">
      <c r="A81" t="s">
        <v>646</v>
      </c>
      <c r="B81">
        <v>10000</v>
      </c>
      <c r="C81">
        <v>20000</v>
      </c>
      <c r="D81" s="2">
        <v>45720</v>
      </c>
      <c r="E81" t="s">
        <v>61</v>
      </c>
      <c r="F81" t="s">
        <v>647</v>
      </c>
      <c r="G81" t="s">
        <v>648</v>
      </c>
      <c r="I81">
        <v>2</v>
      </c>
      <c r="J81" t="s">
        <v>63</v>
      </c>
      <c r="K81">
        <v>86</v>
      </c>
      <c r="L81" t="s">
        <v>64</v>
      </c>
      <c r="M81">
        <v>322</v>
      </c>
      <c r="P81" s="2">
        <v>45720</v>
      </c>
      <c r="R81">
        <v>14</v>
      </c>
      <c r="S81" s="4">
        <v>4508</v>
      </c>
      <c r="T81" t="s">
        <v>65</v>
      </c>
      <c r="U81">
        <v>200715740001</v>
      </c>
      <c r="V81">
        <v>0</v>
      </c>
      <c r="W81" s="4">
        <v>3000</v>
      </c>
      <c r="X81" s="4">
        <v>1508</v>
      </c>
      <c r="Y81">
        <v>0</v>
      </c>
      <c r="Z81">
        <v>0</v>
      </c>
      <c r="AA81">
        <v>0</v>
      </c>
      <c r="AD81">
        <v>0</v>
      </c>
      <c r="AM81">
        <v>20071574</v>
      </c>
      <c r="AN81" t="s">
        <v>182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649</v>
      </c>
      <c r="BA81">
        <v>0</v>
      </c>
      <c r="BC81" t="s">
        <v>182</v>
      </c>
      <c r="BF81" t="s">
        <v>650</v>
      </c>
    </row>
    <row r="82" spans="1:58" x14ac:dyDescent="0.35">
      <c r="A82" t="s">
        <v>651</v>
      </c>
      <c r="B82">
        <v>10000</v>
      </c>
      <c r="C82">
        <v>20000</v>
      </c>
      <c r="D82" s="2">
        <v>45720</v>
      </c>
      <c r="E82" t="s">
        <v>61</v>
      </c>
      <c r="F82" t="s">
        <v>652</v>
      </c>
      <c r="G82" t="s">
        <v>648</v>
      </c>
      <c r="I82">
        <v>2</v>
      </c>
      <c r="J82" t="s">
        <v>63</v>
      </c>
      <c r="K82">
        <v>86</v>
      </c>
      <c r="L82" t="s">
        <v>64</v>
      </c>
      <c r="M82">
        <v>500</v>
      </c>
      <c r="P82" s="2">
        <v>45720</v>
      </c>
      <c r="R82">
        <v>14</v>
      </c>
      <c r="S82" s="4">
        <v>7000</v>
      </c>
      <c r="T82" t="s">
        <v>65</v>
      </c>
      <c r="U82">
        <v>200715740001</v>
      </c>
      <c r="V82">
        <v>0</v>
      </c>
      <c r="W82" s="4">
        <v>13000</v>
      </c>
      <c r="X82" s="4">
        <v>-6000</v>
      </c>
      <c r="Y82">
        <v>0</v>
      </c>
      <c r="Z82">
        <v>0</v>
      </c>
      <c r="AA82">
        <v>0</v>
      </c>
      <c r="AD82">
        <v>0</v>
      </c>
      <c r="AM82">
        <v>20071574</v>
      </c>
      <c r="AN82" t="s">
        <v>182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653</v>
      </c>
      <c r="BA82">
        <v>0</v>
      </c>
      <c r="BC82" t="s">
        <v>182</v>
      </c>
      <c r="BF82" t="s">
        <v>654</v>
      </c>
    </row>
    <row r="83" spans="1:58" x14ac:dyDescent="0.35">
      <c r="A83" t="s">
        <v>1078</v>
      </c>
      <c r="B83">
        <v>10000</v>
      </c>
      <c r="C83">
        <v>10000</v>
      </c>
      <c r="D83" s="2">
        <v>45720</v>
      </c>
      <c r="E83" t="s">
        <v>61</v>
      </c>
      <c r="F83" t="s">
        <v>744</v>
      </c>
      <c r="G83" t="s">
        <v>418</v>
      </c>
      <c r="I83">
        <v>1</v>
      </c>
      <c r="J83" t="s">
        <v>63</v>
      </c>
      <c r="K83">
        <v>59</v>
      </c>
      <c r="L83" t="s">
        <v>745</v>
      </c>
      <c r="M83" s="4">
        <v>1000</v>
      </c>
      <c r="P83" s="2">
        <v>45720</v>
      </c>
      <c r="R83">
        <v>6</v>
      </c>
      <c r="S83" s="4">
        <v>6000</v>
      </c>
      <c r="T83" t="s">
        <v>65</v>
      </c>
      <c r="U83" t="s">
        <v>746</v>
      </c>
      <c r="V83">
        <v>0</v>
      </c>
      <c r="W83" s="4">
        <v>6000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747</v>
      </c>
      <c r="AN83" t="s">
        <v>182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1079</v>
      </c>
      <c r="BA83">
        <v>0</v>
      </c>
      <c r="BC83" t="s">
        <v>182</v>
      </c>
      <c r="BF83" t="s">
        <v>1080</v>
      </c>
    </row>
    <row r="84" spans="1:58" x14ac:dyDescent="0.35">
      <c r="A84" t="s">
        <v>702</v>
      </c>
      <c r="B84">
        <v>10000</v>
      </c>
      <c r="C84">
        <v>20000</v>
      </c>
      <c r="D84" s="2">
        <v>45720</v>
      </c>
      <c r="E84" t="s">
        <v>61</v>
      </c>
      <c r="F84" t="s">
        <v>703</v>
      </c>
      <c r="G84" t="s">
        <v>648</v>
      </c>
      <c r="I84">
        <v>2</v>
      </c>
      <c r="J84" t="s">
        <v>63</v>
      </c>
      <c r="K84">
        <v>86</v>
      </c>
      <c r="L84" t="s">
        <v>64</v>
      </c>
      <c r="M84">
        <v>209</v>
      </c>
      <c r="P84" s="2">
        <v>45720</v>
      </c>
      <c r="R84">
        <v>48</v>
      </c>
      <c r="S84" s="4">
        <v>10032</v>
      </c>
      <c r="T84" t="s">
        <v>65</v>
      </c>
      <c r="U84">
        <v>201088630001</v>
      </c>
      <c r="V84">
        <v>0</v>
      </c>
      <c r="W84" s="4">
        <v>8000</v>
      </c>
      <c r="X84" s="4">
        <v>2032</v>
      </c>
      <c r="Y84">
        <v>0</v>
      </c>
      <c r="Z84">
        <v>0</v>
      </c>
      <c r="AA84">
        <v>0</v>
      </c>
      <c r="AD84">
        <v>0</v>
      </c>
      <c r="AM84">
        <v>20108863</v>
      </c>
      <c r="AN84" t="s">
        <v>182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704</v>
      </c>
      <c r="BA84">
        <v>0</v>
      </c>
      <c r="BC84" t="s">
        <v>182</v>
      </c>
      <c r="BF84" t="s">
        <v>705</v>
      </c>
    </row>
    <row r="85" spans="1:58" x14ac:dyDescent="0.35">
      <c r="A85" t="s">
        <v>706</v>
      </c>
      <c r="B85">
        <v>10000</v>
      </c>
      <c r="C85">
        <v>20000</v>
      </c>
      <c r="D85" s="2">
        <v>45720</v>
      </c>
      <c r="E85" t="s">
        <v>61</v>
      </c>
      <c r="F85" t="s">
        <v>707</v>
      </c>
      <c r="G85" t="s">
        <v>648</v>
      </c>
      <c r="I85">
        <v>2</v>
      </c>
      <c r="J85" t="s">
        <v>63</v>
      </c>
      <c r="K85">
        <v>86</v>
      </c>
      <c r="L85" t="s">
        <v>64</v>
      </c>
      <c r="M85">
        <v>292</v>
      </c>
      <c r="P85" s="2">
        <v>45720</v>
      </c>
      <c r="R85">
        <v>48</v>
      </c>
      <c r="S85" s="4">
        <v>14016</v>
      </c>
      <c r="T85" t="s">
        <v>65</v>
      </c>
      <c r="U85">
        <v>201088630001</v>
      </c>
      <c r="V85">
        <v>0</v>
      </c>
      <c r="W85" s="4">
        <v>8000</v>
      </c>
      <c r="X85" s="4">
        <v>6016</v>
      </c>
      <c r="Y85">
        <v>0</v>
      </c>
      <c r="Z85">
        <v>0</v>
      </c>
      <c r="AA85">
        <v>0</v>
      </c>
      <c r="AD85">
        <v>0</v>
      </c>
      <c r="AM85">
        <v>20108863</v>
      </c>
      <c r="AN85" t="s">
        <v>182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708</v>
      </c>
      <c r="BA85">
        <v>0</v>
      </c>
      <c r="BC85" t="s">
        <v>182</v>
      </c>
      <c r="BF85" t="s">
        <v>709</v>
      </c>
    </row>
    <row r="86" spans="1:58" x14ac:dyDescent="0.35">
      <c r="A86" t="s">
        <v>710</v>
      </c>
      <c r="B86">
        <v>10000</v>
      </c>
      <c r="C86">
        <v>20000</v>
      </c>
      <c r="D86" s="2">
        <v>45720</v>
      </c>
      <c r="E86" t="s">
        <v>61</v>
      </c>
      <c r="F86" s="3">
        <v>0.42364583333333333</v>
      </c>
      <c r="G86" t="s">
        <v>711</v>
      </c>
      <c r="I86">
        <v>2</v>
      </c>
      <c r="J86" t="s">
        <v>63</v>
      </c>
      <c r="K86">
        <v>71</v>
      </c>
      <c r="L86" t="s">
        <v>135</v>
      </c>
      <c r="M86">
        <v>286</v>
      </c>
      <c r="P86" s="2">
        <v>45720</v>
      </c>
      <c r="R86">
        <v>35</v>
      </c>
      <c r="S86" s="4">
        <v>10010</v>
      </c>
      <c r="T86" t="s">
        <v>65</v>
      </c>
      <c r="U86">
        <v>52028070001</v>
      </c>
      <c r="V86">
        <v>0</v>
      </c>
      <c r="W86" s="4">
        <v>10000</v>
      </c>
      <c r="X86">
        <v>10</v>
      </c>
      <c r="Y86">
        <v>0</v>
      </c>
      <c r="Z86">
        <v>0</v>
      </c>
      <c r="AA86">
        <v>0</v>
      </c>
      <c r="AD86">
        <v>0</v>
      </c>
      <c r="AM86">
        <v>5202807</v>
      </c>
      <c r="AN86" t="s">
        <v>712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713</v>
      </c>
      <c r="BA86">
        <v>0</v>
      </c>
      <c r="BC86" t="s">
        <v>712</v>
      </c>
      <c r="BF86" t="s">
        <v>714</v>
      </c>
    </row>
    <row r="87" spans="1:58" x14ac:dyDescent="0.35">
      <c r="A87" t="s">
        <v>1081</v>
      </c>
      <c r="B87">
        <v>10000</v>
      </c>
      <c r="C87">
        <v>10000</v>
      </c>
      <c r="D87" s="2">
        <v>45721</v>
      </c>
      <c r="E87" t="s">
        <v>61</v>
      </c>
      <c r="F87" t="s">
        <v>1082</v>
      </c>
      <c r="G87" t="s">
        <v>1083</v>
      </c>
      <c r="I87">
        <v>1</v>
      </c>
      <c r="J87" t="s">
        <v>63</v>
      </c>
      <c r="K87">
        <v>93</v>
      </c>
      <c r="L87" t="s">
        <v>900</v>
      </c>
      <c r="M87">
        <v>800</v>
      </c>
      <c r="P87" s="2">
        <v>45720</v>
      </c>
      <c r="R87">
        <v>63</v>
      </c>
      <c r="S87" s="4">
        <v>50400</v>
      </c>
      <c r="T87" t="s">
        <v>65</v>
      </c>
      <c r="U87" t="s">
        <v>1084</v>
      </c>
      <c r="V87">
        <v>0</v>
      </c>
      <c r="W87" s="4">
        <v>40000</v>
      </c>
      <c r="X87" s="4">
        <v>10400</v>
      </c>
      <c r="Y87">
        <v>0</v>
      </c>
      <c r="Z87">
        <v>0</v>
      </c>
      <c r="AA87">
        <v>0</v>
      </c>
      <c r="AD87">
        <v>0</v>
      </c>
      <c r="AM87" t="s">
        <v>1085</v>
      </c>
      <c r="AN87" t="s">
        <v>562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1086</v>
      </c>
      <c r="BA87">
        <v>0</v>
      </c>
      <c r="BC87" t="s">
        <v>562</v>
      </c>
      <c r="BF87" t="s">
        <v>1087</v>
      </c>
    </row>
    <row r="88" spans="1:58" x14ac:dyDescent="0.35">
      <c r="A88" t="s">
        <v>715</v>
      </c>
      <c r="B88">
        <v>10000</v>
      </c>
      <c r="C88">
        <v>20000</v>
      </c>
      <c r="D88" s="2">
        <v>45720</v>
      </c>
      <c r="E88" t="s">
        <v>61</v>
      </c>
      <c r="F88" t="s">
        <v>716</v>
      </c>
      <c r="G88" t="s">
        <v>648</v>
      </c>
      <c r="I88">
        <v>2</v>
      </c>
      <c r="J88" t="s">
        <v>63</v>
      </c>
      <c r="K88">
        <v>86</v>
      </c>
      <c r="L88" t="s">
        <v>64</v>
      </c>
      <c r="M88">
        <v>700</v>
      </c>
      <c r="P88" s="2">
        <v>45720</v>
      </c>
      <c r="R88">
        <v>20</v>
      </c>
      <c r="S88" s="4">
        <v>14000</v>
      </c>
      <c r="T88" t="s">
        <v>65</v>
      </c>
      <c r="U88">
        <v>200900090001</v>
      </c>
      <c r="V88">
        <v>0</v>
      </c>
      <c r="W88" s="4">
        <v>40000</v>
      </c>
      <c r="X88" s="4">
        <v>-26000</v>
      </c>
      <c r="Y88">
        <v>0</v>
      </c>
      <c r="Z88">
        <v>0</v>
      </c>
      <c r="AA88">
        <v>0</v>
      </c>
      <c r="AD88">
        <v>0</v>
      </c>
      <c r="AM88">
        <v>20090009</v>
      </c>
      <c r="AN88" t="s">
        <v>182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717</v>
      </c>
      <c r="BA88">
        <v>0</v>
      </c>
      <c r="BC88" t="s">
        <v>182</v>
      </c>
      <c r="BF88" t="s">
        <v>718</v>
      </c>
    </row>
    <row r="89" spans="1:58" x14ac:dyDescent="0.35">
      <c r="A89" t="s">
        <v>719</v>
      </c>
      <c r="B89">
        <v>10000</v>
      </c>
      <c r="C89">
        <v>20000</v>
      </c>
      <c r="D89" s="2">
        <v>45720</v>
      </c>
      <c r="E89" t="s">
        <v>61</v>
      </c>
      <c r="F89" t="s">
        <v>720</v>
      </c>
      <c r="G89" t="s">
        <v>648</v>
      </c>
      <c r="I89">
        <v>2</v>
      </c>
      <c r="J89" t="s">
        <v>63</v>
      </c>
      <c r="K89">
        <v>86</v>
      </c>
      <c r="L89" t="s">
        <v>64</v>
      </c>
      <c r="M89">
        <v>700</v>
      </c>
      <c r="P89" s="2">
        <v>45720</v>
      </c>
      <c r="R89">
        <v>20</v>
      </c>
      <c r="S89" s="4">
        <v>14000</v>
      </c>
      <c r="T89" t="s">
        <v>65</v>
      </c>
      <c r="U89">
        <v>200689890001</v>
      </c>
      <c r="V89">
        <v>0</v>
      </c>
      <c r="W89" s="4">
        <v>12000</v>
      </c>
      <c r="X89" s="4">
        <v>2000</v>
      </c>
      <c r="Y89">
        <v>0</v>
      </c>
      <c r="Z89">
        <v>0</v>
      </c>
      <c r="AA89">
        <v>0</v>
      </c>
      <c r="AD89">
        <v>0</v>
      </c>
      <c r="AM89">
        <v>20068989</v>
      </c>
      <c r="AN89" t="s">
        <v>721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722</v>
      </c>
      <c r="BA89">
        <v>0</v>
      </c>
      <c r="BC89" t="s">
        <v>721</v>
      </c>
      <c r="BF89" t="s">
        <v>723</v>
      </c>
    </row>
    <row r="90" spans="1:58" x14ac:dyDescent="0.35">
      <c r="A90" t="s">
        <v>1088</v>
      </c>
      <c r="B90">
        <v>10000</v>
      </c>
      <c r="C90">
        <v>10000</v>
      </c>
      <c r="D90" s="2">
        <v>45722</v>
      </c>
      <c r="E90" t="s">
        <v>61</v>
      </c>
      <c r="F90" t="s">
        <v>1089</v>
      </c>
      <c r="G90" t="s">
        <v>1090</v>
      </c>
      <c r="I90">
        <v>1</v>
      </c>
      <c r="J90" t="s">
        <v>63</v>
      </c>
      <c r="K90">
        <v>88</v>
      </c>
      <c r="L90" t="s">
        <v>630</v>
      </c>
      <c r="M90">
        <v>240</v>
      </c>
      <c r="P90" s="2">
        <v>45720</v>
      </c>
      <c r="R90">
        <v>5</v>
      </c>
      <c r="S90" s="4">
        <v>1200</v>
      </c>
      <c r="T90" t="s">
        <v>65</v>
      </c>
      <c r="U90">
        <v>107353930001</v>
      </c>
      <c r="V90">
        <v>0</v>
      </c>
      <c r="W90" s="4">
        <v>1000</v>
      </c>
      <c r="X90">
        <v>200</v>
      </c>
      <c r="Y90">
        <v>0</v>
      </c>
      <c r="Z90">
        <v>0</v>
      </c>
      <c r="AA90">
        <v>0</v>
      </c>
      <c r="AD90">
        <v>0</v>
      </c>
      <c r="AM90">
        <v>10735393</v>
      </c>
      <c r="AN90" t="s">
        <v>487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1091</v>
      </c>
      <c r="BA90">
        <v>0</v>
      </c>
      <c r="BC90" t="s">
        <v>487</v>
      </c>
      <c r="BF90" t="s">
        <v>1092</v>
      </c>
    </row>
    <row r="91" spans="1:58" x14ac:dyDescent="0.35">
      <c r="A91" t="s">
        <v>1093</v>
      </c>
      <c r="B91">
        <v>10000</v>
      </c>
      <c r="C91">
        <v>10000</v>
      </c>
      <c r="D91" s="2">
        <v>45722</v>
      </c>
      <c r="E91" t="s">
        <v>61</v>
      </c>
      <c r="F91" t="s">
        <v>1089</v>
      </c>
      <c r="G91" t="s">
        <v>1090</v>
      </c>
      <c r="I91">
        <v>1</v>
      </c>
      <c r="J91" t="s">
        <v>63</v>
      </c>
      <c r="K91">
        <v>88</v>
      </c>
      <c r="L91" t="s">
        <v>630</v>
      </c>
      <c r="M91">
        <v>4</v>
      </c>
      <c r="P91" s="2">
        <v>45720</v>
      </c>
      <c r="R91">
        <v>5</v>
      </c>
      <c r="S91">
        <v>20</v>
      </c>
      <c r="T91" t="s">
        <v>65</v>
      </c>
      <c r="U91">
        <v>107353930001</v>
      </c>
      <c r="V91">
        <v>0</v>
      </c>
      <c r="W91">
        <v>20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10735393</v>
      </c>
      <c r="AN91" t="s">
        <v>487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1094</v>
      </c>
      <c r="BA91">
        <v>0</v>
      </c>
      <c r="BC91" t="s">
        <v>487</v>
      </c>
      <c r="BF91" t="s">
        <v>1095</v>
      </c>
    </row>
    <row r="92" spans="1:58" x14ac:dyDescent="0.35">
      <c r="A92" t="s">
        <v>1096</v>
      </c>
      <c r="B92">
        <v>10000</v>
      </c>
      <c r="C92">
        <v>10000</v>
      </c>
      <c r="D92" s="2">
        <v>45722</v>
      </c>
      <c r="E92" t="s">
        <v>61</v>
      </c>
      <c r="F92" s="3">
        <v>0.49033564814814817</v>
      </c>
      <c r="G92" t="s">
        <v>1097</v>
      </c>
      <c r="I92">
        <v>1</v>
      </c>
      <c r="J92" t="s">
        <v>63</v>
      </c>
      <c r="K92">
        <v>88</v>
      </c>
      <c r="L92" t="s">
        <v>630</v>
      </c>
      <c r="M92">
        <v>200</v>
      </c>
      <c r="P92" s="2">
        <v>45720</v>
      </c>
      <c r="R92">
        <v>1</v>
      </c>
      <c r="S92">
        <v>200</v>
      </c>
      <c r="T92" t="s">
        <v>65</v>
      </c>
      <c r="U92" t="s">
        <v>1098</v>
      </c>
      <c r="V92">
        <v>0</v>
      </c>
      <c r="W92">
        <v>200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1099</v>
      </c>
      <c r="AN92" t="s">
        <v>633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1100</v>
      </c>
      <c r="BA92">
        <v>0</v>
      </c>
      <c r="BC92" t="s">
        <v>633</v>
      </c>
      <c r="BF92" t="s">
        <v>645</v>
      </c>
    </row>
    <row r="100" spans="1:2" x14ac:dyDescent="0.35">
      <c r="A100">
        <f>COUNTA(A5:A97)</f>
        <v>88</v>
      </c>
      <c r="B100">
        <f>'3_Mar'!B100+'4-Mar'!A100</f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CBF6-F717-4B57-A581-29B7BFCB9C11}">
  <dimension ref="A1:BF135"/>
  <sheetViews>
    <sheetView topLeftCell="A111" workbookViewId="0">
      <selection activeCell="G129" sqref="G12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1101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80</v>
      </c>
      <c r="B5">
        <v>10000</v>
      </c>
      <c r="C5">
        <v>40000</v>
      </c>
      <c r="D5" s="2">
        <v>45730</v>
      </c>
      <c r="E5" t="s">
        <v>61</v>
      </c>
      <c r="F5" t="s">
        <v>81</v>
      </c>
      <c r="G5" t="s">
        <v>82</v>
      </c>
      <c r="I5">
        <v>3</v>
      </c>
      <c r="J5" t="s">
        <v>63</v>
      </c>
      <c r="K5">
        <v>91</v>
      </c>
      <c r="L5" t="s">
        <v>75</v>
      </c>
      <c r="M5" s="4">
        <v>100000</v>
      </c>
      <c r="P5" s="2">
        <v>45721</v>
      </c>
      <c r="R5">
        <v>9</v>
      </c>
      <c r="S5" s="4">
        <v>900000</v>
      </c>
      <c r="T5" t="s">
        <v>65</v>
      </c>
      <c r="U5" t="s">
        <v>83</v>
      </c>
      <c r="V5">
        <v>0</v>
      </c>
      <c r="W5" s="4">
        <v>892857</v>
      </c>
      <c r="X5" s="4">
        <v>7143</v>
      </c>
      <c r="Y5">
        <v>0</v>
      </c>
      <c r="Z5">
        <v>0</v>
      </c>
      <c r="AA5">
        <v>0</v>
      </c>
      <c r="AD5">
        <v>0</v>
      </c>
      <c r="AM5" t="s">
        <v>84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85</v>
      </c>
      <c r="BA5">
        <v>0</v>
      </c>
      <c r="BC5" t="s">
        <v>68</v>
      </c>
      <c r="BF5" t="s">
        <v>86</v>
      </c>
    </row>
    <row r="6" spans="1:58" x14ac:dyDescent="0.35">
      <c r="A6" t="s">
        <v>1102</v>
      </c>
      <c r="B6">
        <v>10000</v>
      </c>
      <c r="C6">
        <v>10000</v>
      </c>
      <c r="D6" s="2">
        <v>45722</v>
      </c>
      <c r="E6" t="s">
        <v>61</v>
      </c>
      <c r="F6" t="s">
        <v>1103</v>
      </c>
      <c r="G6">
        <v>4042448203724</v>
      </c>
      <c r="I6">
        <v>1</v>
      </c>
      <c r="J6" t="s">
        <v>63</v>
      </c>
      <c r="K6">
        <v>60</v>
      </c>
      <c r="L6" t="s">
        <v>277</v>
      </c>
      <c r="M6" s="4">
        <v>1500</v>
      </c>
      <c r="P6" s="2">
        <v>45721</v>
      </c>
      <c r="R6">
        <v>8</v>
      </c>
      <c r="S6" s="4">
        <v>12000</v>
      </c>
      <c r="T6" t="s">
        <v>65</v>
      </c>
      <c r="U6" t="s">
        <v>1104</v>
      </c>
      <c r="V6">
        <v>0</v>
      </c>
      <c r="W6" s="4">
        <v>20000</v>
      </c>
      <c r="X6" s="4">
        <v>-8000</v>
      </c>
      <c r="Y6">
        <v>0</v>
      </c>
      <c r="Z6">
        <v>0</v>
      </c>
      <c r="AA6">
        <v>0</v>
      </c>
      <c r="AD6">
        <v>0</v>
      </c>
      <c r="AM6" t="s">
        <v>1105</v>
      </c>
      <c r="AN6" t="s">
        <v>321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1106</v>
      </c>
      <c r="BA6">
        <v>0</v>
      </c>
      <c r="BC6" t="s">
        <v>321</v>
      </c>
      <c r="BF6" t="s">
        <v>1107</v>
      </c>
    </row>
    <row r="7" spans="1:58" x14ac:dyDescent="0.35">
      <c r="A7" t="s">
        <v>1108</v>
      </c>
      <c r="B7">
        <v>10000</v>
      </c>
      <c r="C7">
        <v>10000</v>
      </c>
      <c r="D7" s="2">
        <v>45721</v>
      </c>
      <c r="E7" t="s">
        <v>61</v>
      </c>
      <c r="F7" t="s">
        <v>1109</v>
      </c>
      <c r="G7" t="s">
        <v>180</v>
      </c>
      <c r="I7">
        <v>1</v>
      </c>
      <c r="J7" t="s">
        <v>63</v>
      </c>
      <c r="K7">
        <v>59</v>
      </c>
      <c r="L7" t="s">
        <v>745</v>
      </c>
      <c r="M7" s="4">
        <v>6225</v>
      </c>
      <c r="P7" s="2">
        <v>45721</v>
      </c>
      <c r="R7">
        <v>2</v>
      </c>
      <c r="S7" s="4">
        <v>12450</v>
      </c>
      <c r="T7" t="s">
        <v>65</v>
      </c>
      <c r="U7">
        <v>112887080001</v>
      </c>
      <c r="V7">
        <v>0</v>
      </c>
      <c r="W7" s="4">
        <v>12450</v>
      </c>
      <c r="X7">
        <v>0</v>
      </c>
      <c r="Y7">
        <v>0</v>
      </c>
      <c r="Z7">
        <v>0</v>
      </c>
      <c r="AA7">
        <v>0</v>
      </c>
      <c r="AD7">
        <v>0</v>
      </c>
      <c r="AM7">
        <v>11288708</v>
      </c>
      <c r="AN7" t="s">
        <v>311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1110</v>
      </c>
      <c r="BA7">
        <v>0</v>
      </c>
      <c r="BC7" t="s">
        <v>311</v>
      </c>
      <c r="BF7" t="s">
        <v>313</v>
      </c>
    </row>
    <row r="8" spans="1:58" x14ac:dyDescent="0.35">
      <c r="A8" t="s">
        <v>1111</v>
      </c>
      <c r="B8">
        <v>10000</v>
      </c>
      <c r="C8">
        <v>10000</v>
      </c>
      <c r="D8" s="2">
        <v>45722</v>
      </c>
      <c r="E8" t="s">
        <v>61</v>
      </c>
      <c r="F8" t="s">
        <v>1112</v>
      </c>
      <c r="G8" t="s">
        <v>180</v>
      </c>
      <c r="I8">
        <v>1</v>
      </c>
      <c r="J8" t="s">
        <v>63</v>
      </c>
      <c r="K8">
        <v>59</v>
      </c>
      <c r="L8" t="s">
        <v>745</v>
      </c>
      <c r="M8" s="4">
        <v>4150</v>
      </c>
      <c r="P8" s="2">
        <v>45721</v>
      </c>
      <c r="R8">
        <v>2</v>
      </c>
      <c r="S8" s="4">
        <v>8300</v>
      </c>
      <c r="T8" t="s">
        <v>65</v>
      </c>
      <c r="U8">
        <v>112887320001</v>
      </c>
      <c r="V8">
        <v>0</v>
      </c>
      <c r="W8" s="4">
        <v>8300</v>
      </c>
      <c r="X8">
        <v>0</v>
      </c>
      <c r="Y8">
        <v>0</v>
      </c>
      <c r="Z8">
        <v>0</v>
      </c>
      <c r="AA8">
        <v>0</v>
      </c>
      <c r="AD8">
        <v>0</v>
      </c>
      <c r="AM8">
        <v>11288732</v>
      </c>
      <c r="AN8" t="s">
        <v>311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1113</v>
      </c>
      <c r="BA8">
        <v>0</v>
      </c>
      <c r="BC8" t="s">
        <v>311</v>
      </c>
      <c r="BF8" t="s">
        <v>313</v>
      </c>
    </row>
    <row r="9" spans="1:58" x14ac:dyDescent="0.35">
      <c r="A9" t="s">
        <v>1114</v>
      </c>
      <c r="B9">
        <v>10000</v>
      </c>
      <c r="C9">
        <v>10000</v>
      </c>
      <c r="D9" s="2">
        <v>45729</v>
      </c>
      <c r="E9" t="s">
        <v>61</v>
      </c>
      <c r="F9" t="s">
        <v>1115</v>
      </c>
      <c r="G9" t="s">
        <v>1116</v>
      </c>
      <c r="I9">
        <v>1</v>
      </c>
      <c r="J9" t="s">
        <v>63</v>
      </c>
      <c r="K9">
        <v>110</v>
      </c>
      <c r="L9" t="s">
        <v>341</v>
      </c>
      <c r="M9" s="4">
        <v>35500</v>
      </c>
      <c r="P9" s="2">
        <v>45721</v>
      </c>
      <c r="R9">
        <v>4</v>
      </c>
      <c r="S9" s="4">
        <v>142000</v>
      </c>
      <c r="T9" t="s">
        <v>65</v>
      </c>
      <c r="U9" t="s">
        <v>1117</v>
      </c>
      <c r="V9">
        <v>0</v>
      </c>
      <c r="W9" s="4">
        <v>142000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1118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1119</v>
      </c>
      <c r="BA9">
        <v>0</v>
      </c>
      <c r="BC9" t="s">
        <v>271</v>
      </c>
      <c r="BF9" t="s">
        <v>1120</v>
      </c>
    </row>
    <row r="10" spans="1:58" x14ac:dyDescent="0.35">
      <c r="A10" t="s">
        <v>1121</v>
      </c>
      <c r="B10">
        <v>10000</v>
      </c>
      <c r="C10">
        <v>10000</v>
      </c>
      <c r="D10" s="2">
        <v>45722</v>
      </c>
      <c r="E10" t="s">
        <v>61</v>
      </c>
      <c r="F10" t="s">
        <v>1103</v>
      </c>
      <c r="G10" t="s">
        <v>348</v>
      </c>
      <c r="I10">
        <v>1</v>
      </c>
      <c r="J10" t="s">
        <v>63</v>
      </c>
      <c r="K10">
        <v>46</v>
      </c>
      <c r="L10" t="s">
        <v>113</v>
      </c>
      <c r="M10" s="4">
        <v>7000</v>
      </c>
      <c r="P10" s="2">
        <v>45721</v>
      </c>
      <c r="R10">
        <v>1</v>
      </c>
      <c r="S10" s="4">
        <v>7000</v>
      </c>
      <c r="T10" t="s">
        <v>65</v>
      </c>
      <c r="U10" t="s">
        <v>1122</v>
      </c>
      <c r="V10">
        <v>0</v>
      </c>
      <c r="W10" s="4">
        <v>7000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1123</v>
      </c>
      <c r="AN10" t="s">
        <v>751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1124</v>
      </c>
      <c r="BA10">
        <v>0</v>
      </c>
      <c r="BC10" t="s">
        <v>751</v>
      </c>
      <c r="BF10" t="s">
        <v>753</v>
      </c>
    </row>
    <row r="11" spans="1:58" x14ac:dyDescent="0.35">
      <c r="A11" t="s">
        <v>1125</v>
      </c>
      <c r="B11">
        <v>10000</v>
      </c>
      <c r="C11">
        <v>10000</v>
      </c>
      <c r="D11" s="2">
        <v>45722</v>
      </c>
      <c r="E11" t="s">
        <v>61</v>
      </c>
      <c r="F11" s="3">
        <v>0.5378356481481481</v>
      </c>
      <c r="G11" t="s">
        <v>1126</v>
      </c>
      <c r="I11">
        <v>1</v>
      </c>
      <c r="J11" t="s">
        <v>63</v>
      </c>
      <c r="K11">
        <v>61</v>
      </c>
      <c r="L11" t="s">
        <v>197</v>
      </c>
      <c r="M11" s="4">
        <v>6667</v>
      </c>
      <c r="P11" s="2">
        <v>45721</v>
      </c>
      <c r="R11">
        <v>6</v>
      </c>
      <c r="S11" s="4">
        <v>40002</v>
      </c>
      <c r="T11" t="s">
        <v>65</v>
      </c>
      <c r="U11" t="s">
        <v>1127</v>
      </c>
      <c r="V11">
        <v>0</v>
      </c>
      <c r="W11" s="4">
        <v>40000</v>
      </c>
      <c r="X11">
        <v>2</v>
      </c>
      <c r="Y11">
        <v>0</v>
      </c>
      <c r="Z11">
        <v>0</v>
      </c>
      <c r="AA11">
        <v>0</v>
      </c>
      <c r="AD11">
        <v>0</v>
      </c>
      <c r="AM11" t="s">
        <v>1128</v>
      </c>
      <c r="AN11" t="s">
        <v>751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1129</v>
      </c>
      <c r="BA11">
        <v>0</v>
      </c>
      <c r="BC11" t="s">
        <v>751</v>
      </c>
      <c r="BF11" t="s">
        <v>753</v>
      </c>
    </row>
    <row r="12" spans="1:58" x14ac:dyDescent="0.35">
      <c r="A12" t="s">
        <v>1130</v>
      </c>
      <c r="B12">
        <v>10000</v>
      </c>
      <c r="C12">
        <v>10000</v>
      </c>
      <c r="D12" s="2">
        <v>45721</v>
      </c>
      <c r="E12" t="s">
        <v>61</v>
      </c>
      <c r="F12" t="s">
        <v>1131</v>
      </c>
      <c r="G12" t="s">
        <v>1126</v>
      </c>
      <c r="I12">
        <v>1</v>
      </c>
      <c r="J12" t="s">
        <v>63</v>
      </c>
      <c r="K12">
        <v>61</v>
      </c>
      <c r="L12" t="s">
        <v>197</v>
      </c>
      <c r="M12" s="4">
        <v>6667</v>
      </c>
      <c r="P12" s="2">
        <v>45721</v>
      </c>
      <c r="R12">
        <v>6</v>
      </c>
      <c r="S12" s="4">
        <v>40002</v>
      </c>
      <c r="T12" t="s">
        <v>65</v>
      </c>
      <c r="U12" t="s">
        <v>1132</v>
      </c>
      <c r="V12">
        <v>0</v>
      </c>
      <c r="W12" s="4">
        <v>40000</v>
      </c>
      <c r="X12">
        <v>2</v>
      </c>
      <c r="Y12">
        <v>0</v>
      </c>
      <c r="Z12">
        <v>0</v>
      </c>
      <c r="AA12">
        <v>0</v>
      </c>
      <c r="AD12">
        <v>0</v>
      </c>
      <c r="AM12" t="s">
        <v>1133</v>
      </c>
      <c r="AN12" t="s">
        <v>751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1134</v>
      </c>
      <c r="BA12">
        <v>0</v>
      </c>
      <c r="BC12" t="s">
        <v>751</v>
      </c>
      <c r="BF12" t="s">
        <v>753</v>
      </c>
    </row>
    <row r="13" spans="1:58" x14ac:dyDescent="0.35">
      <c r="A13" t="s">
        <v>1135</v>
      </c>
      <c r="B13">
        <v>10000</v>
      </c>
      <c r="C13">
        <v>10000</v>
      </c>
      <c r="D13" s="2">
        <v>45722</v>
      </c>
      <c r="E13" t="s">
        <v>61</v>
      </c>
      <c r="F13" t="s">
        <v>1112</v>
      </c>
      <c r="G13" t="s">
        <v>180</v>
      </c>
      <c r="I13">
        <v>1</v>
      </c>
      <c r="J13" t="s">
        <v>63</v>
      </c>
      <c r="K13">
        <v>59</v>
      </c>
      <c r="L13" t="s">
        <v>745</v>
      </c>
      <c r="M13">
        <v>415</v>
      </c>
      <c r="P13" s="2">
        <v>45721</v>
      </c>
      <c r="R13">
        <v>2</v>
      </c>
      <c r="S13">
        <v>830</v>
      </c>
      <c r="T13" t="s">
        <v>65</v>
      </c>
      <c r="U13">
        <v>112887320001</v>
      </c>
      <c r="V13">
        <v>0</v>
      </c>
      <c r="W13">
        <v>830</v>
      </c>
      <c r="X13">
        <v>0</v>
      </c>
      <c r="Y13">
        <v>0</v>
      </c>
      <c r="Z13">
        <v>0</v>
      </c>
      <c r="AA13">
        <v>0</v>
      </c>
      <c r="AD13">
        <v>0</v>
      </c>
      <c r="AM13">
        <v>11288732</v>
      </c>
      <c r="AN13" t="s">
        <v>182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1136</v>
      </c>
      <c r="BA13">
        <v>0</v>
      </c>
      <c r="BC13" t="s">
        <v>182</v>
      </c>
      <c r="BF13" t="s">
        <v>1137</v>
      </c>
    </row>
    <row r="14" spans="1:58" x14ac:dyDescent="0.35">
      <c r="A14" t="s">
        <v>1138</v>
      </c>
      <c r="B14">
        <v>10000</v>
      </c>
      <c r="C14">
        <v>10000</v>
      </c>
      <c r="D14" s="2">
        <v>45722</v>
      </c>
      <c r="E14" t="s">
        <v>61</v>
      </c>
      <c r="F14" s="3">
        <v>0.53451388888888884</v>
      </c>
      <c r="G14" t="s">
        <v>387</v>
      </c>
      <c r="I14">
        <v>1</v>
      </c>
      <c r="J14" t="s">
        <v>63</v>
      </c>
      <c r="K14">
        <v>78</v>
      </c>
      <c r="L14" t="s">
        <v>188</v>
      </c>
      <c r="M14" s="4">
        <v>2000</v>
      </c>
      <c r="P14" s="2">
        <v>45721</v>
      </c>
      <c r="R14">
        <v>1</v>
      </c>
      <c r="S14" s="4">
        <v>2000</v>
      </c>
      <c r="T14" t="s">
        <v>65</v>
      </c>
      <c r="U14">
        <v>1871210001</v>
      </c>
      <c r="V14">
        <v>0</v>
      </c>
      <c r="W14" s="4">
        <v>1000</v>
      </c>
      <c r="X14" s="4">
        <v>1000</v>
      </c>
      <c r="Y14">
        <v>0</v>
      </c>
      <c r="Z14">
        <v>0</v>
      </c>
      <c r="AA14">
        <v>0</v>
      </c>
      <c r="AD14">
        <v>0</v>
      </c>
      <c r="AM14">
        <v>187121</v>
      </c>
      <c r="AN14" t="s">
        <v>1139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1140</v>
      </c>
      <c r="BA14">
        <v>0</v>
      </c>
      <c r="BC14" t="s">
        <v>1139</v>
      </c>
      <c r="BF14" t="s">
        <v>1141</v>
      </c>
    </row>
    <row r="15" spans="1:58" x14ac:dyDescent="0.35">
      <c r="A15" t="s">
        <v>1138</v>
      </c>
      <c r="B15">
        <v>10000</v>
      </c>
      <c r="C15">
        <v>20000</v>
      </c>
      <c r="D15" s="2">
        <v>45722</v>
      </c>
      <c r="E15" t="s">
        <v>61</v>
      </c>
      <c r="F15" s="3">
        <v>0.53453703703703703</v>
      </c>
      <c r="G15" t="s">
        <v>387</v>
      </c>
      <c r="I15">
        <v>2</v>
      </c>
      <c r="J15" t="s">
        <v>63</v>
      </c>
      <c r="K15">
        <v>65</v>
      </c>
      <c r="L15" t="s">
        <v>268</v>
      </c>
      <c r="M15" s="4">
        <v>2000</v>
      </c>
      <c r="P15" s="2">
        <v>45721</v>
      </c>
      <c r="R15">
        <v>1</v>
      </c>
      <c r="S15" s="4">
        <v>2000</v>
      </c>
      <c r="T15" t="s">
        <v>65</v>
      </c>
      <c r="U15">
        <v>1871210001</v>
      </c>
      <c r="V15">
        <v>0</v>
      </c>
      <c r="W15" s="4">
        <v>1000</v>
      </c>
      <c r="X15" s="4">
        <v>1000</v>
      </c>
      <c r="Y15">
        <v>0</v>
      </c>
      <c r="Z15">
        <v>0</v>
      </c>
      <c r="AA15">
        <v>0</v>
      </c>
      <c r="AD15">
        <v>0</v>
      </c>
      <c r="AM15">
        <v>187121</v>
      </c>
      <c r="AN15" t="s">
        <v>1139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1140</v>
      </c>
      <c r="BA15">
        <v>0</v>
      </c>
      <c r="BC15" t="s">
        <v>1139</v>
      </c>
      <c r="BF15" t="s">
        <v>1141</v>
      </c>
    </row>
    <row r="16" spans="1:58" x14ac:dyDescent="0.35">
      <c r="A16" t="s">
        <v>762</v>
      </c>
      <c r="B16">
        <v>10000</v>
      </c>
      <c r="C16">
        <v>50000</v>
      </c>
      <c r="D16" s="2">
        <v>45723</v>
      </c>
      <c r="E16" t="s">
        <v>61</v>
      </c>
      <c r="F16" t="s">
        <v>763</v>
      </c>
      <c r="G16" t="s">
        <v>764</v>
      </c>
      <c r="I16">
        <v>2</v>
      </c>
      <c r="J16" t="s">
        <v>63</v>
      </c>
      <c r="K16">
        <v>62</v>
      </c>
      <c r="L16" t="s">
        <v>459</v>
      </c>
      <c r="M16" s="4">
        <v>35000</v>
      </c>
      <c r="P16" s="2">
        <v>45721</v>
      </c>
      <c r="R16">
        <v>1</v>
      </c>
      <c r="S16" s="4">
        <v>35000</v>
      </c>
      <c r="T16" t="s">
        <v>65</v>
      </c>
      <c r="U16" t="s">
        <v>765</v>
      </c>
      <c r="V16">
        <v>0</v>
      </c>
      <c r="W16" s="4">
        <v>35000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766</v>
      </c>
      <c r="AN16" t="s">
        <v>767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768</v>
      </c>
      <c r="BA16">
        <v>0</v>
      </c>
      <c r="BC16" t="s">
        <v>767</v>
      </c>
      <c r="BF16" t="s">
        <v>769</v>
      </c>
    </row>
    <row r="17" spans="1:58" x14ac:dyDescent="0.35">
      <c r="A17" t="s">
        <v>1142</v>
      </c>
      <c r="B17">
        <v>10000</v>
      </c>
      <c r="C17">
        <v>10000</v>
      </c>
      <c r="D17" s="2">
        <v>45721</v>
      </c>
      <c r="E17" t="s">
        <v>61</v>
      </c>
      <c r="F17" s="3">
        <v>0.45724537037037039</v>
      </c>
      <c r="G17" t="s">
        <v>1143</v>
      </c>
      <c r="I17">
        <v>1</v>
      </c>
      <c r="J17" t="s">
        <v>63</v>
      </c>
      <c r="K17">
        <v>12</v>
      </c>
      <c r="L17" t="s">
        <v>478</v>
      </c>
      <c r="M17" s="4">
        <v>2000</v>
      </c>
      <c r="P17" s="2">
        <v>45721</v>
      </c>
      <c r="R17">
        <v>1</v>
      </c>
      <c r="S17" s="4">
        <v>2000</v>
      </c>
      <c r="T17" t="s">
        <v>65</v>
      </c>
      <c r="U17" t="s">
        <v>1144</v>
      </c>
      <c r="V17">
        <v>0</v>
      </c>
      <c r="W17" s="4">
        <v>2000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1145</v>
      </c>
      <c r="AN17" t="s">
        <v>116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1146</v>
      </c>
      <c r="BA17">
        <v>0</v>
      </c>
      <c r="BC17" t="s">
        <v>116</v>
      </c>
      <c r="BF17" t="s">
        <v>352</v>
      </c>
    </row>
    <row r="18" spans="1:58" x14ac:dyDescent="0.35">
      <c r="A18" t="s">
        <v>771</v>
      </c>
      <c r="B18">
        <v>10000</v>
      </c>
      <c r="C18">
        <v>30000</v>
      </c>
      <c r="D18" s="2">
        <v>45721</v>
      </c>
      <c r="E18" t="s">
        <v>61</v>
      </c>
      <c r="F18" t="s">
        <v>772</v>
      </c>
      <c r="G18">
        <v>10639931010</v>
      </c>
      <c r="I18">
        <v>3</v>
      </c>
      <c r="J18" t="s">
        <v>63</v>
      </c>
      <c r="K18">
        <v>85</v>
      </c>
      <c r="L18" t="s">
        <v>327</v>
      </c>
      <c r="M18" s="4">
        <v>13637</v>
      </c>
      <c r="P18" s="2">
        <v>45721</v>
      </c>
      <c r="R18">
        <v>11</v>
      </c>
      <c r="S18" s="4">
        <v>150007</v>
      </c>
      <c r="T18" t="s">
        <v>65</v>
      </c>
      <c r="U18" t="s">
        <v>773</v>
      </c>
      <c r="V18">
        <v>0</v>
      </c>
      <c r="W18" s="4">
        <v>140000</v>
      </c>
      <c r="X18" s="4">
        <v>10007</v>
      </c>
      <c r="Y18">
        <v>0</v>
      </c>
      <c r="Z18">
        <v>0</v>
      </c>
      <c r="AA18">
        <v>0</v>
      </c>
      <c r="AD18">
        <v>0</v>
      </c>
      <c r="AM18" t="s">
        <v>774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775</v>
      </c>
      <c r="BA18">
        <v>0</v>
      </c>
      <c r="BC18" t="s">
        <v>107</v>
      </c>
      <c r="BF18" t="s">
        <v>776</v>
      </c>
    </row>
    <row r="19" spans="1:58" x14ac:dyDescent="0.35">
      <c r="A19" t="s">
        <v>777</v>
      </c>
      <c r="B19">
        <v>10000</v>
      </c>
      <c r="C19">
        <v>30000</v>
      </c>
      <c r="D19" s="2">
        <v>45721</v>
      </c>
      <c r="E19" t="s">
        <v>61</v>
      </c>
      <c r="F19" s="3">
        <v>0.45700231481481479</v>
      </c>
      <c r="G19" t="s">
        <v>778</v>
      </c>
      <c r="I19">
        <v>3</v>
      </c>
      <c r="J19" t="s">
        <v>63</v>
      </c>
      <c r="K19">
        <v>85</v>
      </c>
      <c r="L19" t="s">
        <v>327</v>
      </c>
      <c r="M19" s="4">
        <v>36364</v>
      </c>
      <c r="P19" s="2">
        <v>45721</v>
      </c>
      <c r="R19">
        <v>11</v>
      </c>
      <c r="S19" s="4">
        <v>400004</v>
      </c>
      <c r="T19" t="s">
        <v>65</v>
      </c>
      <c r="U19" t="s">
        <v>328</v>
      </c>
      <c r="V19">
        <v>0</v>
      </c>
      <c r="W19" s="4">
        <v>440000</v>
      </c>
      <c r="X19" s="4">
        <v>-39996</v>
      </c>
      <c r="Y19">
        <v>0</v>
      </c>
      <c r="Z19">
        <v>0</v>
      </c>
      <c r="AA19">
        <v>0</v>
      </c>
      <c r="AD19">
        <v>0</v>
      </c>
      <c r="AM19" t="s">
        <v>329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779</v>
      </c>
      <c r="BA19">
        <v>0</v>
      </c>
      <c r="BC19" t="s">
        <v>107</v>
      </c>
      <c r="BF19" t="s">
        <v>780</v>
      </c>
    </row>
    <row r="20" spans="1:58" x14ac:dyDescent="0.35">
      <c r="A20" t="s">
        <v>781</v>
      </c>
      <c r="B20">
        <v>10000</v>
      </c>
      <c r="C20">
        <v>30000</v>
      </c>
      <c r="D20" s="2">
        <v>45722</v>
      </c>
      <c r="E20" t="s">
        <v>61</v>
      </c>
      <c r="F20" t="s">
        <v>782</v>
      </c>
      <c r="G20" t="s">
        <v>783</v>
      </c>
      <c r="I20">
        <v>3</v>
      </c>
      <c r="J20" t="s">
        <v>63</v>
      </c>
      <c r="K20">
        <v>85</v>
      </c>
      <c r="L20" t="s">
        <v>327</v>
      </c>
      <c r="M20" s="4">
        <v>20000</v>
      </c>
      <c r="P20" s="2">
        <v>45721</v>
      </c>
      <c r="R20">
        <v>11</v>
      </c>
      <c r="S20" s="4">
        <v>220000</v>
      </c>
      <c r="T20" t="s">
        <v>65</v>
      </c>
      <c r="U20" t="s">
        <v>784</v>
      </c>
      <c r="V20">
        <v>0</v>
      </c>
      <c r="W20" s="4">
        <v>200000</v>
      </c>
      <c r="X20" s="4">
        <v>20000</v>
      </c>
      <c r="Y20">
        <v>0</v>
      </c>
      <c r="Z20">
        <v>0</v>
      </c>
      <c r="AA20">
        <v>0</v>
      </c>
      <c r="AD20">
        <v>0</v>
      </c>
      <c r="AM20" t="s">
        <v>785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786</v>
      </c>
      <c r="BA20">
        <v>0</v>
      </c>
      <c r="BC20" t="s">
        <v>107</v>
      </c>
      <c r="BF20" t="s">
        <v>787</v>
      </c>
    </row>
    <row r="21" spans="1:58" x14ac:dyDescent="0.35">
      <c r="A21" t="s">
        <v>1147</v>
      </c>
      <c r="B21">
        <v>10000</v>
      </c>
      <c r="C21">
        <v>10000</v>
      </c>
      <c r="D21" s="2">
        <v>45722</v>
      </c>
      <c r="E21" t="s">
        <v>61</v>
      </c>
      <c r="F21" t="s">
        <v>1148</v>
      </c>
      <c r="G21" t="s">
        <v>1149</v>
      </c>
      <c r="I21">
        <v>1</v>
      </c>
      <c r="J21" t="s">
        <v>63</v>
      </c>
      <c r="K21">
        <v>71</v>
      </c>
      <c r="L21" t="s">
        <v>135</v>
      </c>
      <c r="M21" s="4">
        <v>1250</v>
      </c>
      <c r="P21" s="2">
        <v>45721</v>
      </c>
      <c r="R21">
        <v>4</v>
      </c>
      <c r="S21" s="4">
        <v>5000</v>
      </c>
      <c r="T21" t="s">
        <v>65</v>
      </c>
      <c r="U21">
        <v>83601840001</v>
      </c>
      <c r="V21">
        <v>0</v>
      </c>
      <c r="W21" s="4">
        <v>5000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8360184</v>
      </c>
      <c r="AN21" t="s">
        <v>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1150</v>
      </c>
      <c r="BA21">
        <v>0</v>
      </c>
      <c r="BC21" t="s">
        <v>91</v>
      </c>
      <c r="BF21" t="s">
        <v>1151</v>
      </c>
    </row>
    <row r="22" spans="1:58" x14ac:dyDescent="0.35">
      <c r="A22" t="s">
        <v>1152</v>
      </c>
      <c r="B22">
        <v>10000</v>
      </c>
      <c r="C22">
        <v>10000</v>
      </c>
      <c r="D22" s="2">
        <v>45722</v>
      </c>
      <c r="E22" t="s">
        <v>61</v>
      </c>
      <c r="F22" t="s">
        <v>1148</v>
      </c>
      <c r="G22" t="s">
        <v>1149</v>
      </c>
      <c r="I22">
        <v>1</v>
      </c>
      <c r="J22" t="s">
        <v>63</v>
      </c>
      <c r="K22">
        <v>71</v>
      </c>
      <c r="L22" t="s">
        <v>135</v>
      </c>
      <c r="M22" s="4">
        <v>1250</v>
      </c>
      <c r="P22" s="2">
        <v>45721</v>
      </c>
      <c r="R22">
        <v>4</v>
      </c>
      <c r="S22" s="4">
        <v>5000</v>
      </c>
      <c r="T22" t="s">
        <v>65</v>
      </c>
      <c r="U22">
        <v>83601840001</v>
      </c>
      <c r="V22">
        <v>0</v>
      </c>
      <c r="W22" s="4">
        <v>5000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8360184</v>
      </c>
      <c r="AN22" t="s">
        <v>91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1153</v>
      </c>
      <c r="BA22">
        <v>0</v>
      </c>
      <c r="BC22" t="s">
        <v>91</v>
      </c>
      <c r="BF22" t="s">
        <v>1154</v>
      </c>
    </row>
    <row r="23" spans="1:58" x14ac:dyDescent="0.35">
      <c r="A23" t="s">
        <v>1155</v>
      </c>
      <c r="B23">
        <v>10000</v>
      </c>
      <c r="C23">
        <v>10000</v>
      </c>
      <c r="D23" s="2">
        <v>45722</v>
      </c>
      <c r="E23" t="s">
        <v>61</v>
      </c>
      <c r="F23" t="s">
        <v>1148</v>
      </c>
      <c r="G23" t="s">
        <v>1149</v>
      </c>
      <c r="I23">
        <v>1</v>
      </c>
      <c r="J23" t="s">
        <v>63</v>
      </c>
      <c r="K23">
        <v>71</v>
      </c>
      <c r="L23" t="s">
        <v>135</v>
      </c>
      <c r="M23" s="4">
        <v>1250</v>
      </c>
      <c r="P23" s="2">
        <v>45721</v>
      </c>
      <c r="R23">
        <v>4</v>
      </c>
      <c r="S23" s="4">
        <v>5000</v>
      </c>
      <c r="T23" t="s">
        <v>65</v>
      </c>
      <c r="U23">
        <v>83601840001</v>
      </c>
      <c r="V23">
        <v>0</v>
      </c>
      <c r="W23" s="4">
        <v>5000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8360184</v>
      </c>
      <c r="AN23" t="s">
        <v>91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1156</v>
      </c>
      <c r="BA23">
        <v>0</v>
      </c>
      <c r="BC23" t="s">
        <v>91</v>
      </c>
      <c r="BF23" t="s">
        <v>1157</v>
      </c>
    </row>
    <row r="24" spans="1:58" x14ac:dyDescent="0.35">
      <c r="A24" t="s">
        <v>1158</v>
      </c>
      <c r="B24">
        <v>10000</v>
      </c>
      <c r="C24">
        <v>10000</v>
      </c>
      <c r="D24" s="2">
        <v>45722</v>
      </c>
      <c r="E24" t="s">
        <v>61</v>
      </c>
      <c r="F24" t="s">
        <v>1159</v>
      </c>
      <c r="G24" t="s">
        <v>1149</v>
      </c>
      <c r="I24">
        <v>1</v>
      </c>
      <c r="J24" t="s">
        <v>63</v>
      </c>
      <c r="K24">
        <v>71</v>
      </c>
      <c r="L24" t="s">
        <v>135</v>
      </c>
      <c r="M24" s="4">
        <v>1250</v>
      </c>
      <c r="P24" s="2">
        <v>45721</v>
      </c>
      <c r="R24">
        <v>4</v>
      </c>
      <c r="S24" s="4">
        <v>5000</v>
      </c>
      <c r="T24" t="s">
        <v>65</v>
      </c>
      <c r="U24">
        <v>83601840001</v>
      </c>
      <c r="V24">
        <v>0</v>
      </c>
      <c r="W24" s="4">
        <v>5000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8360184</v>
      </c>
      <c r="AN24" t="s">
        <v>91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1160</v>
      </c>
      <c r="BA24">
        <v>0</v>
      </c>
      <c r="BC24" t="s">
        <v>91</v>
      </c>
      <c r="BF24" t="s">
        <v>1161</v>
      </c>
    </row>
    <row r="25" spans="1:58" x14ac:dyDescent="0.35">
      <c r="A25" t="s">
        <v>788</v>
      </c>
      <c r="B25">
        <v>10000</v>
      </c>
      <c r="C25">
        <v>30000</v>
      </c>
      <c r="D25" s="2">
        <v>45722</v>
      </c>
      <c r="E25" t="s">
        <v>61</v>
      </c>
      <c r="F25" t="s">
        <v>789</v>
      </c>
      <c r="G25">
        <v>10639931010</v>
      </c>
      <c r="I25">
        <v>3</v>
      </c>
      <c r="J25" t="s">
        <v>63</v>
      </c>
      <c r="K25">
        <v>85</v>
      </c>
      <c r="L25" t="s">
        <v>327</v>
      </c>
      <c r="M25" s="4">
        <v>10000</v>
      </c>
      <c r="P25" s="2">
        <v>45721</v>
      </c>
      <c r="R25">
        <v>11</v>
      </c>
      <c r="S25" s="4">
        <v>110000</v>
      </c>
      <c r="T25" t="s">
        <v>65</v>
      </c>
      <c r="U25" t="s">
        <v>784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785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790</v>
      </c>
      <c r="BA25">
        <v>0</v>
      </c>
      <c r="BC25" t="s">
        <v>107</v>
      </c>
      <c r="BF25" t="s">
        <v>791</v>
      </c>
    </row>
    <row r="26" spans="1:58" x14ac:dyDescent="0.35">
      <c r="A26" t="s">
        <v>1162</v>
      </c>
      <c r="B26">
        <v>10000</v>
      </c>
      <c r="C26">
        <v>10000</v>
      </c>
      <c r="D26" s="2">
        <v>45721</v>
      </c>
      <c r="E26" t="s">
        <v>61</v>
      </c>
      <c r="F26" t="s">
        <v>1163</v>
      </c>
      <c r="G26" t="s">
        <v>387</v>
      </c>
      <c r="I26">
        <v>1</v>
      </c>
      <c r="J26" t="s">
        <v>63</v>
      </c>
      <c r="K26">
        <v>12</v>
      </c>
      <c r="L26" t="s">
        <v>478</v>
      </c>
      <c r="M26" s="4">
        <v>1000</v>
      </c>
      <c r="P26" s="2">
        <v>45721</v>
      </c>
      <c r="R26">
        <v>1</v>
      </c>
      <c r="S26" s="4">
        <v>1000</v>
      </c>
      <c r="T26" t="s">
        <v>65</v>
      </c>
      <c r="U26" t="s">
        <v>1164</v>
      </c>
      <c r="V26">
        <v>0</v>
      </c>
      <c r="W26" s="4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1165</v>
      </c>
      <c r="AN26" t="s">
        <v>206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1166</v>
      </c>
      <c r="BA26">
        <v>0</v>
      </c>
      <c r="BC26" t="s">
        <v>206</v>
      </c>
      <c r="BF26" t="s">
        <v>1167</v>
      </c>
    </row>
    <row r="27" spans="1:58" x14ac:dyDescent="0.35">
      <c r="A27" t="s">
        <v>397</v>
      </c>
      <c r="B27">
        <v>10000</v>
      </c>
      <c r="C27">
        <v>30000</v>
      </c>
      <c r="D27" s="2">
        <v>45722</v>
      </c>
      <c r="E27" t="s">
        <v>61</v>
      </c>
      <c r="F27" t="s">
        <v>398</v>
      </c>
      <c r="G27" t="s">
        <v>394</v>
      </c>
      <c r="I27">
        <v>1</v>
      </c>
      <c r="J27" t="s">
        <v>63</v>
      </c>
      <c r="K27">
        <v>67</v>
      </c>
      <c r="L27" t="s">
        <v>385</v>
      </c>
      <c r="M27" s="4">
        <v>50000</v>
      </c>
      <c r="P27" s="2">
        <v>45721</v>
      </c>
      <c r="R27">
        <v>1</v>
      </c>
      <c r="S27" s="4">
        <v>50000</v>
      </c>
      <c r="T27" t="s">
        <v>65</v>
      </c>
      <c r="U27" t="s">
        <v>381</v>
      </c>
      <c r="V27">
        <v>0</v>
      </c>
      <c r="W27" s="4">
        <v>50000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382</v>
      </c>
      <c r="AN27" t="s">
        <v>175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400</v>
      </c>
      <c r="BA27">
        <v>0</v>
      </c>
      <c r="BC27" t="s">
        <v>175</v>
      </c>
      <c r="BF27" t="s">
        <v>401</v>
      </c>
    </row>
    <row r="28" spans="1:58" x14ac:dyDescent="0.35">
      <c r="A28" t="s">
        <v>801</v>
      </c>
      <c r="B28">
        <v>10000</v>
      </c>
      <c r="C28">
        <v>20000</v>
      </c>
      <c r="D28" s="2">
        <v>45722</v>
      </c>
      <c r="E28" t="s">
        <v>61</v>
      </c>
      <c r="F28" t="s">
        <v>802</v>
      </c>
      <c r="G28">
        <v>12190705006</v>
      </c>
      <c r="I28">
        <v>1</v>
      </c>
      <c r="J28" t="s">
        <v>63</v>
      </c>
      <c r="K28">
        <v>68</v>
      </c>
      <c r="L28" t="s">
        <v>405</v>
      </c>
      <c r="M28" s="4">
        <v>31000</v>
      </c>
      <c r="P28" s="2">
        <v>45721</v>
      </c>
      <c r="R28">
        <v>2</v>
      </c>
      <c r="S28" s="4">
        <v>62000</v>
      </c>
      <c r="T28" t="s">
        <v>65</v>
      </c>
      <c r="U28" t="s">
        <v>803</v>
      </c>
      <c r="V28">
        <v>0</v>
      </c>
      <c r="W28" s="4">
        <v>62000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804</v>
      </c>
      <c r="AN28" t="s">
        <v>175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805</v>
      </c>
      <c r="BA28">
        <v>0</v>
      </c>
      <c r="BC28" t="s">
        <v>175</v>
      </c>
      <c r="BF28" t="s">
        <v>806</v>
      </c>
    </row>
    <row r="29" spans="1:58" x14ac:dyDescent="0.35">
      <c r="A29" t="s">
        <v>1168</v>
      </c>
      <c r="B29">
        <v>10000</v>
      </c>
      <c r="C29">
        <v>10000</v>
      </c>
      <c r="D29" s="2">
        <v>45723</v>
      </c>
      <c r="E29" t="s">
        <v>61</v>
      </c>
      <c r="F29" t="s">
        <v>1169</v>
      </c>
      <c r="G29" t="s">
        <v>410</v>
      </c>
      <c r="I29">
        <v>1</v>
      </c>
      <c r="J29" t="s">
        <v>63</v>
      </c>
      <c r="K29">
        <v>87</v>
      </c>
      <c r="L29" t="s">
        <v>172</v>
      </c>
      <c r="M29" s="4">
        <v>20250</v>
      </c>
      <c r="P29" s="2">
        <v>45721</v>
      </c>
      <c r="R29">
        <v>2</v>
      </c>
      <c r="S29" s="4">
        <v>40500</v>
      </c>
      <c r="T29" t="s">
        <v>65</v>
      </c>
      <c r="U29" t="s">
        <v>173</v>
      </c>
      <c r="V29">
        <v>0</v>
      </c>
      <c r="W29" s="4">
        <v>40500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174</v>
      </c>
      <c r="AN29" t="s">
        <v>175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1170</v>
      </c>
      <c r="BA29">
        <v>0</v>
      </c>
      <c r="BC29" t="s">
        <v>175</v>
      </c>
      <c r="BF29" t="s">
        <v>1171</v>
      </c>
    </row>
    <row r="30" spans="1:58" x14ac:dyDescent="0.35">
      <c r="A30" t="s">
        <v>1172</v>
      </c>
      <c r="B30">
        <v>10000</v>
      </c>
      <c r="C30">
        <v>10000</v>
      </c>
      <c r="D30" s="2">
        <v>45721</v>
      </c>
      <c r="E30" t="s">
        <v>61</v>
      </c>
      <c r="F30" t="s">
        <v>1109</v>
      </c>
      <c r="G30" t="s">
        <v>1173</v>
      </c>
      <c r="I30">
        <v>1</v>
      </c>
      <c r="J30" t="s">
        <v>63</v>
      </c>
      <c r="K30">
        <v>61</v>
      </c>
      <c r="L30" t="s">
        <v>216</v>
      </c>
      <c r="M30">
        <v>400</v>
      </c>
      <c r="P30" s="2">
        <v>45721</v>
      </c>
      <c r="R30">
        <v>5</v>
      </c>
      <c r="S30" s="4">
        <v>2000</v>
      </c>
      <c r="T30" t="s">
        <v>65</v>
      </c>
      <c r="U30" t="s">
        <v>1174</v>
      </c>
      <c r="V30">
        <v>0</v>
      </c>
      <c r="W30" s="4">
        <v>2000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1175</v>
      </c>
      <c r="AN30" t="s">
        <v>1176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1177</v>
      </c>
      <c r="BA30">
        <v>0</v>
      </c>
      <c r="BC30" t="s">
        <v>1176</v>
      </c>
      <c r="BF30" t="s">
        <v>1178</v>
      </c>
    </row>
    <row r="31" spans="1:58" x14ac:dyDescent="0.35">
      <c r="A31" t="s">
        <v>1179</v>
      </c>
      <c r="B31">
        <v>10000</v>
      </c>
      <c r="C31">
        <v>20000</v>
      </c>
      <c r="D31" s="2">
        <v>45727</v>
      </c>
      <c r="E31" t="s">
        <v>61</v>
      </c>
      <c r="F31" t="s">
        <v>1180</v>
      </c>
      <c r="G31" t="s">
        <v>1181</v>
      </c>
      <c r="I31">
        <v>2</v>
      </c>
      <c r="J31" t="s">
        <v>63</v>
      </c>
      <c r="K31">
        <v>77</v>
      </c>
      <c r="L31" t="s">
        <v>127</v>
      </c>
      <c r="M31" s="4">
        <v>1250</v>
      </c>
      <c r="P31" s="2">
        <v>45721</v>
      </c>
      <c r="R31">
        <v>88</v>
      </c>
      <c r="S31" s="4">
        <v>110000</v>
      </c>
      <c r="T31" t="s">
        <v>65</v>
      </c>
      <c r="U31" t="s">
        <v>1182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1183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1184</v>
      </c>
      <c r="BA31">
        <v>0</v>
      </c>
      <c r="BC31" t="s">
        <v>107</v>
      </c>
      <c r="BF31" t="s">
        <v>1185</v>
      </c>
    </row>
    <row r="32" spans="1:58" x14ac:dyDescent="0.35">
      <c r="A32" t="s">
        <v>1186</v>
      </c>
      <c r="B32">
        <v>10000</v>
      </c>
      <c r="C32">
        <v>20000</v>
      </c>
      <c r="D32" s="2">
        <v>45727</v>
      </c>
      <c r="E32" t="s">
        <v>61</v>
      </c>
      <c r="F32" t="s">
        <v>1187</v>
      </c>
      <c r="G32" t="s">
        <v>1181</v>
      </c>
      <c r="I32">
        <v>2</v>
      </c>
      <c r="J32" t="s">
        <v>63</v>
      </c>
      <c r="K32">
        <v>77</v>
      </c>
      <c r="L32" t="s">
        <v>127</v>
      </c>
      <c r="M32" s="4">
        <v>1250</v>
      </c>
      <c r="P32" s="2">
        <v>45721</v>
      </c>
      <c r="R32">
        <v>88</v>
      </c>
      <c r="S32" s="4">
        <v>110000</v>
      </c>
      <c r="T32" t="s">
        <v>65</v>
      </c>
      <c r="U32" t="s">
        <v>1188</v>
      </c>
      <c r="V32">
        <v>0</v>
      </c>
      <c r="W32" s="4">
        <v>100000</v>
      </c>
      <c r="X32" s="4">
        <v>10000</v>
      </c>
      <c r="Y32">
        <v>0</v>
      </c>
      <c r="Z32">
        <v>0</v>
      </c>
      <c r="AA32">
        <v>0</v>
      </c>
      <c r="AD32">
        <v>0</v>
      </c>
      <c r="AM32" t="s">
        <v>1189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1190</v>
      </c>
      <c r="BA32">
        <v>0</v>
      </c>
      <c r="BC32" t="s">
        <v>107</v>
      </c>
      <c r="BF32" t="s">
        <v>1191</v>
      </c>
    </row>
    <row r="33" spans="1:58" x14ac:dyDescent="0.35">
      <c r="A33" t="s">
        <v>1192</v>
      </c>
      <c r="B33">
        <v>10000</v>
      </c>
      <c r="C33">
        <v>20000</v>
      </c>
      <c r="D33" s="2">
        <v>45727</v>
      </c>
      <c r="E33" t="s">
        <v>61</v>
      </c>
      <c r="F33" t="s">
        <v>1193</v>
      </c>
      <c r="G33" t="s">
        <v>1181</v>
      </c>
      <c r="I33">
        <v>2</v>
      </c>
      <c r="J33" t="s">
        <v>63</v>
      </c>
      <c r="K33">
        <v>77</v>
      </c>
      <c r="L33" t="s">
        <v>127</v>
      </c>
      <c r="M33" s="4">
        <v>1250</v>
      </c>
      <c r="P33" s="2">
        <v>45721</v>
      </c>
      <c r="R33">
        <v>88</v>
      </c>
      <c r="S33" s="4">
        <v>110000</v>
      </c>
      <c r="T33" t="s">
        <v>65</v>
      </c>
      <c r="U33" t="s">
        <v>1194</v>
      </c>
      <c r="V33">
        <v>0</v>
      </c>
      <c r="W33" s="4">
        <v>100000</v>
      </c>
      <c r="X33" s="4">
        <v>10000</v>
      </c>
      <c r="Y33">
        <v>0</v>
      </c>
      <c r="Z33">
        <v>0</v>
      </c>
      <c r="AA33">
        <v>0</v>
      </c>
      <c r="AD33">
        <v>0</v>
      </c>
      <c r="AM33" t="s">
        <v>1195</v>
      </c>
      <c r="AN33" t="s">
        <v>107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1196</v>
      </c>
      <c r="BA33">
        <v>0</v>
      </c>
      <c r="BC33" t="s">
        <v>107</v>
      </c>
      <c r="BF33" t="s">
        <v>1197</v>
      </c>
    </row>
    <row r="34" spans="1:58" x14ac:dyDescent="0.35">
      <c r="A34" t="s">
        <v>1198</v>
      </c>
      <c r="B34">
        <v>10000</v>
      </c>
      <c r="C34">
        <v>20000</v>
      </c>
      <c r="D34" s="2">
        <v>45727</v>
      </c>
      <c r="E34" t="s">
        <v>61</v>
      </c>
      <c r="F34" t="s">
        <v>1199</v>
      </c>
      <c r="G34" t="s">
        <v>1181</v>
      </c>
      <c r="I34">
        <v>2</v>
      </c>
      <c r="J34" t="s">
        <v>63</v>
      </c>
      <c r="K34">
        <v>77</v>
      </c>
      <c r="L34" t="s">
        <v>127</v>
      </c>
      <c r="M34" s="4">
        <v>1250</v>
      </c>
      <c r="P34" s="2">
        <v>45721</v>
      </c>
      <c r="R34">
        <v>88</v>
      </c>
      <c r="S34" s="4">
        <v>110000</v>
      </c>
      <c r="T34" t="s">
        <v>65</v>
      </c>
      <c r="U34" t="s">
        <v>1200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1201</v>
      </c>
      <c r="AN34" t="s">
        <v>107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1202</v>
      </c>
      <c r="BA34">
        <v>0</v>
      </c>
      <c r="BC34" t="s">
        <v>107</v>
      </c>
      <c r="BF34" t="s">
        <v>1203</v>
      </c>
    </row>
    <row r="35" spans="1:58" x14ac:dyDescent="0.35">
      <c r="A35" t="s">
        <v>1204</v>
      </c>
      <c r="B35">
        <v>10000</v>
      </c>
      <c r="C35">
        <v>20000</v>
      </c>
      <c r="D35" s="2">
        <v>45727</v>
      </c>
      <c r="E35" t="s">
        <v>61</v>
      </c>
      <c r="F35" t="s">
        <v>1205</v>
      </c>
      <c r="G35" t="s">
        <v>1181</v>
      </c>
      <c r="I35">
        <v>2</v>
      </c>
      <c r="J35" t="s">
        <v>63</v>
      </c>
      <c r="K35">
        <v>77</v>
      </c>
      <c r="L35" t="s">
        <v>127</v>
      </c>
      <c r="M35" s="4">
        <v>1250</v>
      </c>
      <c r="P35" s="2">
        <v>45721</v>
      </c>
      <c r="R35">
        <v>88</v>
      </c>
      <c r="S35" s="4">
        <v>110000</v>
      </c>
      <c r="T35" t="s">
        <v>65</v>
      </c>
      <c r="U35" t="s">
        <v>1206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1207</v>
      </c>
      <c r="AN35" t="s">
        <v>107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1208</v>
      </c>
      <c r="BA35">
        <v>0</v>
      </c>
      <c r="BC35" t="s">
        <v>107</v>
      </c>
      <c r="BF35" t="s">
        <v>1209</v>
      </c>
    </row>
    <row r="36" spans="1:58" x14ac:dyDescent="0.35">
      <c r="A36" t="s">
        <v>1210</v>
      </c>
      <c r="B36">
        <v>10000</v>
      </c>
      <c r="C36">
        <v>20000</v>
      </c>
      <c r="D36" s="2">
        <v>45727</v>
      </c>
      <c r="E36" t="s">
        <v>61</v>
      </c>
      <c r="F36" t="s">
        <v>1211</v>
      </c>
      <c r="G36" t="s">
        <v>1181</v>
      </c>
      <c r="I36">
        <v>2</v>
      </c>
      <c r="J36" t="s">
        <v>63</v>
      </c>
      <c r="K36">
        <v>77</v>
      </c>
      <c r="L36" t="s">
        <v>127</v>
      </c>
      <c r="M36" s="4">
        <v>1250</v>
      </c>
      <c r="P36" s="2">
        <v>45721</v>
      </c>
      <c r="R36">
        <v>88</v>
      </c>
      <c r="S36" s="4">
        <v>110000</v>
      </c>
      <c r="T36" t="s">
        <v>65</v>
      </c>
      <c r="U36" t="s">
        <v>1212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1213</v>
      </c>
      <c r="AN36" t="s">
        <v>107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1214</v>
      </c>
      <c r="BA36">
        <v>0</v>
      </c>
      <c r="BC36" t="s">
        <v>107</v>
      </c>
      <c r="BF36" t="s">
        <v>1215</v>
      </c>
    </row>
    <row r="37" spans="1:58" x14ac:dyDescent="0.35">
      <c r="A37" t="s">
        <v>1216</v>
      </c>
      <c r="B37">
        <v>10000</v>
      </c>
      <c r="C37">
        <v>20000</v>
      </c>
      <c r="D37" s="2">
        <v>45727</v>
      </c>
      <c r="E37" t="s">
        <v>61</v>
      </c>
      <c r="F37" t="s">
        <v>1217</v>
      </c>
      <c r="G37" t="s">
        <v>1181</v>
      </c>
      <c r="I37">
        <v>2</v>
      </c>
      <c r="J37" t="s">
        <v>63</v>
      </c>
      <c r="K37">
        <v>77</v>
      </c>
      <c r="L37" t="s">
        <v>127</v>
      </c>
      <c r="M37" s="4">
        <v>1250</v>
      </c>
      <c r="P37" s="2">
        <v>45721</v>
      </c>
      <c r="R37">
        <v>88</v>
      </c>
      <c r="S37" s="4">
        <v>110000</v>
      </c>
      <c r="T37" t="s">
        <v>65</v>
      </c>
      <c r="U37" t="s">
        <v>1218</v>
      </c>
      <c r="V37">
        <v>0</v>
      </c>
      <c r="W37" s="4">
        <v>100000</v>
      </c>
      <c r="X37" s="4">
        <v>10000</v>
      </c>
      <c r="Y37">
        <v>0</v>
      </c>
      <c r="Z37">
        <v>0</v>
      </c>
      <c r="AA37">
        <v>0</v>
      </c>
      <c r="AD37">
        <v>0</v>
      </c>
      <c r="AM37" t="s">
        <v>1219</v>
      </c>
      <c r="AN37" t="s">
        <v>107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1220</v>
      </c>
      <c r="BA37">
        <v>0</v>
      </c>
      <c r="BC37" t="s">
        <v>107</v>
      </c>
      <c r="BF37" t="s">
        <v>1221</v>
      </c>
    </row>
    <row r="38" spans="1:58" x14ac:dyDescent="0.35">
      <c r="A38" t="s">
        <v>1222</v>
      </c>
      <c r="B38">
        <v>10000</v>
      </c>
      <c r="C38">
        <v>20000</v>
      </c>
      <c r="D38" s="2">
        <v>45727</v>
      </c>
      <c r="E38" t="s">
        <v>61</v>
      </c>
      <c r="F38" t="s">
        <v>1223</v>
      </c>
      <c r="G38" t="s">
        <v>1181</v>
      </c>
      <c r="I38">
        <v>2</v>
      </c>
      <c r="J38" t="s">
        <v>63</v>
      </c>
      <c r="K38">
        <v>77</v>
      </c>
      <c r="L38" t="s">
        <v>127</v>
      </c>
      <c r="M38" s="4">
        <v>2500</v>
      </c>
      <c r="P38" s="2">
        <v>45721</v>
      </c>
      <c r="R38">
        <v>88</v>
      </c>
      <c r="S38" s="4">
        <v>220000</v>
      </c>
      <c r="T38" t="s">
        <v>65</v>
      </c>
      <c r="U38" t="s">
        <v>1224</v>
      </c>
      <c r="V38">
        <v>0</v>
      </c>
      <c r="W38" s="4">
        <v>200000</v>
      </c>
      <c r="X38" s="4">
        <v>20000</v>
      </c>
      <c r="Y38">
        <v>0</v>
      </c>
      <c r="Z38">
        <v>0</v>
      </c>
      <c r="AA38">
        <v>0</v>
      </c>
      <c r="AD38">
        <v>0</v>
      </c>
      <c r="AM38" t="s">
        <v>1225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1226</v>
      </c>
      <c r="BA38">
        <v>0</v>
      </c>
      <c r="BC38" t="s">
        <v>107</v>
      </c>
      <c r="BF38" t="s">
        <v>1227</v>
      </c>
    </row>
    <row r="39" spans="1:58" x14ac:dyDescent="0.35">
      <c r="A39" t="s">
        <v>1228</v>
      </c>
      <c r="B39">
        <v>10000</v>
      </c>
      <c r="C39">
        <v>10000</v>
      </c>
      <c r="D39" s="2">
        <v>45722</v>
      </c>
      <c r="E39" t="s">
        <v>61</v>
      </c>
      <c r="F39" t="s">
        <v>1229</v>
      </c>
      <c r="G39" t="s">
        <v>458</v>
      </c>
      <c r="I39">
        <v>1</v>
      </c>
      <c r="J39" t="s">
        <v>63</v>
      </c>
      <c r="K39">
        <v>75</v>
      </c>
      <c r="L39" t="s">
        <v>154</v>
      </c>
      <c r="M39" s="4">
        <v>18462</v>
      </c>
      <c r="P39" s="2">
        <v>45721</v>
      </c>
      <c r="R39">
        <v>13</v>
      </c>
      <c r="S39" s="4">
        <v>240006</v>
      </c>
      <c r="T39" t="s">
        <v>65</v>
      </c>
      <c r="U39" t="s">
        <v>460</v>
      </c>
      <c r="V39">
        <v>0</v>
      </c>
      <c r="W39" s="4">
        <v>240000</v>
      </c>
      <c r="X39">
        <v>6</v>
      </c>
      <c r="Y39">
        <v>0</v>
      </c>
      <c r="Z39">
        <v>0</v>
      </c>
      <c r="AA39">
        <v>0</v>
      </c>
      <c r="AD39">
        <v>0</v>
      </c>
      <c r="AM39" t="s">
        <v>461</v>
      </c>
      <c r="AN39" t="s">
        <v>175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1230</v>
      </c>
      <c r="BA39">
        <v>0</v>
      </c>
      <c r="BC39" t="s">
        <v>175</v>
      </c>
      <c r="BF39" t="s">
        <v>1231</v>
      </c>
    </row>
    <row r="40" spans="1:58" x14ac:dyDescent="0.35">
      <c r="A40" t="s">
        <v>1232</v>
      </c>
      <c r="B40">
        <v>10000</v>
      </c>
      <c r="C40">
        <v>10000</v>
      </c>
      <c r="D40" s="2">
        <v>45722</v>
      </c>
      <c r="E40" t="s">
        <v>61</v>
      </c>
      <c r="F40" t="s">
        <v>1103</v>
      </c>
      <c r="G40" t="s">
        <v>1126</v>
      </c>
      <c r="I40">
        <v>1</v>
      </c>
      <c r="J40" t="s">
        <v>63</v>
      </c>
      <c r="K40">
        <v>22</v>
      </c>
      <c r="L40" t="s">
        <v>466</v>
      </c>
      <c r="M40" s="4">
        <v>3500</v>
      </c>
      <c r="P40" s="2">
        <v>45721</v>
      </c>
      <c r="R40">
        <v>2</v>
      </c>
      <c r="S40" s="4">
        <v>7000</v>
      </c>
      <c r="T40" t="s">
        <v>65</v>
      </c>
      <c r="U40" t="s">
        <v>1233</v>
      </c>
      <c r="V40">
        <v>0</v>
      </c>
      <c r="W40" s="4">
        <v>7000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1234</v>
      </c>
      <c r="AN40" t="s">
        <v>116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1235</v>
      </c>
      <c r="BA40">
        <v>0</v>
      </c>
      <c r="BC40" t="s">
        <v>116</v>
      </c>
      <c r="BF40" t="s">
        <v>470</v>
      </c>
    </row>
    <row r="41" spans="1:58" x14ac:dyDescent="0.35">
      <c r="A41" t="s">
        <v>1236</v>
      </c>
      <c r="B41">
        <v>10000</v>
      </c>
      <c r="C41">
        <v>20000</v>
      </c>
      <c r="D41" s="2">
        <v>45722</v>
      </c>
      <c r="E41" t="s">
        <v>61</v>
      </c>
      <c r="F41" t="s">
        <v>1237</v>
      </c>
      <c r="G41" t="s">
        <v>1238</v>
      </c>
      <c r="I41">
        <v>2</v>
      </c>
      <c r="J41" t="s">
        <v>63</v>
      </c>
      <c r="K41">
        <v>92</v>
      </c>
      <c r="L41" t="s">
        <v>424</v>
      </c>
      <c r="M41" s="4">
        <v>1100</v>
      </c>
      <c r="P41" s="2">
        <v>45721</v>
      </c>
      <c r="R41">
        <v>1</v>
      </c>
      <c r="S41" s="4">
        <v>1100</v>
      </c>
      <c r="T41" t="s">
        <v>65</v>
      </c>
      <c r="U41" t="s">
        <v>1239</v>
      </c>
      <c r="V41">
        <v>0</v>
      </c>
      <c r="W41" s="4">
        <v>1000</v>
      </c>
      <c r="X41">
        <v>100</v>
      </c>
      <c r="Y41">
        <v>0</v>
      </c>
      <c r="Z41">
        <v>0</v>
      </c>
      <c r="AA41">
        <v>0</v>
      </c>
      <c r="AD41">
        <v>0</v>
      </c>
      <c r="AM41" t="s">
        <v>1240</v>
      </c>
      <c r="AN41" t="s">
        <v>1241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1242</v>
      </c>
      <c r="BA41">
        <v>0</v>
      </c>
      <c r="BC41" t="s">
        <v>1241</v>
      </c>
      <c r="BF41" t="s">
        <v>1243</v>
      </c>
    </row>
    <row r="42" spans="1:58" x14ac:dyDescent="0.35">
      <c r="A42" t="s">
        <v>1244</v>
      </c>
      <c r="B42">
        <v>10000</v>
      </c>
      <c r="C42">
        <v>10000</v>
      </c>
      <c r="D42" s="2">
        <v>45726</v>
      </c>
      <c r="E42" t="s">
        <v>61</v>
      </c>
      <c r="F42" t="s">
        <v>1245</v>
      </c>
      <c r="G42" t="s">
        <v>1246</v>
      </c>
      <c r="I42">
        <v>1</v>
      </c>
      <c r="J42" t="s">
        <v>63</v>
      </c>
      <c r="K42">
        <v>93</v>
      </c>
      <c r="L42" t="s">
        <v>900</v>
      </c>
      <c r="M42" s="4">
        <v>1000</v>
      </c>
      <c r="P42" s="2">
        <v>45721</v>
      </c>
      <c r="R42">
        <v>20</v>
      </c>
      <c r="S42" s="4">
        <v>20000</v>
      </c>
      <c r="T42" t="s">
        <v>65</v>
      </c>
      <c r="U42" t="s">
        <v>1247</v>
      </c>
      <c r="V42">
        <v>0</v>
      </c>
      <c r="W42" s="4">
        <v>20000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1248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1249</v>
      </c>
      <c r="BA42">
        <v>0</v>
      </c>
      <c r="BC42" t="s">
        <v>107</v>
      </c>
      <c r="BF42" t="s">
        <v>1250</v>
      </c>
    </row>
    <row r="43" spans="1:58" x14ac:dyDescent="0.35">
      <c r="A43" t="s">
        <v>1244</v>
      </c>
      <c r="B43">
        <v>20000</v>
      </c>
      <c r="C43">
        <v>10000</v>
      </c>
      <c r="D43" s="2">
        <v>45726</v>
      </c>
      <c r="E43" t="s">
        <v>61</v>
      </c>
      <c r="F43" t="s">
        <v>1245</v>
      </c>
      <c r="G43" t="s">
        <v>1246</v>
      </c>
      <c r="I43">
        <v>1</v>
      </c>
      <c r="J43" t="s">
        <v>63</v>
      </c>
      <c r="K43">
        <v>93</v>
      </c>
      <c r="L43" t="s">
        <v>900</v>
      </c>
      <c r="M43" s="4">
        <v>1000</v>
      </c>
      <c r="P43" s="2">
        <v>45721</v>
      </c>
      <c r="R43">
        <v>20</v>
      </c>
      <c r="S43" s="4">
        <v>20000</v>
      </c>
      <c r="T43" t="s">
        <v>65</v>
      </c>
      <c r="U43" t="s">
        <v>1247</v>
      </c>
      <c r="V43">
        <v>0</v>
      </c>
      <c r="W43" s="4">
        <v>20000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1248</v>
      </c>
      <c r="AN43" t="s">
        <v>107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1249</v>
      </c>
      <c r="BA43">
        <v>0</v>
      </c>
      <c r="BC43" t="s">
        <v>107</v>
      </c>
      <c r="BF43" t="s">
        <v>1250</v>
      </c>
    </row>
    <row r="44" spans="1:58" x14ac:dyDescent="0.35">
      <c r="A44" t="s">
        <v>1251</v>
      </c>
      <c r="B44">
        <v>10000</v>
      </c>
      <c r="C44">
        <v>10000</v>
      </c>
      <c r="D44" s="2">
        <v>45726</v>
      </c>
      <c r="E44" t="s">
        <v>61</v>
      </c>
      <c r="F44" t="s">
        <v>1245</v>
      </c>
      <c r="G44" t="s">
        <v>1246</v>
      </c>
      <c r="I44">
        <v>1</v>
      </c>
      <c r="J44" t="s">
        <v>63</v>
      </c>
      <c r="K44">
        <v>93</v>
      </c>
      <c r="L44" t="s">
        <v>900</v>
      </c>
      <c r="M44">
        <v>250</v>
      </c>
      <c r="P44" s="2">
        <v>45721</v>
      </c>
      <c r="R44">
        <v>20</v>
      </c>
      <c r="S44" s="4">
        <v>5000</v>
      </c>
      <c r="T44" t="s">
        <v>65</v>
      </c>
      <c r="U44" t="s">
        <v>1247</v>
      </c>
      <c r="V44">
        <v>0</v>
      </c>
      <c r="W44" s="4">
        <v>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1252</v>
      </c>
      <c r="AN44" t="s">
        <v>1253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1254</v>
      </c>
      <c r="BA44">
        <v>0</v>
      </c>
      <c r="BC44" t="s">
        <v>1253</v>
      </c>
      <c r="BF44" t="s">
        <v>1255</v>
      </c>
    </row>
    <row r="45" spans="1:58" x14ac:dyDescent="0.35">
      <c r="A45" t="s">
        <v>1251</v>
      </c>
      <c r="B45">
        <v>20000</v>
      </c>
      <c r="C45">
        <v>10000</v>
      </c>
      <c r="D45" s="2">
        <v>45726</v>
      </c>
      <c r="E45" t="s">
        <v>61</v>
      </c>
      <c r="F45" t="s">
        <v>1245</v>
      </c>
      <c r="G45" t="s">
        <v>1246</v>
      </c>
      <c r="I45">
        <v>1</v>
      </c>
      <c r="J45" t="s">
        <v>63</v>
      </c>
      <c r="K45">
        <v>93</v>
      </c>
      <c r="L45" t="s">
        <v>900</v>
      </c>
      <c r="M45">
        <v>250</v>
      </c>
      <c r="P45" s="2">
        <v>45721</v>
      </c>
      <c r="R45">
        <v>20</v>
      </c>
      <c r="S45" s="4">
        <v>5000</v>
      </c>
      <c r="T45" t="s">
        <v>65</v>
      </c>
      <c r="U45" t="s">
        <v>1247</v>
      </c>
      <c r="V45">
        <v>0</v>
      </c>
      <c r="W45" s="4">
        <v>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1252</v>
      </c>
      <c r="AN45" t="s">
        <v>1253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1254</v>
      </c>
      <c r="BA45">
        <v>0</v>
      </c>
      <c r="BC45" t="s">
        <v>1253</v>
      </c>
      <c r="BF45" t="s">
        <v>1255</v>
      </c>
    </row>
    <row r="46" spans="1:58" x14ac:dyDescent="0.35">
      <c r="A46" t="s">
        <v>1256</v>
      </c>
      <c r="B46">
        <v>10000</v>
      </c>
      <c r="C46">
        <v>10000</v>
      </c>
      <c r="D46" s="2">
        <v>45723</v>
      </c>
      <c r="E46" t="s">
        <v>61</v>
      </c>
      <c r="F46" t="s">
        <v>1257</v>
      </c>
      <c r="G46" t="s">
        <v>1258</v>
      </c>
      <c r="I46">
        <v>1</v>
      </c>
      <c r="J46" t="s">
        <v>63</v>
      </c>
      <c r="K46">
        <v>70</v>
      </c>
      <c r="L46" t="s">
        <v>795</v>
      </c>
      <c r="M46" s="4">
        <v>22500</v>
      </c>
      <c r="P46" s="2">
        <v>45721</v>
      </c>
      <c r="R46">
        <v>4</v>
      </c>
      <c r="S46" s="4">
        <v>90000</v>
      </c>
      <c r="T46" t="s">
        <v>65</v>
      </c>
      <c r="U46" t="s">
        <v>1259</v>
      </c>
      <c r="V46">
        <v>0</v>
      </c>
      <c r="W46" s="4">
        <v>90000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1260</v>
      </c>
      <c r="AN46" t="s">
        <v>157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1261</v>
      </c>
      <c r="BA46">
        <v>0</v>
      </c>
      <c r="BC46" t="s">
        <v>157</v>
      </c>
      <c r="BF46" t="s">
        <v>1262</v>
      </c>
    </row>
    <row r="47" spans="1:58" x14ac:dyDescent="0.35">
      <c r="A47" t="s">
        <v>874</v>
      </c>
      <c r="B47">
        <v>10000</v>
      </c>
      <c r="C47">
        <v>20000</v>
      </c>
      <c r="D47" s="2">
        <v>45722</v>
      </c>
      <c r="E47" t="s">
        <v>61</v>
      </c>
      <c r="F47" t="s">
        <v>875</v>
      </c>
      <c r="G47">
        <v>501222196</v>
      </c>
      <c r="I47">
        <v>3</v>
      </c>
      <c r="J47" t="s">
        <v>63</v>
      </c>
      <c r="K47">
        <v>60</v>
      </c>
      <c r="L47" t="s">
        <v>277</v>
      </c>
      <c r="M47" s="4">
        <v>10000</v>
      </c>
      <c r="P47" s="2">
        <v>45721</v>
      </c>
      <c r="R47">
        <v>5</v>
      </c>
      <c r="S47" s="4">
        <v>50000</v>
      </c>
      <c r="T47" t="s">
        <v>65</v>
      </c>
      <c r="U47" t="s">
        <v>876</v>
      </c>
      <c r="V47">
        <v>0</v>
      </c>
      <c r="W47" s="4">
        <v>40000</v>
      </c>
      <c r="X47" s="4">
        <v>10000</v>
      </c>
      <c r="Y47">
        <v>0</v>
      </c>
      <c r="Z47">
        <v>0</v>
      </c>
      <c r="AA47">
        <v>0</v>
      </c>
      <c r="AD47">
        <v>0</v>
      </c>
      <c r="AM47" t="s">
        <v>877</v>
      </c>
      <c r="AN47" t="s">
        <v>878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879</v>
      </c>
      <c r="BA47">
        <v>0</v>
      </c>
      <c r="BC47" t="s">
        <v>878</v>
      </c>
      <c r="BF47" t="s">
        <v>880</v>
      </c>
    </row>
    <row r="48" spans="1:58" x14ac:dyDescent="0.35">
      <c r="A48" t="s">
        <v>1263</v>
      </c>
      <c r="B48">
        <v>10000</v>
      </c>
      <c r="C48">
        <v>10000</v>
      </c>
      <c r="D48" s="2">
        <v>45722</v>
      </c>
      <c r="E48" t="s">
        <v>61</v>
      </c>
      <c r="F48" s="3">
        <v>0.53646990740740741</v>
      </c>
      <c r="G48" t="s">
        <v>1264</v>
      </c>
      <c r="I48">
        <v>1</v>
      </c>
      <c r="J48" t="s">
        <v>63</v>
      </c>
      <c r="K48">
        <v>78</v>
      </c>
      <c r="L48" t="s">
        <v>188</v>
      </c>
      <c r="M48">
        <v>500</v>
      </c>
      <c r="P48" s="2">
        <v>45721</v>
      </c>
      <c r="R48">
        <v>1</v>
      </c>
      <c r="S48">
        <v>500</v>
      </c>
      <c r="T48" t="s">
        <v>65</v>
      </c>
      <c r="U48" t="s">
        <v>1265</v>
      </c>
      <c r="V48">
        <v>0</v>
      </c>
      <c r="W48">
        <v>500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1266</v>
      </c>
      <c r="AN48" t="s">
        <v>1267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1268</v>
      </c>
      <c r="BA48">
        <v>0</v>
      </c>
      <c r="BC48" t="s">
        <v>1267</v>
      </c>
      <c r="BF48" t="s">
        <v>1269</v>
      </c>
    </row>
    <row r="49" spans="1:58" x14ac:dyDescent="0.35">
      <c r="A49" t="s">
        <v>1263</v>
      </c>
      <c r="B49">
        <v>20000</v>
      </c>
      <c r="C49">
        <v>10000</v>
      </c>
      <c r="D49" s="2">
        <v>45722</v>
      </c>
      <c r="E49" t="s">
        <v>61</v>
      </c>
      <c r="F49" s="3">
        <v>0.53646990740740741</v>
      </c>
      <c r="G49" t="s">
        <v>1264</v>
      </c>
      <c r="I49">
        <v>1</v>
      </c>
      <c r="J49" t="s">
        <v>63</v>
      </c>
      <c r="K49">
        <v>78</v>
      </c>
      <c r="L49" t="s">
        <v>188</v>
      </c>
      <c r="M49">
        <v>500</v>
      </c>
      <c r="P49" s="2">
        <v>45721</v>
      </c>
      <c r="R49">
        <v>1</v>
      </c>
      <c r="S49">
        <v>500</v>
      </c>
      <c r="T49" t="s">
        <v>65</v>
      </c>
      <c r="U49" t="s">
        <v>1265</v>
      </c>
      <c r="V49">
        <v>0</v>
      </c>
      <c r="W49">
        <v>500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1266</v>
      </c>
      <c r="AN49" t="s">
        <v>1267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1268</v>
      </c>
      <c r="BA49">
        <v>0</v>
      </c>
      <c r="BC49" t="s">
        <v>1267</v>
      </c>
      <c r="BF49" t="s">
        <v>1269</v>
      </c>
    </row>
    <row r="50" spans="1:58" x14ac:dyDescent="0.35">
      <c r="A50" t="s">
        <v>1263</v>
      </c>
      <c r="B50">
        <v>30000</v>
      </c>
      <c r="C50">
        <v>10000</v>
      </c>
      <c r="D50" s="2">
        <v>45722</v>
      </c>
      <c r="E50" t="s">
        <v>61</v>
      </c>
      <c r="F50" s="3">
        <v>0.53646990740740741</v>
      </c>
      <c r="G50" t="s">
        <v>1264</v>
      </c>
      <c r="I50">
        <v>1</v>
      </c>
      <c r="J50" t="s">
        <v>63</v>
      </c>
      <c r="K50">
        <v>78</v>
      </c>
      <c r="L50" t="s">
        <v>188</v>
      </c>
      <c r="M50">
        <v>500</v>
      </c>
      <c r="P50" s="2">
        <v>45721</v>
      </c>
      <c r="R50">
        <v>1</v>
      </c>
      <c r="S50">
        <v>500</v>
      </c>
      <c r="T50" t="s">
        <v>65</v>
      </c>
      <c r="U50" t="s">
        <v>1265</v>
      </c>
      <c r="V50">
        <v>0</v>
      </c>
      <c r="W50">
        <v>500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1266</v>
      </c>
      <c r="AN50" t="s">
        <v>1267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1268</v>
      </c>
      <c r="BA50">
        <v>0</v>
      </c>
      <c r="BC50" t="s">
        <v>1267</v>
      </c>
      <c r="BF50" t="s">
        <v>1269</v>
      </c>
    </row>
    <row r="51" spans="1:58" x14ac:dyDescent="0.35">
      <c r="A51" t="s">
        <v>1263</v>
      </c>
      <c r="B51">
        <v>40000</v>
      </c>
      <c r="C51">
        <v>10000</v>
      </c>
      <c r="D51" s="2">
        <v>45722</v>
      </c>
      <c r="E51" t="s">
        <v>61</v>
      </c>
      <c r="F51" s="3">
        <v>0.53646990740740741</v>
      </c>
      <c r="G51" t="s">
        <v>1264</v>
      </c>
      <c r="I51">
        <v>1</v>
      </c>
      <c r="J51" t="s">
        <v>63</v>
      </c>
      <c r="K51">
        <v>78</v>
      </c>
      <c r="L51" t="s">
        <v>188</v>
      </c>
      <c r="M51">
        <v>500</v>
      </c>
      <c r="P51" s="2">
        <v>45721</v>
      </c>
      <c r="R51">
        <v>1</v>
      </c>
      <c r="S51">
        <v>500</v>
      </c>
      <c r="T51" t="s">
        <v>65</v>
      </c>
      <c r="U51" t="s">
        <v>1265</v>
      </c>
      <c r="V51">
        <v>0</v>
      </c>
      <c r="W51">
        <v>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1266</v>
      </c>
      <c r="AN51" t="s">
        <v>1267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1268</v>
      </c>
      <c r="BA51">
        <v>0</v>
      </c>
      <c r="BC51" t="s">
        <v>1267</v>
      </c>
      <c r="BF51" t="s">
        <v>1269</v>
      </c>
    </row>
    <row r="52" spans="1:58" x14ac:dyDescent="0.35">
      <c r="A52" t="s">
        <v>897</v>
      </c>
      <c r="B52">
        <v>10000</v>
      </c>
      <c r="C52">
        <v>20000</v>
      </c>
      <c r="D52" s="2">
        <v>45721</v>
      </c>
      <c r="E52" t="s">
        <v>61</v>
      </c>
      <c r="F52" t="s">
        <v>898</v>
      </c>
      <c r="G52" t="s">
        <v>899</v>
      </c>
      <c r="I52">
        <v>2</v>
      </c>
      <c r="J52" t="s">
        <v>63</v>
      </c>
      <c r="K52">
        <v>71</v>
      </c>
      <c r="L52" t="s">
        <v>135</v>
      </c>
      <c r="M52" s="4">
        <v>1167</v>
      </c>
      <c r="P52" s="2">
        <v>45721</v>
      </c>
      <c r="R52">
        <v>90</v>
      </c>
      <c r="S52" s="4">
        <v>105030</v>
      </c>
      <c r="T52" t="s">
        <v>65</v>
      </c>
      <c r="U52" t="s">
        <v>901</v>
      </c>
      <c r="V52">
        <v>0</v>
      </c>
      <c r="W52" s="4">
        <v>105000</v>
      </c>
      <c r="X52">
        <v>30</v>
      </c>
      <c r="Y52">
        <v>0</v>
      </c>
      <c r="Z52">
        <v>0</v>
      </c>
      <c r="AA52">
        <v>0</v>
      </c>
      <c r="AD52">
        <v>0</v>
      </c>
      <c r="AM52" t="s">
        <v>902</v>
      </c>
      <c r="AN52" t="s">
        <v>903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904</v>
      </c>
      <c r="BA52">
        <v>0</v>
      </c>
      <c r="BC52" t="s">
        <v>903</v>
      </c>
      <c r="BF52" t="s">
        <v>905</v>
      </c>
    </row>
    <row r="53" spans="1:58" x14ac:dyDescent="0.35">
      <c r="A53" t="s">
        <v>1270</v>
      </c>
      <c r="B53">
        <v>10000</v>
      </c>
      <c r="C53">
        <v>20000</v>
      </c>
      <c r="D53" s="2">
        <v>45722</v>
      </c>
      <c r="E53" t="s">
        <v>61</v>
      </c>
      <c r="F53" t="s">
        <v>1271</v>
      </c>
      <c r="G53" t="s">
        <v>1272</v>
      </c>
      <c r="I53">
        <v>2</v>
      </c>
      <c r="J53" t="s">
        <v>63</v>
      </c>
      <c r="K53">
        <v>105</v>
      </c>
      <c r="L53" t="s">
        <v>424</v>
      </c>
      <c r="M53">
        <v>100</v>
      </c>
      <c r="P53" s="2">
        <v>45721</v>
      </c>
      <c r="R53">
        <v>1</v>
      </c>
      <c r="S53">
        <v>100</v>
      </c>
      <c r="T53" t="s">
        <v>65</v>
      </c>
      <c r="U53" t="s">
        <v>1273</v>
      </c>
      <c r="V53">
        <v>0</v>
      </c>
      <c r="W53">
        <v>50</v>
      </c>
      <c r="X53">
        <v>50</v>
      </c>
      <c r="Y53">
        <v>0</v>
      </c>
      <c r="Z53">
        <v>0</v>
      </c>
      <c r="AA53">
        <v>0</v>
      </c>
      <c r="AD53">
        <v>0</v>
      </c>
      <c r="AM53" t="s">
        <v>1274</v>
      </c>
      <c r="AN53" t="s">
        <v>1275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1276</v>
      </c>
      <c r="BA53">
        <v>0</v>
      </c>
      <c r="BC53" t="s">
        <v>1275</v>
      </c>
      <c r="BF53" t="s">
        <v>1277</v>
      </c>
    </row>
    <row r="54" spans="1:58" x14ac:dyDescent="0.35">
      <c r="A54" t="s">
        <v>1278</v>
      </c>
      <c r="B54">
        <v>10000</v>
      </c>
      <c r="C54">
        <v>10000</v>
      </c>
      <c r="D54" s="2">
        <v>45722</v>
      </c>
      <c r="E54" t="s">
        <v>61</v>
      </c>
      <c r="F54" t="s">
        <v>1279</v>
      </c>
      <c r="G54">
        <v>501222196</v>
      </c>
      <c r="I54">
        <v>1</v>
      </c>
      <c r="J54" t="s">
        <v>63</v>
      </c>
      <c r="K54">
        <v>72</v>
      </c>
      <c r="L54" t="s">
        <v>163</v>
      </c>
      <c r="M54" s="4">
        <v>1182</v>
      </c>
      <c r="P54" s="2">
        <v>45721</v>
      </c>
      <c r="R54">
        <v>3</v>
      </c>
      <c r="S54" s="4">
        <v>3545</v>
      </c>
      <c r="T54" t="s">
        <v>65</v>
      </c>
      <c r="U54" t="s">
        <v>1280</v>
      </c>
      <c r="V54">
        <v>0</v>
      </c>
      <c r="W54" s="4">
        <v>2020</v>
      </c>
      <c r="X54" s="4">
        <v>1525</v>
      </c>
      <c r="Y54">
        <v>0</v>
      </c>
      <c r="Z54">
        <v>0</v>
      </c>
      <c r="AA54">
        <v>0</v>
      </c>
      <c r="AD54">
        <v>0</v>
      </c>
      <c r="AM54" t="s">
        <v>1281</v>
      </c>
      <c r="AN54" t="s">
        <v>1282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1283</v>
      </c>
      <c r="BA54">
        <v>0</v>
      </c>
      <c r="BC54" t="s">
        <v>1282</v>
      </c>
      <c r="BF54" t="s">
        <v>1284</v>
      </c>
    </row>
    <row r="55" spans="1:58" x14ac:dyDescent="0.35">
      <c r="A55" t="s">
        <v>1278</v>
      </c>
      <c r="B55">
        <v>20000</v>
      </c>
      <c r="C55">
        <v>10000</v>
      </c>
      <c r="D55" s="2">
        <v>45722</v>
      </c>
      <c r="E55" t="s">
        <v>61</v>
      </c>
      <c r="F55" t="s">
        <v>1279</v>
      </c>
      <c r="G55">
        <v>501222196</v>
      </c>
      <c r="I55">
        <v>1</v>
      </c>
      <c r="J55" t="s">
        <v>63</v>
      </c>
      <c r="K55">
        <v>72</v>
      </c>
      <c r="L55" t="s">
        <v>163</v>
      </c>
      <c r="M55">
        <v>68</v>
      </c>
      <c r="P55" s="2">
        <v>45721</v>
      </c>
      <c r="R55">
        <v>3</v>
      </c>
      <c r="S55">
        <v>205</v>
      </c>
      <c r="T55" t="s">
        <v>65</v>
      </c>
      <c r="U55" t="s">
        <v>1280</v>
      </c>
      <c r="V55">
        <v>0</v>
      </c>
      <c r="W55">
        <v>205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1281</v>
      </c>
      <c r="AN55" t="s">
        <v>1282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1283</v>
      </c>
      <c r="BA55">
        <v>0</v>
      </c>
      <c r="BC55" t="s">
        <v>1282</v>
      </c>
      <c r="BF55" t="s">
        <v>1284</v>
      </c>
    </row>
    <row r="56" spans="1:58" x14ac:dyDescent="0.35">
      <c r="A56" t="s">
        <v>1285</v>
      </c>
      <c r="B56">
        <v>10000</v>
      </c>
      <c r="C56">
        <v>10000</v>
      </c>
      <c r="D56" s="2">
        <v>45722</v>
      </c>
      <c r="E56" t="s">
        <v>61</v>
      </c>
      <c r="F56" t="s">
        <v>551</v>
      </c>
      <c r="G56" t="s">
        <v>1286</v>
      </c>
      <c r="I56">
        <v>1</v>
      </c>
      <c r="J56" t="s">
        <v>63</v>
      </c>
      <c r="K56">
        <v>32</v>
      </c>
      <c r="L56" t="s">
        <v>553</v>
      </c>
      <c r="M56" s="4">
        <v>5860</v>
      </c>
      <c r="P56" s="2">
        <v>45721</v>
      </c>
      <c r="R56">
        <v>1</v>
      </c>
      <c r="S56" s="4">
        <v>5860</v>
      </c>
      <c r="T56" t="s">
        <v>65</v>
      </c>
      <c r="U56" t="s">
        <v>554</v>
      </c>
      <c r="V56">
        <v>0</v>
      </c>
      <c r="W56" s="4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555</v>
      </c>
      <c r="AN56" t="s">
        <v>116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1287</v>
      </c>
      <c r="BA56">
        <v>0</v>
      </c>
      <c r="BC56" t="s">
        <v>116</v>
      </c>
      <c r="BF56" t="s">
        <v>1288</v>
      </c>
    </row>
    <row r="57" spans="1:58" x14ac:dyDescent="0.35">
      <c r="A57" t="s">
        <v>1289</v>
      </c>
      <c r="B57">
        <v>10000</v>
      </c>
      <c r="C57">
        <v>10000</v>
      </c>
      <c r="D57" s="2">
        <v>45722</v>
      </c>
      <c r="E57" t="s">
        <v>61</v>
      </c>
      <c r="F57" t="s">
        <v>551</v>
      </c>
      <c r="G57" t="s">
        <v>1286</v>
      </c>
      <c r="I57">
        <v>1</v>
      </c>
      <c r="J57" t="s">
        <v>63</v>
      </c>
      <c r="K57">
        <v>32</v>
      </c>
      <c r="L57" t="s">
        <v>553</v>
      </c>
      <c r="M57" s="4">
        <v>5860</v>
      </c>
      <c r="P57" s="2">
        <v>45721</v>
      </c>
      <c r="R57">
        <v>1</v>
      </c>
      <c r="S57" s="4">
        <v>5860</v>
      </c>
      <c r="T57" t="s">
        <v>65</v>
      </c>
      <c r="U57" t="s">
        <v>554</v>
      </c>
      <c r="V57">
        <v>0</v>
      </c>
      <c r="W57" s="4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555</v>
      </c>
      <c r="AN57" t="s">
        <v>116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1290</v>
      </c>
      <c r="BA57">
        <v>0</v>
      </c>
      <c r="BC57" t="s">
        <v>116</v>
      </c>
      <c r="BF57" t="s">
        <v>1291</v>
      </c>
    </row>
    <row r="58" spans="1:58" x14ac:dyDescent="0.35">
      <c r="A58" t="s">
        <v>1292</v>
      </c>
      <c r="B58">
        <v>10000</v>
      </c>
      <c r="C58">
        <v>10000</v>
      </c>
      <c r="D58" s="2">
        <v>45723</v>
      </c>
      <c r="E58" t="s">
        <v>61</v>
      </c>
      <c r="F58" s="3">
        <v>0.47401620370370373</v>
      </c>
      <c r="G58" t="s">
        <v>1293</v>
      </c>
      <c r="I58">
        <v>1</v>
      </c>
      <c r="J58" t="s">
        <v>63</v>
      </c>
      <c r="K58">
        <v>72</v>
      </c>
      <c r="L58" t="s">
        <v>163</v>
      </c>
      <c r="M58" s="4">
        <v>5920</v>
      </c>
      <c r="P58" s="2">
        <v>45721</v>
      </c>
      <c r="R58">
        <v>3</v>
      </c>
      <c r="S58" s="4">
        <v>17760</v>
      </c>
      <c r="T58" t="s">
        <v>65</v>
      </c>
      <c r="U58" t="s">
        <v>1294</v>
      </c>
      <c r="V58">
        <v>0</v>
      </c>
      <c r="W58" s="4">
        <v>15520</v>
      </c>
      <c r="X58" s="4">
        <v>2240</v>
      </c>
      <c r="Y58">
        <v>0</v>
      </c>
      <c r="Z58">
        <v>0</v>
      </c>
      <c r="AA58">
        <v>0</v>
      </c>
      <c r="AD58">
        <v>0</v>
      </c>
      <c r="AM58" t="s">
        <v>1295</v>
      </c>
      <c r="AN58" t="s">
        <v>1282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1296</v>
      </c>
      <c r="BA58">
        <v>0</v>
      </c>
      <c r="BC58" t="s">
        <v>1282</v>
      </c>
      <c r="BF58" t="s">
        <v>1297</v>
      </c>
    </row>
    <row r="59" spans="1:58" x14ac:dyDescent="0.35">
      <c r="A59" t="s">
        <v>1292</v>
      </c>
      <c r="B59">
        <v>20000</v>
      </c>
      <c r="C59">
        <v>10000</v>
      </c>
      <c r="D59" s="2">
        <v>45723</v>
      </c>
      <c r="E59" t="s">
        <v>61</v>
      </c>
      <c r="F59" s="3">
        <v>0.47401620370370373</v>
      </c>
      <c r="G59" t="s">
        <v>1293</v>
      </c>
      <c r="I59">
        <v>1</v>
      </c>
      <c r="J59" t="s">
        <v>63</v>
      </c>
      <c r="K59">
        <v>72</v>
      </c>
      <c r="L59" t="s">
        <v>163</v>
      </c>
      <c r="M59">
        <v>430</v>
      </c>
      <c r="P59" s="2">
        <v>45721</v>
      </c>
      <c r="R59">
        <v>3</v>
      </c>
      <c r="S59" s="4">
        <v>1290</v>
      </c>
      <c r="T59" t="s">
        <v>65</v>
      </c>
      <c r="U59" t="s">
        <v>1294</v>
      </c>
      <c r="V59">
        <v>0</v>
      </c>
      <c r="W59" s="4">
        <v>1290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1295</v>
      </c>
      <c r="AN59" t="s">
        <v>1282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1296</v>
      </c>
      <c r="BA59">
        <v>0</v>
      </c>
      <c r="BC59" t="s">
        <v>1282</v>
      </c>
      <c r="BF59" t="s">
        <v>1297</v>
      </c>
    </row>
    <row r="60" spans="1:58" x14ac:dyDescent="0.35">
      <c r="A60" t="s">
        <v>1298</v>
      </c>
      <c r="B60">
        <v>10000</v>
      </c>
      <c r="C60">
        <v>10000</v>
      </c>
      <c r="D60" s="2">
        <v>45722</v>
      </c>
      <c r="E60" t="s">
        <v>61</v>
      </c>
      <c r="F60" t="s">
        <v>1299</v>
      </c>
      <c r="G60" t="s">
        <v>1293</v>
      </c>
      <c r="I60">
        <v>1</v>
      </c>
      <c r="J60" t="s">
        <v>63</v>
      </c>
      <c r="K60">
        <v>72</v>
      </c>
      <c r="L60" t="s">
        <v>163</v>
      </c>
      <c r="M60" s="4">
        <v>2410</v>
      </c>
      <c r="P60" s="2">
        <v>45721</v>
      </c>
      <c r="R60">
        <v>3</v>
      </c>
      <c r="S60" s="4">
        <v>7230</v>
      </c>
      <c r="T60" t="s">
        <v>65</v>
      </c>
      <c r="U60" t="s">
        <v>1300</v>
      </c>
      <c r="V60">
        <v>0</v>
      </c>
      <c r="W60" s="4">
        <v>5180</v>
      </c>
      <c r="X60" s="4">
        <v>2050</v>
      </c>
      <c r="Y60">
        <v>0</v>
      </c>
      <c r="Z60">
        <v>0</v>
      </c>
      <c r="AA60">
        <v>0</v>
      </c>
      <c r="AD60">
        <v>0</v>
      </c>
      <c r="AM60" t="s">
        <v>1301</v>
      </c>
      <c r="AN60" t="s">
        <v>1282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1302</v>
      </c>
      <c r="BA60">
        <v>0</v>
      </c>
      <c r="BC60" t="s">
        <v>1282</v>
      </c>
      <c r="BF60" t="s">
        <v>1297</v>
      </c>
    </row>
    <row r="61" spans="1:58" x14ac:dyDescent="0.35">
      <c r="A61" t="s">
        <v>1298</v>
      </c>
      <c r="B61">
        <v>20000</v>
      </c>
      <c r="C61">
        <v>10000</v>
      </c>
      <c r="D61" s="2">
        <v>45722</v>
      </c>
      <c r="E61" t="s">
        <v>61</v>
      </c>
      <c r="F61" t="s">
        <v>1299</v>
      </c>
      <c r="G61" t="s">
        <v>1293</v>
      </c>
      <c r="I61">
        <v>1</v>
      </c>
      <c r="J61" t="s">
        <v>63</v>
      </c>
      <c r="K61">
        <v>72</v>
      </c>
      <c r="L61" t="s">
        <v>163</v>
      </c>
      <c r="M61">
        <v>90</v>
      </c>
      <c r="P61" s="2">
        <v>45721</v>
      </c>
      <c r="R61">
        <v>3</v>
      </c>
      <c r="S61">
        <v>270</v>
      </c>
      <c r="T61" t="s">
        <v>65</v>
      </c>
      <c r="U61" t="s">
        <v>1300</v>
      </c>
      <c r="V61">
        <v>0</v>
      </c>
      <c r="W61">
        <v>270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1301</v>
      </c>
      <c r="AN61" t="s">
        <v>1282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1302</v>
      </c>
      <c r="BA61">
        <v>0</v>
      </c>
      <c r="BC61" t="s">
        <v>1282</v>
      </c>
      <c r="BF61" t="s">
        <v>1297</v>
      </c>
    </row>
    <row r="62" spans="1:58" x14ac:dyDescent="0.35">
      <c r="A62" t="s">
        <v>906</v>
      </c>
      <c r="B62">
        <v>10000</v>
      </c>
      <c r="C62">
        <v>20000</v>
      </c>
      <c r="D62" s="2">
        <v>45721</v>
      </c>
      <c r="E62" t="s">
        <v>61</v>
      </c>
      <c r="F62" s="3">
        <v>0.48063657407407406</v>
      </c>
      <c r="G62">
        <v>501222196</v>
      </c>
      <c r="I62">
        <v>2</v>
      </c>
      <c r="J62" t="s">
        <v>63</v>
      </c>
      <c r="K62">
        <v>71</v>
      </c>
      <c r="L62" t="s">
        <v>135</v>
      </c>
      <c r="M62">
        <v>667</v>
      </c>
      <c r="P62" s="2">
        <v>45721</v>
      </c>
      <c r="R62">
        <v>15</v>
      </c>
      <c r="S62" s="4">
        <v>10005</v>
      </c>
      <c r="T62" t="s">
        <v>65</v>
      </c>
      <c r="U62" t="s">
        <v>907</v>
      </c>
      <c r="V62">
        <v>0</v>
      </c>
      <c r="W62" s="4">
        <v>10000</v>
      </c>
      <c r="X62">
        <v>5</v>
      </c>
      <c r="Y62">
        <v>0</v>
      </c>
      <c r="Z62">
        <v>0</v>
      </c>
      <c r="AA62">
        <v>0</v>
      </c>
      <c r="AD62">
        <v>0</v>
      </c>
      <c r="AM62" t="s">
        <v>908</v>
      </c>
      <c r="AN62" t="s">
        <v>909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910</v>
      </c>
      <c r="BA62">
        <v>0</v>
      </c>
      <c r="BC62" t="s">
        <v>909</v>
      </c>
      <c r="BF62" t="s">
        <v>911</v>
      </c>
    </row>
    <row r="63" spans="1:58" x14ac:dyDescent="0.35">
      <c r="A63" t="s">
        <v>1303</v>
      </c>
      <c r="B63">
        <v>10000</v>
      </c>
      <c r="C63">
        <v>20000</v>
      </c>
      <c r="D63" s="2">
        <v>45721</v>
      </c>
      <c r="E63" t="s">
        <v>61</v>
      </c>
      <c r="F63" t="s">
        <v>1131</v>
      </c>
      <c r="G63" t="s">
        <v>387</v>
      </c>
      <c r="I63">
        <v>1</v>
      </c>
      <c r="J63" t="s">
        <v>63</v>
      </c>
      <c r="K63">
        <v>12</v>
      </c>
      <c r="L63" t="s">
        <v>478</v>
      </c>
      <c r="M63">
        <v>500</v>
      </c>
      <c r="P63" s="2">
        <v>45721</v>
      </c>
      <c r="R63">
        <v>2</v>
      </c>
      <c r="S63" s="4">
        <v>1000</v>
      </c>
      <c r="T63" t="s">
        <v>65</v>
      </c>
      <c r="U63" t="s">
        <v>1304</v>
      </c>
      <c r="V63">
        <v>0</v>
      </c>
      <c r="W63" s="4">
        <v>1000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1305</v>
      </c>
      <c r="AN63" t="s">
        <v>206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1306</v>
      </c>
      <c r="BA63">
        <v>0</v>
      </c>
      <c r="BC63" t="s">
        <v>206</v>
      </c>
      <c r="BF63" t="s">
        <v>1307</v>
      </c>
    </row>
    <row r="64" spans="1:58" x14ac:dyDescent="0.35">
      <c r="A64" t="s">
        <v>1308</v>
      </c>
      <c r="B64">
        <v>10000</v>
      </c>
      <c r="C64">
        <v>10000</v>
      </c>
      <c r="D64" s="2">
        <v>45722</v>
      </c>
      <c r="E64" t="s">
        <v>61</v>
      </c>
      <c r="F64" t="s">
        <v>1309</v>
      </c>
      <c r="G64" t="s">
        <v>1310</v>
      </c>
      <c r="I64">
        <v>1</v>
      </c>
      <c r="J64" t="s">
        <v>63</v>
      </c>
      <c r="K64">
        <v>31</v>
      </c>
      <c r="L64" t="s">
        <v>1311</v>
      </c>
      <c r="M64">
        <v>500</v>
      </c>
      <c r="P64" s="2">
        <v>45721</v>
      </c>
      <c r="R64">
        <v>1</v>
      </c>
      <c r="S64">
        <v>500</v>
      </c>
      <c r="T64" t="s">
        <v>65</v>
      </c>
      <c r="U64" t="s">
        <v>1312</v>
      </c>
      <c r="V64">
        <v>0</v>
      </c>
      <c r="W64">
        <v>500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1313</v>
      </c>
      <c r="AN64" t="s">
        <v>1314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1315</v>
      </c>
      <c r="BA64">
        <v>0</v>
      </c>
      <c r="BC64" t="s">
        <v>1314</v>
      </c>
      <c r="BF64" t="s">
        <v>1316</v>
      </c>
    </row>
    <row r="65" spans="1:58" x14ac:dyDescent="0.35">
      <c r="A65" t="s">
        <v>1317</v>
      </c>
      <c r="B65">
        <v>10000</v>
      </c>
      <c r="C65">
        <v>10000</v>
      </c>
      <c r="D65" s="2">
        <v>45722</v>
      </c>
      <c r="E65" t="s">
        <v>61</v>
      </c>
      <c r="F65" t="s">
        <v>1309</v>
      </c>
      <c r="G65" t="s">
        <v>1310</v>
      </c>
      <c r="I65">
        <v>1</v>
      </c>
      <c r="J65" t="s">
        <v>63</v>
      </c>
      <c r="K65">
        <v>31</v>
      </c>
      <c r="L65" t="s">
        <v>1311</v>
      </c>
      <c r="M65">
        <v>500</v>
      </c>
      <c r="P65" s="2">
        <v>45721</v>
      </c>
      <c r="R65">
        <v>1</v>
      </c>
      <c r="S65">
        <v>500</v>
      </c>
      <c r="T65" t="s">
        <v>65</v>
      </c>
      <c r="U65" t="s">
        <v>1318</v>
      </c>
      <c r="V65">
        <v>0</v>
      </c>
      <c r="W65">
        <v>500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1319</v>
      </c>
      <c r="AN65" t="s">
        <v>1314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1320</v>
      </c>
      <c r="BA65">
        <v>0</v>
      </c>
      <c r="BC65" t="s">
        <v>1314</v>
      </c>
      <c r="BF65" t="s">
        <v>1321</v>
      </c>
    </row>
    <row r="66" spans="1:58" x14ac:dyDescent="0.35">
      <c r="A66" t="s">
        <v>1322</v>
      </c>
      <c r="B66">
        <v>10000</v>
      </c>
      <c r="C66">
        <v>10000</v>
      </c>
      <c r="D66" s="2">
        <v>45722</v>
      </c>
      <c r="E66" t="s">
        <v>61</v>
      </c>
      <c r="F66" t="s">
        <v>1323</v>
      </c>
      <c r="G66" t="s">
        <v>1310</v>
      </c>
      <c r="I66">
        <v>1</v>
      </c>
      <c r="J66" t="s">
        <v>63</v>
      </c>
      <c r="K66">
        <v>31</v>
      </c>
      <c r="L66" t="s">
        <v>1311</v>
      </c>
      <c r="M66" s="4">
        <v>1000</v>
      </c>
      <c r="P66" s="2">
        <v>45721</v>
      </c>
      <c r="R66">
        <v>1</v>
      </c>
      <c r="S66" s="4">
        <v>1000</v>
      </c>
      <c r="T66" t="s">
        <v>65</v>
      </c>
      <c r="U66" t="s">
        <v>1324</v>
      </c>
      <c r="V66">
        <v>0</v>
      </c>
      <c r="W66" s="4">
        <v>1000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1325</v>
      </c>
      <c r="AN66" t="s">
        <v>1314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1326</v>
      </c>
      <c r="BA66">
        <v>0</v>
      </c>
      <c r="BC66" t="s">
        <v>1314</v>
      </c>
      <c r="BF66" t="s">
        <v>1321</v>
      </c>
    </row>
    <row r="67" spans="1:58" x14ac:dyDescent="0.35">
      <c r="A67" t="s">
        <v>1327</v>
      </c>
      <c r="B67">
        <v>10000</v>
      </c>
      <c r="C67">
        <v>10000</v>
      </c>
      <c r="D67" s="2">
        <v>45722</v>
      </c>
      <c r="E67" t="s">
        <v>61</v>
      </c>
      <c r="F67" t="s">
        <v>1309</v>
      </c>
      <c r="G67" t="s">
        <v>1310</v>
      </c>
      <c r="I67">
        <v>1</v>
      </c>
      <c r="J67" t="s">
        <v>63</v>
      </c>
      <c r="K67">
        <v>31</v>
      </c>
      <c r="L67" t="s">
        <v>1311</v>
      </c>
      <c r="M67">
        <v>500</v>
      </c>
      <c r="P67" s="2">
        <v>45721</v>
      </c>
      <c r="R67">
        <v>1</v>
      </c>
      <c r="S67">
        <v>500</v>
      </c>
      <c r="T67" t="s">
        <v>65</v>
      </c>
      <c r="U67" t="s">
        <v>1328</v>
      </c>
      <c r="V67">
        <v>0</v>
      </c>
      <c r="W67">
        <v>500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1329</v>
      </c>
      <c r="AN67" t="s">
        <v>1314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1330</v>
      </c>
      <c r="BA67">
        <v>0</v>
      </c>
      <c r="BC67" t="s">
        <v>1314</v>
      </c>
      <c r="BF67" t="s">
        <v>1331</v>
      </c>
    </row>
    <row r="68" spans="1:58" x14ac:dyDescent="0.35">
      <c r="A68" t="s">
        <v>1332</v>
      </c>
      <c r="B68">
        <v>10000</v>
      </c>
      <c r="C68">
        <v>20000</v>
      </c>
      <c r="D68" s="2">
        <v>45737</v>
      </c>
      <c r="E68" t="s">
        <v>61</v>
      </c>
      <c r="F68" s="3">
        <v>0.4841435185185185</v>
      </c>
      <c r="G68" t="s">
        <v>1333</v>
      </c>
      <c r="I68">
        <v>1</v>
      </c>
      <c r="J68" t="s">
        <v>63</v>
      </c>
      <c r="K68">
        <v>79</v>
      </c>
      <c r="L68" t="s">
        <v>573</v>
      </c>
      <c r="M68" s="4">
        <v>3594</v>
      </c>
      <c r="P68" s="2">
        <v>45721</v>
      </c>
      <c r="R68">
        <v>64</v>
      </c>
      <c r="S68" s="4">
        <v>230016</v>
      </c>
      <c r="T68" t="s">
        <v>65</v>
      </c>
      <c r="U68" t="s">
        <v>1334</v>
      </c>
      <c r="V68">
        <v>0</v>
      </c>
      <c r="W68" s="4">
        <v>200000</v>
      </c>
      <c r="X68" s="4">
        <v>30016</v>
      </c>
      <c r="Y68">
        <v>0</v>
      </c>
      <c r="Z68">
        <v>0</v>
      </c>
      <c r="AA68">
        <v>0</v>
      </c>
      <c r="AD68">
        <v>0</v>
      </c>
      <c r="AM68" t="s">
        <v>1335</v>
      </c>
      <c r="AN68" t="s">
        <v>107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1336</v>
      </c>
      <c r="BA68">
        <v>0</v>
      </c>
      <c r="BC68" t="s">
        <v>107</v>
      </c>
      <c r="BF68" t="s">
        <v>1337</v>
      </c>
    </row>
    <row r="69" spans="1:58" x14ac:dyDescent="0.35">
      <c r="A69" t="s">
        <v>1338</v>
      </c>
      <c r="B69">
        <v>10000</v>
      </c>
      <c r="C69">
        <v>20000</v>
      </c>
      <c r="D69" s="2">
        <v>45727</v>
      </c>
      <c r="E69" t="s">
        <v>61</v>
      </c>
      <c r="F69" t="s">
        <v>1339</v>
      </c>
      <c r="G69" t="s">
        <v>1181</v>
      </c>
      <c r="I69">
        <v>2</v>
      </c>
      <c r="J69" t="s">
        <v>63</v>
      </c>
      <c r="K69">
        <v>77</v>
      </c>
      <c r="L69" t="s">
        <v>127</v>
      </c>
      <c r="M69" s="4">
        <v>1250</v>
      </c>
      <c r="P69" s="2">
        <v>45721</v>
      </c>
      <c r="R69">
        <v>88</v>
      </c>
      <c r="S69" s="4">
        <v>110000</v>
      </c>
      <c r="T69" t="s">
        <v>65</v>
      </c>
      <c r="U69" t="s">
        <v>1340</v>
      </c>
      <c r="V69">
        <v>0</v>
      </c>
      <c r="W69" s="4">
        <v>100000</v>
      </c>
      <c r="X69" s="4">
        <v>10000</v>
      </c>
      <c r="Y69">
        <v>0</v>
      </c>
      <c r="Z69">
        <v>0</v>
      </c>
      <c r="AA69">
        <v>0</v>
      </c>
      <c r="AD69">
        <v>0</v>
      </c>
      <c r="AM69" t="s">
        <v>1341</v>
      </c>
      <c r="AN69" t="s">
        <v>107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1342</v>
      </c>
      <c r="BA69">
        <v>0</v>
      </c>
      <c r="BC69" t="s">
        <v>107</v>
      </c>
      <c r="BF69" t="s">
        <v>1343</v>
      </c>
    </row>
    <row r="70" spans="1:58" x14ac:dyDescent="0.35">
      <c r="A70" t="s">
        <v>1344</v>
      </c>
      <c r="B70">
        <v>10000</v>
      </c>
      <c r="C70">
        <v>10000</v>
      </c>
      <c r="D70" s="2">
        <v>45734</v>
      </c>
      <c r="E70" t="s">
        <v>61</v>
      </c>
      <c r="F70" t="s">
        <v>1345</v>
      </c>
      <c r="G70" t="s">
        <v>1346</v>
      </c>
      <c r="I70">
        <v>1</v>
      </c>
      <c r="J70" t="s">
        <v>63</v>
      </c>
      <c r="K70">
        <v>79</v>
      </c>
      <c r="L70" t="s">
        <v>573</v>
      </c>
      <c r="M70" s="4">
        <v>3594</v>
      </c>
      <c r="P70" s="2">
        <v>45721</v>
      </c>
      <c r="R70">
        <v>64</v>
      </c>
      <c r="S70" s="4">
        <v>230016</v>
      </c>
      <c r="T70" t="s">
        <v>65</v>
      </c>
      <c r="U70" t="s">
        <v>1347</v>
      </c>
      <c r="V70">
        <v>0</v>
      </c>
      <c r="W70" s="4">
        <v>200000</v>
      </c>
      <c r="X70" s="4">
        <v>30016</v>
      </c>
      <c r="Y70">
        <v>0</v>
      </c>
      <c r="Z70">
        <v>0</v>
      </c>
      <c r="AA70">
        <v>0</v>
      </c>
      <c r="AD70">
        <v>0</v>
      </c>
      <c r="AM70" t="s">
        <v>1348</v>
      </c>
      <c r="AN70" t="s">
        <v>107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1349</v>
      </c>
      <c r="BA70">
        <v>0</v>
      </c>
      <c r="BC70" t="s">
        <v>107</v>
      </c>
      <c r="BF70" t="s">
        <v>1350</v>
      </c>
    </row>
    <row r="71" spans="1:58" x14ac:dyDescent="0.35">
      <c r="A71" t="s">
        <v>1351</v>
      </c>
      <c r="B71">
        <v>10000</v>
      </c>
      <c r="C71">
        <v>20000</v>
      </c>
      <c r="D71" s="2">
        <v>45726</v>
      </c>
      <c r="E71" t="s">
        <v>61</v>
      </c>
      <c r="F71" s="3">
        <v>0.48101851851851851</v>
      </c>
      <c r="G71">
        <v>10639931011</v>
      </c>
      <c r="I71">
        <v>2</v>
      </c>
      <c r="J71" t="s">
        <v>63</v>
      </c>
      <c r="K71">
        <v>77</v>
      </c>
      <c r="L71" t="s">
        <v>127</v>
      </c>
      <c r="M71" s="4">
        <v>1364</v>
      </c>
      <c r="P71" s="2">
        <v>45721</v>
      </c>
      <c r="R71">
        <v>66</v>
      </c>
      <c r="S71" s="4">
        <v>90024</v>
      </c>
      <c r="T71" t="s">
        <v>65</v>
      </c>
      <c r="U71" t="s">
        <v>1352</v>
      </c>
      <c r="V71">
        <v>0</v>
      </c>
      <c r="W71" s="4">
        <v>80000</v>
      </c>
      <c r="X71" s="4">
        <v>10024</v>
      </c>
      <c r="Y71">
        <v>0</v>
      </c>
      <c r="Z71">
        <v>0</v>
      </c>
      <c r="AA71">
        <v>0</v>
      </c>
      <c r="AD71">
        <v>0</v>
      </c>
      <c r="AM71" t="s">
        <v>1353</v>
      </c>
      <c r="AN71" t="s">
        <v>107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1354</v>
      </c>
      <c r="BA71">
        <v>0</v>
      </c>
      <c r="BC71" t="s">
        <v>107</v>
      </c>
      <c r="BF71" t="s">
        <v>1355</v>
      </c>
    </row>
    <row r="72" spans="1:58" x14ac:dyDescent="0.35">
      <c r="A72" t="s">
        <v>1356</v>
      </c>
      <c r="B72">
        <v>10000</v>
      </c>
      <c r="C72">
        <v>20000</v>
      </c>
      <c r="D72" s="2">
        <v>45727</v>
      </c>
      <c r="E72" t="s">
        <v>61</v>
      </c>
      <c r="F72" t="s">
        <v>1357</v>
      </c>
      <c r="G72" t="s">
        <v>1181</v>
      </c>
      <c r="I72">
        <v>2</v>
      </c>
      <c r="J72" t="s">
        <v>63</v>
      </c>
      <c r="K72">
        <v>77</v>
      </c>
      <c r="L72" t="s">
        <v>127</v>
      </c>
      <c r="M72" s="4">
        <v>1250</v>
      </c>
      <c r="P72" s="2">
        <v>45721</v>
      </c>
      <c r="R72">
        <v>88</v>
      </c>
      <c r="S72" s="4">
        <v>110000</v>
      </c>
      <c r="T72" t="s">
        <v>65</v>
      </c>
      <c r="U72" t="s">
        <v>1358</v>
      </c>
      <c r="V72">
        <v>0</v>
      </c>
      <c r="W72" s="4">
        <v>100000</v>
      </c>
      <c r="X72" s="4">
        <v>10000</v>
      </c>
      <c r="Y72">
        <v>0</v>
      </c>
      <c r="Z72">
        <v>0</v>
      </c>
      <c r="AA72">
        <v>0</v>
      </c>
      <c r="AD72">
        <v>0</v>
      </c>
      <c r="AM72" t="s">
        <v>1359</v>
      </c>
      <c r="AN72" t="s">
        <v>107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1360</v>
      </c>
      <c r="BA72">
        <v>0</v>
      </c>
      <c r="BC72" t="s">
        <v>107</v>
      </c>
      <c r="BF72" t="s">
        <v>1361</v>
      </c>
    </row>
    <row r="73" spans="1:58" x14ac:dyDescent="0.35">
      <c r="A73" t="s">
        <v>1362</v>
      </c>
      <c r="B73">
        <v>10000</v>
      </c>
      <c r="C73">
        <v>10000</v>
      </c>
      <c r="D73" s="2">
        <v>45735</v>
      </c>
      <c r="E73" t="s">
        <v>95</v>
      </c>
      <c r="F73" t="s">
        <v>1363</v>
      </c>
      <c r="G73" t="s">
        <v>1364</v>
      </c>
      <c r="I73">
        <v>1</v>
      </c>
      <c r="J73" t="s">
        <v>63</v>
      </c>
      <c r="K73">
        <v>79</v>
      </c>
      <c r="L73" t="s">
        <v>573</v>
      </c>
      <c r="M73" s="4">
        <v>3594</v>
      </c>
      <c r="P73" s="2">
        <v>45721</v>
      </c>
      <c r="R73">
        <v>32</v>
      </c>
      <c r="S73" s="4">
        <v>115008</v>
      </c>
      <c r="T73" t="s">
        <v>65</v>
      </c>
      <c r="U73" t="s">
        <v>1365</v>
      </c>
      <c r="V73">
        <v>0</v>
      </c>
      <c r="W73" s="4">
        <v>100000</v>
      </c>
      <c r="X73" s="4">
        <v>15008</v>
      </c>
      <c r="Y73">
        <v>0</v>
      </c>
      <c r="Z73">
        <v>0</v>
      </c>
      <c r="AA73">
        <v>0</v>
      </c>
      <c r="AD73">
        <v>0</v>
      </c>
      <c r="AM73" t="s">
        <v>1366</v>
      </c>
      <c r="AN73" t="s">
        <v>107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1367</v>
      </c>
      <c r="BA73">
        <v>0</v>
      </c>
      <c r="BC73" t="s">
        <v>107</v>
      </c>
      <c r="BF73" t="s">
        <v>1368</v>
      </c>
    </row>
    <row r="74" spans="1:58" x14ac:dyDescent="0.35">
      <c r="A74" t="s">
        <v>1369</v>
      </c>
      <c r="B74">
        <v>10000</v>
      </c>
      <c r="C74">
        <v>20000</v>
      </c>
      <c r="D74" s="2">
        <v>45721</v>
      </c>
      <c r="E74" t="s">
        <v>61</v>
      </c>
      <c r="F74" t="s">
        <v>1370</v>
      </c>
      <c r="G74">
        <v>10639931005</v>
      </c>
      <c r="I74">
        <v>2</v>
      </c>
      <c r="J74" t="s">
        <v>63</v>
      </c>
      <c r="K74">
        <v>77</v>
      </c>
      <c r="L74" t="s">
        <v>127</v>
      </c>
      <c r="M74" s="4">
        <v>2500</v>
      </c>
      <c r="P74" s="2">
        <v>45721</v>
      </c>
      <c r="R74">
        <v>88</v>
      </c>
      <c r="S74" s="4">
        <v>220000</v>
      </c>
      <c r="T74" t="s">
        <v>65</v>
      </c>
      <c r="U74" t="s">
        <v>773</v>
      </c>
      <c r="V74">
        <v>0</v>
      </c>
      <c r="W74" s="4">
        <v>200000</v>
      </c>
      <c r="X74" s="4">
        <v>20000</v>
      </c>
      <c r="Y74">
        <v>0</v>
      </c>
      <c r="Z74">
        <v>0</v>
      </c>
      <c r="AA74">
        <v>0</v>
      </c>
      <c r="AD74">
        <v>0</v>
      </c>
      <c r="AM74" t="s">
        <v>774</v>
      </c>
      <c r="AN74" t="s">
        <v>107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1371</v>
      </c>
      <c r="BA74">
        <v>0</v>
      </c>
      <c r="BC74" t="s">
        <v>107</v>
      </c>
      <c r="BF74" t="s">
        <v>1372</v>
      </c>
    </row>
    <row r="75" spans="1:58" x14ac:dyDescent="0.35">
      <c r="A75" t="s">
        <v>1369</v>
      </c>
      <c r="B75">
        <v>10000</v>
      </c>
      <c r="C75">
        <v>30000</v>
      </c>
      <c r="D75" s="2">
        <v>45721</v>
      </c>
      <c r="E75" t="s">
        <v>61</v>
      </c>
      <c r="F75" t="s">
        <v>1370</v>
      </c>
      <c r="G75">
        <v>10639931005</v>
      </c>
      <c r="I75">
        <v>3</v>
      </c>
      <c r="J75" t="s">
        <v>63</v>
      </c>
      <c r="K75">
        <v>85</v>
      </c>
      <c r="L75" t="s">
        <v>327</v>
      </c>
      <c r="M75" s="4">
        <v>20000</v>
      </c>
      <c r="P75" s="2">
        <v>45721</v>
      </c>
      <c r="R75">
        <v>11</v>
      </c>
      <c r="S75" s="4">
        <v>220000</v>
      </c>
      <c r="T75" t="s">
        <v>65</v>
      </c>
      <c r="U75" t="s">
        <v>773</v>
      </c>
      <c r="V75">
        <v>0</v>
      </c>
      <c r="W75" s="4">
        <v>200000</v>
      </c>
      <c r="X75" s="4">
        <v>20000</v>
      </c>
      <c r="Y75">
        <v>0</v>
      </c>
      <c r="Z75">
        <v>0</v>
      </c>
      <c r="AA75">
        <v>0</v>
      </c>
      <c r="AD75">
        <v>0</v>
      </c>
      <c r="AM75" t="s">
        <v>774</v>
      </c>
      <c r="AN75" t="s">
        <v>107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1371</v>
      </c>
      <c r="BA75">
        <v>0</v>
      </c>
      <c r="BC75" t="s">
        <v>107</v>
      </c>
      <c r="BF75" t="s">
        <v>1372</v>
      </c>
    </row>
    <row r="76" spans="1:58" x14ac:dyDescent="0.35">
      <c r="A76" t="s">
        <v>565</v>
      </c>
      <c r="B76">
        <v>10000</v>
      </c>
      <c r="C76">
        <v>30000</v>
      </c>
      <c r="D76" s="2">
        <v>45722</v>
      </c>
      <c r="E76" t="s">
        <v>61</v>
      </c>
      <c r="F76" t="s">
        <v>566</v>
      </c>
      <c r="G76" t="s">
        <v>567</v>
      </c>
      <c r="I76">
        <v>3</v>
      </c>
      <c r="J76" t="s">
        <v>63</v>
      </c>
      <c r="K76">
        <v>101</v>
      </c>
      <c r="L76" t="s">
        <v>104</v>
      </c>
      <c r="M76" s="4">
        <v>62000</v>
      </c>
      <c r="P76" s="2">
        <v>45721</v>
      </c>
      <c r="R76">
        <v>5</v>
      </c>
      <c r="S76" s="4">
        <v>310000</v>
      </c>
      <c r="T76" t="s">
        <v>65</v>
      </c>
      <c r="U76" t="s">
        <v>147</v>
      </c>
      <c r="V76">
        <v>0</v>
      </c>
      <c r="W76" s="4">
        <v>325000</v>
      </c>
      <c r="X76" s="4">
        <v>-15000</v>
      </c>
      <c r="Y76">
        <v>0</v>
      </c>
      <c r="Z76">
        <v>0</v>
      </c>
      <c r="AA76">
        <v>0</v>
      </c>
      <c r="AD76">
        <v>0</v>
      </c>
      <c r="AM76" t="s">
        <v>148</v>
      </c>
      <c r="AN76" t="s">
        <v>107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568</v>
      </c>
      <c r="BA76">
        <v>0</v>
      </c>
      <c r="BC76" t="s">
        <v>107</v>
      </c>
      <c r="BF76" t="s">
        <v>569</v>
      </c>
    </row>
    <row r="77" spans="1:58" x14ac:dyDescent="0.35">
      <c r="A77" t="s">
        <v>1373</v>
      </c>
      <c r="B77">
        <v>10000</v>
      </c>
      <c r="C77">
        <v>10000</v>
      </c>
      <c r="D77" s="2">
        <v>45734</v>
      </c>
      <c r="E77" t="s">
        <v>61</v>
      </c>
      <c r="F77" t="s">
        <v>1374</v>
      </c>
      <c r="G77" t="s">
        <v>1346</v>
      </c>
      <c r="I77">
        <v>1</v>
      </c>
      <c r="J77" t="s">
        <v>63</v>
      </c>
      <c r="K77">
        <v>79</v>
      </c>
      <c r="L77" t="s">
        <v>573</v>
      </c>
      <c r="M77" s="4">
        <v>3594</v>
      </c>
      <c r="P77" s="2">
        <v>45721</v>
      </c>
      <c r="R77">
        <v>64</v>
      </c>
      <c r="S77" s="4">
        <v>230016</v>
      </c>
      <c r="T77" t="s">
        <v>65</v>
      </c>
      <c r="U77" t="s">
        <v>1375</v>
      </c>
      <c r="V77">
        <v>0</v>
      </c>
      <c r="W77" s="4">
        <v>200000</v>
      </c>
      <c r="X77" s="4">
        <v>30016</v>
      </c>
      <c r="Y77">
        <v>0</v>
      </c>
      <c r="Z77">
        <v>0</v>
      </c>
      <c r="AA77">
        <v>0</v>
      </c>
      <c r="AD77">
        <v>0</v>
      </c>
      <c r="AM77" t="s">
        <v>1376</v>
      </c>
      <c r="AN77" t="s">
        <v>107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1377</v>
      </c>
      <c r="BA77">
        <v>0</v>
      </c>
      <c r="BC77" t="s">
        <v>107</v>
      </c>
      <c r="BF77" t="s">
        <v>1378</v>
      </c>
    </row>
    <row r="78" spans="1:58" x14ac:dyDescent="0.35">
      <c r="A78" t="s">
        <v>1379</v>
      </c>
      <c r="B78">
        <v>10000</v>
      </c>
      <c r="C78">
        <v>10000</v>
      </c>
      <c r="D78" s="2">
        <v>45734</v>
      </c>
      <c r="E78" t="s">
        <v>61</v>
      </c>
      <c r="F78" t="s">
        <v>1380</v>
      </c>
      <c r="G78" t="s">
        <v>1346</v>
      </c>
      <c r="I78">
        <v>1</v>
      </c>
      <c r="J78" t="s">
        <v>63</v>
      </c>
      <c r="K78">
        <v>79</v>
      </c>
      <c r="L78" t="s">
        <v>573</v>
      </c>
      <c r="M78" s="4">
        <v>3594</v>
      </c>
      <c r="P78" s="2">
        <v>45721</v>
      </c>
      <c r="R78">
        <v>64</v>
      </c>
      <c r="S78" s="4">
        <v>230016</v>
      </c>
      <c r="T78" t="s">
        <v>65</v>
      </c>
      <c r="U78" t="s">
        <v>1381</v>
      </c>
      <c r="V78">
        <v>0</v>
      </c>
      <c r="W78" s="4">
        <v>200000</v>
      </c>
      <c r="X78" s="4">
        <v>30016</v>
      </c>
      <c r="Y78">
        <v>0</v>
      </c>
      <c r="Z78">
        <v>0</v>
      </c>
      <c r="AA78">
        <v>0</v>
      </c>
      <c r="AD78">
        <v>0</v>
      </c>
      <c r="AM78" t="s">
        <v>1382</v>
      </c>
      <c r="AN78" t="s">
        <v>107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1383</v>
      </c>
      <c r="BA78">
        <v>0</v>
      </c>
      <c r="BC78" t="s">
        <v>107</v>
      </c>
      <c r="BF78" t="s">
        <v>1384</v>
      </c>
    </row>
    <row r="79" spans="1:58" x14ac:dyDescent="0.35">
      <c r="A79" t="s">
        <v>1385</v>
      </c>
      <c r="B79">
        <v>10000</v>
      </c>
      <c r="C79">
        <v>10000</v>
      </c>
      <c r="D79" s="2">
        <v>45721</v>
      </c>
      <c r="E79" t="s">
        <v>61</v>
      </c>
      <c r="F79" t="s">
        <v>1386</v>
      </c>
      <c r="G79" t="s">
        <v>1387</v>
      </c>
      <c r="I79">
        <v>1</v>
      </c>
      <c r="J79" t="s">
        <v>63</v>
      </c>
      <c r="K79">
        <v>61</v>
      </c>
      <c r="L79" t="s">
        <v>216</v>
      </c>
      <c r="M79">
        <v>200</v>
      </c>
      <c r="P79" s="2">
        <v>45721</v>
      </c>
      <c r="R79">
        <v>5</v>
      </c>
      <c r="S79" s="4">
        <v>1000</v>
      </c>
      <c r="T79" t="s">
        <v>65</v>
      </c>
      <c r="U79" t="s">
        <v>1388</v>
      </c>
      <c r="V79">
        <v>0</v>
      </c>
      <c r="W79" s="4">
        <v>1000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1389</v>
      </c>
      <c r="AN79" t="s">
        <v>206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1390</v>
      </c>
      <c r="BA79">
        <v>0</v>
      </c>
      <c r="BC79" t="s">
        <v>206</v>
      </c>
      <c r="BF79" t="s">
        <v>1391</v>
      </c>
    </row>
    <row r="80" spans="1:58" x14ac:dyDescent="0.35">
      <c r="A80" t="s">
        <v>1392</v>
      </c>
      <c r="B80">
        <v>10000</v>
      </c>
      <c r="C80">
        <v>10000</v>
      </c>
      <c r="D80" s="2">
        <v>45737</v>
      </c>
      <c r="E80" t="s">
        <v>61</v>
      </c>
      <c r="F80" s="3">
        <v>0.4841435185185185</v>
      </c>
      <c r="G80" t="s">
        <v>1346</v>
      </c>
      <c r="I80">
        <v>1</v>
      </c>
      <c r="J80" t="s">
        <v>63</v>
      </c>
      <c r="K80">
        <v>79</v>
      </c>
      <c r="L80" t="s">
        <v>573</v>
      </c>
      <c r="M80" s="4">
        <v>3594</v>
      </c>
      <c r="P80" s="2">
        <v>45721</v>
      </c>
      <c r="R80">
        <v>32</v>
      </c>
      <c r="S80" s="4">
        <v>115008</v>
      </c>
      <c r="T80" t="s">
        <v>65</v>
      </c>
      <c r="U80" t="s">
        <v>1393</v>
      </c>
      <c r="V80">
        <v>0</v>
      </c>
      <c r="W80" s="4">
        <v>100000</v>
      </c>
      <c r="X80" s="4">
        <v>15008</v>
      </c>
      <c r="Y80">
        <v>0</v>
      </c>
      <c r="Z80">
        <v>0</v>
      </c>
      <c r="AA80">
        <v>0</v>
      </c>
      <c r="AD80">
        <v>0</v>
      </c>
      <c r="AM80" t="s">
        <v>1394</v>
      </c>
      <c r="AN80" t="s">
        <v>107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1395</v>
      </c>
      <c r="BA80">
        <v>0</v>
      </c>
      <c r="BC80" t="s">
        <v>107</v>
      </c>
      <c r="BF80" t="s">
        <v>1396</v>
      </c>
    </row>
    <row r="81" spans="1:58" x14ac:dyDescent="0.35">
      <c r="A81" t="s">
        <v>1397</v>
      </c>
      <c r="B81">
        <v>10000</v>
      </c>
      <c r="C81">
        <v>10000</v>
      </c>
      <c r="D81" s="2">
        <v>45737</v>
      </c>
      <c r="E81" t="s">
        <v>61</v>
      </c>
      <c r="F81" s="3">
        <v>0.48471064814814813</v>
      </c>
      <c r="G81" t="s">
        <v>1346</v>
      </c>
      <c r="I81">
        <v>1</v>
      </c>
      <c r="J81" t="s">
        <v>63</v>
      </c>
      <c r="K81">
        <v>79</v>
      </c>
      <c r="L81" t="s">
        <v>573</v>
      </c>
      <c r="M81" s="4">
        <v>3594</v>
      </c>
      <c r="P81" s="2">
        <v>45721</v>
      </c>
      <c r="R81">
        <v>32</v>
      </c>
      <c r="S81" s="4">
        <v>115008</v>
      </c>
      <c r="T81" t="s">
        <v>65</v>
      </c>
      <c r="U81" t="s">
        <v>1206</v>
      </c>
      <c r="V81">
        <v>0</v>
      </c>
      <c r="W81" s="4">
        <v>100000</v>
      </c>
      <c r="X81" s="4">
        <v>15008</v>
      </c>
      <c r="Y81">
        <v>0</v>
      </c>
      <c r="Z81">
        <v>0</v>
      </c>
      <c r="AA81">
        <v>0</v>
      </c>
      <c r="AD81">
        <v>0</v>
      </c>
      <c r="AM81" t="s">
        <v>1207</v>
      </c>
      <c r="AN81" t="s">
        <v>107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1398</v>
      </c>
      <c r="BA81">
        <v>0</v>
      </c>
      <c r="BC81" t="s">
        <v>107</v>
      </c>
      <c r="BF81" t="s">
        <v>1399</v>
      </c>
    </row>
    <row r="82" spans="1:58" x14ac:dyDescent="0.35">
      <c r="A82" t="s">
        <v>1400</v>
      </c>
      <c r="B82">
        <v>10000</v>
      </c>
      <c r="C82">
        <v>10000</v>
      </c>
      <c r="D82" s="2">
        <v>45734</v>
      </c>
      <c r="E82" t="s">
        <v>61</v>
      </c>
      <c r="F82" t="s">
        <v>1187</v>
      </c>
      <c r="G82" t="s">
        <v>1346</v>
      </c>
      <c r="I82">
        <v>1</v>
      </c>
      <c r="J82" t="s">
        <v>63</v>
      </c>
      <c r="K82">
        <v>79</v>
      </c>
      <c r="L82" t="s">
        <v>573</v>
      </c>
      <c r="M82" s="4">
        <v>3594</v>
      </c>
      <c r="P82" s="2">
        <v>45721</v>
      </c>
      <c r="R82">
        <v>32</v>
      </c>
      <c r="S82" s="4">
        <v>115008</v>
      </c>
      <c r="T82" t="s">
        <v>65</v>
      </c>
      <c r="U82" t="s">
        <v>1218</v>
      </c>
      <c r="V82">
        <v>0</v>
      </c>
      <c r="W82" s="4">
        <v>100000</v>
      </c>
      <c r="X82" s="4">
        <v>15008</v>
      </c>
      <c r="Y82">
        <v>0</v>
      </c>
      <c r="Z82">
        <v>0</v>
      </c>
      <c r="AA82">
        <v>0</v>
      </c>
      <c r="AD82">
        <v>0</v>
      </c>
      <c r="AM82" t="s">
        <v>1219</v>
      </c>
      <c r="AN82" t="s">
        <v>107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1401</v>
      </c>
      <c r="BA82">
        <v>0</v>
      </c>
      <c r="BC82" t="s">
        <v>107</v>
      </c>
      <c r="BF82" t="s">
        <v>1402</v>
      </c>
    </row>
    <row r="83" spans="1:58" x14ac:dyDescent="0.35">
      <c r="A83" t="s">
        <v>1403</v>
      </c>
      <c r="B83">
        <v>10000</v>
      </c>
      <c r="C83">
        <v>10000</v>
      </c>
      <c r="D83" s="2">
        <v>45722</v>
      </c>
      <c r="E83" t="s">
        <v>61</v>
      </c>
      <c r="F83" s="3">
        <v>0.53562500000000002</v>
      </c>
      <c r="G83" t="s">
        <v>1404</v>
      </c>
      <c r="I83">
        <v>1</v>
      </c>
      <c r="J83" t="s">
        <v>63</v>
      </c>
      <c r="K83">
        <v>94</v>
      </c>
      <c r="L83" t="s">
        <v>181</v>
      </c>
      <c r="M83" s="4">
        <v>4000</v>
      </c>
      <c r="P83" s="2">
        <v>45721</v>
      </c>
      <c r="R83">
        <v>6</v>
      </c>
      <c r="S83" s="4">
        <v>24000</v>
      </c>
      <c r="T83" t="s">
        <v>65</v>
      </c>
      <c r="U83" t="s">
        <v>1405</v>
      </c>
      <c r="V83">
        <v>0</v>
      </c>
      <c r="W83" s="4">
        <v>24000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1406</v>
      </c>
      <c r="AN83" t="s">
        <v>364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1407</v>
      </c>
      <c r="BA83">
        <v>0</v>
      </c>
      <c r="BC83" t="s">
        <v>364</v>
      </c>
      <c r="BF83" t="s">
        <v>1408</v>
      </c>
    </row>
    <row r="84" spans="1:58" x14ac:dyDescent="0.35">
      <c r="A84" t="s">
        <v>992</v>
      </c>
      <c r="B84">
        <v>10000</v>
      </c>
      <c r="C84">
        <v>30000</v>
      </c>
      <c r="D84" s="2">
        <v>45722</v>
      </c>
      <c r="E84" t="s">
        <v>61</v>
      </c>
      <c r="F84" s="3">
        <v>0.4880902777777778</v>
      </c>
      <c r="G84">
        <v>59469</v>
      </c>
      <c r="I84">
        <v>2</v>
      </c>
      <c r="J84" t="s">
        <v>63</v>
      </c>
      <c r="K84">
        <v>96</v>
      </c>
      <c r="L84" t="s">
        <v>104</v>
      </c>
      <c r="M84">
        <v>83</v>
      </c>
      <c r="P84" s="2">
        <v>45721</v>
      </c>
      <c r="R84">
        <v>6</v>
      </c>
      <c r="S84">
        <v>498</v>
      </c>
      <c r="T84" t="s">
        <v>65</v>
      </c>
      <c r="U84" t="s">
        <v>993</v>
      </c>
      <c r="V84">
        <v>0</v>
      </c>
      <c r="W84">
        <v>100</v>
      </c>
      <c r="X84">
        <v>398</v>
      </c>
      <c r="Y84">
        <v>0</v>
      </c>
      <c r="Z84">
        <v>0</v>
      </c>
      <c r="AA84">
        <v>0</v>
      </c>
      <c r="AD84">
        <v>0</v>
      </c>
      <c r="AM84" t="s">
        <v>994</v>
      </c>
      <c r="AN84" t="s">
        <v>321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995</v>
      </c>
      <c r="BA84">
        <v>0</v>
      </c>
      <c r="BC84" t="s">
        <v>321</v>
      </c>
      <c r="BF84" t="s">
        <v>996</v>
      </c>
    </row>
    <row r="85" spans="1:58" x14ac:dyDescent="0.35">
      <c r="A85" t="s">
        <v>997</v>
      </c>
      <c r="B85">
        <v>10000</v>
      </c>
      <c r="C85">
        <v>40000</v>
      </c>
      <c r="D85" s="2">
        <v>45722</v>
      </c>
      <c r="E85" t="s">
        <v>61</v>
      </c>
      <c r="F85" t="s">
        <v>998</v>
      </c>
      <c r="G85">
        <v>59469</v>
      </c>
      <c r="I85">
        <v>2</v>
      </c>
      <c r="J85" t="s">
        <v>63</v>
      </c>
      <c r="K85">
        <v>96</v>
      </c>
      <c r="L85" t="s">
        <v>104</v>
      </c>
      <c r="M85">
        <v>83</v>
      </c>
      <c r="P85" s="2">
        <v>45721</v>
      </c>
      <c r="R85">
        <v>6</v>
      </c>
      <c r="S85">
        <v>498</v>
      </c>
      <c r="T85" t="s">
        <v>65</v>
      </c>
      <c r="U85" t="s">
        <v>999</v>
      </c>
      <c r="V85">
        <v>0</v>
      </c>
      <c r="W85">
        <v>100</v>
      </c>
      <c r="X85">
        <v>398</v>
      </c>
      <c r="Y85">
        <v>0</v>
      </c>
      <c r="Z85">
        <v>0</v>
      </c>
      <c r="AA85">
        <v>0</v>
      </c>
      <c r="AD85">
        <v>0</v>
      </c>
      <c r="AM85" t="s">
        <v>1000</v>
      </c>
      <c r="AN85" t="s">
        <v>321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1001</v>
      </c>
      <c r="BA85">
        <v>0</v>
      </c>
      <c r="BC85" t="s">
        <v>321</v>
      </c>
      <c r="BF85" t="s">
        <v>996</v>
      </c>
    </row>
    <row r="86" spans="1:58" x14ac:dyDescent="0.35">
      <c r="A86" t="s">
        <v>1409</v>
      </c>
      <c r="B86">
        <v>10000</v>
      </c>
      <c r="C86">
        <v>10000</v>
      </c>
      <c r="D86" s="2">
        <v>45722</v>
      </c>
      <c r="E86" t="s">
        <v>61</v>
      </c>
      <c r="F86" s="3">
        <v>0.44299768518518517</v>
      </c>
      <c r="G86">
        <v>59469</v>
      </c>
      <c r="I86">
        <v>1</v>
      </c>
      <c r="J86" t="s">
        <v>63</v>
      </c>
      <c r="K86">
        <v>73</v>
      </c>
      <c r="L86" t="s">
        <v>90</v>
      </c>
      <c r="M86">
        <v>42</v>
      </c>
      <c r="P86" s="2">
        <v>45721</v>
      </c>
      <c r="R86">
        <v>12</v>
      </c>
      <c r="S86">
        <v>504</v>
      </c>
      <c r="T86" t="s">
        <v>65</v>
      </c>
      <c r="U86" t="s">
        <v>1410</v>
      </c>
      <c r="V86">
        <v>0</v>
      </c>
      <c r="W86">
        <v>100</v>
      </c>
      <c r="X86">
        <v>404</v>
      </c>
      <c r="Y86">
        <v>0</v>
      </c>
      <c r="Z86">
        <v>0</v>
      </c>
      <c r="AA86">
        <v>0</v>
      </c>
      <c r="AD86">
        <v>0</v>
      </c>
      <c r="AM86" t="s">
        <v>1411</v>
      </c>
      <c r="AN86" t="s">
        <v>321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1412</v>
      </c>
      <c r="BA86">
        <v>0</v>
      </c>
      <c r="BC86" t="s">
        <v>321</v>
      </c>
      <c r="BF86" t="s">
        <v>996</v>
      </c>
    </row>
    <row r="87" spans="1:58" x14ac:dyDescent="0.35">
      <c r="A87" t="s">
        <v>1409</v>
      </c>
      <c r="B87">
        <v>10000</v>
      </c>
      <c r="C87">
        <v>20000</v>
      </c>
      <c r="D87" s="2">
        <v>45722</v>
      </c>
      <c r="E87" t="s">
        <v>61</v>
      </c>
      <c r="F87" s="3">
        <v>0.44299768518518517</v>
      </c>
      <c r="G87">
        <v>59469</v>
      </c>
      <c r="I87">
        <v>2</v>
      </c>
      <c r="J87" t="s">
        <v>63</v>
      </c>
      <c r="K87">
        <v>101</v>
      </c>
      <c r="L87" t="s">
        <v>104</v>
      </c>
      <c r="M87">
        <v>83</v>
      </c>
      <c r="P87" s="2">
        <v>45721</v>
      </c>
      <c r="R87">
        <v>6</v>
      </c>
      <c r="S87">
        <v>498</v>
      </c>
      <c r="T87" t="s">
        <v>65</v>
      </c>
      <c r="U87" t="s">
        <v>1410</v>
      </c>
      <c r="V87">
        <v>0</v>
      </c>
      <c r="W87">
        <v>100</v>
      </c>
      <c r="X87">
        <v>398</v>
      </c>
      <c r="Y87">
        <v>0</v>
      </c>
      <c r="Z87">
        <v>0</v>
      </c>
      <c r="AA87">
        <v>0</v>
      </c>
      <c r="AD87">
        <v>0</v>
      </c>
      <c r="AM87" t="s">
        <v>1411</v>
      </c>
      <c r="AN87" t="s">
        <v>321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1412</v>
      </c>
      <c r="BA87">
        <v>0</v>
      </c>
      <c r="BC87" t="s">
        <v>321</v>
      </c>
      <c r="BF87" t="s">
        <v>996</v>
      </c>
    </row>
    <row r="88" spans="1:58" x14ac:dyDescent="0.35">
      <c r="A88" t="s">
        <v>1413</v>
      </c>
      <c r="B88">
        <v>10000</v>
      </c>
      <c r="C88">
        <v>30000</v>
      </c>
      <c r="D88" s="2">
        <v>45728</v>
      </c>
      <c r="E88" t="s">
        <v>61</v>
      </c>
      <c r="F88" s="3">
        <v>0.47562500000000002</v>
      </c>
      <c r="G88" t="s">
        <v>1414</v>
      </c>
      <c r="I88">
        <v>2</v>
      </c>
      <c r="J88" t="s">
        <v>63</v>
      </c>
      <c r="K88">
        <v>86</v>
      </c>
      <c r="L88" t="s">
        <v>64</v>
      </c>
      <c r="M88" s="4">
        <v>7994000</v>
      </c>
      <c r="P88" s="2">
        <v>45721</v>
      </c>
      <c r="R88">
        <v>1</v>
      </c>
      <c r="S88" s="4">
        <v>7994000</v>
      </c>
      <c r="T88" t="s">
        <v>65</v>
      </c>
      <c r="U88" t="s">
        <v>1415</v>
      </c>
      <c r="V88">
        <v>0</v>
      </c>
      <c r="W88" s="4">
        <v>7140000</v>
      </c>
      <c r="X88" s="4">
        <v>854000</v>
      </c>
      <c r="Y88">
        <v>0</v>
      </c>
      <c r="Z88">
        <v>0</v>
      </c>
      <c r="AA88">
        <v>0</v>
      </c>
      <c r="AD88">
        <v>0</v>
      </c>
      <c r="AM88" t="s">
        <v>1416</v>
      </c>
      <c r="AN88" t="s">
        <v>481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1417</v>
      </c>
      <c r="BA88">
        <v>0</v>
      </c>
      <c r="BC88" t="s">
        <v>481</v>
      </c>
      <c r="BF88" t="s">
        <v>1418</v>
      </c>
    </row>
    <row r="89" spans="1:58" x14ac:dyDescent="0.35">
      <c r="A89" t="s">
        <v>1419</v>
      </c>
      <c r="B89">
        <v>10000</v>
      </c>
      <c r="C89">
        <v>10000</v>
      </c>
      <c r="D89" s="2">
        <v>45721</v>
      </c>
      <c r="E89" t="s">
        <v>61</v>
      </c>
      <c r="F89" t="s">
        <v>1420</v>
      </c>
      <c r="G89" t="s">
        <v>1421</v>
      </c>
      <c r="I89">
        <v>1</v>
      </c>
      <c r="J89" t="s">
        <v>63</v>
      </c>
      <c r="K89">
        <v>61</v>
      </c>
      <c r="L89" t="s">
        <v>216</v>
      </c>
      <c r="M89" s="4">
        <v>2000</v>
      </c>
      <c r="P89" s="2">
        <v>45721</v>
      </c>
      <c r="R89">
        <v>5</v>
      </c>
      <c r="S89" s="4">
        <v>10000</v>
      </c>
      <c r="T89" t="s">
        <v>65</v>
      </c>
      <c r="U89" t="s">
        <v>1422</v>
      </c>
      <c r="V89">
        <v>0</v>
      </c>
      <c r="W89" s="4">
        <v>10000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1423</v>
      </c>
      <c r="AN89" t="s">
        <v>1424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1425</v>
      </c>
      <c r="BA89">
        <v>0</v>
      </c>
      <c r="BC89" t="s">
        <v>1424</v>
      </c>
      <c r="BF89" t="s">
        <v>1426</v>
      </c>
    </row>
    <row r="90" spans="1:58" x14ac:dyDescent="0.35">
      <c r="A90" t="s">
        <v>1427</v>
      </c>
      <c r="B90">
        <v>10000</v>
      </c>
      <c r="C90">
        <v>10000</v>
      </c>
      <c r="D90" s="2">
        <v>45726</v>
      </c>
      <c r="E90" t="s">
        <v>61</v>
      </c>
      <c r="F90" s="3">
        <v>0.47584490740740742</v>
      </c>
      <c r="G90" t="s">
        <v>1428</v>
      </c>
      <c r="I90">
        <v>1</v>
      </c>
      <c r="J90" t="s">
        <v>63</v>
      </c>
      <c r="K90">
        <v>88</v>
      </c>
      <c r="L90" t="s">
        <v>630</v>
      </c>
      <c r="M90" s="4">
        <v>1300</v>
      </c>
      <c r="P90" s="2">
        <v>45721</v>
      </c>
      <c r="R90">
        <v>1</v>
      </c>
      <c r="S90" s="4">
        <v>1300</v>
      </c>
      <c r="T90" t="s">
        <v>65</v>
      </c>
      <c r="U90" t="s">
        <v>1429</v>
      </c>
      <c r="V90">
        <v>0</v>
      </c>
      <c r="W90" s="4">
        <v>1000</v>
      </c>
      <c r="X90">
        <v>300</v>
      </c>
      <c r="Y90">
        <v>0</v>
      </c>
      <c r="Z90">
        <v>0</v>
      </c>
      <c r="AA90">
        <v>0</v>
      </c>
      <c r="AD90">
        <v>0</v>
      </c>
      <c r="AM90" t="s">
        <v>1430</v>
      </c>
      <c r="AN90" t="s">
        <v>1431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1432</v>
      </c>
      <c r="BA90">
        <v>0</v>
      </c>
      <c r="BC90" t="s">
        <v>1431</v>
      </c>
      <c r="BF90" t="s">
        <v>1433</v>
      </c>
    </row>
    <row r="91" spans="1:58" x14ac:dyDescent="0.35">
      <c r="A91" t="s">
        <v>1434</v>
      </c>
      <c r="B91">
        <v>10000</v>
      </c>
      <c r="C91">
        <v>10000</v>
      </c>
      <c r="D91" s="2">
        <v>45723</v>
      </c>
      <c r="E91" t="s">
        <v>61</v>
      </c>
      <c r="F91" s="3">
        <v>0.53410879629629626</v>
      </c>
      <c r="G91" t="s">
        <v>1435</v>
      </c>
      <c r="I91">
        <v>1</v>
      </c>
      <c r="J91" t="s">
        <v>63</v>
      </c>
      <c r="K91">
        <v>29</v>
      </c>
      <c r="L91" t="s">
        <v>249</v>
      </c>
      <c r="M91" s="4">
        <v>24000</v>
      </c>
      <c r="P91" s="2">
        <v>45721</v>
      </c>
      <c r="R91">
        <v>2</v>
      </c>
      <c r="S91" s="4">
        <v>48000</v>
      </c>
      <c r="T91" t="s">
        <v>65</v>
      </c>
      <c r="U91" t="s">
        <v>250</v>
      </c>
      <c r="V91">
        <v>0</v>
      </c>
      <c r="W91" s="4">
        <v>48000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251</v>
      </c>
      <c r="AN91" t="s">
        <v>175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1436</v>
      </c>
      <c r="BA91">
        <v>0</v>
      </c>
      <c r="BC91" t="s">
        <v>175</v>
      </c>
      <c r="BF91" t="s">
        <v>1437</v>
      </c>
    </row>
    <row r="92" spans="1:58" x14ac:dyDescent="0.35">
      <c r="A92" t="s">
        <v>1438</v>
      </c>
      <c r="B92">
        <v>10000</v>
      </c>
      <c r="C92">
        <v>10000</v>
      </c>
      <c r="D92" s="2">
        <v>45735</v>
      </c>
      <c r="E92" t="s">
        <v>95</v>
      </c>
      <c r="F92" t="s">
        <v>1439</v>
      </c>
      <c r="G92" t="s">
        <v>1364</v>
      </c>
      <c r="I92">
        <v>1</v>
      </c>
      <c r="J92" t="s">
        <v>63</v>
      </c>
      <c r="K92">
        <v>79</v>
      </c>
      <c r="L92" t="s">
        <v>573</v>
      </c>
      <c r="M92" s="4">
        <v>3594</v>
      </c>
      <c r="P92" s="2">
        <v>45721</v>
      </c>
      <c r="R92">
        <v>32</v>
      </c>
      <c r="S92" s="4">
        <v>115008</v>
      </c>
      <c r="T92" t="s">
        <v>65</v>
      </c>
      <c r="U92" t="s">
        <v>1440</v>
      </c>
      <c r="V92">
        <v>0</v>
      </c>
      <c r="W92" s="4">
        <v>100000</v>
      </c>
      <c r="X92" s="4">
        <v>15008</v>
      </c>
      <c r="Y92">
        <v>0</v>
      </c>
      <c r="Z92">
        <v>0</v>
      </c>
      <c r="AA92">
        <v>0</v>
      </c>
      <c r="AD92">
        <v>0</v>
      </c>
      <c r="AM92" t="s">
        <v>1441</v>
      </c>
      <c r="AN92" t="s">
        <v>107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1442</v>
      </c>
      <c r="BA92">
        <v>0</v>
      </c>
      <c r="BC92" t="s">
        <v>107</v>
      </c>
      <c r="BF92" t="s">
        <v>1443</v>
      </c>
    </row>
    <row r="93" spans="1:58" x14ac:dyDescent="0.35">
      <c r="A93" t="s">
        <v>1444</v>
      </c>
      <c r="B93">
        <v>10000</v>
      </c>
      <c r="C93">
        <v>10000</v>
      </c>
      <c r="D93" s="2">
        <v>45740</v>
      </c>
      <c r="E93" t="s">
        <v>61</v>
      </c>
      <c r="F93" t="s">
        <v>1445</v>
      </c>
      <c r="G93">
        <v>10620258034</v>
      </c>
      <c r="I93">
        <v>1</v>
      </c>
      <c r="J93" t="s">
        <v>63</v>
      </c>
      <c r="K93">
        <v>79</v>
      </c>
      <c r="L93" t="s">
        <v>573</v>
      </c>
      <c r="M93">
        <v>228</v>
      </c>
      <c r="P93" s="2">
        <v>45721</v>
      </c>
      <c r="R93">
        <v>308</v>
      </c>
      <c r="S93" s="4">
        <v>70224</v>
      </c>
      <c r="T93" t="s">
        <v>65</v>
      </c>
      <c r="U93" t="s">
        <v>1446</v>
      </c>
      <c r="V93">
        <v>0</v>
      </c>
      <c r="W93" s="4">
        <v>50000</v>
      </c>
      <c r="X93" s="4">
        <v>20224</v>
      </c>
      <c r="Y93">
        <v>0</v>
      </c>
      <c r="Z93">
        <v>0</v>
      </c>
      <c r="AA93">
        <v>0</v>
      </c>
      <c r="AD93">
        <v>0</v>
      </c>
      <c r="AM93" t="s">
        <v>1447</v>
      </c>
      <c r="AN93" t="s">
        <v>107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1448</v>
      </c>
      <c r="BA93">
        <v>0</v>
      </c>
      <c r="BC93" t="s">
        <v>107</v>
      </c>
      <c r="BF93" t="s">
        <v>1449</v>
      </c>
    </row>
    <row r="94" spans="1:58" x14ac:dyDescent="0.35">
      <c r="A94" t="s">
        <v>1450</v>
      </c>
      <c r="B94">
        <v>10000</v>
      </c>
      <c r="C94">
        <v>20000</v>
      </c>
      <c r="D94" s="2">
        <v>45740</v>
      </c>
      <c r="E94" t="s">
        <v>61</v>
      </c>
      <c r="F94" t="s">
        <v>1451</v>
      </c>
      <c r="G94">
        <v>10639931051</v>
      </c>
      <c r="I94">
        <v>1</v>
      </c>
      <c r="J94" t="s">
        <v>63</v>
      </c>
      <c r="K94">
        <v>79</v>
      </c>
      <c r="L94" t="s">
        <v>573</v>
      </c>
      <c r="M94">
        <v>575</v>
      </c>
      <c r="P94" s="2">
        <v>45721</v>
      </c>
      <c r="R94">
        <v>308</v>
      </c>
      <c r="S94" s="4">
        <v>177100</v>
      </c>
      <c r="T94" t="s">
        <v>65</v>
      </c>
      <c r="U94" t="s">
        <v>1452</v>
      </c>
      <c r="V94">
        <v>0</v>
      </c>
      <c r="W94" s="4">
        <v>150000</v>
      </c>
      <c r="X94" s="4">
        <v>27100</v>
      </c>
      <c r="Y94">
        <v>0</v>
      </c>
      <c r="Z94">
        <v>0</v>
      </c>
      <c r="AA94">
        <v>0</v>
      </c>
      <c r="AD94">
        <v>0</v>
      </c>
      <c r="AM94" t="s">
        <v>1453</v>
      </c>
      <c r="AN94" t="s">
        <v>107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1454</v>
      </c>
      <c r="BA94">
        <v>0</v>
      </c>
      <c r="BC94" t="s">
        <v>107</v>
      </c>
      <c r="BF94" t="s">
        <v>1449</v>
      </c>
    </row>
    <row r="95" spans="1:58" x14ac:dyDescent="0.35">
      <c r="A95" t="s">
        <v>1455</v>
      </c>
      <c r="B95">
        <v>10000</v>
      </c>
      <c r="C95">
        <v>10000</v>
      </c>
      <c r="D95" s="2">
        <v>45721</v>
      </c>
      <c r="E95" t="s">
        <v>61</v>
      </c>
      <c r="F95" t="s">
        <v>1456</v>
      </c>
      <c r="G95" t="s">
        <v>1457</v>
      </c>
      <c r="I95">
        <v>1</v>
      </c>
      <c r="J95" t="s">
        <v>63</v>
      </c>
      <c r="K95">
        <v>65</v>
      </c>
      <c r="L95" t="s">
        <v>268</v>
      </c>
      <c r="M95" s="4">
        <v>1000</v>
      </c>
      <c r="P95" s="2">
        <v>45721</v>
      </c>
      <c r="R95">
        <v>5</v>
      </c>
      <c r="S95" s="4">
        <v>5000</v>
      </c>
      <c r="T95" t="s">
        <v>65</v>
      </c>
      <c r="U95" t="s">
        <v>1458</v>
      </c>
      <c r="V95">
        <v>0</v>
      </c>
      <c r="W95" s="4">
        <v>5000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1459</v>
      </c>
      <c r="AN95" t="s">
        <v>508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1460</v>
      </c>
      <c r="BA95">
        <v>0</v>
      </c>
      <c r="BC95" t="s">
        <v>508</v>
      </c>
      <c r="BF95" t="s">
        <v>621</v>
      </c>
    </row>
    <row r="96" spans="1:58" x14ac:dyDescent="0.35">
      <c r="A96" t="s">
        <v>1461</v>
      </c>
      <c r="B96">
        <v>10000</v>
      </c>
      <c r="C96">
        <v>10000</v>
      </c>
      <c r="D96" s="2">
        <v>45721</v>
      </c>
      <c r="E96" t="s">
        <v>61</v>
      </c>
      <c r="F96" t="s">
        <v>1462</v>
      </c>
      <c r="G96" t="s">
        <v>1032</v>
      </c>
      <c r="I96">
        <v>1</v>
      </c>
      <c r="J96" t="s">
        <v>63</v>
      </c>
      <c r="K96">
        <v>65</v>
      </c>
      <c r="L96" t="s">
        <v>268</v>
      </c>
      <c r="M96">
        <v>667</v>
      </c>
      <c r="P96" s="2">
        <v>45721</v>
      </c>
      <c r="R96">
        <v>9</v>
      </c>
      <c r="S96" s="4">
        <v>6003</v>
      </c>
      <c r="T96" t="s">
        <v>65</v>
      </c>
      <c r="U96" t="s">
        <v>1463</v>
      </c>
      <c r="V96">
        <v>0</v>
      </c>
      <c r="W96" s="4">
        <v>6000</v>
      </c>
      <c r="X96">
        <v>3</v>
      </c>
      <c r="Y96">
        <v>0</v>
      </c>
      <c r="Z96">
        <v>0</v>
      </c>
      <c r="AA96">
        <v>0</v>
      </c>
      <c r="AD96">
        <v>0</v>
      </c>
      <c r="AM96" t="s">
        <v>1464</v>
      </c>
      <c r="AN96" t="s">
        <v>508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1465</v>
      </c>
      <c r="BA96">
        <v>0</v>
      </c>
      <c r="BC96" t="s">
        <v>508</v>
      </c>
      <c r="BF96" t="s">
        <v>621</v>
      </c>
    </row>
    <row r="97" spans="1:58" x14ac:dyDescent="0.35">
      <c r="A97" t="s">
        <v>1466</v>
      </c>
      <c r="B97">
        <v>10000</v>
      </c>
      <c r="C97">
        <v>10000</v>
      </c>
      <c r="D97" s="2">
        <v>45721</v>
      </c>
      <c r="E97" t="s">
        <v>61</v>
      </c>
      <c r="F97" t="s">
        <v>1456</v>
      </c>
      <c r="G97" t="s">
        <v>1457</v>
      </c>
      <c r="I97">
        <v>1</v>
      </c>
      <c r="J97" t="s">
        <v>63</v>
      </c>
      <c r="K97">
        <v>65</v>
      </c>
      <c r="L97" t="s">
        <v>268</v>
      </c>
      <c r="M97" s="4">
        <v>3000</v>
      </c>
      <c r="P97" s="2">
        <v>45721</v>
      </c>
      <c r="R97">
        <v>5</v>
      </c>
      <c r="S97" s="4">
        <v>15000</v>
      </c>
      <c r="T97" t="s">
        <v>65</v>
      </c>
      <c r="U97" t="s">
        <v>1458</v>
      </c>
      <c r="V97">
        <v>0</v>
      </c>
      <c r="W97" s="4">
        <v>15000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1459</v>
      </c>
      <c r="AN97" t="s">
        <v>508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1467</v>
      </c>
      <c r="BA97">
        <v>0</v>
      </c>
      <c r="BC97" t="s">
        <v>508</v>
      </c>
      <c r="BF97" t="s">
        <v>1047</v>
      </c>
    </row>
    <row r="98" spans="1:58" x14ac:dyDescent="0.35">
      <c r="A98" t="s">
        <v>1468</v>
      </c>
      <c r="B98">
        <v>10000</v>
      </c>
      <c r="C98">
        <v>10000</v>
      </c>
      <c r="D98" s="2">
        <v>45721</v>
      </c>
      <c r="E98" t="s">
        <v>61</v>
      </c>
      <c r="F98" t="s">
        <v>1462</v>
      </c>
      <c r="G98" t="s">
        <v>1032</v>
      </c>
      <c r="I98">
        <v>1</v>
      </c>
      <c r="J98" t="s">
        <v>63</v>
      </c>
      <c r="K98">
        <v>65</v>
      </c>
      <c r="L98" t="s">
        <v>268</v>
      </c>
      <c r="M98">
        <v>667</v>
      </c>
      <c r="P98" s="2">
        <v>45721</v>
      </c>
      <c r="R98">
        <v>9</v>
      </c>
      <c r="S98" s="4">
        <v>6003</v>
      </c>
      <c r="T98" t="s">
        <v>65</v>
      </c>
      <c r="U98" t="s">
        <v>1463</v>
      </c>
      <c r="V98">
        <v>0</v>
      </c>
      <c r="W98" s="4">
        <v>6000</v>
      </c>
      <c r="X98">
        <v>3</v>
      </c>
      <c r="Y98">
        <v>0</v>
      </c>
      <c r="Z98">
        <v>0</v>
      </c>
      <c r="AA98">
        <v>0</v>
      </c>
      <c r="AD98">
        <v>0</v>
      </c>
      <c r="AM98" t="s">
        <v>1464</v>
      </c>
      <c r="AN98" t="s">
        <v>508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1469</v>
      </c>
      <c r="BA98">
        <v>0</v>
      </c>
      <c r="BC98" t="s">
        <v>508</v>
      </c>
      <c r="BF98" t="s">
        <v>1047</v>
      </c>
    </row>
    <row r="99" spans="1:58" x14ac:dyDescent="0.35">
      <c r="A99" t="s">
        <v>1470</v>
      </c>
      <c r="B99">
        <v>10000</v>
      </c>
      <c r="C99">
        <v>10000</v>
      </c>
      <c r="D99" s="2">
        <v>45721</v>
      </c>
      <c r="E99" t="s">
        <v>61</v>
      </c>
      <c r="F99" t="s">
        <v>1420</v>
      </c>
      <c r="G99" t="s">
        <v>1471</v>
      </c>
      <c r="I99">
        <v>1</v>
      </c>
      <c r="J99" t="s">
        <v>63</v>
      </c>
      <c r="K99">
        <v>61</v>
      </c>
      <c r="L99" t="s">
        <v>216</v>
      </c>
      <c r="M99">
        <v>150</v>
      </c>
      <c r="P99" s="2">
        <v>45721</v>
      </c>
      <c r="R99">
        <v>1</v>
      </c>
      <c r="S99">
        <v>150</v>
      </c>
      <c r="T99" t="s">
        <v>65</v>
      </c>
      <c r="U99">
        <v>107324240001</v>
      </c>
      <c r="V99">
        <v>0</v>
      </c>
      <c r="W99">
        <v>150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10732424</v>
      </c>
      <c r="AN99" t="s">
        <v>487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1472</v>
      </c>
      <c r="BA99">
        <v>0</v>
      </c>
      <c r="BC99" t="s">
        <v>487</v>
      </c>
      <c r="BF99" t="s">
        <v>1473</v>
      </c>
    </row>
    <row r="100" spans="1:58" x14ac:dyDescent="0.35">
      <c r="A100" t="s">
        <v>1474</v>
      </c>
      <c r="B100">
        <v>10000</v>
      </c>
      <c r="C100">
        <v>10000</v>
      </c>
      <c r="D100" s="2">
        <v>45721</v>
      </c>
      <c r="E100" t="s">
        <v>61</v>
      </c>
      <c r="F100" s="3">
        <v>0.47946759259259258</v>
      </c>
      <c r="G100" t="s">
        <v>885</v>
      </c>
      <c r="I100">
        <v>1</v>
      </c>
      <c r="J100" t="s">
        <v>63</v>
      </c>
      <c r="K100">
        <v>59</v>
      </c>
      <c r="L100" t="s">
        <v>745</v>
      </c>
      <c r="M100" s="4">
        <v>5000</v>
      </c>
      <c r="P100" s="2">
        <v>45721</v>
      </c>
      <c r="R100">
        <v>6</v>
      </c>
      <c r="S100" s="4">
        <v>30000</v>
      </c>
      <c r="T100" t="s">
        <v>65</v>
      </c>
      <c r="U100" t="s">
        <v>886</v>
      </c>
      <c r="V100">
        <v>0</v>
      </c>
      <c r="W100" s="4">
        <v>30000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1475</v>
      </c>
      <c r="AN100" t="s">
        <v>721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1476</v>
      </c>
      <c r="BA100">
        <v>0</v>
      </c>
      <c r="BC100" t="s">
        <v>721</v>
      </c>
      <c r="BF100" t="s">
        <v>1477</v>
      </c>
    </row>
    <row r="101" spans="1:58" x14ac:dyDescent="0.35">
      <c r="A101" t="s">
        <v>1066</v>
      </c>
      <c r="B101">
        <v>10000</v>
      </c>
      <c r="C101">
        <v>20000</v>
      </c>
      <c r="D101" s="2">
        <v>45721</v>
      </c>
      <c r="E101" t="s">
        <v>61</v>
      </c>
      <c r="F101" t="s">
        <v>1067</v>
      </c>
      <c r="G101" t="s">
        <v>1068</v>
      </c>
      <c r="I101">
        <v>2</v>
      </c>
      <c r="J101" t="s">
        <v>63</v>
      </c>
      <c r="K101">
        <v>105</v>
      </c>
      <c r="L101" t="s">
        <v>424</v>
      </c>
      <c r="M101" s="4">
        <v>3200</v>
      </c>
      <c r="P101" s="2">
        <v>45721</v>
      </c>
      <c r="R101">
        <v>1</v>
      </c>
      <c r="S101" s="4">
        <v>3200</v>
      </c>
      <c r="T101" t="s">
        <v>65</v>
      </c>
      <c r="U101" t="s">
        <v>1069</v>
      </c>
      <c r="V101">
        <v>0</v>
      </c>
      <c r="W101" s="4">
        <v>3000</v>
      </c>
      <c r="X101">
        <v>200</v>
      </c>
      <c r="Y101">
        <v>0</v>
      </c>
      <c r="Z101">
        <v>0</v>
      </c>
      <c r="AA101">
        <v>0</v>
      </c>
      <c r="AD101">
        <v>0</v>
      </c>
      <c r="AM101" t="s">
        <v>1070</v>
      </c>
      <c r="AN101" t="s">
        <v>633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1071</v>
      </c>
      <c r="BA101">
        <v>0</v>
      </c>
      <c r="BC101" t="s">
        <v>633</v>
      </c>
      <c r="BF101" t="s">
        <v>645</v>
      </c>
    </row>
    <row r="102" spans="1:58" x14ac:dyDescent="0.35">
      <c r="A102" t="s">
        <v>1478</v>
      </c>
      <c r="B102">
        <v>10000</v>
      </c>
      <c r="C102">
        <v>10000</v>
      </c>
      <c r="D102" s="2">
        <v>45723</v>
      </c>
      <c r="E102" t="s">
        <v>61</v>
      </c>
      <c r="F102" t="s">
        <v>1479</v>
      </c>
      <c r="G102" t="s">
        <v>1480</v>
      </c>
      <c r="I102">
        <v>1</v>
      </c>
      <c r="J102" t="s">
        <v>63</v>
      </c>
      <c r="K102">
        <v>88</v>
      </c>
      <c r="L102" t="s">
        <v>630</v>
      </c>
      <c r="M102">
        <v>300</v>
      </c>
      <c r="P102" s="2">
        <v>45721</v>
      </c>
      <c r="R102">
        <v>1</v>
      </c>
      <c r="S102">
        <v>300</v>
      </c>
      <c r="T102" t="s">
        <v>65</v>
      </c>
      <c r="U102">
        <v>190067140001</v>
      </c>
      <c r="V102">
        <v>0</v>
      </c>
      <c r="W102">
        <v>300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19006714</v>
      </c>
      <c r="AN102" t="s">
        <v>487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1481</v>
      </c>
      <c r="BA102">
        <v>0</v>
      </c>
      <c r="BC102" t="s">
        <v>487</v>
      </c>
      <c r="BF102" t="s">
        <v>1482</v>
      </c>
    </row>
    <row r="103" spans="1:58" x14ac:dyDescent="0.35">
      <c r="A103" t="s">
        <v>1081</v>
      </c>
      <c r="B103">
        <v>10000</v>
      </c>
      <c r="C103">
        <v>20000</v>
      </c>
      <c r="D103" s="2">
        <v>45721</v>
      </c>
      <c r="E103" t="s">
        <v>61</v>
      </c>
      <c r="F103" t="s">
        <v>1082</v>
      </c>
      <c r="G103" t="s">
        <v>1083</v>
      </c>
      <c r="I103">
        <v>2</v>
      </c>
      <c r="J103" t="s">
        <v>63</v>
      </c>
      <c r="K103">
        <v>71</v>
      </c>
      <c r="L103" t="s">
        <v>135</v>
      </c>
      <c r="M103" s="4">
        <v>2000</v>
      </c>
      <c r="P103" s="2">
        <v>45721</v>
      </c>
      <c r="R103">
        <v>21</v>
      </c>
      <c r="S103" s="4">
        <v>42000</v>
      </c>
      <c r="T103" t="s">
        <v>65</v>
      </c>
      <c r="U103" t="s">
        <v>1084</v>
      </c>
      <c r="V103">
        <v>0</v>
      </c>
      <c r="W103" s="4">
        <v>40000</v>
      </c>
      <c r="X103" s="4">
        <v>2000</v>
      </c>
      <c r="Y103">
        <v>0</v>
      </c>
      <c r="Z103">
        <v>0</v>
      </c>
      <c r="AA103">
        <v>0</v>
      </c>
      <c r="AD103">
        <v>0</v>
      </c>
      <c r="AM103" t="s">
        <v>1085</v>
      </c>
      <c r="AN103" t="s">
        <v>562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1086</v>
      </c>
      <c r="BA103">
        <v>0</v>
      </c>
      <c r="BC103" t="s">
        <v>562</v>
      </c>
      <c r="BF103" t="s">
        <v>1087</v>
      </c>
    </row>
    <row r="104" spans="1:58" x14ac:dyDescent="0.35">
      <c r="A104" t="s">
        <v>1483</v>
      </c>
      <c r="B104">
        <v>10000</v>
      </c>
      <c r="C104">
        <v>10000</v>
      </c>
      <c r="D104" s="2">
        <v>45722</v>
      </c>
      <c r="E104" t="s">
        <v>61</v>
      </c>
      <c r="F104" t="s">
        <v>1323</v>
      </c>
      <c r="G104" t="s">
        <v>1310</v>
      </c>
      <c r="I104">
        <v>1</v>
      </c>
      <c r="J104" t="s">
        <v>63</v>
      </c>
      <c r="K104">
        <v>31</v>
      </c>
      <c r="L104" t="s">
        <v>1311</v>
      </c>
      <c r="M104">
        <v>500</v>
      </c>
      <c r="P104" s="2">
        <v>45721</v>
      </c>
      <c r="R104">
        <v>1</v>
      </c>
      <c r="S104">
        <v>500</v>
      </c>
      <c r="T104" t="s">
        <v>65</v>
      </c>
      <c r="U104" t="s">
        <v>1484</v>
      </c>
      <c r="V104">
        <v>0</v>
      </c>
      <c r="W104">
        <v>500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1485</v>
      </c>
      <c r="AN104" t="s">
        <v>1314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1486</v>
      </c>
      <c r="BA104">
        <v>0</v>
      </c>
      <c r="BC104" t="s">
        <v>1314</v>
      </c>
      <c r="BF104" t="s">
        <v>1487</v>
      </c>
    </row>
    <row r="105" spans="1:58" x14ac:dyDescent="0.35">
      <c r="A105" t="s">
        <v>1088</v>
      </c>
      <c r="B105">
        <v>10000</v>
      </c>
      <c r="C105">
        <v>20000</v>
      </c>
      <c r="D105" s="2">
        <v>45722</v>
      </c>
      <c r="E105" t="s">
        <v>61</v>
      </c>
      <c r="F105" t="s">
        <v>1089</v>
      </c>
      <c r="G105" t="s">
        <v>1090</v>
      </c>
      <c r="I105">
        <v>2</v>
      </c>
      <c r="J105" t="s">
        <v>63</v>
      </c>
      <c r="K105">
        <v>100</v>
      </c>
      <c r="L105" t="s">
        <v>424</v>
      </c>
      <c r="M105" s="4">
        <v>1100</v>
      </c>
      <c r="P105" s="2">
        <v>45721</v>
      </c>
      <c r="R105">
        <v>1</v>
      </c>
      <c r="S105" s="4">
        <v>1100</v>
      </c>
      <c r="T105" t="s">
        <v>65</v>
      </c>
      <c r="U105">
        <v>107353930001</v>
      </c>
      <c r="V105">
        <v>0</v>
      </c>
      <c r="W105" s="4">
        <v>1000</v>
      </c>
      <c r="X105">
        <v>100</v>
      </c>
      <c r="Y105">
        <v>0</v>
      </c>
      <c r="Z105">
        <v>0</v>
      </c>
      <c r="AA105">
        <v>0</v>
      </c>
      <c r="AD105">
        <v>0</v>
      </c>
      <c r="AM105">
        <v>10735393</v>
      </c>
      <c r="AN105" t="s">
        <v>487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1091</v>
      </c>
      <c r="BA105">
        <v>0</v>
      </c>
      <c r="BC105" t="s">
        <v>487</v>
      </c>
      <c r="BF105" t="s">
        <v>1092</v>
      </c>
    </row>
    <row r="106" spans="1:58" x14ac:dyDescent="0.35">
      <c r="A106" t="s">
        <v>1488</v>
      </c>
      <c r="B106">
        <v>10000</v>
      </c>
      <c r="C106">
        <v>10000</v>
      </c>
      <c r="D106" s="2">
        <v>45722</v>
      </c>
      <c r="E106" t="s">
        <v>61</v>
      </c>
      <c r="F106" t="s">
        <v>1489</v>
      </c>
      <c r="G106" t="s">
        <v>1090</v>
      </c>
      <c r="I106">
        <v>1</v>
      </c>
      <c r="J106" t="s">
        <v>63</v>
      </c>
      <c r="K106">
        <v>88</v>
      </c>
      <c r="L106" t="s">
        <v>630</v>
      </c>
      <c r="M106">
        <v>240</v>
      </c>
      <c r="P106" s="2">
        <v>45721</v>
      </c>
      <c r="R106">
        <v>5</v>
      </c>
      <c r="S106" s="4">
        <v>1200</v>
      </c>
      <c r="T106" t="s">
        <v>65</v>
      </c>
      <c r="U106">
        <v>107490780001</v>
      </c>
      <c r="V106">
        <v>0</v>
      </c>
      <c r="W106" s="4">
        <v>1000</v>
      </c>
      <c r="X106">
        <v>200</v>
      </c>
      <c r="Y106">
        <v>0</v>
      </c>
      <c r="Z106">
        <v>0</v>
      </c>
      <c r="AA106">
        <v>0</v>
      </c>
      <c r="AD106">
        <v>0</v>
      </c>
      <c r="AM106">
        <v>10749078</v>
      </c>
      <c r="AN106" t="s">
        <v>487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1490</v>
      </c>
      <c r="BA106">
        <v>0</v>
      </c>
      <c r="BC106" t="s">
        <v>487</v>
      </c>
      <c r="BF106" t="s">
        <v>1092</v>
      </c>
    </row>
    <row r="107" spans="1:58" x14ac:dyDescent="0.35">
      <c r="A107" t="s">
        <v>1488</v>
      </c>
      <c r="B107">
        <v>10000</v>
      </c>
      <c r="C107">
        <v>20000</v>
      </c>
      <c r="D107" s="2">
        <v>45722</v>
      </c>
      <c r="E107" t="s">
        <v>61</v>
      </c>
      <c r="F107" t="s">
        <v>1489</v>
      </c>
      <c r="G107" t="s">
        <v>1090</v>
      </c>
      <c r="I107">
        <v>2</v>
      </c>
      <c r="J107" t="s">
        <v>63</v>
      </c>
      <c r="K107">
        <v>100</v>
      </c>
      <c r="L107" t="s">
        <v>424</v>
      </c>
      <c r="M107" s="4">
        <v>1100</v>
      </c>
      <c r="P107" s="2">
        <v>45721</v>
      </c>
      <c r="R107">
        <v>1</v>
      </c>
      <c r="S107" s="4">
        <v>1100</v>
      </c>
      <c r="T107" t="s">
        <v>65</v>
      </c>
      <c r="U107">
        <v>107490780001</v>
      </c>
      <c r="V107">
        <v>0</v>
      </c>
      <c r="W107" s="4">
        <v>1000</v>
      </c>
      <c r="X107">
        <v>100</v>
      </c>
      <c r="Y107">
        <v>0</v>
      </c>
      <c r="Z107">
        <v>0</v>
      </c>
      <c r="AA107">
        <v>0</v>
      </c>
      <c r="AD107">
        <v>0</v>
      </c>
      <c r="AM107">
        <v>10749078</v>
      </c>
      <c r="AN107" t="s">
        <v>487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1490</v>
      </c>
      <c r="BA107">
        <v>0</v>
      </c>
      <c r="BC107" t="s">
        <v>487</v>
      </c>
      <c r="BF107" t="s">
        <v>1092</v>
      </c>
    </row>
    <row r="108" spans="1:58" x14ac:dyDescent="0.35">
      <c r="A108" t="s">
        <v>1093</v>
      </c>
      <c r="B108">
        <v>10000</v>
      </c>
      <c r="C108">
        <v>20000</v>
      </c>
      <c r="D108" s="2">
        <v>45722</v>
      </c>
      <c r="E108" t="s">
        <v>61</v>
      </c>
      <c r="F108" t="s">
        <v>1089</v>
      </c>
      <c r="G108" t="s">
        <v>1090</v>
      </c>
      <c r="I108">
        <v>2</v>
      </c>
      <c r="J108" t="s">
        <v>63</v>
      </c>
      <c r="K108">
        <v>100</v>
      </c>
      <c r="L108" t="s">
        <v>424</v>
      </c>
      <c r="M108">
        <v>20</v>
      </c>
      <c r="P108" s="2">
        <v>45721</v>
      </c>
      <c r="R108">
        <v>1</v>
      </c>
      <c r="S108">
        <v>20</v>
      </c>
      <c r="T108" t="s">
        <v>65</v>
      </c>
      <c r="U108">
        <v>107353930001</v>
      </c>
      <c r="V108">
        <v>0</v>
      </c>
      <c r="W108">
        <v>20</v>
      </c>
      <c r="X108">
        <v>0</v>
      </c>
      <c r="Y108">
        <v>0</v>
      </c>
      <c r="Z108">
        <v>0</v>
      </c>
      <c r="AA108">
        <v>0</v>
      </c>
      <c r="AD108">
        <v>0</v>
      </c>
      <c r="AM108">
        <v>10735393</v>
      </c>
      <c r="AN108" t="s">
        <v>487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1094</v>
      </c>
      <c r="BA108">
        <v>0</v>
      </c>
      <c r="BC108" t="s">
        <v>487</v>
      </c>
      <c r="BF108" t="s">
        <v>1095</v>
      </c>
    </row>
    <row r="109" spans="1:58" x14ac:dyDescent="0.35">
      <c r="A109" t="s">
        <v>1491</v>
      </c>
      <c r="B109">
        <v>10000</v>
      </c>
      <c r="C109">
        <v>10000</v>
      </c>
      <c r="D109" s="2">
        <v>45722</v>
      </c>
      <c r="E109" t="s">
        <v>61</v>
      </c>
      <c r="F109" t="s">
        <v>1489</v>
      </c>
      <c r="G109" t="s">
        <v>1090</v>
      </c>
      <c r="I109">
        <v>1</v>
      </c>
      <c r="J109" t="s">
        <v>63</v>
      </c>
      <c r="K109">
        <v>88</v>
      </c>
      <c r="L109" t="s">
        <v>630</v>
      </c>
      <c r="M109">
        <v>4</v>
      </c>
      <c r="P109" s="2">
        <v>45721</v>
      </c>
      <c r="R109">
        <v>5</v>
      </c>
      <c r="S109">
        <v>20</v>
      </c>
      <c r="T109" t="s">
        <v>65</v>
      </c>
      <c r="U109">
        <v>107490780001</v>
      </c>
      <c r="V109">
        <v>0</v>
      </c>
      <c r="W109">
        <v>20</v>
      </c>
      <c r="X109">
        <v>0</v>
      </c>
      <c r="Y109">
        <v>0</v>
      </c>
      <c r="Z109">
        <v>0</v>
      </c>
      <c r="AA109">
        <v>0</v>
      </c>
      <c r="AD109">
        <v>0</v>
      </c>
      <c r="AM109">
        <v>10749078</v>
      </c>
      <c r="AN109" t="s">
        <v>487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1492</v>
      </c>
      <c r="BA109">
        <v>0</v>
      </c>
      <c r="BC109" t="s">
        <v>487</v>
      </c>
      <c r="BF109" t="s">
        <v>1095</v>
      </c>
    </row>
    <row r="110" spans="1:58" x14ac:dyDescent="0.35">
      <c r="A110" t="s">
        <v>1491</v>
      </c>
      <c r="B110">
        <v>10000</v>
      </c>
      <c r="C110">
        <v>20000</v>
      </c>
      <c r="D110" s="2">
        <v>45722</v>
      </c>
      <c r="E110" t="s">
        <v>61</v>
      </c>
      <c r="F110" t="s">
        <v>1489</v>
      </c>
      <c r="G110" t="s">
        <v>1090</v>
      </c>
      <c r="I110">
        <v>2</v>
      </c>
      <c r="J110" t="s">
        <v>63</v>
      </c>
      <c r="K110">
        <v>100</v>
      </c>
      <c r="L110" t="s">
        <v>424</v>
      </c>
      <c r="M110">
        <v>20</v>
      </c>
      <c r="P110" s="2">
        <v>45721</v>
      </c>
      <c r="R110">
        <v>1</v>
      </c>
      <c r="S110">
        <v>20</v>
      </c>
      <c r="T110" t="s">
        <v>65</v>
      </c>
      <c r="U110">
        <v>107490780001</v>
      </c>
      <c r="V110">
        <v>0</v>
      </c>
      <c r="W110">
        <v>20</v>
      </c>
      <c r="X110">
        <v>0</v>
      </c>
      <c r="Y110">
        <v>0</v>
      </c>
      <c r="Z110">
        <v>0</v>
      </c>
      <c r="AA110">
        <v>0</v>
      </c>
      <c r="AD110">
        <v>0</v>
      </c>
      <c r="AM110">
        <v>10749078</v>
      </c>
      <c r="AN110" t="s">
        <v>487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1492</v>
      </c>
      <c r="BA110">
        <v>0</v>
      </c>
      <c r="BC110" t="s">
        <v>487</v>
      </c>
      <c r="BF110" t="s">
        <v>1095</v>
      </c>
    </row>
    <row r="111" spans="1:58" x14ac:dyDescent="0.35">
      <c r="A111" t="s">
        <v>1493</v>
      </c>
      <c r="B111">
        <v>10000</v>
      </c>
      <c r="C111">
        <v>10000</v>
      </c>
      <c r="D111" s="2">
        <v>45722</v>
      </c>
      <c r="E111" t="s">
        <v>61</v>
      </c>
      <c r="F111" t="s">
        <v>1494</v>
      </c>
      <c r="G111" t="s">
        <v>1387</v>
      </c>
      <c r="I111">
        <v>1</v>
      </c>
      <c r="J111" t="s">
        <v>63</v>
      </c>
      <c r="K111">
        <v>12</v>
      </c>
      <c r="L111" t="s">
        <v>478</v>
      </c>
      <c r="M111" s="4">
        <v>2500</v>
      </c>
      <c r="P111" s="2">
        <v>45721</v>
      </c>
      <c r="R111">
        <v>2</v>
      </c>
      <c r="S111" s="4">
        <v>5000</v>
      </c>
      <c r="T111" t="s">
        <v>65</v>
      </c>
      <c r="U111" t="s">
        <v>1495</v>
      </c>
      <c r="V111">
        <v>0</v>
      </c>
      <c r="W111" s="4">
        <v>5000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1496</v>
      </c>
      <c r="AN111" t="s">
        <v>206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1497</v>
      </c>
      <c r="BA111">
        <v>0</v>
      </c>
      <c r="BC111" t="s">
        <v>206</v>
      </c>
      <c r="BF111" t="s">
        <v>1498</v>
      </c>
    </row>
    <row r="112" spans="1:58" x14ac:dyDescent="0.35">
      <c r="A112" t="s">
        <v>1499</v>
      </c>
      <c r="B112">
        <v>10000</v>
      </c>
      <c r="C112">
        <v>10000</v>
      </c>
      <c r="D112" s="2">
        <v>45721</v>
      </c>
      <c r="E112" t="s">
        <v>61</v>
      </c>
      <c r="F112" t="s">
        <v>637</v>
      </c>
      <c r="G112" t="s">
        <v>1500</v>
      </c>
      <c r="I112">
        <v>1</v>
      </c>
      <c r="J112" t="s">
        <v>63</v>
      </c>
      <c r="K112">
        <v>65</v>
      </c>
      <c r="L112" t="s">
        <v>268</v>
      </c>
      <c r="M112" s="4">
        <v>1120</v>
      </c>
      <c r="P112" s="2">
        <v>45721</v>
      </c>
      <c r="R112">
        <v>44</v>
      </c>
      <c r="S112" s="4">
        <v>49280</v>
      </c>
      <c r="T112" t="s">
        <v>65</v>
      </c>
      <c r="U112">
        <v>111699440001</v>
      </c>
      <c r="V112">
        <v>0</v>
      </c>
      <c r="W112" s="4">
        <v>49280</v>
      </c>
      <c r="X112">
        <v>0</v>
      </c>
      <c r="Y112">
        <v>0</v>
      </c>
      <c r="Z112">
        <v>0</v>
      </c>
      <c r="AA112">
        <v>0</v>
      </c>
      <c r="AD112">
        <v>0</v>
      </c>
      <c r="AM112">
        <v>11169944</v>
      </c>
      <c r="AN112" t="s">
        <v>311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1501</v>
      </c>
      <c r="BA112">
        <v>0</v>
      </c>
      <c r="BC112" t="s">
        <v>311</v>
      </c>
      <c r="BF112" t="s">
        <v>1502</v>
      </c>
    </row>
    <row r="113" spans="1:58" x14ac:dyDescent="0.35">
      <c r="A113" t="s">
        <v>1503</v>
      </c>
      <c r="B113">
        <v>10000</v>
      </c>
      <c r="C113">
        <v>10000</v>
      </c>
      <c r="D113" s="2">
        <v>45726</v>
      </c>
      <c r="E113" t="s">
        <v>61</v>
      </c>
      <c r="F113" t="s">
        <v>1504</v>
      </c>
      <c r="G113" t="s">
        <v>1505</v>
      </c>
      <c r="I113">
        <v>1</v>
      </c>
      <c r="J113" t="s">
        <v>63</v>
      </c>
      <c r="K113">
        <v>88</v>
      </c>
      <c r="L113" t="s">
        <v>630</v>
      </c>
      <c r="M113" s="4">
        <v>1300</v>
      </c>
      <c r="P113" s="2">
        <v>45721</v>
      </c>
      <c r="R113">
        <v>1</v>
      </c>
      <c r="S113" s="4">
        <v>1300</v>
      </c>
      <c r="T113" t="s">
        <v>65</v>
      </c>
      <c r="U113">
        <v>107355870001</v>
      </c>
      <c r="V113">
        <v>0</v>
      </c>
      <c r="W113" s="4">
        <v>1000</v>
      </c>
      <c r="X113">
        <v>300</v>
      </c>
      <c r="Y113">
        <v>0</v>
      </c>
      <c r="Z113">
        <v>0</v>
      </c>
      <c r="AA113">
        <v>0</v>
      </c>
      <c r="AD113">
        <v>0</v>
      </c>
      <c r="AM113">
        <v>10735587</v>
      </c>
      <c r="AN113" t="s">
        <v>487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1506</v>
      </c>
      <c r="BA113">
        <v>0</v>
      </c>
      <c r="BC113" t="s">
        <v>487</v>
      </c>
      <c r="BF113" t="s">
        <v>1507</v>
      </c>
    </row>
    <row r="114" spans="1:58" x14ac:dyDescent="0.35">
      <c r="A114" t="s">
        <v>1508</v>
      </c>
      <c r="B114">
        <v>10000</v>
      </c>
      <c r="C114">
        <v>10000</v>
      </c>
      <c r="D114" s="2">
        <v>45726</v>
      </c>
      <c r="E114" t="s">
        <v>61</v>
      </c>
      <c r="F114" s="3">
        <v>0.47496527777777775</v>
      </c>
      <c r="G114" t="s">
        <v>1505</v>
      </c>
      <c r="I114">
        <v>1</v>
      </c>
      <c r="J114" t="s">
        <v>63</v>
      </c>
      <c r="K114">
        <v>88</v>
      </c>
      <c r="L114" t="s">
        <v>630</v>
      </c>
      <c r="M114">
        <v>20</v>
      </c>
      <c r="P114" s="2">
        <v>45721</v>
      </c>
      <c r="R114">
        <v>1</v>
      </c>
      <c r="S114">
        <v>20</v>
      </c>
      <c r="T114" t="s">
        <v>65</v>
      </c>
      <c r="U114">
        <v>107355870001</v>
      </c>
      <c r="V114">
        <v>0</v>
      </c>
      <c r="W114">
        <v>20</v>
      </c>
      <c r="X114">
        <v>0</v>
      </c>
      <c r="Y114">
        <v>0</v>
      </c>
      <c r="Z114">
        <v>0</v>
      </c>
      <c r="AA114">
        <v>0</v>
      </c>
      <c r="AD114">
        <v>0</v>
      </c>
      <c r="AM114">
        <v>10735587</v>
      </c>
      <c r="AN114" t="s">
        <v>487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69</v>
      </c>
      <c r="AZ114" t="s">
        <v>1509</v>
      </c>
      <c r="BA114">
        <v>0</v>
      </c>
      <c r="BC114" t="s">
        <v>487</v>
      </c>
      <c r="BF114" t="s">
        <v>1510</v>
      </c>
    </row>
    <row r="115" spans="1:58" x14ac:dyDescent="0.35">
      <c r="A115" t="s">
        <v>1511</v>
      </c>
      <c r="B115">
        <v>10000</v>
      </c>
      <c r="C115">
        <v>10000</v>
      </c>
      <c r="D115" s="2">
        <v>45734</v>
      </c>
      <c r="E115" t="s">
        <v>61</v>
      </c>
      <c r="F115" t="s">
        <v>310</v>
      </c>
      <c r="G115" t="s">
        <v>1346</v>
      </c>
      <c r="I115">
        <v>1</v>
      </c>
      <c r="J115" t="s">
        <v>63</v>
      </c>
      <c r="K115">
        <v>79</v>
      </c>
      <c r="L115" t="s">
        <v>573</v>
      </c>
      <c r="M115" s="4">
        <v>3594</v>
      </c>
      <c r="P115" s="2">
        <v>45721</v>
      </c>
      <c r="R115">
        <v>64</v>
      </c>
      <c r="S115" s="4">
        <v>230016</v>
      </c>
      <c r="T115" t="s">
        <v>65</v>
      </c>
      <c r="U115" t="s">
        <v>1512</v>
      </c>
      <c r="V115">
        <v>0</v>
      </c>
      <c r="W115" s="4">
        <v>200000</v>
      </c>
      <c r="X115" s="4">
        <v>30016</v>
      </c>
      <c r="Y115">
        <v>0</v>
      </c>
      <c r="Z115">
        <v>0</v>
      </c>
      <c r="AA115">
        <v>0</v>
      </c>
      <c r="AD115">
        <v>0</v>
      </c>
      <c r="AM115" t="s">
        <v>1513</v>
      </c>
      <c r="AN115" t="s">
        <v>107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69</v>
      </c>
      <c r="AZ115" t="s">
        <v>1514</v>
      </c>
      <c r="BA115">
        <v>0</v>
      </c>
      <c r="BC115" t="s">
        <v>107</v>
      </c>
      <c r="BF115" t="s">
        <v>1515</v>
      </c>
    </row>
    <row r="116" spans="1:58" x14ac:dyDescent="0.35">
      <c r="A116" t="s">
        <v>1516</v>
      </c>
      <c r="B116">
        <v>10000</v>
      </c>
      <c r="C116">
        <v>10000</v>
      </c>
      <c r="D116" s="2">
        <v>45735</v>
      </c>
      <c r="E116" t="s">
        <v>61</v>
      </c>
      <c r="F116" t="s">
        <v>125</v>
      </c>
      <c r="G116" t="s">
        <v>1364</v>
      </c>
      <c r="I116">
        <v>1</v>
      </c>
      <c r="J116" t="s">
        <v>63</v>
      </c>
      <c r="K116">
        <v>79</v>
      </c>
      <c r="L116" t="s">
        <v>573</v>
      </c>
      <c r="M116" s="4">
        <v>3594</v>
      </c>
      <c r="P116" s="2">
        <v>45721</v>
      </c>
      <c r="R116">
        <v>64</v>
      </c>
      <c r="S116" s="4">
        <v>230016</v>
      </c>
      <c r="T116" t="s">
        <v>65</v>
      </c>
      <c r="U116" t="s">
        <v>1517</v>
      </c>
      <c r="V116">
        <v>0</v>
      </c>
      <c r="W116" s="4">
        <v>200000</v>
      </c>
      <c r="X116" s="4">
        <v>30016</v>
      </c>
      <c r="Y116">
        <v>0</v>
      </c>
      <c r="Z116">
        <v>0</v>
      </c>
      <c r="AA116">
        <v>0</v>
      </c>
      <c r="AD116">
        <v>0</v>
      </c>
      <c r="AM116" t="s">
        <v>1518</v>
      </c>
      <c r="AN116" t="s">
        <v>107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69</v>
      </c>
      <c r="AZ116" t="s">
        <v>1519</v>
      </c>
      <c r="BA116">
        <v>0</v>
      </c>
      <c r="BC116" t="s">
        <v>107</v>
      </c>
      <c r="BF116" t="s">
        <v>1520</v>
      </c>
    </row>
    <row r="117" spans="1:58" x14ac:dyDescent="0.35">
      <c r="A117" t="s">
        <v>1521</v>
      </c>
      <c r="B117">
        <v>10000</v>
      </c>
      <c r="C117">
        <v>20000</v>
      </c>
      <c r="D117" s="2">
        <v>45742</v>
      </c>
      <c r="E117" t="s">
        <v>61</v>
      </c>
      <c r="F117" t="s">
        <v>1522</v>
      </c>
      <c r="G117">
        <v>10620258036</v>
      </c>
      <c r="I117">
        <v>1</v>
      </c>
      <c r="J117" t="s">
        <v>63</v>
      </c>
      <c r="K117">
        <v>79</v>
      </c>
      <c r="L117" t="s">
        <v>573</v>
      </c>
      <c r="M117" s="4">
        <v>12750</v>
      </c>
      <c r="P117" s="2">
        <v>45721</v>
      </c>
      <c r="R117">
        <v>308</v>
      </c>
      <c r="S117" s="4">
        <v>3927000</v>
      </c>
      <c r="T117" t="s">
        <v>65</v>
      </c>
      <c r="U117" t="s">
        <v>328</v>
      </c>
      <c r="V117">
        <v>0</v>
      </c>
      <c r="W117" s="4">
        <v>360000</v>
      </c>
      <c r="X117" s="4">
        <v>3567000</v>
      </c>
      <c r="Y117">
        <v>0</v>
      </c>
      <c r="Z117">
        <v>0</v>
      </c>
      <c r="AA117">
        <v>0</v>
      </c>
      <c r="AD117">
        <v>0</v>
      </c>
      <c r="AM117" t="s">
        <v>329</v>
      </c>
      <c r="AN117" t="s">
        <v>107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69</v>
      </c>
      <c r="AZ117" t="s">
        <v>1523</v>
      </c>
      <c r="BA117">
        <v>0</v>
      </c>
      <c r="BC117" t="s">
        <v>107</v>
      </c>
      <c r="BF117" t="s">
        <v>1524</v>
      </c>
    </row>
    <row r="118" spans="1:58" x14ac:dyDescent="0.35">
      <c r="A118" t="s">
        <v>1525</v>
      </c>
      <c r="B118">
        <v>10000</v>
      </c>
      <c r="C118">
        <v>10000</v>
      </c>
      <c r="D118" s="2">
        <v>45735</v>
      </c>
      <c r="E118" t="s">
        <v>95</v>
      </c>
      <c r="F118" t="s">
        <v>1526</v>
      </c>
      <c r="G118" t="s">
        <v>1364</v>
      </c>
      <c r="I118">
        <v>1</v>
      </c>
      <c r="J118" t="s">
        <v>63</v>
      </c>
      <c r="K118">
        <v>79</v>
      </c>
      <c r="L118" t="s">
        <v>573</v>
      </c>
      <c r="M118" s="4">
        <v>3594</v>
      </c>
      <c r="P118" s="2">
        <v>45721</v>
      </c>
      <c r="R118">
        <v>32</v>
      </c>
      <c r="S118" s="4">
        <v>115008</v>
      </c>
      <c r="T118" t="s">
        <v>65</v>
      </c>
      <c r="U118" t="s">
        <v>1527</v>
      </c>
      <c r="V118">
        <v>0</v>
      </c>
      <c r="W118" s="4">
        <v>100000</v>
      </c>
      <c r="X118" s="4">
        <v>15008</v>
      </c>
      <c r="Y118">
        <v>0</v>
      </c>
      <c r="Z118">
        <v>0</v>
      </c>
      <c r="AA118">
        <v>0</v>
      </c>
      <c r="AD118">
        <v>0</v>
      </c>
      <c r="AM118" t="s">
        <v>1528</v>
      </c>
      <c r="AN118" t="s">
        <v>107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69</v>
      </c>
      <c r="AZ118" t="s">
        <v>1529</v>
      </c>
      <c r="BA118">
        <v>0</v>
      </c>
      <c r="BC118" t="s">
        <v>107</v>
      </c>
      <c r="BF118" t="s">
        <v>1530</v>
      </c>
    </row>
    <row r="119" spans="1:58" x14ac:dyDescent="0.35">
      <c r="A119" t="s">
        <v>1531</v>
      </c>
      <c r="B119">
        <v>10000</v>
      </c>
      <c r="C119">
        <v>10000</v>
      </c>
      <c r="D119" s="2">
        <v>45735</v>
      </c>
      <c r="E119" t="s">
        <v>61</v>
      </c>
      <c r="F119" t="s">
        <v>1532</v>
      </c>
      <c r="G119" t="s">
        <v>1364</v>
      </c>
      <c r="I119">
        <v>1</v>
      </c>
      <c r="J119" t="s">
        <v>63</v>
      </c>
      <c r="K119">
        <v>79</v>
      </c>
      <c r="L119" t="s">
        <v>573</v>
      </c>
      <c r="M119" s="4">
        <v>3594</v>
      </c>
      <c r="P119" s="2">
        <v>45721</v>
      </c>
      <c r="R119">
        <v>64</v>
      </c>
      <c r="S119" s="4">
        <v>230016</v>
      </c>
      <c r="T119" t="s">
        <v>65</v>
      </c>
      <c r="U119" t="s">
        <v>1381</v>
      </c>
      <c r="V119">
        <v>0</v>
      </c>
      <c r="W119" s="4">
        <v>200000</v>
      </c>
      <c r="X119" s="4">
        <v>30016</v>
      </c>
      <c r="Y119">
        <v>0</v>
      </c>
      <c r="Z119">
        <v>0</v>
      </c>
      <c r="AA119">
        <v>0</v>
      </c>
      <c r="AD119">
        <v>0</v>
      </c>
      <c r="AM119" t="s">
        <v>1382</v>
      </c>
      <c r="AN119" t="s">
        <v>107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69</v>
      </c>
      <c r="AZ119" t="s">
        <v>1533</v>
      </c>
      <c r="BA119">
        <v>0</v>
      </c>
      <c r="BC119" t="s">
        <v>107</v>
      </c>
      <c r="BF119" t="s">
        <v>1534</v>
      </c>
    </row>
    <row r="120" spans="1:58" x14ac:dyDescent="0.35">
      <c r="A120" t="s">
        <v>1535</v>
      </c>
      <c r="B120">
        <v>10000</v>
      </c>
      <c r="C120">
        <v>10000</v>
      </c>
      <c r="D120" s="2">
        <v>45735</v>
      </c>
      <c r="E120" t="s">
        <v>95</v>
      </c>
      <c r="F120" t="s">
        <v>1439</v>
      </c>
      <c r="G120" t="s">
        <v>1364</v>
      </c>
      <c r="I120">
        <v>1</v>
      </c>
      <c r="J120" t="s">
        <v>63</v>
      </c>
      <c r="K120">
        <v>79</v>
      </c>
      <c r="L120" t="s">
        <v>573</v>
      </c>
      <c r="M120" s="4">
        <v>3594</v>
      </c>
      <c r="P120" s="2">
        <v>45721</v>
      </c>
      <c r="R120">
        <v>64</v>
      </c>
      <c r="S120" s="4">
        <v>230016</v>
      </c>
      <c r="T120" t="s">
        <v>65</v>
      </c>
      <c r="U120" t="s">
        <v>1440</v>
      </c>
      <c r="V120">
        <v>0</v>
      </c>
      <c r="W120" s="4">
        <v>200000</v>
      </c>
      <c r="X120" s="4">
        <v>30016</v>
      </c>
      <c r="Y120">
        <v>0</v>
      </c>
      <c r="Z120">
        <v>0</v>
      </c>
      <c r="AA120">
        <v>0</v>
      </c>
      <c r="AD120">
        <v>0</v>
      </c>
      <c r="AM120" t="s">
        <v>1441</v>
      </c>
      <c r="AN120" t="s">
        <v>107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69</v>
      </c>
      <c r="AZ120" t="s">
        <v>1536</v>
      </c>
      <c r="BA120">
        <v>0</v>
      </c>
      <c r="BC120" t="s">
        <v>107</v>
      </c>
      <c r="BF120" t="s">
        <v>1537</v>
      </c>
    </row>
    <row r="121" spans="1:58" x14ac:dyDescent="0.35">
      <c r="A121" t="s">
        <v>1538</v>
      </c>
      <c r="B121">
        <v>10000</v>
      </c>
      <c r="C121">
        <v>10000</v>
      </c>
      <c r="D121" s="2">
        <v>45721</v>
      </c>
      <c r="E121" t="s">
        <v>61</v>
      </c>
      <c r="F121" t="s">
        <v>1539</v>
      </c>
      <c r="G121" t="s">
        <v>1540</v>
      </c>
      <c r="I121">
        <v>1</v>
      </c>
      <c r="J121" t="s">
        <v>63</v>
      </c>
      <c r="K121">
        <v>86</v>
      </c>
      <c r="L121" t="s">
        <v>64</v>
      </c>
      <c r="M121">
        <v>600</v>
      </c>
      <c r="P121" s="2">
        <v>45721</v>
      </c>
      <c r="R121">
        <v>5</v>
      </c>
      <c r="S121" s="4">
        <v>3000</v>
      </c>
      <c r="T121" t="s">
        <v>65</v>
      </c>
      <c r="U121" t="s">
        <v>1541</v>
      </c>
      <c r="V121">
        <v>0</v>
      </c>
      <c r="W121" s="4">
        <v>3000</v>
      </c>
      <c r="X121">
        <v>0</v>
      </c>
      <c r="Y121">
        <v>0</v>
      </c>
      <c r="Z121">
        <v>0</v>
      </c>
      <c r="AA121">
        <v>0</v>
      </c>
      <c r="AD121">
        <v>0</v>
      </c>
      <c r="AM121" t="s">
        <v>1542</v>
      </c>
      <c r="AN121" t="s">
        <v>1543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69</v>
      </c>
      <c r="AZ121" t="s">
        <v>1544</v>
      </c>
      <c r="BA121">
        <v>0</v>
      </c>
      <c r="BC121" t="s">
        <v>1543</v>
      </c>
      <c r="BF121" t="s">
        <v>1545</v>
      </c>
    </row>
    <row r="122" spans="1:58" x14ac:dyDescent="0.35">
      <c r="A122" t="s">
        <v>1546</v>
      </c>
      <c r="B122">
        <v>10000</v>
      </c>
      <c r="C122">
        <v>10000</v>
      </c>
      <c r="D122" s="2">
        <v>45723</v>
      </c>
      <c r="E122" t="s">
        <v>61</v>
      </c>
      <c r="F122" t="s">
        <v>1547</v>
      </c>
      <c r="G122" t="s">
        <v>527</v>
      </c>
      <c r="I122">
        <v>1</v>
      </c>
      <c r="J122" t="s">
        <v>63</v>
      </c>
      <c r="K122">
        <v>72</v>
      </c>
      <c r="L122" t="s">
        <v>528</v>
      </c>
      <c r="M122" s="4">
        <v>1500</v>
      </c>
      <c r="P122" s="2">
        <v>45721</v>
      </c>
      <c r="R122">
        <v>6</v>
      </c>
      <c r="S122" s="4">
        <v>9000</v>
      </c>
      <c r="T122" t="s">
        <v>65</v>
      </c>
      <c r="U122" t="s">
        <v>529</v>
      </c>
      <c r="V122">
        <v>0</v>
      </c>
      <c r="W122" s="4">
        <v>6000</v>
      </c>
      <c r="X122" s="4">
        <v>3000</v>
      </c>
      <c r="Y122">
        <v>0</v>
      </c>
      <c r="Z122">
        <v>0</v>
      </c>
      <c r="AA122">
        <v>0</v>
      </c>
      <c r="AD122">
        <v>0</v>
      </c>
      <c r="AM122" t="s">
        <v>530</v>
      </c>
      <c r="AN122" t="s">
        <v>271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69</v>
      </c>
      <c r="AZ122" t="s">
        <v>1548</v>
      </c>
      <c r="BA122">
        <v>0</v>
      </c>
      <c r="BC122" t="s">
        <v>271</v>
      </c>
      <c r="BF122" t="s">
        <v>1549</v>
      </c>
    </row>
    <row r="123" spans="1:58" x14ac:dyDescent="0.35">
      <c r="A123" t="s">
        <v>1546</v>
      </c>
      <c r="B123">
        <v>10000</v>
      </c>
      <c r="C123">
        <v>20000</v>
      </c>
      <c r="D123" s="2">
        <v>45723</v>
      </c>
      <c r="E123" t="s">
        <v>61</v>
      </c>
      <c r="F123" t="s">
        <v>1547</v>
      </c>
      <c r="G123" t="s">
        <v>527</v>
      </c>
      <c r="I123">
        <v>2</v>
      </c>
      <c r="J123" t="s">
        <v>63</v>
      </c>
      <c r="K123">
        <v>30</v>
      </c>
      <c r="L123" t="s">
        <v>533</v>
      </c>
      <c r="M123" s="4">
        <v>3000</v>
      </c>
      <c r="P123" s="2">
        <v>45721</v>
      </c>
      <c r="R123">
        <v>2</v>
      </c>
      <c r="S123" s="4">
        <v>6000</v>
      </c>
      <c r="T123" t="s">
        <v>65</v>
      </c>
      <c r="U123" t="s">
        <v>529</v>
      </c>
      <c r="V123">
        <v>0</v>
      </c>
      <c r="W123" s="4">
        <v>6000</v>
      </c>
      <c r="X123">
        <v>0</v>
      </c>
      <c r="Y123">
        <v>0</v>
      </c>
      <c r="Z123">
        <v>0</v>
      </c>
      <c r="AA123">
        <v>0</v>
      </c>
      <c r="AD123">
        <v>0</v>
      </c>
      <c r="AM123" t="s">
        <v>530</v>
      </c>
      <c r="AN123" t="s">
        <v>271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69</v>
      </c>
      <c r="AZ123" t="s">
        <v>1548</v>
      </c>
      <c r="BA123">
        <v>0</v>
      </c>
      <c r="BC123" t="s">
        <v>271</v>
      </c>
      <c r="BF123" t="s">
        <v>1549</v>
      </c>
    </row>
    <row r="124" spans="1:58" x14ac:dyDescent="0.35">
      <c r="A124" t="s">
        <v>1550</v>
      </c>
      <c r="B124">
        <v>10000</v>
      </c>
      <c r="C124">
        <v>10000</v>
      </c>
      <c r="D124" s="2">
        <v>45721</v>
      </c>
      <c r="E124" t="s">
        <v>61</v>
      </c>
      <c r="F124" t="s">
        <v>1539</v>
      </c>
      <c r="G124" t="s">
        <v>1540</v>
      </c>
      <c r="I124">
        <v>1</v>
      </c>
      <c r="J124" t="s">
        <v>63</v>
      </c>
      <c r="K124">
        <v>86</v>
      </c>
      <c r="L124" t="s">
        <v>64</v>
      </c>
      <c r="M124">
        <v>480</v>
      </c>
      <c r="P124" s="2">
        <v>45721</v>
      </c>
      <c r="R124">
        <v>5</v>
      </c>
      <c r="S124" s="4">
        <v>2400</v>
      </c>
      <c r="T124" t="s">
        <v>65</v>
      </c>
      <c r="U124" t="s">
        <v>1551</v>
      </c>
      <c r="V124">
        <v>0</v>
      </c>
      <c r="W124" s="4">
        <v>2400</v>
      </c>
      <c r="X124">
        <v>0</v>
      </c>
      <c r="Y124">
        <v>0</v>
      </c>
      <c r="Z124">
        <v>0</v>
      </c>
      <c r="AA124">
        <v>0</v>
      </c>
      <c r="AD124">
        <v>0</v>
      </c>
      <c r="AM124" t="s">
        <v>1552</v>
      </c>
      <c r="AN124" t="s">
        <v>271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69</v>
      </c>
      <c r="AZ124" t="s">
        <v>1553</v>
      </c>
      <c r="BA124">
        <v>0</v>
      </c>
      <c r="BC124" t="s">
        <v>271</v>
      </c>
      <c r="BF124" t="s">
        <v>1554</v>
      </c>
    </row>
    <row r="125" spans="1:58" x14ac:dyDescent="0.35">
      <c r="A125" t="s">
        <v>1555</v>
      </c>
      <c r="B125">
        <v>10000</v>
      </c>
      <c r="C125">
        <v>10000</v>
      </c>
      <c r="D125" s="2">
        <v>45727</v>
      </c>
      <c r="E125" t="s">
        <v>61</v>
      </c>
      <c r="F125" t="s">
        <v>1556</v>
      </c>
      <c r="G125" t="s">
        <v>1557</v>
      </c>
      <c r="I125">
        <v>1</v>
      </c>
      <c r="J125" t="s">
        <v>63</v>
      </c>
      <c r="K125">
        <v>79</v>
      </c>
      <c r="L125" t="s">
        <v>573</v>
      </c>
      <c r="M125">
        <v>62</v>
      </c>
      <c r="P125" s="2">
        <v>45721</v>
      </c>
      <c r="R125">
        <v>245</v>
      </c>
      <c r="S125" s="4">
        <v>15190</v>
      </c>
      <c r="T125" t="s">
        <v>65</v>
      </c>
      <c r="U125" t="s">
        <v>581</v>
      </c>
      <c r="V125">
        <v>0</v>
      </c>
      <c r="W125" s="4">
        <v>10000</v>
      </c>
      <c r="X125" s="4">
        <v>5190</v>
      </c>
      <c r="Y125">
        <v>0</v>
      </c>
      <c r="Z125">
        <v>0</v>
      </c>
      <c r="AA125">
        <v>0</v>
      </c>
      <c r="AD125">
        <v>0</v>
      </c>
      <c r="AM125" t="s">
        <v>582</v>
      </c>
      <c r="AN125" t="s">
        <v>449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69</v>
      </c>
      <c r="AZ125" t="s">
        <v>1558</v>
      </c>
      <c r="BA125">
        <v>0</v>
      </c>
      <c r="BC125" t="s">
        <v>449</v>
      </c>
      <c r="BF125" t="s">
        <v>1559</v>
      </c>
    </row>
    <row r="126" spans="1:58" x14ac:dyDescent="0.35">
      <c r="A126" t="s">
        <v>1560</v>
      </c>
      <c r="B126">
        <v>10000</v>
      </c>
      <c r="C126">
        <v>10000</v>
      </c>
      <c r="D126" s="2">
        <v>45722</v>
      </c>
      <c r="E126" t="s">
        <v>61</v>
      </c>
      <c r="F126" s="3">
        <v>0.48685185185185187</v>
      </c>
      <c r="G126">
        <v>59469</v>
      </c>
      <c r="I126">
        <v>1</v>
      </c>
      <c r="J126" t="s">
        <v>63</v>
      </c>
      <c r="K126">
        <v>73</v>
      </c>
      <c r="L126" t="s">
        <v>90</v>
      </c>
      <c r="M126">
        <v>42</v>
      </c>
      <c r="P126" s="2">
        <v>45721</v>
      </c>
      <c r="R126">
        <v>12</v>
      </c>
      <c r="S126">
        <v>504</v>
      </c>
      <c r="T126" t="s">
        <v>65</v>
      </c>
      <c r="U126" t="s">
        <v>1561</v>
      </c>
      <c r="V126">
        <v>0</v>
      </c>
      <c r="W126">
        <v>100</v>
      </c>
      <c r="X126">
        <v>404</v>
      </c>
      <c r="Y126">
        <v>0</v>
      </c>
      <c r="Z126">
        <v>0</v>
      </c>
      <c r="AA126">
        <v>0</v>
      </c>
      <c r="AD126">
        <v>0</v>
      </c>
      <c r="AM126" t="s">
        <v>1562</v>
      </c>
      <c r="AN126" t="s">
        <v>321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69</v>
      </c>
      <c r="AZ126" t="s">
        <v>1563</v>
      </c>
      <c r="BA126">
        <v>0</v>
      </c>
      <c r="BC126" t="s">
        <v>321</v>
      </c>
      <c r="BF126" t="s">
        <v>996</v>
      </c>
    </row>
    <row r="127" spans="1:58" x14ac:dyDescent="0.35">
      <c r="A127" t="s">
        <v>1564</v>
      </c>
      <c r="B127">
        <v>10000</v>
      </c>
      <c r="C127">
        <v>10000</v>
      </c>
      <c r="D127" s="2">
        <v>45722</v>
      </c>
      <c r="E127" t="s">
        <v>61</v>
      </c>
      <c r="F127" s="3">
        <v>0.48748842592592595</v>
      </c>
      <c r="G127">
        <v>59469</v>
      </c>
      <c r="I127">
        <v>1</v>
      </c>
      <c r="J127" t="s">
        <v>63</v>
      </c>
      <c r="K127">
        <v>73</v>
      </c>
      <c r="L127" t="s">
        <v>90</v>
      </c>
      <c r="M127">
        <v>42</v>
      </c>
      <c r="P127" s="2">
        <v>45721</v>
      </c>
      <c r="R127">
        <v>12</v>
      </c>
      <c r="S127">
        <v>504</v>
      </c>
      <c r="T127" t="s">
        <v>65</v>
      </c>
      <c r="U127" t="s">
        <v>1565</v>
      </c>
      <c r="V127">
        <v>0</v>
      </c>
      <c r="W127">
        <v>100</v>
      </c>
      <c r="X127">
        <v>404</v>
      </c>
      <c r="Y127">
        <v>0</v>
      </c>
      <c r="Z127">
        <v>0</v>
      </c>
      <c r="AA127">
        <v>0</v>
      </c>
      <c r="AD127">
        <v>0</v>
      </c>
      <c r="AM127" t="s">
        <v>1566</v>
      </c>
      <c r="AN127" t="s">
        <v>321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69</v>
      </c>
      <c r="AZ127" t="s">
        <v>1567</v>
      </c>
      <c r="BA127">
        <v>0</v>
      </c>
      <c r="BC127" t="s">
        <v>321</v>
      </c>
      <c r="BF127" t="s">
        <v>1568</v>
      </c>
    </row>
    <row r="128" spans="1:58" x14ac:dyDescent="0.35">
      <c r="A128" t="s">
        <v>1096</v>
      </c>
      <c r="B128">
        <v>10000</v>
      </c>
      <c r="C128">
        <v>20000</v>
      </c>
      <c r="D128" s="2">
        <v>45722</v>
      </c>
      <c r="E128" t="s">
        <v>61</v>
      </c>
      <c r="F128" s="3">
        <v>0.49033564814814817</v>
      </c>
      <c r="G128" t="s">
        <v>1097</v>
      </c>
      <c r="I128">
        <v>2</v>
      </c>
      <c r="J128" t="s">
        <v>63</v>
      </c>
      <c r="K128">
        <v>105</v>
      </c>
      <c r="L128" t="s">
        <v>424</v>
      </c>
      <c r="M128">
        <v>200</v>
      </c>
      <c r="P128" s="2">
        <v>45721</v>
      </c>
      <c r="R128">
        <v>1</v>
      </c>
      <c r="S128">
        <v>200</v>
      </c>
      <c r="T128" t="s">
        <v>65</v>
      </c>
      <c r="U128" t="s">
        <v>1098</v>
      </c>
      <c r="V128">
        <v>0</v>
      </c>
      <c r="W128">
        <v>200</v>
      </c>
      <c r="X128">
        <v>0</v>
      </c>
      <c r="Y128">
        <v>0</v>
      </c>
      <c r="Z128">
        <v>0</v>
      </c>
      <c r="AA128">
        <v>0</v>
      </c>
      <c r="AD128">
        <v>0</v>
      </c>
      <c r="AM128" t="s">
        <v>1099</v>
      </c>
      <c r="AN128" t="s">
        <v>633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69</v>
      </c>
      <c r="AZ128" t="s">
        <v>1100</v>
      </c>
      <c r="BA128">
        <v>0</v>
      </c>
      <c r="BC128" t="s">
        <v>633</v>
      </c>
      <c r="BF128" t="s">
        <v>645</v>
      </c>
    </row>
    <row r="135" spans="1:2" x14ac:dyDescent="0.35">
      <c r="A135">
        <f>COUNTA(A5:A132)</f>
        <v>124</v>
      </c>
      <c r="B135">
        <f>'4-Mar'!B100+'5-Mar'!A135</f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7774-6F5A-4CA3-B466-73DEC839F995}">
  <dimension ref="A1:BF130"/>
  <sheetViews>
    <sheetView topLeftCell="A113" workbookViewId="0">
      <selection activeCell="A4" sqref="A4:XFD11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1569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1570</v>
      </c>
      <c r="B5">
        <v>10000</v>
      </c>
      <c r="C5">
        <v>10000</v>
      </c>
      <c r="D5" s="2">
        <v>45751</v>
      </c>
      <c r="E5" t="s">
        <v>61</v>
      </c>
      <c r="F5" s="3">
        <v>0.54107638888888887</v>
      </c>
      <c r="G5" t="s">
        <v>1571</v>
      </c>
      <c r="H5" t="s">
        <v>1572</v>
      </c>
      <c r="I5">
        <v>1</v>
      </c>
      <c r="J5" t="s">
        <v>69</v>
      </c>
      <c r="K5" t="s">
        <v>295</v>
      </c>
      <c r="L5" t="s">
        <v>296</v>
      </c>
      <c r="M5" s="4">
        <v>5050</v>
      </c>
      <c r="P5" s="2">
        <v>45722</v>
      </c>
      <c r="R5">
        <v>108</v>
      </c>
      <c r="S5" s="4">
        <v>545400</v>
      </c>
      <c r="T5" t="s">
        <v>65</v>
      </c>
      <c r="U5" t="s">
        <v>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84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68</v>
      </c>
      <c r="BF5" t="s">
        <v>1573</v>
      </c>
    </row>
    <row r="6" spans="1:58" x14ac:dyDescent="0.35">
      <c r="A6" t="s">
        <v>1574</v>
      </c>
      <c r="B6">
        <v>10000</v>
      </c>
      <c r="C6">
        <v>10000</v>
      </c>
      <c r="D6" s="2">
        <v>45722</v>
      </c>
      <c r="E6" t="s">
        <v>61</v>
      </c>
      <c r="F6" t="s">
        <v>1575</v>
      </c>
      <c r="G6" t="s">
        <v>1576</v>
      </c>
      <c r="H6" t="s">
        <v>1577</v>
      </c>
      <c r="I6">
        <v>1</v>
      </c>
      <c r="J6" t="s">
        <v>69</v>
      </c>
      <c r="K6">
        <v>82</v>
      </c>
      <c r="L6" t="s">
        <v>341</v>
      </c>
      <c r="M6" s="4">
        <v>3334</v>
      </c>
      <c r="P6" s="2">
        <v>45722</v>
      </c>
      <c r="R6">
        <v>6</v>
      </c>
      <c r="S6" s="4">
        <v>20004</v>
      </c>
      <c r="T6" t="s">
        <v>65</v>
      </c>
      <c r="U6" t="s">
        <v>1578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1579</v>
      </c>
      <c r="AN6" t="s">
        <v>829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829</v>
      </c>
      <c r="BF6" t="s">
        <v>1580</v>
      </c>
    </row>
    <row r="7" spans="1:58" x14ac:dyDescent="0.35">
      <c r="A7" t="s">
        <v>1581</v>
      </c>
      <c r="B7">
        <v>10000</v>
      </c>
      <c r="C7">
        <v>10000</v>
      </c>
      <c r="D7" s="2">
        <v>45723</v>
      </c>
      <c r="E7" t="s">
        <v>61</v>
      </c>
      <c r="F7" t="s">
        <v>1582</v>
      </c>
      <c r="G7" t="s">
        <v>1576</v>
      </c>
      <c r="H7" t="s">
        <v>1577</v>
      </c>
      <c r="I7">
        <v>1</v>
      </c>
      <c r="J7" t="s">
        <v>69</v>
      </c>
      <c r="K7">
        <v>82</v>
      </c>
      <c r="L7" t="s">
        <v>341</v>
      </c>
      <c r="M7" s="4">
        <v>8000</v>
      </c>
      <c r="P7" s="2">
        <v>45722</v>
      </c>
      <c r="R7">
        <v>6</v>
      </c>
      <c r="S7" s="4">
        <v>48000</v>
      </c>
      <c r="T7" t="s">
        <v>65</v>
      </c>
      <c r="U7" t="s">
        <v>1583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1584</v>
      </c>
      <c r="AN7" t="s">
        <v>364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364</v>
      </c>
      <c r="BF7" t="s">
        <v>1585</v>
      </c>
    </row>
    <row r="8" spans="1:58" x14ac:dyDescent="0.35">
      <c r="A8" t="s">
        <v>1586</v>
      </c>
      <c r="B8">
        <v>10000</v>
      </c>
      <c r="C8">
        <v>10000</v>
      </c>
      <c r="D8" s="2">
        <v>45722</v>
      </c>
      <c r="E8" t="s">
        <v>61</v>
      </c>
      <c r="F8" t="s">
        <v>1587</v>
      </c>
      <c r="G8" t="s">
        <v>267</v>
      </c>
      <c r="I8">
        <v>1</v>
      </c>
      <c r="J8" t="s">
        <v>63</v>
      </c>
      <c r="K8">
        <v>65</v>
      </c>
      <c r="L8" t="s">
        <v>268</v>
      </c>
      <c r="M8" s="4">
        <v>13500</v>
      </c>
      <c r="P8" s="2">
        <v>45722</v>
      </c>
      <c r="R8">
        <v>8</v>
      </c>
      <c r="S8" s="4">
        <v>108000</v>
      </c>
      <c r="T8" t="s">
        <v>65</v>
      </c>
      <c r="U8" t="s">
        <v>1588</v>
      </c>
      <c r="V8">
        <v>0</v>
      </c>
      <c r="W8" s="4">
        <v>108000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1589</v>
      </c>
      <c r="AN8" t="s">
        <v>271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1590</v>
      </c>
      <c r="BA8">
        <v>0</v>
      </c>
      <c r="BC8" t="s">
        <v>271</v>
      </c>
      <c r="BF8" t="s">
        <v>1591</v>
      </c>
    </row>
    <row r="9" spans="1:58" x14ac:dyDescent="0.35">
      <c r="A9" t="s">
        <v>1592</v>
      </c>
      <c r="B9">
        <v>10000</v>
      </c>
      <c r="C9">
        <v>10000</v>
      </c>
      <c r="D9" s="2">
        <v>45723</v>
      </c>
      <c r="E9" t="s">
        <v>61</v>
      </c>
      <c r="F9" t="s">
        <v>1593</v>
      </c>
      <c r="G9" t="s">
        <v>1540</v>
      </c>
      <c r="I9">
        <v>1</v>
      </c>
      <c r="J9" t="s">
        <v>63</v>
      </c>
      <c r="K9">
        <v>86</v>
      </c>
      <c r="L9" t="s">
        <v>64</v>
      </c>
      <c r="M9" s="4">
        <v>40000</v>
      </c>
      <c r="P9" s="2">
        <v>45722</v>
      </c>
      <c r="R9">
        <v>5</v>
      </c>
      <c r="S9" s="4">
        <v>200000</v>
      </c>
      <c r="T9" t="s">
        <v>65</v>
      </c>
      <c r="U9" t="s">
        <v>1594</v>
      </c>
      <c r="V9">
        <v>0</v>
      </c>
      <c r="W9" s="4">
        <v>200000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1595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1596</v>
      </c>
      <c r="BA9">
        <v>0</v>
      </c>
      <c r="BC9" t="s">
        <v>271</v>
      </c>
      <c r="BF9" t="s">
        <v>1597</v>
      </c>
    </row>
    <row r="10" spans="1:58" x14ac:dyDescent="0.35">
      <c r="A10" t="s">
        <v>1598</v>
      </c>
      <c r="B10">
        <v>10000</v>
      </c>
      <c r="C10">
        <v>30000</v>
      </c>
      <c r="D10" s="2">
        <v>45736</v>
      </c>
      <c r="E10" t="s">
        <v>61</v>
      </c>
      <c r="F10" t="s">
        <v>1599</v>
      </c>
      <c r="G10" t="s">
        <v>1600</v>
      </c>
      <c r="I10">
        <v>2</v>
      </c>
      <c r="J10" t="s">
        <v>63</v>
      </c>
      <c r="K10">
        <v>73</v>
      </c>
      <c r="L10" t="s">
        <v>90</v>
      </c>
      <c r="M10" s="4">
        <v>112000</v>
      </c>
      <c r="P10" s="2">
        <v>45722</v>
      </c>
      <c r="R10">
        <v>1</v>
      </c>
      <c r="S10" s="4">
        <v>112000</v>
      </c>
      <c r="T10" t="s">
        <v>65</v>
      </c>
      <c r="U10">
        <v>150636040001</v>
      </c>
      <c r="V10">
        <v>0</v>
      </c>
      <c r="W10" s="4">
        <v>112000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15063604</v>
      </c>
      <c r="AN10" t="s">
        <v>311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1601</v>
      </c>
      <c r="BA10">
        <v>0</v>
      </c>
      <c r="BC10" t="s">
        <v>311</v>
      </c>
      <c r="BF10" t="s">
        <v>1602</v>
      </c>
    </row>
    <row r="11" spans="1:58" x14ac:dyDescent="0.35">
      <c r="A11" t="s">
        <v>1603</v>
      </c>
      <c r="B11">
        <v>10000</v>
      </c>
      <c r="C11">
        <v>20000</v>
      </c>
      <c r="D11" s="2">
        <v>45726</v>
      </c>
      <c r="E11" t="s">
        <v>61</v>
      </c>
      <c r="F11" t="s">
        <v>1604</v>
      </c>
      <c r="G11">
        <v>502200327</v>
      </c>
      <c r="I11">
        <v>1</v>
      </c>
      <c r="J11" t="s">
        <v>63</v>
      </c>
      <c r="K11">
        <v>59</v>
      </c>
      <c r="L11" t="s">
        <v>745</v>
      </c>
      <c r="M11" s="4">
        <v>40500</v>
      </c>
      <c r="P11" s="2">
        <v>45722</v>
      </c>
      <c r="R11">
        <v>18</v>
      </c>
      <c r="S11" s="4">
        <v>729000</v>
      </c>
      <c r="T11" t="s">
        <v>65</v>
      </c>
      <c r="U11">
        <v>7062420001</v>
      </c>
      <c r="V11">
        <v>0</v>
      </c>
      <c r="W11" s="4">
        <v>724500</v>
      </c>
      <c r="X11" s="4">
        <v>4500</v>
      </c>
      <c r="Y11">
        <v>0</v>
      </c>
      <c r="Z11">
        <v>0</v>
      </c>
      <c r="AA11">
        <v>0</v>
      </c>
      <c r="AD11">
        <v>0</v>
      </c>
      <c r="AM11" t="s">
        <v>1605</v>
      </c>
      <c r="AN11" t="s">
        <v>481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1606</v>
      </c>
      <c r="BA11">
        <v>0</v>
      </c>
      <c r="BC11" t="s">
        <v>481</v>
      </c>
      <c r="BF11" t="s">
        <v>1607</v>
      </c>
    </row>
    <row r="12" spans="1:58" x14ac:dyDescent="0.35">
      <c r="A12" t="s">
        <v>1608</v>
      </c>
      <c r="B12">
        <v>10000</v>
      </c>
      <c r="C12">
        <v>10000</v>
      </c>
      <c r="D12" s="2">
        <v>45723</v>
      </c>
      <c r="E12" t="s">
        <v>61</v>
      </c>
      <c r="F12" t="s">
        <v>1609</v>
      </c>
      <c r="G12" t="s">
        <v>1126</v>
      </c>
      <c r="I12">
        <v>1</v>
      </c>
      <c r="J12" t="s">
        <v>63</v>
      </c>
      <c r="K12">
        <v>22</v>
      </c>
      <c r="L12" t="s">
        <v>466</v>
      </c>
      <c r="M12" s="4">
        <v>3000</v>
      </c>
      <c r="P12" s="2">
        <v>45722</v>
      </c>
      <c r="R12">
        <v>2</v>
      </c>
      <c r="S12" s="4">
        <v>6000</v>
      </c>
      <c r="T12" t="s">
        <v>65</v>
      </c>
      <c r="U12" t="s">
        <v>1610</v>
      </c>
      <c r="V12">
        <v>0</v>
      </c>
      <c r="W12" s="4">
        <v>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1611</v>
      </c>
      <c r="AN12" t="s">
        <v>751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1612</v>
      </c>
      <c r="BA12">
        <v>0</v>
      </c>
      <c r="BC12" t="s">
        <v>751</v>
      </c>
      <c r="BF12" t="s">
        <v>753</v>
      </c>
    </row>
    <row r="13" spans="1:58" x14ac:dyDescent="0.35">
      <c r="A13" t="s">
        <v>1138</v>
      </c>
      <c r="B13">
        <v>10000</v>
      </c>
      <c r="C13">
        <v>30000</v>
      </c>
      <c r="D13" s="2">
        <v>45722</v>
      </c>
      <c r="E13" t="s">
        <v>61</v>
      </c>
      <c r="F13" s="3">
        <v>0.53453703703703703</v>
      </c>
      <c r="G13" t="s">
        <v>387</v>
      </c>
      <c r="I13">
        <v>3</v>
      </c>
      <c r="J13" t="s">
        <v>63</v>
      </c>
      <c r="K13">
        <v>60</v>
      </c>
      <c r="L13" t="s">
        <v>277</v>
      </c>
      <c r="M13" s="4">
        <v>2000</v>
      </c>
      <c r="P13" s="2">
        <v>45722</v>
      </c>
      <c r="R13">
        <v>1</v>
      </c>
      <c r="S13" s="4">
        <v>2000</v>
      </c>
      <c r="T13" t="s">
        <v>65</v>
      </c>
      <c r="U13">
        <v>1871210001</v>
      </c>
      <c r="V13">
        <v>0</v>
      </c>
      <c r="W13" s="4">
        <v>1000</v>
      </c>
      <c r="X13" s="4">
        <v>1000</v>
      </c>
      <c r="Y13">
        <v>0</v>
      </c>
      <c r="Z13">
        <v>0</v>
      </c>
      <c r="AA13">
        <v>0</v>
      </c>
      <c r="AD13">
        <v>0</v>
      </c>
      <c r="AM13">
        <v>187121</v>
      </c>
      <c r="AN13" t="s">
        <v>1139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1140</v>
      </c>
      <c r="BA13">
        <v>0</v>
      </c>
      <c r="BC13" t="s">
        <v>1139</v>
      </c>
      <c r="BF13" t="s">
        <v>1141</v>
      </c>
    </row>
    <row r="14" spans="1:58" x14ac:dyDescent="0.35">
      <c r="A14" t="s">
        <v>762</v>
      </c>
      <c r="B14">
        <v>10000</v>
      </c>
      <c r="C14">
        <v>60000</v>
      </c>
      <c r="D14" s="2">
        <v>45723</v>
      </c>
      <c r="E14" t="s">
        <v>61</v>
      </c>
      <c r="F14" t="s">
        <v>763</v>
      </c>
      <c r="G14" t="s">
        <v>764</v>
      </c>
      <c r="I14">
        <v>2</v>
      </c>
      <c r="J14" t="s">
        <v>63</v>
      </c>
      <c r="K14">
        <v>62</v>
      </c>
      <c r="L14" t="s">
        <v>800</v>
      </c>
      <c r="M14" s="4">
        <v>35000</v>
      </c>
      <c r="P14" s="2">
        <v>45722</v>
      </c>
      <c r="R14">
        <v>1</v>
      </c>
      <c r="S14" s="4">
        <v>35000</v>
      </c>
      <c r="T14" t="s">
        <v>65</v>
      </c>
      <c r="U14" t="s">
        <v>765</v>
      </c>
      <c r="V14">
        <v>0</v>
      </c>
      <c r="W14" s="4">
        <v>35000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766</v>
      </c>
      <c r="AN14" t="s">
        <v>767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768</v>
      </c>
      <c r="BA14">
        <v>0</v>
      </c>
      <c r="BC14" t="s">
        <v>767</v>
      </c>
      <c r="BF14" t="s">
        <v>769</v>
      </c>
    </row>
    <row r="15" spans="1:58" x14ac:dyDescent="0.35">
      <c r="A15" t="s">
        <v>1613</v>
      </c>
      <c r="B15">
        <v>10000</v>
      </c>
      <c r="C15">
        <v>30000</v>
      </c>
      <c r="D15" s="2">
        <v>45723</v>
      </c>
      <c r="E15" t="s">
        <v>61</v>
      </c>
      <c r="F15" t="s">
        <v>1614</v>
      </c>
      <c r="G15" t="s">
        <v>1615</v>
      </c>
      <c r="I15">
        <v>3</v>
      </c>
      <c r="J15" t="s">
        <v>63</v>
      </c>
      <c r="K15">
        <v>85</v>
      </c>
      <c r="L15" t="s">
        <v>327</v>
      </c>
      <c r="M15" s="4">
        <v>20000</v>
      </c>
      <c r="P15" s="2">
        <v>45722</v>
      </c>
      <c r="R15">
        <v>11</v>
      </c>
      <c r="S15" s="4">
        <v>220000</v>
      </c>
      <c r="T15" t="s">
        <v>65</v>
      </c>
      <c r="U15" t="s">
        <v>1616</v>
      </c>
      <c r="V15">
        <v>0</v>
      </c>
      <c r="W15" s="4">
        <v>200000</v>
      </c>
      <c r="X15" s="4">
        <v>20000</v>
      </c>
      <c r="Y15">
        <v>0</v>
      </c>
      <c r="Z15">
        <v>0</v>
      </c>
      <c r="AA15">
        <v>0</v>
      </c>
      <c r="AD15">
        <v>0</v>
      </c>
      <c r="AM15" t="s">
        <v>1617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1618</v>
      </c>
      <c r="BA15">
        <v>0</v>
      </c>
      <c r="BC15" t="s">
        <v>107</v>
      </c>
      <c r="BF15" t="s">
        <v>1619</v>
      </c>
    </row>
    <row r="16" spans="1:58" x14ac:dyDescent="0.35">
      <c r="A16" t="s">
        <v>1620</v>
      </c>
      <c r="B16">
        <v>10000</v>
      </c>
      <c r="C16">
        <v>30000</v>
      </c>
      <c r="D16" s="2">
        <v>45723</v>
      </c>
      <c r="E16" t="s">
        <v>61</v>
      </c>
      <c r="F16" t="s">
        <v>1621</v>
      </c>
      <c r="G16" t="s">
        <v>1615</v>
      </c>
      <c r="I16">
        <v>3</v>
      </c>
      <c r="J16" t="s">
        <v>63</v>
      </c>
      <c r="K16">
        <v>85</v>
      </c>
      <c r="L16" t="s">
        <v>327</v>
      </c>
      <c r="M16" s="4">
        <v>10000</v>
      </c>
      <c r="P16" s="2">
        <v>45722</v>
      </c>
      <c r="R16">
        <v>11</v>
      </c>
      <c r="S16" s="4">
        <v>110000</v>
      </c>
      <c r="T16" t="s">
        <v>65</v>
      </c>
      <c r="U16" t="s">
        <v>1393</v>
      </c>
      <c r="V16">
        <v>0</v>
      </c>
      <c r="W16" s="4">
        <v>100000</v>
      </c>
      <c r="X16" s="4">
        <v>10000</v>
      </c>
      <c r="Y16">
        <v>0</v>
      </c>
      <c r="Z16">
        <v>0</v>
      </c>
      <c r="AA16">
        <v>0</v>
      </c>
      <c r="AD16">
        <v>0</v>
      </c>
      <c r="AM16" t="s">
        <v>1394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1622</v>
      </c>
      <c r="BA16">
        <v>0</v>
      </c>
      <c r="BC16" t="s">
        <v>107</v>
      </c>
      <c r="BF16" t="s">
        <v>1623</v>
      </c>
    </row>
    <row r="17" spans="1:58" x14ac:dyDescent="0.35">
      <c r="A17" t="s">
        <v>1624</v>
      </c>
      <c r="B17">
        <v>10000</v>
      </c>
      <c r="C17">
        <v>30000</v>
      </c>
      <c r="D17" s="2">
        <v>45723</v>
      </c>
      <c r="E17" t="s">
        <v>61</v>
      </c>
      <c r="F17" t="s">
        <v>1625</v>
      </c>
      <c r="G17" t="s">
        <v>1615</v>
      </c>
      <c r="I17">
        <v>3</v>
      </c>
      <c r="J17" t="s">
        <v>63</v>
      </c>
      <c r="K17">
        <v>85</v>
      </c>
      <c r="L17" t="s">
        <v>327</v>
      </c>
      <c r="M17" s="4">
        <v>10000</v>
      </c>
      <c r="P17" s="2">
        <v>45722</v>
      </c>
      <c r="R17">
        <v>11</v>
      </c>
      <c r="S17" s="4">
        <v>110000</v>
      </c>
      <c r="T17" t="s">
        <v>65</v>
      </c>
      <c r="U17" t="s">
        <v>1224</v>
      </c>
      <c r="V17">
        <v>0</v>
      </c>
      <c r="W17" s="4">
        <v>100000</v>
      </c>
      <c r="X17" s="4">
        <v>10000</v>
      </c>
      <c r="Y17">
        <v>0</v>
      </c>
      <c r="Z17">
        <v>0</v>
      </c>
      <c r="AA17">
        <v>0</v>
      </c>
      <c r="AD17">
        <v>0</v>
      </c>
      <c r="AM17" t="s">
        <v>1225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1626</v>
      </c>
      <c r="BA17">
        <v>0</v>
      </c>
      <c r="BC17" t="s">
        <v>107</v>
      </c>
      <c r="BF17" t="s">
        <v>1627</v>
      </c>
    </row>
    <row r="18" spans="1:58" x14ac:dyDescent="0.35">
      <c r="A18" t="s">
        <v>1628</v>
      </c>
      <c r="B18">
        <v>10000</v>
      </c>
      <c r="C18">
        <v>30000</v>
      </c>
      <c r="D18" s="2">
        <v>45723</v>
      </c>
      <c r="E18" t="s">
        <v>61</v>
      </c>
      <c r="F18" t="s">
        <v>1629</v>
      </c>
      <c r="G18" t="s">
        <v>1615</v>
      </c>
      <c r="I18">
        <v>3</v>
      </c>
      <c r="J18" t="s">
        <v>63</v>
      </c>
      <c r="K18">
        <v>85</v>
      </c>
      <c r="L18" t="s">
        <v>327</v>
      </c>
      <c r="M18" s="4">
        <v>10000</v>
      </c>
      <c r="P18" s="2">
        <v>45722</v>
      </c>
      <c r="R18">
        <v>11</v>
      </c>
      <c r="S18" s="4">
        <v>110000</v>
      </c>
      <c r="T18" t="s">
        <v>65</v>
      </c>
      <c r="U18" t="s">
        <v>1212</v>
      </c>
      <c r="V18">
        <v>0</v>
      </c>
      <c r="W18" s="4">
        <v>100000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1213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1630</v>
      </c>
      <c r="BA18">
        <v>0</v>
      </c>
      <c r="BC18" t="s">
        <v>107</v>
      </c>
      <c r="BF18" t="s">
        <v>1631</v>
      </c>
    </row>
    <row r="19" spans="1:58" x14ac:dyDescent="0.35">
      <c r="A19" t="s">
        <v>1632</v>
      </c>
      <c r="B19">
        <v>10000</v>
      </c>
      <c r="C19">
        <v>30000</v>
      </c>
      <c r="D19" s="2">
        <v>45723</v>
      </c>
      <c r="E19" t="s">
        <v>61</v>
      </c>
      <c r="F19" t="s">
        <v>1633</v>
      </c>
      <c r="G19" t="s">
        <v>1615</v>
      </c>
      <c r="I19">
        <v>3</v>
      </c>
      <c r="J19" t="s">
        <v>63</v>
      </c>
      <c r="K19">
        <v>85</v>
      </c>
      <c r="L19" t="s">
        <v>327</v>
      </c>
      <c r="M19" s="4">
        <v>10000</v>
      </c>
      <c r="P19" s="2">
        <v>45722</v>
      </c>
      <c r="R19">
        <v>11</v>
      </c>
      <c r="S19" s="4">
        <v>110000</v>
      </c>
      <c r="T19" t="s">
        <v>65</v>
      </c>
      <c r="U19" t="s">
        <v>1634</v>
      </c>
      <c r="V19">
        <v>0</v>
      </c>
      <c r="W19" s="4">
        <v>100000</v>
      </c>
      <c r="X19" s="4">
        <v>10000</v>
      </c>
      <c r="Y19">
        <v>0</v>
      </c>
      <c r="Z19">
        <v>0</v>
      </c>
      <c r="AA19">
        <v>0</v>
      </c>
      <c r="AD19">
        <v>0</v>
      </c>
      <c r="AM19" t="s">
        <v>1635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1636</v>
      </c>
      <c r="BA19">
        <v>0</v>
      </c>
      <c r="BC19" t="s">
        <v>107</v>
      </c>
      <c r="BF19" t="s">
        <v>1637</v>
      </c>
    </row>
    <row r="20" spans="1:58" x14ac:dyDescent="0.35">
      <c r="A20" t="s">
        <v>1638</v>
      </c>
      <c r="B20">
        <v>10000</v>
      </c>
      <c r="C20">
        <v>30000</v>
      </c>
      <c r="D20" s="2">
        <v>45723</v>
      </c>
      <c r="E20" t="s">
        <v>61</v>
      </c>
      <c r="F20" t="s">
        <v>1639</v>
      </c>
      <c r="G20" t="s">
        <v>1615</v>
      </c>
      <c r="I20">
        <v>3</v>
      </c>
      <c r="J20" t="s">
        <v>63</v>
      </c>
      <c r="K20">
        <v>85</v>
      </c>
      <c r="L20" t="s">
        <v>327</v>
      </c>
      <c r="M20" s="4">
        <v>10000</v>
      </c>
      <c r="P20" s="2">
        <v>45722</v>
      </c>
      <c r="R20">
        <v>11</v>
      </c>
      <c r="S20" s="4">
        <v>110000</v>
      </c>
      <c r="T20" t="s">
        <v>65</v>
      </c>
      <c r="U20" t="s">
        <v>1218</v>
      </c>
      <c r="V20">
        <v>0</v>
      </c>
      <c r="W20" s="4">
        <v>60000</v>
      </c>
      <c r="X20" s="4">
        <v>50000</v>
      </c>
      <c r="Y20">
        <v>0</v>
      </c>
      <c r="Z20">
        <v>0</v>
      </c>
      <c r="AA20">
        <v>0</v>
      </c>
      <c r="AD20">
        <v>0</v>
      </c>
      <c r="AM20" t="s">
        <v>1219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1640</v>
      </c>
      <c r="BA20">
        <v>0</v>
      </c>
      <c r="BC20" t="s">
        <v>107</v>
      </c>
      <c r="BF20" t="s">
        <v>1641</v>
      </c>
    </row>
    <row r="21" spans="1:58" x14ac:dyDescent="0.35">
      <c r="A21" t="s">
        <v>1642</v>
      </c>
      <c r="B21">
        <v>10000</v>
      </c>
      <c r="C21">
        <v>30000</v>
      </c>
      <c r="D21" s="2">
        <v>45723</v>
      </c>
      <c r="E21" t="s">
        <v>61</v>
      </c>
      <c r="F21" t="s">
        <v>1643</v>
      </c>
      <c r="G21" t="s">
        <v>1615</v>
      </c>
      <c r="I21">
        <v>3</v>
      </c>
      <c r="J21" t="s">
        <v>63</v>
      </c>
      <c r="K21">
        <v>85</v>
      </c>
      <c r="L21" t="s">
        <v>327</v>
      </c>
      <c r="M21" s="4">
        <v>10000</v>
      </c>
      <c r="P21" s="2">
        <v>45722</v>
      </c>
      <c r="R21">
        <v>11</v>
      </c>
      <c r="S21" s="4">
        <v>110000</v>
      </c>
      <c r="T21" t="s">
        <v>65</v>
      </c>
      <c r="U21" t="s">
        <v>1644</v>
      </c>
      <c r="V21">
        <v>0</v>
      </c>
      <c r="W21" s="4">
        <v>100000</v>
      </c>
      <c r="X21" s="4">
        <v>10000</v>
      </c>
      <c r="Y21">
        <v>0</v>
      </c>
      <c r="Z21">
        <v>0</v>
      </c>
      <c r="AA21">
        <v>0</v>
      </c>
      <c r="AD21">
        <v>0</v>
      </c>
      <c r="AM21" t="s">
        <v>1645</v>
      </c>
      <c r="AN21" t="s">
        <v>107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1646</v>
      </c>
      <c r="BA21">
        <v>0</v>
      </c>
      <c r="BC21" t="s">
        <v>107</v>
      </c>
      <c r="BF21" t="s">
        <v>1647</v>
      </c>
    </row>
    <row r="22" spans="1:58" x14ac:dyDescent="0.35">
      <c r="A22" t="s">
        <v>1648</v>
      </c>
      <c r="B22">
        <v>10000</v>
      </c>
      <c r="C22">
        <v>30000</v>
      </c>
      <c r="D22" s="2">
        <v>45723</v>
      </c>
      <c r="E22" t="s">
        <v>61</v>
      </c>
      <c r="F22" t="s">
        <v>1649</v>
      </c>
      <c r="G22" t="s">
        <v>1615</v>
      </c>
      <c r="I22">
        <v>3</v>
      </c>
      <c r="J22" t="s">
        <v>63</v>
      </c>
      <c r="K22">
        <v>85</v>
      </c>
      <c r="L22" t="s">
        <v>327</v>
      </c>
      <c r="M22" s="4">
        <v>10000</v>
      </c>
      <c r="P22" s="2">
        <v>45722</v>
      </c>
      <c r="R22">
        <v>11</v>
      </c>
      <c r="S22" s="4">
        <v>110000</v>
      </c>
      <c r="T22" t="s">
        <v>65</v>
      </c>
      <c r="U22" t="s">
        <v>1206</v>
      </c>
      <c r="V22">
        <v>0</v>
      </c>
      <c r="W22" s="4">
        <v>100000</v>
      </c>
      <c r="X22" s="4">
        <v>10000</v>
      </c>
      <c r="Y22">
        <v>0</v>
      </c>
      <c r="Z22">
        <v>0</v>
      </c>
      <c r="AA22">
        <v>0</v>
      </c>
      <c r="AD22">
        <v>0</v>
      </c>
      <c r="AM22" t="s">
        <v>1207</v>
      </c>
      <c r="AN22" t="s">
        <v>107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1650</v>
      </c>
      <c r="BA22">
        <v>0</v>
      </c>
      <c r="BC22" t="s">
        <v>107</v>
      </c>
      <c r="BF22" t="s">
        <v>1651</v>
      </c>
    </row>
    <row r="23" spans="1:58" x14ac:dyDescent="0.35">
      <c r="A23" t="s">
        <v>1652</v>
      </c>
      <c r="B23">
        <v>10000</v>
      </c>
      <c r="C23">
        <v>30000</v>
      </c>
      <c r="D23" s="2">
        <v>45723</v>
      </c>
      <c r="E23" t="s">
        <v>61</v>
      </c>
      <c r="F23" t="s">
        <v>1653</v>
      </c>
      <c r="G23" t="s">
        <v>1615</v>
      </c>
      <c r="I23">
        <v>3</v>
      </c>
      <c r="J23" t="s">
        <v>63</v>
      </c>
      <c r="K23">
        <v>85</v>
      </c>
      <c r="L23" t="s">
        <v>327</v>
      </c>
      <c r="M23" s="4">
        <v>10000</v>
      </c>
      <c r="P23" s="2">
        <v>45722</v>
      </c>
      <c r="R23">
        <v>11</v>
      </c>
      <c r="S23" s="4">
        <v>110000</v>
      </c>
      <c r="T23" t="s">
        <v>65</v>
      </c>
      <c r="U23" t="s">
        <v>1358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1359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1654</v>
      </c>
      <c r="BA23">
        <v>0</v>
      </c>
      <c r="BC23" t="s">
        <v>107</v>
      </c>
      <c r="BF23" t="s">
        <v>1655</v>
      </c>
    </row>
    <row r="24" spans="1:58" x14ac:dyDescent="0.35">
      <c r="A24" t="s">
        <v>1656</v>
      </c>
      <c r="B24">
        <v>10000</v>
      </c>
      <c r="C24">
        <v>30000</v>
      </c>
      <c r="D24" s="2">
        <v>45726</v>
      </c>
      <c r="E24" t="s">
        <v>61</v>
      </c>
      <c r="F24" s="3">
        <v>0.42184027777777777</v>
      </c>
      <c r="G24" t="s">
        <v>1615</v>
      </c>
      <c r="I24">
        <v>3</v>
      </c>
      <c r="J24" t="s">
        <v>63</v>
      </c>
      <c r="K24">
        <v>85</v>
      </c>
      <c r="L24" t="s">
        <v>327</v>
      </c>
      <c r="M24" s="4">
        <v>10000</v>
      </c>
      <c r="P24" s="2">
        <v>45722</v>
      </c>
      <c r="R24">
        <v>11</v>
      </c>
      <c r="S24" s="4">
        <v>110000</v>
      </c>
      <c r="T24" t="s">
        <v>65</v>
      </c>
      <c r="U24" t="s">
        <v>1657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1658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1659</v>
      </c>
      <c r="BA24">
        <v>0</v>
      </c>
      <c r="BC24" t="s">
        <v>107</v>
      </c>
      <c r="BF24" t="s">
        <v>1660</v>
      </c>
    </row>
    <row r="25" spans="1:58" x14ac:dyDescent="0.35">
      <c r="A25" t="s">
        <v>1661</v>
      </c>
      <c r="B25">
        <v>10000</v>
      </c>
      <c r="C25">
        <v>10000</v>
      </c>
      <c r="D25" s="2">
        <v>45722</v>
      </c>
      <c r="E25" t="s">
        <v>61</v>
      </c>
      <c r="F25" t="s">
        <v>793</v>
      </c>
      <c r="G25" t="s">
        <v>387</v>
      </c>
      <c r="I25">
        <v>1</v>
      </c>
      <c r="J25" t="s">
        <v>63</v>
      </c>
      <c r="K25">
        <v>59</v>
      </c>
      <c r="L25" t="s">
        <v>745</v>
      </c>
      <c r="M25">
        <v>500</v>
      </c>
      <c r="P25" s="2">
        <v>45722</v>
      </c>
      <c r="R25">
        <v>2</v>
      </c>
      <c r="S25" s="4">
        <v>1000</v>
      </c>
      <c r="T25" t="s">
        <v>65</v>
      </c>
      <c r="U25" t="s">
        <v>1662</v>
      </c>
      <c r="V25">
        <v>0</v>
      </c>
      <c r="W25" s="4">
        <v>1000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1663</v>
      </c>
      <c r="AN25" t="s">
        <v>206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1664</v>
      </c>
      <c r="BA25">
        <v>0</v>
      </c>
      <c r="BC25" t="s">
        <v>206</v>
      </c>
      <c r="BF25" t="s">
        <v>1167</v>
      </c>
    </row>
    <row r="26" spans="1:58" x14ac:dyDescent="0.35">
      <c r="A26" t="s">
        <v>1665</v>
      </c>
      <c r="B26">
        <v>10000</v>
      </c>
      <c r="C26">
        <v>10000</v>
      </c>
      <c r="D26" s="2">
        <v>45726</v>
      </c>
      <c r="E26" t="s">
        <v>61</v>
      </c>
      <c r="F26" s="3">
        <v>0.42357638888888888</v>
      </c>
      <c r="G26" t="s">
        <v>1666</v>
      </c>
      <c r="I26">
        <v>1</v>
      </c>
      <c r="J26" t="s">
        <v>63</v>
      </c>
      <c r="K26">
        <v>87</v>
      </c>
      <c r="L26" t="s">
        <v>172</v>
      </c>
      <c r="M26" s="4">
        <v>20250</v>
      </c>
      <c r="P26" s="2">
        <v>45722</v>
      </c>
      <c r="R26">
        <v>2</v>
      </c>
      <c r="S26" s="4">
        <v>40500</v>
      </c>
      <c r="T26" t="s">
        <v>65</v>
      </c>
      <c r="U26" t="s">
        <v>173</v>
      </c>
      <c r="V26">
        <v>0</v>
      </c>
      <c r="W26" s="4">
        <v>40500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174</v>
      </c>
      <c r="AN26" t="s">
        <v>175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1667</v>
      </c>
      <c r="BA26">
        <v>0</v>
      </c>
      <c r="BC26" t="s">
        <v>175</v>
      </c>
      <c r="BF26" t="s">
        <v>1668</v>
      </c>
    </row>
    <row r="27" spans="1:58" x14ac:dyDescent="0.35">
      <c r="A27" t="s">
        <v>1669</v>
      </c>
      <c r="B27">
        <v>10000</v>
      </c>
      <c r="C27">
        <v>10000</v>
      </c>
      <c r="D27" s="2">
        <v>45723</v>
      </c>
      <c r="E27" t="s">
        <v>61</v>
      </c>
      <c r="F27" t="s">
        <v>1169</v>
      </c>
      <c r="G27">
        <v>234402</v>
      </c>
      <c r="I27">
        <v>1</v>
      </c>
      <c r="J27" t="s">
        <v>63</v>
      </c>
      <c r="K27">
        <v>90</v>
      </c>
      <c r="L27" t="s">
        <v>405</v>
      </c>
      <c r="M27" s="4">
        <v>1167</v>
      </c>
      <c r="P27" s="2">
        <v>45722</v>
      </c>
      <c r="R27">
        <v>180</v>
      </c>
      <c r="S27" s="4">
        <v>210060</v>
      </c>
      <c r="T27" t="s">
        <v>65</v>
      </c>
      <c r="U27" t="s">
        <v>1670</v>
      </c>
      <c r="V27">
        <v>0</v>
      </c>
      <c r="W27" s="4">
        <v>210000</v>
      </c>
      <c r="X27">
        <v>60</v>
      </c>
      <c r="Y27">
        <v>0</v>
      </c>
      <c r="Z27">
        <v>0</v>
      </c>
      <c r="AA27">
        <v>0</v>
      </c>
      <c r="AD27">
        <v>0</v>
      </c>
      <c r="AM27" t="s">
        <v>1671</v>
      </c>
      <c r="AN27" t="s">
        <v>1672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1673</v>
      </c>
      <c r="BA27">
        <v>0</v>
      </c>
      <c r="BC27" t="s">
        <v>1672</v>
      </c>
      <c r="BF27" t="s">
        <v>1674</v>
      </c>
    </row>
    <row r="28" spans="1:58" x14ac:dyDescent="0.35">
      <c r="A28" t="s">
        <v>1675</v>
      </c>
      <c r="B28">
        <v>10000</v>
      </c>
      <c r="C28">
        <v>10000</v>
      </c>
      <c r="D28" s="2">
        <v>45723</v>
      </c>
      <c r="E28" t="s">
        <v>61</v>
      </c>
      <c r="F28" t="s">
        <v>1676</v>
      </c>
      <c r="G28" t="s">
        <v>1677</v>
      </c>
      <c r="I28">
        <v>1</v>
      </c>
      <c r="J28" t="s">
        <v>63</v>
      </c>
      <c r="K28">
        <v>60</v>
      </c>
      <c r="L28" t="s">
        <v>277</v>
      </c>
      <c r="M28" s="4">
        <v>10000</v>
      </c>
      <c r="P28" s="2">
        <v>45722</v>
      </c>
      <c r="R28">
        <v>1</v>
      </c>
      <c r="S28" s="4">
        <v>10000</v>
      </c>
      <c r="T28" t="s">
        <v>65</v>
      </c>
      <c r="U28" t="s">
        <v>1678</v>
      </c>
      <c r="V28">
        <v>0</v>
      </c>
      <c r="W28" s="4">
        <v>10000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1679</v>
      </c>
      <c r="AN28" t="s">
        <v>1680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1681</v>
      </c>
      <c r="BA28">
        <v>0</v>
      </c>
      <c r="BC28" t="s">
        <v>1680</v>
      </c>
      <c r="BF28" t="s">
        <v>1682</v>
      </c>
    </row>
    <row r="29" spans="1:58" x14ac:dyDescent="0.35">
      <c r="A29" t="s">
        <v>1683</v>
      </c>
      <c r="B29">
        <v>10000</v>
      </c>
      <c r="C29">
        <v>20000</v>
      </c>
      <c r="D29" s="2">
        <v>45723</v>
      </c>
      <c r="E29" t="s">
        <v>61</v>
      </c>
      <c r="F29" t="s">
        <v>1593</v>
      </c>
      <c r="G29" t="s">
        <v>1684</v>
      </c>
      <c r="I29">
        <v>1</v>
      </c>
      <c r="J29" t="s">
        <v>63</v>
      </c>
      <c r="K29">
        <v>78</v>
      </c>
      <c r="L29" t="s">
        <v>188</v>
      </c>
      <c r="M29" s="4">
        <v>25000</v>
      </c>
      <c r="P29" s="2">
        <v>45722</v>
      </c>
      <c r="R29">
        <v>2</v>
      </c>
      <c r="S29" s="4">
        <v>50000</v>
      </c>
      <c r="T29" t="s">
        <v>65</v>
      </c>
      <c r="U29" t="s">
        <v>1685</v>
      </c>
      <c r="V29">
        <v>0</v>
      </c>
      <c r="W29" s="4">
        <v>50000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1686</v>
      </c>
      <c r="AN29" t="s">
        <v>206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1687</v>
      </c>
      <c r="BA29">
        <v>0</v>
      </c>
      <c r="BC29" t="s">
        <v>206</v>
      </c>
      <c r="BF29" t="s">
        <v>1688</v>
      </c>
    </row>
    <row r="30" spans="1:58" x14ac:dyDescent="0.35">
      <c r="A30" t="s">
        <v>1689</v>
      </c>
      <c r="B30">
        <v>10000</v>
      </c>
      <c r="C30">
        <v>10000</v>
      </c>
      <c r="D30" s="2">
        <v>45727</v>
      </c>
      <c r="E30" t="s">
        <v>61</v>
      </c>
      <c r="F30" s="3">
        <v>0.47407407407407409</v>
      </c>
      <c r="G30">
        <v>10620258028</v>
      </c>
      <c r="I30">
        <v>1</v>
      </c>
      <c r="J30" t="s">
        <v>63</v>
      </c>
      <c r="K30">
        <v>79</v>
      </c>
      <c r="L30" t="s">
        <v>573</v>
      </c>
      <c r="M30">
        <v>398</v>
      </c>
      <c r="P30" s="2">
        <v>45722</v>
      </c>
      <c r="R30">
        <v>297</v>
      </c>
      <c r="S30" s="4">
        <v>118206</v>
      </c>
      <c r="T30" t="s">
        <v>65</v>
      </c>
      <c r="U30" t="s">
        <v>1690</v>
      </c>
      <c r="V30">
        <v>0</v>
      </c>
      <c r="W30" s="4">
        <v>100000</v>
      </c>
      <c r="X30" s="4">
        <v>18206</v>
      </c>
      <c r="Y30">
        <v>0</v>
      </c>
      <c r="Z30">
        <v>0</v>
      </c>
      <c r="AA30">
        <v>0</v>
      </c>
      <c r="AD30">
        <v>0</v>
      </c>
      <c r="AM30" t="s">
        <v>1691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1692</v>
      </c>
      <c r="BA30">
        <v>0</v>
      </c>
      <c r="BC30" t="s">
        <v>107</v>
      </c>
      <c r="BF30" t="s">
        <v>1693</v>
      </c>
    </row>
    <row r="31" spans="1:58" x14ac:dyDescent="0.35">
      <c r="A31" t="s">
        <v>1694</v>
      </c>
      <c r="B31">
        <v>10000</v>
      </c>
      <c r="C31">
        <v>10000</v>
      </c>
      <c r="D31" s="2">
        <v>45727</v>
      </c>
      <c r="E31" t="s">
        <v>61</v>
      </c>
      <c r="F31" t="s">
        <v>1695</v>
      </c>
      <c r="G31">
        <v>10620258028</v>
      </c>
      <c r="I31">
        <v>1</v>
      </c>
      <c r="J31" t="s">
        <v>63</v>
      </c>
      <c r="K31">
        <v>79</v>
      </c>
      <c r="L31" t="s">
        <v>573</v>
      </c>
      <c r="M31">
        <v>398</v>
      </c>
      <c r="P31" s="2">
        <v>45722</v>
      </c>
      <c r="R31">
        <v>297</v>
      </c>
      <c r="S31" s="4">
        <v>118206</v>
      </c>
      <c r="T31" t="s">
        <v>65</v>
      </c>
      <c r="U31" t="s">
        <v>784</v>
      </c>
      <c r="V31">
        <v>0</v>
      </c>
      <c r="W31" s="4">
        <v>100000</v>
      </c>
      <c r="X31" s="4">
        <v>18206</v>
      </c>
      <c r="Y31">
        <v>0</v>
      </c>
      <c r="Z31">
        <v>0</v>
      </c>
      <c r="AA31">
        <v>0</v>
      </c>
      <c r="AD31">
        <v>0</v>
      </c>
      <c r="AM31" t="s">
        <v>785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1696</v>
      </c>
      <c r="BA31">
        <v>0</v>
      </c>
      <c r="BC31" t="s">
        <v>107</v>
      </c>
      <c r="BF31" t="s">
        <v>1697</v>
      </c>
    </row>
    <row r="32" spans="1:58" x14ac:dyDescent="0.35">
      <c r="A32" t="s">
        <v>1698</v>
      </c>
      <c r="B32">
        <v>10000</v>
      </c>
      <c r="C32">
        <v>20000</v>
      </c>
      <c r="D32" s="2">
        <v>45723</v>
      </c>
      <c r="E32" t="s">
        <v>61</v>
      </c>
      <c r="F32" t="s">
        <v>1699</v>
      </c>
      <c r="G32" t="s">
        <v>1700</v>
      </c>
      <c r="I32">
        <v>1</v>
      </c>
      <c r="J32" t="s">
        <v>63</v>
      </c>
      <c r="K32">
        <v>94</v>
      </c>
      <c r="L32" t="s">
        <v>181</v>
      </c>
      <c r="M32" s="4">
        <v>10000</v>
      </c>
      <c r="P32" s="2">
        <v>45722</v>
      </c>
      <c r="R32">
        <v>4</v>
      </c>
      <c r="S32" s="4">
        <v>40000</v>
      </c>
      <c r="T32" t="s">
        <v>65</v>
      </c>
      <c r="U32" t="s">
        <v>1701</v>
      </c>
      <c r="V32">
        <v>0</v>
      </c>
      <c r="W32" s="4">
        <v>40000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1702</v>
      </c>
      <c r="AN32" t="s">
        <v>364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1703</v>
      </c>
      <c r="BA32">
        <v>0</v>
      </c>
      <c r="BC32" t="s">
        <v>364</v>
      </c>
      <c r="BF32" t="s">
        <v>1704</v>
      </c>
    </row>
    <row r="33" spans="1:58" x14ac:dyDescent="0.35">
      <c r="A33" t="s">
        <v>1705</v>
      </c>
      <c r="B33">
        <v>10000</v>
      </c>
      <c r="C33">
        <v>10000</v>
      </c>
      <c r="D33" s="2">
        <v>45726</v>
      </c>
      <c r="E33" t="s">
        <v>61</v>
      </c>
      <c r="F33" s="3">
        <v>0.42302083333333335</v>
      </c>
      <c r="G33" t="s">
        <v>1706</v>
      </c>
      <c r="I33">
        <v>1</v>
      </c>
      <c r="J33" t="s">
        <v>63</v>
      </c>
      <c r="K33" t="s">
        <v>1707</v>
      </c>
      <c r="L33" t="s">
        <v>154</v>
      </c>
      <c r="M33" s="4">
        <v>21539</v>
      </c>
      <c r="P33" s="2">
        <v>45722</v>
      </c>
      <c r="R33">
        <v>13</v>
      </c>
      <c r="S33" s="4">
        <v>280007</v>
      </c>
      <c r="T33" t="s">
        <v>65</v>
      </c>
      <c r="U33" t="s">
        <v>460</v>
      </c>
      <c r="V33">
        <v>0</v>
      </c>
      <c r="W33" s="4">
        <v>280000</v>
      </c>
      <c r="X33">
        <v>7</v>
      </c>
      <c r="Y33">
        <v>0</v>
      </c>
      <c r="Z33">
        <v>0</v>
      </c>
      <c r="AA33">
        <v>0</v>
      </c>
      <c r="AD33">
        <v>0</v>
      </c>
      <c r="AM33" t="s">
        <v>461</v>
      </c>
      <c r="AN33" t="s">
        <v>175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1708</v>
      </c>
      <c r="BA33">
        <v>0</v>
      </c>
      <c r="BC33" t="s">
        <v>175</v>
      </c>
      <c r="BF33" t="s">
        <v>1709</v>
      </c>
    </row>
    <row r="34" spans="1:58" x14ac:dyDescent="0.35">
      <c r="A34" t="s">
        <v>1710</v>
      </c>
      <c r="B34">
        <v>10000</v>
      </c>
      <c r="C34">
        <v>10000</v>
      </c>
      <c r="D34" s="2">
        <v>45722</v>
      </c>
      <c r="E34" t="s">
        <v>61</v>
      </c>
      <c r="F34" s="3">
        <v>0.53784722222222225</v>
      </c>
      <c r="G34" t="s">
        <v>1126</v>
      </c>
      <c r="I34">
        <v>1</v>
      </c>
      <c r="J34" t="s">
        <v>63</v>
      </c>
      <c r="K34">
        <v>22</v>
      </c>
      <c r="L34" t="s">
        <v>466</v>
      </c>
      <c r="M34" s="4">
        <v>3500</v>
      </c>
      <c r="P34" s="2">
        <v>45722</v>
      </c>
      <c r="R34">
        <v>2</v>
      </c>
      <c r="S34" s="4">
        <v>7000</v>
      </c>
      <c r="T34" t="s">
        <v>65</v>
      </c>
      <c r="U34" t="s">
        <v>1711</v>
      </c>
      <c r="V34">
        <v>0</v>
      </c>
      <c r="W34" s="4">
        <v>7000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1712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1713</v>
      </c>
      <c r="BA34">
        <v>0</v>
      </c>
      <c r="BC34" t="s">
        <v>116</v>
      </c>
      <c r="BF34" t="s">
        <v>470</v>
      </c>
    </row>
    <row r="35" spans="1:58" x14ac:dyDescent="0.35">
      <c r="A35" t="s">
        <v>1714</v>
      </c>
      <c r="B35">
        <v>10000</v>
      </c>
      <c r="C35">
        <v>10000</v>
      </c>
      <c r="D35" s="2">
        <v>45722</v>
      </c>
      <c r="E35" t="s">
        <v>61</v>
      </c>
      <c r="F35" t="s">
        <v>1587</v>
      </c>
      <c r="G35" t="s">
        <v>1126</v>
      </c>
      <c r="I35">
        <v>1</v>
      </c>
      <c r="J35" t="s">
        <v>63</v>
      </c>
      <c r="K35">
        <v>22</v>
      </c>
      <c r="L35" t="s">
        <v>466</v>
      </c>
      <c r="M35" s="4">
        <v>3500</v>
      </c>
      <c r="P35" s="2">
        <v>45722</v>
      </c>
      <c r="R35">
        <v>2</v>
      </c>
      <c r="S35" s="4">
        <v>7000</v>
      </c>
      <c r="T35" t="s">
        <v>65</v>
      </c>
      <c r="U35" t="s">
        <v>1715</v>
      </c>
      <c r="V35">
        <v>0</v>
      </c>
      <c r="W35" s="4">
        <v>7000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1716</v>
      </c>
      <c r="AN35" t="s">
        <v>116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1717</v>
      </c>
      <c r="BA35">
        <v>0</v>
      </c>
      <c r="BC35" t="s">
        <v>116</v>
      </c>
      <c r="BF35" t="s">
        <v>470</v>
      </c>
    </row>
    <row r="36" spans="1:58" x14ac:dyDescent="0.35">
      <c r="A36" t="s">
        <v>1718</v>
      </c>
      <c r="B36">
        <v>10000</v>
      </c>
      <c r="C36">
        <v>10000</v>
      </c>
      <c r="D36" s="2">
        <v>45722</v>
      </c>
      <c r="E36" t="s">
        <v>61</v>
      </c>
      <c r="F36" t="s">
        <v>1719</v>
      </c>
      <c r="G36" t="s">
        <v>1126</v>
      </c>
      <c r="I36">
        <v>1</v>
      </c>
      <c r="J36" t="s">
        <v>63</v>
      </c>
      <c r="K36">
        <v>22</v>
      </c>
      <c r="L36" t="s">
        <v>466</v>
      </c>
      <c r="M36" s="4">
        <v>3500</v>
      </c>
      <c r="P36" s="2">
        <v>45722</v>
      </c>
      <c r="R36">
        <v>2</v>
      </c>
      <c r="S36" s="4">
        <v>7000</v>
      </c>
      <c r="T36" t="s">
        <v>65</v>
      </c>
      <c r="U36" t="s">
        <v>1720</v>
      </c>
      <c r="V36">
        <v>0</v>
      </c>
      <c r="W36" s="4">
        <v>7000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1721</v>
      </c>
      <c r="AN36" t="s">
        <v>116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1722</v>
      </c>
      <c r="BA36">
        <v>0</v>
      </c>
      <c r="BC36" t="s">
        <v>116</v>
      </c>
      <c r="BF36" t="s">
        <v>470</v>
      </c>
    </row>
    <row r="37" spans="1:58" x14ac:dyDescent="0.35">
      <c r="A37" t="s">
        <v>1723</v>
      </c>
      <c r="B37">
        <v>10000</v>
      </c>
      <c r="C37">
        <v>10000</v>
      </c>
      <c r="D37" s="2">
        <v>45723</v>
      </c>
      <c r="E37" t="s">
        <v>61</v>
      </c>
      <c r="F37" t="s">
        <v>1724</v>
      </c>
      <c r="G37" t="s">
        <v>1725</v>
      </c>
      <c r="I37">
        <v>1</v>
      </c>
      <c r="J37" t="s">
        <v>63</v>
      </c>
      <c r="K37">
        <v>93</v>
      </c>
      <c r="L37" t="s">
        <v>163</v>
      </c>
      <c r="M37" s="4">
        <v>1400</v>
      </c>
      <c r="P37" s="2">
        <v>45722</v>
      </c>
      <c r="R37">
        <v>3</v>
      </c>
      <c r="S37" s="4">
        <v>4200</v>
      </c>
      <c r="T37" t="s">
        <v>65</v>
      </c>
      <c r="U37" t="s">
        <v>1726</v>
      </c>
      <c r="V37">
        <v>0</v>
      </c>
      <c r="W37" s="4">
        <v>2600</v>
      </c>
      <c r="X37" s="4">
        <v>1600</v>
      </c>
      <c r="Y37">
        <v>0</v>
      </c>
      <c r="Z37">
        <v>0</v>
      </c>
      <c r="AA37">
        <v>0</v>
      </c>
      <c r="AD37">
        <v>0</v>
      </c>
      <c r="AM37" t="s">
        <v>1727</v>
      </c>
      <c r="AN37" t="s">
        <v>1728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1729</v>
      </c>
      <c r="BA37">
        <v>0</v>
      </c>
      <c r="BC37" t="s">
        <v>1728</v>
      </c>
      <c r="BF37" t="s">
        <v>1730</v>
      </c>
    </row>
    <row r="38" spans="1:58" x14ac:dyDescent="0.35">
      <c r="A38" t="s">
        <v>1723</v>
      </c>
      <c r="B38">
        <v>10000</v>
      </c>
      <c r="C38">
        <v>20000</v>
      </c>
      <c r="D38" s="2">
        <v>45723</v>
      </c>
      <c r="E38" t="s">
        <v>61</v>
      </c>
      <c r="F38" t="s">
        <v>1724</v>
      </c>
      <c r="G38" t="s">
        <v>1725</v>
      </c>
      <c r="I38">
        <v>2</v>
      </c>
      <c r="J38" t="s">
        <v>63</v>
      </c>
      <c r="K38">
        <v>92</v>
      </c>
      <c r="L38" t="s">
        <v>424</v>
      </c>
      <c r="M38" s="4">
        <v>3000</v>
      </c>
      <c r="P38" s="2">
        <v>45722</v>
      </c>
      <c r="R38">
        <v>1</v>
      </c>
      <c r="S38" s="4">
        <v>3000</v>
      </c>
      <c r="T38" t="s">
        <v>65</v>
      </c>
      <c r="U38" t="s">
        <v>1726</v>
      </c>
      <c r="V38">
        <v>0</v>
      </c>
      <c r="W38" s="4">
        <v>2600</v>
      </c>
      <c r="X38">
        <v>400</v>
      </c>
      <c r="Y38">
        <v>0</v>
      </c>
      <c r="Z38">
        <v>0</v>
      </c>
      <c r="AA38">
        <v>0</v>
      </c>
      <c r="AD38">
        <v>0</v>
      </c>
      <c r="AM38" t="s">
        <v>1727</v>
      </c>
      <c r="AN38" t="s">
        <v>1728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1729</v>
      </c>
      <c r="BA38">
        <v>0</v>
      </c>
      <c r="BC38" t="s">
        <v>1728</v>
      </c>
      <c r="BF38" t="s">
        <v>1730</v>
      </c>
    </row>
    <row r="39" spans="1:58" x14ac:dyDescent="0.35">
      <c r="A39" t="s">
        <v>1731</v>
      </c>
      <c r="B39">
        <v>10000</v>
      </c>
      <c r="C39">
        <v>10000</v>
      </c>
      <c r="D39" s="2">
        <v>45727</v>
      </c>
      <c r="E39" t="s">
        <v>61</v>
      </c>
      <c r="F39" t="s">
        <v>1732</v>
      </c>
      <c r="G39" t="s">
        <v>1733</v>
      </c>
      <c r="I39">
        <v>1</v>
      </c>
      <c r="J39" t="s">
        <v>63</v>
      </c>
      <c r="K39">
        <v>78</v>
      </c>
      <c r="L39" t="s">
        <v>188</v>
      </c>
      <c r="M39" s="4">
        <v>2750</v>
      </c>
      <c r="P39" s="2">
        <v>45722</v>
      </c>
      <c r="R39">
        <v>16</v>
      </c>
      <c r="S39" s="4">
        <v>44000</v>
      </c>
      <c r="T39" t="s">
        <v>65</v>
      </c>
      <c r="U39" t="s">
        <v>1734</v>
      </c>
      <c r="V39">
        <v>0</v>
      </c>
      <c r="W39" s="4">
        <v>40000</v>
      </c>
      <c r="X39" s="4">
        <v>4000</v>
      </c>
      <c r="Y39">
        <v>0</v>
      </c>
      <c r="Z39">
        <v>0</v>
      </c>
      <c r="AA39">
        <v>0</v>
      </c>
      <c r="AD39">
        <v>0</v>
      </c>
      <c r="AM39" t="s">
        <v>1735</v>
      </c>
      <c r="AN39" t="s">
        <v>157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1736</v>
      </c>
      <c r="BA39">
        <v>0</v>
      </c>
      <c r="BC39" t="s">
        <v>157</v>
      </c>
      <c r="BF39" t="s">
        <v>1737</v>
      </c>
    </row>
    <row r="40" spans="1:58" x14ac:dyDescent="0.35">
      <c r="A40" t="s">
        <v>1738</v>
      </c>
      <c r="B40">
        <v>10000</v>
      </c>
      <c r="C40">
        <v>20000</v>
      </c>
      <c r="D40" s="2">
        <v>45723</v>
      </c>
      <c r="E40" t="s">
        <v>61</v>
      </c>
      <c r="F40" t="s">
        <v>1739</v>
      </c>
      <c r="G40" t="s">
        <v>1733</v>
      </c>
      <c r="I40">
        <v>1</v>
      </c>
      <c r="J40" t="s">
        <v>63</v>
      </c>
      <c r="K40">
        <v>78</v>
      </c>
      <c r="L40" t="s">
        <v>188</v>
      </c>
      <c r="M40" s="4">
        <v>5500</v>
      </c>
      <c r="P40" s="2">
        <v>45722</v>
      </c>
      <c r="R40">
        <v>16</v>
      </c>
      <c r="S40" s="4">
        <v>88000</v>
      </c>
      <c r="T40" t="s">
        <v>65</v>
      </c>
      <c r="U40" t="s">
        <v>1740</v>
      </c>
      <c r="V40">
        <v>0</v>
      </c>
      <c r="W40" s="4">
        <v>80000</v>
      </c>
      <c r="X40" s="4">
        <v>8000</v>
      </c>
      <c r="Y40">
        <v>0</v>
      </c>
      <c r="Z40">
        <v>0</v>
      </c>
      <c r="AA40">
        <v>0</v>
      </c>
      <c r="AD40">
        <v>0</v>
      </c>
      <c r="AM40" t="s">
        <v>1741</v>
      </c>
      <c r="AN40" t="s">
        <v>157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1742</v>
      </c>
      <c r="BA40">
        <v>0</v>
      </c>
      <c r="BC40" t="s">
        <v>157</v>
      </c>
      <c r="BF40" t="s">
        <v>1743</v>
      </c>
    </row>
    <row r="41" spans="1:58" x14ac:dyDescent="0.35">
      <c r="A41" t="s">
        <v>1738</v>
      </c>
      <c r="B41">
        <v>10000</v>
      </c>
      <c r="C41">
        <v>30000</v>
      </c>
      <c r="D41" s="2">
        <v>45723</v>
      </c>
      <c r="E41" t="s">
        <v>61</v>
      </c>
      <c r="F41" t="s">
        <v>1739</v>
      </c>
      <c r="G41" t="s">
        <v>1733</v>
      </c>
      <c r="I41">
        <v>2</v>
      </c>
      <c r="J41" t="s">
        <v>63</v>
      </c>
      <c r="K41">
        <v>63</v>
      </c>
      <c r="L41" t="s">
        <v>385</v>
      </c>
      <c r="M41" s="4">
        <v>5000</v>
      </c>
      <c r="P41" s="2">
        <v>45722</v>
      </c>
      <c r="R41">
        <v>16</v>
      </c>
      <c r="S41" s="4">
        <v>80000</v>
      </c>
      <c r="T41" t="s">
        <v>65</v>
      </c>
      <c r="U41" t="s">
        <v>1740</v>
      </c>
      <c r="V41">
        <v>0</v>
      </c>
      <c r="W41" s="4">
        <v>80000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1741</v>
      </c>
      <c r="AN41" t="s">
        <v>157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1742</v>
      </c>
      <c r="BA41">
        <v>0</v>
      </c>
      <c r="BC41" t="s">
        <v>157</v>
      </c>
      <c r="BF41" t="s">
        <v>1743</v>
      </c>
    </row>
    <row r="42" spans="1:58" x14ac:dyDescent="0.35">
      <c r="A42" t="s">
        <v>525</v>
      </c>
      <c r="B42">
        <v>10000</v>
      </c>
      <c r="C42">
        <v>30000</v>
      </c>
      <c r="D42" s="2">
        <v>45723</v>
      </c>
      <c r="E42" t="s">
        <v>61</v>
      </c>
      <c r="F42" t="s">
        <v>526</v>
      </c>
      <c r="G42" t="s">
        <v>527</v>
      </c>
      <c r="I42">
        <v>3</v>
      </c>
      <c r="J42" t="s">
        <v>63</v>
      </c>
      <c r="K42">
        <v>12</v>
      </c>
      <c r="L42" t="s">
        <v>478</v>
      </c>
      <c r="M42" s="4">
        <v>1500</v>
      </c>
      <c r="P42" s="2">
        <v>45722</v>
      </c>
      <c r="R42">
        <v>2</v>
      </c>
      <c r="S42" s="4">
        <v>3000</v>
      </c>
      <c r="T42" t="s">
        <v>65</v>
      </c>
      <c r="U42" t="s">
        <v>529</v>
      </c>
      <c r="V42">
        <v>0</v>
      </c>
      <c r="W42" s="4">
        <v>3000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530</v>
      </c>
      <c r="AN42" t="s">
        <v>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531</v>
      </c>
      <c r="BA42">
        <v>0</v>
      </c>
      <c r="BC42" t="s">
        <v>271</v>
      </c>
      <c r="BF42" t="s">
        <v>532</v>
      </c>
    </row>
    <row r="43" spans="1:58" x14ac:dyDescent="0.35">
      <c r="A43" t="s">
        <v>1263</v>
      </c>
      <c r="B43">
        <v>10000</v>
      </c>
      <c r="C43">
        <v>20000</v>
      </c>
      <c r="D43" s="2">
        <v>45722</v>
      </c>
      <c r="E43" t="s">
        <v>61</v>
      </c>
      <c r="F43" s="3">
        <v>0.53646990740740741</v>
      </c>
      <c r="G43" t="s">
        <v>1264</v>
      </c>
      <c r="I43">
        <v>2</v>
      </c>
      <c r="J43" t="s">
        <v>63</v>
      </c>
      <c r="K43" t="s">
        <v>1744</v>
      </c>
      <c r="L43" t="s">
        <v>630</v>
      </c>
      <c r="M43" s="4">
        <v>2000</v>
      </c>
      <c r="P43" s="2">
        <v>45722</v>
      </c>
      <c r="R43">
        <v>1</v>
      </c>
      <c r="S43" s="4">
        <v>2000</v>
      </c>
      <c r="T43" t="s">
        <v>65</v>
      </c>
      <c r="U43" t="s">
        <v>1265</v>
      </c>
      <c r="V43">
        <v>0</v>
      </c>
      <c r="W43">
        <v>500</v>
      </c>
      <c r="X43" s="4">
        <v>1500</v>
      </c>
      <c r="Y43">
        <v>0</v>
      </c>
      <c r="Z43">
        <v>0</v>
      </c>
      <c r="AA43">
        <v>0</v>
      </c>
      <c r="AD43">
        <v>0</v>
      </c>
      <c r="AM43" t="s">
        <v>1266</v>
      </c>
      <c r="AN43" t="s">
        <v>1267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1268</v>
      </c>
      <c r="BA43">
        <v>0</v>
      </c>
      <c r="BC43" t="s">
        <v>1267</v>
      </c>
      <c r="BF43" t="s">
        <v>1269</v>
      </c>
    </row>
    <row r="44" spans="1:58" x14ac:dyDescent="0.35">
      <c r="A44" t="s">
        <v>1745</v>
      </c>
      <c r="B44">
        <v>10000</v>
      </c>
      <c r="C44">
        <v>20000</v>
      </c>
      <c r="D44" s="2">
        <v>45726</v>
      </c>
      <c r="E44" t="s">
        <v>61</v>
      </c>
      <c r="F44" s="3">
        <v>0.47399305555555554</v>
      </c>
      <c r="G44" t="s">
        <v>1746</v>
      </c>
      <c r="I44">
        <v>2</v>
      </c>
      <c r="J44" t="s">
        <v>63</v>
      </c>
      <c r="K44">
        <v>100</v>
      </c>
      <c r="L44" t="s">
        <v>424</v>
      </c>
      <c r="M44" s="4">
        <v>5200</v>
      </c>
      <c r="P44" s="2">
        <v>45722</v>
      </c>
      <c r="R44">
        <v>3</v>
      </c>
      <c r="S44" s="4">
        <v>15600</v>
      </c>
      <c r="T44" t="s">
        <v>65</v>
      </c>
      <c r="U44" t="s">
        <v>1747</v>
      </c>
      <c r="V44">
        <v>0</v>
      </c>
      <c r="W44" s="4">
        <v>15000</v>
      </c>
      <c r="X44">
        <v>600</v>
      </c>
      <c r="Y44">
        <v>0</v>
      </c>
      <c r="Z44">
        <v>0</v>
      </c>
      <c r="AA44">
        <v>0</v>
      </c>
      <c r="AD44">
        <v>0</v>
      </c>
      <c r="AM44" t="s">
        <v>1748</v>
      </c>
      <c r="AN44" t="s">
        <v>1749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1750</v>
      </c>
      <c r="BA44">
        <v>0</v>
      </c>
      <c r="BC44" t="s">
        <v>1749</v>
      </c>
      <c r="BF44" t="s">
        <v>1751</v>
      </c>
    </row>
    <row r="45" spans="1:58" x14ac:dyDescent="0.35">
      <c r="A45" t="s">
        <v>1752</v>
      </c>
      <c r="B45">
        <v>10000</v>
      </c>
      <c r="C45">
        <v>10000</v>
      </c>
      <c r="D45" s="2">
        <v>45727</v>
      </c>
      <c r="E45" t="s">
        <v>61</v>
      </c>
      <c r="F45" t="s">
        <v>1753</v>
      </c>
      <c r="G45" t="s">
        <v>1725</v>
      </c>
      <c r="I45">
        <v>1</v>
      </c>
      <c r="J45" t="s">
        <v>63</v>
      </c>
      <c r="K45">
        <v>72</v>
      </c>
      <c r="L45" t="s">
        <v>163</v>
      </c>
      <c r="M45" s="4">
        <v>5000</v>
      </c>
      <c r="P45" s="2">
        <v>45722</v>
      </c>
      <c r="R45">
        <v>12</v>
      </c>
      <c r="S45" s="4">
        <v>60000</v>
      </c>
      <c r="T45" t="s">
        <v>65</v>
      </c>
      <c r="U45" t="s">
        <v>1754</v>
      </c>
      <c r="V45">
        <v>0</v>
      </c>
      <c r="W45" s="4">
        <v>50000</v>
      </c>
      <c r="X45" s="4">
        <v>10000</v>
      </c>
      <c r="Y45">
        <v>0</v>
      </c>
      <c r="Z45">
        <v>0</v>
      </c>
      <c r="AA45">
        <v>0</v>
      </c>
      <c r="AD45">
        <v>0</v>
      </c>
      <c r="AM45" t="s">
        <v>1755</v>
      </c>
      <c r="AN45" t="s">
        <v>1756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1757</v>
      </c>
      <c r="BA45">
        <v>0</v>
      </c>
      <c r="BC45" t="s">
        <v>1756</v>
      </c>
      <c r="BF45" t="s">
        <v>1758</v>
      </c>
    </row>
    <row r="46" spans="1:58" x14ac:dyDescent="0.35">
      <c r="A46" t="s">
        <v>1759</v>
      </c>
      <c r="B46">
        <v>10000</v>
      </c>
      <c r="C46">
        <v>10000</v>
      </c>
      <c r="D46" s="2">
        <v>45722</v>
      </c>
      <c r="E46" t="s">
        <v>61</v>
      </c>
      <c r="F46" t="s">
        <v>1760</v>
      </c>
      <c r="G46">
        <v>405172525</v>
      </c>
      <c r="I46">
        <v>1</v>
      </c>
      <c r="J46" t="s">
        <v>63</v>
      </c>
      <c r="K46">
        <v>12</v>
      </c>
      <c r="L46" t="s">
        <v>478</v>
      </c>
      <c r="M46">
        <v>250</v>
      </c>
      <c r="P46" s="2">
        <v>45722</v>
      </c>
      <c r="R46">
        <v>4</v>
      </c>
      <c r="S46" s="4">
        <v>1000</v>
      </c>
      <c r="T46" t="s">
        <v>65</v>
      </c>
      <c r="U46" t="s">
        <v>1761</v>
      </c>
      <c r="V46">
        <v>0</v>
      </c>
      <c r="W46" s="4">
        <v>1000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1762</v>
      </c>
      <c r="AN46" t="s">
        <v>1763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1764</v>
      </c>
      <c r="BA46">
        <v>0</v>
      </c>
      <c r="BC46" t="s">
        <v>1763</v>
      </c>
      <c r="BF46" t="s">
        <v>1765</v>
      </c>
    </row>
    <row r="47" spans="1:58" x14ac:dyDescent="0.35">
      <c r="A47" t="s">
        <v>1766</v>
      </c>
      <c r="B47">
        <v>10000</v>
      </c>
      <c r="C47">
        <v>20000</v>
      </c>
      <c r="D47" s="2">
        <v>45722</v>
      </c>
      <c r="E47" t="s">
        <v>61</v>
      </c>
      <c r="F47" t="s">
        <v>1767</v>
      </c>
      <c r="G47" t="s">
        <v>1272</v>
      </c>
      <c r="I47">
        <v>2</v>
      </c>
      <c r="J47" t="s">
        <v>63</v>
      </c>
      <c r="K47">
        <v>105</v>
      </c>
      <c r="L47" t="s">
        <v>424</v>
      </c>
      <c r="M47">
        <v>100</v>
      </c>
      <c r="P47" s="2">
        <v>45722</v>
      </c>
      <c r="R47">
        <v>1</v>
      </c>
      <c r="S47">
        <v>100</v>
      </c>
      <c r="T47" t="s">
        <v>65</v>
      </c>
      <c r="U47" t="s">
        <v>1768</v>
      </c>
      <c r="V47">
        <v>0</v>
      </c>
      <c r="W47">
        <v>50</v>
      </c>
      <c r="X47">
        <v>50</v>
      </c>
      <c r="Y47">
        <v>0</v>
      </c>
      <c r="Z47">
        <v>0</v>
      </c>
      <c r="AA47">
        <v>0</v>
      </c>
      <c r="AD47">
        <v>0</v>
      </c>
      <c r="AM47" t="s">
        <v>1769</v>
      </c>
      <c r="AN47" t="s">
        <v>1275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1770</v>
      </c>
      <c r="BA47">
        <v>0</v>
      </c>
      <c r="BC47" t="s">
        <v>1275</v>
      </c>
      <c r="BF47" t="s">
        <v>1277</v>
      </c>
    </row>
    <row r="48" spans="1:58" x14ac:dyDescent="0.35">
      <c r="A48" t="s">
        <v>1278</v>
      </c>
      <c r="B48">
        <v>10000</v>
      </c>
      <c r="C48">
        <v>20000</v>
      </c>
      <c r="D48" s="2">
        <v>45722</v>
      </c>
      <c r="E48" t="s">
        <v>61</v>
      </c>
      <c r="F48" t="s">
        <v>1279</v>
      </c>
      <c r="G48">
        <v>501222196</v>
      </c>
      <c r="I48">
        <v>2</v>
      </c>
      <c r="J48" t="s">
        <v>63</v>
      </c>
      <c r="K48">
        <v>71</v>
      </c>
      <c r="L48" t="s">
        <v>135</v>
      </c>
      <c r="M48" s="4">
        <v>2225</v>
      </c>
      <c r="P48" s="2">
        <v>45722</v>
      </c>
      <c r="R48">
        <v>1</v>
      </c>
      <c r="S48" s="4">
        <v>2225</v>
      </c>
      <c r="T48" t="s">
        <v>65</v>
      </c>
      <c r="U48" t="s">
        <v>1280</v>
      </c>
      <c r="V48">
        <v>0</v>
      </c>
      <c r="W48" s="4">
        <v>2020</v>
      </c>
      <c r="X48">
        <v>205</v>
      </c>
      <c r="Y48">
        <v>0</v>
      </c>
      <c r="Z48">
        <v>0</v>
      </c>
      <c r="AA48">
        <v>0</v>
      </c>
      <c r="AD48">
        <v>0</v>
      </c>
      <c r="AM48" t="s">
        <v>1281</v>
      </c>
      <c r="AN48" t="s">
        <v>1282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1283</v>
      </c>
      <c r="BA48">
        <v>0</v>
      </c>
      <c r="BC48" t="s">
        <v>1282</v>
      </c>
      <c r="BF48" t="s">
        <v>1284</v>
      </c>
    </row>
    <row r="49" spans="1:58" x14ac:dyDescent="0.35">
      <c r="A49" t="s">
        <v>1771</v>
      </c>
      <c r="B49">
        <v>10000</v>
      </c>
      <c r="C49">
        <v>10000</v>
      </c>
      <c r="D49" s="2">
        <v>45723</v>
      </c>
      <c r="E49" t="s">
        <v>61</v>
      </c>
      <c r="F49" t="s">
        <v>1772</v>
      </c>
      <c r="G49" t="s">
        <v>1773</v>
      </c>
      <c r="I49">
        <v>1</v>
      </c>
      <c r="J49" t="s">
        <v>63</v>
      </c>
      <c r="K49">
        <v>32</v>
      </c>
      <c r="L49" t="s">
        <v>553</v>
      </c>
      <c r="M49" s="4">
        <v>5860</v>
      </c>
      <c r="P49" s="2">
        <v>45722</v>
      </c>
      <c r="R49">
        <v>1</v>
      </c>
      <c r="S49" s="4">
        <v>5860</v>
      </c>
      <c r="T49" t="s">
        <v>65</v>
      </c>
      <c r="U49" t="s">
        <v>1774</v>
      </c>
      <c r="V49">
        <v>0</v>
      </c>
      <c r="W49" s="4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1775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1776</v>
      </c>
      <c r="BA49">
        <v>0</v>
      </c>
      <c r="BC49" t="s">
        <v>116</v>
      </c>
      <c r="BF49" t="s">
        <v>557</v>
      </c>
    </row>
    <row r="50" spans="1:58" x14ac:dyDescent="0.35">
      <c r="A50" t="s">
        <v>1777</v>
      </c>
      <c r="B50">
        <v>10000</v>
      </c>
      <c r="C50">
        <v>10000</v>
      </c>
      <c r="D50" s="2">
        <v>45723</v>
      </c>
      <c r="E50" t="s">
        <v>61</v>
      </c>
      <c r="F50" t="s">
        <v>1772</v>
      </c>
      <c r="G50" t="s">
        <v>1773</v>
      </c>
      <c r="I50">
        <v>1</v>
      </c>
      <c r="J50" t="s">
        <v>63</v>
      </c>
      <c r="K50">
        <v>32</v>
      </c>
      <c r="L50" t="s">
        <v>553</v>
      </c>
      <c r="M50" s="4">
        <v>5860</v>
      </c>
      <c r="P50" s="2">
        <v>45722</v>
      </c>
      <c r="R50">
        <v>1</v>
      </c>
      <c r="S50" s="4">
        <v>5860</v>
      </c>
      <c r="T50" t="s">
        <v>65</v>
      </c>
      <c r="U50" t="s">
        <v>1774</v>
      </c>
      <c r="V50">
        <v>0</v>
      </c>
      <c r="W50" s="4">
        <v>5360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1775</v>
      </c>
      <c r="AN50" t="s">
        <v>116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1778</v>
      </c>
      <c r="BA50">
        <v>0</v>
      </c>
      <c r="BC50" t="s">
        <v>116</v>
      </c>
      <c r="BF50" t="s">
        <v>1288</v>
      </c>
    </row>
    <row r="51" spans="1:58" x14ac:dyDescent="0.35">
      <c r="A51" t="s">
        <v>1779</v>
      </c>
      <c r="B51">
        <v>10000</v>
      </c>
      <c r="C51">
        <v>10000</v>
      </c>
      <c r="D51" s="2">
        <v>45723</v>
      </c>
      <c r="E51" t="s">
        <v>61</v>
      </c>
      <c r="F51" t="s">
        <v>1772</v>
      </c>
      <c r="G51" t="s">
        <v>1773</v>
      </c>
      <c r="I51">
        <v>1</v>
      </c>
      <c r="J51" t="s">
        <v>63</v>
      </c>
      <c r="K51">
        <v>32</v>
      </c>
      <c r="L51" t="s">
        <v>553</v>
      </c>
      <c r="M51" s="4">
        <v>5860</v>
      </c>
      <c r="P51" s="2">
        <v>45722</v>
      </c>
      <c r="R51">
        <v>1</v>
      </c>
      <c r="S51" s="4">
        <v>5860</v>
      </c>
      <c r="T51" t="s">
        <v>65</v>
      </c>
      <c r="U51" t="s">
        <v>1774</v>
      </c>
      <c r="V51">
        <v>0</v>
      </c>
      <c r="W51" s="4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1775</v>
      </c>
      <c r="AN51" t="s">
        <v>116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1780</v>
      </c>
      <c r="BA51">
        <v>0</v>
      </c>
      <c r="BC51" t="s">
        <v>116</v>
      </c>
      <c r="BF51" t="s">
        <v>1291</v>
      </c>
    </row>
    <row r="52" spans="1:58" x14ac:dyDescent="0.35">
      <c r="A52" t="s">
        <v>1292</v>
      </c>
      <c r="B52">
        <v>10000</v>
      </c>
      <c r="C52">
        <v>20000</v>
      </c>
      <c r="D52" s="2">
        <v>45723</v>
      </c>
      <c r="E52" t="s">
        <v>61</v>
      </c>
      <c r="F52" s="3">
        <v>0.47401620370370373</v>
      </c>
      <c r="G52" t="s">
        <v>1293</v>
      </c>
      <c r="I52">
        <v>2</v>
      </c>
      <c r="J52" t="s">
        <v>63</v>
      </c>
      <c r="K52">
        <v>71</v>
      </c>
      <c r="L52" t="s">
        <v>135</v>
      </c>
      <c r="M52" s="4">
        <v>16810</v>
      </c>
      <c r="P52" s="2">
        <v>45722</v>
      </c>
      <c r="R52">
        <v>1</v>
      </c>
      <c r="S52" s="4">
        <v>16810</v>
      </c>
      <c r="T52" t="s">
        <v>65</v>
      </c>
      <c r="U52" t="s">
        <v>1294</v>
      </c>
      <c r="V52">
        <v>0</v>
      </c>
      <c r="W52" s="4">
        <v>15520</v>
      </c>
      <c r="X52" s="4">
        <v>1290</v>
      </c>
      <c r="Y52">
        <v>0</v>
      </c>
      <c r="Z52">
        <v>0</v>
      </c>
      <c r="AA52">
        <v>0</v>
      </c>
      <c r="AD52">
        <v>0</v>
      </c>
      <c r="AM52" t="s">
        <v>1295</v>
      </c>
      <c r="AN52" t="s">
        <v>1282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1296</v>
      </c>
      <c r="BA52">
        <v>0</v>
      </c>
      <c r="BC52" t="s">
        <v>1282</v>
      </c>
      <c r="BF52" t="s">
        <v>1297</v>
      </c>
    </row>
    <row r="53" spans="1:58" x14ac:dyDescent="0.35">
      <c r="A53" t="s">
        <v>1298</v>
      </c>
      <c r="B53">
        <v>10000</v>
      </c>
      <c r="C53">
        <v>20000</v>
      </c>
      <c r="D53" s="2">
        <v>45722</v>
      </c>
      <c r="E53" t="s">
        <v>61</v>
      </c>
      <c r="F53" t="s">
        <v>1299</v>
      </c>
      <c r="G53" t="s">
        <v>1293</v>
      </c>
      <c r="I53">
        <v>2</v>
      </c>
      <c r="J53" t="s">
        <v>63</v>
      </c>
      <c r="K53">
        <v>71</v>
      </c>
      <c r="L53" t="s">
        <v>135</v>
      </c>
      <c r="M53" s="4">
        <v>5450</v>
      </c>
      <c r="P53" s="2">
        <v>45722</v>
      </c>
      <c r="R53">
        <v>1</v>
      </c>
      <c r="S53" s="4">
        <v>5450</v>
      </c>
      <c r="T53" t="s">
        <v>65</v>
      </c>
      <c r="U53" t="s">
        <v>1300</v>
      </c>
      <c r="V53">
        <v>0</v>
      </c>
      <c r="W53" s="4">
        <v>5180</v>
      </c>
      <c r="X53">
        <v>270</v>
      </c>
      <c r="Y53">
        <v>0</v>
      </c>
      <c r="Z53">
        <v>0</v>
      </c>
      <c r="AA53">
        <v>0</v>
      </c>
      <c r="AD53">
        <v>0</v>
      </c>
      <c r="AM53" t="s">
        <v>1301</v>
      </c>
      <c r="AN53" t="s">
        <v>1282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1302</v>
      </c>
      <c r="BA53">
        <v>0</v>
      </c>
      <c r="BC53" t="s">
        <v>1282</v>
      </c>
      <c r="BF53" t="s">
        <v>1297</v>
      </c>
    </row>
    <row r="54" spans="1:58" x14ac:dyDescent="0.35">
      <c r="A54" t="s">
        <v>1781</v>
      </c>
      <c r="B54">
        <v>10000</v>
      </c>
      <c r="C54">
        <v>10000</v>
      </c>
      <c r="D54" s="2">
        <v>45723</v>
      </c>
      <c r="E54" t="s">
        <v>61</v>
      </c>
      <c r="F54" t="s">
        <v>1699</v>
      </c>
      <c r="G54" t="s">
        <v>1387</v>
      </c>
      <c r="I54">
        <v>1</v>
      </c>
      <c r="J54" t="s">
        <v>63</v>
      </c>
      <c r="K54">
        <v>61</v>
      </c>
      <c r="L54" t="s">
        <v>216</v>
      </c>
      <c r="M54" s="4">
        <v>6500</v>
      </c>
      <c r="P54" s="2">
        <v>45722</v>
      </c>
      <c r="R54">
        <v>2</v>
      </c>
      <c r="S54" s="4">
        <v>13000</v>
      </c>
      <c r="T54" t="s">
        <v>65</v>
      </c>
      <c r="U54" t="s">
        <v>1782</v>
      </c>
      <c r="V54">
        <v>0</v>
      </c>
      <c r="W54" s="4">
        <v>6500</v>
      </c>
      <c r="X54" s="4">
        <v>6500</v>
      </c>
      <c r="Y54">
        <v>0</v>
      </c>
      <c r="Z54">
        <v>0</v>
      </c>
      <c r="AA54">
        <v>0</v>
      </c>
      <c r="AD54">
        <v>0</v>
      </c>
      <c r="AM54" t="s">
        <v>1783</v>
      </c>
      <c r="AN54" t="s">
        <v>206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1784</v>
      </c>
      <c r="BA54">
        <v>0</v>
      </c>
      <c r="BC54" t="s">
        <v>206</v>
      </c>
      <c r="BF54" t="s">
        <v>1307</v>
      </c>
    </row>
    <row r="55" spans="1:58" x14ac:dyDescent="0.35">
      <c r="A55" t="s">
        <v>1785</v>
      </c>
      <c r="B55">
        <v>10000</v>
      </c>
      <c r="C55">
        <v>10000</v>
      </c>
      <c r="D55" s="2">
        <v>45726</v>
      </c>
      <c r="E55" t="s">
        <v>61</v>
      </c>
      <c r="F55" t="s">
        <v>1786</v>
      </c>
      <c r="G55" t="s">
        <v>1787</v>
      </c>
      <c r="I55">
        <v>1</v>
      </c>
      <c r="J55" t="s">
        <v>63</v>
      </c>
      <c r="K55">
        <v>72</v>
      </c>
      <c r="L55" t="s">
        <v>163</v>
      </c>
      <c r="M55" s="4">
        <v>19000</v>
      </c>
      <c r="P55" s="2">
        <v>45722</v>
      </c>
      <c r="R55">
        <v>3</v>
      </c>
      <c r="S55" s="4">
        <v>57000</v>
      </c>
      <c r="T55" t="s">
        <v>65</v>
      </c>
      <c r="U55" t="s">
        <v>1788</v>
      </c>
      <c r="V55">
        <v>0</v>
      </c>
      <c r="W55" s="4">
        <v>50000</v>
      </c>
      <c r="X55" s="4">
        <v>7000</v>
      </c>
      <c r="Y55">
        <v>0</v>
      </c>
      <c r="Z55">
        <v>0</v>
      </c>
      <c r="AA55">
        <v>0</v>
      </c>
      <c r="AD55">
        <v>0</v>
      </c>
      <c r="AM55" t="s">
        <v>1789</v>
      </c>
      <c r="AN55" t="s">
        <v>562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1790</v>
      </c>
      <c r="BA55">
        <v>0</v>
      </c>
      <c r="BC55" t="s">
        <v>562</v>
      </c>
      <c r="BF55" t="s">
        <v>1791</v>
      </c>
    </row>
    <row r="56" spans="1:58" x14ac:dyDescent="0.35">
      <c r="A56" t="s">
        <v>1792</v>
      </c>
      <c r="B56">
        <v>10000</v>
      </c>
      <c r="C56">
        <v>30000</v>
      </c>
      <c r="D56" s="2">
        <v>45740</v>
      </c>
      <c r="E56" t="s">
        <v>61</v>
      </c>
      <c r="F56" t="s">
        <v>1793</v>
      </c>
      <c r="G56">
        <v>10567308038</v>
      </c>
      <c r="I56">
        <v>2</v>
      </c>
      <c r="J56" t="s">
        <v>63</v>
      </c>
      <c r="K56">
        <v>77</v>
      </c>
      <c r="L56" t="s">
        <v>127</v>
      </c>
      <c r="M56" s="4">
        <v>1713</v>
      </c>
      <c r="P56" s="2">
        <v>45722</v>
      </c>
      <c r="R56">
        <v>66</v>
      </c>
      <c r="S56" s="4">
        <v>113058</v>
      </c>
      <c r="T56" t="s">
        <v>65</v>
      </c>
      <c r="U56" t="s">
        <v>433</v>
      </c>
      <c r="V56">
        <v>0</v>
      </c>
      <c r="W56" s="4">
        <v>100000</v>
      </c>
      <c r="X56" s="4">
        <v>13058</v>
      </c>
      <c r="Y56">
        <v>0</v>
      </c>
      <c r="Z56">
        <v>0</v>
      </c>
      <c r="AA56">
        <v>0</v>
      </c>
      <c r="AD56">
        <v>0</v>
      </c>
      <c r="AM56" t="s">
        <v>434</v>
      </c>
      <c r="AN56" t="s">
        <v>107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1794</v>
      </c>
      <c r="BA56">
        <v>0</v>
      </c>
      <c r="BC56" t="s">
        <v>107</v>
      </c>
      <c r="BF56" t="s">
        <v>1795</v>
      </c>
    </row>
    <row r="57" spans="1:58" x14ac:dyDescent="0.35">
      <c r="A57" t="s">
        <v>1796</v>
      </c>
      <c r="B57">
        <v>10000</v>
      </c>
      <c r="C57">
        <v>20000</v>
      </c>
      <c r="D57" s="2">
        <v>45740</v>
      </c>
      <c r="E57" t="s">
        <v>61</v>
      </c>
      <c r="F57" t="s">
        <v>1797</v>
      </c>
      <c r="G57">
        <v>10639931011</v>
      </c>
      <c r="I57">
        <v>2</v>
      </c>
      <c r="J57" t="s">
        <v>63</v>
      </c>
      <c r="K57">
        <v>77</v>
      </c>
      <c r="L57" t="s">
        <v>127</v>
      </c>
      <c r="M57" s="4">
        <v>2598</v>
      </c>
      <c r="P57" s="2">
        <v>45722</v>
      </c>
      <c r="R57">
        <v>77</v>
      </c>
      <c r="S57" s="4">
        <v>200046</v>
      </c>
      <c r="T57" t="s">
        <v>65</v>
      </c>
      <c r="U57" t="s">
        <v>1798</v>
      </c>
      <c r="V57">
        <v>0</v>
      </c>
      <c r="W57" s="4">
        <v>180000</v>
      </c>
      <c r="X57" s="4">
        <v>20046</v>
      </c>
      <c r="Y57">
        <v>0</v>
      </c>
      <c r="Z57">
        <v>0</v>
      </c>
      <c r="AA57">
        <v>0</v>
      </c>
      <c r="AD57">
        <v>0</v>
      </c>
      <c r="AM57" t="s">
        <v>1799</v>
      </c>
      <c r="AN57" t="s">
        <v>107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1800</v>
      </c>
      <c r="BA57">
        <v>0</v>
      </c>
      <c r="BC57" t="s">
        <v>107</v>
      </c>
      <c r="BF57" t="s">
        <v>1801</v>
      </c>
    </row>
    <row r="58" spans="1:58" x14ac:dyDescent="0.35">
      <c r="A58" t="s">
        <v>1802</v>
      </c>
      <c r="B58">
        <v>10000</v>
      </c>
      <c r="C58">
        <v>10000</v>
      </c>
      <c r="D58" s="2">
        <v>45722</v>
      </c>
      <c r="E58" t="s">
        <v>61</v>
      </c>
      <c r="F58" t="s">
        <v>1803</v>
      </c>
      <c r="G58" t="s">
        <v>215</v>
      </c>
      <c r="I58">
        <v>1</v>
      </c>
      <c r="J58" t="s">
        <v>63</v>
      </c>
      <c r="K58">
        <v>12</v>
      </c>
      <c r="L58" t="s">
        <v>478</v>
      </c>
      <c r="M58">
        <v>500</v>
      </c>
      <c r="P58" s="2">
        <v>45722</v>
      </c>
      <c r="R58">
        <v>2</v>
      </c>
      <c r="S58" s="4">
        <v>1000</v>
      </c>
      <c r="T58" t="s">
        <v>65</v>
      </c>
      <c r="U58" t="s">
        <v>1804</v>
      </c>
      <c r="V58">
        <v>0</v>
      </c>
      <c r="W58" s="4">
        <v>1000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1805</v>
      </c>
      <c r="AN58" t="s">
        <v>206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1806</v>
      </c>
      <c r="BA58">
        <v>0</v>
      </c>
      <c r="BC58" t="s">
        <v>206</v>
      </c>
      <c r="BF58" t="s">
        <v>1391</v>
      </c>
    </row>
    <row r="59" spans="1:58" x14ac:dyDescent="0.35">
      <c r="A59" t="s">
        <v>1807</v>
      </c>
      <c r="B59">
        <v>10000</v>
      </c>
      <c r="C59">
        <v>10000</v>
      </c>
      <c r="D59" s="2">
        <v>45722</v>
      </c>
      <c r="E59" t="s">
        <v>61</v>
      </c>
      <c r="F59" t="s">
        <v>1803</v>
      </c>
      <c r="G59" t="s">
        <v>1808</v>
      </c>
      <c r="I59">
        <v>1</v>
      </c>
      <c r="J59" t="s">
        <v>63</v>
      </c>
      <c r="K59">
        <v>12</v>
      </c>
      <c r="L59" t="s">
        <v>478</v>
      </c>
      <c r="M59" s="4">
        <v>3000</v>
      </c>
      <c r="P59" s="2">
        <v>45722</v>
      </c>
      <c r="R59">
        <v>1</v>
      </c>
      <c r="S59" s="4">
        <v>3000</v>
      </c>
      <c r="T59" t="s">
        <v>65</v>
      </c>
      <c r="U59" t="s">
        <v>1809</v>
      </c>
      <c r="V59">
        <v>0</v>
      </c>
      <c r="W59" s="4">
        <v>3000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1810</v>
      </c>
      <c r="AN59" t="s">
        <v>206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1811</v>
      </c>
      <c r="BA59">
        <v>0</v>
      </c>
      <c r="BC59" t="s">
        <v>206</v>
      </c>
      <c r="BF59" t="s">
        <v>1812</v>
      </c>
    </row>
    <row r="60" spans="1:58" x14ac:dyDescent="0.35">
      <c r="A60" t="s">
        <v>1813</v>
      </c>
      <c r="B60">
        <v>10000</v>
      </c>
      <c r="C60">
        <v>10000</v>
      </c>
      <c r="D60" s="2">
        <v>45726</v>
      </c>
      <c r="E60" t="s">
        <v>61</v>
      </c>
      <c r="F60" t="s">
        <v>1814</v>
      </c>
      <c r="G60" t="s">
        <v>1815</v>
      </c>
      <c r="I60">
        <v>1</v>
      </c>
      <c r="J60" t="s">
        <v>63</v>
      </c>
      <c r="K60">
        <v>46</v>
      </c>
      <c r="L60" t="s">
        <v>113</v>
      </c>
      <c r="M60" s="4">
        <v>11667</v>
      </c>
      <c r="P60" s="2">
        <v>45722</v>
      </c>
      <c r="R60">
        <v>6</v>
      </c>
      <c r="S60" s="4">
        <v>70002</v>
      </c>
      <c r="T60" t="s">
        <v>65</v>
      </c>
      <c r="U60" t="s">
        <v>1816</v>
      </c>
      <c r="V60">
        <v>0</v>
      </c>
      <c r="W60" s="4">
        <v>60000</v>
      </c>
      <c r="X60" s="4">
        <v>10002</v>
      </c>
      <c r="Y60">
        <v>0</v>
      </c>
      <c r="Z60">
        <v>0</v>
      </c>
      <c r="AA60">
        <v>0</v>
      </c>
      <c r="AD60">
        <v>0</v>
      </c>
      <c r="AM60" t="s">
        <v>1817</v>
      </c>
      <c r="AN60" t="s">
        <v>206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1818</v>
      </c>
      <c r="BA60">
        <v>0</v>
      </c>
      <c r="BC60" t="s">
        <v>206</v>
      </c>
      <c r="BF60" t="s">
        <v>1819</v>
      </c>
    </row>
    <row r="61" spans="1:58" x14ac:dyDescent="0.35">
      <c r="A61" t="s">
        <v>1820</v>
      </c>
      <c r="B61">
        <v>10000</v>
      </c>
      <c r="C61">
        <v>10000</v>
      </c>
      <c r="D61" s="2">
        <v>45726</v>
      </c>
      <c r="E61" t="s">
        <v>61</v>
      </c>
      <c r="F61" t="s">
        <v>1821</v>
      </c>
      <c r="G61" t="s">
        <v>1822</v>
      </c>
      <c r="I61">
        <v>1</v>
      </c>
      <c r="J61" t="s">
        <v>63</v>
      </c>
      <c r="K61">
        <v>72</v>
      </c>
      <c r="L61" t="s">
        <v>163</v>
      </c>
      <c r="M61" s="4">
        <v>2000</v>
      </c>
      <c r="P61" s="2">
        <v>45722</v>
      </c>
      <c r="R61">
        <v>4</v>
      </c>
      <c r="S61" s="4">
        <v>8000</v>
      </c>
      <c r="T61" t="s">
        <v>65</v>
      </c>
      <c r="U61" t="s">
        <v>1823</v>
      </c>
      <c r="V61">
        <v>0</v>
      </c>
      <c r="W61" s="4">
        <v>5000</v>
      </c>
      <c r="X61" s="4">
        <v>3000</v>
      </c>
      <c r="Y61">
        <v>0</v>
      </c>
      <c r="Z61">
        <v>0</v>
      </c>
      <c r="AA61">
        <v>0</v>
      </c>
      <c r="AD61">
        <v>0</v>
      </c>
      <c r="AM61" t="s">
        <v>1824</v>
      </c>
      <c r="AN61" t="s">
        <v>449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1825</v>
      </c>
      <c r="BA61">
        <v>0</v>
      </c>
      <c r="BC61" t="s">
        <v>449</v>
      </c>
      <c r="BF61" t="s">
        <v>584</v>
      </c>
    </row>
    <row r="62" spans="1:58" x14ac:dyDescent="0.35">
      <c r="A62" t="s">
        <v>1826</v>
      </c>
      <c r="B62">
        <v>10000</v>
      </c>
      <c r="C62">
        <v>10000</v>
      </c>
      <c r="D62" s="2">
        <v>45722</v>
      </c>
      <c r="E62" t="s">
        <v>61</v>
      </c>
      <c r="F62" t="s">
        <v>1827</v>
      </c>
      <c r="G62" t="s">
        <v>1404</v>
      </c>
      <c r="I62">
        <v>1</v>
      </c>
      <c r="J62" t="s">
        <v>63</v>
      </c>
      <c r="K62">
        <v>94</v>
      </c>
      <c r="L62" t="s">
        <v>181</v>
      </c>
      <c r="M62" s="4">
        <v>4000</v>
      </c>
      <c r="P62" s="2">
        <v>45722</v>
      </c>
      <c r="R62">
        <v>6</v>
      </c>
      <c r="S62" s="4">
        <v>24000</v>
      </c>
      <c r="T62" t="s">
        <v>65</v>
      </c>
      <c r="U62" t="s">
        <v>1405</v>
      </c>
      <c r="V62">
        <v>0</v>
      </c>
      <c r="W62" s="4">
        <v>24000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1406</v>
      </c>
      <c r="AN62" t="s">
        <v>364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1828</v>
      </c>
      <c r="BA62">
        <v>0</v>
      </c>
      <c r="BC62" t="s">
        <v>364</v>
      </c>
      <c r="BF62" t="s">
        <v>1829</v>
      </c>
    </row>
    <row r="63" spans="1:58" x14ac:dyDescent="0.35">
      <c r="A63" t="s">
        <v>1830</v>
      </c>
      <c r="B63">
        <v>10000</v>
      </c>
      <c r="C63">
        <v>10000</v>
      </c>
      <c r="D63" s="2">
        <v>45722</v>
      </c>
      <c r="E63" t="s">
        <v>61</v>
      </c>
      <c r="F63" t="s">
        <v>1575</v>
      </c>
      <c r="G63" t="s">
        <v>1576</v>
      </c>
      <c r="I63">
        <v>1</v>
      </c>
      <c r="J63" t="s">
        <v>63</v>
      </c>
      <c r="K63">
        <v>82</v>
      </c>
      <c r="L63" t="s">
        <v>341</v>
      </c>
      <c r="M63" s="4">
        <v>3334</v>
      </c>
      <c r="P63" s="2">
        <v>45722</v>
      </c>
      <c r="R63">
        <v>6</v>
      </c>
      <c r="S63" s="4">
        <v>20004</v>
      </c>
      <c r="T63" t="s">
        <v>65</v>
      </c>
      <c r="U63" t="s">
        <v>1578</v>
      </c>
      <c r="V63">
        <v>0</v>
      </c>
      <c r="W63" s="4">
        <v>20000</v>
      </c>
      <c r="X63">
        <v>4</v>
      </c>
      <c r="Y63">
        <v>0</v>
      </c>
      <c r="Z63">
        <v>0</v>
      </c>
      <c r="AA63">
        <v>0</v>
      </c>
      <c r="AD63">
        <v>0</v>
      </c>
      <c r="AM63" t="s">
        <v>1579</v>
      </c>
      <c r="AN63" t="s">
        <v>829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1831</v>
      </c>
      <c r="BA63">
        <v>0</v>
      </c>
      <c r="BC63" t="s">
        <v>829</v>
      </c>
      <c r="BF63" t="s">
        <v>1832</v>
      </c>
    </row>
    <row r="64" spans="1:58" x14ac:dyDescent="0.35">
      <c r="A64" t="s">
        <v>1833</v>
      </c>
      <c r="B64">
        <v>10000</v>
      </c>
      <c r="C64">
        <v>10000</v>
      </c>
      <c r="D64" s="2">
        <v>45722</v>
      </c>
      <c r="E64" t="s">
        <v>61</v>
      </c>
      <c r="F64" t="s">
        <v>1575</v>
      </c>
      <c r="G64" t="s">
        <v>1576</v>
      </c>
      <c r="I64">
        <v>1</v>
      </c>
      <c r="J64" t="s">
        <v>63</v>
      </c>
      <c r="K64">
        <v>82</v>
      </c>
      <c r="L64" t="s">
        <v>341</v>
      </c>
      <c r="M64" s="4">
        <v>5000</v>
      </c>
      <c r="P64" s="2">
        <v>45722</v>
      </c>
      <c r="R64">
        <v>6</v>
      </c>
      <c r="S64" s="4">
        <v>30000</v>
      </c>
      <c r="T64" t="s">
        <v>65</v>
      </c>
      <c r="U64" t="s">
        <v>1578</v>
      </c>
      <c r="V64">
        <v>0</v>
      </c>
      <c r="W64" s="4">
        <v>30000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1579</v>
      </c>
      <c r="AN64" t="s">
        <v>829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1834</v>
      </c>
      <c r="BA64">
        <v>0</v>
      </c>
      <c r="BC64" t="s">
        <v>829</v>
      </c>
      <c r="BF64" t="s">
        <v>1835</v>
      </c>
    </row>
    <row r="65" spans="1:58" x14ac:dyDescent="0.35">
      <c r="A65" t="s">
        <v>1836</v>
      </c>
      <c r="B65">
        <v>10000</v>
      </c>
      <c r="C65">
        <v>10000</v>
      </c>
      <c r="D65" s="2">
        <v>45722</v>
      </c>
      <c r="E65" t="s">
        <v>61</v>
      </c>
      <c r="F65" t="s">
        <v>1575</v>
      </c>
      <c r="G65" t="s">
        <v>1576</v>
      </c>
      <c r="I65">
        <v>1</v>
      </c>
      <c r="J65" t="s">
        <v>63</v>
      </c>
      <c r="K65">
        <v>82</v>
      </c>
      <c r="L65" t="s">
        <v>341</v>
      </c>
      <c r="M65" s="4">
        <v>5000</v>
      </c>
      <c r="P65" s="2">
        <v>45722</v>
      </c>
      <c r="R65">
        <v>6</v>
      </c>
      <c r="S65" s="4">
        <v>30000</v>
      </c>
      <c r="T65" t="s">
        <v>65</v>
      </c>
      <c r="U65" t="s">
        <v>1578</v>
      </c>
      <c r="V65">
        <v>0</v>
      </c>
      <c r="W65" s="4">
        <v>30000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1579</v>
      </c>
      <c r="AN65" t="s">
        <v>829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1837</v>
      </c>
      <c r="BA65">
        <v>0</v>
      </c>
      <c r="BC65" t="s">
        <v>829</v>
      </c>
      <c r="BF65" t="s">
        <v>1838</v>
      </c>
    </row>
    <row r="66" spans="1:58" x14ac:dyDescent="0.35">
      <c r="A66" t="s">
        <v>1413</v>
      </c>
      <c r="B66">
        <v>10000</v>
      </c>
      <c r="C66">
        <v>40000</v>
      </c>
      <c r="D66" s="2">
        <v>45728</v>
      </c>
      <c r="E66" t="s">
        <v>61</v>
      </c>
      <c r="F66" s="3">
        <v>0.47562500000000002</v>
      </c>
      <c r="G66" t="s">
        <v>1414</v>
      </c>
      <c r="I66">
        <v>3</v>
      </c>
      <c r="J66" t="s">
        <v>63</v>
      </c>
      <c r="K66">
        <v>112</v>
      </c>
      <c r="L66" t="s">
        <v>533</v>
      </c>
      <c r="M66" s="4">
        <v>65715</v>
      </c>
      <c r="P66" s="2">
        <v>45722</v>
      </c>
      <c r="R66">
        <v>112</v>
      </c>
      <c r="S66" s="4">
        <v>7360080</v>
      </c>
      <c r="T66" t="s">
        <v>65</v>
      </c>
      <c r="U66" t="s">
        <v>1415</v>
      </c>
      <c r="V66">
        <v>0</v>
      </c>
      <c r="W66" s="4">
        <v>7140000</v>
      </c>
      <c r="X66" s="4">
        <v>220080</v>
      </c>
      <c r="Y66">
        <v>0</v>
      </c>
      <c r="Z66">
        <v>0</v>
      </c>
      <c r="AA66">
        <v>0</v>
      </c>
      <c r="AD66">
        <v>0</v>
      </c>
      <c r="AM66" t="s">
        <v>1416</v>
      </c>
      <c r="AN66" t="s">
        <v>481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1417</v>
      </c>
      <c r="BA66">
        <v>0</v>
      </c>
      <c r="BC66" t="s">
        <v>481</v>
      </c>
      <c r="BF66" t="s">
        <v>1418</v>
      </c>
    </row>
    <row r="67" spans="1:58" x14ac:dyDescent="0.35">
      <c r="A67" t="s">
        <v>1839</v>
      </c>
      <c r="B67">
        <v>10000</v>
      </c>
      <c r="C67">
        <v>10000</v>
      </c>
      <c r="D67" s="2">
        <v>45728</v>
      </c>
      <c r="E67" t="s">
        <v>61</v>
      </c>
      <c r="F67" s="3">
        <v>0.46938657407407408</v>
      </c>
      <c r="G67" t="s">
        <v>1840</v>
      </c>
      <c r="I67">
        <v>1</v>
      </c>
      <c r="J67" t="s">
        <v>63</v>
      </c>
      <c r="K67">
        <v>93</v>
      </c>
      <c r="L67" t="s">
        <v>573</v>
      </c>
      <c r="M67">
        <v>250</v>
      </c>
      <c r="P67" s="2">
        <v>45722</v>
      </c>
      <c r="R67">
        <v>3</v>
      </c>
      <c r="S67">
        <v>750</v>
      </c>
      <c r="T67" t="s">
        <v>65</v>
      </c>
      <c r="U67">
        <v>10104870001</v>
      </c>
      <c r="V67">
        <v>0</v>
      </c>
      <c r="W67">
        <v>500</v>
      </c>
      <c r="X67">
        <v>250</v>
      </c>
      <c r="Y67">
        <v>0</v>
      </c>
      <c r="Z67">
        <v>0</v>
      </c>
      <c r="AA67">
        <v>0</v>
      </c>
      <c r="AD67">
        <v>0</v>
      </c>
      <c r="AM67">
        <v>1010487</v>
      </c>
      <c r="AN67" t="s">
        <v>1841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1842</v>
      </c>
      <c r="BA67">
        <v>0</v>
      </c>
      <c r="BC67" t="s">
        <v>1841</v>
      </c>
      <c r="BF67" t="s">
        <v>1843</v>
      </c>
    </row>
    <row r="68" spans="1:58" x14ac:dyDescent="0.35">
      <c r="A68" t="s">
        <v>1444</v>
      </c>
      <c r="B68">
        <v>10000</v>
      </c>
      <c r="C68">
        <v>20000</v>
      </c>
      <c r="D68" s="2">
        <v>45740</v>
      </c>
      <c r="E68" t="s">
        <v>61</v>
      </c>
      <c r="F68" t="s">
        <v>1445</v>
      </c>
      <c r="G68">
        <v>10620258034</v>
      </c>
      <c r="I68">
        <v>2</v>
      </c>
      <c r="J68" t="s">
        <v>63</v>
      </c>
      <c r="K68">
        <v>77</v>
      </c>
      <c r="L68" t="s">
        <v>127</v>
      </c>
      <c r="M68">
        <v>858</v>
      </c>
      <c r="P68" s="2">
        <v>45722</v>
      </c>
      <c r="R68">
        <v>77</v>
      </c>
      <c r="S68" s="4">
        <v>66066</v>
      </c>
      <c r="T68" t="s">
        <v>65</v>
      </c>
      <c r="U68" t="s">
        <v>1446</v>
      </c>
      <c r="V68">
        <v>0</v>
      </c>
      <c r="W68" s="4">
        <v>50000</v>
      </c>
      <c r="X68" s="4">
        <v>16066</v>
      </c>
      <c r="Y68">
        <v>0</v>
      </c>
      <c r="Z68">
        <v>0</v>
      </c>
      <c r="AA68">
        <v>0</v>
      </c>
      <c r="AD68">
        <v>0</v>
      </c>
      <c r="AM68" t="s">
        <v>1447</v>
      </c>
      <c r="AN68" t="s">
        <v>107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1448</v>
      </c>
      <c r="BA68">
        <v>0</v>
      </c>
      <c r="BC68" t="s">
        <v>107</v>
      </c>
      <c r="BF68" t="s">
        <v>1449</v>
      </c>
    </row>
    <row r="69" spans="1:58" x14ac:dyDescent="0.35">
      <c r="A69" t="s">
        <v>1450</v>
      </c>
      <c r="B69">
        <v>10000</v>
      </c>
      <c r="C69">
        <v>30000</v>
      </c>
      <c r="D69" s="2">
        <v>45740</v>
      </c>
      <c r="E69" t="s">
        <v>61</v>
      </c>
      <c r="F69" t="s">
        <v>1451</v>
      </c>
      <c r="G69">
        <v>10639931051</v>
      </c>
      <c r="I69">
        <v>2</v>
      </c>
      <c r="J69" t="s">
        <v>63</v>
      </c>
      <c r="K69">
        <v>77</v>
      </c>
      <c r="L69" t="s">
        <v>127</v>
      </c>
      <c r="M69" s="4">
        <v>2182</v>
      </c>
      <c r="P69" s="2">
        <v>45722</v>
      </c>
      <c r="R69">
        <v>77</v>
      </c>
      <c r="S69" s="4">
        <v>168014</v>
      </c>
      <c r="T69" t="s">
        <v>65</v>
      </c>
      <c r="U69" t="s">
        <v>1452</v>
      </c>
      <c r="V69">
        <v>0</v>
      </c>
      <c r="W69" s="4">
        <v>150000</v>
      </c>
      <c r="X69" s="4">
        <v>18014</v>
      </c>
      <c r="Y69">
        <v>0</v>
      </c>
      <c r="Z69">
        <v>0</v>
      </c>
      <c r="AA69">
        <v>0</v>
      </c>
      <c r="AD69">
        <v>0</v>
      </c>
      <c r="AM69" t="s">
        <v>1453</v>
      </c>
      <c r="AN69" t="s">
        <v>107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1454</v>
      </c>
      <c r="BA69">
        <v>0</v>
      </c>
      <c r="BC69" t="s">
        <v>107</v>
      </c>
      <c r="BF69" t="s">
        <v>1449</v>
      </c>
    </row>
    <row r="70" spans="1:58" x14ac:dyDescent="0.35">
      <c r="A70" t="s">
        <v>1844</v>
      </c>
      <c r="B70">
        <v>10000</v>
      </c>
      <c r="C70">
        <v>10000</v>
      </c>
      <c r="D70" s="2">
        <v>45726</v>
      </c>
      <c r="E70" t="s">
        <v>61</v>
      </c>
      <c r="F70" s="3">
        <v>0.47454861111111113</v>
      </c>
      <c r="G70" t="s">
        <v>1845</v>
      </c>
      <c r="I70">
        <v>1</v>
      </c>
      <c r="J70" t="s">
        <v>63</v>
      </c>
      <c r="K70">
        <v>88</v>
      </c>
      <c r="L70" t="s">
        <v>630</v>
      </c>
      <c r="M70" s="4">
        <v>1300</v>
      </c>
      <c r="P70" s="2">
        <v>45722</v>
      </c>
      <c r="R70">
        <v>1</v>
      </c>
      <c r="S70" s="4">
        <v>1300</v>
      </c>
      <c r="T70" t="s">
        <v>65</v>
      </c>
      <c r="U70" t="s">
        <v>1846</v>
      </c>
      <c r="V70">
        <v>0</v>
      </c>
      <c r="W70" s="4">
        <v>1000</v>
      </c>
      <c r="X70">
        <v>300</v>
      </c>
      <c r="Y70">
        <v>0</v>
      </c>
      <c r="Z70">
        <v>0</v>
      </c>
      <c r="AA70">
        <v>0</v>
      </c>
      <c r="AD70">
        <v>0</v>
      </c>
      <c r="AM70" t="s">
        <v>1847</v>
      </c>
      <c r="AN70" t="s">
        <v>1848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1849</v>
      </c>
      <c r="BA70">
        <v>0</v>
      </c>
      <c r="BC70" t="s">
        <v>1848</v>
      </c>
      <c r="BF70" t="s">
        <v>1850</v>
      </c>
    </row>
    <row r="71" spans="1:58" x14ac:dyDescent="0.35">
      <c r="A71" t="s">
        <v>1844</v>
      </c>
      <c r="B71">
        <v>10000</v>
      </c>
      <c r="C71">
        <v>20000</v>
      </c>
      <c r="D71" s="2">
        <v>45726</v>
      </c>
      <c r="E71" t="s">
        <v>61</v>
      </c>
      <c r="F71" s="3">
        <v>0.47454861111111113</v>
      </c>
      <c r="G71" t="s">
        <v>1845</v>
      </c>
      <c r="I71">
        <v>2</v>
      </c>
      <c r="J71" t="s">
        <v>63</v>
      </c>
      <c r="K71">
        <v>92</v>
      </c>
      <c r="L71" t="s">
        <v>424</v>
      </c>
      <c r="M71" s="4">
        <v>1200</v>
      </c>
      <c r="P71" s="2">
        <v>45722</v>
      </c>
      <c r="R71">
        <v>1</v>
      </c>
      <c r="S71" s="4">
        <v>1200</v>
      </c>
      <c r="T71" t="s">
        <v>65</v>
      </c>
      <c r="U71" t="s">
        <v>1846</v>
      </c>
      <c r="V71">
        <v>0</v>
      </c>
      <c r="W71" s="4">
        <v>1000</v>
      </c>
      <c r="X71">
        <v>200</v>
      </c>
      <c r="Y71">
        <v>0</v>
      </c>
      <c r="Z71">
        <v>0</v>
      </c>
      <c r="AA71">
        <v>0</v>
      </c>
      <c r="AD71">
        <v>0</v>
      </c>
      <c r="AM71" t="s">
        <v>1847</v>
      </c>
      <c r="AN71" t="s">
        <v>1848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1849</v>
      </c>
      <c r="BA71">
        <v>0</v>
      </c>
      <c r="BC71" t="s">
        <v>1848</v>
      </c>
      <c r="BF71" t="s">
        <v>1850</v>
      </c>
    </row>
    <row r="72" spans="1:58" x14ac:dyDescent="0.35">
      <c r="A72" t="s">
        <v>664</v>
      </c>
      <c r="B72">
        <v>10000</v>
      </c>
      <c r="C72">
        <v>20000</v>
      </c>
      <c r="D72" s="2">
        <v>45734</v>
      </c>
      <c r="E72" t="s">
        <v>61</v>
      </c>
      <c r="F72" t="s">
        <v>665</v>
      </c>
      <c r="G72">
        <v>10639931060</v>
      </c>
      <c r="I72">
        <v>2</v>
      </c>
      <c r="J72" t="s">
        <v>63</v>
      </c>
      <c r="K72">
        <v>77</v>
      </c>
      <c r="L72" t="s">
        <v>127</v>
      </c>
      <c r="M72">
        <v>390</v>
      </c>
      <c r="P72" s="2">
        <v>45722</v>
      </c>
      <c r="R72">
        <v>77</v>
      </c>
      <c r="S72" s="4">
        <v>30030</v>
      </c>
      <c r="T72" t="s">
        <v>65</v>
      </c>
      <c r="U72" t="s">
        <v>666</v>
      </c>
      <c r="V72">
        <v>0</v>
      </c>
      <c r="W72" s="4">
        <v>20000</v>
      </c>
      <c r="X72" s="4">
        <v>10030</v>
      </c>
      <c r="Y72">
        <v>0</v>
      </c>
      <c r="Z72">
        <v>0</v>
      </c>
      <c r="AA72">
        <v>0</v>
      </c>
      <c r="AD72">
        <v>0</v>
      </c>
      <c r="AM72" t="s">
        <v>667</v>
      </c>
      <c r="AN72" t="s">
        <v>107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668</v>
      </c>
      <c r="BA72">
        <v>0</v>
      </c>
      <c r="BC72" t="s">
        <v>107</v>
      </c>
      <c r="BF72" t="s">
        <v>669</v>
      </c>
    </row>
    <row r="73" spans="1:58" x14ac:dyDescent="0.35">
      <c r="A73" t="s">
        <v>670</v>
      </c>
      <c r="B73">
        <v>10000</v>
      </c>
      <c r="C73">
        <v>20000</v>
      </c>
      <c r="D73" s="2">
        <v>45729</v>
      </c>
      <c r="E73" t="s">
        <v>61</v>
      </c>
      <c r="F73" t="s">
        <v>671</v>
      </c>
      <c r="G73">
        <v>10639931060</v>
      </c>
      <c r="I73">
        <v>2</v>
      </c>
      <c r="J73" t="s">
        <v>63</v>
      </c>
      <c r="K73">
        <v>77</v>
      </c>
      <c r="L73" t="s">
        <v>127</v>
      </c>
      <c r="M73">
        <v>949</v>
      </c>
      <c r="P73" s="2">
        <v>45722</v>
      </c>
      <c r="R73">
        <v>77</v>
      </c>
      <c r="S73" s="4">
        <v>73073</v>
      </c>
      <c r="T73" t="s">
        <v>65</v>
      </c>
      <c r="U73" t="s">
        <v>672</v>
      </c>
      <c r="V73">
        <v>0</v>
      </c>
      <c r="W73" s="4">
        <v>50000</v>
      </c>
      <c r="X73" s="4">
        <v>23073</v>
      </c>
      <c r="Y73">
        <v>0</v>
      </c>
      <c r="Z73">
        <v>0</v>
      </c>
      <c r="AA73">
        <v>0</v>
      </c>
      <c r="AD73">
        <v>0</v>
      </c>
      <c r="AM73" t="s">
        <v>673</v>
      </c>
      <c r="AN73" t="s">
        <v>107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674</v>
      </c>
      <c r="BA73">
        <v>0</v>
      </c>
      <c r="BC73" t="s">
        <v>107</v>
      </c>
      <c r="BF73" t="s">
        <v>675</v>
      </c>
    </row>
    <row r="74" spans="1:58" x14ac:dyDescent="0.35">
      <c r="A74" t="s">
        <v>676</v>
      </c>
      <c r="B74">
        <v>10000</v>
      </c>
      <c r="C74">
        <v>20000</v>
      </c>
      <c r="D74" s="2">
        <v>45729</v>
      </c>
      <c r="E74" t="s">
        <v>61</v>
      </c>
      <c r="F74" t="s">
        <v>677</v>
      </c>
      <c r="G74">
        <v>10639931060</v>
      </c>
      <c r="I74">
        <v>2</v>
      </c>
      <c r="J74" t="s">
        <v>63</v>
      </c>
      <c r="K74">
        <v>77</v>
      </c>
      <c r="L74" t="s">
        <v>127</v>
      </c>
      <c r="M74">
        <v>425</v>
      </c>
      <c r="P74" s="2">
        <v>45722</v>
      </c>
      <c r="R74">
        <v>66</v>
      </c>
      <c r="S74" s="4">
        <v>28050</v>
      </c>
      <c r="T74" t="s">
        <v>65</v>
      </c>
      <c r="U74" t="s">
        <v>678</v>
      </c>
      <c r="V74">
        <v>0</v>
      </c>
      <c r="W74" s="4">
        <v>20000</v>
      </c>
      <c r="X74" s="4">
        <v>8050</v>
      </c>
      <c r="Y74">
        <v>0</v>
      </c>
      <c r="Z74">
        <v>0</v>
      </c>
      <c r="AA74">
        <v>0</v>
      </c>
      <c r="AD74">
        <v>0</v>
      </c>
      <c r="AM74" t="s">
        <v>679</v>
      </c>
      <c r="AN74" t="s">
        <v>107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680</v>
      </c>
      <c r="BA74">
        <v>0</v>
      </c>
      <c r="BC74" t="s">
        <v>107</v>
      </c>
      <c r="BF74" t="s">
        <v>681</v>
      </c>
    </row>
    <row r="75" spans="1:58" x14ac:dyDescent="0.35">
      <c r="A75" t="s">
        <v>682</v>
      </c>
      <c r="B75">
        <v>10000</v>
      </c>
      <c r="C75">
        <v>20000</v>
      </c>
      <c r="D75" s="2">
        <v>45729</v>
      </c>
      <c r="E75" t="s">
        <v>61</v>
      </c>
      <c r="F75" t="s">
        <v>683</v>
      </c>
      <c r="G75">
        <v>10639931060</v>
      </c>
      <c r="I75">
        <v>2</v>
      </c>
      <c r="J75" t="s">
        <v>63</v>
      </c>
      <c r="K75">
        <v>77</v>
      </c>
      <c r="L75" t="s">
        <v>127</v>
      </c>
      <c r="M75">
        <v>390</v>
      </c>
      <c r="P75" s="2">
        <v>45722</v>
      </c>
      <c r="R75">
        <v>77</v>
      </c>
      <c r="S75" s="4">
        <v>30030</v>
      </c>
      <c r="T75" t="s">
        <v>65</v>
      </c>
      <c r="U75" t="s">
        <v>684</v>
      </c>
      <c r="V75">
        <v>0</v>
      </c>
      <c r="W75" s="4">
        <v>20000</v>
      </c>
      <c r="X75" s="4">
        <v>10030</v>
      </c>
      <c r="Y75">
        <v>0</v>
      </c>
      <c r="Z75">
        <v>0</v>
      </c>
      <c r="AA75">
        <v>0</v>
      </c>
      <c r="AD75">
        <v>0</v>
      </c>
      <c r="AM75" t="s">
        <v>685</v>
      </c>
      <c r="AN75" t="s">
        <v>107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686</v>
      </c>
      <c r="BA75">
        <v>0</v>
      </c>
      <c r="BC75" t="s">
        <v>107</v>
      </c>
      <c r="BF75" t="s">
        <v>687</v>
      </c>
    </row>
    <row r="76" spans="1:58" x14ac:dyDescent="0.35">
      <c r="A76" t="s">
        <v>688</v>
      </c>
      <c r="B76">
        <v>10000</v>
      </c>
      <c r="C76">
        <v>20000</v>
      </c>
      <c r="D76" s="2">
        <v>45729</v>
      </c>
      <c r="E76" t="s">
        <v>61</v>
      </c>
      <c r="F76" t="s">
        <v>689</v>
      </c>
      <c r="G76">
        <v>10639931060</v>
      </c>
      <c r="I76">
        <v>2</v>
      </c>
      <c r="J76" t="s">
        <v>63</v>
      </c>
      <c r="K76">
        <v>77</v>
      </c>
      <c r="L76" t="s">
        <v>127</v>
      </c>
      <c r="M76">
        <v>390</v>
      </c>
      <c r="P76" s="2">
        <v>45722</v>
      </c>
      <c r="R76">
        <v>77</v>
      </c>
      <c r="S76" s="4">
        <v>30030</v>
      </c>
      <c r="T76" t="s">
        <v>65</v>
      </c>
      <c r="U76" t="s">
        <v>690</v>
      </c>
      <c r="V76">
        <v>0</v>
      </c>
      <c r="W76" s="4">
        <v>20000</v>
      </c>
      <c r="X76" s="4">
        <v>10030</v>
      </c>
      <c r="Y76">
        <v>0</v>
      </c>
      <c r="Z76">
        <v>0</v>
      </c>
      <c r="AA76">
        <v>0</v>
      </c>
      <c r="AD76">
        <v>0</v>
      </c>
      <c r="AM76" t="s">
        <v>691</v>
      </c>
      <c r="AN76" t="s">
        <v>107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692</v>
      </c>
      <c r="BA76">
        <v>0</v>
      </c>
      <c r="BC76" t="s">
        <v>107</v>
      </c>
      <c r="BF76" t="s">
        <v>693</v>
      </c>
    </row>
    <row r="77" spans="1:58" x14ac:dyDescent="0.35">
      <c r="A77" t="s">
        <v>1478</v>
      </c>
      <c r="B77">
        <v>10000</v>
      </c>
      <c r="C77">
        <v>20000</v>
      </c>
      <c r="D77" s="2">
        <v>45723</v>
      </c>
      <c r="E77" t="s">
        <v>61</v>
      </c>
      <c r="F77" t="s">
        <v>1479</v>
      </c>
      <c r="G77" t="s">
        <v>1480</v>
      </c>
      <c r="I77">
        <v>2</v>
      </c>
      <c r="J77" t="s">
        <v>63</v>
      </c>
      <c r="K77">
        <v>100</v>
      </c>
      <c r="L77" t="s">
        <v>424</v>
      </c>
      <c r="M77">
        <v>300</v>
      </c>
      <c r="P77" s="2">
        <v>45722</v>
      </c>
      <c r="R77">
        <v>1</v>
      </c>
      <c r="S77">
        <v>300</v>
      </c>
      <c r="T77" t="s">
        <v>65</v>
      </c>
      <c r="U77">
        <v>190067140001</v>
      </c>
      <c r="V77">
        <v>0</v>
      </c>
      <c r="W77">
        <v>300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19006714</v>
      </c>
      <c r="AN77" t="s">
        <v>487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1481</v>
      </c>
      <c r="BA77">
        <v>0</v>
      </c>
      <c r="BC77" t="s">
        <v>487</v>
      </c>
      <c r="BF77" t="s">
        <v>1482</v>
      </c>
    </row>
    <row r="78" spans="1:58" x14ac:dyDescent="0.35">
      <c r="A78" t="s">
        <v>1851</v>
      </c>
      <c r="B78">
        <v>10000</v>
      </c>
      <c r="C78">
        <v>10000</v>
      </c>
      <c r="D78" s="2">
        <v>45722</v>
      </c>
      <c r="E78" t="s">
        <v>61</v>
      </c>
      <c r="F78" t="s">
        <v>1803</v>
      </c>
      <c r="G78" t="s">
        <v>1852</v>
      </c>
      <c r="I78">
        <v>1</v>
      </c>
      <c r="J78" t="s">
        <v>63</v>
      </c>
      <c r="K78">
        <v>86</v>
      </c>
      <c r="L78" t="s">
        <v>64</v>
      </c>
      <c r="M78" s="4">
        <v>27500</v>
      </c>
      <c r="P78" s="2">
        <v>45722</v>
      </c>
      <c r="R78">
        <v>2</v>
      </c>
      <c r="S78" s="4">
        <v>55000</v>
      </c>
      <c r="T78" t="s">
        <v>65</v>
      </c>
      <c r="U78" t="s">
        <v>1853</v>
      </c>
      <c r="V78">
        <v>0</v>
      </c>
      <c r="W78" s="4">
        <v>55000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1854</v>
      </c>
      <c r="AN78" t="s">
        <v>1855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1856</v>
      </c>
      <c r="BA78">
        <v>0</v>
      </c>
      <c r="BC78" t="s">
        <v>1855</v>
      </c>
      <c r="BF78" t="s">
        <v>1857</v>
      </c>
    </row>
    <row r="79" spans="1:58" x14ac:dyDescent="0.35">
      <c r="A79" t="s">
        <v>1858</v>
      </c>
      <c r="B79">
        <v>10000</v>
      </c>
      <c r="C79">
        <v>10000</v>
      </c>
      <c r="D79" s="2">
        <v>45722</v>
      </c>
      <c r="E79" t="s">
        <v>61</v>
      </c>
      <c r="F79" s="3">
        <v>0.53712962962962962</v>
      </c>
      <c r="G79" t="s">
        <v>1387</v>
      </c>
      <c r="I79">
        <v>1</v>
      </c>
      <c r="J79" t="s">
        <v>63</v>
      </c>
      <c r="K79">
        <v>12</v>
      </c>
      <c r="L79" t="s">
        <v>478</v>
      </c>
      <c r="M79" s="4">
        <v>1667</v>
      </c>
      <c r="P79" s="2">
        <v>45722</v>
      </c>
      <c r="R79">
        <v>3</v>
      </c>
      <c r="S79" s="4">
        <v>5001</v>
      </c>
      <c r="T79" t="s">
        <v>65</v>
      </c>
      <c r="U79" t="s">
        <v>1859</v>
      </c>
      <c r="V79">
        <v>0</v>
      </c>
      <c r="W79" s="4">
        <v>5000</v>
      </c>
      <c r="X79">
        <v>1</v>
      </c>
      <c r="Y79">
        <v>0</v>
      </c>
      <c r="Z79">
        <v>0</v>
      </c>
      <c r="AA79">
        <v>0</v>
      </c>
      <c r="AD79">
        <v>0</v>
      </c>
      <c r="AM79" t="s">
        <v>1860</v>
      </c>
      <c r="AN79" t="s">
        <v>206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1861</v>
      </c>
      <c r="BA79">
        <v>0</v>
      </c>
      <c r="BC79" t="s">
        <v>206</v>
      </c>
      <c r="BF79" t="s">
        <v>1498</v>
      </c>
    </row>
    <row r="80" spans="1:58" x14ac:dyDescent="0.35">
      <c r="A80" t="s">
        <v>1503</v>
      </c>
      <c r="B80">
        <v>10000</v>
      </c>
      <c r="C80">
        <v>20000</v>
      </c>
      <c r="D80" s="2">
        <v>45726</v>
      </c>
      <c r="E80" t="s">
        <v>61</v>
      </c>
      <c r="F80" t="s">
        <v>1504</v>
      </c>
      <c r="G80" t="s">
        <v>1505</v>
      </c>
      <c r="I80">
        <v>2</v>
      </c>
      <c r="J80" t="s">
        <v>63</v>
      </c>
      <c r="K80">
        <v>92</v>
      </c>
      <c r="L80" t="s">
        <v>424</v>
      </c>
      <c r="M80" s="4">
        <v>1100</v>
      </c>
      <c r="P80" s="2">
        <v>45722</v>
      </c>
      <c r="R80">
        <v>1</v>
      </c>
      <c r="S80" s="4">
        <v>1100</v>
      </c>
      <c r="T80" t="s">
        <v>65</v>
      </c>
      <c r="U80">
        <v>107355870001</v>
      </c>
      <c r="V80">
        <v>0</v>
      </c>
      <c r="W80" s="4">
        <v>1000</v>
      </c>
      <c r="X80">
        <v>100</v>
      </c>
      <c r="Y80">
        <v>0</v>
      </c>
      <c r="Z80">
        <v>0</v>
      </c>
      <c r="AA80">
        <v>0</v>
      </c>
      <c r="AD80">
        <v>0</v>
      </c>
      <c r="AM80">
        <v>10735587</v>
      </c>
      <c r="AN80" t="s">
        <v>487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1506</v>
      </c>
      <c r="BA80">
        <v>0</v>
      </c>
      <c r="BC80" t="s">
        <v>487</v>
      </c>
      <c r="BF80" t="s">
        <v>1507</v>
      </c>
    </row>
    <row r="81" spans="1:58" x14ac:dyDescent="0.35">
      <c r="A81" t="s">
        <v>1508</v>
      </c>
      <c r="B81">
        <v>10000</v>
      </c>
      <c r="C81">
        <v>20000</v>
      </c>
      <c r="D81" s="2">
        <v>45726</v>
      </c>
      <c r="E81" t="s">
        <v>61</v>
      </c>
      <c r="F81" s="3">
        <v>0.47496527777777775</v>
      </c>
      <c r="G81" t="s">
        <v>1505</v>
      </c>
      <c r="I81">
        <v>2</v>
      </c>
      <c r="J81" t="s">
        <v>63</v>
      </c>
      <c r="K81">
        <v>92</v>
      </c>
      <c r="L81" t="s">
        <v>424</v>
      </c>
      <c r="M81">
        <v>20</v>
      </c>
      <c r="P81" s="2">
        <v>45722</v>
      </c>
      <c r="R81">
        <v>1</v>
      </c>
      <c r="S81">
        <v>20</v>
      </c>
      <c r="T81" t="s">
        <v>65</v>
      </c>
      <c r="U81">
        <v>107355870001</v>
      </c>
      <c r="V81">
        <v>0</v>
      </c>
      <c r="W81">
        <v>20</v>
      </c>
      <c r="X81">
        <v>0</v>
      </c>
      <c r="Y81">
        <v>0</v>
      </c>
      <c r="Z81">
        <v>0</v>
      </c>
      <c r="AA81">
        <v>0</v>
      </c>
      <c r="AD81">
        <v>0</v>
      </c>
      <c r="AM81">
        <v>10735587</v>
      </c>
      <c r="AN81" t="s">
        <v>487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1509</v>
      </c>
      <c r="BA81">
        <v>0</v>
      </c>
      <c r="BC81" t="s">
        <v>487</v>
      </c>
      <c r="BF81" t="s">
        <v>1510</v>
      </c>
    </row>
    <row r="82" spans="1:58" x14ac:dyDescent="0.35">
      <c r="A82" t="s">
        <v>1862</v>
      </c>
      <c r="B82">
        <v>10000</v>
      </c>
      <c r="C82">
        <v>20000</v>
      </c>
      <c r="D82" s="2">
        <v>45723</v>
      </c>
      <c r="E82" t="s">
        <v>61</v>
      </c>
      <c r="F82" t="s">
        <v>1863</v>
      </c>
      <c r="G82" t="s">
        <v>1733</v>
      </c>
      <c r="I82">
        <v>1</v>
      </c>
      <c r="J82" t="s">
        <v>63</v>
      </c>
      <c r="K82">
        <v>78</v>
      </c>
      <c r="L82" t="s">
        <v>188</v>
      </c>
      <c r="M82" s="4">
        <v>1000</v>
      </c>
      <c r="P82" s="2">
        <v>45722</v>
      </c>
      <c r="R82">
        <v>16</v>
      </c>
      <c r="S82" s="4">
        <v>16000</v>
      </c>
      <c r="T82" t="s">
        <v>65</v>
      </c>
      <c r="U82" t="s">
        <v>1864</v>
      </c>
      <c r="V82">
        <v>0</v>
      </c>
      <c r="W82" s="4">
        <v>10000</v>
      </c>
      <c r="X82" s="4">
        <v>6000</v>
      </c>
      <c r="Y82">
        <v>0</v>
      </c>
      <c r="Z82">
        <v>0</v>
      </c>
      <c r="AA82">
        <v>0</v>
      </c>
      <c r="AD82">
        <v>0</v>
      </c>
      <c r="AM82" t="s">
        <v>1865</v>
      </c>
      <c r="AN82" t="s">
        <v>157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1866</v>
      </c>
      <c r="BA82">
        <v>0</v>
      </c>
      <c r="BC82" t="s">
        <v>157</v>
      </c>
      <c r="BF82" t="s">
        <v>1867</v>
      </c>
    </row>
    <row r="83" spans="1:58" x14ac:dyDescent="0.35">
      <c r="A83" t="s">
        <v>1862</v>
      </c>
      <c r="B83">
        <v>10000</v>
      </c>
      <c r="C83">
        <v>30000</v>
      </c>
      <c r="D83" s="2">
        <v>45723</v>
      </c>
      <c r="E83" t="s">
        <v>61</v>
      </c>
      <c r="F83" t="s">
        <v>1863</v>
      </c>
      <c r="G83" t="s">
        <v>1733</v>
      </c>
      <c r="I83">
        <v>2</v>
      </c>
      <c r="J83" t="s">
        <v>63</v>
      </c>
      <c r="K83">
        <v>63</v>
      </c>
      <c r="L83" t="s">
        <v>385</v>
      </c>
      <c r="M83">
        <v>625</v>
      </c>
      <c r="P83" s="2">
        <v>45722</v>
      </c>
      <c r="R83">
        <v>16</v>
      </c>
      <c r="S83" s="4">
        <v>10000</v>
      </c>
      <c r="T83" t="s">
        <v>65</v>
      </c>
      <c r="U83" t="s">
        <v>1864</v>
      </c>
      <c r="V83">
        <v>0</v>
      </c>
      <c r="W83" s="4">
        <v>10000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1865</v>
      </c>
      <c r="AN83" t="s">
        <v>157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1866</v>
      </c>
      <c r="BA83">
        <v>0</v>
      </c>
      <c r="BC83" t="s">
        <v>157</v>
      </c>
      <c r="BF83" t="s">
        <v>1867</v>
      </c>
    </row>
    <row r="84" spans="1:58" x14ac:dyDescent="0.35">
      <c r="A84" t="s">
        <v>1868</v>
      </c>
      <c r="B84">
        <v>10000</v>
      </c>
      <c r="C84">
        <v>10000</v>
      </c>
      <c r="D84" s="2">
        <v>45722</v>
      </c>
      <c r="E84" t="s">
        <v>61</v>
      </c>
      <c r="F84" t="s">
        <v>1587</v>
      </c>
      <c r="G84" t="s">
        <v>1869</v>
      </c>
      <c r="I84">
        <v>1</v>
      </c>
      <c r="J84" t="s">
        <v>63</v>
      </c>
      <c r="K84">
        <v>31</v>
      </c>
      <c r="L84" t="s">
        <v>1311</v>
      </c>
      <c r="M84" s="4">
        <v>1000</v>
      </c>
      <c r="P84" s="2">
        <v>45722</v>
      </c>
      <c r="R84">
        <v>2</v>
      </c>
      <c r="S84" s="4">
        <v>2000</v>
      </c>
      <c r="T84" t="s">
        <v>65</v>
      </c>
      <c r="U84">
        <v>30030002</v>
      </c>
      <c r="V84">
        <v>0</v>
      </c>
      <c r="W84" s="4">
        <v>2000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3003</v>
      </c>
      <c r="AN84" t="s">
        <v>1870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1871</v>
      </c>
      <c r="BA84">
        <v>0</v>
      </c>
      <c r="BC84" t="s">
        <v>1870</v>
      </c>
      <c r="BF84" t="s">
        <v>1872</v>
      </c>
    </row>
    <row r="85" spans="1:58" x14ac:dyDescent="0.35">
      <c r="A85" t="s">
        <v>1873</v>
      </c>
      <c r="B85">
        <v>10000</v>
      </c>
      <c r="C85">
        <v>10000</v>
      </c>
      <c r="D85" s="2">
        <v>45722</v>
      </c>
      <c r="E85" t="s">
        <v>61</v>
      </c>
      <c r="F85" s="3">
        <v>0.53712962962962962</v>
      </c>
      <c r="G85" t="s">
        <v>1869</v>
      </c>
      <c r="I85">
        <v>1</v>
      </c>
      <c r="J85" t="s">
        <v>63</v>
      </c>
      <c r="K85">
        <v>31</v>
      </c>
      <c r="L85" t="s">
        <v>1311</v>
      </c>
      <c r="M85" s="4">
        <v>1000</v>
      </c>
      <c r="P85" s="2">
        <v>45722</v>
      </c>
      <c r="R85">
        <v>6</v>
      </c>
      <c r="S85" s="4">
        <v>6000</v>
      </c>
      <c r="T85" t="s">
        <v>65</v>
      </c>
      <c r="U85">
        <v>9919310002</v>
      </c>
      <c r="V85">
        <v>0</v>
      </c>
      <c r="W85" s="4">
        <v>6000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991931</v>
      </c>
      <c r="AN85" t="s">
        <v>1870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1874</v>
      </c>
      <c r="BA85">
        <v>0</v>
      </c>
      <c r="BC85" t="s">
        <v>1870</v>
      </c>
      <c r="BF85" t="s">
        <v>1872</v>
      </c>
    </row>
    <row r="86" spans="1:58" x14ac:dyDescent="0.35">
      <c r="A86" t="s">
        <v>1875</v>
      </c>
      <c r="B86">
        <v>10000</v>
      </c>
      <c r="C86">
        <v>10000</v>
      </c>
      <c r="D86" s="2">
        <v>45728</v>
      </c>
      <c r="E86" t="s">
        <v>61</v>
      </c>
      <c r="F86" s="3">
        <v>0.43936342592592592</v>
      </c>
      <c r="G86" t="s">
        <v>1876</v>
      </c>
      <c r="I86">
        <v>1</v>
      </c>
      <c r="J86" t="s">
        <v>63</v>
      </c>
      <c r="K86">
        <v>88</v>
      </c>
      <c r="L86" t="s">
        <v>630</v>
      </c>
      <c r="M86" s="4">
        <v>1000</v>
      </c>
      <c r="P86" s="2">
        <v>45722</v>
      </c>
      <c r="R86">
        <v>1</v>
      </c>
      <c r="S86" s="4">
        <v>1000</v>
      </c>
      <c r="T86" t="s">
        <v>65</v>
      </c>
      <c r="U86" t="s">
        <v>1877</v>
      </c>
      <c r="V86">
        <v>0</v>
      </c>
      <c r="W86" s="4">
        <v>1000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1878</v>
      </c>
      <c r="AN86" t="s">
        <v>1879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1880</v>
      </c>
      <c r="BA86">
        <v>0</v>
      </c>
      <c r="BC86" t="s">
        <v>1879</v>
      </c>
      <c r="BF86" t="s">
        <v>1881</v>
      </c>
    </row>
    <row r="87" spans="1:58" x14ac:dyDescent="0.35">
      <c r="A87" t="s">
        <v>1882</v>
      </c>
      <c r="B87">
        <v>10000</v>
      </c>
      <c r="C87">
        <v>10000</v>
      </c>
      <c r="D87" s="2">
        <v>45734</v>
      </c>
      <c r="E87" t="s">
        <v>61</v>
      </c>
      <c r="F87" t="s">
        <v>1883</v>
      </c>
      <c r="G87" t="s">
        <v>1884</v>
      </c>
      <c r="I87">
        <v>1</v>
      </c>
      <c r="J87" t="s">
        <v>63</v>
      </c>
      <c r="K87">
        <v>88</v>
      </c>
      <c r="L87" t="s">
        <v>630</v>
      </c>
      <c r="M87" s="4">
        <v>1594</v>
      </c>
      <c r="P87" s="2">
        <v>45722</v>
      </c>
      <c r="R87">
        <v>1</v>
      </c>
      <c r="S87" s="4">
        <v>1594</v>
      </c>
      <c r="T87" t="s">
        <v>65</v>
      </c>
      <c r="U87" t="s">
        <v>1885</v>
      </c>
      <c r="V87">
        <v>0</v>
      </c>
      <c r="W87" s="4">
        <v>1594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1886</v>
      </c>
      <c r="AN87" t="s">
        <v>1879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1887</v>
      </c>
      <c r="BA87">
        <v>0</v>
      </c>
      <c r="BC87" t="s">
        <v>1879</v>
      </c>
      <c r="BF87" t="s">
        <v>1881</v>
      </c>
    </row>
    <row r="88" spans="1:58" x14ac:dyDescent="0.35">
      <c r="A88" t="s">
        <v>1882</v>
      </c>
      <c r="B88">
        <v>20000</v>
      </c>
      <c r="C88">
        <v>10000</v>
      </c>
      <c r="D88" s="2">
        <v>45734</v>
      </c>
      <c r="E88" t="s">
        <v>61</v>
      </c>
      <c r="F88" t="s">
        <v>1883</v>
      </c>
      <c r="G88" t="s">
        <v>1884</v>
      </c>
      <c r="I88">
        <v>1</v>
      </c>
      <c r="J88" t="s">
        <v>63</v>
      </c>
      <c r="K88">
        <v>88</v>
      </c>
      <c r="L88" t="s">
        <v>630</v>
      </c>
      <c r="M88">
        <v>606</v>
      </c>
      <c r="P88" s="2">
        <v>45722</v>
      </c>
      <c r="R88">
        <v>1</v>
      </c>
      <c r="S88">
        <v>606</v>
      </c>
      <c r="T88" t="s">
        <v>65</v>
      </c>
      <c r="U88" t="s">
        <v>1885</v>
      </c>
      <c r="V88">
        <v>0</v>
      </c>
      <c r="W88">
        <v>606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1886</v>
      </c>
      <c r="AN88" t="s">
        <v>1879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1887</v>
      </c>
      <c r="BA88">
        <v>0</v>
      </c>
      <c r="BC88" t="s">
        <v>1879</v>
      </c>
      <c r="BF88" t="s">
        <v>1881</v>
      </c>
    </row>
    <row r="89" spans="1:58" x14ac:dyDescent="0.35">
      <c r="A89" t="s">
        <v>1888</v>
      </c>
      <c r="B89">
        <v>10000</v>
      </c>
      <c r="C89">
        <v>10000</v>
      </c>
      <c r="D89" s="2">
        <v>45722</v>
      </c>
      <c r="E89" t="s">
        <v>61</v>
      </c>
      <c r="F89" t="s">
        <v>1889</v>
      </c>
      <c r="G89" t="s">
        <v>1149</v>
      </c>
      <c r="I89">
        <v>1</v>
      </c>
      <c r="J89" t="s">
        <v>63</v>
      </c>
      <c r="K89">
        <v>65</v>
      </c>
      <c r="L89" t="s">
        <v>268</v>
      </c>
      <c r="M89" s="4">
        <v>4167</v>
      </c>
      <c r="P89" s="2">
        <v>45722</v>
      </c>
      <c r="R89">
        <v>3</v>
      </c>
      <c r="S89" s="4">
        <v>12501</v>
      </c>
      <c r="T89" t="s">
        <v>65</v>
      </c>
      <c r="U89" t="s">
        <v>1890</v>
      </c>
      <c r="V89">
        <v>0</v>
      </c>
      <c r="W89" s="4">
        <v>12500</v>
      </c>
      <c r="X89">
        <v>1</v>
      </c>
      <c r="Y89">
        <v>0</v>
      </c>
      <c r="Z89">
        <v>0</v>
      </c>
      <c r="AA89">
        <v>0</v>
      </c>
      <c r="AD89">
        <v>0</v>
      </c>
      <c r="AM89" t="s">
        <v>1891</v>
      </c>
      <c r="AN89" t="s">
        <v>1892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1893</v>
      </c>
      <c r="BA89">
        <v>0</v>
      </c>
      <c r="BC89" t="s">
        <v>1892</v>
      </c>
      <c r="BF89" t="s">
        <v>1894</v>
      </c>
    </row>
    <row r="90" spans="1:58" x14ac:dyDescent="0.35">
      <c r="A90" t="s">
        <v>1895</v>
      </c>
      <c r="B90">
        <v>10000</v>
      </c>
      <c r="C90">
        <v>10000</v>
      </c>
      <c r="D90" s="2">
        <v>45723</v>
      </c>
      <c r="E90" t="s">
        <v>61</v>
      </c>
      <c r="F90" t="s">
        <v>1896</v>
      </c>
      <c r="G90">
        <v>10620258026</v>
      </c>
      <c r="I90">
        <v>1</v>
      </c>
      <c r="J90" t="s">
        <v>63</v>
      </c>
      <c r="K90">
        <v>79</v>
      </c>
      <c r="L90" t="s">
        <v>573</v>
      </c>
      <c r="M90">
        <v>639</v>
      </c>
      <c r="P90" s="2">
        <v>45722</v>
      </c>
      <c r="R90">
        <v>36</v>
      </c>
      <c r="S90" s="4">
        <v>23004</v>
      </c>
      <c r="T90" t="s">
        <v>65</v>
      </c>
      <c r="U90" t="s">
        <v>1897</v>
      </c>
      <c r="V90">
        <v>0</v>
      </c>
      <c r="W90" s="4">
        <v>20000</v>
      </c>
      <c r="X90" s="4">
        <v>3004</v>
      </c>
      <c r="Y90">
        <v>0</v>
      </c>
      <c r="Z90">
        <v>0</v>
      </c>
      <c r="AA90">
        <v>0</v>
      </c>
      <c r="AD90">
        <v>0</v>
      </c>
      <c r="AM90" t="s">
        <v>1898</v>
      </c>
      <c r="AN90" t="s">
        <v>68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1899</v>
      </c>
      <c r="BA90">
        <v>0</v>
      </c>
      <c r="BC90" t="s">
        <v>68</v>
      </c>
      <c r="BF90" t="s">
        <v>1900</v>
      </c>
    </row>
    <row r="91" spans="1:58" x14ac:dyDescent="0.35">
      <c r="A91" t="s">
        <v>1895</v>
      </c>
      <c r="B91">
        <v>10000</v>
      </c>
      <c r="C91">
        <v>20000</v>
      </c>
      <c r="D91" s="2">
        <v>45723</v>
      </c>
      <c r="E91" t="s">
        <v>61</v>
      </c>
      <c r="F91" t="s">
        <v>1896</v>
      </c>
      <c r="G91">
        <v>10620258026</v>
      </c>
      <c r="I91">
        <v>2</v>
      </c>
      <c r="J91" t="s">
        <v>63</v>
      </c>
      <c r="K91">
        <v>77</v>
      </c>
      <c r="L91" t="s">
        <v>127</v>
      </c>
      <c r="M91" s="4">
        <v>1467</v>
      </c>
      <c r="P91" s="2">
        <v>45722</v>
      </c>
      <c r="R91">
        <v>15</v>
      </c>
      <c r="S91" s="4">
        <v>22005</v>
      </c>
      <c r="T91" t="s">
        <v>65</v>
      </c>
      <c r="U91" t="s">
        <v>1897</v>
      </c>
      <c r="V91">
        <v>0</v>
      </c>
      <c r="W91" s="4">
        <v>20000</v>
      </c>
      <c r="X91" s="4">
        <v>2005</v>
      </c>
      <c r="Y91">
        <v>0</v>
      </c>
      <c r="Z91">
        <v>0</v>
      </c>
      <c r="AA91">
        <v>0</v>
      </c>
      <c r="AD91">
        <v>0</v>
      </c>
      <c r="AM91" t="s">
        <v>1898</v>
      </c>
      <c r="AN91" t="s">
        <v>68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1899</v>
      </c>
      <c r="BA91">
        <v>0</v>
      </c>
      <c r="BC91" t="s">
        <v>68</v>
      </c>
      <c r="BF91" t="s">
        <v>1900</v>
      </c>
    </row>
    <row r="92" spans="1:58" x14ac:dyDescent="0.35">
      <c r="A92" t="s">
        <v>1901</v>
      </c>
      <c r="B92">
        <v>10000</v>
      </c>
      <c r="C92">
        <v>10000</v>
      </c>
      <c r="D92" s="2">
        <v>45723</v>
      </c>
      <c r="E92" t="s">
        <v>61</v>
      </c>
      <c r="F92" t="s">
        <v>1609</v>
      </c>
      <c r="G92" t="s">
        <v>1902</v>
      </c>
      <c r="I92">
        <v>1</v>
      </c>
      <c r="J92" t="s">
        <v>63</v>
      </c>
      <c r="K92">
        <v>61</v>
      </c>
      <c r="L92" t="s">
        <v>197</v>
      </c>
      <c r="M92" s="4">
        <v>1000</v>
      </c>
      <c r="P92" s="2">
        <v>45722</v>
      </c>
      <c r="R92">
        <v>6</v>
      </c>
      <c r="S92" s="4">
        <v>6000</v>
      </c>
      <c r="T92" t="s">
        <v>65</v>
      </c>
      <c r="U92" t="s">
        <v>1903</v>
      </c>
      <c r="V92">
        <v>0</v>
      </c>
      <c r="W92" s="4">
        <v>6000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1904</v>
      </c>
      <c r="AN92" t="s">
        <v>116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1905</v>
      </c>
      <c r="BA92">
        <v>0</v>
      </c>
      <c r="BC92" t="s">
        <v>116</v>
      </c>
      <c r="BF92" t="s">
        <v>1906</v>
      </c>
    </row>
    <row r="93" spans="1:58" x14ac:dyDescent="0.35">
      <c r="A93" t="s">
        <v>1907</v>
      </c>
      <c r="B93">
        <v>10000</v>
      </c>
      <c r="C93">
        <v>10000</v>
      </c>
      <c r="D93" s="2">
        <v>45722</v>
      </c>
      <c r="E93" t="s">
        <v>61</v>
      </c>
      <c r="F93" t="s">
        <v>1237</v>
      </c>
      <c r="G93" t="s">
        <v>1902</v>
      </c>
      <c r="I93">
        <v>1</v>
      </c>
      <c r="J93" t="s">
        <v>63</v>
      </c>
      <c r="K93">
        <v>61</v>
      </c>
      <c r="L93" t="s">
        <v>197</v>
      </c>
      <c r="M93">
        <v>667</v>
      </c>
      <c r="P93" s="2">
        <v>45722</v>
      </c>
      <c r="R93">
        <v>6</v>
      </c>
      <c r="S93" s="4">
        <v>4002</v>
      </c>
      <c r="T93" t="s">
        <v>65</v>
      </c>
      <c r="U93" t="s">
        <v>1908</v>
      </c>
      <c r="V93">
        <v>0</v>
      </c>
      <c r="W93" s="4">
        <v>4000</v>
      </c>
      <c r="X93">
        <v>2</v>
      </c>
      <c r="Y93">
        <v>0</v>
      </c>
      <c r="Z93">
        <v>0</v>
      </c>
      <c r="AA93">
        <v>0</v>
      </c>
      <c r="AD93">
        <v>0</v>
      </c>
      <c r="AM93" t="s">
        <v>1909</v>
      </c>
      <c r="AN93" t="s">
        <v>116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1910</v>
      </c>
      <c r="BA93">
        <v>0</v>
      </c>
      <c r="BC93" t="s">
        <v>116</v>
      </c>
      <c r="BF93" t="s">
        <v>1906</v>
      </c>
    </row>
    <row r="94" spans="1:58" x14ac:dyDescent="0.35">
      <c r="A94" t="s">
        <v>1911</v>
      </c>
      <c r="B94">
        <v>10000</v>
      </c>
      <c r="C94">
        <v>10000</v>
      </c>
      <c r="D94" s="2">
        <v>45722</v>
      </c>
      <c r="E94" t="s">
        <v>61</v>
      </c>
      <c r="F94" t="s">
        <v>1912</v>
      </c>
      <c r="G94" t="s">
        <v>1902</v>
      </c>
      <c r="I94">
        <v>1</v>
      </c>
      <c r="J94" t="s">
        <v>63</v>
      </c>
      <c r="K94">
        <v>61</v>
      </c>
      <c r="L94" t="s">
        <v>197</v>
      </c>
      <c r="M94">
        <v>667</v>
      </c>
      <c r="P94" s="2">
        <v>45722</v>
      </c>
      <c r="R94">
        <v>6</v>
      </c>
      <c r="S94" s="4">
        <v>4002</v>
      </c>
      <c r="T94" t="s">
        <v>65</v>
      </c>
      <c r="U94" t="s">
        <v>1913</v>
      </c>
      <c r="V94">
        <v>0</v>
      </c>
      <c r="W94" s="4">
        <v>4000</v>
      </c>
      <c r="X94">
        <v>2</v>
      </c>
      <c r="Y94">
        <v>0</v>
      </c>
      <c r="Z94">
        <v>0</v>
      </c>
      <c r="AA94">
        <v>0</v>
      </c>
      <c r="AD94">
        <v>0</v>
      </c>
      <c r="AM94" t="s">
        <v>1914</v>
      </c>
      <c r="AN94" t="s">
        <v>116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1915</v>
      </c>
      <c r="BA94">
        <v>0</v>
      </c>
      <c r="BC94" t="s">
        <v>116</v>
      </c>
      <c r="BF94" t="s">
        <v>1906</v>
      </c>
    </row>
    <row r="95" spans="1:58" x14ac:dyDescent="0.35">
      <c r="A95" t="s">
        <v>1916</v>
      </c>
      <c r="B95">
        <v>10000</v>
      </c>
      <c r="C95">
        <v>10000</v>
      </c>
      <c r="D95" s="2">
        <v>45723</v>
      </c>
      <c r="E95" t="s">
        <v>61</v>
      </c>
      <c r="F95" s="3">
        <v>0.5337615740740741</v>
      </c>
      <c r="G95" t="s">
        <v>1902</v>
      </c>
      <c r="I95">
        <v>1</v>
      </c>
      <c r="J95" t="s">
        <v>63</v>
      </c>
      <c r="K95">
        <v>61</v>
      </c>
      <c r="L95" t="s">
        <v>197</v>
      </c>
      <c r="M95" s="4">
        <v>3667</v>
      </c>
      <c r="P95" s="2">
        <v>45722</v>
      </c>
      <c r="R95">
        <v>6</v>
      </c>
      <c r="S95" s="4">
        <v>22002</v>
      </c>
      <c r="T95" t="s">
        <v>65</v>
      </c>
      <c r="U95" t="s">
        <v>1903</v>
      </c>
      <c r="V95">
        <v>0</v>
      </c>
      <c r="W95" s="4">
        <v>22000</v>
      </c>
      <c r="X95">
        <v>2</v>
      </c>
      <c r="Y95">
        <v>0</v>
      </c>
      <c r="Z95">
        <v>0</v>
      </c>
      <c r="AA95">
        <v>0</v>
      </c>
      <c r="AD95">
        <v>0</v>
      </c>
      <c r="AM95" t="s">
        <v>1904</v>
      </c>
      <c r="AN95" t="s">
        <v>116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1917</v>
      </c>
      <c r="BA95">
        <v>0</v>
      </c>
      <c r="BC95" t="s">
        <v>116</v>
      </c>
      <c r="BF95" t="s">
        <v>1918</v>
      </c>
    </row>
    <row r="96" spans="1:58" x14ac:dyDescent="0.35">
      <c r="A96" t="s">
        <v>1919</v>
      </c>
      <c r="B96">
        <v>10000</v>
      </c>
      <c r="C96">
        <v>10000</v>
      </c>
      <c r="D96" s="2">
        <v>45722</v>
      </c>
      <c r="E96" t="s">
        <v>61</v>
      </c>
      <c r="F96" t="s">
        <v>1889</v>
      </c>
      <c r="G96" t="s">
        <v>1920</v>
      </c>
      <c r="I96">
        <v>1</v>
      </c>
      <c r="J96" t="s">
        <v>63</v>
      </c>
      <c r="K96">
        <v>31</v>
      </c>
      <c r="L96" t="s">
        <v>1311</v>
      </c>
      <c r="M96">
        <v>500</v>
      </c>
      <c r="P96" s="2">
        <v>45722</v>
      </c>
      <c r="R96">
        <v>56</v>
      </c>
      <c r="S96" s="4">
        <v>28000</v>
      </c>
      <c r="T96" t="s">
        <v>65</v>
      </c>
      <c r="U96" t="s">
        <v>1921</v>
      </c>
      <c r="V96">
        <v>0</v>
      </c>
      <c r="W96" s="4">
        <v>28000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1922</v>
      </c>
      <c r="AN96" t="s">
        <v>116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1923</v>
      </c>
      <c r="BA96">
        <v>0</v>
      </c>
      <c r="BC96" t="s">
        <v>116</v>
      </c>
      <c r="BF96" t="s">
        <v>1924</v>
      </c>
    </row>
    <row r="97" spans="1:58" x14ac:dyDescent="0.35">
      <c r="A97" t="s">
        <v>1925</v>
      </c>
      <c r="B97">
        <v>10000</v>
      </c>
      <c r="C97">
        <v>10000</v>
      </c>
      <c r="D97" s="2">
        <v>45723</v>
      </c>
      <c r="E97" t="s">
        <v>61</v>
      </c>
      <c r="F97" t="s">
        <v>1926</v>
      </c>
      <c r="G97">
        <v>10620258026</v>
      </c>
      <c r="I97">
        <v>1</v>
      </c>
      <c r="J97" t="s">
        <v>63</v>
      </c>
      <c r="K97">
        <v>79</v>
      </c>
      <c r="L97" t="s">
        <v>573</v>
      </c>
      <c r="M97">
        <v>682</v>
      </c>
      <c r="P97" s="2">
        <v>45722</v>
      </c>
      <c r="R97">
        <v>660</v>
      </c>
      <c r="S97" s="4">
        <v>450120</v>
      </c>
      <c r="T97" t="s">
        <v>65</v>
      </c>
      <c r="U97" t="s">
        <v>1927</v>
      </c>
      <c r="V97">
        <v>0</v>
      </c>
      <c r="W97" s="4">
        <v>400000</v>
      </c>
      <c r="X97" s="4">
        <v>50120</v>
      </c>
      <c r="Y97">
        <v>0</v>
      </c>
      <c r="Z97">
        <v>0</v>
      </c>
      <c r="AA97">
        <v>0</v>
      </c>
      <c r="AD97">
        <v>0</v>
      </c>
      <c r="AM97" t="s">
        <v>1928</v>
      </c>
      <c r="AN97" t="s">
        <v>107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1929</v>
      </c>
      <c r="BA97">
        <v>0</v>
      </c>
      <c r="BC97" t="s">
        <v>107</v>
      </c>
      <c r="BF97" t="s">
        <v>1930</v>
      </c>
    </row>
    <row r="98" spans="1:58" x14ac:dyDescent="0.35">
      <c r="A98" t="s">
        <v>1925</v>
      </c>
      <c r="B98">
        <v>10000</v>
      </c>
      <c r="C98">
        <v>20000</v>
      </c>
      <c r="D98" s="2">
        <v>45723</v>
      </c>
      <c r="E98" t="s">
        <v>61</v>
      </c>
      <c r="F98" t="s">
        <v>1926</v>
      </c>
      <c r="G98">
        <v>10620258026</v>
      </c>
      <c r="I98">
        <v>2</v>
      </c>
      <c r="J98" t="s">
        <v>63</v>
      </c>
      <c r="K98">
        <v>77</v>
      </c>
      <c r="L98" t="s">
        <v>127</v>
      </c>
      <c r="M98" s="4">
        <v>2445</v>
      </c>
      <c r="P98" s="2">
        <v>45722</v>
      </c>
      <c r="R98">
        <v>180</v>
      </c>
      <c r="S98" s="4">
        <v>440100</v>
      </c>
      <c r="T98" t="s">
        <v>65</v>
      </c>
      <c r="U98" t="s">
        <v>1927</v>
      </c>
      <c r="V98">
        <v>0</v>
      </c>
      <c r="W98" s="4">
        <v>400000</v>
      </c>
      <c r="X98" s="4">
        <v>40100</v>
      </c>
      <c r="Y98">
        <v>0</v>
      </c>
      <c r="Z98">
        <v>0</v>
      </c>
      <c r="AA98">
        <v>0</v>
      </c>
      <c r="AD98">
        <v>0</v>
      </c>
      <c r="AM98" t="s">
        <v>1928</v>
      </c>
      <c r="AN98" t="s">
        <v>107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1929</v>
      </c>
      <c r="BA98">
        <v>0</v>
      </c>
      <c r="BC98" t="s">
        <v>107</v>
      </c>
      <c r="BF98" t="s">
        <v>1930</v>
      </c>
    </row>
    <row r="99" spans="1:58" x14ac:dyDescent="0.35">
      <c r="A99" t="s">
        <v>1931</v>
      </c>
      <c r="B99">
        <v>10000</v>
      </c>
      <c r="C99">
        <v>10000</v>
      </c>
      <c r="D99" s="2">
        <v>45723</v>
      </c>
      <c r="E99" t="s">
        <v>61</v>
      </c>
      <c r="F99" t="s">
        <v>1932</v>
      </c>
      <c r="G99">
        <v>10620258028</v>
      </c>
      <c r="I99">
        <v>1</v>
      </c>
      <c r="J99" t="s">
        <v>63</v>
      </c>
      <c r="K99">
        <v>79</v>
      </c>
      <c r="L99" t="s">
        <v>573</v>
      </c>
      <c r="M99">
        <v>31</v>
      </c>
      <c r="P99" s="2">
        <v>45722</v>
      </c>
      <c r="R99">
        <v>660</v>
      </c>
      <c r="S99" s="4">
        <v>20460</v>
      </c>
      <c r="T99" t="s">
        <v>65</v>
      </c>
      <c r="U99" t="s">
        <v>1933</v>
      </c>
      <c r="V99">
        <v>0</v>
      </c>
      <c r="W99" s="4">
        <v>10000</v>
      </c>
      <c r="X99" s="4">
        <v>10460</v>
      </c>
      <c r="Y99">
        <v>0</v>
      </c>
      <c r="Z99">
        <v>0</v>
      </c>
      <c r="AA99">
        <v>0</v>
      </c>
      <c r="AD99">
        <v>0</v>
      </c>
      <c r="AM99" t="s">
        <v>1934</v>
      </c>
      <c r="AN99" t="s">
        <v>107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1935</v>
      </c>
      <c r="BA99">
        <v>0</v>
      </c>
      <c r="BC99" t="s">
        <v>107</v>
      </c>
      <c r="BF99" t="s">
        <v>1936</v>
      </c>
    </row>
    <row r="100" spans="1:58" x14ac:dyDescent="0.35">
      <c r="A100" t="s">
        <v>1931</v>
      </c>
      <c r="B100">
        <v>10000</v>
      </c>
      <c r="C100">
        <v>20000</v>
      </c>
      <c r="D100" s="2">
        <v>45723</v>
      </c>
      <c r="E100" t="s">
        <v>61</v>
      </c>
      <c r="F100" t="s">
        <v>1932</v>
      </c>
      <c r="G100">
        <v>10620258028</v>
      </c>
      <c r="I100">
        <v>2</v>
      </c>
      <c r="J100" t="s">
        <v>63</v>
      </c>
      <c r="K100">
        <v>77</v>
      </c>
      <c r="L100" t="s">
        <v>127</v>
      </c>
      <c r="M100">
        <v>100</v>
      </c>
      <c r="P100" s="2">
        <v>45722</v>
      </c>
      <c r="R100">
        <v>180</v>
      </c>
      <c r="S100" s="4">
        <v>18000</v>
      </c>
      <c r="T100" t="s">
        <v>65</v>
      </c>
      <c r="U100" t="s">
        <v>1933</v>
      </c>
      <c r="V100">
        <v>0</v>
      </c>
      <c r="W100" s="4">
        <v>10000</v>
      </c>
      <c r="X100" s="4">
        <v>8000</v>
      </c>
      <c r="Y100">
        <v>0</v>
      </c>
      <c r="Z100">
        <v>0</v>
      </c>
      <c r="AA100">
        <v>0</v>
      </c>
      <c r="AD100">
        <v>0</v>
      </c>
      <c r="AM100" t="s">
        <v>1934</v>
      </c>
      <c r="AN100" t="s">
        <v>107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1935</v>
      </c>
      <c r="BA100">
        <v>0</v>
      </c>
      <c r="BC100" t="s">
        <v>107</v>
      </c>
      <c r="BF100" t="s">
        <v>1936</v>
      </c>
    </row>
    <row r="101" spans="1:58" x14ac:dyDescent="0.35">
      <c r="A101" t="s">
        <v>1937</v>
      </c>
      <c r="B101">
        <v>10000</v>
      </c>
      <c r="C101">
        <v>10000</v>
      </c>
      <c r="D101" s="2">
        <v>45723</v>
      </c>
      <c r="E101" t="s">
        <v>61</v>
      </c>
      <c r="F101" t="s">
        <v>1938</v>
      </c>
      <c r="G101">
        <v>10620258026</v>
      </c>
      <c r="I101">
        <v>1</v>
      </c>
      <c r="J101" t="s">
        <v>63</v>
      </c>
      <c r="K101">
        <v>79</v>
      </c>
      <c r="L101" t="s">
        <v>573</v>
      </c>
      <c r="M101">
        <v>167</v>
      </c>
      <c r="P101" s="2">
        <v>45722</v>
      </c>
      <c r="R101">
        <v>66</v>
      </c>
      <c r="S101" s="4">
        <v>11022</v>
      </c>
      <c r="T101" t="s">
        <v>65</v>
      </c>
      <c r="U101" t="s">
        <v>1939</v>
      </c>
      <c r="V101">
        <v>0</v>
      </c>
      <c r="W101" s="4">
        <v>80000</v>
      </c>
      <c r="X101" s="4">
        <v>-68978</v>
      </c>
      <c r="Y101">
        <v>0</v>
      </c>
      <c r="Z101">
        <v>0</v>
      </c>
      <c r="AA101">
        <v>0</v>
      </c>
      <c r="AD101">
        <v>0</v>
      </c>
      <c r="AM101" t="s">
        <v>1940</v>
      </c>
      <c r="AN101" t="s">
        <v>107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1941</v>
      </c>
      <c r="BA101">
        <v>0</v>
      </c>
      <c r="BC101" t="s">
        <v>107</v>
      </c>
      <c r="BF101" t="s">
        <v>1942</v>
      </c>
    </row>
    <row r="102" spans="1:58" x14ac:dyDescent="0.35">
      <c r="A102" t="s">
        <v>1937</v>
      </c>
      <c r="B102">
        <v>10000</v>
      </c>
      <c r="C102">
        <v>20000</v>
      </c>
      <c r="D102" s="2">
        <v>45723</v>
      </c>
      <c r="E102" t="s">
        <v>61</v>
      </c>
      <c r="F102" t="s">
        <v>1938</v>
      </c>
      <c r="G102">
        <v>10620258026</v>
      </c>
      <c r="I102">
        <v>2</v>
      </c>
      <c r="J102" t="s">
        <v>63</v>
      </c>
      <c r="K102">
        <v>77</v>
      </c>
      <c r="L102" t="s">
        <v>127</v>
      </c>
      <c r="M102">
        <v>573</v>
      </c>
      <c r="P102" s="2">
        <v>45722</v>
      </c>
      <c r="R102">
        <v>180</v>
      </c>
      <c r="S102" s="4">
        <v>103140</v>
      </c>
      <c r="T102" t="s">
        <v>65</v>
      </c>
      <c r="U102" t="s">
        <v>1939</v>
      </c>
      <c r="V102">
        <v>0</v>
      </c>
      <c r="W102" s="4">
        <v>80000</v>
      </c>
      <c r="X102" s="4">
        <v>23140</v>
      </c>
      <c r="Y102">
        <v>0</v>
      </c>
      <c r="Z102">
        <v>0</v>
      </c>
      <c r="AA102">
        <v>0</v>
      </c>
      <c r="AD102">
        <v>0</v>
      </c>
      <c r="AM102" t="s">
        <v>1940</v>
      </c>
      <c r="AN102" t="s">
        <v>107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1941</v>
      </c>
      <c r="BA102">
        <v>0</v>
      </c>
      <c r="BC102" t="s">
        <v>107</v>
      </c>
      <c r="BF102" t="s">
        <v>1942</v>
      </c>
    </row>
    <row r="103" spans="1:58" x14ac:dyDescent="0.35">
      <c r="A103" t="s">
        <v>1943</v>
      </c>
      <c r="B103">
        <v>10000</v>
      </c>
      <c r="C103">
        <v>10000</v>
      </c>
      <c r="D103" s="2">
        <v>45733</v>
      </c>
      <c r="E103" t="s">
        <v>61</v>
      </c>
      <c r="F103" t="s">
        <v>1944</v>
      </c>
      <c r="G103">
        <v>10620258028</v>
      </c>
      <c r="I103">
        <v>1</v>
      </c>
      <c r="J103" t="s">
        <v>63</v>
      </c>
      <c r="K103">
        <v>79</v>
      </c>
      <c r="L103" t="s">
        <v>573</v>
      </c>
      <c r="M103">
        <v>671</v>
      </c>
      <c r="P103" s="2">
        <v>45722</v>
      </c>
      <c r="R103">
        <v>176</v>
      </c>
      <c r="S103" s="4">
        <v>118096</v>
      </c>
      <c r="T103" t="s">
        <v>65</v>
      </c>
      <c r="U103" t="s">
        <v>1945</v>
      </c>
      <c r="V103">
        <v>0</v>
      </c>
      <c r="W103" s="4">
        <v>100000</v>
      </c>
      <c r="X103" s="4">
        <v>18096</v>
      </c>
      <c r="Y103">
        <v>0</v>
      </c>
      <c r="Z103">
        <v>0</v>
      </c>
      <c r="AA103">
        <v>0</v>
      </c>
      <c r="AD103">
        <v>0</v>
      </c>
      <c r="AM103" t="s">
        <v>1946</v>
      </c>
      <c r="AN103" t="s">
        <v>107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1947</v>
      </c>
      <c r="BA103">
        <v>0</v>
      </c>
      <c r="BC103" t="s">
        <v>107</v>
      </c>
      <c r="BF103" t="s">
        <v>1948</v>
      </c>
    </row>
    <row r="104" spans="1:58" x14ac:dyDescent="0.35">
      <c r="A104" t="s">
        <v>1943</v>
      </c>
      <c r="B104">
        <v>10000</v>
      </c>
      <c r="C104">
        <v>20000</v>
      </c>
      <c r="D104" s="2">
        <v>45733</v>
      </c>
      <c r="E104" t="s">
        <v>61</v>
      </c>
      <c r="F104" t="s">
        <v>1944</v>
      </c>
      <c r="G104">
        <v>10620258028</v>
      </c>
      <c r="I104">
        <v>2</v>
      </c>
      <c r="J104" t="s">
        <v>63</v>
      </c>
      <c r="K104">
        <v>77</v>
      </c>
      <c r="L104" t="s">
        <v>127</v>
      </c>
      <c r="M104" s="4">
        <v>1713</v>
      </c>
      <c r="P104" s="2">
        <v>45722</v>
      </c>
      <c r="R104">
        <v>66</v>
      </c>
      <c r="S104" s="4">
        <v>113058</v>
      </c>
      <c r="T104" t="s">
        <v>65</v>
      </c>
      <c r="U104" t="s">
        <v>1945</v>
      </c>
      <c r="V104">
        <v>0</v>
      </c>
      <c r="W104" s="4">
        <v>100000</v>
      </c>
      <c r="X104" s="4">
        <v>13058</v>
      </c>
      <c r="Y104">
        <v>0</v>
      </c>
      <c r="Z104">
        <v>0</v>
      </c>
      <c r="AA104">
        <v>0</v>
      </c>
      <c r="AD104">
        <v>0</v>
      </c>
      <c r="AM104" t="s">
        <v>1946</v>
      </c>
      <c r="AN104" t="s">
        <v>107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1947</v>
      </c>
      <c r="BA104">
        <v>0</v>
      </c>
      <c r="BC104" t="s">
        <v>107</v>
      </c>
      <c r="BF104" t="s">
        <v>1948</v>
      </c>
    </row>
    <row r="105" spans="1:58" x14ac:dyDescent="0.35">
      <c r="A105" t="s">
        <v>1949</v>
      </c>
      <c r="B105">
        <v>10000</v>
      </c>
      <c r="C105">
        <v>10000</v>
      </c>
      <c r="D105" s="2">
        <v>45733</v>
      </c>
      <c r="E105" t="s">
        <v>61</v>
      </c>
      <c r="F105" t="s">
        <v>1950</v>
      </c>
      <c r="G105">
        <v>10639931107</v>
      </c>
      <c r="I105">
        <v>1</v>
      </c>
      <c r="J105" t="s">
        <v>63</v>
      </c>
      <c r="K105">
        <v>79</v>
      </c>
      <c r="L105" t="s">
        <v>573</v>
      </c>
      <c r="M105">
        <v>537</v>
      </c>
      <c r="P105" s="2">
        <v>45722</v>
      </c>
      <c r="R105">
        <v>176</v>
      </c>
      <c r="S105" s="4">
        <v>94512</v>
      </c>
      <c r="T105" t="s">
        <v>65</v>
      </c>
      <c r="U105" t="s">
        <v>1951</v>
      </c>
      <c r="V105">
        <v>0</v>
      </c>
      <c r="W105" s="4">
        <v>80000</v>
      </c>
      <c r="X105" s="4">
        <v>14512</v>
      </c>
      <c r="Y105">
        <v>0</v>
      </c>
      <c r="Z105">
        <v>0</v>
      </c>
      <c r="AA105">
        <v>0</v>
      </c>
      <c r="AD105">
        <v>0</v>
      </c>
      <c r="AM105" t="s">
        <v>1952</v>
      </c>
      <c r="AN105" t="s">
        <v>107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1953</v>
      </c>
      <c r="BA105">
        <v>0</v>
      </c>
      <c r="BC105" t="s">
        <v>107</v>
      </c>
      <c r="BF105" t="s">
        <v>1954</v>
      </c>
    </row>
    <row r="106" spans="1:58" x14ac:dyDescent="0.35">
      <c r="A106" t="s">
        <v>1546</v>
      </c>
      <c r="B106">
        <v>10000</v>
      </c>
      <c r="C106">
        <v>30000</v>
      </c>
      <c r="D106" s="2">
        <v>45723</v>
      </c>
      <c r="E106" t="s">
        <v>61</v>
      </c>
      <c r="F106" t="s">
        <v>1547</v>
      </c>
      <c r="G106" t="s">
        <v>527</v>
      </c>
      <c r="I106">
        <v>3</v>
      </c>
      <c r="J106" t="s">
        <v>63</v>
      </c>
      <c r="K106">
        <v>12</v>
      </c>
      <c r="L106" t="s">
        <v>478</v>
      </c>
      <c r="M106" s="4">
        <v>3000</v>
      </c>
      <c r="P106" s="2">
        <v>45722</v>
      </c>
      <c r="R106">
        <v>2</v>
      </c>
      <c r="S106" s="4">
        <v>6000</v>
      </c>
      <c r="T106" t="s">
        <v>65</v>
      </c>
      <c r="U106" t="s">
        <v>529</v>
      </c>
      <c r="V106">
        <v>0</v>
      </c>
      <c r="W106" s="4">
        <v>6000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530</v>
      </c>
      <c r="AN106" t="s">
        <v>271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1548</v>
      </c>
      <c r="BA106">
        <v>0</v>
      </c>
      <c r="BC106" t="s">
        <v>271</v>
      </c>
      <c r="BF106" t="s">
        <v>1549</v>
      </c>
    </row>
    <row r="107" spans="1:58" x14ac:dyDescent="0.35">
      <c r="A107" t="s">
        <v>1955</v>
      </c>
      <c r="B107">
        <v>10000</v>
      </c>
      <c r="C107">
        <v>10000</v>
      </c>
      <c r="D107" s="2">
        <v>45726</v>
      </c>
      <c r="E107" t="s">
        <v>61</v>
      </c>
      <c r="F107" t="s">
        <v>1956</v>
      </c>
      <c r="G107" t="s">
        <v>1822</v>
      </c>
      <c r="I107">
        <v>1</v>
      </c>
      <c r="J107" t="s">
        <v>63</v>
      </c>
      <c r="K107">
        <v>72</v>
      </c>
      <c r="L107" t="s">
        <v>163</v>
      </c>
      <c r="M107" s="4">
        <v>2000</v>
      </c>
      <c r="P107" s="2">
        <v>45722</v>
      </c>
      <c r="R107">
        <v>4</v>
      </c>
      <c r="S107" s="4">
        <v>8000</v>
      </c>
      <c r="T107" t="s">
        <v>65</v>
      </c>
      <c r="U107" t="s">
        <v>1957</v>
      </c>
      <c r="V107">
        <v>0</v>
      </c>
      <c r="W107" s="4">
        <v>5000</v>
      </c>
      <c r="X107" s="4">
        <v>3000</v>
      </c>
      <c r="Y107">
        <v>0</v>
      </c>
      <c r="Z107">
        <v>0</v>
      </c>
      <c r="AA107">
        <v>0</v>
      </c>
      <c r="AD107">
        <v>0</v>
      </c>
      <c r="AM107" t="s">
        <v>1958</v>
      </c>
      <c r="AN107" t="s">
        <v>449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1959</v>
      </c>
      <c r="BA107">
        <v>0</v>
      </c>
      <c r="BC107" t="s">
        <v>449</v>
      </c>
      <c r="BF107" t="s">
        <v>1960</v>
      </c>
    </row>
    <row r="108" spans="1:58" x14ac:dyDescent="0.35">
      <c r="A108" t="s">
        <v>1560</v>
      </c>
      <c r="B108">
        <v>10000</v>
      </c>
      <c r="C108">
        <v>20000</v>
      </c>
      <c r="D108" s="2">
        <v>45722</v>
      </c>
      <c r="E108" t="s">
        <v>61</v>
      </c>
      <c r="F108" s="3">
        <v>0.48686342592592591</v>
      </c>
      <c r="G108">
        <v>59469</v>
      </c>
      <c r="I108">
        <v>2</v>
      </c>
      <c r="J108" t="s">
        <v>63</v>
      </c>
      <c r="K108">
        <v>96</v>
      </c>
      <c r="L108" t="s">
        <v>104</v>
      </c>
      <c r="M108">
        <v>83</v>
      </c>
      <c r="P108" s="2">
        <v>45722</v>
      </c>
      <c r="R108">
        <v>6</v>
      </c>
      <c r="S108">
        <v>498</v>
      </c>
      <c r="T108" t="s">
        <v>65</v>
      </c>
      <c r="U108" t="s">
        <v>1561</v>
      </c>
      <c r="V108">
        <v>0</v>
      </c>
      <c r="W108">
        <v>100</v>
      </c>
      <c r="X108">
        <v>398</v>
      </c>
      <c r="Y108">
        <v>0</v>
      </c>
      <c r="Z108">
        <v>0</v>
      </c>
      <c r="AA108">
        <v>0</v>
      </c>
      <c r="AD108">
        <v>0</v>
      </c>
      <c r="AM108" t="s">
        <v>1562</v>
      </c>
      <c r="AN108" t="s">
        <v>321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1563</v>
      </c>
      <c r="BA108">
        <v>0</v>
      </c>
      <c r="BC108" t="s">
        <v>321</v>
      </c>
      <c r="BF108" t="s">
        <v>996</v>
      </c>
    </row>
    <row r="109" spans="1:58" x14ac:dyDescent="0.35">
      <c r="A109" t="s">
        <v>1564</v>
      </c>
      <c r="B109">
        <v>10000</v>
      </c>
      <c r="C109">
        <v>20000</v>
      </c>
      <c r="D109" s="2">
        <v>45722</v>
      </c>
      <c r="E109" t="s">
        <v>61</v>
      </c>
      <c r="F109" s="3">
        <v>0.48748842592592595</v>
      </c>
      <c r="G109">
        <v>59469</v>
      </c>
      <c r="I109">
        <v>2</v>
      </c>
      <c r="J109" t="s">
        <v>63</v>
      </c>
      <c r="K109">
        <v>96</v>
      </c>
      <c r="L109" t="s">
        <v>104</v>
      </c>
      <c r="M109">
        <v>83</v>
      </c>
      <c r="P109" s="2">
        <v>45722</v>
      </c>
      <c r="R109">
        <v>6</v>
      </c>
      <c r="S109">
        <v>498</v>
      </c>
      <c r="T109" t="s">
        <v>65</v>
      </c>
      <c r="U109" t="s">
        <v>1565</v>
      </c>
      <c r="V109">
        <v>0</v>
      </c>
      <c r="W109">
        <v>100</v>
      </c>
      <c r="X109">
        <v>398</v>
      </c>
      <c r="Y109">
        <v>0</v>
      </c>
      <c r="Z109">
        <v>0</v>
      </c>
      <c r="AA109">
        <v>0</v>
      </c>
      <c r="AD109">
        <v>0</v>
      </c>
      <c r="AM109" t="s">
        <v>1566</v>
      </c>
      <c r="AN109" t="s">
        <v>321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1567</v>
      </c>
      <c r="BA109">
        <v>0</v>
      </c>
      <c r="BC109" t="s">
        <v>321</v>
      </c>
      <c r="BF109" t="s">
        <v>1568</v>
      </c>
    </row>
    <row r="110" spans="1:58" x14ac:dyDescent="0.35">
      <c r="A110" t="s">
        <v>1961</v>
      </c>
      <c r="B110">
        <v>10000</v>
      </c>
      <c r="C110">
        <v>10000</v>
      </c>
      <c r="D110" s="2">
        <v>45723</v>
      </c>
      <c r="E110" t="s">
        <v>61</v>
      </c>
      <c r="F110" t="s">
        <v>1962</v>
      </c>
      <c r="G110" t="s">
        <v>1963</v>
      </c>
      <c r="I110">
        <v>1</v>
      </c>
      <c r="J110" t="s">
        <v>63</v>
      </c>
      <c r="K110">
        <v>79</v>
      </c>
      <c r="L110" t="s">
        <v>573</v>
      </c>
      <c r="M110" s="4">
        <v>11112</v>
      </c>
      <c r="P110" s="2">
        <v>45722</v>
      </c>
      <c r="R110">
        <v>180</v>
      </c>
      <c r="S110" s="4">
        <v>2000160</v>
      </c>
      <c r="T110" t="s">
        <v>65</v>
      </c>
      <c r="U110" t="s">
        <v>1964</v>
      </c>
      <c r="V110">
        <v>0</v>
      </c>
      <c r="W110" s="4">
        <v>1440000</v>
      </c>
      <c r="X110" s="4">
        <v>560160</v>
      </c>
      <c r="Y110">
        <v>0</v>
      </c>
      <c r="Z110">
        <v>0</v>
      </c>
      <c r="AA110">
        <v>0</v>
      </c>
      <c r="AD110">
        <v>0</v>
      </c>
      <c r="AM110" t="s">
        <v>1965</v>
      </c>
      <c r="AN110" t="s">
        <v>206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1966</v>
      </c>
      <c r="BA110">
        <v>0</v>
      </c>
      <c r="BC110" t="s">
        <v>206</v>
      </c>
      <c r="BF110" t="s">
        <v>1967</v>
      </c>
    </row>
    <row r="111" spans="1:58" x14ac:dyDescent="0.35">
      <c r="A111" t="s">
        <v>1968</v>
      </c>
      <c r="B111">
        <v>10000</v>
      </c>
      <c r="C111">
        <v>10000</v>
      </c>
      <c r="D111" s="2">
        <v>45726</v>
      </c>
      <c r="E111" t="s">
        <v>61</v>
      </c>
      <c r="F111" t="s">
        <v>1969</v>
      </c>
      <c r="G111">
        <v>59469</v>
      </c>
      <c r="I111">
        <v>1</v>
      </c>
      <c r="J111" t="s">
        <v>63</v>
      </c>
      <c r="K111">
        <v>73</v>
      </c>
      <c r="L111" t="s">
        <v>90</v>
      </c>
      <c r="M111" s="4">
        <v>84750</v>
      </c>
      <c r="P111" s="2">
        <v>45722</v>
      </c>
      <c r="R111">
        <v>12</v>
      </c>
      <c r="S111" s="4">
        <v>1017000</v>
      </c>
      <c r="T111" t="s">
        <v>65</v>
      </c>
      <c r="U111" t="s">
        <v>1410</v>
      </c>
      <c r="V111">
        <v>0</v>
      </c>
      <c r="W111" s="4">
        <v>1036840</v>
      </c>
      <c r="X111" s="4">
        <v>-19840</v>
      </c>
      <c r="Y111">
        <v>0</v>
      </c>
      <c r="Z111">
        <v>0</v>
      </c>
      <c r="AA111">
        <v>0</v>
      </c>
      <c r="AD111">
        <v>0</v>
      </c>
      <c r="AM111" t="s">
        <v>1411</v>
      </c>
      <c r="AN111" t="s">
        <v>321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1970</v>
      </c>
      <c r="BA111">
        <v>0</v>
      </c>
      <c r="BC111" t="s">
        <v>321</v>
      </c>
      <c r="BF111" t="s">
        <v>1971</v>
      </c>
    </row>
    <row r="112" spans="1:58" x14ac:dyDescent="0.35">
      <c r="A112" t="s">
        <v>1968</v>
      </c>
      <c r="B112">
        <v>10000</v>
      </c>
      <c r="C112">
        <v>20000</v>
      </c>
      <c r="D112" s="2">
        <v>45726</v>
      </c>
      <c r="E112" t="s">
        <v>61</v>
      </c>
      <c r="F112" t="s">
        <v>1969</v>
      </c>
      <c r="G112">
        <v>59469</v>
      </c>
      <c r="I112">
        <v>1</v>
      </c>
      <c r="J112" t="s">
        <v>63</v>
      </c>
      <c r="K112" t="s">
        <v>97</v>
      </c>
      <c r="L112" t="s">
        <v>98</v>
      </c>
      <c r="M112" s="4">
        <v>98917</v>
      </c>
      <c r="P112" s="2">
        <v>45722</v>
      </c>
      <c r="R112">
        <v>12</v>
      </c>
      <c r="S112" s="4">
        <v>1187004</v>
      </c>
      <c r="T112" t="s">
        <v>65</v>
      </c>
      <c r="U112" t="s">
        <v>1410</v>
      </c>
      <c r="V112">
        <v>0</v>
      </c>
      <c r="W112" s="4">
        <v>1210160</v>
      </c>
      <c r="X112" s="4">
        <v>-23156</v>
      </c>
      <c r="Y112">
        <v>0</v>
      </c>
      <c r="Z112">
        <v>0</v>
      </c>
      <c r="AA112">
        <v>0</v>
      </c>
      <c r="AD112">
        <v>0</v>
      </c>
      <c r="AM112" t="s">
        <v>1411</v>
      </c>
      <c r="AN112" t="s">
        <v>321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1970</v>
      </c>
      <c r="BA112">
        <v>0</v>
      </c>
      <c r="BC112" t="s">
        <v>321</v>
      </c>
      <c r="BF112" t="s">
        <v>1971</v>
      </c>
    </row>
    <row r="113" spans="1:58" x14ac:dyDescent="0.35">
      <c r="A113" t="s">
        <v>1972</v>
      </c>
      <c r="B113">
        <v>10000</v>
      </c>
      <c r="C113">
        <v>10000</v>
      </c>
      <c r="D113" s="2">
        <v>45723</v>
      </c>
      <c r="E113" t="s">
        <v>61</v>
      </c>
      <c r="F113" t="s">
        <v>1973</v>
      </c>
      <c r="G113">
        <v>59469</v>
      </c>
      <c r="I113">
        <v>1</v>
      </c>
      <c r="J113" t="s">
        <v>63</v>
      </c>
      <c r="K113">
        <v>73</v>
      </c>
      <c r="L113" t="s">
        <v>90</v>
      </c>
      <c r="M113" s="4">
        <v>15313</v>
      </c>
      <c r="P113" s="2">
        <v>45722</v>
      </c>
      <c r="R113">
        <v>12</v>
      </c>
      <c r="S113" s="4">
        <v>183756</v>
      </c>
      <c r="T113" t="s">
        <v>65</v>
      </c>
      <c r="U113" t="s">
        <v>1974</v>
      </c>
      <c r="V113">
        <v>0</v>
      </c>
      <c r="W113" s="4">
        <v>183750</v>
      </c>
      <c r="X113">
        <v>6</v>
      </c>
      <c r="Y113">
        <v>0</v>
      </c>
      <c r="Z113">
        <v>0</v>
      </c>
      <c r="AA113">
        <v>0</v>
      </c>
      <c r="AD113">
        <v>0</v>
      </c>
      <c r="AM113" t="s">
        <v>1975</v>
      </c>
      <c r="AN113" t="s">
        <v>321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1976</v>
      </c>
      <c r="BA113">
        <v>0</v>
      </c>
      <c r="BC113" t="s">
        <v>321</v>
      </c>
      <c r="BF113" t="s">
        <v>1977</v>
      </c>
    </row>
    <row r="130" spans="1:2" x14ac:dyDescent="0.35">
      <c r="A130">
        <f>COUNTA(A5:A129)</f>
        <v>109</v>
      </c>
      <c r="B130">
        <f>'5-Mar'!B135+'6-Mar'!A130</f>
        <v>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FDD7-E34A-429F-91E6-BA9453E8AC5B}">
  <dimension ref="A1:BF70"/>
  <sheetViews>
    <sheetView topLeftCell="A57" workbookViewId="0">
      <selection activeCell="A4" sqref="A4:XFD5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1978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1979</v>
      </c>
      <c r="B5">
        <v>10000</v>
      </c>
      <c r="C5">
        <v>10000</v>
      </c>
      <c r="D5" s="2">
        <v>45723</v>
      </c>
      <c r="E5" t="s">
        <v>61</v>
      </c>
      <c r="F5" t="s">
        <v>1593</v>
      </c>
      <c r="G5" t="s">
        <v>1980</v>
      </c>
      <c r="I5">
        <v>1</v>
      </c>
      <c r="J5" t="s">
        <v>63</v>
      </c>
      <c r="K5">
        <v>61</v>
      </c>
      <c r="L5" t="s">
        <v>216</v>
      </c>
      <c r="M5">
        <v>500</v>
      </c>
      <c r="P5" s="2">
        <v>45723</v>
      </c>
      <c r="R5">
        <v>1</v>
      </c>
      <c r="S5">
        <v>500</v>
      </c>
      <c r="T5" t="s">
        <v>65</v>
      </c>
      <c r="U5" t="s">
        <v>1981</v>
      </c>
      <c r="V5">
        <v>0</v>
      </c>
      <c r="W5">
        <v>500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1982</v>
      </c>
      <c r="AN5" t="s">
        <v>1983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1984</v>
      </c>
      <c r="BA5">
        <v>0</v>
      </c>
      <c r="BC5" t="s">
        <v>1983</v>
      </c>
      <c r="BF5" t="s">
        <v>1985</v>
      </c>
    </row>
    <row r="6" spans="1:58" x14ac:dyDescent="0.35">
      <c r="A6" t="s">
        <v>314</v>
      </c>
      <c r="B6">
        <v>20000</v>
      </c>
      <c r="C6">
        <v>20000</v>
      </c>
      <c r="D6" s="2">
        <v>45728</v>
      </c>
      <c r="E6" t="s">
        <v>61</v>
      </c>
      <c r="F6" t="s">
        <v>315</v>
      </c>
      <c r="G6" t="s">
        <v>316</v>
      </c>
      <c r="I6">
        <v>1</v>
      </c>
      <c r="J6" t="s">
        <v>63</v>
      </c>
      <c r="K6">
        <v>103</v>
      </c>
      <c r="L6" t="s">
        <v>1986</v>
      </c>
      <c r="M6" s="4">
        <v>61875</v>
      </c>
      <c r="P6" s="2">
        <v>45723</v>
      </c>
      <c r="R6">
        <v>8</v>
      </c>
      <c r="S6" s="4">
        <v>495000</v>
      </c>
      <c r="T6" t="s">
        <v>65</v>
      </c>
      <c r="U6" t="s">
        <v>319</v>
      </c>
      <c r="V6">
        <v>0</v>
      </c>
      <c r="W6" s="4">
        <v>495000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320</v>
      </c>
      <c r="AN6" t="s">
        <v>321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322</v>
      </c>
      <c r="BA6">
        <v>0</v>
      </c>
      <c r="BC6" t="s">
        <v>321</v>
      </c>
      <c r="BF6" t="s">
        <v>323</v>
      </c>
    </row>
    <row r="7" spans="1:58" x14ac:dyDescent="0.35">
      <c r="A7" t="s">
        <v>1987</v>
      </c>
      <c r="B7">
        <v>10000</v>
      </c>
      <c r="C7">
        <v>10000</v>
      </c>
      <c r="D7" s="2">
        <v>45729</v>
      </c>
      <c r="E7" t="s">
        <v>61</v>
      </c>
      <c r="F7" t="s">
        <v>1988</v>
      </c>
      <c r="G7" t="s">
        <v>1989</v>
      </c>
      <c r="I7">
        <v>1</v>
      </c>
      <c r="J7" t="s">
        <v>63</v>
      </c>
      <c r="K7">
        <v>111</v>
      </c>
      <c r="L7" t="s">
        <v>286</v>
      </c>
      <c r="M7" s="4">
        <v>43500</v>
      </c>
      <c r="P7" s="2">
        <v>45723</v>
      </c>
      <c r="R7">
        <v>10</v>
      </c>
      <c r="S7" s="4">
        <v>435000</v>
      </c>
      <c r="T7" t="s">
        <v>65</v>
      </c>
      <c r="U7" t="s">
        <v>287</v>
      </c>
      <c r="V7">
        <v>0</v>
      </c>
      <c r="W7" s="4">
        <v>435000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288</v>
      </c>
      <c r="AN7" t="s">
        <v>289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1990</v>
      </c>
      <c r="BA7">
        <v>0</v>
      </c>
      <c r="BC7" t="s">
        <v>289</v>
      </c>
      <c r="BF7" t="s">
        <v>1991</v>
      </c>
    </row>
    <row r="8" spans="1:58" x14ac:dyDescent="0.35">
      <c r="A8" t="s">
        <v>1992</v>
      </c>
      <c r="B8">
        <v>10000</v>
      </c>
      <c r="C8">
        <v>10000</v>
      </c>
      <c r="D8" s="2">
        <v>45727</v>
      </c>
      <c r="E8" t="s">
        <v>61</v>
      </c>
      <c r="F8" t="s">
        <v>1993</v>
      </c>
      <c r="G8" t="s">
        <v>1994</v>
      </c>
      <c r="I8">
        <v>1</v>
      </c>
      <c r="J8" t="s">
        <v>63</v>
      </c>
      <c r="K8">
        <v>65</v>
      </c>
      <c r="L8" t="s">
        <v>268</v>
      </c>
      <c r="M8" s="4">
        <v>32000</v>
      </c>
      <c r="P8" s="2">
        <v>45723</v>
      </c>
      <c r="R8">
        <v>1</v>
      </c>
      <c r="S8" s="4">
        <v>32000</v>
      </c>
      <c r="T8" t="s">
        <v>65</v>
      </c>
      <c r="U8" t="s">
        <v>1995</v>
      </c>
      <c r="V8">
        <v>0</v>
      </c>
      <c r="W8" s="4">
        <v>34000</v>
      </c>
      <c r="X8" s="4">
        <v>-2000</v>
      </c>
      <c r="Y8">
        <v>0</v>
      </c>
      <c r="Z8">
        <v>0</v>
      </c>
      <c r="AA8">
        <v>0</v>
      </c>
      <c r="AD8">
        <v>0</v>
      </c>
      <c r="AM8" t="s">
        <v>1996</v>
      </c>
      <c r="AN8" t="s">
        <v>1424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1997</v>
      </c>
      <c r="BA8">
        <v>0</v>
      </c>
      <c r="BC8" t="s">
        <v>1424</v>
      </c>
      <c r="BF8" t="s">
        <v>1998</v>
      </c>
    </row>
    <row r="9" spans="1:58" x14ac:dyDescent="0.35">
      <c r="A9" t="s">
        <v>1999</v>
      </c>
      <c r="B9">
        <v>10000</v>
      </c>
      <c r="C9">
        <v>30000</v>
      </c>
      <c r="D9" s="2">
        <v>45723</v>
      </c>
      <c r="E9" t="s">
        <v>61</v>
      </c>
      <c r="F9" t="s">
        <v>2000</v>
      </c>
      <c r="G9" t="s">
        <v>2001</v>
      </c>
      <c r="I9">
        <v>3</v>
      </c>
      <c r="J9" t="s">
        <v>63</v>
      </c>
      <c r="K9">
        <v>85</v>
      </c>
      <c r="L9" t="s">
        <v>327</v>
      </c>
      <c r="M9" s="4">
        <v>16000</v>
      </c>
      <c r="P9" s="2">
        <v>45723</v>
      </c>
      <c r="R9">
        <v>11</v>
      </c>
      <c r="S9" s="4">
        <v>176000</v>
      </c>
      <c r="T9" t="s">
        <v>65</v>
      </c>
      <c r="U9" t="s">
        <v>2002</v>
      </c>
      <c r="V9">
        <v>0</v>
      </c>
      <c r="W9" s="4">
        <v>160000</v>
      </c>
      <c r="X9" s="4">
        <v>16000</v>
      </c>
      <c r="Y9">
        <v>0</v>
      </c>
      <c r="Z9">
        <v>0</v>
      </c>
      <c r="AA9">
        <v>0</v>
      </c>
      <c r="AD9">
        <v>0</v>
      </c>
      <c r="AM9" t="s">
        <v>2003</v>
      </c>
      <c r="AN9" t="s">
        <v>107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2004</v>
      </c>
      <c r="BA9">
        <v>0</v>
      </c>
      <c r="BC9" t="s">
        <v>107</v>
      </c>
      <c r="BF9" t="s">
        <v>2005</v>
      </c>
    </row>
    <row r="10" spans="1:58" x14ac:dyDescent="0.35">
      <c r="A10" t="s">
        <v>2006</v>
      </c>
      <c r="B10">
        <v>10000</v>
      </c>
      <c r="C10">
        <v>20000</v>
      </c>
      <c r="D10" s="2">
        <v>45723</v>
      </c>
      <c r="E10" t="s">
        <v>61</v>
      </c>
      <c r="F10" t="s">
        <v>2007</v>
      </c>
      <c r="G10" t="s">
        <v>2008</v>
      </c>
      <c r="I10">
        <v>2</v>
      </c>
      <c r="J10" t="s">
        <v>63</v>
      </c>
      <c r="K10">
        <v>77</v>
      </c>
      <c r="L10" t="s">
        <v>127</v>
      </c>
      <c r="M10" s="4">
        <v>3955</v>
      </c>
      <c r="P10" s="2">
        <v>45723</v>
      </c>
      <c r="R10">
        <v>88</v>
      </c>
      <c r="S10" s="4">
        <v>348040</v>
      </c>
      <c r="T10" t="s">
        <v>65</v>
      </c>
      <c r="U10" t="s">
        <v>2009</v>
      </c>
      <c r="V10">
        <v>0</v>
      </c>
      <c r="W10" s="4">
        <v>320000</v>
      </c>
      <c r="X10" s="4">
        <v>28040</v>
      </c>
      <c r="Y10">
        <v>0</v>
      </c>
      <c r="Z10">
        <v>0</v>
      </c>
      <c r="AA10">
        <v>0</v>
      </c>
      <c r="AD10">
        <v>0</v>
      </c>
      <c r="AM10" t="s">
        <v>2010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2011</v>
      </c>
      <c r="BA10">
        <v>0</v>
      </c>
      <c r="BC10" t="s">
        <v>107</v>
      </c>
      <c r="BF10" t="s">
        <v>2012</v>
      </c>
    </row>
    <row r="11" spans="1:58" x14ac:dyDescent="0.35">
      <c r="A11" t="s">
        <v>2006</v>
      </c>
      <c r="B11">
        <v>10000</v>
      </c>
      <c r="C11">
        <v>30000</v>
      </c>
      <c r="D11" s="2">
        <v>45723</v>
      </c>
      <c r="E11" t="s">
        <v>61</v>
      </c>
      <c r="F11" t="s">
        <v>2007</v>
      </c>
      <c r="G11" t="s">
        <v>2008</v>
      </c>
      <c r="I11">
        <v>3</v>
      </c>
      <c r="J11" t="s">
        <v>63</v>
      </c>
      <c r="K11">
        <v>85</v>
      </c>
      <c r="L11" t="s">
        <v>327</v>
      </c>
      <c r="M11" s="4">
        <v>31819</v>
      </c>
      <c r="P11" s="2">
        <v>45723</v>
      </c>
      <c r="R11">
        <v>11</v>
      </c>
      <c r="S11" s="4">
        <v>350009</v>
      </c>
      <c r="T11" t="s">
        <v>65</v>
      </c>
      <c r="U11" t="s">
        <v>2009</v>
      </c>
      <c r="V11">
        <v>0</v>
      </c>
      <c r="W11" s="4">
        <v>320000</v>
      </c>
      <c r="X11" s="4">
        <v>30009</v>
      </c>
      <c r="Y11">
        <v>0</v>
      </c>
      <c r="Z11">
        <v>0</v>
      </c>
      <c r="AA11">
        <v>0</v>
      </c>
      <c r="AD11">
        <v>0</v>
      </c>
      <c r="AM11" t="s">
        <v>2010</v>
      </c>
      <c r="AN11" t="s">
        <v>107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2011</v>
      </c>
      <c r="BA11">
        <v>0</v>
      </c>
      <c r="BC11" t="s">
        <v>107</v>
      </c>
      <c r="BF11" t="s">
        <v>2012</v>
      </c>
    </row>
    <row r="12" spans="1:58" x14ac:dyDescent="0.35">
      <c r="A12" t="s">
        <v>2013</v>
      </c>
      <c r="B12">
        <v>10000</v>
      </c>
      <c r="C12">
        <v>10000</v>
      </c>
      <c r="D12" s="2">
        <v>45727</v>
      </c>
      <c r="E12" t="s">
        <v>61</v>
      </c>
      <c r="F12" t="s">
        <v>2014</v>
      </c>
      <c r="G12" t="s">
        <v>809</v>
      </c>
      <c r="I12">
        <v>1</v>
      </c>
      <c r="J12" t="s">
        <v>63</v>
      </c>
      <c r="K12">
        <v>87</v>
      </c>
      <c r="L12" t="s">
        <v>172</v>
      </c>
      <c r="M12" s="4">
        <v>20250</v>
      </c>
      <c r="P12" s="2">
        <v>45723</v>
      </c>
      <c r="R12">
        <v>2</v>
      </c>
      <c r="S12" s="4">
        <v>40500</v>
      </c>
      <c r="T12" t="s">
        <v>65</v>
      </c>
      <c r="U12" t="s">
        <v>173</v>
      </c>
      <c r="V12">
        <v>0</v>
      </c>
      <c r="W12" s="4">
        <v>40500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174</v>
      </c>
      <c r="AN12" t="s">
        <v>175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2015</v>
      </c>
      <c r="BA12">
        <v>0</v>
      </c>
      <c r="BC12" t="s">
        <v>175</v>
      </c>
      <c r="BF12" t="s">
        <v>2016</v>
      </c>
    </row>
    <row r="13" spans="1:58" x14ac:dyDescent="0.35">
      <c r="A13" t="s">
        <v>2017</v>
      </c>
      <c r="B13">
        <v>10000</v>
      </c>
      <c r="C13">
        <v>10000</v>
      </c>
      <c r="D13" s="2">
        <v>45727</v>
      </c>
      <c r="E13" t="s">
        <v>61</v>
      </c>
      <c r="F13" t="s">
        <v>2018</v>
      </c>
      <c r="G13">
        <v>407222225</v>
      </c>
      <c r="I13">
        <v>1</v>
      </c>
      <c r="J13" t="s">
        <v>63</v>
      </c>
      <c r="K13">
        <v>90</v>
      </c>
      <c r="L13" t="s">
        <v>405</v>
      </c>
      <c r="M13" s="4">
        <v>37046</v>
      </c>
      <c r="P13" s="2">
        <v>45723</v>
      </c>
      <c r="R13">
        <v>132</v>
      </c>
      <c r="S13" s="4">
        <v>4890072</v>
      </c>
      <c r="T13" t="s">
        <v>65</v>
      </c>
      <c r="U13" t="s">
        <v>2019</v>
      </c>
      <c r="V13">
        <v>0</v>
      </c>
      <c r="W13" s="4">
        <v>4890000</v>
      </c>
      <c r="X13">
        <v>72</v>
      </c>
      <c r="Y13">
        <v>0</v>
      </c>
      <c r="Z13">
        <v>0</v>
      </c>
      <c r="AA13">
        <v>0</v>
      </c>
      <c r="AD13">
        <v>0</v>
      </c>
      <c r="AM13" t="s">
        <v>2020</v>
      </c>
      <c r="AN13" t="s">
        <v>1672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2021</v>
      </c>
      <c r="BA13">
        <v>0</v>
      </c>
      <c r="BC13" t="s">
        <v>1672</v>
      </c>
      <c r="BF13" t="s">
        <v>1674</v>
      </c>
    </row>
    <row r="14" spans="1:58" x14ac:dyDescent="0.35">
      <c r="A14" t="s">
        <v>2022</v>
      </c>
      <c r="B14">
        <v>10000</v>
      </c>
      <c r="C14">
        <v>10000</v>
      </c>
      <c r="D14" s="2">
        <v>45723</v>
      </c>
      <c r="E14" t="s">
        <v>61</v>
      </c>
      <c r="F14" t="s">
        <v>2023</v>
      </c>
      <c r="G14" t="s">
        <v>2024</v>
      </c>
      <c r="I14">
        <v>1</v>
      </c>
      <c r="J14" t="s">
        <v>63</v>
      </c>
      <c r="K14">
        <v>60</v>
      </c>
      <c r="L14" t="s">
        <v>277</v>
      </c>
      <c r="M14" s="4">
        <v>6200</v>
      </c>
      <c r="P14" s="2">
        <v>45723</v>
      </c>
      <c r="R14">
        <v>10</v>
      </c>
      <c r="S14" s="4">
        <v>62000</v>
      </c>
      <c r="T14" t="s">
        <v>65</v>
      </c>
      <c r="U14" t="s">
        <v>2025</v>
      </c>
      <c r="V14">
        <v>0</v>
      </c>
      <c r="W14" s="4">
        <v>62000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2026</v>
      </c>
      <c r="AN14" t="s">
        <v>321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2027</v>
      </c>
      <c r="BA14">
        <v>0</v>
      </c>
      <c r="BC14" t="s">
        <v>321</v>
      </c>
      <c r="BF14" t="s">
        <v>2028</v>
      </c>
    </row>
    <row r="15" spans="1:58" x14ac:dyDescent="0.35">
      <c r="A15" t="s">
        <v>2022</v>
      </c>
      <c r="B15">
        <v>20000</v>
      </c>
      <c r="C15">
        <v>10000</v>
      </c>
      <c r="D15" s="2">
        <v>45723</v>
      </c>
      <c r="E15" t="s">
        <v>61</v>
      </c>
      <c r="F15" t="s">
        <v>2023</v>
      </c>
      <c r="G15" t="s">
        <v>2024</v>
      </c>
      <c r="I15">
        <v>1</v>
      </c>
      <c r="J15" t="s">
        <v>63</v>
      </c>
      <c r="K15">
        <v>60</v>
      </c>
      <c r="L15" t="s">
        <v>277</v>
      </c>
      <c r="M15" s="4">
        <v>3300</v>
      </c>
      <c r="P15" s="2">
        <v>45723</v>
      </c>
      <c r="R15">
        <v>10</v>
      </c>
      <c r="S15" s="4">
        <v>33000</v>
      </c>
      <c r="T15" t="s">
        <v>65</v>
      </c>
      <c r="U15" t="s">
        <v>2025</v>
      </c>
      <c r="V15">
        <v>0</v>
      </c>
      <c r="W15" s="4">
        <v>33000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2026</v>
      </c>
      <c r="AN15" t="s">
        <v>321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2027</v>
      </c>
      <c r="BA15">
        <v>0</v>
      </c>
      <c r="BC15" t="s">
        <v>321</v>
      </c>
      <c r="BF15" t="s">
        <v>2028</v>
      </c>
    </row>
    <row r="16" spans="1:58" x14ac:dyDescent="0.35">
      <c r="A16" t="s">
        <v>2029</v>
      </c>
      <c r="B16">
        <v>10000</v>
      </c>
      <c r="C16">
        <v>20000</v>
      </c>
      <c r="D16" s="2">
        <v>45723</v>
      </c>
      <c r="E16" t="s">
        <v>61</v>
      </c>
      <c r="F16" t="s">
        <v>2030</v>
      </c>
      <c r="G16" t="s">
        <v>1684</v>
      </c>
      <c r="I16">
        <v>2</v>
      </c>
      <c r="J16" t="s">
        <v>63</v>
      </c>
      <c r="K16" t="s">
        <v>1744</v>
      </c>
      <c r="L16" t="s">
        <v>630</v>
      </c>
      <c r="M16" s="4">
        <v>3000</v>
      </c>
      <c r="P16" s="2">
        <v>45723</v>
      </c>
      <c r="R16">
        <v>1</v>
      </c>
      <c r="S16" s="4">
        <v>3000</v>
      </c>
      <c r="T16" t="s">
        <v>65</v>
      </c>
      <c r="U16" t="s">
        <v>2031</v>
      </c>
      <c r="V16">
        <v>0</v>
      </c>
      <c r="W16" s="4">
        <v>3000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2032</v>
      </c>
      <c r="AN16" t="s">
        <v>206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2033</v>
      </c>
      <c r="BA16">
        <v>0</v>
      </c>
      <c r="BC16" t="s">
        <v>206</v>
      </c>
      <c r="BF16" t="s">
        <v>2034</v>
      </c>
    </row>
    <row r="17" spans="1:58" x14ac:dyDescent="0.35">
      <c r="A17" t="s">
        <v>2035</v>
      </c>
      <c r="B17">
        <v>10000</v>
      </c>
      <c r="C17">
        <v>30000</v>
      </c>
      <c r="D17" s="2">
        <v>45726</v>
      </c>
      <c r="E17" t="s">
        <v>61</v>
      </c>
      <c r="F17" t="s">
        <v>2036</v>
      </c>
      <c r="G17">
        <v>10620258085</v>
      </c>
      <c r="I17">
        <v>3</v>
      </c>
      <c r="J17" t="s">
        <v>63</v>
      </c>
      <c r="K17">
        <v>85</v>
      </c>
      <c r="L17" t="s">
        <v>327</v>
      </c>
      <c r="M17" s="4">
        <v>16000</v>
      </c>
      <c r="P17" s="2">
        <v>45723</v>
      </c>
      <c r="R17">
        <v>11</v>
      </c>
      <c r="S17" s="4">
        <v>176000</v>
      </c>
      <c r="T17" t="s">
        <v>65</v>
      </c>
      <c r="U17" t="s">
        <v>951</v>
      </c>
      <c r="V17">
        <v>0</v>
      </c>
      <c r="W17" s="4">
        <v>160000</v>
      </c>
      <c r="X17" s="4">
        <v>16000</v>
      </c>
      <c r="Y17">
        <v>0</v>
      </c>
      <c r="Z17">
        <v>0</v>
      </c>
      <c r="AA17">
        <v>0</v>
      </c>
      <c r="AD17">
        <v>0</v>
      </c>
      <c r="AM17" t="s">
        <v>952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2037</v>
      </c>
      <c r="BA17">
        <v>0</v>
      </c>
      <c r="BC17" t="s">
        <v>107</v>
      </c>
      <c r="BF17" t="s">
        <v>2038</v>
      </c>
    </row>
    <row r="18" spans="1:58" x14ac:dyDescent="0.35">
      <c r="A18" t="s">
        <v>812</v>
      </c>
      <c r="B18">
        <v>10000</v>
      </c>
      <c r="C18">
        <v>30000</v>
      </c>
      <c r="D18" s="2">
        <v>45729</v>
      </c>
      <c r="E18" t="s">
        <v>61</v>
      </c>
      <c r="F18" t="s">
        <v>813</v>
      </c>
      <c r="G18">
        <v>10639931052</v>
      </c>
      <c r="I18">
        <v>2</v>
      </c>
      <c r="J18" t="s">
        <v>63</v>
      </c>
      <c r="K18">
        <v>77</v>
      </c>
      <c r="L18" t="s">
        <v>127</v>
      </c>
      <c r="M18">
        <v>955</v>
      </c>
      <c r="P18" s="2">
        <v>45723</v>
      </c>
      <c r="R18">
        <v>88</v>
      </c>
      <c r="S18" s="4">
        <v>84040</v>
      </c>
      <c r="T18" t="s">
        <v>65</v>
      </c>
      <c r="U18" t="s">
        <v>814</v>
      </c>
      <c r="V18">
        <v>0</v>
      </c>
      <c r="W18" s="4">
        <v>70000</v>
      </c>
      <c r="X18" s="4">
        <v>14040</v>
      </c>
      <c r="Y18">
        <v>0</v>
      </c>
      <c r="Z18">
        <v>0</v>
      </c>
      <c r="AA18">
        <v>0</v>
      </c>
      <c r="AD18">
        <v>0</v>
      </c>
      <c r="AM18" t="s">
        <v>815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816</v>
      </c>
      <c r="BA18">
        <v>0</v>
      </c>
      <c r="BC18" t="s">
        <v>107</v>
      </c>
      <c r="BF18" t="s">
        <v>817</v>
      </c>
    </row>
    <row r="19" spans="1:58" x14ac:dyDescent="0.35">
      <c r="A19" t="s">
        <v>1689</v>
      </c>
      <c r="B19">
        <v>10000</v>
      </c>
      <c r="C19">
        <v>20000</v>
      </c>
      <c r="D19" s="2">
        <v>45727</v>
      </c>
      <c r="E19" t="s">
        <v>61</v>
      </c>
      <c r="F19" s="3">
        <v>0.47407407407407409</v>
      </c>
      <c r="G19">
        <v>10620258028</v>
      </c>
      <c r="I19">
        <v>2</v>
      </c>
      <c r="J19" t="s">
        <v>63</v>
      </c>
      <c r="K19">
        <v>77</v>
      </c>
      <c r="L19" t="s">
        <v>127</v>
      </c>
      <c r="M19" s="4">
        <v>1285</v>
      </c>
      <c r="P19" s="2">
        <v>45723</v>
      </c>
      <c r="R19">
        <v>88</v>
      </c>
      <c r="S19" s="4">
        <v>113080</v>
      </c>
      <c r="T19" t="s">
        <v>65</v>
      </c>
      <c r="U19" t="s">
        <v>1690</v>
      </c>
      <c r="V19">
        <v>0</v>
      </c>
      <c r="W19" s="4">
        <v>100000</v>
      </c>
      <c r="X19" s="4">
        <v>13080</v>
      </c>
      <c r="Y19">
        <v>0</v>
      </c>
      <c r="Z19">
        <v>0</v>
      </c>
      <c r="AA19">
        <v>0</v>
      </c>
      <c r="AD19">
        <v>0</v>
      </c>
      <c r="AM19" t="s">
        <v>1691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1692</v>
      </c>
      <c r="BA19">
        <v>0</v>
      </c>
      <c r="BC19" t="s">
        <v>107</v>
      </c>
      <c r="BF19" t="s">
        <v>1693</v>
      </c>
    </row>
    <row r="20" spans="1:58" x14ac:dyDescent="0.35">
      <c r="A20" t="s">
        <v>1694</v>
      </c>
      <c r="B20">
        <v>10000</v>
      </c>
      <c r="C20">
        <v>20000</v>
      </c>
      <c r="D20" s="2">
        <v>45727</v>
      </c>
      <c r="E20" t="s">
        <v>61</v>
      </c>
      <c r="F20" t="s">
        <v>1695</v>
      </c>
      <c r="G20">
        <v>10620258028</v>
      </c>
      <c r="I20">
        <v>2</v>
      </c>
      <c r="J20" t="s">
        <v>63</v>
      </c>
      <c r="K20">
        <v>77</v>
      </c>
      <c r="L20" t="s">
        <v>127</v>
      </c>
      <c r="M20" s="4">
        <v>1285</v>
      </c>
      <c r="P20" s="2">
        <v>45723</v>
      </c>
      <c r="R20">
        <v>88</v>
      </c>
      <c r="S20" s="4">
        <v>113080</v>
      </c>
      <c r="T20" t="s">
        <v>65</v>
      </c>
      <c r="U20" t="s">
        <v>784</v>
      </c>
      <c r="V20">
        <v>0</v>
      </c>
      <c r="W20" s="4">
        <v>100000</v>
      </c>
      <c r="X20" s="4">
        <v>13080</v>
      </c>
      <c r="Y20">
        <v>0</v>
      </c>
      <c r="Z20">
        <v>0</v>
      </c>
      <c r="AA20">
        <v>0</v>
      </c>
      <c r="AD20">
        <v>0</v>
      </c>
      <c r="AM20" t="s">
        <v>785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1696</v>
      </c>
      <c r="BA20">
        <v>0</v>
      </c>
      <c r="BC20" t="s">
        <v>107</v>
      </c>
      <c r="BF20" t="s">
        <v>1697</v>
      </c>
    </row>
    <row r="21" spans="1:58" x14ac:dyDescent="0.35">
      <c r="A21" t="s">
        <v>818</v>
      </c>
      <c r="B21">
        <v>10000</v>
      </c>
      <c r="C21">
        <v>30000</v>
      </c>
      <c r="D21" s="2">
        <v>45729</v>
      </c>
      <c r="E21" t="s">
        <v>61</v>
      </c>
      <c r="F21" t="s">
        <v>819</v>
      </c>
      <c r="G21">
        <v>10639931052</v>
      </c>
      <c r="I21">
        <v>2</v>
      </c>
      <c r="J21" t="s">
        <v>63</v>
      </c>
      <c r="K21">
        <v>77</v>
      </c>
      <c r="L21" t="s">
        <v>127</v>
      </c>
      <c r="M21" s="4">
        <v>1057</v>
      </c>
      <c r="P21" s="2">
        <v>45723</v>
      </c>
      <c r="R21">
        <v>88</v>
      </c>
      <c r="S21" s="4">
        <v>93016</v>
      </c>
      <c r="T21" t="s">
        <v>65</v>
      </c>
      <c r="U21" t="s">
        <v>820</v>
      </c>
      <c r="V21">
        <v>0</v>
      </c>
      <c r="W21" s="4">
        <v>80000</v>
      </c>
      <c r="X21" s="4">
        <v>13016</v>
      </c>
      <c r="Y21">
        <v>0</v>
      </c>
      <c r="Z21">
        <v>0</v>
      </c>
      <c r="AA21">
        <v>0</v>
      </c>
      <c r="AD21">
        <v>0</v>
      </c>
      <c r="AM21" t="s">
        <v>821</v>
      </c>
      <c r="AN21" t="s">
        <v>107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822</v>
      </c>
      <c r="BA21">
        <v>0</v>
      </c>
      <c r="BC21" t="s">
        <v>107</v>
      </c>
      <c r="BF21" t="s">
        <v>823</v>
      </c>
    </row>
    <row r="22" spans="1:58" x14ac:dyDescent="0.35">
      <c r="A22" t="s">
        <v>2039</v>
      </c>
      <c r="B22">
        <v>10000</v>
      </c>
      <c r="C22">
        <v>10000</v>
      </c>
      <c r="D22" s="2">
        <v>45728</v>
      </c>
      <c r="E22" t="s">
        <v>61</v>
      </c>
      <c r="F22" t="s">
        <v>2040</v>
      </c>
      <c r="G22" t="s">
        <v>1706</v>
      </c>
      <c r="I22">
        <v>1</v>
      </c>
      <c r="J22" t="s">
        <v>63</v>
      </c>
      <c r="K22" t="s">
        <v>1707</v>
      </c>
      <c r="L22" t="s">
        <v>154</v>
      </c>
      <c r="M22" s="4">
        <v>18462</v>
      </c>
      <c r="P22" s="2">
        <v>45723</v>
      </c>
      <c r="R22">
        <v>13</v>
      </c>
      <c r="S22" s="4">
        <v>240006</v>
      </c>
      <c r="T22" t="s">
        <v>65</v>
      </c>
      <c r="U22" t="s">
        <v>460</v>
      </c>
      <c r="V22">
        <v>0</v>
      </c>
      <c r="W22" s="4">
        <v>240000</v>
      </c>
      <c r="X22">
        <v>6</v>
      </c>
      <c r="Y22">
        <v>0</v>
      </c>
      <c r="Z22">
        <v>0</v>
      </c>
      <c r="AA22">
        <v>0</v>
      </c>
      <c r="AD22">
        <v>0</v>
      </c>
      <c r="AM22" t="s">
        <v>461</v>
      </c>
      <c r="AN22" t="s">
        <v>175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2041</v>
      </c>
      <c r="BA22">
        <v>0</v>
      </c>
      <c r="BC22" t="s">
        <v>175</v>
      </c>
      <c r="BF22" t="s">
        <v>2042</v>
      </c>
    </row>
    <row r="23" spans="1:58" x14ac:dyDescent="0.35">
      <c r="A23" t="s">
        <v>2043</v>
      </c>
      <c r="B23">
        <v>10000</v>
      </c>
      <c r="C23">
        <v>10000</v>
      </c>
      <c r="D23" s="2">
        <v>45726</v>
      </c>
      <c r="E23" t="s">
        <v>61</v>
      </c>
      <c r="F23" t="s">
        <v>2044</v>
      </c>
      <c r="G23" t="s">
        <v>1435</v>
      </c>
      <c r="I23">
        <v>1</v>
      </c>
      <c r="J23" t="s">
        <v>63</v>
      </c>
      <c r="K23">
        <v>60</v>
      </c>
      <c r="L23" t="s">
        <v>277</v>
      </c>
      <c r="M23" s="4">
        <v>2500</v>
      </c>
      <c r="P23" s="2">
        <v>45723</v>
      </c>
      <c r="R23">
        <v>2</v>
      </c>
      <c r="S23" s="4">
        <v>5000</v>
      </c>
      <c r="T23" t="s">
        <v>65</v>
      </c>
      <c r="U23" t="s">
        <v>2045</v>
      </c>
      <c r="V23">
        <v>0</v>
      </c>
      <c r="W23" s="4">
        <v>5000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2046</v>
      </c>
      <c r="AN23" t="s">
        <v>2047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2048</v>
      </c>
      <c r="BA23">
        <v>0</v>
      </c>
      <c r="BC23" t="s">
        <v>2047</v>
      </c>
      <c r="BF23" t="s">
        <v>2049</v>
      </c>
    </row>
    <row r="24" spans="1:58" x14ac:dyDescent="0.35">
      <c r="A24" t="s">
        <v>2050</v>
      </c>
      <c r="B24">
        <v>10000</v>
      </c>
      <c r="C24">
        <v>10000</v>
      </c>
      <c r="D24" s="2">
        <v>45726</v>
      </c>
      <c r="E24" t="s">
        <v>61</v>
      </c>
      <c r="F24" t="s">
        <v>2051</v>
      </c>
      <c r="G24" t="s">
        <v>2052</v>
      </c>
      <c r="I24">
        <v>1</v>
      </c>
      <c r="J24" t="s">
        <v>63</v>
      </c>
      <c r="K24">
        <v>78</v>
      </c>
      <c r="L24" t="s">
        <v>188</v>
      </c>
      <c r="M24" s="4">
        <v>1200</v>
      </c>
      <c r="P24" s="2">
        <v>45723</v>
      </c>
      <c r="R24">
        <v>15</v>
      </c>
      <c r="S24" s="4">
        <v>18000</v>
      </c>
      <c r="T24" t="s">
        <v>65</v>
      </c>
      <c r="U24" t="s">
        <v>2053</v>
      </c>
      <c r="V24">
        <v>0</v>
      </c>
      <c r="W24" s="4">
        <v>18000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2054</v>
      </c>
      <c r="AN24" t="s">
        <v>721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2055</v>
      </c>
      <c r="BA24">
        <v>0</v>
      </c>
      <c r="BC24" t="s">
        <v>721</v>
      </c>
      <c r="BF24" t="s">
        <v>2056</v>
      </c>
    </row>
    <row r="25" spans="1:58" x14ac:dyDescent="0.35">
      <c r="A25" t="s">
        <v>2057</v>
      </c>
      <c r="B25">
        <v>10000</v>
      </c>
      <c r="C25">
        <v>10000</v>
      </c>
      <c r="D25" s="2">
        <v>45723</v>
      </c>
      <c r="E25" t="s">
        <v>61</v>
      </c>
      <c r="F25" t="s">
        <v>2058</v>
      </c>
      <c r="G25" t="s">
        <v>1773</v>
      </c>
      <c r="I25">
        <v>1</v>
      </c>
      <c r="J25" t="s">
        <v>63</v>
      </c>
      <c r="K25">
        <v>32</v>
      </c>
      <c r="L25" t="s">
        <v>553</v>
      </c>
      <c r="M25" s="4">
        <v>5860</v>
      </c>
      <c r="P25" s="2">
        <v>45723</v>
      </c>
      <c r="R25">
        <v>1</v>
      </c>
      <c r="S25" s="4">
        <v>5860</v>
      </c>
      <c r="T25" t="s">
        <v>65</v>
      </c>
      <c r="U25" t="s">
        <v>2059</v>
      </c>
      <c r="V25">
        <v>0</v>
      </c>
      <c r="W25" s="4">
        <v>5360</v>
      </c>
      <c r="X25">
        <v>500</v>
      </c>
      <c r="Y25">
        <v>0</v>
      </c>
      <c r="Z25">
        <v>0</v>
      </c>
      <c r="AA25">
        <v>0</v>
      </c>
      <c r="AD25">
        <v>0</v>
      </c>
      <c r="AM25" t="s">
        <v>2060</v>
      </c>
      <c r="AN25" t="s">
        <v>116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2061</v>
      </c>
      <c r="BA25">
        <v>0</v>
      </c>
      <c r="BC25" t="s">
        <v>116</v>
      </c>
      <c r="BF25" t="s">
        <v>557</v>
      </c>
    </row>
    <row r="26" spans="1:58" x14ac:dyDescent="0.35">
      <c r="A26" t="s">
        <v>2062</v>
      </c>
      <c r="B26">
        <v>10000</v>
      </c>
      <c r="C26">
        <v>10000</v>
      </c>
      <c r="D26" s="2">
        <v>45723</v>
      </c>
      <c r="E26" t="s">
        <v>61</v>
      </c>
      <c r="F26" t="s">
        <v>2058</v>
      </c>
      <c r="G26" t="s">
        <v>1773</v>
      </c>
      <c r="I26">
        <v>1</v>
      </c>
      <c r="J26" t="s">
        <v>63</v>
      </c>
      <c r="K26">
        <v>32</v>
      </c>
      <c r="L26" t="s">
        <v>553</v>
      </c>
      <c r="M26" s="4">
        <v>5860</v>
      </c>
      <c r="P26" s="2">
        <v>45723</v>
      </c>
      <c r="R26">
        <v>1</v>
      </c>
      <c r="S26" s="4">
        <v>5860</v>
      </c>
      <c r="T26" t="s">
        <v>65</v>
      </c>
      <c r="U26" t="s">
        <v>2059</v>
      </c>
      <c r="V26">
        <v>0</v>
      </c>
      <c r="W26" s="4">
        <v>5360</v>
      </c>
      <c r="X26">
        <v>500</v>
      </c>
      <c r="Y26">
        <v>0</v>
      </c>
      <c r="Z26">
        <v>0</v>
      </c>
      <c r="AA26">
        <v>0</v>
      </c>
      <c r="AD26">
        <v>0</v>
      </c>
      <c r="AM26" t="s">
        <v>2060</v>
      </c>
      <c r="AN26" t="s">
        <v>116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2063</v>
      </c>
      <c r="BA26">
        <v>0</v>
      </c>
      <c r="BC26" t="s">
        <v>116</v>
      </c>
      <c r="BF26" t="s">
        <v>1288</v>
      </c>
    </row>
    <row r="27" spans="1:58" x14ac:dyDescent="0.35">
      <c r="A27" t="s">
        <v>1785</v>
      </c>
      <c r="B27">
        <v>10000</v>
      </c>
      <c r="C27">
        <v>20000</v>
      </c>
      <c r="D27" s="2">
        <v>45726</v>
      </c>
      <c r="E27" t="s">
        <v>61</v>
      </c>
      <c r="F27" t="s">
        <v>1786</v>
      </c>
      <c r="G27" t="s">
        <v>1787</v>
      </c>
      <c r="I27">
        <v>2</v>
      </c>
      <c r="J27" t="s">
        <v>63</v>
      </c>
      <c r="K27">
        <v>71</v>
      </c>
      <c r="L27" t="s">
        <v>135</v>
      </c>
      <c r="M27" s="4">
        <v>16667</v>
      </c>
      <c r="P27" s="2">
        <v>45723</v>
      </c>
      <c r="R27">
        <v>3</v>
      </c>
      <c r="S27" s="4">
        <v>50001</v>
      </c>
      <c r="T27" t="s">
        <v>65</v>
      </c>
      <c r="U27" t="s">
        <v>1788</v>
      </c>
      <c r="V27">
        <v>0</v>
      </c>
      <c r="W27" s="4">
        <v>50000</v>
      </c>
      <c r="X27">
        <v>1</v>
      </c>
      <c r="Y27">
        <v>0</v>
      </c>
      <c r="Z27">
        <v>0</v>
      </c>
      <c r="AA27">
        <v>0</v>
      </c>
      <c r="AD27">
        <v>0</v>
      </c>
      <c r="AM27" t="s">
        <v>1789</v>
      </c>
      <c r="AN27" t="s">
        <v>562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1790</v>
      </c>
      <c r="BA27">
        <v>0</v>
      </c>
      <c r="BC27" t="s">
        <v>562</v>
      </c>
      <c r="BF27" t="s">
        <v>1791</v>
      </c>
    </row>
    <row r="28" spans="1:58" x14ac:dyDescent="0.35">
      <c r="A28" t="s">
        <v>968</v>
      </c>
      <c r="B28">
        <v>10000</v>
      </c>
      <c r="C28">
        <v>20000</v>
      </c>
      <c r="D28" s="2">
        <v>45729</v>
      </c>
      <c r="E28" t="s">
        <v>61</v>
      </c>
      <c r="F28" t="s">
        <v>969</v>
      </c>
      <c r="G28">
        <v>10639931050</v>
      </c>
      <c r="I28">
        <v>2</v>
      </c>
      <c r="J28" t="s">
        <v>63</v>
      </c>
      <c r="K28">
        <v>77</v>
      </c>
      <c r="L28" t="s">
        <v>127</v>
      </c>
      <c r="M28" s="4">
        <v>2023</v>
      </c>
      <c r="P28" s="2">
        <v>45723</v>
      </c>
      <c r="R28">
        <v>88</v>
      </c>
      <c r="S28" s="4">
        <v>178024</v>
      </c>
      <c r="T28" t="s">
        <v>65</v>
      </c>
      <c r="U28" t="s">
        <v>970</v>
      </c>
      <c r="V28">
        <v>0</v>
      </c>
      <c r="W28" s="4">
        <v>180000</v>
      </c>
      <c r="X28" s="4">
        <v>-1976</v>
      </c>
      <c r="Y28">
        <v>0</v>
      </c>
      <c r="Z28">
        <v>0</v>
      </c>
      <c r="AA28">
        <v>0</v>
      </c>
      <c r="AD28">
        <v>0</v>
      </c>
      <c r="AM28" t="s">
        <v>971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972</v>
      </c>
      <c r="BA28">
        <v>0</v>
      </c>
      <c r="BC28" t="s">
        <v>107</v>
      </c>
      <c r="BF28" t="s">
        <v>973</v>
      </c>
    </row>
    <row r="29" spans="1:58" x14ac:dyDescent="0.35">
      <c r="A29" t="s">
        <v>974</v>
      </c>
      <c r="B29">
        <v>10000</v>
      </c>
      <c r="C29">
        <v>20000</v>
      </c>
      <c r="D29" s="2">
        <v>45729</v>
      </c>
      <c r="E29" t="s">
        <v>61</v>
      </c>
      <c r="F29" t="s">
        <v>975</v>
      </c>
      <c r="G29">
        <v>10639931052</v>
      </c>
      <c r="I29">
        <v>2</v>
      </c>
      <c r="J29" t="s">
        <v>63</v>
      </c>
      <c r="K29">
        <v>77</v>
      </c>
      <c r="L29" t="s">
        <v>127</v>
      </c>
      <c r="M29" s="4">
        <v>2887</v>
      </c>
      <c r="P29" s="2">
        <v>45723</v>
      </c>
      <c r="R29">
        <v>88</v>
      </c>
      <c r="S29" s="4">
        <v>254056</v>
      </c>
      <c r="T29" t="s">
        <v>65</v>
      </c>
      <c r="U29" t="s">
        <v>773</v>
      </c>
      <c r="V29">
        <v>0</v>
      </c>
      <c r="W29" s="4">
        <v>230000</v>
      </c>
      <c r="X29" s="4">
        <v>24056</v>
      </c>
      <c r="Y29">
        <v>0</v>
      </c>
      <c r="Z29">
        <v>0</v>
      </c>
      <c r="AA29">
        <v>0</v>
      </c>
      <c r="AD29">
        <v>0</v>
      </c>
      <c r="AM29" t="s">
        <v>774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976</v>
      </c>
      <c r="BA29">
        <v>0</v>
      </c>
      <c r="BC29" t="s">
        <v>107</v>
      </c>
      <c r="BF29" t="s">
        <v>977</v>
      </c>
    </row>
    <row r="30" spans="1:58" x14ac:dyDescent="0.35">
      <c r="A30" t="s">
        <v>978</v>
      </c>
      <c r="B30">
        <v>10000</v>
      </c>
      <c r="C30">
        <v>20000</v>
      </c>
      <c r="D30" s="2">
        <v>45729</v>
      </c>
      <c r="E30" t="s">
        <v>61</v>
      </c>
      <c r="F30" t="s">
        <v>979</v>
      </c>
      <c r="G30" t="s">
        <v>980</v>
      </c>
      <c r="I30">
        <v>2</v>
      </c>
      <c r="J30" t="s">
        <v>63</v>
      </c>
      <c r="K30">
        <v>77</v>
      </c>
      <c r="L30" t="s">
        <v>127</v>
      </c>
      <c r="M30" s="4">
        <v>3523</v>
      </c>
      <c r="P30" s="2">
        <v>45723</v>
      </c>
      <c r="R30">
        <v>88</v>
      </c>
      <c r="S30" s="4">
        <v>310024</v>
      </c>
      <c r="T30" t="s">
        <v>65</v>
      </c>
      <c r="U30" t="s">
        <v>981</v>
      </c>
      <c r="V30">
        <v>0</v>
      </c>
      <c r="W30" s="4">
        <v>310000</v>
      </c>
      <c r="X30">
        <v>24</v>
      </c>
      <c r="Y30">
        <v>0</v>
      </c>
      <c r="Z30">
        <v>0</v>
      </c>
      <c r="AA30">
        <v>0</v>
      </c>
      <c r="AD30">
        <v>0</v>
      </c>
      <c r="AM30" t="s">
        <v>982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983</v>
      </c>
      <c r="BA30">
        <v>0</v>
      </c>
      <c r="BC30" t="s">
        <v>107</v>
      </c>
      <c r="BF30" t="s">
        <v>984</v>
      </c>
    </row>
    <row r="31" spans="1:58" x14ac:dyDescent="0.35">
      <c r="A31" t="s">
        <v>2064</v>
      </c>
      <c r="B31">
        <v>10000</v>
      </c>
      <c r="C31">
        <v>10000</v>
      </c>
      <c r="D31" s="2">
        <v>45723</v>
      </c>
      <c r="E31" t="s">
        <v>61</v>
      </c>
      <c r="F31" t="s">
        <v>1593</v>
      </c>
      <c r="G31" t="s">
        <v>1700</v>
      </c>
      <c r="I31">
        <v>1</v>
      </c>
      <c r="J31" t="s">
        <v>63</v>
      </c>
      <c r="K31">
        <v>94</v>
      </c>
      <c r="L31" t="s">
        <v>181</v>
      </c>
      <c r="M31" s="4">
        <v>10000</v>
      </c>
      <c r="P31" s="2">
        <v>45723</v>
      </c>
      <c r="R31">
        <v>4</v>
      </c>
      <c r="S31" s="4">
        <v>40000</v>
      </c>
      <c r="T31" t="s">
        <v>65</v>
      </c>
      <c r="U31" t="s">
        <v>1701</v>
      </c>
      <c r="V31">
        <v>0</v>
      </c>
      <c r="W31" s="4">
        <v>40000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1702</v>
      </c>
      <c r="AN31" t="s">
        <v>364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2065</v>
      </c>
      <c r="BA31">
        <v>0</v>
      </c>
      <c r="BC31" t="s">
        <v>364</v>
      </c>
      <c r="BF31" t="s">
        <v>2066</v>
      </c>
    </row>
    <row r="32" spans="1:58" x14ac:dyDescent="0.35">
      <c r="A32" t="s">
        <v>2067</v>
      </c>
      <c r="B32">
        <v>10000</v>
      </c>
      <c r="C32">
        <v>10000</v>
      </c>
      <c r="D32" s="2">
        <v>45726</v>
      </c>
      <c r="E32" t="s">
        <v>61</v>
      </c>
      <c r="F32" t="s">
        <v>2068</v>
      </c>
      <c r="G32" t="s">
        <v>2069</v>
      </c>
      <c r="I32">
        <v>1</v>
      </c>
      <c r="J32" t="s">
        <v>63</v>
      </c>
      <c r="K32">
        <v>94</v>
      </c>
      <c r="L32" t="s">
        <v>181</v>
      </c>
      <c r="M32" s="4">
        <v>10000</v>
      </c>
      <c r="P32" s="2">
        <v>45723</v>
      </c>
      <c r="R32">
        <v>4</v>
      </c>
      <c r="S32" s="4">
        <v>40000</v>
      </c>
      <c r="T32" t="s">
        <v>65</v>
      </c>
      <c r="U32" t="s">
        <v>1701</v>
      </c>
      <c r="V32">
        <v>0</v>
      </c>
      <c r="W32" s="4">
        <v>40000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1702</v>
      </c>
      <c r="AN32" t="s">
        <v>364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2070</v>
      </c>
      <c r="BA32">
        <v>0</v>
      </c>
      <c r="BC32" t="s">
        <v>364</v>
      </c>
      <c r="BF32" t="s">
        <v>2071</v>
      </c>
    </row>
    <row r="33" spans="1:58" x14ac:dyDescent="0.35">
      <c r="A33" t="s">
        <v>1413</v>
      </c>
      <c r="B33">
        <v>10000</v>
      </c>
      <c r="C33">
        <v>20000</v>
      </c>
      <c r="D33" s="2">
        <v>45728</v>
      </c>
      <c r="E33" t="s">
        <v>61</v>
      </c>
      <c r="F33" s="3">
        <v>0.47562500000000002</v>
      </c>
      <c r="G33" t="s">
        <v>1414</v>
      </c>
      <c r="I33">
        <v>1</v>
      </c>
      <c r="J33" t="s">
        <v>63</v>
      </c>
      <c r="K33">
        <v>71</v>
      </c>
      <c r="L33" t="s">
        <v>573</v>
      </c>
      <c r="M33" s="4">
        <v>2698</v>
      </c>
      <c r="P33" s="2">
        <v>45723</v>
      </c>
      <c r="R33">
        <v>1344</v>
      </c>
      <c r="S33" s="4">
        <v>3626112</v>
      </c>
      <c r="T33" t="s">
        <v>65</v>
      </c>
      <c r="U33" t="s">
        <v>1415</v>
      </c>
      <c r="V33">
        <v>0</v>
      </c>
      <c r="W33" s="4">
        <v>3238689</v>
      </c>
      <c r="X33" s="4">
        <v>387423</v>
      </c>
      <c r="Y33">
        <v>0</v>
      </c>
      <c r="Z33">
        <v>0</v>
      </c>
      <c r="AA33">
        <v>0</v>
      </c>
      <c r="AD33">
        <v>0</v>
      </c>
      <c r="AM33" t="s">
        <v>1416</v>
      </c>
      <c r="AN33" t="s">
        <v>481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1417</v>
      </c>
      <c r="BA33">
        <v>0</v>
      </c>
      <c r="BC33" t="s">
        <v>481</v>
      </c>
      <c r="BF33" t="s">
        <v>1418</v>
      </c>
    </row>
    <row r="34" spans="1:58" x14ac:dyDescent="0.35">
      <c r="A34" t="s">
        <v>2072</v>
      </c>
      <c r="B34">
        <v>10000</v>
      </c>
      <c r="C34">
        <v>20000</v>
      </c>
      <c r="D34" s="2">
        <v>45726</v>
      </c>
      <c r="E34" t="s">
        <v>61</v>
      </c>
      <c r="F34" t="s">
        <v>2073</v>
      </c>
      <c r="G34" t="s">
        <v>2074</v>
      </c>
      <c r="I34">
        <v>2</v>
      </c>
      <c r="J34" t="s">
        <v>63</v>
      </c>
      <c r="K34">
        <v>105</v>
      </c>
      <c r="L34" t="s">
        <v>424</v>
      </c>
      <c r="M34">
        <v>600</v>
      </c>
      <c r="P34" s="2">
        <v>45723</v>
      </c>
      <c r="R34">
        <v>1</v>
      </c>
      <c r="S34">
        <v>600</v>
      </c>
      <c r="T34" t="s">
        <v>65</v>
      </c>
      <c r="U34" t="s">
        <v>2075</v>
      </c>
      <c r="V34">
        <v>0</v>
      </c>
      <c r="W34">
        <v>500</v>
      </c>
      <c r="X34">
        <v>100</v>
      </c>
      <c r="Y34">
        <v>0</v>
      </c>
      <c r="Z34">
        <v>0</v>
      </c>
      <c r="AA34">
        <v>0</v>
      </c>
      <c r="AD34">
        <v>0</v>
      </c>
      <c r="AM34" t="s">
        <v>2076</v>
      </c>
      <c r="AN34" t="s">
        <v>1431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2077</v>
      </c>
      <c r="BA34">
        <v>0</v>
      </c>
      <c r="BC34" t="s">
        <v>1431</v>
      </c>
      <c r="BF34" t="s">
        <v>1433</v>
      </c>
    </row>
    <row r="35" spans="1:58" x14ac:dyDescent="0.35">
      <c r="A35" t="s">
        <v>2078</v>
      </c>
      <c r="B35">
        <v>10000</v>
      </c>
      <c r="C35">
        <v>20000</v>
      </c>
      <c r="D35" s="2">
        <v>45726</v>
      </c>
      <c r="E35" t="s">
        <v>61</v>
      </c>
      <c r="F35" s="3">
        <v>0.47541666666666665</v>
      </c>
      <c r="G35" t="s">
        <v>2074</v>
      </c>
      <c r="I35">
        <v>2</v>
      </c>
      <c r="J35" t="s">
        <v>63</v>
      </c>
      <c r="K35">
        <v>105</v>
      </c>
      <c r="L35" t="s">
        <v>424</v>
      </c>
      <c r="M35" s="4">
        <v>1200</v>
      </c>
      <c r="P35" s="2">
        <v>45723</v>
      </c>
      <c r="R35">
        <v>1</v>
      </c>
      <c r="S35" s="4">
        <v>1200</v>
      </c>
      <c r="T35" t="s">
        <v>65</v>
      </c>
      <c r="U35" t="s">
        <v>2079</v>
      </c>
      <c r="V35">
        <v>0</v>
      </c>
      <c r="W35" s="4">
        <v>1000</v>
      </c>
      <c r="X35">
        <v>200</v>
      </c>
      <c r="Y35">
        <v>0</v>
      </c>
      <c r="Z35">
        <v>0</v>
      </c>
      <c r="AA35">
        <v>0</v>
      </c>
      <c r="AD35">
        <v>0</v>
      </c>
      <c r="AM35" t="s">
        <v>2080</v>
      </c>
      <c r="AN35" t="s">
        <v>1431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2081</v>
      </c>
      <c r="BA35">
        <v>0</v>
      </c>
      <c r="BC35" t="s">
        <v>1431</v>
      </c>
      <c r="BF35" t="s">
        <v>1433</v>
      </c>
    </row>
    <row r="36" spans="1:58" x14ac:dyDescent="0.35">
      <c r="A36" t="s">
        <v>2082</v>
      </c>
      <c r="B36">
        <v>10000</v>
      </c>
      <c r="C36">
        <v>20000</v>
      </c>
      <c r="D36" s="2">
        <v>45726</v>
      </c>
      <c r="E36" t="s">
        <v>61</v>
      </c>
      <c r="F36" s="3">
        <v>0.47327546296296297</v>
      </c>
      <c r="G36" t="s">
        <v>2074</v>
      </c>
      <c r="I36">
        <v>2</v>
      </c>
      <c r="J36" t="s">
        <v>63</v>
      </c>
      <c r="K36">
        <v>105</v>
      </c>
      <c r="L36" t="s">
        <v>424</v>
      </c>
      <c r="M36">
        <v>600</v>
      </c>
      <c r="P36" s="2">
        <v>45723</v>
      </c>
      <c r="R36">
        <v>1</v>
      </c>
      <c r="S36">
        <v>600</v>
      </c>
      <c r="T36" t="s">
        <v>65</v>
      </c>
      <c r="U36" t="s">
        <v>2083</v>
      </c>
      <c r="V36">
        <v>0</v>
      </c>
      <c r="W36">
        <v>500</v>
      </c>
      <c r="X36">
        <v>100</v>
      </c>
      <c r="Y36">
        <v>0</v>
      </c>
      <c r="Z36">
        <v>0</v>
      </c>
      <c r="AA36">
        <v>0</v>
      </c>
      <c r="AD36">
        <v>0</v>
      </c>
      <c r="AM36" t="s">
        <v>2084</v>
      </c>
      <c r="AN36" t="s">
        <v>1431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2085</v>
      </c>
      <c r="BA36">
        <v>0</v>
      </c>
      <c r="BC36" t="s">
        <v>1431</v>
      </c>
      <c r="BF36" t="s">
        <v>1433</v>
      </c>
    </row>
    <row r="37" spans="1:58" x14ac:dyDescent="0.35">
      <c r="A37" t="s">
        <v>1427</v>
      </c>
      <c r="B37">
        <v>10000</v>
      </c>
      <c r="C37">
        <v>20000</v>
      </c>
      <c r="D37" s="2">
        <v>45726</v>
      </c>
      <c r="E37" t="s">
        <v>61</v>
      </c>
      <c r="F37" s="3">
        <v>0.47584490740740742</v>
      </c>
      <c r="G37" t="s">
        <v>1428</v>
      </c>
      <c r="I37">
        <v>2</v>
      </c>
      <c r="J37" t="s">
        <v>63</v>
      </c>
      <c r="K37">
        <v>105</v>
      </c>
      <c r="L37" t="s">
        <v>424</v>
      </c>
      <c r="M37" s="4">
        <v>1200</v>
      </c>
      <c r="P37" s="2">
        <v>45723</v>
      </c>
      <c r="R37">
        <v>1</v>
      </c>
      <c r="S37" s="4">
        <v>1200</v>
      </c>
      <c r="T37" t="s">
        <v>65</v>
      </c>
      <c r="U37" t="s">
        <v>1429</v>
      </c>
      <c r="V37">
        <v>0</v>
      </c>
      <c r="W37" s="4">
        <v>1000</v>
      </c>
      <c r="X37">
        <v>200</v>
      </c>
      <c r="Y37">
        <v>0</v>
      </c>
      <c r="Z37">
        <v>0</v>
      </c>
      <c r="AA37">
        <v>0</v>
      </c>
      <c r="AD37">
        <v>0</v>
      </c>
      <c r="AM37" t="s">
        <v>1430</v>
      </c>
      <c r="AN37" t="s">
        <v>1431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1432</v>
      </c>
      <c r="BA37">
        <v>0</v>
      </c>
      <c r="BC37" t="s">
        <v>1431</v>
      </c>
      <c r="BF37" t="s">
        <v>1433</v>
      </c>
    </row>
    <row r="38" spans="1:58" x14ac:dyDescent="0.35">
      <c r="A38" t="s">
        <v>1014</v>
      </c>
      <c r="B38">
        <v>10000</v>
      </c>
      <c r="C38">
        <v>20000</v>
      </c>
      <c r="D38" s="2">
        <v>45726</v>
      </c>
      <c r="E38" t="s">
        <v>61</v>
      </c>
      <c r="F38" t="s">
        <v>1015</v>
      </c>
      <c r="G38" s="6">
        <v>925200</v>
      </c>
      <c r="I38">
        <v>2</v>
      </c>
      <c r="J38" t="s">
        <v>63</v>
      </c>
      <c r="K38">
        <v>92</v>
      </c>
      <c r="L38" t="s">
        <v>424</v>
      </c>
      <c r="M38" s="4">
        <v>3200</v>
      </c>
      <c r="P38" s="2">
        <v>45723</v>
      </c>
      <c r="R38">
        <v>1</v>
      </c>
      <c r="S38" s="4">
        <v>3200</v>
      </c>
      <c r="T38" t="s">
        <v>65</v>
      </c>
      <c r="U38">
        <v>10258252000001</v>
      </c>
      <c r="V38">
        <v>0</v>
      </c>
      <c r="W38" s="4">
        <v>3000</v>
      </c>
      <c r="X38">
        <v>200</v>
      </c>
      <c r="Y38">
        <v>0</v>
      </c>
      <c r="Z38">
        <v>0</v>
      </c>
      <c r="AA38">
        <v>0</v>
      </c>
      <c r="AD38">
        <v>0</v>
      </c>
      <c r="AM38">
        <v>1025825200</v>
      </c>
      <c r="AN38" t="s">
        <v>1016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1017</v>
      </c>
      <c r="BA38">
        <v>0</v>
      </c>
      <c r="BC38" t="s">
        <v>1016</v>
      </c>
      <c r="BF38" t="s">
        <v>1018</v>
      </c>
    </row>
    <row r="39" spans="1:58" x14ac:dyDescent="0.35">
      <c r="A39" t="s">
        <v>1056</v>
      </c>
      <c r="B39">
        <v>10000</v>
      </c>
      <c r="C39">
        <v>20000</v>
      </c>
      <c r="D39" s="2">
        <v>45740</v>
      </c>
      <c r="E39" t="s">
        <v>61</v>
      </c>
      <c r="F39" t="s">
        <v>2086</v>
      </c>
      <c r="G39">
        <v>10639931050</v>
      </c>
      <c r="I39">
        <v>2</v>
      </c>
      <c r="J39" t="s">
        <v>63</v>
      </c>
      <c r="K39">
        <v>77</v>
      </c>
      <c r="L39" t="s">
        <v>127</v>
      </c>
      <c r="M39">
        <v>523</v>
      </c>
      <c r="P39" s="2">
        <v>45723</v>
      </c>
      <c r="R39">
        <v>88</v>
      </c>
      <c r="S39" s="4">
        <v>46024</v>
      </c>
      <c r="T39" t="s">
        <v>65</v>
      </c>
      <c r="U39" t="s">
        <v>1057</v>
      </c>
      <c r="V39">
        <v>0</v>
      </c>
      <c r="W39" s="4">
        <v>30000</v>
      </c>
      <c r="X39" s="4">
        <v>16024</v>
      </c>
      <c r="Y39">
        <v>0</v>
      </c>
      <c r="Z39">
        <v>0</v>
      </c>
      <c r="AA39">
        <v>0</v>
      </c>
      <c r="AD39">
        <v>0</v>
      </c>
      <c r="AM39" t="s">
        <v>1058</v>
      </c>
      <c r="AN39" t="s">
        <v>107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1059</v>
      </c>
      <c r="BA39">
        <v>0</v>
      </c>
      <c r="BC39" t="s">
        <v>107</v>
      </c>
      <c r="BF39" t="s">
        <v>626</v>
      </c>
    </row>
    <row r="40" spans="1:58" x14ac:dyDescent="0.35">
      <c r="A40" t="s">
        <v>2087</v>
      </c>
      <c r="B40">
        <v>10000</v>
      </c>
      <c r="C40">
        <v>10000</v>
      </c>
      <c r="D40" s="2">
        <v>45726</v>
      </c>
      <c r="E40" t="s">
        <v>61</v>
      </c>
      <c r="F40" t="s">
        <v>2088</v>
      </c>
      <c r="G40" t="s">
        <v>2089</v>
      </c>
      <c r="I40">
        <v>1</v>
      </c>
      <c r="J40" t="s">
        <v>63</v>
      </c>
      <c r="K40">
        <v>31</v>
      </c>
      <c r="L40" t="s">
        <v>1311</v>
      </c>
      <c r="M40" s="4">
        <v>2500</v>
      </c>
      <c r="P40" s="2">
        <v>45723</v>
      </c>
      <c r="R40">
        <v>4</v>
      </c>
      <c r="S40" s="4">
        <v>10000</v>
      </c>
      <c r="T40" t="s">
        <v>65</v>
      </c>
      <c r="U40">
        <v>200129790001</v>
      </c>
      <c r="V40">
        <v>0</v>
      </c>
      <c r="W40" s="4">
        <v>10000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20012979</v>
      </c>
      <c r="AN40" t="s">
        <v>182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2090</v>
      </c>
      <c r="BA40">
        <v>0</v>
      </c>
      <c r="BC40" t="s">
        <v>182</v>
      </c>
      <c r="BF40" t="s">
        <v>2091</v>
      </c>
    </row>
    <row r="41" spans="1:58" x14ac:dyDescent="0.35">
      <c r="A41" t="s">
        <v>2087</v>
      </c>
      <c r="B41">
        <v>20000</v>
      </c>
      <c r="C41">
        <v>10000</v>
      </c>
      <c r="D41" s="2">
        <v>45726</v>
      </c>
      <c r="E41" t="s">
        <v>61</v>
      </c>
      <c r="F41" t="s">
        <v>2088</v>
      </c>
      <c r="G41" t="s">
        <v>2089</v>
      </c>
      <c r="I41">
        <v>1</v>
      </c>
      <c r="J41" t="s">
        <v>63</v>
      </c>
      <c r="K41">
        <v>31</v>
      </c>
      <c r="L41" t="s">
        <v>1311</v>
      </c>
      <c r="M41" s="4">
        <v>2500</v>
      </c>
      <c r="P41" s="2">
        <v>45723</v>
      </c>
      <c r="R41">
        <v>4</v>
      </c>
      <c r="S41" s="4">
        <v>10000</v>
      </c>
      <c r="T41" t="s">
        <v>65</v>
      </c>
      <c r="U41">
        <v>200129790001</v>
      </c>
      <c r="V41">
        <v>0</v>
      </c>
      <c r="W41" s="4">
        <v>10000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20012979</v>
      </c>
      <c r="AN41" t="s">
        <v>182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2090</v>
      </c>
      <c r="BA41">
        <v>0</v>
      </c>
      <c r="BC41" t="s">
        <v>182</v>
      </c>
      <c r="BF41" t="s">
        <v>2091</v>
      </c>
    </row>
    <row r="42" spans="1:58" x14ac:dyDescent="0.35">
      <c r="A42" t="s">
        <v>2092</v>
      </c>
      <c r="B42">
        <v>10000</v>
      </c>
      <c r="C42">
        <v>10000</v>
      </c>
      <c r="D42" s="2">
        <v>45734</v>
      </c>
      <c r="E42" t="s">
        <v>61</v>
      </c>
      <c r="F42" t="s">
        <v>2093</v>
      </c>
      <c r="G42" t="s">
        <v>2094</v>
      </c>
      <c r="I42">
        <v>1</v>
      </c>
      <c r="J42" t="s">
        <v>63</v>
      </c>
      <c r="K42">
        <v>29</v>
      </c>
      <c r="L42" t="s">
        <v>249</v>
      </c>
      <c r="M42" s="4">
        <v>80000</v>
      </c>
      <c r="P42" s="2">
        <v>45723</v>
      </c>
      <c r="R42">
        <v>28</v>
      </c>
      <c r="S42" s="4">
        <v>2240000</v>
      </c>
      <c r="T42" t="s">
        <v>65</v>
      </c>
      <c r="U42">
        <v>6622480001</v>
      </c>
      <c r="V42">
        <v>0</v>
      </c>
      <c r="W42" s="4">
        <v>2218146</v>
      </c>
      <c r="X42" s="4">
        <v>21854</v>
      </c>
      <c r="Y42">
        <v>0</v>
      </c>
      <c r="Z42">
        <v>0</v>
      </c>
      <c r="AA42">
        <v>0</v>
      </c>
      <c r="AD42">
        <v>0</v>
      </c>
      <c r="AM42">
        <v>662248</v>
      </c>
      <c r="AN42" t="s">
        <v>481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2095</v>
      </c>
      <c r="BA42">
        <v>0</v>
      </c>
      <c r="BC42" t="s">
        <v>481</v>
      </c>
      <c r="BF42" t="s">
        <v>2096</v>
      </c>
    </row>
    <row r="43" spans="1:58" x14ac:dyDescent="0.35">
      <c r="A43" t="s">
        <v>2097</v>
      </c>
      <c r="B43">
        <v>10000</v>
      </c>
      <c r="C43">
        <v>10000</v>
      </c>
      <c r="D43" s="2">
        <v>45726</v>
      </c>
      <c r="E43" t="s">
        <v>61</v>
      </c>
      <c r="F43" t="s">
        <v>2051</v>
      </c>
      <c r="G43" t="s">
        <v>2052</v>
      </c>
      <c r="I43">
        <v>1</v>
      </c>
      <c r="J43" t="s">
        <v>63</v>
      </c>
      <c r="K43">
        <v>78</v>
      </c>
      <c r="L43" t="s">
        <v>188</v>
      </c>
      <c r="M43">
        <v>800</v>
      </c>
      <c r="P43" s="2">
        <v>45723</v>
      </c>
      <c r="R43">
        <v>15</v>
      </c>
      <c r="S43" s="4">
        <v>12000</v>
      </c>
      <c r="T43" t="s">
        <v>65</v>
      </c>
      <c r="U43" t="s">
        <v>2053</v>
      </c>
      <c r="V43">
        <v>0</v>
      </c>
      <c r="W43" s="4">
        <v>12000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2054</v>
      </c>
      <c r="AN43" t="s">
        <v>721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2098</v>
      </c>
      <c r="BA43">
        <v>0</v>
      </c>
      <c r="BC43" t="s">
        <v>721</v>
      </c>
      <c r="BF43" t="s">
        <v>723</v>
      </c>
    </row>
    <row r="44" spans="1:58" x14ac:dyDescent="0.35">
      <c r="A44" t="s">
        <v>2099</v>
      </c>
      <c r="B44">
        <v>10000</v>
      </c>
      <c r="C44">
        <v>10000</v>
      </c>
      <c r="D44" s="2">
        <v>45723</v>
      </c>
      <c r="E44" t="s">
        <v>61</v>
      </c>
      <c r="F44" t="s">
        <v>2100</v>
      </c>
      <c r="G44" t="s">
        <v>2101</v>
      </c>
      <c r="I44">
        <v>1</v>
      </c>
      <c r="J44" t="s">
        <v>63</v>
      </c>
      <c r="K44">
        <v>61</v>
      </c>
      <c r="L44" t="s">
        <v>216</v>
      </c>
      <c r="M44">
        <v>100</v>
      </c>
      <c r="P44" s="2">
        <v>45723</v>
      </c>
      <c r="R44">
        <v>1</v>
      </c>
      <c r="S44">
        <v>100</v>
      </c>
      <c r="T44" t="s">
        <v>65</v>
      </c>
      <c r="U44">
        <v>107353950001</v>
      </c>
      <c r="V44">
        <v>0</v>
      </c>
      <c r="W44">
        <v>100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10735395</v>
      </c>
      <c r="AN44" t="s">
        <v>487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2102</v>
      </c>
      <c r="BA44">
        <v>0</v>
      </c>
      <c r="BC44" t="s">
        <v>487</v>
      </c>
      <c r="BF44" t="s">
        <v>1092</v>
      </c>
    </row>
    <row r="45" spans="1:58" x14ac:dyDescent="0.35">
      <c r="A45" t="s">
        <v>2103</v>
      </c>
      <c r="B45">
        <v>10000</v>
      </c>
      <c r="C45">
        <v>10000</v>
      </c>
      <c r="D45" s="2">
        <v>45723</v>
      </c>
      <c r="E45" t="s">
        <v>61</v>
      </c>
      <c r="F45" t="s">
        <v>2100</v>
      </c>
      <c r="G45" t="s">
        <v>2101</v>
      </c>
      <c r="I45">
        <v>1</v>
      </c>
      <c r="J45" t="s">
        <v>63</v>
      </c>
      <c r="K45">
        <v>61</v>
      </c>
      <c r="L45" t="s">
        <v>216</v>
      </c>
      <c r="M45">
        <v>5</v>
      </c>
      <c r="P45" s="2">
        <v>45723</v>
      </c>
      <c r="R45">
        <v>1</v>
      </c>
      <c r="S45">
        <v>5</v>
      </c>
      <c r="T45" t="s">
        <v>65</v>
      </c>
      <c r="U45">
        <v>107353950001</v>
      </c>
      <c r="V45">
        <v>0</v>
      </c>
      <c r="W45">
        <v>5</v>
      </c>
      <c r="X45">
        <v>0</v>
      </c>
      <c r="Y45">
        <v>0</v>
      </c>
      <c r="Z45">
        <v>0</v>
      </c>
      <c r="AA45">
        <v>0</v>
      </c>
      <c r="AD45">
        <v>0</v>
      </c>
      <c r="AM45">
        <v>10735395</v>
      </c>
      <c r="AN45" t="s">
        <v>487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2104</v>
      </c>
      <c r="BA45">
        <v>0</v>
      </c>
      <c r="BC45" t="s">
        <v>487</v>
      </c>
      <c r="BF45" t="s">
        <v>1095</v>
      </c>
    </row>
    <row r="46" spans="1:58" x14ac:dyDescent="0.35">
      <c r="A46" t="s">
        <v>2105</v>
      </c>
      <c r="B46">
        <v>10000</v>
      </c>
      <c r="C46">
        <v>10000</v>
      </c>
      <c r="D46" s="2">
        <v>45730</v>
      </c>
      <c r="E46" t="s">
        <v>61</v>
      </c>
      <c r="F46" t="s">
        <v>2106</v>
      </c>
      <c r="G46" t="s">
        <v>2107</v>
      </c>
      <c r="I46">
        <v>1</v>
      </c>
      <c r="J46" t="s">
        <v>63</v>
      </c>
      <c r="K46">
        <v>88</v>
      </c>
      <c r="L46" t="s">
        <v>630</v>
      </c>
      <c r="M46" s="4">
        <v>1594</v>
      </c>
      <c r="P46" s="2">
        <v>45723</v>
      </c>
      <c r="R46">
        <v>1</v>
      </c>
      <c r="S46" s="4">
        <v>1594</v>
      </c>
      <c r="T46" t="s">
        <v>65</v>
      </c>
      <c r="U46" t="s">
        <v>2108</v>
      </c>
      <c r="V46">
        <v>0</v>
      </c>
      <c r="W46" s="4">
        <v>1594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2109</v>
      </c>
      <c r="AN46" t="s">
        <v>1879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2110</v>
      </c>
      <c r="BA46">
        <v>0</v>
      </c>
      <c r="BC46" t="s">
        <v>1879</v>
      </c>
      <c r="BF46" t="s">
        <v>1881</v>
      </c>
    </row>
    <row r="47" spans="1:58" x14ac:dyDescent="0.35">
      <c r="A47" t="s">
        <v>2105</v>
      </c>
      <c r="B47">
        <v>20000</v>
      </c>
      <c r="C47">
        <v>10000</v>
      </c>
      <c r="D47" s="2">
        <v>45730</v>
      </c>
      <c r="E47" t="s">
        <v>61</v>
      </c>
      <c r="F47" t="s">
        <v>2106</v>
      </c>
      <c r="G47" t="s">
        <v>2107</v>
      </c>
      <c r="I47">
        <v>1</v>
      </c>
      <c r="J47" t="s">
        <v>63</v>
      </c>
      <c r="K47">
        <v>88</v>
      </c>
      <c r="L47" t="s">
        <v>630</v>
      </c>
      <c r="M47">
        <v>606</v>
      </c>
      <c r="P47" s="2">
        <v>45723</v>
      </c>
      <c r="R47">
        <v>1</v>
      </c>
      <c r="S47">
        <v>606</v>
      </c>
      <c r="T47" t="s">
        <v>65</v>
      </c>
      <c r="U47" t="s">
        <v>2108</v>
      </c>
      <c r="V47">
        <v>0</v>
      </c>
      <c r="W47">
        <v>606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2109</v>
      </c>
      <c r="AN47" t="s">
        <v>1879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2110</v>
      </c>
      <c r="BA47">
        <v>0</v>
      </c>
      <c r="BC47" t="s">
        <v>1879</v>
      </c>
      <c r="BF47" t="s">
        <v>1881</v>
      </c>
    </row>
    <row r="48" spans="1:58" x14ac:dyDescent="0.35">
      <c r="A48" t="s">
        <v>2111</v>
      </c>
      <c r="B48">
        <v>10000</v>
      </c>
      <c r="C48">
        <v>10000</v>
      </c>
      <c r="D48" s="2">
        <v>45726</v>
      </c>
      <c r="E48" t="s">
        <v>61</v>
      </c>
      <c r="F48" t="s">
        <v>2112</v>
      </c>
      <c r="G48" t="s">
        <v>2113</v>
      </c>
      <c r="I48">
        <v>1</v>
      </c>
      <c r="J48" t="s">
        <v>63</v>
      </c>
      <c r="K48">
        <v>12</v>
      </c>
      <c r="L48" t="s">
        <v>478</v>
      </c>
      <c r="M48" s="4">
        <v>32000</v>
      </c>
      <c r="P48" s="2">
        <v>45723</v>
      </c>
      <c r="R48">
        <v>1</v>
      </c>
      <c r="S48" s="4">
        <v>32000</v>
      </c>
      <c r="T48" t="s">
        <v>65</v>
      </c>
      <c r="U48" t="s">
        <v>2114</v>
      </c>
      <c r="V48">
        <v>0</v>
      </c>
      <c r="W48" s="4">
        <v>32000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2115</v>
      </c>
      <c r="AN48" t="s">
        <v>116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2116</v>
      </c>
      <c r="BA48">
        <v>0</v>
      </c>
      <c r="BC48" t="s">
        <v>116</v>
      </c>
      <c r="BF48" t="s">
        <v>1906</v>
      </c>
    </row>
    <row r="49" spans="1:58" x14ac:dyDescent="0.35">
      <c r="A49" t="s">
        <v>2117</v>
      </c>
      <c r="B49">
        <v>10000</v>
      </c>
      <c r="C49">
        <v>10000</v>
      </c>
      <c r="D49" s="2">
        <v>45723</v>
      </c>
      <c r="E49" t="s">
        <v>61</v>
      </c>
      <c r="F49" s="3">
        <v>0.5337615740740741</v>
      </c>
      <c r="G49" t="s">
        <v>1126</v>
      </c>
      <c r="I49">
        <v>1</v>
      </c>
      <c r="J49" t="s">
        <v>63</v>
      </c>
      <c r="K49">
        <v>22</v>
      </c>
      <c r="L49" t="s">
        <v>466</v>
      </c>
      <c r="M49" s="4">
        <v>3000</v>
      </c>
      <c r="P49" s="2">
        <v>45723</v>
      </c>
      <c r="R49">
        <v>2</v>
      </c>
      <c r="S49" s="4">
        <v>6000</v>
      </c>
      <c r="T49" t="s">
        <v>65</v>
      </c>
      <c r="U49" t="s">
        <v>2118</v>
      </c>
      <c r="V49">
        <v>0</v>
      </c>
      <c r="W49" s="4">
        <v>6000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2119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2120</v>
      </c>
      <c r="BA49">
        <v>0</v>
      </c>
      <c r="BC49" t="s">
        <v>116</v>
      </c>
      <c r="BF49" t="s">
        <v>1906</v>
      </c>
    </row>
    <row r="50" spans="1:58" x14ac:dyDescent="0.35">
      <c r="A50" t="s">
        <v>2121</v>
      </c>
      <c r="B50">
        <v>10000</v>
      </c>
      <c r="C50">
        <v>10000</v>
      </c>
      <c r="D50" s="2">
        <v>45723</v>
      </c>
      <c r="E50" t="s">
        <v>61</v>
      </c>
      <c r="F50" t="s">
        <v>2122</v>
      </c>
      <c r="G50" t="s">
        <v>2123</v>
      </c>
      <c r="I50">
        <v>1</v>
      </c>
      <c r="J50" t="s">
        <v>63</v>
      </c>
      <c r="K50">
        <v>61</v>
      </c>
      <c r="L50" t="s">
        <v>197</v>
      </c>
      <c r="M50" s="4">
        <v>1667</v>
      </c>
      <c r="P50" s="2">
        <v>45723</v>
      </c>
      <c r="R50">
        <v>6</v>
      </c>
      <c r="S50" s="4">
        <v>10002</v>
      </c>
      <c r="T50" t="s">
        <v>65</v>
      </c>
      <c r="U50" t="s">
        <v>2124</v>
      </c>
      <c r="V50">
        <v>0</v>
      </c>
      <c r="W50" s="4">
        <v>10000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2125</v>
      </c>
      <c r="AN50" t="s">
        <v>116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2126</v>
      </c>
      <c r="BA50">
        <v>0</v>
      </c>
      <c r="BC50" t="s">
        <v>116</v>
      </c>
      <c r="BF50" t="s">
        <v>1906</v>
      </c>
    </row>
    <row r="51" spans="1:58" x14ac:dyDescent="0.35">
      <c r="A51" t="s">
        <v>2127</v>
      </c>
      <c r="B51">
        <v>10000</v>
      </c>
      <c r="C51">
        <v>10000</v>
      </c>
      <c r="D51" s="2">
        <v>45723</v>
      </c>
      <c r="E51" t="s">
        <v>61</v>
      </c>
      <c r="F51" t="s">
        <v>2128</v>
      </c>
      <c r="G51" t="s">
        <v>2129</v>
      </c>
      <c r="I51">
        <v>1</v>
      </c>
      <c r="J51" t="s">
        <v>63</v>
      </c>
      <c r="K51">
        <v>22</v>
      </c>
      <c r="L51" t="s">
        <v>466</v>
      </c>
      <c r="M51" s="4">
        <v>11500</v>
      </c>
      <c r="P51" s="2">
        <v>45723</v>
      </c>
      <c r="R51">
        <v>2</v>
      </c>
      <c r="S51" s="4">
        <v>23000</v>
      </c>
      <c r="T51" t="s">
        <v>65</v>
      </c>
      <c r="U51" t="s">
        <v>2118</v>
      </c>
      <c r="V51">
        <v>0</v>
      </c>
      <c r="W51" s="4">
        <v>23000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2119</v>
      </c>
      <c r="AN51" t="s">
        <v>116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2130</v>
      </c>
      <c r="BA51">
        <v>0</v>
      </c>
      <c r="BC51" t="s">
        <v>116</v>
      </c>
      <c r="BF51" t="s">
        <v>1918</v>
      </c>
    </row>
    <row r="52" spans="1:58" x14ac:dyDescent="0.35">
      <c r="A52" t="s">
        <v>2131</v>
      </c>
      <c r="B52">
        <v>10000</v>
      </c>
      <c r="C52">
        <v>10000</v>
      </c>
      <c r="D52" s="2">
        <v>45723</v>
      </c>
      <c r="E52" t="s">
        <v>61</v>
      </c>
      <c r="F52" t="s">
        <v>2132</v>
      </c>
      <c r="G52" t="s">
        <v>2123</v>
      </c>
      <c r="I52">
        <v>1</v>
      </c>
      <c r="J52" t="s">
        <v>63</v>
      </c>
      <c r="K52">
        <v>61</v>
      </c>
      <c r="L52" t="s">
        <v>197</v>
      </c>
      <c r="M52" s="4">
        <v>3667</v>
      </c>
      <c r="P52" s="2">
        <v>45723</v>
      </c>
      <c r="R52">
        <v>6</v>
      </c>
      <c r="S52" s="4">
        <v>22002</v>
      </c>
      <c r="T52" t="s">
        <v>65</v>
      </c>
      <c r="U52" t="s">
        <v>2124</v>
      </c>
      <c r="V52">
        <v>0</v>
      </c>
      <c r="W52" s="4">
        <v>22000</v>
      </c>
      <c r="X52">
        <v>2</v>
      </c>
      <c r="Y52">
        <v>0</v>
      </c>
      <c r="Z52">
        <v>0</v>
      </c>
      <c r="AA52">
        <v>0</v>
      </c>
      <c r="AD52">
        <v>0</v>
      </c>
      <c r="AM52" t="s">
        <v>2125</v>
      </c>
      <c r="AN52" t="s">
        <v>116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2133</v>
      </c>
      <c r="BA52">
        <v>0</v>
      </c>
      <c r="BC52" t="s">
        <v>116</v>
      </c>
      <c r="BF52" t="s">
        <v>1918</v>
      </c>
    </row>
    <row r="53" spans="1:58" x14ac:dyDescent="0.35">
      <c r="A53" t="s">
        <v>2134</v>
      </c>
      <c r="B53">
        <v>10000</v>
      </c>
      <c r="C53">
        <v>10000</v>
      </c>
      <c r="D53" s="2">
        <v>45723</v>
      </c>
      <c r="E53" t="s">
        <v>61</v>
      </c>
      <c r="F53" t="s">
        <v>2122</v>
      </c>
      <c r="G53" t="s">
        <v>1980</v>
      </c>
      <c r="I53">
        <v>1</v>
      </c>
      <c r="J53" t="s">
        <v>63</v>
      </c>
      <c r="K53">
        <v>65</v>
      </c>
      <c r="L53" t="s">
        <v>268</v>
      </c>
      <c r="M53" s="4">
        <v>12000</v>
      </c>
      <c r="P53" s="2">
        <v>45723</v>
      </c>
      <c r="R53">
        <v>2</v>
      </c>
      <c r="S53" s="4">
        <v>24000</v>
      </c>
      <c r="T53" t="s">
        <v>65</v>
      </c>
      <c r="U53" t="s">
        <v>2135</v>
      </c>
      <c r="V53">
        <v>0</v>
      </c>
      <c r="W53" s="4">
        <v>24000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2136</v>
      </c>
      <c r="AN53" t="s">
        <v>2137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2138</v>
      </c>
      <c r="BA53">
        <v>0</v>
      </c>
      <c r="BC53" t="s">
        <v>2137</v>
      </c>
      <c r="BF53" t="s">
        <v>2139</v>
      </c>
    </row>
    <row r="54" spans="1:58" x14ac:dyDescent="0.35">
      <c r="A54" t="s">
        <v>1961</v>
      </c>
      <c r="B54">
        <v>10000</v>
      </c>
      <c r="C54">
        <v>20000</v>
      </c>
      <c r="D54" s="2">
        <v>45723</v>
      </c>
      <c r="E54" t="s">
        <v>61</v>
      </c>
      <c r="F54" t="s">
        <v>1962</v>
      </c>
      <c r="G54" t="s">
        <v>1963</v>
      </c>
      <c r="I54">
        <v>2</v>
      </c>
      <c r="J54" t="s">
        <v>63</v>
      </c>
      <c r="K54">
        <v>112</v>
      </c>
      <c r="L54" t="s">
        <v>533</v>
      </c>
      <c r="M54" s="4">
        <v>13000</v>
      </c>
      <c r="P54" s="2">
        <v>45723</v>
      </c>
      <c r="R54">
        <v>90</v>
      </c>
      <c r="S54" s="4">
        <v>1170000</v>
      </c>
      <c r="T54" t="s">
        <v>65</v>
      </c>
      <c r="U54" t="s">
        <v>1964</v>
      </c>
      <c r="V54">
        <v>0</v>
      </c>
      <c r="W54" s="4">
        <v>1440000</v>
      </c>
      <c r="X54" s="4">
        <v>-270000</v>
      </c>
      <c r="Y54">
        <v>0</v>
      </c>
      <c r="Z54">
        <v>0</v>
      </c>
      <c r="AA54">
        <v>0</v>
      </c>
      <c r="AD54">
        <v>0</v>
      </c>
      <c r="AM54" t="s">
        <v>1965</v>
      </c>
      <c r="AN54" t="s">
        <v>206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1966</v>
      </c>
      <c r="BA54">
        <v>0</v>
      </c>
      <c r="BC54" t="s">
        <v>206</v>
      </c>
      <c r="BF54" t="s">
        <v>1967</v>
      </c>
    </row>
    <row r="55" spans="1:58" x14ac:dyDescent="0.35">
      <c r="A55" t="s">
        <v>2140</v>
      </c>
      <c r="B55">
        <v>10000</v>
      </c>
      <c r="C55">
        <v>10000</v>
      </c>
      <c r="D55" s="2">
        <v>45723</v>
      </c>
      <c r="E55" t="s">
        <v>61</v>
      </c>
      <c r="F55" t="s">
        <v>2023</v>
      </c>
      <c r="G55" t="s">
        <v>2024</v>
      </c>
      <c r="I55">
        <v>1</v>
      </c>
      <c r="J55" t="s">
        <v>63</v>
      </c>
      <c r="K55">
        <v>60</v>
      </c>
      <c r="L55" t="s">
        <v>277</v>
      </c>
      <c r="M55" s="4">
        <v>9300</v>
      </c>
      <c r="P55" s="2">
        <v>45723</v>
      </c>
      <c r="R55">
        <v>10</v>
      </c>
      <c r="S55" s="4">
        <v>93000</v>
      </c>
      <c r="T55" t="s">
        <v>65</v>
      </c>
      <c r="U55" t="s">
        <v>2025</v>
      </c>
      <c r="V55">
        <v>0</v>
      </c>
      <c r="W55" s="4">
        <v>93000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2026</v>
      </c>
      <c r="AN55" t="s">
        <v>321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2141</v>
      </c>
      <c r="BA55">
        <v>0</v>
      </c>
      <c r="BC55" t="s">
        <v>321</v>
      </c>
      <c r="BF55" t="s">
        <v>2142</v>
      </c>
    </row>
    <row r="56" spans="1:58" x14ac:dyDescent="0.35">
      <c r="A56" t="s">
        <v>1968</v>
      </c>
      <c r="B56">
        <v>10000</v>
      </c>
      <c r="C56">
        <v>40000</v>
      </c>
      <c r="D56" s="2">
        <v>45727</v>
      </c>
      <c r="E56" t="s">
        <v>61</v>
      </c>
      <c r="F56" s="3">
        <v>0.44810185185185186</v>
      </c>
      <c r="G56">
        <v>59469</v>
      </c>
      <c r="I56">
        <v>2</v>
      </c>
      <c r="J56" t="s">
        <v>63</v>
      </c>
      <c r="K56" t="s">
        <v>2143</v>
      </c>
      <c r="L56" t="s">
        <v>2144</v>
      </c>
      <c r="M56" s="4">
        <v>167834</v>
      </c>
      <c r="P56" s="2">
        <v>45723</v>
      </c>
      <c r="R56">
        <v>6</v>
      </c>
      <c r="S56" s="4">
        <v>1007004</v>
      </c>
      <c r="T56" t="s">
        <v>65</v>
      </c>
      <c r="U56" t="s">
        <v>1410</v>
      </c>
      <c r="V56">
        <v>0</v>
      </c>
      <c r="W56" s="4">
        <v>1026649</v>
      </c>
      <c r="X56" s="4">
        <v>-19645</v>
      </c>
      <c r="Y56">
        <v>0</v>
      </c>
      <c r="Z56">
        <v>0</v>
      </c>
      <c r="AA56">
        <v>0</v>
      </c>
      <c r="AD56">
        <v>0</v>
      </c>
      <c r="AM56" t="s">
        <v>1411</v>
      </c>
      <c r="AN56" t="s">
        <v>321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1970</v>
      </c>
      <c r="BA56">
        <v>0</v>
      </c>
      <c r="BC56" t="s">
        <v>321</v>
      </c>
      <c r="BF56" t="s">
        <v>1971</v>
      </c>
    </row>
    <row r="57" spans="1:58" x14ac:dyDescent="0.35">
      <c r="A57" t="s">
        <v>1972</v>
      </c>
      <c r="B57">
        <v>10000</v>
      </c>
      <c r="C57">
        <v>20000</v>
      </c>
      <c r="D57" s="2">
        <v>45723</v>
      </c>
      <c r="E57" t="s">
        <v>61</v>
      </c>
      <c r="F57" t="s">
        <v>1973</v>
      </c>
      <c r="G57">
        <v>59469</v>
      </c>
      <c r="I57">
        <v>2</v>
      </c>
      <c r="J57" t="s">
        <v>63</v>
      </c>
      <c r="K57">
        <v>96</v>
      </c>
      <c r="L57" t="s">
        <v>104</v>
      </c>
      <c r="M57" s="4">
        <v>30625</v>
      </c>
      <c r="P57" s="2">
        <v>45723</v>
      </c>
      <c r="R57">
        <v>6</v>
      </c>
      <c r="S57" s="4">
        <v>183750</v>
      </c>
      <c r="T57" t="s">
        <v>65</v>
      </c>
      <c r="U57" t="s">
        <v>1974</v>
      </c>
      <c r="V57">
        <v>0</v>
      </c>
      <c r="W57" s="4">
        <v>183750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1975</v>
      </c>
      <c r="AN57" t="s">
        <v>321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1976</v>
      </c>
      <c r="BA57">
        <v>0</v>
      </c>
      <c r="BC57" t="s">
        <v>321</v>
      </c>
      <c r="BF57" t="s">
        <v>1977</v>
      </c>
    </row>
    <row r="58" spans="1:58" x14ac:dyDescent="0.35">
      <c r="A58" t="s">
        <v>2145</v>
      </c>
      <c r="B58">
        <v>10000</v>
      </c>
      <c r="C58">
        <v>10000</v>
      </c>
      <c r="D58" s="2">
        <v>45727</v>
      </c>
      <c r="E58" t="s">
        <v>61</v>
      </c>
      <c r="F58" t="s">
        <v>2018</v>
      </c>
      <c r="G58" t="s">
        <v>2146</v>
      </c>
      <c r="I58">
        <v>1</v>
      </c>
      <c r="J58" t="s">
        <v>63</v>
      </c>
      <c r="K58" t="s">
        <v>399</v>
      </c>
      <c r="L58" t="s">
        <v>380</v>
      </c>
      <c r="M58" s="4">
        <v>45000</v>
      </c>
      <c r="P58" s="2">
        <v>45723</v>
      </c>
      <c r="R58">
        <v>1</v>
      </c>
      <c r="S58" s="4">
        <v>45000</v>
      </c>
      <c r="T58" t="s">
        <v>65</v>
      </c>
      <c r="U58" t="s">
        <v>381</v>
      </c>
      <c r="V58">
        <v>0</v>
      </c>
      <c r="W58" s="4">
        <v>45000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382</v>
      </c>
      <c r="AN58" t="s">
        <v>157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2147</v>
      </c>
      <c r="BA58">
        <v>0</v>
      </c>
      <c r="BC58" t="s">
        <v>157</v>
      </c>
      <c r="BF58" t="s">
        <v>2148</v>
      </c>
    </row>
    <row r="70" spans="1:2" x14ac:dyDescent="0.35">
      <c r="A70">
        <f>COUNTA(A5:A69)</f>
        <v>54</v>
      </c>
      <c r="B70">
        <f>'6-Mar'!B130+'07-Mar'!A70</f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E9B9-83E3-445C-AE1C-8EB06A0CDECF}">
  <dimension ref="A1:BF50"/>
  <sheetViews>
    <sheetView topLeftCell="A35" workbookViewId="0">
      <selection activeCell="D53" sqref="D5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2149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1114</v>
      </c>
      <c r="B5">
        <v>10000</v>
      </c>
      <c r="C5">
        <v>20000</v>
      </c>
      <c r="D5" s="2">
        <v>45729</v>
      </c>
      <c r="E5" t="s">
        <v>61</v>
      </c>
      <c r="F5" t="s">
        <v>1115</v>
      </c>
      <c r="G5" t="s">
        <v>1116</v>
      </c>
      <c r="I5">
        <v>1</v>
      </c>
      <c r="J5" t="s">
        <v>63</v>
      </c>
      <c r="K5">
        <v>110</v>
      </c>
      <c r="L5" t="s">
        <v>286</v>
      </c>
      <c r="M5" s="4">
        <v>89500</v>
      </c>
      <c r="P5" s="2">
        <v>45724</v>
      </c>
      <c r="R5">
        <v>4</v>
      </c>
      <c r="S5" s="4">
        <v>358000</v>
      </c>
      <c r="T5" t="s">
        <v>65</v>
      </c>
      <c r="U5" t="s">
        <v>1117</v>
      </c>
      <c r="V5">
        <v>0</v>
      </c>
      <c r="W5" s="4">
        <v>358000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1118</v>
      </c>
      <c r="AN5" t="s">
        <v>271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1119</v>
      </c>
      <c r="BA5">
        <v>0</v>
      </c>
      <c r="BC5" t="s">
        <v>271</v>
      </c>
      <c r="BF5" t="s">
        <v>1120</v>
      </c>
    </row>
    <row r="6" spans="1:58" x14ac:dyDescent="0.35">
      <c r="A6" t="s">
        <v>1987</v>
      </c>
      <c r="B6">
        <v>10000</v>
      </c>
      <c r="C6">
        <v>20000</v>
      </c>
      <c r="D6" s="2">
        <v>45729</v>
      </c>
      <c r="E6" t="s">
        <v>61</v>
      </c>
      <c r="F6" t="s">
        <v>1988</v>
      </c>
      <c r="G6" t="s">
        <v>1989</v>
      </c>
      <c r="I6">
        <v>1</v>
      </c>
      <c r="J6" t="s">
        <v>63</v>
      </c>
      <c r="K6">
        <v>111</v>
      </c>
      <c r="L6" t="s">
        <v>597</v>
      </c>
      <c r="M6" s="4">
        <v>16500</v>
      </c>
      <c r="P6" s="2">
        <v>45724</v>
      </c>
      <c r="R6">
        <v>10</v>
      </c>
      <c r="S6" s="4">
        <v>165000</v>
      </c>
      <c r="T6" t="s">
        <v>65</v>
      </c>
      <c r="U6" t="s">
        <v>287</v>
      </c>
      <c r="V6">
        <v>0</v>
      </c>
      <c r="W6" s="4">
        <v>165000</v>
      </c>
      <c r="X6">
        <v>0</v>
      </c>
      <c r="Y6">
        <v>0</v>
      </c>
      <c r="Z6">
        <v>0</v>
      </c>
      <c r="AA6">
        <v>0</v>
      </c>
      <c r="AD6">
        <v>0</v>
      </c>
      <c r="AM6" t="s">
        <v>288</v>
      </c>
      <c r="AN6" t="s">
        <v>289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1990</v>
      </c>
      <c r="BA6">
        <v>0</v>
      </c>
      <c r="BC6" t="s">
        <v>289</v>
      </c>
      <c r="BF6" t="s">
        <v>1991</v>
      </c>
    </row>
    <row r="7" spans="1:58" x14ac:dyDescent="0.35">
      <c r="A7" t="s">
        <v>2150</v>
      </c>
      <c r="B7">
        <v>10000</v>
      </c>
      <c r="C7">
        <v>10000</v>
      </c>
      <c r="D7" s="2">
        <v>45726</v>
      </c>
      <c r="E7" t="s">
        <v>61</v>
      </c>
      <c r="F7" t="s">
        <v>2151</v>
      </c>
      <c r="G7" t="s">
        <v>2152</v>
      </c>
      <c r="I7">
        <v>1</v>
      </c>
      <c r="J7" t="s">
        <v>63</v>
      </c>
      <c r="K7">
        <v>60</v>
      </c>
      <c r="L7" t="s">
        <v>277</v>
      </c>
      <c r="M7" s="4">
        <v>7000</v>
      </c>
      <c r="P7" s="2">
        <v>45724</v>
      </c>
      <c r="R7">
        <v>10</v>
      </c>
      <c r="S7" s="4">
        <v>70000</v>
      </c>
      <c r="T7" t="s">
        <v>65</v>
      </c>
      <c r="U7" t="s">
        <v>2153</v>
      </c>
      <c r="V7">
        <v>0</v>
      </c>
      <c r="W7" s="4">
        <v>70000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2154</v>
      </c>
      <c r="AN7" t="s">
        <v>321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2155</v>
      </c>
      <c r="BA7">
        <v>0</v>
      </c>
      <c r="BC7" t="s">
        <v>321</v>
      </c>
      <c r="BF7" t="s">
        <v>2156</v>
      </c>
    </row>
    <row r="8" spans="1:58" x14ac:dyDescent="0.35">
      <c r="A8" t="s">
        <v>2157</v>
      </c>
      <c r="B8">
        <v>10000</v>
      </c>
      <c r="C8">
        <v>10000</v>
      </c>
      <c r="D8" s="2">
        <v>45726</v>
      </c>
      <c r="E8" t="s">
        <v>61</v>
      </c>
      <c r="F8" t="s">
        <v>1380</v>
      </c>
      <c r="G8" t="s">
        <v>2158</v>
      </c>
      <c r="I8">
        <v>1</v>
      </c>
      <c r="J8" t="s">
        <v>63</v>
      </c>
      <c r="K8">
        <v>61</v>
      </c>
      <c r="L8" t="s">
        <v>216</v>
      </c>
      <c r="M8">
        <v>500</v>
      </c>
      <c r="P8" s="2">
        <v>45724</v>
      </c>
      <c r="R8">
        <v>1</v>
      </c>
      <c r="S8">
        <v>500</v>
      </c>
      <c r="T8" t="s">
        <v>65</v>
      </c>
      <c r="U8" t="s">
        <v>2159</v>
      </c>
      <c r="V8">
        <v>0</v>
      </c>
      <c r="W8">
        <v>500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2160</v>
      </c>
      <c r="AN8" t="s">
        <v>2161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2162</v>
      </c>
      <c r="BA8">
        <v>0</v>
      </c>
      <c r="BC8" t="s">
        <v>2161</v>
      </c>
      <c r="BF8" t="s">
        <v>2163</v>
      </c>
    </row>
    <row r="9" spans="1:58" x14ac:dyDescent="0.35">
      <c r="A9" t="s">
        <v>2164</v>
      </c>
      <c r="B9">
        <v>10000</v>
      </c>
      <c r="C9">
        <v>10000</v>
      </c>
      <c r="D9" s="2">
        <v>45726</v>
      </c>
      <c r="E9" t="s">
        <v>61</v>
      </c>
      <c r="F9" t="s">
        <v>2165</v>
      </c>
      <c r="G9" t="s">
        <v>2158</v>
      </c>
      <c r="I9">
        <v>1</v>
      </c>
      <c r="J9" t="s">
        <v>63</v>
      </c>
      <c r="K9">
        <v>61</v>
      </c>
      <c r="L9" t="s">
        <v>216</v>
      </c>
      <c r="M9">
        <v>500</v>
      </c>
      <c r="P9" s="2">
        <v>45724</v>
      </c>
      <c r="R9">
        <v>1</v>
      </c>
      <c r="S9">
        <v>500</v>
      </c>
      <c r="T9" t="s">
        <v>65</v>
      </c>
      <c r="U9" t="s">
        <v>2166</v>
      </c>
      <c r="V9">
        <v>0</v>
      </c>
      <c r="W9">
        <v>500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2167</v>
      </c>
      <c r="AN9" t="s">
        <v>2161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2168</v>
      </c>
      <c r="BA9">
        <v>0</v>
      </c>
      <c r="BC9" t="s">
        <v>2161</v>
      </c>
      <c r="BF9" t="s">
        <v>2163</v>
      </c>
    </row>
    <row r="10" spans="1:58" x14ac:dyDescent="0.35">
      <c r="A10" t="s">
        <v>2169</v>
      </c>
      <c r="B10">
        <v>10000</v>
      </c>
      <c r="C10">
        <v>20000</v>
      </c>
      <c r="D10" s="2">
        <v>45726</v>
      </c>
      <c r="E10" t="s">
        <v>61</v>
      </c>
      <c r="F10" t="s">
        <v>2170</v>
      </c>
      <c r="I10">
        <v>1</v>
      </c>
      <c r="J10" t="s">
        <v>63</v>
      </c>
      <c r="M10">
        <v>40</v>
      </c>
      <c r="P10" s="2">
        <v>45724</v>
      </c>
      <c r="R10">
        <v>1</v>
      </c>
      <c r="S10">
        <v>40</v>
      </c>
      <c r="T10" t="s">
        <v>65</v>
      </c>
      <c r="U10" t="s">
        <v>2171</v>
      </c>
      <c r="V10">
        <v>0</v>
      </c>
      <c r="W10">
        <v>40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2172</v>
      </c>
      <c r="AN10" t="s">
        <v>2173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2174</v>
      </c>
      <c r="BA10">
        <v>0</v>
      </c>
      <c r="BC10" t="s">
        <v>2173</v>
      </c>
      <c r="BF10" t="s">
        <v>2175</v>
      </c>
    </row>
    <row r="11" spans="1:58" x14ac:dyDescent="0.35">
      <c r="A11" t="s">
        <v>2176</v>
      </c>
      <c r="B11">
        <v>10000</v>
      </c>
      <c r="C11">
        <v>30000</v>
      </c>
      <c r="D11" s="2">
        <v>45726</v>
      </c>
      <c r="E11" t="s">
        <v>61</v>
      </c>
      <c r="F11" t="s">
        <v>2170</v>
      </c>
      <c r="I11">
        <v>1</v>
      </c>
      <c r="J11" t="s">
        <v>63</v>
      </c>
      <c r="M11">
        <v>48</v>
      </c>
      <c r="P11" s="2">
        <v>45724</v>
      </c>
      <c r="R11">
        <v>1</v>
      </c>
      <c r="S11">
        <v>48</v>
      </c>
      <c r="T11" t="s">
        <v>65</v>
      </c>
      <c r="U11" t="s">
        <v>2177</v>
      </c>
      <c r="V11">
        <v>0</v>
      </c>
      <c r="W11">
        <v>48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2178</v>
      </c>
      <c r="AN11" t="s">
        <v>2173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2179</v>
      </c>
      <c r="BA11">
        <v>0</v>
      </c>
      <c r="BC11" t="s">
        <v>2173</v>
      </c>
      <c r="BF11" t="s">
        <v>2180</v>
      </c>
    </row>
    <row r="12" spans="1:58" x14ac:dyDescent="0.35">
      <c r="A12" t="s">
        <v>2181</v>
      </c>
      <c r="B12">
        <v>10000</v>
      </c>
      <c r="C12">
        <v>20000</v>
      </c>
      <c r="D12" s="2">
        <v>45727</v>
      </c>
      <c r="E12" t="s">
        <v>61</v>
      </c>
      <c r="F12" s="3">
        <v>0.47486111111111112</v>
      </c>
      <c r="G12" t="s">
        <v>1852</v>
      </c>
      <c r="I12">
        <v>1</v>
      </c>
      <c r="J12" t="s">
        <v>63</v>
      </c>
      <c r="K12">
        <v>86</v>
      </c>
      <c r="L12" t="s">
        <v>64</v>
      </c>
      <c r="M12" s="4">
        <v>56667</v>
      </c>
      <c r="P12" s="2">
        <v>45724</v>
      </c>
      <c r="R12">
        <v>3</v>
      </c>
      <c r="S12" s="4">
        <v>170001</v>
      </c>
      <c r="T12" t="s">
        <v>65</v>
      </c>
      <c r="U12" t="s">
        <v>2182</v>
      </c>
      <c r="V12">
        <v>0</v>
      </c>
      <c r="W12" s="4">
        <v>170000</v>
      </c>
      <c r="X12">
        <v>1</v>
      </c>
      <c r="Y12">
        <v>0</v>
      </c>
      <c r="Z12">
        <v>0</v>
      </c>
      <c r="AA12">
        <v>0</v>
      </c>
      <c r="AD12">
        <v>0</v>
      </c>
      <c r="AM12" t="s">
        <v>2183</v>
      </c>
      <c r="AN12" t="s">
        <v>289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2184</v>
      </c>
      <c r="BA12">
        <v>0</v>
      </c>
      <c r="BC12" t="s">
        <v>289</v>
      </c>
      <c r="BF12" t="s">
        <v>2185</v>
      </c>
    </row>
    <row r="13" spans="1:58" x14ac:dyDescent="0.35">
      <c r="A13" t="s">
        <v>2186</v>
      </c>
      <c r="B13">
        <v>10000</v>
      </c>
      <c r="C13">
        <v>30000</v>
      </c>
      <c r="D13" s="2">
        <v>45726</v>
      </c>
      <c r="E13" t="s">
        <v>61</v>
      </c>
      <c r="F13" t="s">
        <v>2187</v>
      </c>
      <c r="G13">
        <v>10620258085</v>
      </c>
      <c r="I13">
        <v>3</v>
      </c>
      <c r="J13" t="s">
        <v>63</v>
      </c>
      <c r="K13">
        <v>85</v>
      </c>
      <c r="L13" t="s">
        <v>327</v>
      </c>
      <c r="M13" s="4">
        <v>7273</v>
      </c>
      <c r="P13" s="2">
        <v>45724</v>
      </c>
      <c r="R13">
        <v>11</v>
      </c>
      <c r="S13" s="4">
        <v>80003</v>
      </c>
      <c r="T13" t="s">
        <v>65</v>
      </c>
      <c r="U13" t="s">
        <v>1352</v>
      </c>
      <c r="V13">
        <v>0</v>
      </c>
      <c r="W13" s="4">
        <v>64000</v>
      </c>
      <c r="X13" s="4">
        <v>16003</v>
      </c>
      <c r="Y13">
        <v>0</v>
      </c>
      <c r="Z13">
        <v>0</v>
      </c>
      <c r="AA13">
        <v>0</v>
      </c>
      <c r="AD13">
        <v>0</v>
      </c>
      <c r="AM13" t="s">
        <v>1353</v>
      </c>
      <c r="AN13" t="s">
        <v>107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2188</v>
      </c>
      <c r="BA13">
        <v>0</v>
      </c>
      <c r="BC13" t="s">
        <v>107</v>
      </c>
      <c r="BF13" t="s">
        <v>2189</v>
      </c>
    </row>
    <row r="14" spans="1:58" x14ac:dyDescent="0.35">
      <c r="A14" t="s">
        <v>2190</v>
      </c>
      <c r="B14">
        <v>10000</v>
      </c>
      <c r="C14">
        <v>10000</v>
      </c>
      <c r="D14" s="2">
        <v>45726</v>
      </c>
      <c r="E14" t="s">
        <v>61</v>
      </c>
      <c r="F14" t="s">
        <v>2044</v>
      </c>
      <c r="G14" t="s">
        <v>826</v>
      </c>
      <c r="I14">
        <v>1</v>
      </c>
      <c r="J14" t="s">
        <v>63</v>
      </c>
      <c r="K14">
        <v>94</v>
      </c>
      <c r="L14" t="s">
        <v>181</v>
      </c>
      <c r="M14" s="4">
        <v>3000</v>
      </c>
      <c r="P14" s="2">
        <v>45724</v>
      </c>
      <c r="R14">
        <v>4</v>
      </c>
      <c r="S14" s="4">
        <v>12000</v>
      </c>
      <c r="T14" t="s">
        <v>65</v>
      </c>
      <c r="U14" t="s">
        <v>870</v>
      </c>
      <c r="V14">
        <v>0</v>
      </c>
      <c r="W14" s="4">
        <v>12000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871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2191</v>
      </c>
      <c r="BA14">
        <v>0</v>
      </c>
      <c r="BC14" t="s">
        <v>364</v>
      </c>
      <c r="BF14" t="s">
        <v>2192</v>
      </c>
    </row>
    <row r="15" spans="1:58" x14ac:dyDescent="0.35">
      <c r="A15" t="s">
        <v>2193</v>
      </c>
      <c r="B15">
        <v>10000</v>
      </c>
      <c r="C15">
        <v>10000</v>
      </c>
      <c r="D15" s="2">
        <v>45726</v>
      </c>
      <c r="E15" t="s">
        <v>61</v>
      </c>
      <c r="F15" t="s">
        <v>2194</v>
      </c>
      <c r="G15" t="s">
        <v>826</v>
      </c>
      <c r="I15">
        <v>1</v>
      </c>
      <c r="J15" t="s">
        <v>63</v>
      </c>
      <c r="K15">
        <v>94</v>
      </c>
      <c r="L15" t="s">
        <v>181</v>
      </c>
      <c r="M15">
        <v>50</v>
      </c>
      <c r="P15" s="2">
        <v>45724</v>
      </c>
      <c r="R15">
        <v>4</v>
      </c>
      <c r="S15">
        <v>200</v>
      </c>
      <c r="T15" t="s">
        <v>65</v>
      </c>
      <c r="U15" t="s">
        <v>870</v>
      </c>
      <c r="V15">
        <v>0</v>
      </c>
      <c r="W15">
        <v>200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871</v>
      </c>
      <c r="AN15" t="s">
        <v>364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2195</v>
      </c>
      <c r="BA15">
        <v>0</v>
      </c>
      <c r="BC15" t="s">
        <v>364</v>
      </c>
      <c r="BF15" t="s">
        <v>2196</v>
      </c>
    </row>
    <row r="16" spans="1:58" x14ac:dyDescent="0.35">
      <c r="A16" t="s">
        <v>2197</v>
      </c>
      <c r="B16">
        <v>10000</v>
      </c>
      <c r="C16">
        <v>10000</v>
      </c>
      <c r="D16" s="2">
        <v>45727</v>
      </c>
      <c r="E16" t="s">
        <v>61</v>
      </c>
      <c r="F16" t="s">
        <v>2198</v>
      </c>
      <c r="G16" t="s">
        <v>1773</v>
      </c>
      <c r="I16">
        <v>1</v>
      </c>
      <c r="J16" t="s">
        <v>63</v>
      </c>
      <c r="K16">
        <v>32</v>
      </c>
      <c r="L16" t="s">
        <v>553</v>
      </c>
      <c r="M16" s="4">
        <v>5860</v>
      </c>
      <c r="P16" s="2">
        <v>45724</v>
      </c>
      <c r="R16">
        <v>1</v>
      </c>
      <c r="S16" s="4">
        <v>5860</v>
      </c>
      <c r="T16" t="s">
        <v>65</v>
      </c>
      <c r="U16" t="s">
        <v>2199</v>
      </c>
      <c r="V16">
        <v>0</v>
      </c>
      <c r="W16" s="4">
        <v>5360</v>
      </c>
      <c r="X16">
        <v>500</v>
      </c>
      <c r="Y16">
        <v>0</v>
      </c>
      <c r="Z16">
        <v>0</v>
      </c>
      <c r="AA16">
        <v>0</v>
      </c>
      <c r="AD16">
        <v>0</v>
      </c>
      <c r="AM16" t="s">
        <v>2200</v>
      </c>
      <c r="AN16" t="s">
        <v>116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2201</v>
      </c>
      <c r="BA16">
        <v>0</v>
      </c>
      <c r="BC16" t="s">
        <v>116</v>
      </c>
      <c r="BF16" t="s">
        <v>557</v>
      </c>
    </row>
    <row r="17" spans="1:58" x14ac:dyDescent="0.35">
      <c r="A17" t="s">
        <v>2202</v>
      </c>
      <c r="B17">
        <v>10000</v>
      </c>
      <c r="C17">
        <v>10000</v>
      </c>
      <c r="D17" s="2">
        <v>45727</v>
      </c>
      <c r="E17" t="s">
        <v>61</v>
      </c>
      <c r="F17" t="s">
        <v>2198</v>
      </c>
      <c r="G17" t="s">
        <v>1773</v>
      </c>
      <c r="I17">
        <v>1</v>
      </c>
      <c r="J17" t="s">
        <v>63</v>
      </c>
      <c r="K17">
        <v>32</v>
      </c>
      <c r="L17" t="s">
        <v>553</v>
      </c>
      <c r="M17" s="4">
        <v>5860</v>
      </c>
      <c r="P17" s="2">
        <v>45724</v>
      </c>
      <c r="R17">
        <v>1</v>
      </c>
      <c r="S17" s="4">
        <v>5860</v>
      </c>
      <c r="T17" t="s">
        <v>65</v>
      </c>
      <c r="U17" t="s">
        <v>2059</v>
      </c>
      <c r="V17">
        <v>0</v>
      </c>
      <c r="W17" s="4">
        <v>5360</v>
      </c>
      <c r="X17">
        <v>500</v>
      </c>
      <c r="Y17">
        <v>0</v>
      </c>
      <c r="Z17">
        <v>0</v>
      </c>
      <c r="AA17">
        <v>0</v>
      </c>
      <c r="AD17">
        <v>0</v>
      </c>
      <c r="AM17" t="s">
        <v>2060</v>
      </c>
      <c r="AN17" t="s">
        <v>116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2203</v>
      </c>
      <c r="BA17">
        <v>0</v>
      </c>
      <c r="BC17" t="s">
        <v>116</v>
      </c>
      <c r="BF17" t="s">
        <v>1291</v>
      </c>
    </row>
    <row r="18" spans="1:58" x14ac:dyDescent="0.35">
      <c r="A18" t="s">
        <v>1344</v>
      </c>
      <c r="B18">
        <v>10000</v>
      </c>
      <c r="C18">
        <v>20000</v>
      </c>
      <c r="D18" s="2">
        <v>45734</v>
      </c>
      <c r="E18" t="s">
        <v>61</v>
      </c>
      <c r="F18" t="s">
        <v>1345</v>
      </c>
      <c r="G18" t="s">
        <v>1346</v>
      </c>
      <c r="I18">
        <v>2</v>
      </c>
      <c r="J18" t="s">
        <v>63</v>
      </c>
      <c r="K18">
        <v>77</v>
      </c>
      <c r="L18" t="s">
        <v>127</v>
      </c>
      <c r="M18" s="4">
        <v>2500</v>
      </c>
      <c r="P18" s="2">
        <v>45724</v>
      </c>
      <c r="R18">
        <v>88</v>
      </c>
      <c r="S18" s="4">
        <v>220000</v>
      </c>
      <c r="T18" t="s">
        <v>65</v>
      </c>
      <c r="U18" t="s">
        <v>1347</v>
      </c>
      <c r="V18">
        <v>0</v>
      </c>
      <c r="W18" s="4">
        <v>200000</v>
      </c>
      <c r="X18" s="4">
        <v>20000</v>
      </c>
      <c r="Y18">
        <v>0</v>
      </c>
      <c r="Z18">
        <v>0</v>
      </c>
      <c r="AA18">
        <v>0</v>
      </c>
      <c r="AD18">
        <v>0</v>
      </c>
      <c r="AM18" t="s">
        <v>1348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1349</v>
      </c>
      <c r="BA18">
        <v>0</v>
      </c>
      <c r="BC18" t="s">
        <v>107</v>
      </c>
      <c r="BF18" t="s">
        <v>1350</v>
      </c>
    </row>
    <row r="19" spans="1:58" x14ac:dyDescent="0.35">
      <c r="A19" t="s">
        <v>1351</v>
      </c>
      <c r="B19">
        <v>10000</v>
      </c>
      <c r="C19">
        <v>30000</v>
      </c>
      <c r="D19" s="2">
        <v>45726</v>
      </c>
      <c r="E19" t="s">
        <v>61</v>
      </c>
      <c r="F19" s="3">
        <v>0.48101851851851851</v>
      </c>
      <c r="G19">
        <v>10639931011</v>
      </c>
      <c r="I19">
        <v>3</v>
      </c>
      <c r="J19" t="s">
        <v>63</v>
      </c>
      <c r="K19">
        <v>85</v>
      </c>
      <c r="L19" t="s">
        <v>327</v>
      </c>
      <c r="M19" s="4">
        <v>7273</v>
      </c>
      <c r="P19" s="2">
        <v>45724</v>
      </c>
      <c r="R19">
        <v>11</v>
      </c>
      <c r="S19" s="4">
        <v>80003</v>
      </c>
      <c r="T19" t="s">
        <v>65</v>
      </c>
      <c r="U19" t="s">
        <v>1352</v>
      </c>
      <c r="V19">
        <v>0</v>
      </c>
      <c r="W19" s="4">
        <v>80000</v>
      </c>
      <c r="X19">
        <v>3</v>
      </c>
      <c r="Y19">
        <v>0</v>
      </c>
      <c r="Z19">
        <v>0</v>
      </c>
      <c r="AA19">
        <v>0</v>
      </c>
      <c r="AD19">
        <v>0</v>
      </c>
      <c r="AM19" t="s">
        <v>1353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1354</v>
      </c>
      <c r="BA19">
        <v>0</v>
      </c>
      <c r="BC19" t="s">
        <v>107</v>
      </c>
      <c r="BF19" t="s">
        <v>1355</v>
      </c>
    </row>
    <row r="20" spans="1:58" x14ac:dyDescent="0.35">
      <c r="A20" t="s">
        <v>955</v>
      </c>
      <c r="B20">
        <v>10000</v>
      </c>
      <c r="C20">
        <v>20000</v>
      </c>
      <c r="D20" s="2">
        <v>45734</v>
      </c>
      <c r="E20" t="s">
        <v>61</v>
      </c>
      <c r="F20" t="s">
        <v>956</v>
      </c>
      <c r="G20">
        <v>10639931051</v>
      </c>
      <c r="I20">
        <v>2</v>
      </c>
      <c r="J20" t="s">
        <v>63</v>
      </c>
      <c r="K20">
        <v>77</v>
      </c>
      <c r="L20" t="s">
        <v>127</v>
      </c>
      <c r="M20">
        <v>410</v>
      </c>
      <c r="P20" s="2">
        <v>45724</v>
      </c>
      <c r="R20">
        <v>88</v>
      </c>
      <c r="S20" s="4">
        <v>36080</v>
      </c>
      <c r="T20" t="s">
        <v>65</v>
      </c>
      <c r="U20" t="s">
        <v>957</v>
      </c>
      <c r="V20">
        <v>0</v>
      </c>
      <c r="W20" s="4">
        <v>20000</v>
      </c>
      <c r="X20" s="4">
        <v>16080</v>
      </c>
      <c r="Y20">
        <v>0</v>
      </c>
      <c r="Z20">
        <v>0</v>
      </c>
      <c r="AA20">
        <v>0</v>
      </c>
      <c r="AD20">
        <v>0</v>
      </c>
      <c r="AM20" t="s">
        <v>958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959</v>
      </c>
      <c r="BA20">
        <v>0</v>
      </c>
      <c r="BC20" t="s">
        <v>107</v>
      </c>
      <c r="BF20" t="s">
        <v>960</v>
      </c>
    </row>
    <row r="21" spans="1:58" x14ac:dyDescent="0.35">
      <c r="A21" t="s">
        <v>1373</v>
      </c>
      <c r="B21">
        <v>10000</v>
      </c>
      <c r="C21">
        <v>20000</v>
      </c>
      <c r="D21" s="2">
        <v>45734</v>
      </c>
      <c r="E21" t="s">
        <v>61</v>
      </c>
      <c r="F21" t="s">
        <v>1374</v>
      </c>
      <c r="G21" t="s">
        <v>1346</v>
      </c>
      <c r="I21">
        <v>2</v>
      </c>
      <c r="J21" t="s">
        <v>63</v>
      </c>
      <c r="K21">
        <v>77</v>
      </c>
      <c r="L21" t="s">
        <v>127</v>
      </c>
      <c r="M21" s="4">
        <v>2500</v>
      </c>
      <c r="P21" s="2">
        <v>45724</v>
      </c>
      <c r="R21">
        <v>88</v>
      </c>
      <c r="S21" s="4">
        <v>220000</v>
      </c>
      <c r="T21" t="s">
        <v>65</v>
      </c>
      <c r="U21" t="s">
        <v>1375</v>
      </c>
      <c r="V21">
        <v>0</v>
      </c>
      <c r="W21" s="4">
        <v>200000</v>
      </c>
      <c r="X21" s="4">
        <v>20000</v>
      </c>
      <c r="Y21">
        <v>0</v>
      </c>
      <c r="Z21">
        <v>0</v>
      </c>
      <c r="AA21">
        <v>0</v>
      </c>
      <c r="AD21">
        <v>0</v>
      </c>
      <c r="AM21" t="s">
        <v>1376</v>
      </c>
      <c r="AN21" t="s">
        <v>107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1377</v>
      </c>
      <c r="BA21">
        <v>0</v>
      </c>
      <c r="BC21" t="s">
        <v>107</v>
      </c>
      <c r="BF21" t="s">
        <v>1378</v>
      </c>
    </row>
    <row r="22" spans="1:58" x14ac:dyDescent="0.35">
      <c r="A22" t="s">
        <v>1379</v>
      </c>
      <c r="B22">
        <v>10000</v>
      </c>
      <c r="C22">
        <v>20000</v>
      </c>
      <c r="D22" s="2">
        <v>45734</v>
      </c>
      <c r="E22" t="s">
        <v>61</v>
      </c>
      <c r="F22" t="s">
        <v>1380</v>
      </c>
      <c r="G22" t="s">
        <v>1346</v>
      </c>
      <c r="I22">
        <v>2</v>
      </c>
      <c r="J22" t="s">
        <v>63</v>
      </c>
      <c r="K22">
        <v>77</v>
      </c>
      <c r="L22" t="s">
        <v>127</v>
      </c>
      <c r="M22" s="4">
        <v>2500</v>
      </c>
      <c r="P22" s="2">
        <v>45724</v>
      </c>
      <c r="R22">
        <v>88</v>
      </c>
      <c r="S22" s="4">
        <v>220000</v>
      </c>
      <c r="T22" t="s">
        <v>65</v>
      </c>
      <c r="U22" t="s">
        <v>1381</v>
      </c>
      <c r="V22">
        <v>0</v>
      </c>
      <c r="W22" s="4">
        <v>200000</v>
      </c>
      <c r="X22" s="4">
        <v>20000</v>
      </c>
      <c r="Y22">
        <v>0</v>
      </c>
      <c r="Z22">
        <v>0</v>
      </c>
      <c r="AA22">
        <v>0</v>
      </c>
      <c r="AD22">
        <v>0</v>
      </c>
      <c r="AM22" t="s">
        <v>1382</v>
      </c>
      <c r="AN22" t="s">
        <v>107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1383</v>
      </c>
      <c r="BA22">
        <v>0</v>
      </c>
      <c r="BC22" t="s">
        <v>107</v>
      </c>
      <c r="BF22" t="s">
        <v>1384</v>
      </c>
    </row>
    <row r="23" spans="1:58" x14ac:dyDescent="0.35">
      <c r="A23" t="s">
        <v>1392</v>
      </c>
      <c r="B23">
        <v>10000</v>
      </c>
      <c r="C23">
        <v>20000</v>
      </c>
      <c r="D23" s="2">
        <v>45740</v>
      </c>
      <c r="E23" t="s">
        <v>61</v>
      </c>
      <c r="F23" s="3">
        <v>0.44521990740740741</v>
      </c>
      <c r="G23" t="s">
        <v>1346</v>
      </c>
      <c r="I23">
        <v>2</v>
      </c>
      <c r="J23" t="s">
        <v>63</v>
      </c>
      <c r="K23">
        <v>77</v>
      </c>
      <c r="L23" t="s">
        <v>127</v>
      </c>
      <c r="M23" s="4">
        <v>1250</v>
      </c>
      <c r="P23" s="2">
        <v>45724</v>
      </c>
      <c r="R23">
        <v>88</v>
      </c>
      <c r="S23" s="4">
        <v>110000</v>
      </c>
      <c r="T23" t="s">
        <v>65</v>
      </c>
      <c r="U23" t="s">
        <v>1393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1394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1395</v>
      </c>
      <c r="BA23">
        <v>0</v>
      </c>
      <c r="BC23" t="s">
        <v>107</v>
      </c>
      <c r="BF23" t="s">
        <v>1396</v>
      </c>
    </row>
    <row r="24" spans="1:58" x14ac:dyDescent="0.35">
      <c r="A24" t="s">
        <v>1397</v>
      </c>
      <c r="B24">
        <v>10000</v>
      </c>
      <c r="C24">
        <v>20000</v>
      </c>
      <c r="D24" s="2">
        <v>45740</v>
      </c>
      <c r="E24" t="s">
        <v>61</v>
      </c>
      <c r="F24" t="s">
        <v>2204</v>
      </c>
      <c r="G24" t="s">
        <v>1346</v>
      </c>
      <c r="I24">
        <v>2</v>
      </c>
      <c r="J24" t="s">
        <v>63</v>
      </c>
      <c r="K24">
        <v>77</v>
      </c>
      <c r="L24" t="s">
        <v>127</v>
      </c>
      <c r="M24" s="4">
        <v>1250</v>
      </c>
      <c r="P24" s="2">
        <v>45724</v>
      </c>
      <c r="R24">
        <v>88</v>
      </c>
      <c r="S24" s="4">
        <v>110000</v>
      </c>
      <c r="T24" t="s">
        <v>65</v>
      </c>
      <c r="U24" t="s">
        <v>1206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1207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1398</v>
      </c>
      <c r="BA24">
        <v>0</v>
      </c>
      <c r="BC24" t="s">
        <v>107</v>
      </c>
      <c r="BF24" t="s">
        <v>1399</v>
      </c>
    </row>
    <row r="25" spans="1:58" x14ac:dyDescent="0.35">
      <c r="A25" t="s">
        <v>1400</v>
      </c>
      <c r="B25">
        <v>10000</v>
      </c>
      <c r="C25">
        <v>20000</v>
      </c>
      <c r="D25" s="2">
        <v>45734</v>
      </c>
      <c r="E25" t="s">
        <v>61</v>
      </c>
      <c r="F25" t="s">
        <v>1187</v>
      </c>
      <c r="G25" t="s">
        <v>1346</v>
      </c>
      <c r="I25">
        <v>2</v>
      </c>
      <c r="J25" t="s">
        <v>63</v>
      </c>
      <c r="K25">
        <v>77</v>
      </c>
      <c r="L25" t="s">
        <v>127</v>
      </c>
      <c r="M25" s="4">
        <v>1250</v>
      </c>
      <c r="P25" s="2">
        <v>45724</v>
      </c>
      <c r="R25">
        <v>88</v>
      </c>
      <c r="S25" s="4">
        <v>110000</v>
      </c>
      <c r="T25" t="s">
        <v>65</v>
      </c>
      <c r="U25" t="s">
        <v>1218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1219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1401</v>
      </c>
      <c r="BA25">
        <v>0</v>
      </c>
      <c r="BC25" t="s">
        <v>107</v>
      </c>
      <c r="BF25" t="s">
        <v>1402</v>
      </c>
    </row>
    <row r="26" spans="1:58" x14ac:dyDescent="0.35">
      <c r="A26" t="s">
        <v>1820</v>
      </c>
      <c r="B26">
        <v>10000</v>
      </c>
      <c r="C26">
        <v>20000</v>
      </c>
      <c r="D26" s="2">
        <v>45726</v>
      </c>
      <c r="E26" t="s">
        <v>61</v>
      </c>
      <c r="F26" t="s">
        <v>1821</v>
      </c>
      <c r="G26" t="s">
        <v>1822</v>
      </c>
      <c r="I26">
        <v>2</v>
      </c>
      <c r="J26" t="s">
        <v>63</v>
      </c>
      <c r="K26">
        <v>71</v>
      </c>
      <c r="L26" t="s">
        <v>135</v>
      </c>
      <c r="M26">
        <v>625</v>
      </c>
      <c r="P26" s="2">
        <v>45724</v>
      </c>
      <c r="R26">
        <v>8</v>
      </c>
      <c r="S26" s="4">
        <v>5000</v>
      </c>
      <c r="T26" t="s">
        <v>65</v>
      </c>
      <c r="U26" t="s">
        <v>1823</v>
      </c>
      <c r="V26">
        <v>0</v>
      </c>
      <c r="W26" s="4">
        <v>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1824</v>
      </c>
      <c r="AN26" t="s">
        <v>449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1825</v>
      </c>
      <c r="BA26">
        <v>0</v>
      </c>
      <c r="BC26" t="s">
        <v>449</v>
      </c>
      <c r="BF26" t="s">
        <v>584</v>
      </c>
    </row>
    <row r="27" spans="1:58" x14ac:dyDescent="0.35">
      <c r="A27" t="s">
        <v>2205</v>
      </c>
      <c r="B27">
        <v>10000</v>
      </c>
      <c r="C27">
        <v>10000</v>
      </c>
      <c r="D27" s="2">
        <v>45726</v>
      </c>
      <c r="E27" t="s">
        <v>61</v>
      </c>
      <c r="F27" t="s">
        <v>2206</v>
      </c>
      <c r="G27" t="s">
        <v>2069</v>
      </c>
      <c r="I27">
        <v>1</v>
      </c>
      <c r="J27" t="s">
        <v>63</v>
      </c>
      <c r="K27">
        <v>94</v>
      </c>
      <c r="L27" t="s">
        <v>181</v>
      </c>
      <c r="M27" s="4">
        <v>10000</v>
      </c>
      <c r="P27" s="2">
        <v>45724</v>
      </c>
      <c r="R27">
        <v>4</v>
      </c>
      <c r="S27" s="4">
        <v>40000</v>
      </c>
      <c r="T27" t="s">
        <v>65</v>
      </c>
      <c r="U27" t="s">
        <v>1701</v>
      </c>
      <c r="V27">
        <v>0</v>
      </c>
      <c r="W27" s="4">
        <v>40000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1702</v>
      </c>
      <c r="AN27" t="s">
        <v>364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2207</v>
      </c>
      <c r="BA27">
        <v>0</v>
      </c>
      <c r="BC27" t="s">
        <v>364</v>
      </c>
      <c r="BF27" t="s">
        <v>2208</v>
      </c>
    </row>
    <row r="28" spans="1:58" x14ac:dyDescent="0.35">
      <c r="A28" t="s">
        <v>2209</v>
      </c>
      <c r="B28">
        <v>10000</v>
      </c>
      <c r="C28">
        <v>10000</v>
      </c>
      <c r="D28" s="2">
        <v>45726</v>
      </c>
      <c r="E28" t="s">
        <v>61</v>
      </c>
      <c r="F28" t="s">
        <v>2210</v>
      </c>
      <c r="G28" t="s">
        <v>2211</v>
      </c>
      <c r="I28">
        <v>1</v>
      </c>
      <c r="J28" t="s">
        <v>63</v>
      </c>
      <c r="K28">
        <v>61</v>
      </c>
      <c r="L28" t="s">
        <v>216</v>
      </c>
      <c r="M28" s="4">
        <v>5000</v>
      </c>
      <c r="P28" s="2">
        <v>45724</v>
      </c>
      <c r="R28">
        <v>1</v>
      </c>
      <c r="S28" s="4">
        <v>5000</v>
      </c>
      <c r="T28" t="s">
        <v>65</v>
      </c>
      <c r="U28" t="s">
        <v>2212</v>
      </c>
      <c r="V28">
        <v>0</v>
      </c>
      <c r="W28" s="4">
        <v>5000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2213</v>
      </c>
      <c r="AN28" t="s">
        <v>1016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2214</v>
      </c>
      <c r="BA28">
        <v>0</v>
      </c>
      <c r="BC28" t="s">
        <v>1016</v>
      </c>
      <c r="BF28" t="s">
        <v>1018</v>
      </c>
    </row>
    <row r="29" spans="1:58" x14ac:dyDescent="0.35">
      <c r="A29" t="s">
        <v>2215</v>
      </c>
      <c r="B29">
        <v>10000</v>
      </c>
      <c r="C29">
        <v>10000</v>
      </c>
      <c r="D29" s="2">
        <v>45726</v>
      </c>
      <c r="E29" t="s">
        <v>61</v>
      </c>
      <c r="F29" t="s">
        <v>2216</v>
      </c>
      <c r="G29" t="s">
        <v>2217</v>
      </c>
      <c r="I29">
        <v>1</v>
      </c>
      <c r="J29" t="s">
        <v>63</v>
      </c>
      <c r="K29">
        <v>46</v>
      </c>
      <c r="L29" t="s">
        <v>113</v>
      </c>
      <c r="M29" s="4">
        <v>6000</v>
      </c>
      <c r="P29" s="2">
        <v>45724</v>
      </c>
      <c r="R29">
        <v>1</v>
      </c>
      <c r="S29" s="4">
        <v>6000</v>
      </c>
      <c r="T29" t="s">
        <v>65</v>
      </c>
      <c r="U29" t="s">
        <v>2218</v>
      </c>
      <c r="V29">
        <v>0</v>
      </c>
      <c r="W29" s="4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2219</v>
      </c>
      <c r="AN29" t="s">
        <v>1016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2220</v>
      </c>
      <c r="BA29">
        <v>0</v>
      </c>
      <c r="BC29" t="s">
        <v>1016</v>
      </c>
      <c r="BF29" t="s">
        <v>1018</v>
      </c>
    </row>
    <row r="30" spans="1:58" x14ac:dyDescent="0.35">
      <c r="A30" t="s">
        <v>2221</v>
      </c>
      <c r="B30">
        <v>10000</v>
      </c>
      <c r="C30">
        <v>10000</v>
      </c>
      <c r="D30" s="2">
        <v>45726</v>
      </c>
      <c r="E30" t="s">
        <v>61</v>
      </c>
      <c r="F30" t="s">
        <v>2068</v>
      </c>
      <c r="G30" t="s">
        <v>2222</v>
      </c>
      <c r="I30">
        <v>1</v>
      </c>
      <c r="J30" t="s">
        <v>63</v>
      </c>
      <c r="K30">
        <v>22</v>
      </c>
      <c r="L30" t="s">
        <v>466</v>
      </c>
      <c r="M30" s="4">
        <v>2500</v>
      </c>
      <c r="P30" s="2">
        <v>45724</v>
      </c>
      <c r="R30">
        <v>2</v>
      </c>
      <c r="S30" s="4">
        <v>5000</v>
      </c>
      <c r="T30" t="s">
        <v>65</v>
      </c>
      <c r="U30" t="s">
        <v>2223</v>
      </c>
      <c r="V30">
        <v>0</v>
      </c>
      <c r="W30" s="4">
        <v>5000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2224</v>
      </c>
      <c r="AN30" t="s">
        <v>116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2225</v>
      </c>
      <c r="BA30">
        <v>0</v>
      </c>
      <c r="BC30" t="s">
        <v>116</v>
      </c>
      <c r="BF30" t="s">
        <v>1906</v>
      </c>
    </row>
    <row r="31" spans="1:58" x14ac:dyDescent="0.35">
      <c r="A31" t="s">
        <v>2226</v>
      </c>
      <c r="B31">
        <v>10000</v>
      </c>
      <c r="C31">
        <v>10000</v>
      </c>
      <c r="D31" s="2">
        <v>45726</v>
      </c>
      <c r="E31" t="s">
        <v>61</v>
      </c>
      <c r="F31" t="s">
        <v>2206</v>
      </c>
      <c r="G31" t="s">
        <v>2222</v>
      </c>
      <c r="I31">
        <v>1</v>
      </c>
      <c r="J31" t="s">
        <v>63</v>
      </c>
      <c r="K31">
        <v>22</v>
      </c>
      <c r="L31" t="s">
        <v>466</v>
      </c>
      <c r="M31" s="4">
        <v>2500</v>
      </c>
      <c r="P31" s="2">
        <v>45724</v>
      </c>
      <c r="R31">
        <v>2</v>
      </c>
      <c r="S31" s="4">
        <v>5000</v>
      </c>
      <c r="T31" t="s">
        <v>65</v>
      </c>
      <c r="U31" t="s">
        <v>2227</v>
      </c>
      <c r="V31">
        <v>0</v>
      </c>
      <c r="W31" s="4">
        <v>5000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2228</v>
      </c>
      <c r="AN31" t="s">
        <v>116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2229</v>
      </c>
      <c r="BA31">
        <v>0</v>
      </c>
      <c r="BC31" t="s">
        <v>116</v>
      </c>
      <c r="BF31" t="s">
        <v>2230</v>
      </c>
    </row>
    <row r="32" spans="1:58" x14ac:dyDescent="0.35">
      <c r="A32" t="s">
        <v>2231</v>
      </c>
      <c r="B32">
        <v>10000</v>
      </c>
      <c r="C32">
        <v>10000</v>
      </c>
      <c r="D32" s="2">
        <v>45726</v>
      </c>
      <c r="E32" t="s">
        <v>61</v>
      </c>
      <c r="F32" s="3">
        <v>0.47267361111111111</v>
      </c>
      <c r="G32" t="s">
        <v>2222</v>
      </c>
      <c r="I32">
        <v>1</v>
      </c>
      <c r="J32" t="s">
        <v>63</v>
      </c>
      <c r="K32">
        <v>22</v>
      </c>
      <c r="L32" t="s">
        <v>466</v>
      </c>
      <c r="M32" s="4">
        <v>11000</v>
      </c>
      <c r="P32" s="2">
        <v>45724</v>
      </c>
      <c r="R32">
        <v>2</v>
      </c>
      <c r="S32" s="4">
        <v>22000</v>
      </c>
      <c r="T32" t="s">
        <v>65</v>
      </c>
      <c r="U32" t="s">
        <v>2232</v>
      </c>
      <c r="V32">
        <v>0</v>
      </c>
      <c r="W32" s="4">
        <v>22000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2233</v>
      </c>
      <c r="AN32" t="s">
        <v>116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2234</v>
      </c>
      <c r="BA32">
        <v>0</v>
      </c>
      <c r="BC32" t="s">
        <v>116</v>
      </c>
      <c r="BF32" t="s">
        <v>2230</v>
      </c>
    </row>
    <row r="33" spans="1:58" x14ac:dyDescent="0.35">
      <c r="A33" t="s">
        <v>1511</v>
      </c>
      <c r="B33">
        <v>10000</v>
      </c>
      <c r="C33">
        <v>20000</v>
      </c>
      <c r="D33" s="2">
        <v>45734</v>
      </c>
      <c r="E33" t="s">
        <v>61</v>
      </c>
      <c r="F33" t="s">
        <v>310</v>
      </c>
      <c r="G33" t="s">
        <v>1346</v>
      </c>
      <c r="I33">
        <v>2</v>
      </c>
      <c r="J33" t="s">
        <v>63</v>
      </c>
      <c r="K33">
        <v>77</v>
      </c>
      <c r="L33" t="s">
        <v>127</v>
      </c>
      <c r="M33" s="4">
        <v>2500</v>
      </c>
      <c r="P33" s="2">
        <v>45724</v>
      </c>
      <c r="R33">
        <v>88</v>
      </c>
      <c r="S33" s="4">
        <v>220000</v>
      </c>
      <c r="T33" t="s">
        <v>65</v>
      </c>
      <c r="U33" t="s">
        <v>1512</v>
      </c>
      <c r="V33">
        <v>0</v>
      </c>
      <c r="W33" s="4">
        <v>200000</v>
      </c>
      <c r="X33" s="4">
        <v>20000</v>
      </c>
      <c r="Y33">
        <v>0</v>
      </c>
      <c r="Z33">
        <v>0</v>
      </c>
      <c r="AA33">
        <v>0</v>
      </c>
      <c r="AD33">
        <v>0</v>
      </c>
      <c r="AM33" t="s">
        <v>1513</v>
      </c>
      <c r="AN33" t="s">
        <v>107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1514</v>
      </c>
      <c r="BA33">
        <v>0</v>
      </c>
      <c r="BC33" t="s">
        <v>107</v>
      </c>
      <c r="BF33" t="s">
        <v>1515</v>
      </c>
    </row>
    <row r="34" spans="1:58" x14ac:dyDescent="0.35">
      <c r="A34" t="s">
        <v>1955</v>
      </c>
      <c r="B34">
        <v>10000</v>
      </c>
      <c r="C34">
        <v>20000</v>
      </c>
      <c r="D34" s="2">
        <v>45726</v>
      </c>
      <c r="E34" t="s">
        <v>61</v>
      </c>
      <c r="F34" t="s">
        <v>1956</v>
      </c>
      <c r="G34" t="s">
        <v>1822</v>
      </c>
      <c r="I34">
        <v>2</v>
      </c>
      <c r="J34" t="s">
        <v>63</v>
      </c>
      <c r="K34">
        <v>71</v>
      </c>
      <c r="L34" t="s">
        <v>135</v>
      </c>
      <c r="M34">
        <v>625</v>
      </c>
      <c r="P34" s="2">
        <v>45724</v>
      </c>
      <c r="R34">
        <v>8</v>
      </c>
      <c r="S34" s="4">
        <v>5000</v>
      </c>
      <c r="T34" t="s">
        <v>65</v>
      </c>
      <c r="U34" t="s">
        <v>1957</v>
      </c>
      <c r="V34">
        <v>0</v>
      </c>
      <c r="W34" s="4">
        <v>5000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1958</v>
      </c>
      <c r="AN34" t="s">
        <v>449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1959</v>
      </c>
      <c r="BA34">
        <v>0</v>
      </c>
      <c r="BC34" t="s">
        <v>449</v>
      </c>
      <c r="BF34" t="s">
        <v>1960</v>
      </c>
    </row>
    <row r="35" spans="1:58" x14ac:dyDescent="0.35">
      <c r="A35" t="s">
        <v>2235</v>
      </c>
      <c r="B35">
        <v>10000</v>
      </c>
      <c r="C35">
        <v>10000</v>
      </c>
      <c r="D35" s="2">
        <v>45726</v>
      </c>
      <c r="E35" t="s">
        <v>61</v>
      </c>
      <c r="F35" t="s">
        <v>2236</v>
      </c>
      <c r="G35" t="s">
        <v>2237</v>
      </c>
      <c r="I35">
        <v>1</v>
      </c>
      <c r="J35" t="s">
        <v>63</v>
      </c>
      <c r="K35">
        <v>71</v>
      </c>
      <c r="L35" t="s">
        <v>135</v>
      </c>
      <c r="M35" s="4">
        <v>20000</v>
      </c>
      <c r="P35" s="2">
        <v>45724</v>
      </c>
      <c r="R35">
        <v>1</v>
      </c>
      <c r="S35" s="4">
        <v>20000</v>
      </c>
      <c r="T35" t="s">
        <v>65</v>
      </c>
      <c r="U35" t="s">
        <v>2238</v>
      </c>
      <c r="V35">
        <v>0</v>
      </c>
      <c r="W35" s="4">
        <v>20000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2239</v>
      </c>
      <c r="AN35" t="s">
        <v>2240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2241</v>
      </c>
      <c r="BA35">
        <v>0</v>
      </c>
      <c r="BC35" t="s">
        <v>2240</v>
      </c>
      <c r="BF35" t="s">
        <v>2242</v>
      </c>
    </row>
    <row r="36" spans="1:58" x14ac:dyDescent="0.35">
      <c r="A36" t="s">
        <v>1968</v>
      </c>
      <c r="B36">
        <v>10000</v>
      </c>
      <c r="C36">
        <v>50000</v>
      </c>
      <c r="D36" s="2">
        <v>45727</v>
      </c>
      <c r="E36" t="s">
        <v>61</v>
      </c>
      <c r="F36" s="3">
        <v>0.44810185185185186</v>
      </c>
      <c r="G36">
        <v>59469</v>
      </c>
      <c r="I36">
        <v>2</v>
      </c>
      <c r="J36" t="s">
        <v>63</v>
      </c>
      <c r="K36">
        <v>96</v>
      </c>
      <c r="L36" t="s">
        <v>2243</v>
      </c>
      <c r="M36" s="4">
        <v>157500</v>
      </c>
      <c r="P36" s="2">
        <v>45724</v>
      </c>
      <c r="R36">
        <v>6</v>
      </c>
      <c r="S36" s="4">
        <v>945000</v>
      </c>
      <c r="T36" t="s">
        <v>65</v>
      </c>
      <c r="U36" t="s">
        <v>1410</v>
      </c>
      <c r="V36">
        <v>0</v>
      </c>
      <c r="W36" s="4">
        <v>963435</v>
      </c>
      <c r="X36" s="4">
        <v>-18435</v>
      </c>
      <c r="Y36">
        <v>0</v>
      </c>
      <c r="Z36">
        <v>0</v>
      </c>
      <c r="AA36">
        <v>0</v>
      </c>
      <c r="AD36">
        <v>0</v>
      </c>
      <c r="AM36" t="s">
        <v>1411</v>
      </c>
      <c r="AN36" t="s">
        <v>321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1970</v>
      </c>
      <c r="BA36">
        <v>0</v>
      </c>
      <c r="BC36" t="s">
        <v>321</v>
      </c>
      <c r="BF36" t="s">
        <v>1971</v>
      </c>
    </row>
    <row r="50" spans="1:2" x14ac:dyDescent="0.35">
      <c r="A50">
        <f>COUNTA(A5:A49)</f>
        <v>32</v>
      </c>
      <c r="B50">
        <f>'07-Mar'!B70+'8-Mar'!A50</f>
        <v>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20F2-117B-474F-9EBB-A9973D68F044}">
  <dimension ref="A1:BF100"/>
  <sheetViews>
    <sheetView topLeftCell="A89" workbookViewId="0">
      <selection activeCell="D107" sqref="D10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2244</v>
      </c>
    </row>
    <row r="4" spans="1:58" s="7" customFormat="1" ht="58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5" t="s">
        <v>46</v>
      </c>
      <c r="AT4" s="5" t="s">
        <v>47</v>
      </c>
      <c r="AU4" s="5" t="s">
        <v>48</v>
      </c>
      <c r="AV4" s="5" t="s">
        <v>49</v>
      </c>
      <c r="AW4" s="5" t="s">
        <v>50</v>
      </c>
      <c r="AX4" s="5" t="s">
        <v>51</v>
      </c>
      <c r="AY4" s="5" t="s">
        <v>52</v>
      </c>
      <c r="AZ4" s="5" t="s">
        <v>53</v>
      </c>
      <c r="BA4" s="5" t="s">
        <v>54</v>
      </c>
      <c r="BB4" s="5" t="s">
        <v>55</v>
      </c>
      <c r="BC4" s="5" t="s">
        <v>56</v>
      </c>
      <c r="BD4" s="5" t="s">
        <v>57</v>
      </c>
      <c r="BE4" s="5" t="s">
        <v>58</v>
      </c>
      <c r="BF4" s="5" t="s">
        <v>59</v>
      </c>
    </row>
    <row r="5" spans="1:58" x14ac:dyDescent="0.35">
      <c r="A5" t="s">
        <v>2245</v>
      </c>
      <c r="B5">
        <v>10000</v>
      </c>
      <c r="C5">
        <v>30000</v>
      </c>
      <c r="D5" s="2">
        <v>45727</v>
      </c>
      <c r="E5" t="s">
        <v>61</v>
      </c>
      <c r="F5" t="s">
        <v>2246</v>
      </c>
      <c r="G5" t="s">
        <v>2247</v>
      </c>
      <c r="I5">
        <v>2</v>
      </c>
      <c r="J5" t="s">
        <v>63</v>
      </c>
      <c r="K5">
        <v>82</v>
      </c>
      <c r="L5" t="s">
        <v>341</v>
      </c>
      <c r="M5" s="4">
        <v>6250</v>
      </c>
      <c r="P5" s="2">
        <v>45726</v>
      </c>
      <c r="R5">
        <v>8</v>
      </c>
      <c r="S5" s="4">
        <v>50000</v>
      </c>
      <c r="T5" t="s">
        <v>65</v>
      </c>
      <c r="U5" t="s">
        <v>2248</v>
      </c>
      <c r="V5">
        <v>0</v>
      </c>
      <c r="W5" s="4">
        <v>50000</v>
      </c>
      <c r="X5">
        <v>0</v>
      </c>
      <c r="Y5">
        <v>0</v>
      </c>
      <c r="Z5">
        <v>0</v>
      </c>
      <c r="AA5">
        <v>0</v>
      </c>
      <c r="AD5">
        <v>0</v>
      </c>
      <c r="AM5" t="s">
        <v>2249</v>
      </c>
      <c r="AN5" t="s">
        <v>271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2250</v>
      </c>
      <c r="BA5">
        <v>0</v>
      </c>
      <c r="BC5" t="s">
        <v>271</v>
      </c>
      <c r="BF5" t="s">
        <v>2251</v>
      </c>
    </row>
    <row r="6" spans="1:58" x14ac:dyDescent="0.35">
      <c r="A6" t="s">
        <v>725</v>
      </c>
      <c r="B6">
        <v>10000</v>
      </c>
      <c r="C6">
        <v>40000</v>
      </c>
      <c r="D6" s="2">
        <v>45730</v>
      </c>
      <c r="E6" t="s">
        <v>61</v>
      </c>
      <c r="F6" t="s">
        <v>726</v>
      </c>
      <c r="G6" t="s">
        <v>727</v>
      </c>
      <c r="I6">
        <v>3</v>
      </c>
      <c r="J6" t="s">
        <v>63</v>
      </c>
      <c r="K6">
        <v>91</v>
      </c>
      <c r="L6" t="s">
        <v>75</v>
      </c>
      <c r="M6" s="4">
        <v>111000</v>
      </c>
      <c r="P6" s="2">
        <v>45726</v>
      </c>
      <c r="R6">
        <v>9</v>
      </c>
      <c r="S6" s="4">
        <v>999000</v>
      </c>
      <c r="T6" t="s">
        <v>65</v>
      </c>
      <c r="U6" t="s">
        <v>728</v>
      </c>
      <c r="V6">
        <v>0</v>
      </c>
      <c r="W6" s="4">
        <v>940678</v>
      </c>
      <c r="X6" s="4">
        <v>58322</v>
      </c>
      <c r="Y6">
        <v>0</v>
      </c>
      <c r="Z6">
        <v>0</v>
      </c>
      <c r="AA6">
        <v>0</v>
      </c>
      <c r="AD6">
        <v>0</v>
      </c>
      <c r="AM6" t="s">
        <v>729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730</v>
      </c>
      <c r="BA6">
        <v>0</v>
      </c>
      <c r="BC6" t="s">
        <v>68</v>
      </c>
      <c r="BF6" t="s">
        <v>731</v>
      </c>
    </row>
    <row r="7" spans="1:58" x14ac:dyDescent="0.35">
      <c r="A7" t="s">
        <v>2252</v>
      </c>
      <c r="B7">
        <v>10000</v>
      </c>
      <c r="C7">
        <v>10000</v>
      </c>
      <c r="D7" s="2">
        <v>45726</v>
      </c>
      <c r="E7" t="s">
        <v>61</v>
      </c>
      <c r="F7" t="s">
        <v>2253</v>
      </c>
      <c r="G7" t="s">
        <v>885</v>
      </c>
      <c r="I7">
        <v>1</v>
      </c>
      <c r="J7" t="s">
        <v>63</v>
      </c>
      <c r="K7">
        <v>59</v>
      </c>
      <c r="L7" t="s">
        <v>745</v>
      </c>
      <c r="M7" s="4">
        <v>7500</v>
      </c>
      <c r="P7" s="2">
        <v>45726</v>
      </c>
      <c r="R7">
        <v>6</v>
      </c>
      <c r="S7" s="4">
        <v>45000</v>
      </c>
      <c r="T7" t="s">
        <v>65</v>
      </c>
      <c r="U7" t="s">
        <v>2254</v>
      </c>
      <c r="V7">
        <v>0</v>
      </c>
      <c r="W7" s="4">
        <v>45000</v>
      </c>
      <c r="X7">
        <v>0</v>
      </c>
      <c r="Y7">
        <v>0</v>
      </c>
      <c r="Z7">
        <v>0</v>
      </c>
      <c r="AA7">
        <v>0</v>
      </c>
      <c r="AD7">
        <v>0</v>
      </c>
      <c r="AM7">
        <v>15058363</v>
      </c>
      <c r="AN7" t="s">
        <v>311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2255</v>
      </c>
      <c r="BA7">
        <v>0</v>
      </c>
      <c r="BC7" t="s">
        <v>311</v>
      </c>
      <c r="BF7" t="s">
        <v>2256</v>
      </c>
    </row>
    <row r="8" spans="1:58" x14ac:dyDescent="0.35">
      <c r="A8" t="s">
        <v>2257</v>
      </c>
      <c r="B8">
        <v>10000</v>
      </c>
      <c r="C8">
        <v>10000</v>
      </c>
      <c r="D8" s="2">
        <v>45727</v>
      </c>
      <c r="E8" t="s">
        <v>61</v>
      </c>
      <c r="F8" t="s">
        <v>2258</v>
      </c>
      <c r="G8" t="s">
        <v>2089</v>
      </c>
      <c r="I8">
        <v>1</v>
      </c>
      <c r="J8" t="s">
        <v>63</v>
      </c>
      <c r="K8">
        <v>31</v>
      </c>
      <c r="L8" t="s">
        <v>1311</v>
      </c>
      <c r="M8" s="4">
        <v>30125</v>
      </c>
      <c r="P8" s="2">
        <v>45726</v>
      </c>
      <c r="R8">
        <v>4</v>
      </c>
      <c r="S8" s="4">
        <v>120500</v>
      </c>
      <c r="T8" t="s">
        <v>65</v>
      </c>
      <c r="U8">
        <v>200129790001</v>
      </c>
      <c r="V8">
        <v>0</v>
      </c>
      <c r="W8" s="4">
        <v>120500</v>
      </c>
      <c r="X8">
        <v>0</v>
      </c>
      <c r="Y8">
        <v>0</v>
      </c>
      <c r="Z8">
        <v>0</v>
      </c>
      <c r="AA8">
        <v>0</v>
      </c>
      <c r="AD8">
        <v>0</v>
      </c>
      <c r="AM8">
        <v>20012979</v>
      </c>
      <c r="AN8" t="s">
        <v>311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2259</v>
      </c>
      <c r="BA8">
        <v>0</v>
      </c>
      <c r="BC8" t="s">
        <v>311</v>
      </c>
      <c r="BF8" t="s">
        <v>2260</v>
      </c>
    </row>
    <row r="9" spans="1:58" x14ac:dyDescent="0.35">
      <c r="A9" t="s">
        <v>2261</v>
      </c>
      <c r="B9">
        <v>10000</v>
      </c>
      <c r="C9">
        <v>10000</v>
      </c>
      <c r="D9" s="2">
        <v>45727</v>
      </c>
      <c r="E9" t="s">
        <v>61</v>
      </c>
      <c r="F9" t="s">
        <v>2262</v>
      </c>
      <c r="G9" t="s">
        <v>2263</v>
      </c>
      <c r="I9">
        <v>1</v>
      </c>
      <c r="J9" t="s">
        <v>63</v>
      </c>
      <c r="K9">
        <v>63</v>
      </c>
      <c r="L9" t="s">
        <v>519</v>
      </c>
      <c r="M9" s="4">
        <v>5000</v>
      </c>
      <c r="P9" s="2">
        <v>45726</v>
      </c>
      <c r="R9">
        <v>100</v>
      </c>
      <c r="S9" s="4">
        <v>500000</v>
      </c>
      <c r="T9" t="s">
        <v>65</v>
      </c>
      <c r="U9" t="s">
        <v>2264</v>
      </c>
      <c r="V9">
        <v>0</v>
      </c>
      <c r="W9" s="4">
        <v>500000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2265</v>
      </c>
      <c r="AN9" t="s">
        <v>2266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2267</v>
      </c>
      <c r="BA9">
        <v>0</v>
      </c>
      <c r="BC9" t="s">
        <v>2266</v>
      </c>
      <c r="BF9" t="s">
        <v>2268</v>
      </c>
    </row>
    <row r="10" spans="1:58" x14ac:dyDescent="0.35">
      <c r="A10" t="s">
        <v>2269</v>
      </c>
      <c r="B10">
        <v>10000</v>
      </c>
      <c r="C10">
        <v>20000</v>
      </c>
      <c r="D10" s="2">
        <v>45726</v>
      </c>
      <c r="E10" t="s">
        <v>61</v>
      </c>
      <c r="F10" t="s">
        <v>2270</v>
      </c>
      <c r="G10" t="s">
        <v>2271</v>
      </c>
      <c r="I10">
        <v>1</v>
      </c>
      <c r="J10" t="s">
        <v>63</v>
      </c>
      <c r="K10">
        <v>94</v>
      </c>
      <c r="L10" t="s">
        <v>181</v>
      </c>
      <c r="M10" s="4">
        <v>4500</v>
      </c>
      <c r="P10" s="2">
        <v>45726</v>
      </c>
      <c r="R10">
        <v>4</v>
      </c>
      <c r="S10" s="4">
        <v>18000</v>
      </c>
      <c r="T10" t="s">
        <v>65</v>
      </c>
      <c r="U10" t="s">
        <v>2272</v>
      </c>
      <c r="V10">
        <v>0</v>
      </c>
      <c r="W10" s="4">
        <v>9000</v>
      </c>
      <c r="X10" s="4">
        <v>9000</v>
      </c>
      <c r="Y10">
        <v>0</v>
      </c>
      <c r="Z10">
        <v>0</v>
      </c>
      <c r="AA10">
        <v>0</v>
      </c>
      <c r="AD10">
        <v>0</v>
      </c>
      <c r="AM10" t="s">
        <v>2273</v>
      </c>
      <c r="AN10" t="s">
        <v>364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2274</v>
      </c>
      <c r="BA10">
        <v>0</v>
      </c>
      <c r="BC10" t="s">
        <v>364</v>
      </c>
      <c r="BF10" t="s">
        <v>2275</v>
      </c>
    </row>
    <row r="11" spans="1:58" x14ac:dyDescent="0.35">
      <c r="A11" t="s">
        <v>2276</v>
      </c>
      <c r="B11">
        <v>10000</v>
      </c>
      <c r="C11">
        <v>10000</v>
      </c>
      <c r="D11" s="2">
        <v>45728</v>
      </c>
      <c r="E11" t="s">
        <v>61</v>
      </c>
      <c r="F11" t="s">
        <v>2277</v>
      </c>
      <c r="G11" t="s">
        <v>2278</v>
      </c>
      <c r="I11">
        <v>1</v>
      </c>
      <c r="J11" t="s">
        <v>63</v>
      </c>
      <c r="K11">
        <v>60</v>
      </c>
      <c r="L11" t="s">
        <v>277</v>
      </c>
      <c r="M11" s="4">
        <v>5100</v>
      </c>
      <c r="P11" s="2">
        <v>45726</v>
      </c>
      <c r="R11">
        <v>10</v>
      </c>
      <c r="S11" s="4">
        <v>51000</v>
      </c>
      <c r="T11" t="s">
        <v>65</v>
      </c>
      <c r="U11" t="s">
        <v>2153</v>
      </c>
      <c r="V11">
        <v>0</v>
      </c>
      <c r="W11" s="4">
        <v>51000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2154</v>
      </c>
      <c r="AN11" t="s">
        <v>321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2279</v>
      </c>
      <c r="BA11">
        <v>0</v>
      </c>
      <c r="BC11" t="s">
        <v>321</v>
      </c>
      <c r="BF11" t="s">
        <v>2280</v>
      </c>
    </row>
    <row r="12" spans="1:58" x14ac:dyDescent="0.35">
      <c r="A12" t="s">
        <v>1179</v>
      </c>
      <c r="B12">
        <v>10000</v>
      </c>
      <c r="C12">
        <v>30000</v>
      </c>
      <c r="D12" s="2">
        <v>45727</v>
      </c>
      <c r="E12" t="s">
        <v>61</v>
      </c>
      <c r="F12" t="s">
        <v>1180</v>
      </c>
      <c r="G12" t="s">
        <v>1181</v>
      </c>
      <c r="I12">
        <v>3</v>
      </c>
      <c r="J12" t="s">
        <v>63</v>
      </c>
      <c r="K12">
        <v>85</v>
      </c>
      <c r="L12" t="s">
        <v>327</v>
      </c>
      <c r="M12" s="4">
        <v>10000</v>
      </c>
      <c r="P12" s="2">
        <v>45726</v>
      </c>
      <c r="R12">
        <v>11</v>
      </c>
      <c r="S12" s="4">
        <v>110000</v>
      </c>
      <c r="T12" t="s">
        <v>65</v>
      </c>
      <c r="U12" t="s">
        <v>1182</v>
      </c>
      <c r="V12">
        <v>0</v>
      </c>
      <c r="W12" s="4">
        <v>100000</v>
      </c>
      <c r="X12" s="4">
        <v>10000</v>
      </c>
      <c r="Y12">
        <v>0</v>
      </c>
      <c r="Z12">
        <v>0</v>
      </c>
      <c r="AA12">
        <v>0</v>
      </c>
      <c r="AD12">
        <v>0</v>
      </c>
      <c r="AM12" t="s">
        <v>1183</v>
      </c>
      <c r="AN12" t="s">
        <v>107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1184</v>
      </c>
      <c r="BA12">
        <v>0</v>
      </c>
      <c r="BC12" t="s">
        <v>107</v>
      </c>
      <c r="BF12" t="s">
        <v>1185</v>
      </c>
    </row>
    <row r="13" spans="1:58" x14ac:dyDescent="0.35">
      <c r="A13" t="s">
        <v>1186</v>
      </c>
      <c r="B13">
        <v>10000</v>
      </c>
      <c r="C13">
        <v>30000</v>
      </c>
      <c r="D13" s="2">
        <v>45727</v>
      </c>
      <c r="E13" t="s">
        <v>61</v>
      </c>
      <c r="F13" t="s">
        <v>1187</v>
      </c>
      <c r="G13" t="s">
        <v>1181</v>
      </c>
      <c r="I13">
        <v>3</v>
      </c>
      <c r="J13" t="s">
        <v>63</v>
      </c>
      <c r="K13">
        <v>85</v>
      </c>
      <c r="L13" t="s">
        <v>327</v>
      </c>
      <c r="M13" s="4">
        <v>10000</v>
      </c>
      <c r="P13" s="2">
        <v>45726</v>
      </c>
      <c r="R13">
        <v>11</v>
      </c>
      <c r="S13" s="4">
        <v>110000</v>
      </c>
      <c r="T13" t="s">
        <v>65</v>
      </c>
      <c r="U13" t="s">
        <v>1188</v>
      </c>
      <c r="V13">
        <v>0</v>
      </c>
      <c r="W13" s="4">
        <v>100000</v>
      </c>
      <c r="X13" s="4">
        <v>10000</v>
      </c>
      <c r="Y13">
        <v>0</v>
      </c>
      <c r="Z13">
        <v>0</v>
      </c>
      <c r="AA13">
        <v>0</v>
      </c>
      <c r="AD13">
        <v>0</v>
      </c>
      <c r="AM13" t="s">
        <v>1189</v>
      </c>
      <c r="AN13" t="s">
        <v>107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1190</v>
      </c>
      <c r="BA13">
        <v>0</v>
      </c>
      <c r="BC13" t="s">
        <v>107</v>
      </c>
      <c r="BF13" t="s">
        <v>1191</v>
      </c>
    </row>
    <row r="14" spans="1:58" x14ac:dyDescent="0.35">
      <c r="A14" t="s">
        <v>1192</v>
      </c>
      <c r="B14">
        <v>10000</v>
      </c>
      <c r="C14">
        <v>30000</v>
      </c>
      <c r="D14" s="2">
        <v>45727</v>
      </c>
      <c r="E14" t="s">
        <v>61</v>
      </c>
      <c r="F14" t="s">
        <v>1193</v>
      </c>
      <c r="G14" t="s">
        <v>1181</v>
      </c>
      <c r="I14">
        <v>3</v>
      </c>
      <c r="J14" t="s">
        <v>63</v>
      </c>
      <c r="K14">
        <v>85</v>
      </c>
      <c r="L14" t="s">
        <v>327</v>
      </c>
      <c r="M14" s="4">
        <v>10000</v>
      </c>
      <c r="P14" s="2">
        <v>45726</v>
      </c>
      <c r="R14">
        <v>11</v>
      </c>
      <c r="S14" s="4">
        <v>110000</v>
      </c>
      <c r="T14" t="s">
        <v>65</v>
      </c>
      <c r="U14" t="s">
        <v>1194</v>
      </c>
      <c r="V14">
        <v>0</v>
      </c>
      <c r="W14" s="4">
        <v>100000</v>
      </c>
      <c r="X14" s="4">
        <v>10000</v>
      </c>
      <c r="Y14">
        <v>0</v>
      </c>
      <c r="Z14">
        <v>0</v>
      </c>
      <c r="AA14">
        <v>0</v>
      </c>
      <c r="AD14">
        <v>0</v>
      </c>
      <c r="AM14" t="s">
        <v>1195</v>
      </c>
      <c r="AN14" t="s">
        <v>107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1196</v>
      </c>
      <c r="BA14">
        <v>0</v>
      </c>
      <c r="BC14" t="s">
        <v>107</v>
      </c>
      <c r="BF14" t="s">
        <v>1197</v>
      </c>
    </row>
    <row r="15" spans="1:58" x14ac:dyDescent="0.35">
      <c r="A15" t="s">
        <v>1198</v>
      </c>
      <c r="B15">
        <v>10000</v>
      </c>
      <c r="C15">
        <v>30000</v>
      </c>
      <c r="D15" s="2">
        <v>45727</v>
      </c>
      <c r="E15" t="s">
        <v>61</v>
      </c>
      <c r="F15" t="s">
        <v>1199</v>
      </c>
      <c r="G15" t="s">
        <v>1181</v>
      </c>
      <c r="I15">
        <v>3</v>
      </c>
      <c r="J15" t="s">
        <v>63</v>
      </c>
      <c r="K15">
        <v>85</v>
      </c>
      <c r="L15" t="s">
        <v>327</v>
      </c>
      <c r="M15" s="4">
        <v>10000</v>
      </c>
      <c r="P15" s="2">
        <v>45726</v>
      </c>
      <c r="R15">
        <v>11</v>
      </c>
      <c r="S15" s="4">
        <v>110000</v>
      </c>
      <c r="T15" t="s">
        <v>65</v>
      </c>
      <c r="U15" t="s">
        <v>1200</v>
      </c>
      <c r="V15">
        <v>0</v>
      </c>
      <c r="W15" s="4">
        <v>100000</v>
      </c>
      <c r="X15" s="4">
        <v>10000</v>
      </c>
      <c r="Y15">
        <v>0</v>
      </c>
      <c r="Z15">
        <v>0</v>
      </c>
      <c r="AA15">
        <v>0</v>
      </c>
      <c r="AD15">
        <v>0</v>
      </c>
      <c r="AM15" t="s">
        <v>1201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1202</v>
      </c>
      <c r="BA15">
        <v>0</v>
      </c>
      <c r="BC15" t="s">
        <v>107</v>
      </c>
      <c r="BF15" t="s">
        <v>1203</v>
      </c>
    </row>
    <row r="16" spans="1:58" x14ac:dyDescent="0.35">
      <c r="A16" t="s">
        <v>1204</v>
      </c>
      <c r="B16">
        <v>10000</v>
      </c>
      <c r="C16">
        <v>30000</v>
      </c>
      <c r="D16" s="2">
        <v>45727</v>
      </c>
      <c r="E16" t="s">
        <v>61</v>
      </c>
      <c r="F16" t="s">
        <v>1205</v>
      </c>
      <c r="G16" t="s">
        <v>1181</v>
      </c>
      <c r="I16">
        <v>3</v>
      </c>
      <c r="J16" t="s">
        <v>63</v>
      </c>
      <c r="K16">
        <v>85</v>
      </c>
      <c r="L16" t="s">
        <v>327</v>
      </c>
      <c r="M16" s="4">
        <v>10000</v>
      </c>
      <c r="P16" s="2">
        <v>45726</v>
      </c>
      <c r="R16">
        <v>11</v>
      </c>
      <c r="S16" s="4">
        <v>110000</v>
      </c>
      <c r="T16" t="s">
        <v>65</v>
      </c>
      <c r="U16" t="s">
        <v>1206</v>
      </c>
      <c r="V16">
        <v>0</v>
      </c>
      <c r="W16" s="4">
        <v>100000</v>
      </c>
      <c r="X16" s="4">
        <v>10000</v>
      </c>
      <c r="Y16">
        <v>0</v>
      </c>
      <c r="Z16">
        <v>0</v>
      </c>
      <c r="AA16">
        <v>0</v>
      </c>
      <c r="AD16">
        <v>0</v>
      </c>
      <c r="AM16" t="s">
        <v>1207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1208</v>
      </c>
      <c r="BA16">
        <v>0</v>
      </c>
      <c r="BC16" t="s">
        <v>107</v>
      </c>
      <c r="BF16" t="s">
        <v>1209</v>
      </c>
    </row>
    <row r="17" spans="1:58" x14ac:dyDescent="0.35">
      <c r="A17" t="s">
        <v>1210</v>
      </c>
      <c r="B17">
        <v>10000</v>
      </c>
      <c r="C17">
        <v>30000</v>
      </c>
      <c r="D17" s="2">
        <v>45727</v>
      </c>
      <c r="E17" t="s">
        <v>61</v>
      </c>
      <c r="F17" t="s">
        <v>1211</v>
      </c>
      <c r="G17" t="s">
        <v>1181</v>
      </c>
      <c r="I17">
        <v>3</v>
      </c>
      <c r="J17" t="s">
        <v>63</v>
      </c>
      <c r="K17">
        <v>85</v>
      </c>
      <c r="L17" t="s">
        <v>327</v>
      </c>
      <c r="M17" s="4">
        <v>10000</v>
      </c>
      <c r="P17" s="2">
        <v>45726</v>
      </c>
      <c r="R17">
        <v>11</v>
      </c>
      <c r="S17" s="4">
        <v>110000</v>
      </c>
      <c r="T17" t="s">
        <v>65</v>
      </c>
      <c r="U17" t="s">
        <v>1212</v>
      </c>
      <c r="V17">
        <v>0</v>
      </c>
      <c r="W17" s="4">
        <v>100000</v>
      </c>
      <c r="X17" s="4">
        <v>10000</v>
      </c>
      <c r="Y17">
        <v>0</v>
      </c>
      <c r="Z17">
        <v>0</v>
      </c>
      <c r="AA17">
        <v>0</v>
      </c>
      <c r="AD17">
        <v>0</v>
      </c>
      <c r="AM17" t="s">
        <v>1213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1214</v>
      </c>
      <c r="BA17">
        <v>0</v>
      </c>
      <c r="BC17" t="s">
        <v>107</v>
      </c>
      <c r="BF17" t="s">
        <v>1215</v>
      </c>
    </row>
    <row r="18" spans="1:58" x14ac:dyDescent="0.35">
      <c r="A18" t="s">
        <v>1216</v>
      </c>
      <c r="B18">
        <v>10000</v>
      </c>
      <c r="C18">
        <v>30000</v>
      </c>
      <c r="D18" s="2">
        <v>45727</v>
      </c>
      <c r="E18" t="s">
        <v>61</v>
      </c>
      <c r="F18" t="s">
        <v>1217</v>
      </c>
      <c r="G18" t="s">
        <v>1181</v>
      </c>
      <c r="I18">
        <v>3</v>
      </c>
      <c r="J18" t="s">
        <v>63</v>
      </c>
      <c r="K18">
        <v>85</v>
      </c>
      <c r="L18" t="s">
        <v>327</v>
      </c>
      <c r="M18" s="4">
        <v>10000</v>
      </c>
      <c r="P18" s="2">
        <v>45726</v>
      </c>
      <c r="R18">
        <v>11</v>
      </c>
      <c r="S18" s="4">
        <v>110000</v>
      </c>
      <c r="T18" t="s">
        <v>65</v>
      </c>
      <c r="U18" t="s">
        <v>1218</v>
      </c>
      <c r="V18">
        <v>0</v>
      </c>
      <c r="W18" s="4">
        <v>100000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1219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1220</v>
      </c>
      <c r="BA18">
        <v>0</v>
      </c>
      <c r="BC18" t="s">
        <v>107</v>
      </c>
      <c r="BF18" t="s">
        <v>1221</v>
      </c>
    </row>
    <row r="19" spans="1:58" x14ac:dyDescent="0.35">
      <c r="A19" t="s">
        <v>1222</v>
      </c>
      <c r="B19">
        <v>10000</v>
      </c>
      <c r="C19">
        <v>30000</v>
      </c>
      <c r="D19" s="2">
        <v>45727</v>
      </c>
      <c r="E19" t="s">
        <v>61</v>
      </c>
      <c r="F19" t="s">
        <v>1223</v>
      </c>
      <c r="G19" t="s">
        <v>1181</v>
      </c>
      <c r="I19">
        <v>3</v>
      </c>
      <c r="J19" t="s">
        <v>63</v>
      </c>
      <c r="K19">
        <v>85</v>
      </c>
      <c r="L19" t="s">
        <v>327</v>
      </c>
      <c r="M19" s="4">
        <v>20000</v>
      </c>
      <c r="P19" s="2">
        <v>45726</v>
      </c>
      <c r="R19">
        <v>11</v>
      </c>
      <c r="S19" s="4">
        <v>220000</v>
      </c>
      <c r="T19" t="s">
        <v>65</v>
      </c>
      <c r="U19" t="s">
        <v>1224</v>
      </c>
      <c r="V19">
        <v>0</v>
      </c>
      <c r="W19" s="4">
        <v>200000</v>
      </c>
      <c r="X19" s="4">
        <v>20000</v>
      </c>
      <c r="Y19">
        <v>0</v>
      </c>
      <c r="Z19">
        <v>0</v>
      </c>
      <c r="AA19">
        <v>0</v>
      </c>
      <c r="AD19">
        <v>0</v>
      </c>
      <c r="AM19" t="s">
        <v>1225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1226</v>
      </c>
      <c r="BA19">
        <v>0</v>
      </c>
      <c r="BC19" t="s">
        <v>107</v>
      </c>
      <c r="BF19" t="s">
        <v>1227</v>
      </c>
    </row>
    <row r="20" spans="1:58" x14ac:dyDescent="0.35">
      <c r="A20" t="s">
        <v>1244</v>
      </c>
      <c r="B20">
        <v>10000</v>
      </c>
      <c r="C20">
        <v>20000</v>
      </c>
      <c r="D20" s="2">
        <v>45726</v>
      </c>
      <c r="E20" t="s">
        <v>61</v>
      </c>
      <c r="F20" t="s">
        <v>1245</v>
      </c>
      <c r="G20" t="s">
        <v>1246</v>
      </c>
      <c r="I20">
        <v>2</v>
      </c>
      <c r="J20" t="s">
        <v>63</v>
      </c>
      <c r="K20">
        <v>82</v>
      </c>
      <c r="L20" t="s">
        <v>341</v>
      </c>
      <c r="M20" s="4">
        <v>5000</v>
      </c>
      <c r="P20" s="2">
        <v>45726</v>
      </c>
      <c r="R20">
        <v>8</v>
      </c>
      <c r="S20" s="4">
        <v>40000</v>
      </c>
      <c r="T20" t="s">
        <v>65</v>
      </c>
      <c r="U20" t="s">
        <v>1247</v>
      </c>
      <c r="V20">
        <v>0</v>
      </c>
      <c r="W20" s="4">
        <v>20000</v>
      </c>
      <c r="X20" s="4">
        <v>20000</v>
      </c>
      <c r="Y20">
        <v>0</v>
      </c>
      <c r="Z20">
        <v>0</v>
      </c>
      <c r="AA20">
        <v>0</v>
      </c>
      <c r="AD20">
        <v>0</v>
      </c>
      <c r="AM20" t="s">
        <v>1248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1249</v>
      </c>
      <c r="BA20">
        <v>0</v>
      </c>
      <c r="BC20" t="s">
        <v>107</v>
      </c>
      <c r="BF20" t="s">
        <v>1250</v>
      </c>
    </row>
    <row r="21" spans="1:58" x14ac:dyDescent="0.35">
      <c r="A21" t="s">
        <v>2281</v>
      </c>
      <c r="B21">
        <v>10000</v>
      </c>
      <c r="C21">
        <v>10000</v>
      </c>
      <c r="D21" s="2">
        <v>45727</v>
      </c>
      <c r="E21" t="s">
        <v>61</v>
      </c>
      <c r="F21" t="s">
        <v>2282</v>
      </c>
      <c r="G21" t="s">
        <v>2052</v>
      </c>
      <c r="I21">
        <v>1</v>
      </c>
      <c r="J21" t="s">
        <v>63</v>
      </c>
      <c r="K21">
        <v>59</v>
      </c>
      <c r="L21" t="s">
        <v>745</v>
      </c>
      <c r="M21" s="4">
        <v>1118</v>
      </c>
      <c r="P21" s="2">
        <v>45726</v>
      </c>
      <c r="R21">
        <v>4</v>
      </c>
      <c r="S21" s="4">
        <v>4472</v>
      </c>
      <c r="T21" t="s">
        <v>65</v>
      </c>
      <c r="U21">
        <v>112888470001</v>
      </c>
      <c r="V21">
        <v>0</v>
      </c>
      <c r="W21" s="4">
        <v>4470</v>
      </c>
      <c r="X21">
        <v>2</v>
      </c>
      <c r="Y21">
        <v>0</v>
      </c>
      <c r="Z21">
        <v>0</v>
      </c>
      <c r="AA21">
        <v>0</v>
      </c>
      <c r="AD21">
        <v>0</v>
      </c>
      <c r="AM21">
        <v>11288847</v>
      </c>
      <c r="AN21" t="s">
        <v>182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2283</v>
      </c>
      <c r="BA21">
        <v>0</v>
      </c>
      <c r="BC21" t="s">
        <v>182</v>
      </c>
      <c r="BF21" t="s">
        <v>2284</v>
      </c>
    </row>
    <row r="22" spans="1:58" x14ac:dyDescent="0.35">
      <c r="A22" t="s">
        <v>2285</v>
      </c>
      <c r="B22">
        <v>10000</v>
      </c>
      <c r="C22">
        <v>10000</v>
      </c>
      <c r="D22" s="2">
        <v>45727</v>
      </c>
      <c r="E22" t="s">
        <v>61</v>
      </c>
      <c r="F22" t="s">
        <v>1993</v>
      </c>
      <c r="G22" t="s">
        <v>2052</v>
      </c>
      <c r="I22">
        <v>1</v>
      </c>
      <c r="J22" t="s">
        <v>63</v>
      </c>
      <c r="K22">
        <v>59</v>
      </c>
      <c r="L22" t="s">
        <v>745</v>
      </c>
      <c r="M22" s="4">
        <v>1118</v>
      </c>
      <c r="P22" s="2">
        <v>45726</v>
      </c>
      <c r="R22">
        <v>4</v>
      </c>
      <c r="S22" s="4">
        <v>4472</v>
      </c>
      <c r="T22" t="s">
        <v>65</v>
      </c>
      <c r="U22">
        <v>112887910001</v>
      </c>
      <c r="V22">
        <v>0</v>
      </c>
      <c r="W22" s="4">
        <v>4470</v>
      </c>
      <c r="X22">
        <v>2</v>
      </c>
      <c r="Y22">
        <v>0</v>
      </c>
      <c r="Z22">
        <v>0</v>
      </c>
      <c r="AA22">
        <v>0</v>
      </c>
      <c r="AD22">
        <v>0</v>
      </c>
      <c r="AM22">
        <v>11288791</v>
      </c>
      <c r="AN22" t="s">
        <v>182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2286</v>
      </c>
      <c r="BA22">
        <v>0</v>
      </c>
      <c r="BC22" t="s">
        <v>182</v>
      </c>
      <c r="BF22" t="s">
        <v>2284</v>
      </c>
    </row>
    <row r="23" spans="1:58" x14ac:dyDescent="0.35">
      <c r="A23" t="s">
        <v>1251</v>
      </c>
      <c r="B23">
        <v>10000</v>
      </c>
      <c r="C23">
        <v>20000</v>
      </c>
      <c r="D23" s="2">
        <v>45726</v>
      </c>
      <c r="E23" t="s">
        <v>61</v>
      </c>
      <c r="F23" t="s">
        <v>1245</v>
      </c>
      <c r="G23" t="s">
        <v>1246</v>
      </c>
      <c r="I23">
        <v>2</v>
      </c>
      <c r="J23" t="s">
        <v>63</v>
      </c>
      <c r="K23">
        <v>82</v>
      </c>
      <c r="L23" t="s">
        <v>341</v>
      </c>
      <c r="M23" s="4">
        <v>1250</v>
      </c>
      <c r="P23" s="2">
        <v>45726</v>
      </c>
      <c r="R23">
        <v>8</v>
      </c>
      <c r="S23" s="4">
        <v>10000</v>
      </c>
      <c r="T23" t="s">
        <v>65</v>
      </c>
      <c r="U23" t="s">
        <v>1247</v>
      </c>
      <c r="V23">
        <v>0</v>
      </c>
      <c r="W23" s="4">
        <v>5000</v>
      </c>
      <c r="X23" s="4">
        <v>5000</v>
      </c>
      <c r="Y23">
        <v>0</v>
      </c>
      <c r="Z23">
        <v>0</v>
      </c>
      <c r="AA23">
        <v>0</v>
      </c>
      <c r="AD23">
        <v>0</v>
      </c>
      <c r="AM23" t="s">
        <v>1252</v>
      </c>
      <c r="AN23" t="s">
        <v>1253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1254</v>
      </c>
      <c r="BA23">
        <v>0</v>
      </c>
      <c r="BC23" t="s">
        <v>1253</v>
      </c>
      <c r="BF23" t="s">
        <v>1255</v>
      </c>
    </row>
    <row r="24" spans="1:58" x14ac:dyDescent="0.35">
      <c r="A24" t="s">
        <v>1731</v>
      </c>
      <c r="B24">
        <v>10000</v>
      </c>
      <c r="C24">
        <v>20000</v>
      </c>
      <c r="D24" s="2">
        <v>45727</v>
      </c>
      <c r="E24" t="s">
        <v>61</v>
      </c>
      <c r="F24" t="s">
        <v>1732</v>
      </c>
      <c r="G24" t="s">
        <v>1733</v>
      </c>
      <c r="I24">
        <v>2</v>
      </c>
      <c r="J24" t="s">
        <v>63</v>
      </c>
      <c r="K24">
        <v>63</v>
      </c>
      <c r="L24" t="s">
        <v>519</v>
      </c>
      <c r="M24" s="4">
        <v>2500</v>
      </c>
      <c r="P24" s="2">
        <v>45726</v>
      </c>
      <c r="R24">
        <v>16</v>
      </c>
      <c r="S24" s="4">
        <v>40000</v>
      </c>
      <c r="T24" t="s">
        <v>65</v>
      </c>
      <c r="U24" t="s">
        <v>1734</v>
      </c>
      <c r="V24">
        <v>0</v>
      </c>
      <c r="W24" s="4">
        <v>40000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1735</v>
      </c>
      <c r="AN24" t="s">
        <v>157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1736</v>
      </c>
      <c r="BA24">
        <v>0</v>
      </c>
      <c r="BC24" t="s">
        <v>157</v>
      </c>
      <c r="BF24" t="s">
        <v>1737</v>
      </c>
    </row>
    <row r="25" spans="1:58" x14ac:dyDescent="0.35">
      <c r="A25" t="s">
        <v>2287</v>
      </c>
      <c r="B25">
        <v>10000</v>
      </c>
      <c r="C25">
        <v>10000</v>
      </c>
      <c r="D25" s="2">
        <v>45730</v>
      </c>
      <c r="E25" t="s">
        <v>61</v>
      </c>
      <c r="F25" t="s">
        <v>2288</v>
      </c>
      <c r="G25" t="s">
        <v>2289</v>
      </c>
      <c r="I25">
        <v>1</v>
      </c>
      <c r="J25" t="s">
        <v>63</v>
      </c>
      <c r="K25">
        <v>78</v>
      </c>
      <c r="L25" t="s">
        <v>188</v>
      </c>
      <c r="M25" s="4">
        <v>5500</v>
      </c>
      <c r="P25" s="2">
        <v>45726</v>
      </c>
      <c r="R25">
        <v>16</v>
      </c>
      <c r="S25" s="4">
        <v>88000</v>
      </c>
      <c r="T25" t="s">
        <v>65</v>
      </c>
      <c r="U25" t="s">
        <v>2290</v>
      </c>
      <c r="V25">
        <v>0</v>
      </c>
      <c r="W25" s="4">
        <v>80000</v>
      </c>
      <c r="X25" s="4">
        <v>8000</v>
      </c>
      <c r="Y25">
        <v>0</v>
      </c>
      <c r="Z25">
        <v>0</v>
      </c>
      <c r="AA25">
        <v>0</v>
      </c>
      <c r="AD25">
        <v>0</v>
      </c>
      <c r="AM25" t="s">
        <v>2291</v>
      </c>
      <c r="AN25" t="s">
        <v>157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2292</v>
      </c>
      <c r="BA25">
        <v>0</v>
      </c>
      <c r="BC25" t="s">
        <v>157</v>
      </c>
      <c r="BF25" t="s">
        <v>2293</v>
      </c>
    </row>
    <row r="26" spans="1:58" x14ac:dyDescent="0.35">
      <c r="A26" t="s">
        <v>2294</v>
      </c>
      <c r="B26">
        <v>10000</v>
      </c>
      <c r="C26">
        <v>10000</v>
      </c>
      <c r="D26" s="2">
        <v>45726</v>
      </c>
      <c r="E26" t="s">
        <v>61</v>
      </c>
      <c r="F26" t="s">
        <v>2253</v>
      </c>
      <c r="G26" t="s">
        <v>418</v>
      </c>
      <c r="I26">
        <v>1</v>
      </c>
      <c r="J26" t="s">
        <v>63</v>
      </c>
      <c r="K26">
        <v>59</v>
      </c>
      <c r="L26" t="s">
        <v>745</v>
      </c>
      <c r="M26" s="4">
        <v>1000</v>
      </c>
      <c r="P26" s="2">
        <v>45726</v>
      </c>
      <c r="R26">
        <v>6</v>
      </c>
      <c r="S26" s="4">
        <v>6000</v>
      </c>
      <c r="T26" t="s">
        <v>65</v>
      </c>
      <c r="U26" t="s">
        <v>2254</v>
      </c>
      <c r="V26">
        <v>0</v>
      </c>
      <c r="W26" s="4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2295</v>
      </c>
      <c r="AN26" t="s">
        <v>182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2296</v>
      </c>
      <c r="BA26">
        <v>0</v>
      </c>
      <c r="BC26" t="s">
        <v>182</v>
      </c>
      <c r="BF26" t="s">
        <v>2297</v>
      </c>
    </row>
    <row r="27" spans="1:58" x14ac:dyDescent="0.35">
      <c r="A27" t="s">
        <v>1752</v>
      </c>
      <c r="B27">
        <v>10000</v>
      </c>
      <c r="C27">
        <v>20000</v>
      </c>
      <c r="D27" s="2">
        <v>45727</v>
      </c>
      <c r="E27" t="s">
        <v>61</v>
      </c>
      <c r="F27" t="s">
        <v>1753</v>
      </c>
      <c r="G27" t="s">
        <v>1725</v>
      </c>
      <c r="I27">
        <v>2</v>
      </c>
      <c r="J27" t="s">
        <v>63</v>
      </c>
      <c r="K27">
        <v>105</v>
      </c>
      <c r="L27" t="s">
        <v>424</v>
      </c>
      <c r="M27" s="4">
        <v>19000</v>
      </c>
      <c r="P27" s="2">
        <v>45726</v>
      </c>
      <c r="R27">
        <v>3</v>
      </c>
      <c r="S27" s="4">
        <v>57000</v>
      </c>
      <c r="T27" t="s">
        <v>65</v>
      </c>
      <c r="U27" t="s">
        <v>1754</v>
      </c>
      <c r="V27">
        <v>0</v>
      </c>
      <c r="W27" s="4">
        <v>50000</v>
      </c>
      <c r="X27" s="4">
        <v>7000</v>
      </c>
      <c r="Y27">
        <v>0</v>
      </c>
      <c r="Z27">
        <v>0</v>
      </c>
      <c r="AA27">
        <v>0</v>
      </c>
      <c r="AD27">
        <v>0</v>
      </c>
      <c r="AM27" t="s">
        <v>1755</v>
      </c>
      <c r="AN27" t="s">
        <v>1756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1757</v>
      </c>
      <c r="BA27">
        <v>0</v>
      </c>
      <c r="BC27" t="s">
        <v>1756</v>
      </c>
      <c r="BF27" t="s">
        <v>1758</v>
      </c>
    </row>
    <row r="28" spans="1:58" x14ac:dyDescent="0.35">
      <c r="A28" t="s">
        <v>2298</v>
      </c>
      <c r="B28">
        <v>10000</v>
      </c>
      <c r="C28">
        <v>10000</v>
      </c>
      <c r="D28" s="2">
        <v>45726</v>
      </c>
      <c r="E28" t="s">
        <v>61</v>
      </c>
      <c r="F28" t="s">
        <v>2112</v>
      </c>
      <c r="G28" t="s">
        <v>2299</v>
      </c>
      <c r="I28">
        <v>1</v>
      </c>
      <c r="J28" t="s">
        <v>63</v>
      </c>
      <c r="K28">
        <v>61</v>
      </c>
      <c r="L28" t="s">
        <v>216</v>
      </c>
      <c r="M28" s="4">
        <v>2000</v>
      </c>
      <c r="P28" s="2">
        <v>45726</v>
      </c>
      <c r="R28">
        <v>1</v>
      </c>
      <c r="S28" s="4">
        <v>2000</v>
      </c>
      <c r="T28" t="s">
        <v>65</v>
      </c>
      <c r="U28" t="s">
        <v>2300</v>
      </c>
      <c r="V28">
        <v>0</v>
      </c>
      <c r="W28" s="4">
        <v>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2301</v>
      </c>
      <c r="AN28" t="s">
        <v>206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2302</v>
      </c>
      <c r="BA28">
        <v>0</v>
      </c>
      <c r="BC28" t="s">
        <v>206</v>
      </c>
      <c r="BF28" t="s">
        <v>1307</v>
      </c>
    </row>
    <row r="29" spans="1:58" x14ac:dyDescent="0.35">
      <c r="A29" t="s">
        <v>1781</v>
      </c>
      <c r="B29">
        <v>10000</v>
      </c>
      <c r="C29">
        <v>30000</v>
      </c>
      <c r="D29" s="2">
        <v>45728</v>
      </c>
      <c r="E29" t="s">
        <v>61</v>
      </c>
      <c r="F29" t="s">
        <v>2303</v>
      </c>
      <c r="G29" t="s">
        <v>1387</v>
      </c>
      <c r="I29">
        <v>1</v>
      </c>
      <c r="J29" t="s">
        <v>63</v>
      </c>
      <c r="K29">
        <v>46</v>
      </c>
      <c r="L29" t="s">
        <v>113</v>
      </c>
      <c r="M29" s="4">
        <v>6500</v>
      </c>
      <c r="P29" s="2">
        <v>45726</v>
      </c>
      <c r="R29">
        <v>2</v>
      </c>
      <c r="S29" s="4">
        <v>13000</v>
      </c>
      <c r="T29" t="s">
        <v>65</v>
      </c>
      <c r="U29" t="s">
        <v>1782</v>
      </c>
      <c r="V29">
        <v>0</v>
      </c>
      <c r="W29" s="4">
        <v>6500</v>
      </c>
      <c r="X29" s="4">
        <v>6500</v>
      </c>
      <c r="Y29">
        <v>0</v>
      </c>
      <c r="Z29">
        <v>0</v>
      </c>
      <c r="AA29">
        <v>0</v>
      </c>
      <c r="AD29">
        <v>0</v>
      </c>
      <c r="AM29" t="s">
        <v>1783</v>
      </c>
      <c r="AN29" t="s">
        <v>206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1784</v>
      </c>
      <c r="BA29">
        <v>0</v>
      </c>
      <c r="BC29" t="s">
        <v>206</v>
      </c>
      <c r="BF29" t="s">
        <v>1307</v>
      </c>
    </row>
    <row r="30" spans="1:58" x14ac:dyDescent="0.35">
      <c r="A30" t="s">
        <v>1332</v>
      </c>
      <c r="B30">
        <v>10000</v>
      </c>
      <c r="C30">
        <v>30000</v>
      </c>
      <c r="D30" s="2">
        <v>45740</v>
      </c>
      <c r="E30" t="s">
        <v>61</v>
      </c>
      <c r="F30" t="s">
        <v>2304</v>
      </c>
      <c r="G30" t="s">
        <v>1333</v>
      </c>
      <c r="I30">
        <v>2</v>
      </c>
      <c r="J30" t="s">
        <v>63</v>
      </c>
      <c r="K30">
        <v>77</v>
      </c>
      <c r="L30" t="s">
        <v>127</v>
      </c>
      <c r="M30" s="4">
        <v>2500</v>
      </c>
      <c r="P30" s="2">
        <v>45726</v>
      </c>
      <c r="R30">
        <v>88</v>
      </c>
      <c r="S30" s="4">
        <v>220000</v>
      </c>
      <c r="T30" t="s">
        <v>65</v>
      </c>
      <c r="U30" t="s">
        <v>1334</v>
      </c>
      <c r="V30">
        <v>0</v>
      </c>
      <c r="W30" s="4">
        <v>200000</v>
      </c>
      <c r="X30" s="4">
        <v>20000</v>
      </c>
      <c r="Y30">
        <v>0</v>
      </c>
      <c r="Z30">
        <v>0</v>
      </c>
      <c r="AA30">
        <v>0</v>
      </c>
      <c r="AD30">
        <v>0</v>
      </c>
      <c r="AM30" t="s">
        <v>1335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1336</v>
      </c>
      <c r="BA30">
        <v>0</v>
      </c>
      <c r="BC30" t="s">
        <v>107</v>
      </c>
      <c r="BF30" t="s">
        <v>1337</v>
      </c>
    </row>
    <row r="31" spans="1:58" x14ac:dyDescent="0.35">
      <c r="A31" t="s">
        <v>1338</v>
      </c>
      <c r="B31">
        <v>10000</v>
      </c>
      <c r="C31">
        <v>30000</v>
      </c>
      <c r="D31" s="2">
        <v>45727</v>
      </c>
      <c r="E31" t="s">
        <v>61</v>
      </c>
      <c r="F31" t="s">
        <v>1339</v>
      </c>
      <c r="G31" t="s">
        <v>1181</v>
      </c>
      <c r="I31">
        <v>3</v>
      </c>
      <c r="J31" t="s">
        <v>63</v>
      </c>
      <c r="K31">
        <v>85</v>
      </c>
      <c r="L31" t="s">
        <v>327</v>
      </c>
      <c r="M31" s="4">
        <v>10000</v>
      </c>
      <c r="P31" s="2">
        <v>45726</v>
      </c>
      <c r="R31">
        <v>11</v>
      </c>
      <c r="S31" s="4">
        <v>110000</v>
      </c>
      <c r="T31" t="s">
        <v>65</v>
      </c>
      <c r="U31" t="s">
        <v>1340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1341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1342</v>
      </c>
      <c r="BA31">
        <v>0</v>
      </c>
      <c r="BC31" t="s">
        <v>107</v>
      </c>
      <c r="BF31" t="s">
        <v>1343</v>
      </c>
    </row>
    <row r="32" spans="1:58" x14ac:dyDescent="0.35">
      <c r="A32" t="s">
        <v>1356</v>
      </c>
      <c r="B32">
        <v>10000</v>
      </c>
      <c r="C32">
        <v>30000</v>
      </c>
      <c r="D32" s="2">
        <v>45727</v>
      </c>
      <c r="E32" t="s">
        <v>61</v>
      </c>
      <c r="F32" t="s">
        <v>1357</v>
      </c>
      <c r="G32" t="s">
        <v>1181</v>
      </c>
      <c r="I32">
        <v>3</v>
      </c>
      <c r="J32" t="s">
        <v>63</v>
      </c>
      <c r="K32">
        <v>85</v>
      </c>
      <c r="L32" t="s">
        <v>327</v>
      </c>
      <c r="M32" s="4">
        <v>10000</v>
      </c>
      <c r="P32" s="2">
        <v>45726</v>
      </c>
      <c r="R32">
        <v>11</v>
      </c>
      <c r="S32" s="4">
        <v>110000</v>
      </c>
      <c r="T32" t="s">
        <v>65</v>
      </c>
      <c r="U32" t="s">
        <v>1358</v>
      </c>
      <c r="V32">
        <v>0</v>
      </c>
      <c r="W32" s="4">
        <v>100000</v>
      </c>
      <c r="X32" s="4">
        <v>10000</v>
      </c>
      <c r="Y32">
        <v>0</v>
      </c>
      <c r="Z32">
        <v>0</v>
      </c>
      <c r="AA32">
        <v>0</v>
      </c>
      <c r="AD32">
        <v>0</v>
      </c>
      <c r="AM32" t="s">
        <v>1359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1360</v>
      </c>
      <c r="BA32">
        <v>0</v>
      </c>
      <c r="BC32" t="s">
        <v>107</v>
      </c>
      <c r="BF32" t="s">
        <v>1361</v>
      </c>
    </row>
    <row r="33" spans="1:58" x14ac:dyDescent="0.35">
      <c r="A33" t="s">
        <v>1362</v>
      </c>
      <c r="B33">
        <v>10000</v>
      </c>
      <c r="C33">
        <v>20000</v>
      </c>
      <c r="D33" s="2">
        <v>45735</v>
      </c>
      <c r="E33" t="s">
        <v>95</v>
      </c>
      <c r="F33" t="s">
        <v>1363</v>
      </c>
      <c r="G33" t="s">
        <v>1364</v>
      </c>
      <c r="I33">
        <v>2</v>
      </c>
      <c r="J33" t="s">
        <v>63</v>
      </c>
      <c r="K33">
        <v>77</v>
      </c>
      <c r="L33" t="s">
        <v>127</v>
      </c>
      <c r="M33" s="4">
        <v>1250</v>
      </c>
      <c r="P33" s="2">
        <v>45726</v>
      </c>
      <c r="R33">
        <v>88</v>
      </c>
      <c r="S33" s="4">
        <v>110000</v>
      </c>
      <c r="T33" t="s">
        <v>65</v>
      </c>
      <c r="U33" t="s">
        <v>1365</v>
      </c>
      <c r="V33">
        <v>0</v>
      </c>
      <c r="W33" s="4">
        <v>100000</v>
      </c>
      <c r="X33" s="4">
        <v>10000</v>
      </c>
      <c r="Y33">
        <v>0</v>
      </c>
      <c r="Z33">
        <v>0</v>
      </c>
      <c r="AA33">
        <v>0</v>
      </c>
      <c r="AD33">
        <v>0</v>
      </c>
      <c r="AM33" t="s">
        <v>1366</v>
      </c>
      <c r="AN33" t="s">
        <v>107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1367</v>
      </c>
      <c r="BA33">
        <v>0</v>
      </c>
      <c r="BC33" t="s">
        <v>107</v>
      </c>
      <c r="BF33" t="s">
        <v>1368</v>
      </c>
    </row>
    <row r="34" spans="1:58" x14ac:dyDescent="0.35">
      <c r="A34" t="s">
        <v>2305</v>
      </c>
      <c r="B34">
        <v>10000</v>
      </c>
      <c r="C34">
        <v>20000</v>
      </c>
      <c r="D34" s="2">
        <v>45729</v>
      </c>
      <c r="E34" t="s">
        <v>61</v>
      </c>
      <c r="F34" t="s">
        <v>2306</v>
      </c>
      <c r="G34" t="s">
        <v>2307</v>
      </c>
      <c r="I34">
        <v>2</v>
      </c>
      <c r="J34" t="s">
        <v>63</v>
      </c>
      <c r="K34">
        <v>77</v>
      </c>
      <c r="L34" t="s">
        <v>127</v>
      </c>
      <c r="M34" s="4">
        <v>3705</v>
      </c>
      <c r="P34" s="2">
        <v>45726</v>
      </c>
      <c r="R34">
        <v>88</v>
      </c>
      <c r="S34" s="4">
        <v>326040</v>
      </c>
      <c r="T34" t="s">
        <v>65</v>
      </c>
      <c r="U34" t="s">
        <v>1634</v>
      </c>
      <c r="V34">
        <v>0</v>
      </c>
      <c r="W34" s="4">
        <v>300000</v>
      </c>
      <c r="X34" s="4">
        <v>26040</v>
      </c>
      <c r="Y34">
        <v>0</v>
      </c>
      <c r="Z34">
        <v>0</v>
      </c>
      <c r="AA34">
        <v>0</v>
      </c>
      <c r="AD34">
        <v>0</v>
      </c>
      <c r="AM34" t="s">
        <v>1635</v>
      </c>
      <c r="AN34" t="s">
        <v>107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2308</v>
      </c>
      <c r="BA34">
        <v>0</v>
      </c>
      <c r="BC34" t="s">
        <v>107</v>
      </c>
      <c r="BF34" t="s">
        <v>2309</v>
      </c>
    </row>
    <row r="35" spans="1:58" x14ac:dyDescent="0.35">
      <c r="A35" t="s">
        <v>1813</v>
      </c>
      <c r="B35">
        <v>10000</v>
      </c>
      <c r="C35">
        <v>20000</v>
      </c>
      <c r="D35" s="2">
        <v>45726</v>
      </c>
      <c r="E35" t="s">
        <v>61</v>
      </c>
      <c r="F35" t="s">
        <v>1814</v>
      </c>
      <c r="G35" t="s">
        <v>1815</v>
      </c>
      <c r="I35">
        <v>2</v>
      </c>
      <c r="J35" t="s">
        <v>63</v>
      </c>
      <c r="K35">
        <v>60</v>
      </c>
      <c r="L35" t="s">
        <v>277</v>
      </c>
      <c r="M35" s="4">
        <v>5000</v>
      </c>
      <c r="P35" s="2">
        <v>45726</v>
      </c>
      <c r="R35">
        <v>6</v>
      </c>
      <c r="S35" s="4">
        <v>30000</v>
      </c>
      <c r="T35" t="s">
        <v>65</v>
      </c>
      <c r="U35" t="s">
        <v>1816</v>
      </c>
      <c r="V35">
        <v>0</v>
      </c>
      <c r="W35" s="4">
        <v>30000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1817</v>
      </c>
      <c r="AN35" t="s">
        <v>206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1818</v>
      </c>
      <c r="BA35">
        <v>0</v>
      </c>
      <c r="BC35" t="s">
        <v>206</v>
      </c>
      <c r="BF35" t="s">
        <v>1819</v>
      </c>
    </row>
    <row r="36" spans="1:58" x14ac:dyDescent="0.35">
      <c r="A36" t="s">
        <v>1813</v>
      </c>
      <c r="B36">
        <v>10000</v>
      </c>
      <c r="C36">
        <v>40000</v>
      </c>
      <c r="D36" s="2">
        <v>45727</v>
      </c>
      <c r="E36" t="s">
        <v>61</v>
      </c>
      <c r="F36" t="s">
        <v>2310</v>
      </c>
      <c r="G36" t="s">
        <v>1815</v>
      </c>
      <c r="I36">
        <v>2</v>
      </c>
      <c r="J36" t="s">
        <v>63</v>
      </c>
      <c r="K36">
        <v>60</v>
      </c>
      <c r="L36" t="s">
        <v>277</v>
      </c>
      <c r="M36" s="4">
        <v>5000</v>
      </c>
      <c r="P36" s="2">
        <v>45726</v>
      </c>
      <c r="R36">
        <v>6</v>
      </c>
      <c r="S36" s="4">
        <v>30000</v>
      </c>
      <c r="T36" t="s">
        <v>65</v>
      </c>
      <c r="U36" t="s">
        <v>1816</v>
      </c>
      <c r="V36">
        <v>0</v>
      </c>
      <c r="W36" s="4">
        <v>30000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1817</v>
      </c>
      <c r="AN36" t="s">
        <v>206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1818</v>
      </c>
      <c r="BA36">
        <v>0</v>
      </c>
      <c r="BC36" t="s">
        <v>206</v>
      </c>
      <c r="BF36" t="s">
        <v>1819</v>
      </c>
    </row>
    <row r="37" spans="1:58" x14ac:dyDescent="0.35">
      <c r="A37" t="s">
        <v>985</v>
      </c>
      <c r="B37">
        <v>10000</v>
      </c>
      <c r="C37">
        <v>20000</v>
      </c>
      <c r="D37" s="2">
        <v>45727</v>
      </c>
      <c r="E37" t="s">
        <v>61</v>
      </c>
      <c r="F37" s="3">
        <v>0.47247685185185184</v>
      </c>
      <c r="G37" t="s">
        <v>986</v>
      </c>
      <c r="I37">
        <v>2</v>
      </c>
      <c r="J37" t="s">
        <v>63</v>
      </c>
      <c r="K37">
        <v>92</v>
      </c>
      <c r="L37" t="s">
        <v>424</v>
      </c>
      <c r="M37">
        <v>300</v>
      </c>
      <c r="P37" s="2">
        <v>45726</v>
      </c>
      <c r="R37">
        <v>4</v>
      </c>
      <c r="S37" s="4">
        <v>1200</v>
      </c>
      <c r="T37" t="s">
        <v>65</v>
      </c>
      <c r="U37" t="s">
        <v>987</v>
      </c>
      <c r="V37">
        <v>0</v>
      </c>
      <c r="W37" s="4">
        <v>1000</v>
      </c>
      <c r="X37">
        <v>200</v>
      </c>
      <c r="Y37">
        <v>0</v>
      </c>
      <c r="Z37">
        <v>0</v>
      </c>
      <c r="AA37">
        <v>0</v>
      </c>
      <c r="AD37">
        <v>0</v>
      </c>
      <c r="AM37" t="s">
        <v>988</v>
      </c>
      <c r="AN37" t="s">
        <v>989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990</v>
      </c>
      <c r="BA37">
        <v>0</v>
      </c>
      <c r="BC37" t="s">
        <v>989</v>
      </c>
      <c r="BF37" t="s">
        <v>991</v>
      </c>
    </row>
    <row r="38" spans="1:58" x14ac:dyDescent="0.35">
      <c r="A38" t="s">
        <v>2311</v>
      </c>
      <c r="B38">
        <v>10000</v>
      </c>
      <c r="C38">
        <v>10000</v>
      </c>
      <c r="D38" s="2">
        <v>45730</v>
      </c>
      <c r="E38" t="s">
        <v>61</v>
      </c>
      <c r="F38" t="s">
        <v>2312</v>
      </c>
      <c r="G38" t="s">
        <v>2313</v>
      </c>
      <c r="I38">
        <v>1</v>
      </c>
      <c r="J38" t="s">
        <v>63</v>
      </c>
      <c r="K38" t="s">
        <v>2314</v>
      </c>
      <c r="L38" t="s">
        <v>2315</v>
      </c>
      <c r="M38" s="4">
        <v>2800</v>
      </c>
      <c r="P38" s="2">
        <v>45726</v>
      </c>
      <c r="R38">
        <v>1344</v>
      </c>
      <c r="S38" s="4">
        <v>3763200</v>
      </c>
      <c r="T38" t="s">
        <v>65</v>
      </c>
      <c r="U38" t="s">
        <v>2316</v>
      </c>
      <c r="V38">
        <v>0</v>
      </c>
      <c r="W38" s="4">
        <v>3040000</v>
      </c>
      <c r="X38" s="4">
        <v>723200</v>
      </c>
      <c r="Y38">
        <v>0</v>
      </c>
      <c r="Z38">
        <v>0</v>
      </c>
      <c r="AA38">
        <v>0</v>
      </c>
      <c r="AD38">
        <v>0</v>
      </c>
      <c r="AM38" t="s">
        <v>2317</v>
      </c>
      <c r="AN38" t="s">
        <v>481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2318</v>
      </c>
      <c r="BA38">
        <v>0</v>
      </c>
      <c r="BC38" t="s">
        <v>481</v>
      </c>
      <c r="BF38" t="s">
        <v>1418</v>
      </c>
    </row>
    <row r="39" spans="1:58" x14ac:dyDescent="0.35">
      <c r="A39" t="s">
        <v>2319</v>
      </c>
      <c r="B39">
        <v>10000</v>
      </c>
      <c r="C39">
        <v>10000</v>
      </c>
      <c r="D39" s="2">
        <v>45733</v>
      </c>
      <c r="E39" t="s">
        <v>61</v>
      </c>
      <c r="F39" t="s">
        <v>2320</v>
      </c>
      <c r="G39" t="s">
        <v>2289</v>
      </c>
      <c r="I39">
        <v>1</v>
      </c>
      <c r="J39" t="s">
        <v>63</v>
      </c>
      <c r="K39">
        <v>78</v>
      </c>
      <c r="L39" t="s">
        <v>188</v>
      </c>
      <c r="M39" s="4">
        <v>2750</v>
      </c>
      <c r="P39" s="2">
        <v>45726</v>
      </c>
      <c r="R39">
        <v>16</v>
      </c>
      <c r="S39" s="4">
        <v>44000</v>
      </c>
      <c r="T39" t="s">
        <v>65</v>
      </c>
      <c r="U39" t="s">
        <v>2290</v>
      </c>
      <c r="V39">
        <v>0</v>
      </c>
      <c r="W39" s="4">
        <v>40000</v>
      </c>
      <c r="X39" s="4">
        <v>4000</v>
      </c>
      <c r="Y39">
        <v>0</v>
      </c>
      <c r="Z39">
        <v>0</v>
      </c>
      <c r="AA39">
        <v>0</v>
      </c>
      <c r="AD39">
        <v>0</v>
      </c>
      <c r="AM39" t="s">
        <v>2291</v>
      </c>
      <c r="AN39" t="s">
        <v>175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2321</v>
      </c>
      <c r="BA39">
        <v>0</v>
      </c>
      <c r="BC39" t="s">
        <v>175</v>
      </c>
      <c r="BF39" t="s">
        <v>2322</v>
      </c>
    </row>
    <row r="40" spans="1:58" x14ac:dyDescent="0.35">
      <c r="A40" t="s">
        <v>2323</v>
      </c>
      <c r="B40">
        <v>10000</v>
      </c>
      <c r="C40">
        <v>10000</v>
      </c>
      <c r="D40" s="2">
        <v>45733</v>
      </c>
      <c r="E40" t="s">
        <v>61</v>
      </c>
      <c r="F40" t="s">
        <v>2320</v>
      </c>
      <c r="G40" t="s">
        <v>2289</v>
      </c>
      <c r="I40">
        <v>1</v>
      </c>
      <c r="J40" t="s">
        <v>63</v>
      </c>
      <c r="K40">
        <v>78</v>
      </c>
      <c r="L40" t="s">
        <v>188</v>
      </c>
      <c r="M40" s="4">
        <v>2750</v>
      </c>
      <c r="P40" s="2">
        <v>45726</v>
      </c>
      <c r="R40">
        <v>16</v>
      </c>
      <c r="S40" s="4">
        <v>44000</v>
      </c>
      <c r="T40" t="s">
        <v>65</v>
      </c>
      <c r="U40" t="s">
        <v>2290</v>
      </c>
      <c r="V40">
        <v>0</v>
      </c>
      <c r="W40" s="4">
        <v>40000</v>
      </c>
      <c r="X40" s="4">
        <v>4000</v>
      </c>
      <c r="Y40">
        <v>0</v>
      </c>
      <c r="Z40">
        <v>0</v>
      </c>
      <c r="AA40">
        <v>0</v>
      </c>
      <c r="AD40">
        <v>0</v>
      </c>
      <c r="AM40" t="s">
        <v>2291</v>
      </c>
      <c r="AN40" t="s">
        <v>175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2324</v>
      </c>
      <c r="BA40">
        <v>0</v>
      </c>
      <c r="BC40" t="s">
        <v>175</v>
      </c>
      <c r="BF40" t="s">
        <v>2325</v>
      </c>
    </row>
    <row r="41" spans="1:58" x14ac:dyDescent="0.35">
      <c r="A41" t="s">
        <v>1438</v>
      </c>
      <c r="B41">
        <v>10000</v>
      </c>
      <c r="C41">
        <v>20000</v>
      </c>
      <c r="D41" s="2">
        <v>45735</v>
      </c>
      <c r="E41" t="s">
        <v>95</v>
      </c>
      <c r="F41" t="s">
        <v>1439</v>
      </c>
      <c r="G41" t="s">
        <v>1364</v>
      </c>
      <c r="I41">
        <v>2</v>
      </c>
      <c r="J41" t="s">
        <v>63</v>
      </c>
      <c r="K41">
        <v>77</v>
      </c>
      <c r="L41" t="s">
        <v>127</v>
      </c>
      <c r="M41" s="4">
        <v>1250</v>
      </c>
      <c r="P41" s="2">
        <v>45726</v>
      </c>
      <c r="R41">
        <v>88</v>
      </c>
      <c r="S41" s="4">
        <v>110000</v>
      </c>
      <c r="T41" t="s">
        <v>65</v>
      </c>
      <c r="U41" t="s">
        <v>1440</v>
      </c>
      <c r="V41">
        <v>0</v>
      </c>
      <c r="W41" s="4">
        <v>100000</v>
      </c>
      <c r="X41" s="4">
        <v>10000</v>
      </c>
      <c r="Y41">
        <v>0</v>
      </c>
      <c r="Z41">
        <v>0</v>
      </c>
      <c r="AA41">
        <v>0</v>
      </c>
      <c r="AD41">
        <v>0</v>
      </c>
      <c r="AM41" t="s">
        <v>1441</v>
      </c>
      <c r="AN41" t="s">
        <v>107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1442</v>
      </c>
      <c r="BA41">
        <v>0</v>
      </c>
      <c r="BC41" t="s">
        <v>107</v>
      </c>
      <c r="BF41" t="s">
        <v>1443</v>
      </c>
    </row>
    <row r="42" spans="1:58" x14ac:dyDescent="0.35">
      <c r="A42" t="s">
        <v>1023</v>
      </c>
      <c r="B42">
        <v>10000</v>
      </c>
      <c r="C42">
        <v>20000</v>
      </c>
      <c r="D42" s="2">
        <v>45727</v>
      </c>
      <c r="E42" t="s">
        <v>61</v>
      </c>
      <c r="F42" t="s">
        <v>1024</v>
      </c>
      <c r="G42" t="s">
        <v>1025</v>
      </c>
      <c r="I42">
        <v>1</v>
      </c>
      <c r="J42" t="s">
        <v>63</v>
      </c>
      <c r="K42">
        <v>71</v>
      </c>
      <c r="L42" t="s">
        <v>135</v>
      </c>
      <c r="M42" s="4">
        <v>22500</v>
      </c>
      <c r="P42" s="2">
        <v>45726</v>
      </c>
      <c r="R42">
        <v>6</v>
      </c>
      <c r="S42" s="4">
        <v>135000</v>
      </c>
      <c r="T42" t="s">
        <v>65</v>
      </c>
      <c r="U42" t="s">
        <v>1026</v>
      </c>
      <c r="V42">
        <v>0</v>
      </c>
      <c r="W42" s="4">
        <v>134997</v>
      </c>
      <c r="X42">
        <v>3</v>
      </c>
      <c r="Y42">
        <v>0</v>
      </c>
      <c r="Z42">
        <v>0</v>
      </c>
      <c r="AA42">
        <v>0</v>
      </c>
      <c r="AD42">
        <v>0</v>
      </c>
      <c r="AM42" t="s">
        <v>1027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1028</v>
      </c>
      <c r="BA42">
        <v>0</v>
      </c>
      <c r="BC42" t="s">
        <v>107</v>
      </c>
      <c r="BF42" t="s">
        <v>1029</v>
      </c>
    </row>
    <row r="43" spans="1:58" x14ac:dyDescent="0.35">
      <c r="A43" t="s">
        <v>622</v>
      </c>
      <c r="B43">
        <v>10000</v>
      </c>
      <c r="C43">
        <v>20000</v>
      </c>
      <c r="D43" s="2">
        <v>45740</v>
      </c>
      <c r="E43" t="s">
        <v>61</v>
      </c>
      <c r="F43" t="s">
        <v>2326</v>
      </c>
      <c r="G43">
        <v>10639931001</v>
      </c>
      <c r="I43">
        <v>2</v>
      </c>
      <c r="J43" t="s">
        <v>63</v>
      </c>
      <c r="K43">
        <v>77</v>
      </c>
      <c r="L43" t="s">
        <v>127</v>
      </c>
      <c r="M43">
        <v>750</v>
      </c>
      <c r="P43" s="2">
        <v>45726</v>
      </c>
      <c r="R43">
        <v>88</v>
      </c>
      <c r="S43" s="4">
        <v>66000</v>
      </c>
      <c r="T43" t="s">
        <v>65</v>
      </c>
      <c r="U43" t="s">
        <v>623</v>
      </c>
      <c r="V43">
        <v>0</v>
      </c>
      <c r="W43" s="4">
        <v>25385</v>
      </c>
      <c r="X43" s="4">
        <v>40615</v>
      </c>
      <c r="Y43">
        <v>0</v>
      </c>
      <c r="Z43">
        <v>0</v>
      </c>
      <c r="AA43">
        <v>0</v>
      </c>
      <c r="AD43">
        <v>0</v>
      </c>
      <c r="AM43" t="s">
        <v>624</v>
      </c>
      <c r="AN43" t="s">
        <v>107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625</v>
      </c>
      <c r="BA43">
        <v>0</v>
      </c>
      <c r="BC43" t="s">
        <v>107</v>
      </c>
      <c r="BF43" t="s">
        <v>626</v>
      </c>
    </row>
    <row r="44" spans="1:58" x14ac:dyDescent="0.35">
      <c r="A44" t="s">
        <v>2327</v>
      </c>
      <c r="B44">
        <v>10000</v>
      </c>
      <c r="C44">
        <v>10000</v>
      </c>
      <c r="D44" s="2">
        <v>45726</v>
      </c>
      <c r="E44" t="s">
        <v>61</v>
      </c>
      <c r="F44" t="s">
        <v>2253</v>
      </c>
      <c r="G44" t="s">
        <v>2328</v>
      </c>
      <c r="I44">
        <v>1</v>
      </c>
      <c r="J44" t="s">
        <v>63</v>
      </c>
      <c r="K44">
        <v>59</v>
      </c>
      <c r="L44" t="s">
        <v>745</v>
      </c>
      <c r="M44" s="4">
        <v>1500</v>
      </c>
      <c r="P44" s="2">
        <v>45726</v>
      </c>
      <c r="R44">
        <v>6</v>
      </c>
      <c r="S44" s="4">
        <v>9000</v>
      </c>
      <c r="T44" t="s">
        <v>65</v>
      </c>
      <c r="U44" t="s">
        <v>2254</v>
      </c>
      <c r="V44">
        <v>0</v>
      </c>
      <c r="W44" s="4">
        <v>9000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2295</v>
      </c>
      <c r="AN44" t="s">
        <v>182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2329</v>
      </c>
      <c r="BA44">
        <v>0</v>
      </c>
      <c r="BC44" t="s">
        <v>182</v>
      </c>
      <c r="BF44" t="s">
        <v>2330</v>
      </c>
    </row>
    <row r="45" spans="1:58" x14ac:dyDescent="0.35">
      <c r="A45" t="s">
        <v>2092</v>
      </c>
      <c r="B45">
        <v>10000</v>
      </c>
      <c r="C45">
        <v>20000</v>
      </c>
      <c r="D45" s="2">
        <v>45734</v>
      </c>
      <c r="E45" t="s">
        <v>61</v>
      </c>
      <c r="F45" t="s">
        <v>2093</v>
      </c>
      <c r="G45" t="s">
        <v>2094</v>
      </c>
      <c r="I45">
        <v>1</v>
      </c>
      <c r="J45" t="s">
        <v>63</v>
      </c>
      <c r="K45">
        <v>29</v>
      </c>
      <c r="L45" t="s">
        <v>361</v>
      </c>
      <c r="M45" s="4">
        <v>62822</v>
      </c>
      <c r="P45" s="2">
        <v>45726</v>
      </c>
      <c r="R45">
        <v>28</v>
      </c>
      <c r="S45" s="4">
        <v>1759016</v>
      </c>
      <c r="T45" t="s">
        <v>65</v>
      </c>
      <c r="U45">
        <v>6622480001</v>
      </c>
      <c r="V45">
        <v>0</v>
      </c>
      <c r="W45" s="4">
        <v>1741854</v>
      </c>
      <c r="X45" s="4">
        <v>17162</v>
      </c>
      <c r="Y45">
        <v>0</v>
      </c>
      <c r="Z45">
        <v>0</v>
      </c>
      <c r="AA45">
        <v>0</v>
      </c>
      <c r="AD45">
        <v>0</v>
      </c>
      <c r="AM45">
        <v>662248</v>
      </c>
      <c r="AN45" t="s">
        <v>481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2095</v>
      </c>
      <c r="BA45">
        <v>0</v>
      </c>
      <c r="BC45" t="s">
        <v>481</v>
      </c>
      <c r="BF45" t="s">
        <v>2096</v>
      </c>
    </row>
    <row r="46" spans="1:58" x14ac:dyDescent="0.35">
      <c r="A46" t="s">
        <v>2331</v>
      </c>
      <c r="B46">
        <v>10000</v>
      </c>
      <c r="C46">
        <v>10000</v>
      </c>
      <c r="D46" s="2">
        <v>45726</v>
      </c>
      <c r="E46" t="s">
        <v>61</v>
      </c>
      <c r="F46" t="s">
        <v>2332</v>
      </c>
      <c r="G46" t="s">
        <v>2333</v>
      </c>
      <c r="I46">
        <v>1</v>
      </c>
      <c r="J46" t="s">
        <v>63</v>
      </c>
      <c r="K46">
        <v>78</v>
      </c>
      <c r="L46" t="s">
        <v>188</v>
      </c>
      <c r="M46">
        <v>500</v>
      </c>
      <c r="P46" s="2">
        <v>45726</v>
      </c>
      <c r="R46">
        <v>2</v>
      </c>
      <c r="S46" s="4">
        <v>1000</v>
      </c>
      <c r="T46" t="s">
        <v>65</v>
      </c>
      <c r="U46" t="s">
        <v>2334</v>
      </c>
      <c r="V46">
        <v>0</v>
      </c>
      <c r="W46" s="4">
        <v>1000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2335</v>
      </c>
      <c r="AN46" t="s">
        <v>2336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2337</v>
      </c>
      <c r="BA46">
        <v>0</v>
      </c>
      <c r="BC46" t="s">
        <v>2336</v>
      </c>
      <c r="BF46" t="s">
        <v>2338</v>
      </c>
    </row>
    <row r="47" spans="1:58" x14ac:dyDescent="0.35">
      <c r="A47" t="s">
        <v>2339</v>
      </c>
      <c r="B47">
        <v>10000</v>
      </c>
      <c r="C47">
        <v>10000</v>
      </c>
      <c r="D47" s="2">
        <v>45726</v>
      </c>
      <c r="E47" t="s">
        <v>61</v>
      </c>
      <c r="F47" t="s">
        <v>2332</v>
      </c>
      <c r="G47" t="s">
        <v>2333</v>
      </c>
      <c r="I47">
        <v>1</v>
      </c>
      <c r="J47" t="s">
        <v>63</v>
      </c>
      <c r="K47">
        <v>78</v>
      </c>
      <c r="L47" t="s">
        <v>188</v>
      </c>
      <c r="M47">
        <v>500</v>
      </c>
      <c r="P47" s="2">
        <v>45726</v>
      </c>
      <c r="R47">
        <v>2</v>
      </c>
      <c r="S47" s="4">
        <v>1000</v>
      </c>
      <c r="T47" t="s">
        <v>65</v>
      </c>
      <c r="U47" t="s">
        <v>2340</v>
      </c>
      <c r="V47">
        <v>0</v>
      </c>
      <c r="W47" s="4">
        <v>1000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2341</v>
      </c>
      <c r="AN47" t="s">
        <v>2336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2342</v>
      </c>
      <c r="BA47">
        <v>0</v>
      </c>
      <c r="BC47" t="s">
        <v>2336</v>
      </c>
      <c r="BF47" t="s">
        <v>2338</v>
      </c>
    </row>
    <row r="48" spans="1:58" x14ac:dyDescent="0.35">
      <c r="A48" t="s">
        <v>2343</v>
      </c>
      <c r="B48">
        <v>10000</v>
      </c>
      <c r="C48">
        <v>10000</v>
      </c>
      <c r="D48" s="2">
        <v>45726</v>
      </c>
      <c r="E48" t="s">
        <v>61</v>
      </c>
      <c r="F48" t="s">
        <v>2216</v>
      </c>
      <c r="G48" t="s">
        <v>2344</v>
      </c>
      <c r="I48">
        <v>1</v>
      </c>
      <c r="J48" t="s">
        <v>63</v>
      </c>
      <c r="K48">
        <v>71</v>
      </c>
      <c r="L48" t="s">
        <v>135</v>
      </c>
      <c r="M48" s="4">
        <v>1000</v>
      </c>
      <c r="P48" s="2">
        <v>45726</v>
      </c>
      <c r="R48">
        <v>2</v>
      </c>
      <c r="S48" s="4">
        <v>2000</v>
      </c>
      <c r="T48" t="s">
        <v>65</v>
      </c>
      <c r="U48" t="s">
        <v>2345</v>
      </c>
      <c r="V48">
        <v>0</v>
      </c>
      <c r="W48" s="4">
        <v>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2346</v>
      </c>
      <c r="AN48" t="s">
        <v>2347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2348</v>
      </c>
      <c r="BA48">
        <v>0</v>
      </c>
      <c r="BC48" t="s">
        <v>2347</v>
      </c>
      <c r="BF48" t="s">
        <v>2349</v>
      </c>
    </row>
    <row r="49" spans="1:58" x14ac:dyDescent="0.35">
      <c r="A49" t="s">
        <v>2350</v>
      </c>
      <c r="B49">
        <v>10000</v>
      </c>
      <c r="C49">
        <v>10000</v>
      </c>
      <c r="D49" s="2">
        <v>45726</v>
      </c>
      <c r="E49" t="s">
        <v>61</v>
      </c>
      <c r="F49" t="s">
        <v>2351</v>
      </c>
      <c r="G49" t="s">
        <v>2352</v>
      </c>
      <c r="I49">
        <v>1</v>
      </c>
      <c r="J49" t="s">
        <v>63</v>
      </c>
      <c r="K49">
        <v>61</v>
      </c>
      <c r="L49" t="s">
        <v>216</v>
      </c>
      <c r="M49">
        <v>750</v>
      </c>
      <c r="P49" s="2">
        <v>45726</v>
      </c>
      <c r="R49">
        <v>2</v>
      </c>
      <c r="S49" s="4">
        <v>1500</v>
      </c>
      <c r="T49" t="s">
        <v>65</v>
      </c>
      <c r="U49" t="s">
        <v>2353</v>
      </c>
      <c r="V49">
        <v>0</v>
      </c>
      <c r="W49" s="4">
        <v>1500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2354</v>
      </c>
      <c r="AN49" t="s">
        <v>2355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2356</v>
      </c>
      <c r="BA49">
        <v>0</v>
      </c>
      <c r="BC49" t="s">
        <v>2355</v>
      </c>
      <c r="BF49" t="s">
        <v>2357</v>
      </c>
    </row>
    <row r="50" spans="1:58" x14ac:dyDescent="0.35">
      <c r="A50" t="s">
        <v>2358</v>
      </c>
      <c r="B50">
        <v>10000</v>
      </c>
      <c r="C50">
        <v>10000</v>
      </c>
      <c r="D50" s="2">
        <v>45727</v>
      </c>
      <c r="E50" t="s">
        <v>61</v>
      </c>
      <c r="F50" t="s">
        <v>2359</v>
      </c>
      <c r="G50" t="s">
        <v>2360</v>
      </c>
      <c r="I50">
        <v>1</v>
      </c>
      <c r="J50" t="s">
        <v>63</v>
      </c>
      <c r="K50">
        <v>79</v>
      </c>
      <c r="L50" t="s">
        <v>573</v>
      </c>
      <c r="M50">
        <v>100</v>
      </c>
      <c r="P50" s="2">
        <v>45726</v>
      </c>
      <c r="R50">
        <v>66</v>
      </c>
      <c r="S50" s="4">
        <v>6600</v>
      </c>
      <c r="T50" t="s">
        <v>65</v>
      </c>
      <c r="U50" t="s">
        <v>2361</v>
      </c>
      <c r="V50">
        <v>0</v>
      </c>
      <c r="W50" s="4">
        <v>3000</v>
      </c>
      <c r="X50" s="4">
        <v>3600</v>
      </c>
      <c r="Y50">
        <v>0</v>
      </c>
      <c r="Z50">
        <v>0</v>
      </c>
      <c r="AA50">
        <v>0</v>
      </c>
      <c r="AD50">
        <v>0</v>
      </c>
      <c r="AM50" t="s">
        <v>2362</v>
      </c>
      <c r="AN50" t="s">
        <v>878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2363</v>
      </c>
      <c r="BA50">
        <v>0</v>
      </c>
      <c r="BC50" t="s">
        <v>878</v>
      </c>
      <c r="BF50" t="s">
        <v>2364</v>
      </c>
    </row>
    <row r="51" spans="1:58" x14ac:dyDescent="0.35">
      <c r="A51" t="s">
        <v>2365</v>
      </c>
      <c r="B51">
        <v>10000</v>
      </c>
      <c r="C51">
        <v>10000</v>
      </c>
      <c r="D51" s="2">
        <v>45727</v>
      </c>
      <c r="E51" t="s">
        <v>61</v>
      </c>
      <c r="F51" t="s">
        <v>2366</v>
      </c>
      <c r="G51" t="s">
        <v>2360</v>
      </c>
      <c r="I51">
        <v>1</v>
      </c>
      <c r="J51" t="s">
        <v>63</v>
      </c>
      <c r="K51">
        <v>79</v>
      </c>
      <c r="L51" t="s">
        <v>573</v>
      </c>
      <c r="M51">
        <v>100</v>
      </c>
      <c r="P51" s="2">
        <v>45726</v>
      </c>
      <c r="R51">
        <v>66</v>
      </c>
      <c r="S51" s="4">
        <v>6600</v>
      </c>
      <c r="T51" t="s">
        <v>65</v>
      </c>
      <c r="U51" t="s">
        <v>2367</v>
      </c>
      <c r="V51">
        <v>0</v>
      </c>
      <c r="W51" s="4">
        <v>3000</v>
      </c>
      <c r="X51" s="4">
        <v>3600</v>
      </c>
      <c r="Y51">
        <v>0</v>
      </c>
      <c r="Z51">
        <v>0</v>
      </c>
      <c r="AA51">
        <v>0</v>
      </c>
      <c r="AD51">
        <v>0</v>
      </c>
      <c r="AM51" t="s">
        <v>2368</v>
      </c>
      <c r="AN51" t="s">
        <v>878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2369</v>
      </c>
      <c r="BA51">
        <v>0</v>
      </c>
      <c r="BC51" t="s">
        <v>878</v>
      </c>
      <c r="BF51" t="s">
        <v>2364</v>
      </c>
    </row>
    <row r="52" spans="1:58" x14ac:dyDescent="0.35">
      <c r="A52" t="s">
        <v>2370</v>
      </c>
      <c r="B52">
        <v>10000</v>
      </c>
      <c r="C52">
        <v>10000</v>
      </c>
      <c r="D52" s="2">
        <v>45727</v>
      </c>
      <c r="E52" t="s">
        <v>61</v>
      </c>
      <c r="F52" t="s">
        <v>2371</v>
      </c>
      <c r="G52" t="s">
        <v>2360</v>
      </c>
      <c r="I52">
        <v>1</v>
      </c>
      <c r="J52" t="s">
        <v>63</v>
      </c>
      <c r="K52">
        <v>79</v>
      </c>
      <c r="L52" t="s">
        <v>573</v>
      </c>
      <c r="M52">
        <v>100</v>
      </c>
      <c r="P52" s="2">
        <v>45726</v>
      </c>
      <c r="R52">
        <v>66</v>
      </c>
      <c r="S52" s="4">
        <v>6600</v>
      </c>
      <c r="T52" t="s">
        <v>65</v>
      </c>
      <c r="U52" t="s">
        <v>2372</v>
      </c>
      <c r="V52">
        <v>0</v>
      </c>
      <c r="W52" s="4">
        <v>3000</v>
      </c>
      <c r="X52" s="4">
        <v>3600</v>
      </c>
      <c r="Y52">
        <v>0</v>
      </c>
      <c r="Z52">
        <v>0</v>
      </c>
      <c r="AA52">
        <v>0</v>
      </c>
      <c r="AD52">
        <v>0</v>
      </c>
      <c r="AM52" t="s">
        <v>2373</v>
      </c>
      <c r="AN52" t="s">
        <v>878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2374</v>
      </c>
      <c r="BA52">
        <v>0</v>
      </c>
      <c r="BC52" t="s">
        <v>878</v>
      </c>
      <c r="BF52" t="s">
        <v>2364</v>
      </c>
    </row>
    <row r="53" spans="1:58" x14ac:dyDescent="0.35">
      <c r="A53" t="s">
        <v>2375</v>
      </c>
      <c r="B53">
        <v>10000</v>
      </c>
      <c r="C53">
        <v>10000</v>
      </c>
      <c r="D53" s="2">
        <v>45726</v>
      </c>
      <c r="E53" t="s">
        <v>61</v>
      </c>
      <c r="F53" t="s">
        <v>2376</v>
      </c>
      <c r="G53" t="s">
        <v>2222</v>
      </c>
      <c r="I53">
        <v>1</v>
      </c>
      <c r="J53" t="s">
        <v>63</v>
      </c>
      <c r="K53">
        <v>22</v>
      </c>
      <c r="L53" t="s">
        <v>466</v>
      </c>
      <c r="M53">
        <v>500</v>
      </c>
      <c r="P53" s="2">
        <v>45726</v>
      </c>
      <c r="R53">
        <v>2</v>
      </c>
      <c r="S53" s="4">
        <v>1000</v>
      </c>
      <c r="T53" t="s">
        <v>65</v>
      </c>
      <c r="U53" t="s">
        <v>2377</v>
      </c>
      <c r="V53">
        <v>0</v>
      </c>
      <c r="W53" s="4">
        <v>1000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2378</v>
      </c>
      <c r="AN53" t="s">
        <v>116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2379</v>
      </c>
      <c r="BA53">
        <v>0</v>
      </c>
      <c r="BC53" t="s">
        <v>116</v>
      </c>
      <c r="BF53" t="s">
        <v>2380</v>
      </c>
    </row>
    <row r="54" spans="1:58" x14ac:dyDescent="0.35">
      <c r="A54" t="s">
        <v>2381</v>
      </c>
      <c r="B54">
        <v>10000</v>
      </c>
      <c r="C54">
        <v>10000</v>
      </c>
      <c r="D54" s="2">
        <v>45726</v>
      </c>
      <c r="E54" t="s">
        <v>61</v>
      </c>
      <c r="F54" t="s">
        <v>2376</v>
      </c>
      <c r="G54" t="s">
        <v>2222</v>
      </c>
      <c r="I54">
        <v>1</v>
      </c>
      <c r="J54" t="s">
        <v>63</v>
      </c>
      <c r="K54">
        <v>22</v>
      </c>
      <c r="L54" t="s">
        <v>466</v>
      </c>
      <c r="M54">
        <v>500</v>
      </c>
      <c r="P54" s="2">
        <v>45726</v>
      </c>
      <c r="R54">
        <v>2</v>
      </c>
      <c r="S54" s="4">
        <v>1000</v>
      </c>
      <c r="T54" t="s">
        <v>65</v>
      </c>
      <c r="U54" t="s">
        <v>2382</v>
      </c>
      <c r="V54">
        <v>0</v>
      </c>
      <c r="W54" s="4">
        <v>1000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2383</v>
      </c>
      <c r="AN54" t="s">
        <v>116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2384</v>
      </c>
      <c r="BA54">
        <v>0</v>
      </c>
      <c r="BC54" t="s">
        <v>116</v>
      </c>
      <c r="BF54" t="s">
        <v>2380</v>
      </c>
    </row>
    <row r="55" spans="1:58" x14ac:dyDescent="0.35">
      <c r="A55" t="s">
        <v>2385</v>
      </c>
      <c r="B55">
        <v>10000</v>
      </c>
      <c r="C55">
        <v>10000</v>
      </c>
      <c r="D55" s="2">
        <v>45726</v>
      </c>
      <c r="E55" t="s">
        <v>61</v>
      </c>
      <c r="F55" t="s">
        <v>2376</v>
      </c>
      <c r="G55" t="s">
        <v>2222</v>
      </c>
      <c r="I55">
        <v>1</v>
      </c>
      <c r="J55" t="s">
        <v>63</v>
      </c>
      <c r="K55">
        <v>22</v>
      </c>
      <c r="L55" t="s">
        <v>466</v>
      </c>
      <c r="M55">
        <v>500</v>
      </c>
      <c r="P55" s="2">
        <v>45726</v>
      </c>
      <c r="R55">
        <v>2</v>
      </c>
      <c r="S55" s="4">
        <v>1000</v>
      </c>
      <c r="T55" t="s">
        <v>65</v>
      </c>
      <c r="U55" t="s">
        <v>2386</v>
      </c>
      <c r="V55">
        <v>0</v>
      </c>
      <c r="W55" s="4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2387</v>
      </c>
      <c r="AN55" t="s">
        <v>116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2388</v>
      </c>
      <c r="BA55">
        <v>0</v>
      </c>
      <c r="BC55" t="s">
        <v>116</v>
      </c>
      <c r="BF55" t="s">
        <v>2380</v>
      </c>
    </row>
    <row r="56" spans="1:58" x14ac:dyDescent="0.35">
      <c r="A56" t="s">
        <v>2389</v>
      </c>
      <c r="B56">
        <v>10000</v>
      </c>
      <c r="C56">
        <v>10000</v>
      </c>
      <c r="D56" s="2">
        <v>45726</v>
      </c>
      <c r="E56" t="s">
        <v>61</v>
      </c>
      <c r="F56" t="s">
        <v>2376</v>
      </c>
      <c r="G56" t="s">
        <v>2222</v>
      </c>
      <c r="I56">
        <v>1</v>
      </c>
      <c r="J56" t="s">
        <v>63</v>
      </c>
      <c r="K56">
        <v>22</v>
      </c>
      <c r="L56" t="s">
        <v>466</v>
      </c>
      <c r="M56">
        <v>500</v>
      </c>
      <c r="P56" s="2">
        <v>45726</v>
      </c>
      <c r="R56">
        <v>2</v>
      </c>
      <c r="S56" s="4">
        <v>1000</v>
      </c>
      <c r="T56" t="s">
        <v>65</v>
      </c>
      <c r="U56" t="s">
        <v>2390</v>
      </c>
      <c r="V56">
        <v>0</v>
      </c>
      <c r="W56" s="4">
        <v>1000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2391</v>
      </c>
      <c r="AN56" t="s">
        <v>116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2392</v>
      </c>
      <c r="BA56">
        <v>0</v>
      </c>
      <c r="BC56" t="s">
        <v>116</v>
      </c>
      <c r="BF56" t="s">
        <v>2380</v>
      </c>
    </row>
    <row r="57" spans="1:58" x14ac:dyDescent="0.35">
      <c r="A57" t="s">
        <v>2393</v>
      </c>
      <c r="B57">
        <v>10000</v>
      </c>
      <c r="C57">
        <v>10000</v>
      </c>
      <c r="D57" s="2">
        <v>45728</v>
      </c>
      <c r="E57" t="s">
        <v>61</v>
      </c>
      <c r="F57" t="s">
        <v>2394</v>
      </c>
      <c r="G57" t="s">
        <v>2395</v>
      </c>
      <c r="I57">
        <v>1</v>
      </c>
      <c r="J57" t="s">
        <v>63</v>
      </c>
      <c r="K57" t="s">
        <v>2314</v>
      </c>
      <c r="L57" t="s">
        <v>2315</v>
      </c>
      <c r="M57">
        <v>60</v>
      </c>
      <c r="P57" s="2">
        <v>45726</v>
      </c>
      <c r="R57">
        <v>686</v>
      </c>
      <c r="S57" s="4">
        <v>41160</v>
      </c>
      <c r="T57" t="s">
        <v>65</v>
      </c>
      <c r="U57" t="s">
        <v>2396</v>
      </c>
      <c r="V57">
        <v>0</v>
      </c>
      <c r="W57" s="4">
        <v>20000</v>
      </c>
      <c r="X57" s="4">
        <v>21160</v>
      </c>
      <c r="Y57">
        <v>0</v>
      </c>
      <c r="Z57">
        <v>0</v>
      </c>
      <c r="AA57">
        <v>0</v>
      </c>
      <c r="AD57">
        <v>0</v>
      </c>
      <c r="AM57" t="s">
        <v>2397</v>
      </c>
      <c r="AN57" t="s">
        <v>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2398</v>
      </c>
      <c r="BA57">
        <v>0</v>
      </c>
      <c r="BC57" t="s">
        <v>68</v>
      </c>
      <c r="BF57" t="s">
        <v>2399</v>
      </c>
    </row>
    <row r="58" spans="1:58" x14ac:dyDescent="0.35">
      <c r="A58" t="s">
        <v>2400</v>
      </c>
      <c r="B58">
        <v>10000</v>
      </c>
      <c r="C58">
        <v>10000</v>
      </c>
      <c r="D58" s="2">
        <v>45728</v>
      </c>
      <c r="E58" t="s">
        <v>61</v>
      </c>
      <c r="F58" t="s">
        <v>2401</v>
      </c>
      <c r="G58" t="s">
        <v>2395</v>
      </c>
      <c r="I58">
        <v>1</v>
      </c>
      <c r="J58" t="s">
        <v>63</v>
      </c>
      <c r="K58" t="s">
        <v>2314</v>
      </c>
      <c r="L58" t="s">
        <v>2315</v>
      </c>
      <c r="M58">
        <v>80</v>
      </c>
      <c r="P58" s="2">
        <v>45726</v>
      </c>
      <c r="R58">
        <v>75</v>
      </c>
      <c r="S58" s="4">
        <v>6000</v>
      </c>
      <c r="T58" t="s">
        <v>65</v>
      </c>
      <c r="U58" t="s">
        <v>2402</v>
      </c>
      <c r="V58">
        <v>0</v>
      </c>
      <c r="W58" s="4">
        <v>1000</v>
      </c>
      <c r="X58" s="4">
        <v>5000</v>
      </c>
      <c r="Y58">
        <v>0</v>
      </c>
      <c r="Z58">
        <v>0</v>
      </c>
      <c r="AA58">
        <v>0</v>
      </c>
      <c r="AD58">
        <v>0</v>
      </c>
      <c r="AM58" t="s">
        <v>2403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2404</v>
      </c>
      <c r="BA58">
        <v>0</v>
      </c>
      <c r="BC58" t="s">
        <v>68</v>
      </c>
      <c r="BF58" t="s">
        <v>2405</v>
      </c>
    </row>
    <row r="59" spans="1:58" x14ac:dyDescent="0.35">
      <c r="A59" t="s">
        <v>2406</v>
      </c>
      <c r="B59">
        <v>10000</v>
      </c>
      <c r="C59">
        <v>10000</v>
      </c>
      <c r="D59" s="2">
        <v>45728</v>
      </c>
      <c r="E59" t="s">
        <v>61</v>
      </c>
      <c r="F59" t="s">
        <v>2407</v>
      </c>
      <c r="G59" t="s">
        <v>2113</v>
      </c>
      <c r="I59">
        <v>1</v>
      </c>
      <c r="J59" t="s">
        <v>63</v>
      </c>
      <c r="K59">
        <v>12</v>
      </c>
      <c r="L59" t="s">
        <v>478</v>
      </c>
      <c r="M59" s="4">
        <v>32000</v>
      </c>
      <c r="P59" s="2">
        <v>45726</v>
      </c>
      <c r="R59">
        <v>1</v>
      </c>
      <c r="S59" s="4">
        <v>32000</v>
      </c>
      <c r="T59" t="s">
        <v>65</v>
      </c>
      <c r="U59" t="s">
        <v>2408</v>
      </c>
      <c r="V59">
        <v>0</v>
      </c>
      <c r="W59" s="4">
        <v>32000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2409</v>
      </c>
      <c r="AN59" t="s">
        <v>116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2410</v>
      </c>
      <c r="BA59">
        <v>0</v>
      </c>
      <c r="BC59" t="s">
        <v>116</v>
      </c>
      <c r="BF59" t="s">
        <v>1906</v>
      </c>
    </row>
    <row r="60" spans="1:58" x14ac:dyDescent="0.35">
      <c r="A60" t="s">
        <v>2411</v>
      </c>
      <c r="B60">
        <v>10000</v>
      </c>
      <c r="C60">
        <v>10000</v>
      </c>
      <c r="D60" s="2">
        <v>45726</v>
      </c>
      <c r="E60" t="s">
        <v>61</v>
      </c>
      <c r="F60" t="s">
        <v>2088</v>
      </c>
      <c r="G60" t="s">
        <v>2412</v>
      </c>
      <c r="I60">
        <v>1</v>
      </c>
      <c r="J60" t="s">
        <v>63</v>
      </c>
      <c r="K60">
        <v>61</v>
      </c>
      <c r="L60" t="s">
        <v>197</v>
      </c>
      <c r="M60" s="4">
        <v>1834</v>
      </c>
      <c r="P60" s="2">
        <v>45726</v>
      </c>
      <c r="R60">
        <v>6</v>
      </c>
      <c r="S60" s="4">
        <v>11004</v>
      </c>
      <c r="T60" t="s">
        <v>65</v>
      </c>
      <c r="U60" t="s">
        <v>2413</v>
      </c>
      <c r="V60">
        <v>0</v>
      </c>
      <c r="W60" s="4">
        <v>11000</v>
      </c>
      <c r="X60">
        <v>4</v>
      </c>
      <c r="Y60">
        <v>0</v>
      </c>
      <c r="Z60">
        <v>0</v>
      </c>
      <c r="AA60">
        <v>0</v>
      </c>
      <c r="AD60">
        <v>0</v>
      </c>
      <c r="AM60" t="s">
        <v>2414</v>
      </c>
      <c r="AN60" t="s">
        <v>116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2415</v>
      </c>
      <c r="BA60">
        <v>0</v>
      </c>
      <c r="BC60" t="s">
        <v>116</v>
      </c>
      <c r="BF60" t="s">
        <v>2230</v>
      </c>
    </row>
    <row r="61" spans="1:58" x14ac:dyDescent="0.35">
      <c r="A61" t="s">
        <v>2416</v>
      </c>
      <c r="B61">
        <v>10000</v>
      </c>
      <c r="C61">
        <v>10000</v>
      </c>
      <c r="D61" s="2">
        <v>45727</v>
      </c>
      <c r="E61" t="s">
        <v>61</v>
      </c>
      <c r="F61" t="s">
        <v>2417</v>
      </c>
      <c r="G61" t="s">
        <v>2412</v>
      </c>
      <c r="I61">
        <v>1</v>
      </c>
      <c r="J61" t="s">
        <v>63</v>
      </c>
      <c r="K61">
        <v>61</v>
      </c>
      <c r="L61" t="s">
        <v>197</v>
      </c>
      <c r="M61" s="4">
        <v>8334</v>
      </c>
      <c r="P61" s="2">
        <v>45726</v>
      </c>
      <c r="R61">
        <v>6</v>
      </c>
      <c r="S61" s="4">
        <v>50004</v>
      </c>
      <c r="T61" t="s">
        <v>65</v>
      </c>
      <c r="U61" t="s">
        <v>2418</v>
      </c>
      <c r="V61">
        <v>0</v>
      </c>
      <c r="W61" s="4">
        <v>50000</v>
      </c>
      <c r="X61">
        <v>4</v>
      </c>
      <c r="Y61">
        <v>0</v>
      </c>
      <c r="Z61">
        <v>0</v>
      </c>
      <c r="AA61">
        <v>0</v>
      </c>
      <c r="AD61">
        <v>0</v>
      </c>
      <c r="AM61" t="s">
        <v>2419</v>
      </c>
      <c r="AN61" t="s">
        <v>116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2420</v>
      </c>
      <c r="BA61">
        <v>0</v>
      </c>
      <c r="BC61" t="s">
        <v>116</v>
      </c>
      <c r="BF61" t="s">
        <v>2230</v>
      </c>
    </row>
    <row r="62" spans="1:58" x14ac:dyDescent="0.35">
      <c r="A62" t="s">
        <v>2421</v>
      </c>
      <c r="B62">
        <v>10000</v>
      </c>
      <c r="C62">
        <v>10000</v>
      </c>
      <c r="D62" s="2">
        <v>45726</v>
      </c>
      <c r="E62" t="s">
        <v>61</v>
      </c>
      <c r="F62" t="s">
        <v>2112</v>
      </c>
      <c r="G62" t="s">
        <v>1902</v>
      </c>
      <c r="I62">
        <v>1</v>
      </c>
      <c r="J62" t="s">
        <v>63</v>
      </c>
      <c r="K62">
        <v>61</v>
      </c>
      <c r="L62" t="s">
        <v>197</v>
      </c>
      <c r="M62" s="4">
        <v>3667</v>
      </c>
      <c r="P62" s="2">
        <v>45726</v>
      </c>
      <c r="R62">
        <v>6</v>
      </c>
      <c r="S62" s="4">
        <v>22002</v>
      </c>
      <c r="T62" t="s">
        <v>65</v>
      </c>
      <c r="U62" t="s">
        <v>2422</v>
      </c>
      <c r="V62">
        <v>0</v>
      </c>
      <c r="W62" s="4">
        <v>22000</v>
      </c>
      <c r="X62">
        <v>2</v>
      </c>
      <c r="Y62">
        <v>0</v>
      </c>
      <c r="Z62">
        <v>0</v>
      </c>
      <c r="AA62">
        <v>0</v>
      </c>
      <c r="AD62">
        <v>0</v>
      </c>
      <c r="AM62" t="s">
        <v>2423</v>
      </c>
      <c r="AN62" t="s">
        <v>116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2424</v>
      </c>
      <c r="BA62">
        <v>0</v>
      </c>
      <c r="BC62" t="s">
        <v>116</v>
      </c>
      <c r="BF62" t="s">
        <v>2230</v>
      </c>
    </row>
    <row r="63" spans="1:58" x14ac:dyDescent="0.35">
      <c r="A63" t="s">
        <v>2425</v>
      </c>
      <c r="B63">
        <v>10000</v>
      </c>
      <c r="C63">
        <v>20000</v>
      </c>
      <c r="D63" s="2">
        <v>45742</v>
      </c>
      <c r="E63" t="s">
        <v>61</v>
      </c>
      <c r="F63" t="s">
        <v>2426</v>
      </c>
      <c r="G63" t="s">
        <v>2427</v>
      </c>
      <c r="I63">
        <v>1</v>
      </c>
      <c r="J63" t="s">
        <v>63</v>
      </c>
      <c r="K63">
        <v>79</v>
      </c>
      <c r="L63" t="s">
        <v>573</v>
      </c>
      <c r="M63">
        <v>534</v>
      </c>
      <c r="P63" s="2">
        <v>45726</v>
      </c>
      <c r="R63">
        <v>15</v>
      </c>
      <c r="S63" s="4">
        <v>8010</v>
      </c>
      <c r="T63" t="s">
        <v>65</v>
      </c>
      <c r="U63" t="s">
        <v>2428</v>
      </c>
      <c r="V63">
        <v>0</v>
      </c>
      <c r="W63" s="4">
        <v>5000</v>
      </c>
      <c r="X63" s="4">
        <v>3010</v>
      </c>
      <c r="Y63">
        <v>0</v>
      </c>
      <c r="Z63">
        <v>0</v>
      </c>
      <c r="AA63">
        <v>0</v>
      </c>
      <c r="AD63">
        <v>0</v>
      </c>
      <c r="AM63" t="s">
        <v>2429</v>
      </c>
      <c r="AN63" t="s">
        <v>107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2430</v>
      </c>
      <c r="BA63">
        <v>0</v>
      </c>
      <c r="BC63" t="s">
        <v>107</v>
      </c>
      <c r="BF63" t="s">
        <v>2431</v>
      </c>
    </row>
    <row r="64" spans="1:58" x14ac:dyDescent="0.35">
      <c r="A64" t="s">
        <v>1516</v>
      </c>
      <c r="B64">
        <v>10000</v>
      </c>
      <c r="C64">
        <v>20000</v>
      </c>
      <c r="D64" s="2">
        <v>45735</v>
      </c>
      <c r="E64" t="s">
        <v>61</v>
      </c>
      <c r="F64" t="s">
        <v>2432</v>
      </c>
      <c r="G64" t="s">
        <v>1364</v>
      </c>
      <c r="I64">
        <v>2</v>
      </c>
      <c r="J64" t="s">
        <v>63</v>
      </c>
      <c r="K64">
        <v>77</v>
      </c>
      <c r="L64" t="s">
        <v>127</v>
      </c>
      <c r="M64" s="4">
        <v>2500</v>
      </c>
      <c r="P64" s="2">
        <v>45726</v>
      </c>
      <c r="R64">
        <v>88</v>
      </c>
      <c r="S64" s="4">
        <v>220000</v>
      </c>
      <c r="T64" t="s">
        <v>65</v>
      </c>
      <c r="U64" t="s">
        <v>1517</v>
      </c>
      <c r="V64">
        <v>0</v>
      </c>
      <c r="W64" s="4">
        <v>200000</v>
      </c>
      <c r="X64" s="4">
        <v>20000</v>
      </c>
      <c r="Y64">
        <v>0</v>
      </c>
      <c r="Z64">
        <v>0</v>
      </c>
      <c r="AA64">
        <v>0</v>
      </c>
      <c r="AD64">
        <v>0</v>
      </c>
      <c r="AM64" t="s">
        <v>1518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1519</v>
      </c>
      <c r="BA64">
        <v>0</v>
      </c>
      <c r="BC64" t="s">
        <v>107</v>
      </c>
      <c r="BF64" t="s">
        <v>1520</v>
      </c>
    </row>
    <row r="65" spans="1:58" x14ac:dyDescent="0.35">
      <c r="A65" t="s">
        <v>1521</v>
      </c>
      <c r="B65">
        <v>10000</v>
      </c>
      <c r="C65">
        <v>30000</v>
      </c>
      <c r="D65" s="2">
        <v>45742</v>
      </c>
      <c r="E65" t="s">
        <v>61</v>
      </c>
      <c r="F65" t="s">
        <v>1522</v>
      </c>
      <c r="G65">
        <v>10620258036</v>
      </c>
      <c r="I65">
        <v>2</v>
      </c>
      <c r="J65" t="s">
        <v>63</v>
      </c>
      <c r="K65">
        <v>77</v>
      </c>
      <c r="L65" t="s">
        <v>127</v>
      </c>
      <c r="M65" s="4">
        <v>4319</v>
      </c>
      <c r="P65" s="2">
        <v>45726</v>
      </c>
      <c r="R65">
        <v>88</v>
      </c>
      <c r="S65" s="4">
        <v>380072</v>
      </c>
      <c r="T65" t="s">
        <v>65</v>
      </c>
      <c r="U65" t="s">
        <v>328</v>
      </c>
      <c r="V65">
        <v>0</v>
      </c>
      <c r="W65" s="4">
        <v>360000</v>
      </c>
      <c r="X65" s="4">
        <v>20072</v>
      </c>
      <c r="Y65">
        <v>0</v>
      </c>
      <c r="Z65">
        <v>0</v>
      </c>
      <c r="AA65">
        <v>0</v>
      </c>
      <c r="AD65">
        <v>0</v>
      </c>
      <c r="AM65" t="s">
        <v>329</v>
      </c>
      <c r="AN65" t="s">
        <v>107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1523</v>
      </c>
      <c r="BA65">
        <v>0</v>
      </c>
      <c r="BC65" t="s">
        <v>107</v>
      </c>
      <c r="BF65" t="s">
        <v>1524</v>
      </c>
    </row>
    <row r="66" spans="1:58" x14ac:dyDescent="0.35">
      <c r="A66" t="s">
        <v>1525</v>
      </c>
      <c r="B66">
        <v>10000</v>
      </c>
      <c r="C66">
        <v>20000</v>
      </c>
      <c r="D66" s="2">
        <v>45735</v>
      </c>
      <c r="E66" t="s">
        <v>95</v>
      </c>
      <c r="F66" t="s">
        <v>1526</v>
      </c>
      <c r="G66" t="s">
        <v>1364</v>
      </c>
      <c r="I66">
        <v>2</v>
      </c>
      <c r="J66" t="s">
        <v>63</v>
      </c>
      <c r="K66">
        <v>77</v>
      </c>
      <c r="L66" t="s">
        <v>127</v>
      </c>
      <c r="M66" s="4">
        <v>1250</v>
      </c>
      <c r="P66" s="2">
        <v>45726</v>
      </c>
      <c r="R66">
        <v>88</v>
      </c>
      <c r="S66" s="4">
        <v>110000</v>
      </c>
      <c r="T66" t="s">
        <v>65</v>
      </c>
      <c r="U66" t="s">
        <v>1527</v>
      </c>
      <c r="V66">
        <v>0</v>
      </c>
      <c r="W66" s="4">
        <v>100000</v>
      </c>
      <c r="X66" s="4">
        <v>10000</v>
      </c>
      <c r="Y66">
        <v>0</v>
      </c>
      <c r="Z66">
        <v>0</v>
      </c>
      <c r="AA66">
        <v>0</v>
      </c>
      <c r="AD66">
        <v>0</v>
      </c>
      <c r="AM66" t="s">
        <v>1528</v>
      </c>
      <c r="AN66" t="s">
        <v>107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1529</v>
      </c>
      <c r="BA66">
        <v>0</v>
      </c>
      <c r="BC66" t="s">
        <v>107</v>
      </c>
      <c r="BF66" t="s">
        <v>1530</v>
      </c>
    </row>
    <row r="67" spans="1:58" x14ac:dyDescent="0.35">
      <c r="A67" t="s">
        <v>1531</v>
      </c>
      <c r="B67">
        <v>10000</v>
      </c>
      <c r="C67">
        <v>20000</v>
      </c>
      <c r="D67" s="2">
        <v>45735</v>
      </c>
      <c r="E67" t="s">
        <v>61</v>
      </c>
      <c r="F67" t="s">
        <v>1532</v>
      </c>
      <c r="G67" t="s">
        <v>1364</v>
      </c>
      <c r="I67">
        <v>2</v>
      </c>
      <c r="J67" t="s">
        <v>63</v>
      </c>
      <c r="K67">
        <v>77</v>
      </c>
      <c r="L67" t="s">
        <v>127</v>
      </c>
      <c r="M67" s="4">
        <v>2500</v>
      </c>
      <c r="P67" s="2">
        <v>45726</v>
      </c>
      <c r="R67">
        <v>88</v>
      </c>
      <c r="S67" s="4">
        <v>220000</v>
      </c>
      <c r="T67" t="s">
        <v>65</v>
      </c>
      <c r="U67" t="s">
        <v>1381</v>
      </c>
      <c r="V67">
        <v>0</v>
      </c>
      <c r="W67" s="4">
        <v>200000</v>
      </c>
      <c r="X67" s="4">
        <v>20000</v>
      </c>
      <c r="Y67">
        <v>0</v>
      </c>
      <c r="Z67">
        <v>0</v>
      </c>
      <c r="AA67">
        <v>0</v>
      </c>
      <c r="AD67">
        <v>0</v>
      </c>
      <c r="AM67" t="s">
        <v>1382</v>
      </c>
      <c r="AN67" t="s">
        <v>107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1533</v>
      </c>
      <c r="BA67">
        <v>0</v>
      </c>
      <c r="BC67" t="s">
        <v>107</v>
      </c>
      <c r="BF67" t="s">
        <v>1534</v>
      </c>
    </row>
    <row r="68" spans="1:58" x14ac:dyDescent="0.35">
      <c r="A68" t="s">
        <v>1535</v>
      </c>
      <c r="B68">
        <v>10000</v>
      </c>
      <c r="C68">
        <v>20000</v>
      </c>
      <c r="D68" s="2">
        <v>45735</v>
      </c>
      <c r="E68" t="s">
        <v>95</v>
      </c>
      <c r="F68" t="s">
        <v>1439</v>
      </c>
      <c r="G68" t="s">
        <v>1364</v>
      </c>
      <c r="I68">
        <v>2</v>
      </c>
      <c r="J68" t="s">
        <v>63</v>
      </c>
      <c r="K68">
        <v>77</v>
      </c>
      <c r="L68" t="s">
        <v>127</v>
      </c>
      <c r="M68" s="4">
        <v>2500</v>
      </c>
      <c r="P68" s="2">
        <v>45726</v>
      </c>
      <c r="R68">
        <v>88</v>
      </c>
      <c r="S68" s="4">
        <v>220000</v>
      </c>
      <c r="T68" t="s">
        <v>65</v>
      </c>
      <c r="U68" t="s">
        <v>1440</v>
      </c>
      <c r="V68">
        <v>0</v>
      </c>
      <c r="W68" s="4">
        <v>200000</v>
      </c>
      <c r="X68" s="4">
        <v>20000</v>
      </c>
      <c r="Y68">
        <v>0</v>
      </c>
      <c r="Z68">
        <v>0</v>
      </c>
      <c r="AA68">
        <v>0</v>
      </c>
      <c r="AD68">
        <v>0</v>
      </c>
      <c r="AM68" t="s">
        <v>1441</v>
      </c>
      <c r="AN68" t="s">
        <v>107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1536</v>
      </c>
      <c r="BA68">
        <v>0</v>
      </c>
      <c r="BC68" t="s">
        <v>107</v>
      </c>
      <c r="BF68" t="s">
        <v>1537</v>
      </c>
    </row>
    <row r="69" spans="1:58" x14ac:dyDescent="0.35">
      <c r="A69" t="s">
        <v>1555</v>
      </c>
      <c r="B69">
        <v>10000</v>
      </c>
      <c r="C69">
        <v>20000</v>
      </c>
      <c r="D69" s="2">
        <v>45727</v>
      </c>
      <c r="E69" t="s">
        <v>61</v>
      </c>
      <c r="F69" t="s">
        <v>1556</v>
      </c>
      <c r="G69" t="s">
        <v>1557</v>
      </c>
      <c r="I69">
        <v>2</v>
      </c>
      <c r="J69" t="s">
        <v>63</v>
      </c>
      <c r="K69">
        <v>82</v>
      </c>
      <c r="L69" t="s">
        <v>341</v>
      </c>
      <c r="M69" s="4">
        <v>1250</v>
      </c>
      <c r="P69" s="2">
        <v>45726</v>
      </c>
      <c r="R69">
        <v>8</v>
      </c>
      <c r="S69" s="4">
        <v>10000</v>
      </c>
      <c r="T69" t="s">
        <v>65</v>
      </c>
      <c r="U69" t="s">
        <v>581</v>
      </c>
      <c r="V69">
        <v>0</v>
      </c>
      <c r="W69" s="4">
        <v>10000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582</v>
      </c>
      <c r="AN69" t="s">
        <v>449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1558</v>
      </c>
      <c r="BA69">
        <v>0</v>
      </c>
      <c r="BC69" t="s">
        <v>449</v>
      </c>
      <c r="BF69" t="s">
        <v>1559</v>
      </c>
    </row>
    <row r="70" spans="1:58" x14ac:dyDescent="0.35">
      <c r="A70" t="s">
        <v>1968</v>
      </c>
      <c r="B70">
        <v>10000</v>
      </c>
      <c r="C70">
        <v>30000</v>
      </c>
      <c r="D70" s="2">
        <v>45727</v>
      </c>
      <c r="E70" t="s">
        <v>61</v>
      </c>
      <c r="F70" s="3">
        <v>0.44810185185185186</v>
      </c>
      <c r="G70">
        <v>59469</v>
      </c>
      <c r="I70">
        <v>2</v>
      </c>
      <c r="J70" t="s">
        <v>63</v>
      </c>
      <c r="K70">
        <v>96</v>
      </c>
      <c r="L70" t="s">
        <v>2433</v>
      </c>
      <c r="M70" s="4">
        <v>42000</v>
      </c>
      <c r="P70" s="2">
        <v>45726</v>
      </c>
      <c r="R70">
        <v>6</v>
      </c>
      <c r="S70" s="4">
        <v>252000</v>
      </c>
      <c r="T70" t="s">
        <v>65</v>
      </c>
      <c r="U70" t="s">
        <v>1410</v>
      </c>
      <c r="V70">
        <v>0</v>
      </c>
      <c r="W70" s="4">
        <v>256916</v>
      </c>
      <c r="X70" s="4">
        <v>-4916</v>
      </c>
      <c r="Y70">
        <v>0</v>
      </c>
      <c r="Z70">
        <v>0</v>
      </c>
      <c r="AA70">
        <v>0</v>
      </c>
      <c r="AD70">
        <v>0</v>
      </c>
      <c r="AM70" t="s">
        <v>1411</v>
      </c>
      <c r="AN70" t="s">
        <v>321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1970</v>
      </c>
      <c r="BA70">
        <v>0</v>
      </c>
      <c r="BC70" t="s">
        <v>321</v>
      </c>
      <c r="BF70" t="s">
        <v>1971</v>
      </c>
    </row>
    <row r="71" spans="1:58" x14ac:dyDescent="0.35">
      <c r="A71" t="s">
        <v>2434</v>
      </c>
      <c r="B71">
        <v>10000</v>
      </c>
      <c r="C71">
        <v>10000</v>
      </c>
      <c r="D71" s="2">
        <v>45727</v>
      </c>
      <c r="E71" t="s">
        <v>61</v>
      </c>
      <c r="F71" t="s">
        <v>2435</v>
      </c>
      <c r="G71">
        <v>59469</v>
      </c>
      <c r="I71">
        <v>1</v>
      </c>
      <c r="J71" t="s">
        <v>63</v>
      </c>
      <c r="K71">
        <v>73</v>
      </c>
      <c r="L71" t="s">
        <v>90</v>
      </c>
      <c r="M71" s="4">
        <v>54105</v>
      </c>
      <c r="P71" s="2">
        <v>45726</v>
      </c>
      <c r="R71">
        <v>12</v>
      </c>
      <c r="S71" s="4">
        <v>649260</v>
      </c>
      <c r="T71" t="s">
        <v>65</v>
      </c>
      <c r="U71" t="s">
        <v>993</v>
      </c>
      <c r="V71">
        <v>0</v>
      </c>
      <c r="W71" s="4">
        <v>649249</v>
      </c>
      <c r="X71">
        <v>11</v>
      </c>
      <c r="Y71">
        <v>0</v>
      </c>
      <c r="Z71">
        <v>0</v>
      </c>
      <c r="AA71">
        <v>0</v>
      </c>
      <c r="AD71">
        <v>0</v>
      </c>
      <c r="AM71" t="s">
        <v>994</v>
      </c>
      <c r="AN71" t="s">
        <v>321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2436</v>
      </c>
      <c r="BA71">
        <v>0</v>
      </c>
      <c r="BC71" t="s">
        <v>321</v>
      </c>
      <c r="BF71" t="s">
        <v>2437</v>
      </c>
    </row>
    <row r="72" spans="1:58" x14ac:dyDescent="0.35">
      <c r="A72" t="s">
        <v>2434</v>
      </c>
      <c r="B72">
        <v>10000</v>
      </c>
      <c r="C72">
        <v>20000</v>
      </c>
      <c r="D72" s="2">
        <v>45727</v>
      </c>
      <c r="E72" t="s">
        <v>61</v>
      </c>
      <c r="F72" t="s">
        <v>2435</v>
      </c>
      <c r="G72">
        <v>59869</v>
      </c>
      <c r="I72">
        <v>1</v>
      </c>
      <c r="J72" t="s">
        <v>63</v>
      </c>
      <c r="K72" t="s">
        <v>97</v>
      </c>
      <c r="L72" t="s">
        <v>98</v>
      </c>
      <c r="M72" s="4">
        <v>35584</v>
      </c>
      <c r="P72" s="2">
        <v>45726</v>
      </c>
      <c r="R72">
        <v>12</v>
      </c>
      <c r="S72" s="4">
        <v>427008</v>
      </c>
      <c r="T72" t="s">
        <v>65</v>
      </c>
      <c r="U72" t="s">
        <v>993</v>
      </c>
      <c r="V72">
        <v>0</v>
      </c>
      <c r="W72" s="4">
        <v>427001</v>
      </c>
      <c r="X72">
        <v>7</v>
      </c>
      <c r="Y72">
        <v>0</v>
      </c>
      <c r="Z72">
        <v>0</v>
      </c>
      <c r="AA72">
        <v>0</v>
      </c>
      <c r="AD72">
        <v>0</v>
      </c>
      <c r="AM72" t="s">
        <v>994</v>
      </c>
      <c r="AN72" t="s">
        <v>321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2436</v>
      </c>
      <c r="BA72">
        <v>0</v>
      </c>
      <c r="BC72" t="s">
        <v>321</v>
      </c>
      <c r="BF72" t="s">
        <v>2437</v>
      </c>
    </row>
    <row r="73" spans="1:58" x14ac:dyDescent="0.35">
      <c r="A73" t="s">
        <v>2438</v>
      </c>
      <c r="B73">
        <v>10000</v>
      </c>
      <c r="C73">
        <v>30000</v>
      </c>
      <c r="D73" s="2">
        <v>45734</v>
      </c>
      <c r="E73" t="s">
        <v>61</v>
      </c>
      <c r="F73" t="s">
        <v>2439</v>
      </c>
      <c r="G73" t="s">
        <v>2440</v>
      </c>
      <c r="I73">
        <v>1</v>
      </c>
      <c r="J73" t="s">
        <v>63</v>
      </c>
      <c r="K73" t="s">
        <v>1707</v>
      </c>
      <c r="L73" t="s">
        <v>154</v>
      </c>
      <c r="M73">
        <v>17</v>
      </c>
      <c r="P73" s="2">
        <v>45726</v>
      </c>
      <c r="R73">
        <v>12</v>
      </c>
      <c r="S73">
        <v>204</v>
      </c>
      <c r="T73" t="s">
        <v>65</v>
      </c>
      <c r="U73" t="s">
        <v>460</v>
      </c>
      <c r="V73">
        <v>0</v>
      </c>
      <c r="W73">
        <v>200</v>
      </c>
      <c r="X73">
        <v>4</v>
      </c>
      <c r="Y73">
        <v>0</v>
      </c>
      <c r="Z73">
        <v>0</v>
      </c>
      <c r="AA73">
        <v>0</v>
      </c>
      <c r="AD73">
        <v>0</v>
      </c>
      <c r="AM73" t="s">
        <v>461</v>
      </c>
      <c r="AN73" t="s">
        <v>661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2441</v>
      </c>
      <c r="BA73">
        <v>0</v>
      </c>
      <c r="BC73" t="s">
        <v>661</v>
      </c>
      <c r="BF73" t="s">
        <v>2442</v>
      </c>
    </row>
    <row r="74" spans="1:58" x14ac:dyDescent="0.35">
      <c r="A74" t="s">
        <v>2443</v>
      </c>
      <c r="B74">
        <v>10000</v>
      </c>
      <c r="C74">
        <v>10000</v>
      </c>
      <c r="D74" s="2">
        <v>45728</v>
      </c>
      <c r="E74" t="s">
        <v>61</v>
      </c>
      <c r="F74" t="s">
        <v>2444</v>
      </c>
      <c r="G74" t="s">
        <v>2445</v>
      </c>
      <c r="I74">
        <v>1</v>
      </c>
      <c r="J74" t="s">
        <v>63</v>
      </c>
      <c r="K74">
        <v>88</v>
      </c>
      <c r="L74" t="s">
        <v>630</v>
      </c>
      <c r="M74">
        <v>330</v>
      </c>
      <c r="P74" s="2">
        <v>45726</v>
      </c>
      <c r="R74">
        <v>1</v>
      </c>
      <c r="S74">
        <v>330</v>
      </c>
      <c r="T74" t="s">
        <v>65</v>
      </c>
      <c r="U74" t="s">
        <v>2446</v>
      </c>
      <c r="V74">
        <v>0</v>
      </c>
      <c r="W74">
        <v>330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2447</v>
      </c>
      <c r="AN74" t="s">
        <v>2448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2449</v>
      </c>
      <c r="BA74">
        <v>0</v>
      </c>
      <c r="BC74" t="s">
        <v>2448</v>
      </c>
      <c r="BF74" t="s">
        <v>2450</v>
      </c>
    </row>
    <row r="75" spans="1:58" x14ac:dyDescent="0.35">
      <c r="A75" t="s">
        <v>2443</v>
      </c>
      <c r="B75">
        <v>20000</v>
      </c>
      <c r="C75">
        <v>10000</v>
      </c>
      <c r="D75" s="2">
        <v>45728</v>
      </c>
      <c r="E75" t="s">
        <v>61</v>
      </c>
      <c r="F75" t="s">
        <v>2444</v>
      </c>
      <c r="G75" t="s">
        <v>2445</v>
      </c>
      <c r="I75">
        <v>1</v>
      </c>
      <c r="J75" t="s">
        <v>63</v>
      </c>
      <c r="K75">
        <v>88</v>
      </c>
      <c r="L75" t="s">
        <v>630</v>
      </c>
      <c r="M75">
        <v>540</v>
      </c>
      <c r="P75" s="2">
        <v>45726</v>
      </c>
      <c r="R75">
        <v>1</v>
      </c>
      <c r="S75">
        <v>540</v>
      </c>
      <c r="T75" t="s">
        <v>65</v>
      </c>
      <c r="U75" t="s">
        <v>2446</v>
      </c>
      <c r="V75">
        <v>0</v>
      </c>
      <c r="W75">
        <v>540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2447</v>
      </c>
      <c r="AN75" t="s">
        <v>2448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2449</v>
      </c>
      <c r="BA75">
        <v>0</v>
      </c>
      <c r="BC75" t="s">
        <v>2448</v>
      </c>
      <c r="BF75" t="s">
        <v>2450</v>
      </c>
    </row>
    <row r="76" spans="1:58" x14ac:dyDescent="0.35">
      <c r="A76" t="s">
        <v>2443</v>
      </c>
      <c r="B76">
        <v>30000</v>
      </c>
      <c r="C76">
        <v>10000</v>
      </c>
      <c r="D76" s="2">
        <v>45728</v>
      </c>
      <c r="E76" t="s">
        <v>61</v>
      </c>
      <c r="F76" t="s">
        <v>2444</v>
      </c>
      <c r="G76" t="s">
        <v>2445</v>
      </c>
      <c r="I76">
        <v>1</v>
      </c>
      <c r="J76" t="s">
        <v>63</v>
      </c>
      <c r="K76">
        <v>88</v>
      </c>
      <c r="L76" t="s">
        <v>630</v>
      </c>
      <c r="M76">
        <v>150</v>
      </c>
      <c r="P76" s="2">
        <v>45726</v>
      </c>
      <c r="R76">
        <v>1</v>
      </c>
      <c r="S76">
        <v>150</v>
      </c>
      <c r="T76" t="s">
        <v>65</v>
      </c>
      <c r="U76" t="s">
        <v>2446</v>
      </c>
      <c r="V76">
        <v>0</v>
      </c>
      <c r="W76">
        <v>150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2447</v>
      </c>
      <c r="AN76" t="s">
        <v>2448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2449</v>
      </c>
      <c r="BA76">
        <v>0</v>
      </c>
      <c r="BC76" t="s">
        <v>2448</v>
      </c>
      <c r="BF76" t="s">
        <v>2450</v>
      </c>
    </row>
    <row r="77" spans="1:58" x14ac:dyDescent="0.35">
      <c r="A77" t="s">
        <v>2451</v>
      </c>
      <c r="B77">
        <v>10000</v>
      </c>
      <c r="C77">
        <v>20000</v>
      </c>
      <c r="D77" s="2">
        <v>45728</v>
      </c>
      <c r="E77" t="s">
        <v>61</v>
      </c>
      <c r="F77" t="s">
        <v>2452</v>
      </c>
      <c r="G77" t="s">
        <v>2445</v>
      </c>
      <c r="I77">
        <v>1</v>
      </c>
      <c r="J77" t="s">
        <v>63</v>
      </c>
      <c r="K77">
        <v>88</v>
      </c>
      <c r="L77" t="s">
        <v>630</v>
      </c>
      <c r="M77">
        <v>60</v>
      </c>
      <c r="P77" s="2">
        <v>45726</v>
      </c>
      <c r="R77">
        <v>1</v>
      </c>
      <c r="S77">
        <v>60</v>
      </c>
      <c r="T77" t="s">
        <v>65</v>
      </c>
      <c r="U77" t="s">
        <v>2453</v>
      </c>
      <c r="V77">
        <v>0</v>
      </c>
      <c r="W77">
        <v>60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2454</v>
      </c>
      <c r="AN77" t="s">
        <v>2448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2455</v>
      </c>
      <c r="BA77">
        <v>0</v>
      </c>
      <c r="BC77" t="s">
        <v>2448</v>
      </c>
      <c r="BF77" t="s">
        <v>2450</v>
      </c>
    </row>
    <row r="78" spans="1:58" x14ac:dyDescent="0.35">
      <c r="A78" t="s">
        <v>2451</v>
      </c>
      <c r="B78">
        <v>20000</v>
      </c>
      <c r="C78">
        <v>10000</v>
      </c>
      <c r="D78" s="2">
        <v>45728</v>
      </c>
      <c r="E78" t="s">
        <v>61</v>
      </c>
      <c r="F78" t="s">
        <v>2452</v>
      </c>
      <c r="G78" t="s">
        <v>2445</v>
      </c>
      <c r="I78">
        <v>1</v>
      </c>
      <c r="J78" t="s">
        <v>63</v>
      </c>
      <c r="K78">
        <v>88</v>
      </c>
      <c r="L78" t="s">
        <v>630</v>
      </c>
      <c r="M78">
        <v>150</v>
      </c>
      <c r="P78" s="2">
        <v>45726</v>
      </c>
      <c r="R78">
        <v>1</v>
      </c>
      <c r="S78">
        <v>150</v>
      </c>
      <c r="T78" t="s">
        <v>65</v>
      </c>
      <c r="U78" t="s">
        <v>2453</v>
      </c>
      <c r="V78">
        <v>0</v>
      </c>
      <c r="W78">
        <v>150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2454</v>
      </c>
      <c r="AN78" t="s">
        <v>2448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2455</v>
      </c>
      <c r="BA78">
        <v>0</v>
      </c>
      <c r="BC78" t="s">
        <v>2448</v>
      </c>
      <c r="BF78" t="s">
        <v>2450</v>
      </c>
    </row>
    <row r="79" spans="1:58" x14ac:dyDescent="0.35">
      <c r="A79" t="s">
        <v>2451</v>
      </c>
      <c r="B79">
        <v>30000</v>
      </c>
      <c r="C79">
        <v>10000</v>
      </c>
      <c r="D79" s="2">
        <v>45728</v>
      </c>
      <c r="E79" t="s">
        <v>61</v>
      </c>
      <c r="F79" t="s">
        <v>2452</v>
      </c>
      <c r="G79" t="s">
        <v>2445</v>
      </c>
      <c r="I79">
        <v>1</v>
      </c>
      <c r="J79" t="s">
        <v>63</v>
      </c>
      <c r="K79">
        <v>88</v>
      </c>
      <c r="L79" t="s">
        <v>630</v>
      </c>
      <c r="M79">
        <v>30</v>
      </c>
      <c r="P79" s="2">
        <v>45726</v>
      </c>
      <c r="R79">
        <v>1</v>
      </c>
      <c r="S79">
        <v>30</v>
      </c>
      <c r="T79" t="s">
        <v>65</v>
      </c>
      <c r="U79" t="s">
        <v>2453</v>
      </c>
      <c r="V79">
        <v>0</v>
      </c>
      <c r="W79">
        <v>30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2454</v>
      </c>
      <c r="AN79" t="s">
        <v>2448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2455</v>
      </c>
      <c r="BA79">
        <v>0</v>
      </c>
      <c r="BC79" t="s">
        <v>2448</v>
      </c>
      <c r="BF79" t="s">
        <v>2450</v>
      </c>
    </row>
    <row r="80" spans="1:58" x14ac:dyDescent="0.35">
      <c r="A80" t="s">
        <v>2456</v>
      </c>
      <c r="B80">
        <v>10000</v>
      </c>
      <c r="C80">
        <v>10000</v>
      </c>
      <c r="D80" s="2">
        <v>45728</v>
      </c>
      <c r="E80" t="s">
        <v>61</v>
      </c>
      <c r="F80" t="s">
        <v>2457</v>
      </c>
      <c r="G80" t="s">
        <v>2458</v>
      </c>
      <c r="I80">
        <v>1</v>
      </c>
      <c r="J80" t="s">
        <v>63</v>
      </c>
      <c r="K80">
        <v>70</v>
      </c>
      <c r="L80" t="s">
        <v>795</v>
      </c>
      <c r="M80" s="4">
        <v>22500</v>
      </c>
      <c r="P80" s="2">
        <v>45726</v>
      </c>
      <c r="R80">
        <v>4</v>
      </c>
      <c r="S80" s="4">
        <v>90000</v>
      </c>
      <c r="T80" t="s">
        <v>65</v>
      </c>
      <c r="U80" t="s">
        <v>1259</v>
      </c>
      <c r="V80">
        <v>0</v>
      </c>
      <c r="W80" s="4">
        <v>90000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1260</v>
      </c>
      <c r="AN80" t="s">
        <v>157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2459</v>
      </c>
      <c r="BA80">
        <v>0</v>
      </c>
      <c r="BC80" t="s">
        <v>157</v>
      </c>
      <c r="BF80" t="s">
        <v>2460</v>
      </c>
    </row>
    <row r="81" spans="1:58" x14ac:dyDescent="0.35">
      <c r="A81" t="s">
        <v>2461</v>
      </c>
      <c r="B81">
        <v>10000</v>
      </c>
      <c r="C81">
        <v>10000</v>
      </c>
      <c r="D81" s="2">
        <v>45726</v>
      </c>
      <c r="E81" t="s">
        <v>61</v>
      </c>
      <c r="F81" t="s">
        <v>2462</v>
      </c>
      <c r="G81" t="s">
        <v>1258</v>
      </c>
      <c r="I81">
        <v>1</v>
      </c>
      <c r="J81" t="s">
        <v>63</v>
      </c>
      <c r="K81">
        <v>26</v>
      </c>
      <c r="L81" t="s">
        <v>249</v>
      </c>
      <c r="M81" s="4">
        <v>9000</v>
      </c>
      <c r="P81" s="2">
        <v>45726</v>
      </c>
      <c r="R81">
        <v>4</v>
      </c>
      <c r="S81" s="4">
        <v>36000</v>
      </c>
      <c r="T81" t="s">
        <v>65</v>
      </c>
      <c r="U81" t="s">
        <v>861</v>
      </c>
      <c r="V81">
        <v>0</v>
      </c>
      <c r="W81" s="4">
        <v>36000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862</v>
      </c>
      <c r="AN81" t="s">
        <v>157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2463</v>
      </c>
      <c r="BA81">
        <v>0</v>
      </c>
      <c r="BC81" t="s">
        <v>157</v>
      </c>
      <c r="BF81" t="s">
        <v>2464</v>
      </c>
    </row>
    <row r="82" spans="1:58" x14ac:dyDescent="0.35">
      <c r="A82" t="s">
        <v>2465</v>
      </c>
      <c r="B82">
        <v>10000</v>
      </c>
      <c r="C82">
        <v>10000</v>
      </c>
      <c r="D82" s="2">
        <v>45728</v>
      </c>
      <c r="E82" t="s">
        <v>61</v>
      </c>
      <c r="F82" t="s">
        <v>2040</v>
      </c>
      <c r="G82">
        <v>1006323</v>
      </c>
      <c r="I82">
        <v>1</v>
      </c>
      <c r="J82" t="s">
        <v>63</v>
      </c>
      <c r="K82">
        <v>63</v>
      </c>
      <c r="L82" t="s">
        <v>519</v>
      </c>
      <c r="M82" s="4">
        <v>5000</v>
      </c>
      <c r="P82" s="2">
        <v>45726</v>
      </c>
      <c r="R82">
        <v>40</v>
      </c>
      <c r="S82" s="4">
        <v>200000</v>
      </c>
      <c r="T82" t="s">
        <v>65</v>
      </c>
      <c r="U82" t="s">
        <v>2466</v>
      </c>
      <c r="V82">
        <v>0</v>
      </c>
      <c r="W82" s="4">
        <v>200000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2467</v>
      </c>
      <c r="AN82" t="s">
        <v>157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2468</v>
      </c>
      <c r="BA82">
        <v>0</v>
      </c>
      <c r="BC82" t="s">
        <v>157</v>
      </c>
      <c r="BF82" t="s">
        <v>2469</v>
      </c>
    </row>
    <row r="83" spans="1:58" x14ac:dyDescent="0.35">
      <c r="A83" t="s">
        <v>2470</v>
      </c>
      <c r="B83">
        <v>10000</v>
      </c>
      <c r="C83">
        <v>10000</v>
      </c>
      <c r="D83" s="2">
        <v>45727</v>
      </c>
      <c r="E83" t="s">
        <v>61</v>
      </c>
      <c r="F83" t="s">
        <v>2014</v>
      </c>
      <c r="G83" t="s">
        <v>518</v>
      </c>
      <c r="I83">
        <v>1</v>
      </c>
      <c r="J83" t="s">
        <v>63</v>
      </c>
      <c r="K83">
        <v>63</v>
      </c>
      <c r="L83" t="s">
        <v>519</v>
      </c>
      <c r="M83" s="4">
        <v>2000</v>
      </c>
      <c r="P83" s="2">
        <v>45726</v>
      </c>
      <c r="R83">
        <v>40</v>
      </c>
      <c r="S83" s="4">
        <v>80000</v>
      </c>
      <c r="T83" t="s">
        <v>65</v>
      </c>
      <c r="U83" t="s">
        <v>2471</v>
      </c>
      <c r="V83">
        <v>0</v>
      </c>
      <c r="W83" s="4">
        <v>80000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2472</v>
      </c>
      <c r="AN83" t="s">
        <v>157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2473</v>
      </c>
      <c r="BA83">
        <v>0</v>
      </c>
      <c r="BC83" t="s">
        <v>157</v>
      </c>
      <c r="BF83" t="s">
        <v>2474</v>
      </c>
    </row>
    <row r="84" spans="1:58" x14ac:dyDescent="0.35">
      <c r="A84" t="s">
        <v>2475</v>
      </c>
      <c r="B84">
        <v>10000</v>
      </c>
      <c r="C84">
        <v>10000</v>
      </c>
      <c r="D84" s="2">
        <v>45727</v>
      </c>
      <c r="E84" t="s">
        <v>61</v>
      </c>
      <c r="F84" t="s">
        <v>2014</v>
      </c>
      <c r="G84" t="s">
        <v>518</v>
      </c>
      <c r="I84">
        <v>1</v>
      </c>
      <c r="J84" t="s">
        <v>63</v>
      </c>
      <c r="K84">
        <v>63</v>
      </c>
      <c r="L84" t="s">
        <v>519</v>
      </c>
      <c r="M84" s="4">
        <v>2000</v>
      </c>
      <c r="P84" s="2">
        <v>45726</v>
      </c>
      <c r="R84">
        <v>40</v>
      </c>
      <c r="S84" s="4">
        <v>80000</v>
      </c>
      <c r="T84" t="s">
        <v>65</v>
      </c>
      <c r="U84" t="s">
        <v>2471</v>
      </c>
      <c r="V84">
        <v>0</v>
      </c>
      <c r="W84" s="4">
        <v>80000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2472</v>
      </c>
      <c r="AN84" t="s">
        <v>157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2476</v>
      </c>
      <c r="BA84">
        <v>0</v>
      </c>
      <c r="BC84" t="s">
        <v>157</v>
      </c>
      <c r="BF84" t="s">
        <v>2477</v>
      </c>
    </row>
    <row r="85" spans="1:58" x14ac:dyDescent="0.35">
      <c r="A85" t="s">
        <v>2478</v>
      </c>
      <c r="B85">
        <v>10000</v>
      </c>
      <c r="C85">
        <v>10000</v>
      </c>
      <c r="D85" s="2">
        <v>45727</v>
      </c>
      <c r="E85" t="s">
        <v>61</v>
      </c>
      <c r="F85" t="s">
        <v>2262</v>
      </c>
      <c r="G85" t="s">
        <v>518</v>
      </c>
      <c r="I85">
        <v>1</v>
      </c>
      <c r="J85" t="s">
        <v>63</v>
      </c>
      <c r="K85">
        <v>63</v>
      </c>
      <c r="L85" t="s">
        <v>519</v>
      </c>
      <c r="M85" s="4">
        <v>2000</v>
      </c>
      <c r="P85" s="2">
        <v>45726</v>
      </c>
      <c r="R85">
        <v>40</v>
      </c>
      <c r="S85" s="4">
        <v>80000</v>
      </c>
      <c r="T85" t="s">
        <v>65</v>
      </c>
      <c r="U85" t="s">
        <v>2471</v>
      </c>
      <c r="V85">
        <v>0</v>
      </c>
      <c r="W85" s="4">
        <v>80000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2472</v>
      </c>
      <c r="AN85" t="s">
        <v>157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2479</v>
      </c>
      <c r="BA85">
        <v>0</v>
      </c>
      <c r="BC85" t="s">
        <v>157</v>
      </c>
      <c r="BF85" t="s">
        <v>2480</v>
      </c>
    </row>
    <row r="86" spans="1:58" x14ac:dyDescent="0.35">
      <c r="A86" t="s">
        <v>2145</v>
      </c>
      <c r="B86">
        <v>10000</v>
      </c>
      <c r="C86">
        <v>20000</v>
      </c>
      <c r="D86" s="2">
        <v>45727</v>
      </c>
      <c r="E86" t="s">
        <v>61</v>
      </c>
      <c r="F86" t="s">
        <v>2018</v>
      </c>
      <c r="G86" t="s">
        <v>2146</v>
      </c>
      <c r="I86">
        <v>1</v>
      </c>
      <c r="J86" t="s">
        <v>63</v>
      </c>
      <c r="K86">
        <v>66</v>
      </c>
      <c r="L86" t="s">
        <v>800</v>
      </c>
      <c r="M86" s="4">
        <v>35000</v>
      </c>
      <c r="P86" s="2">
        <v>45726</v>
      </c>
      <c r="R86">
        <v>1</v>
      </c>
      <c r="S86" s="4">
        <v>35000</v>
      </c>
      <c r="T86" t="s">
        <v>65</v>
      </c>
      <c r="U86" t="s">
        <v>381</v>
      </c>
      <c r="V86">
        <v>0</v>
      </c>
      <c r="W86" s="4">
        <v>35000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382</v>
      </c>
      <c r="AN86" t="s">
        <v>157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2147</v>
      </c>
      <c r="BA86">
        <v>0</v>
      </c>
      <c r="BC86" t="s">
        <v>157</v>
      </c>
      <c r="BF86" t="s">
        <v>2148</v>
      </c>
    </row>
    <row r="87" spans="1:58" x14ac:dyDescent="0.35">
      <c r="A87" t="s">
        <v>2481</v>
      </c>
      <c r="B87">
        <v>10000</v>
      </c>
      <c r="C87">
        <v>10000</v>
      </c>
      <c r="D87" s="2">
        <v>45728</v>
      </c>
      <c r="E87" t="s">
        <v>61</v>
      </c>
      <c r="F87" t="s">
        <v>2040</v>
      </c>
      <c r="G87">
        <v>12190705005</v>
      </c>
      <c r="I87">
        <v>1</v>
      </c>
      <c r="J87" t="s">
        <v>63</v>
      </c>
      <c r="K87" t="s">
        <v>2482</v>
      </c>
      <c r="L87" t="s">
        <v>154</v>
      </c>
      <c r="M87" s="4">
        <v>25000</v>
      </c>
      <c r="P87" s="2">
        <v>45726</v>
      </c>
      <c r="R87">
        <v>2</v>
      </c>
      <c r="S87" s="4">
        <v>50000</v>
      </c>
      <c r="T87" t="s">
        <v>65</v>
      </c>
      <c r="U87" t="s">
        <v>803</v>
      </c>
      <c r="V87">
        <v>0</v>
      </c>
      <c r="W87" s="4">
        <v>50000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804</v>
      </c>
      <c r="AN87" t="s">
        <v>157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2483</v>
      </c>
      <c r="BA87">
        <v>0</v>
      </c>
      <c r="BC87" t="s">
        <v>157</v>
      </c>
      <c r="BF87" t="s">
        <v>2484</v>
      </c>
    </row>
    <row r="88" spans="1:58" x14ac:dyDescent="0.35">
      <c r="A88" t="s">
        <v>2485</v>
      </c>
      <c r="B88">
        <v>10000</v>
      </c>
      <c r="C88">
        <v>10000</v>
      </c>
      <c r="D88" s="2">
        <v>45728</v>
      </c>
      <c r="E88" t="s">
        <v>61</v>
      </c>
      <c r="F88" t="s">
        <v>2486</v>
      </c>
      <c r="G88" t="s">
        <v>2487</v>
      </c>
      <c r="I88">
        <v>1</v>
      </c>
      <c r="J88" t="s">
        <v>63</v>
      </c>
      <c r="K88">
        <v>62</v>
      </c>
      <c r="L88" t="s">
        <v>385</v>
      </c>
      <c r="M88" s="4">
        <v>60000</v>
      </c>
      <c r="P88" s="2">
        <v>45726</v>
      </c>
      <c r="R88">
        <v>1</v>
      </c>
      <c r="S88" s="4">
        <v>60000</v>
      </c>
      <c r="T88" t="s">
        <v>65</v>
      </c>
      <c r="U88" t="s">
        <v>2488</v>
      </c>
      <c r="V88">
        <v>0</v>
      </c>
      <c r="W88" s="4">
        <v>60000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2489</v>
      </c>
      <c r="AN88" t="s">
        <v>157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2490</v>
      </c>
      <c r="BA88">
        <v>0</v>
      </c>
      <c r="BC88" t="s">
        <v>157</v>
      </c>
      <c r="BF88" t="s">
        <v>2491</v>
      </c>
    </row>
    <row r="89" spans="1:58" x14ac:dyDescent="0.35">
      <c r="A89" t="s">
        <v>2492</v>
      </c>
      <c r="B89">
        <v>10000</v>
      </c>
      <c r="C89">
        <v>10000</v>
      </c>
      <c r="D89" s="2">
        <v>45729</v>
      </c>
      <c r="E89" t="s">
        <v>61</v>
      </c>
      <c r="F89" t="s">
        <v>2493</v>
      </c>
      <c r="G89" t="s">
        <v>2494</v>
      </c>
      <c r="I89">
        <v>1</v>
      </c>
      <c r="J89" t="s">
        <v>63</v>
      </c>
      <c r="K89">
        <v>87</v>
      </c>
      <c r="L89" t="s">
        <v>172</v>
      </c>
      <c r="M89" s="4">
        <v>20250</v>
      </c>
      <c r="P89" s="2">
        <v>45726</v>
      </c>
      <c r="R89">
        <v>2</v>
      </c>
      <c r="S89" s="4">
        <v>40500</v>
      </c>
      <c r="T89" t="s">
        <v>65</v>
      </c>
      <c r="U89" t="s">
        <v>2495</v>
      </c>
      <c r="V89">
        <v>0</v>
      </c>
      <c r="W89" s="4">
        <v>40500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2496</v>
      </c>
      <c r="AN89" t="s">
        <v>157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2497</v>
      </c>
      <c r="BA89">
        <v>0</v>
      </c>
      <c r="BC89" t="s">
        <v>157</v>
      </c>
      <c r="BF89" t="s">
        <v>2498</v>
      </c>
    </row>
    <row r="90" spans="1:58" x14ac:dyDescent="0.35">
      <c r="A90" t="s">
        <v>2499</v>
      </c>
      <c r="B90">
        <v>10000</v>
      </c>
      <c r="C90">
        <v>10000</v>
      </c>
      <c r="D90" s="2">
        <v>45730</v>
      </c>
      <c r="E90" t="s">
        <v>61</v>
      </c>
      <c r="F90" t="s">
        <v>2500</v>
      </c>
      <c r="G90" t="s">
        <v>394</v>
      </c>
      <c r="I90">
        <v>1</v>
      </c>
      <c r="J90" t="s">
        <v>63</v>
      </c>
      <c r="K90">
        <v>66</v>
      </c>
      <c r="L90" t="s">
        <v>800</v>
      </c>
      <c r="M90" s="4">
        <v>150000</v>
      </c>
      <c r="P90" s="2">
        <v>45726</v>
      </c>
      <c r="R90">
        <v>1</v>
      </c>
      <c r="S90" s="4">
        <v>150000</v>
      </c>
      <c r="T90" t="s">
        <v>65</v>
      </c>
      <c r="U90" t="s">
        <v>381</v>
      </c>
      <c r="V90">
        <v>0</v>
      </c>
      <c r="W90" s="4">
        <v>150000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382</v>
      </c>
      <c r="AN90" t="s">
        <v>175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2501</v>
      </c>
      <c r="BA90">
        <v>0</v>
      </c>
      <c r="BC90" t="s">
        <v>175</v>
      </c>
      <c r="BF90" t="s">
        <v>2502</v>
      </c>
    </row>
    <row r="91" spans="1:58" x14ac:dyDescent="0.35">
      <c r="A91" t="s">
        <v>2499</v>
      </c>
      <c r="B91">
        <v>10000</v>
      </c>
      <c r="C91">
        <v>20000</v>
      </c>
      <c r="D91" s="2">
        <v>45730</v>
      </c>
      <c r="E91" t="s">
        <v>61</v>
      </c>
      <c r="F91" t="s">
        <v>2500</v>
      </c>
      <c r="G91" t="s">
        <v>394</v>
      </c>
      <c r="I91">
        <v>1</v>
      </c>
      <c r="J91" t="s">
        <v>63</v>
      </c>
      <c r="K91" t="s">
        <v>399</v>
      </c>
      <c r="L91" t="s">
        <v>380</v>
      </c>
      <c r="M91" s="4">
        <v>130000</v>
      </c>
      <c r="P91" s="2">
        <v>45726</v>
      </c>
      <c r="R91">
        <v>1</v>
      </c>
      <c r="S91" s="4">
        <v>130000</v>
      </c>
      <c r="T91" t="s">
        <v>65</v>
      </c>
      <c r="U91" t="s">
        <v>381</v>
      </c>
      <c r="V91">
        <v>0</v>
      </c>
      <c r="W91" s="4">
        <v>130000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382</v>
      </c>
      <c r="AN91" t="s">
        <v>175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2501</v>
      </c>
      <c r="BA91">
        <v>0</v>
      </c>
      <c r="BC91" t="s">
        <v>175</v>
      </c>
      <c r="BF91" t="s">
        <v>2502</v>
      </c>
    </row>
    <row r="92" spans="1:58" x14ac:dyDescent="0.35">
      <c r="A92" t="s">
        <v>2503</v>
      </c>
      <c r="B92">
        <v>10000</v>
      </c>
      <c r="C92">
        <v>30000</v>
      </c>
      <c r="D92" s="2">
        <v>45737</v>
      </c>
      <c r="E92" t="s">
        <v>61</v>
      </c>
      <c r="F92" s="3">
        <v>0.48155092592592591</v>
      </c>
      <c r="G92">
        <v>10639931036</v>
      </c>
      <c r="I92">
        <v>1</v>
      </c>
      <c r="J92" t="s">
        <v>63</v>
      </c>
      <c r="K92" t="s">
        <v>2314</v>
      </c>
      <c r="L92" t="s">
        <v>2315</v>
      </c>
      <c r="M92">
        <v>230</v>
      </c>
      <c r="P92" s="2">
        <v>45726</v>
      </c>
      <c r="R92">
        <v>352</v>
      </c>
      <c r="S92" s="4">
        <v>80960</v>
      </c>
      <c r="T92" t="s">
        <v>65</v>
      </c>
      <c r="U92" t="s">
        <v>2504</v>
      </c>
      <c r="V92">
        <v>0</v>
      </c>
      <c r="W92" s="4">
        <v>70000</v>
      </c>
      <c r="X92" s="4">
        <v>10960</v>
      </c>
      <c r="Y92">
        <v>0</v>
      </c>
      <c r="Z92">
        <v>0</v>
      </c>
      <c r="AA92">
        <v>0</v>
      </c>
      <c r="AD92">
        <v>0</v>
      </c>
      <c r="AM92" t="s">
        <v>2505</v>
      </c>
      <c r="AN92" t="s">
        <v>107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2506</v>
      </c>
      <c r="BA92">
        <v>0</v>
      </c>
      <c r="BC92" t="s">
        <v>107</v>
      </c>
      <c r="BF92" t="s">
        <v>2507</v>
      </c>
    </row>
    <row r="93" spans="1:58" x14ac:dyDescent="0.35">
      <c r="A93" t="s">
        <v>2508</v>
      </c>
      <c r="B93">
        <v>10000</v>
      </c>
      <c r="C93">
        <v>30000</v>
      </c>
      <c r="D93" s="2">
        <v>45737</v>
      </c>
      <c r="E93" t="s">
        <v>61</v>
      </c>
      <c r="F93" s="3">
        <v>0.48155092592592591</v>
      </c>
      <c r="G93">
        <v>10639931036</v>
      </c>
      <c r="I93">
        <v>1</v>
      </c>
      <c r="J93" t="s">
        <v>63</v>
      </c>
      <c r="K93" t="s">
        <v>2314</v>
      </c>
      <c r="L93" t="s">
        <v>2315</v>
      </c>
      <c r="M93">
        <v>230</v>
      </c>
      <c r="P93" s="2">
        <v>45726</v>
      </c>
      <c r="R93">
        <v>352</v>
      </c>
      <c r="S93" s="4">
        <v>80960</v>
      </c>
      <c r="T93" t="s">
        <v>65</v>
      </c>
      <c r="U93" t="s">
        <v>2509</v>
      </c>
      <c r="V93">
        <v>0</v>
      </c>
      <c r="W93" s="4">
        <v>50000</v>
      </c>
      <c r="X93" s="4">
        <v>30960</v>
      </c>
      <c r="Y93">
        <v>0</v>
      </c>
      <c r="Z93">
        <v>0</v>
      </c>
      <c r="AA93">
        <v>0</v>
      </c>
      <c r="AD93">
        <v>0</v>
      </c>
      <c r="AM93" t="s">
        <v>2510</v>
      </c>
      <c r="AN93" t="s">
        <v>107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2511</v>
      </c>
      <c r="BA93">
        <v>0</v>
      </c>
      <c r="BC93" t="s">
        <v>107</v>
      </c>
      <c r="BF93" t="s">
        <v>2507</v>
      </c>
    </row>
    <row r="94" spans="1:58" x14ac:dyDescent="0.35">
      <c r="A94" t="s">
        <v>2512</v>
      </c>
      <c r="B94">
        <v>10000</v>
      </c>
      <c r="C94">
        <v>10000</v>
      </c>
      <c r="D94" s="2">
        <v>45726</v>
      </c>
      <c r="E94" t="s">
        <v>61</v>
      </c>
      <c r="F94" t="s">
        <v>2351</v>
      </c>
      <c r="G94" t="s">
        <v>2513</v>
      </c>
      <c r="I94">
        <v>1</v>
      </c>
      <c r="J94" t="s">
        <v>63</v>
      </c>
      <c r="K94">
        <v>79</v>
      </c>
      <c r="L94" t="s">
        <v>573</v>
      </c>
      <c r="M94">
        <v>64</v>
      </c>
      <c r="P94" s="2">
        <v>45726</v>
      </c>
      <c r="R94">
        <v>126</v>
      </c>
      <c r="S94" s="4">
        <v>8064</v>
      </c>
      <c r="T94" t="s">
        <v>65</v>
      </c>
      <c r="U94">
        <v>200717140001</v>
      </c>
      <c r="V94">
        <v>0</v>
      </c>
      <c r="W94" s="4">
        <v>4000</v>
      </c>
      <c r="X94" s="4">
        <v>4064</v>
      </c>
      <c r="Y94">
        <v>0</v>
      </c>
      <c r="Z94">
        <v>0</v>
      </c>
      <c r="AA94">
        <v>0</v>
      </c>
      <c r="AD94">
        <v>0</v>
      </c>
      <c r="AM94">
        <v>20071714</v>
      </c>
      <c r="AN94" t="s">
        <v>182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2514</v>
      </c>
      <c r="BA94">
        <v>0</v>
      </c>
      <c r="BC94" t="s">
        <v>182</v>
      </c>
      <c r="BF94" t="s">
        <v>2515</v>
      </c>
    </row>
    <row r="95" spans="1:58" x14ac:dyDescent="0.35">
      <c r="A95" t="s">
        <v>2512</v>
      </c>
      <c r="B95">
        <v>10000</v>
      </c>
      <c r="C95">
        <v>20000</v>
      </c>
      <c r="D95" s="2">
        <v>45726</v>
      </c>
      <c r="E95" t="s">
        <v>61</v>
      </c>
      <c r="F95" t="s">
        <v>2351</v>
      </c>
      <c r="G95" t="s">
        <v>2513</v>
      </c>
      <c r="I95">
        <v>2</v>
      </c>
      <c r="J95" t="s">
        <v>63</v>
      </c>
      <c r="K95">
        <v>86</v>
      </c>
      <c r="L95" t="s">
        <v>64</v>
      </c>
      <c r="M95">
        <v>334</v>
      </c>
      <c r="P95" s="2">
        <v>45726</v>
      </c>
      <c r="R95">
        <v>21</v>
      </c>
      <c r="S95" s="4">
        <v>7014</v>
      </c>
      <c r="T95" t="s">
        <v>65</v>
      </c>
      <c r="U95">
        <v>200717140001</v>
      </c>
      <c r="V95">
        <v>0</v>
      </c>
      <c r="W95" s="4">
        <v>4000</v>
      </c>
      <c r="X95" s="4">
        <v>3014</v>
      </c>
      <c r="Y95">
        <v>0</v>
      </c>
      <c r="Z95">
        <v>0</v>
      </c>
      <c r="AA95">
        <v>0</v>
      </c>
      <c r="AD95">
        <v>0</v>
      </c>
      <c r="AM95">
        <v>20071714</v>
      </c>
      <c r="AN95" t="s">
        <v>182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2514</v>
      </c>
      <c r="BA95">
        <v>0</v>
      </c>
      <c r="BC95" t="s">
        <v>182</v>
      </c>
      <c r="BF95" t="s">
        <v>2515</v>
      </c>
    </row>
    <row r="100" spans="1:2" x14ac:dyDescent="0.35">
      <c r="A100">
        <f>COUNTA(A5:A99)</f>
        <v>91</v>
      </c>
      <c r="B100">
        <f>'8-Mar'!B50+'10-Mar'!A100</f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15A3-A4BC-41E6-90F7-5AFA10674F4B}">
  <dimension ref="A1:BF105"/>
  <sheetViews>
    <sheetView topLeftCell="A97" workbookViewId="0">
      <selection activeCell="A4" sqref="A4:XFD9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2516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2517</v>
      </c>
      <c r="B5">
        <v>10000</v>
      </c>
      <c r="C5">
        <v>10000</v>
      </c>
      <c r="D5" s="2">
        <v>45756</v>
      </c>
      <c r="E5" t="s">
        <v>61</v>
      </c>
      <c r="F5" t="s">
        <v>2518</v>
      </c>
      <c r="G5">
        <v>860909190840</v>
      </c>
      <c r="H5" t="s">
        <v>2519</v>
      </c>
      <c r="I5">
        <v>1</v>
      </c>
      <c r="J5" t="s">
        <v>69</v>
      </c>
      <c r="K5">
        <v>79</v>
      </c>
      <c r="L5" t="s">
        <v>573</v>
      </c>
      <c r="M5">
        <v>185</v>
      </c>
      <c r="P5" s="2">
        <v>45727</v>
      </c>
      <c r="R5">
        <v>38</v>
      </c>
      <c r="S5" s="4">
        <v>7034</v>
      </c>
      <c r="T5" t="s">
        <v>65</v>
      </c>
      <c r="U5">
        <v>200699050001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>
        <v>20069905</v>
      </c>
      <c r="AN5" t="s">
        <v>182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182</v>
      </c>
      <c r="BF5" t="s">
        <v>2520</v>
      </c>
    </row>
    <row r="6" spans="1:58" x14ac:dyDescent="0.35">
      <c r="A6" t="s">
        <v>2517</v>
      </c>
      <c r="B6">
        <v>20000</v>
      </c>
      <c r="C6">
        <v>10000</v>
      </c>
      <c r="D6" s="2">
        <v>45756</v>
      </c>
      <c r="E6" t="s">
        <v>61</v>
      </c>
      <c r="F6" t="s">
        <v>2518</v>
      </c>
      <c r="G6">
        <v>860909190840</v>
      </c>
      <c r="H6" t="s">
        <v>2519</v>
      </c>
      <c r="I6">
        <v>1</v>
      </c>
      <c r="J6" t="s">
        <v>69</v>
      </c>
      <c r="K6">
        <v>79</v>
      </c>
      <c r="L6" t="s">
        <v>573</v>
      </c>
      <c r="M6">
        <v>79</v>
      </c>
      <c r="P6" s="2">
        <v>45727</v>
      </c>
      <c r="R6">
        <v>38</v>
      </c>
      <c r="S6" s="4">
        <v>3000</v>
      </c>
      <c r="T6" t="s">
        <v>65</v>
      </c>
      <c r="U6">
        <v>200699050001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>
        <v>20069905</v>
      </c>
      <c r="AN6" t="s">
        <v>182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182</v>
      </c>
      <c r="BF6" t="s">
        <v>2520</v>
      </c>
    </row>
    <row r="7" spans="1:58" x14ac:dyDescent="0.35">
      <c r="A7" t="s">
        <v>2517</v>
      </c>
      <c r="B7">
        <v>30000</v>
      </c>
      <c r="C7">
        <v>10000</v>
      </c>
      <c r="D7" s="2">
        <v>45756</v>
      </c>
      <c r="E7" t="s">
        <v>61</v>
      </c>
      <c r="F7" t="s">
        <v>2518</v>
      </c>
      <c r="G7">
        <v>860909190840</v>
      </c>
      <c r="H7" t="s">
        <v>2519</v>
      </c>
      <c r="I7">
        <v>1</v>
      </c>
      <c r="J7" t="s">
        <v>69</v>
      </c>
      <c r="K7">
        <v>79</v>
      </c>
      <c r="L7" t="s">
        <v>573</v>
      </c>
      <c r="M7">
        <v>79</v>
      </c>
      <c r="P7" s="2">
        <v>45727</v>
      </c>
      <c r="R7">
        <v>38</v>
      </c>
      <c r="S7" s="4">
        <v>3000</v>
      </c>
      <c r="T7" t="s">
        <v>65</v>
      </c>
      <c r="U7">
        <v>200699050001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>
        <v>20069905</v>
      </c>
      <c r="AN7" t="s">
        <v>182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182</v>
      </c>
      <c r="BF7" t="s">
        <v>2520</v>
      </c>
    </row>
    <row r="8" spans="1:58" x14ac:dyDescent="0.35">
      <c r="A8" t="s">
        <v>2521</v>
      </c>
      <c r="B8">
        <v>10000</v>
      </c>
      <c r="C8">
        <v>10000</v>
      </c>
      <c r="D8" s="2">
        <v>45742</v>
      </c>
      <c r="E8" t="s">
        <v>61</v>
      </c>
      <c r="F8" t="s">
        <v>2522</v>
      </c>
      <c r="G8">
        <v>860909190840</v>
      </c>
      <c r="H8" t="s">
        <v>2519</v>
      </c>
      <c r="I8">
        <v>1</v>
      </c>
      <c r="J8" t="s">
        <v>69</v>
      </c>
      <c r="K8">
        <v>79</v>
      </c>
      <c r="L8" t="s">
        <v>573</v>
      </c>
      <c r="M8">
        <v>237</v>
      </c>
      <c r="P8" s="2">
        <v>45727</v>
      </c>
      <c r="R8">
        <v>38</v>
      </c>
      <c r="S8" s="4">
        <v>9012</v>
      </c>
      <c r="T8" t="s">
        <v>65</v>
      </c>
      <c r="U8">
        <v>200717160001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>
        <v>20071716</v>
      </c>
      <c r="AN8" t="s">
        <v>182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182</v>
      </c>
      <c r="BF8" t="s">
        <v>2523</v>
      </c>
    </row>
    <row r="9" spans="1:58" x14ac:dyDescent="0.35">
      <c r="A9" t="s">
        <v>2521</v>
      </c>
      <c r="B9">
        <v>20000</v>
      </c>
      <c r="C9">
        <v>10000</v>
      </c>
      <c r="D9" s="2">
        <v>45742</v>
      </c>
      <c r="E9" t="s">
        <v>61</v>
      </c>
      <c r="F9" t="s">
        <v>2522</v>
      </c>
      <c r="G9">
        <v>860909190840</v>
      </c>
      <c r="H9" t="s">
        <v>2519</v>
      </c>
      <c r="I9">
        <v>1</v>
      </c>
      <c r="J9" t="s">
        <v>69</v>
      </c>
      <c r="K9">
        <v>79</v>
      </c>
      <c r="L9" t="s">
        <v>573</v>
      </c>
      <c r="M9">
        <v>79</v>
      </c>
      <c r="P9" s="2">
        <v>45727</v>
      </c>
      <c r="R9">
        <v>38</v>
      </c>
      <c r="S9" s="4">
        <v>3000</v>
      </c>
      <c r="T9" t="s">
        <v>65</v>
      </c>
      <c r="U9">
        <v>200717160001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>
        <v>20071716</v>
      </c>
      <c r="AN9" t="s">
        <v>182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182</v>
      </c>
      <c r="BF9" t="s">
        <v>2523</v>
      </c>
    </row>
    <row r="10" spans="1:58" x14ac:dyDescent="0.35">
      <c r="A10" t="s">
        <v>2521</v>
      </c>
      <c r="B10">
        <v>30000</v>
      </c>
      <c r="C10">
        <v>10000</v>
      </c>
      <c r="D10" s="2">
        <v>45742</v>
      </c>
      <c r="E10" t="s">
        <v>61</v>
      </c>
      <c r="F10" t="s">
        <v>2522</v>
      </c>
      <c r="G10">
        <v>860909190840</v>
      </c>
      <c r="H10" t="s">
        <v>2519</v>
      </c>
      <c r="I10">
        <v>1</v>
      </c>
      <c r="J10" t="s">
        <v>69</v>
      </c>
      <c r="K10">
        <v>79</v>
      </c>
      <c r="L10" t="s">
        <v>573</v>
      </c>
      <c r="M10">
        <v>158</v>
      </c>
      <c r="P10" s="2">
        <v>45727</v>
      </c>
      <c r="R10">
        <v>38</v>
      </c>
      <c r="S10" s="4">
        <v>6000</v>
      </c>
      <c r="T10" t="s">
        <v>65</v>
      </c>
      <c r="U10">
        <v>200717160001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>
        <v>20071716</v>
      </c>
      <c r="AN10" t="s">
        <v>182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182</v>
      </c>
      <c r="BF10" t="s">
        <v>2523</v>
      </c>
    </row>
    <row r="11" spans="1:58" x14ac:dyDescent="0.35">
      <c r="A11" t="s">
        <v>2524</v>
      </c>
      <c r="B11">
        <v>10000</v>
      </c>
      <c r="C11">
        <v>20000</v>
      </c>
      <c r="D11" s="2">
        <v>45728</v>
      </c>
      <c r="E11" t="s">
        <v>61</v>
      </c>
      <c r="F11" t="s">
        <v>2525</v>
      </c>
      <c r="G11" t="s">
        <v>2526</v>
      </c>
      <c r="I11">
        <v>1</v>
      </c>
      <c r="J11" t="s">
        <v>63</v>
      </c>
      <c r="K11">
        <v>82</v>
      </c>
      <c r="L11" t="s">
        <v>341</v>
      </c>
      <c r="M11" s="4">
        <v>7353</v>
      </c>
      <c r="P11" s="2">
        <v>45727</v>
      </c>
      <c r="R11">
        <v>17</v>
      </c>
      <c r="S11" s="4">
        <v>125001</v>
      </c>
      <c r="T11" t="s">
        <v>65</v>
      </c>
      <c r="U11" t="s">
        <v>2527</v>
      </c>
      <c r="V11">
        <v>0</v>
      </c>
      <c r="W11" s="4">
        <v>125000</v>
      </c>
      <c r="X11">
        <v>1</v>
      </c>
      <c r="Y11">
        <v>0</v>
      </c>
      <c r="Z11">
        <v>0</v>
      </c>
      <c r="AA11">
        <v>0</v>
      </c>
      <c r="AD11">
        <v>0</v>
      </c>
      <c r="AM11" t="s">
        <v>2528</v>
      </c>
      <c r="AN11" t="s">
        <v>271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2529</v>
      </c>
      <c r="BA11">
        <v>0</v>
      </c>
      <c r="BC11" t="s">
        <v>271</v>
      </c>
      <c r="BF11" t="s">
        <v>2530</v>
      </c>
    </row>
    <row r="12" spans="1:58" x14ac:dyDescent="0.35">
      <c r="A12" t="s">
        <v>2531</v>
      </c>
      <c r="B12">
        <v>10000</v>
      </c>
      <c r="C12">
        <v>20000</v>
      </c>
      <c r="D12" s="2">
        <v>45727</v>
      </c>
      <c r="E12" t="s">
        <v>61</v>
      </c>
      <c r="F12" t="s">
        <v>2532</v>
      </c>
      <c r="G12" t="s">
        <v>2533</v>
      </c>
      <c r="I12">
        <v>2</v>
      </c>
      <c r="J12" t="s">
        <v>63</v>
      </c>
      <c r="K12">
        <v>82</v>
      </c>
      <c r="L12" t="s">
        <v>341</v>
      </c>
      <c r="M12" s="4">
        <v>7500</v>
      </c>
      <c r="P12" s="2">
        <v>45727</v>
      </c>
      <c r="R12">
        <v>8</v>
      </c>
      <c r="S12" s="4">
        <v>60000</v>
      </c>
      <c r="T12" t="s">
        <v>65</v>
      </c>
      <c r="U12" t="s">
        <v>2248</v>
      </c>
      <c r="V12">
        <v>0</v>
      </c>
      <c r="W12" s="4">
        <v>60000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2249</v>
      </c>
      <c r="AN12" t="s">
        <v>271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2534</v>
      </c>
      <c r="BA12">
        <v>0</v>
      </c>
      <c r="BC12" t="s">
        <v>271</v>
      </c>
      <c r="BF12" t="s">
        <v>2535</v>
      </c>
    </row>
    <row r="13" spans="1:58" x14ac:dyDescent="0.35">
      <c r="A13" t="s">
        <v>2536</v>
      </c>
      <c r="B13">
        <v>10000</v>
      </c>
      <c r="C13">
        <v>30000</v>
      </c>
      <c r="D13" s="2">
        <v>45727</v>
      </c>
      <c r="E13" t="s">
        <v>61</v>
      </c>
      <c r="F13" s="3">
        <v>0.47321759259259261</v>
      </c>
      <c r="G13" t="s">
        <v>2271</v>
      </c>
      <c r="I13">
        <v>1</v>
      </c>
      <c r="J13" t="s">
        <v>63</v>
      </c>
      <c r="K13">
        <v>94</v>
      </c>
      <c r="L13" t="s">
        <v>181</v>
      </c>
      <c r="M13" s="4">
        <v>4500</v>
      </c>
      <c r="P13" s="2">
        <v>45727</v>
      </c>
      <c r="R13">
        <v>4</v>
      </c>
      <c r="S13" s="4">
        <v>18000</v>
      </c>
      <c r="T13" t="s">
        <v>65</v>
      </c>
      <c r="U13" t="s">
        <v>2537</v>
      </c>
      <c r="V13">
        <v>0</v>
      </c>
      <c r="W13" s="4">
        <v>12000</v>
      </c>
      <c r="X13" s="4">
        <v>6000</v>
      </c>
      <c r="Y13">
        <v>0</v>
      </c>
      <c r="Z13">
        <v>0</v>
      </c>
      <c r="AA13">
        <v>0</v>
      </c>
      <c r="AD13">
        <v>0</v>
      </c>
      <c r="AM13" t="s">
        <v>2538</v>
      </c>
      <c r="AN13" t="s">
        <v>364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2539</v>
      </c>
      <c r="BA13">
        <v>0</v>
      </c>
      <c r="BC13" t="s">
        <v>364</v>
      </c>
      <c r="BF13" t="s">
        <v>2540</v>
      </c>
    </row>
    <row r="14" spans="1:58" x14ac:dyDescent="0.35">
      <c r="A14" t="s">
        <v>2541</v>
      </c>
      <c r="B14">
        <v>10000</v>
      </c>
      <c r="C14">
        <v>10000</v>
      </c>
      <c r="D14" s="2">
        <v>45727</v>
      </c>
      <c r="E14" t="s">
        <v>61</v>
      </c>
      <c r="F14" t="s">
        <v>2542</v>
      </c>
      <c r="G14" t="s">
        <v>2271</v>
      </c>
      <c r="I14">
        <v>1</v>
      </c>
      <c r="J14" t="s">
        <v>63</v>
      </c>
      <c r="K14">
        <v>94</v>
      </c>
      <c r="L14" t="s">
        <v>181</v>
      </c>
      <c r="M14" s="4">
        <v>9000</v>
      </c>
      <c r="P14" s="2">
        <v>45727</v>
      </c>
      <c r="R14">
        <v>4</v>
      </c>
      <c r="S14" s="4">
        <v>36000</v>
      </c>
      <c r="T14" t="s">
        <v>65</v>
      </c>
      <c r="U14" t="s">
        <v>2537</v>
      </c>
      <c r="V14">
        <v>0</v>
      </c>
      <c r="W14" s="4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2538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2543</v>
      </c>
      <c r="BA14">
        <v>0</v>
      </c>
      <c r="BC14" t="s">
        <v>364</v>
      </c>
      <c r="BF14" t="s">
        <v>2544</v>
      </c>
    </row>
    <row r="15" spans="1:58" x14ac:dyDescent="0.35">
      <c r="A15" t="s">
        <v>2545</v>
      </c>
      <c r="B15">
        <v>10000</v>
      </c>
      <c r="C15">
        <v>10000</v>
      </c>
      <c r="D15" s="2">
        <v>45728</v>
      </c>
      <c r="E15" t="s">
        <v>61</v>
      </c>
      <c r="F15" t="s">
        <v>2277</v>
      </c>
      <c r="G15" t="s">
        <v>2546</v>
      </c>
      <c r="I15">
        <v>1</v>
      </c>
      <c r="J15" t="s">
        <v>63</v>
      </c>
      <c r="K15">
        <v>60</v>
      </c>
      <c r="L15" t="s">
        <v>277</v>
      </c>
      <c r="M15" s="4">
        <v>2000</v>
      </c>
      <c r="P15" s="2">
        <v>45727</v>
      </c>
      <c r="R15">
        <v>1</v>
      </c>
      <c r="S15" s="4">
        <v>2000</v>
      </c>
      <c r="T15" t="s">
        <v>65</v>
      </c>
      <c r="U15" t="s">
        <v>2547</v>
      </c>
      <c r="V15">
        <v>0</v>
      </c>
      <c r="W15" s="4">
        <v>1000</v>
      </c>
      <c r="X15" s="4">
        <v>1000</v>
      </c>
      <c r="Y15">
        <v>0</v>
      </c>
      <c r="Z15">
        <v>0</v>
      </c>
      <c r="AA15">
        <v>0</v>
      </c>
      <c r="AD15">
        <v>0</v>
      </c>
      <c r="AM15" t="s">
        <v>2548</v>
      </c>
      <c r="AN15" t="s">
        <v>2549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2550</v>
      </c>
      <c r="BA15">
        <v>0</v>
      </c>
      <c r="BC15" t="s">
        <v>2549</v>
      </c>
      <c r="BF15" t="s">
        <v>2551</v>
      </c>
    </row>
    <row r="16" spans="1:58" x14ac:dyDescent="0.35">
      <c r="A16" t="s">
        <v>2552</v>
      </c>
      <c r="B16">
        <v>10000</v>
      </c>
      <c r="C16">
        <v>10000</v>
      </c>
      <c r="D16" s="2">
        <v>45730</v>
      </c>
      <c r="E16" t="s">
        <v>61</v>
      </c>
      <c r="F16" t="s">
        <v>2553</v>
      </c>
      <c r="G16" t="s">
        <v>89</v>
      </c>
      <c r="I16">
        <v>1</v>
      </c>
      <c r="J16" t="s">
        <v>63</v>
      </c>
      <c r="K16" t="s">
        <v>97</v>
      </c>
      <c r="L16" t="s">
        <v>98</v>
      </c>
      <c r="M16" s="4">
        <v>57000</v>
      </c>
      <c r="P16" s="2">
        <v>45727</v>
      </c>
      <c r="R16">
        <v>12</v>
      </c>
      <c r="S16" s="4">
        <v>684000</v>
      </c>
      <c r="T16" t="s">
        <v>65</v>
      </c>
      <c r="U16">
        <v>80256230001</v>
      </c>
      <c r="V16">
        <v>0</v>
      </c>
      <c r="W16" s="4">
        <v>684000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8025623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2554</v>
      </c>
      <c r="BA16">
        <v>0</v>
      </c>
      <c r="BC16" t="s">
        <v>91</v>
      </c>
      <c r="BF16" t="s">
        <v>2555</v>
      </c>
    </row>
    <row r="17" spans="1:58" x14ac:dyDescent="0.35">
      <c r="A17" t="s">
        <v>2556</v>
      </c>
      <c r="B17">
        <v>10000</v>
      </c>
      <c r="C17">
        <v>20000</v>
      </c>
      <c r="D17" s="2">
        <v>45728</v>
      </c>
      <c r="E17" t="s">
        <v>61</v>
      </c>
      <c r="F17" t="s">
        <v>2303</v>
      </c>
      <c r="G17" t="s">
        <v>1994</v>
      </c>
      <c r="I17">
        <v>1</v>
      </c>
      <c r="J17" t="s">
        <v>63</v>
      </c>
      <c r="K17">
        <v>65</v>
      </c>
      <c r="L17" t="s">
        <v>268</v>
      </c>
      <c r="M17" s="4">
        <v>24000</v>
      </c>
      <c r="P17" s="2">
        <v>45727</v>
      </c>
      <c r="R17">
        <v>1</v>
      </c>
      <c r="S17" s="4">
        <v>24000</v>
      </c>
      <c r="T17" t="s">
        <v>65</v>
      </c>
      <c r="U17" t="s">
        <v>2557</v>
      </c>
      <c r="V17">
        <v>0</v>
      </c>
      <c r="W17" s="4">
        <v>24000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2558</v>
      </c>
      <c r="AN17" t="s">
        <v>1424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2559</v>
      </c>
      <c r="BA17">
        <v>0</v>
      </c>
      <c r="BC17" t="s">
        <v>1424</v>
      </c>
      <c r="BF17" t="s">
        <v>2560</v>
      </c>
    </row>
    <row r="18" spans="1:58" x14ac:dyDescent="0.35">
      <c r="A18" t="s">
        <v>812</v>
      </c>
      <c r="B18">
        <v>10000</v>
      </c>
      <c r="C18">
        <v>40000</v>
      </c>
      <c r="D18" s="2">
        <v>45729</v>
      </c>
      <c r="E18" t="s">
        <v>61</v>
      </c>
      <c r="F18" t="s">
        <v>813</v>
      </c>
      <c r="G18">
        <v>10639931052</v>
      </c>
      <c r="I18">
        <v>3</v>
      </c>
      <c r="J18" t="s">
        <v>63</v>
      </c>
      <c r="K18">
        <v>85</v>
      </c>
      <c r="L18" t="s">
        <v>104</v>
      </c>
      <c r="M18" s="4">
        <v>7273</v>
      </c>
      <c r="P18" s="2">
        <v>45727</v>
      </c>
      <c r="R18">
        <v>11</v>
      </c>
      <c r="S18" s="4">
        <v>80003</v>
      </c>
      <c r="T18" t="s">
        <v>65</v>
      </c>
      <c r="U18" t="s">
        <v>814</v>
      </c>
      <c r="V18">
        <v>0</v>
      </c>
      <c r="W18" s="4">
        <v>70000</v>
      </c>
      <c r="X18" s="4">
        <v>10003</v>
      </c>
      <c r="Y18">
        <v>0</v>
      </c>
      <c r="Z18">
        <v>0</v>
      </c>
      <c r="AA18">
        <v>0</v>
      </c>
      <c r="AD18">
        <v>0</v>
      </c>
      <c r="AM18" t="s">
        <v>815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816</v>
      </c>
      <c r="BA18">
        <v>0</v>
      </c>
      <c r="BC18" t="s">
        <v>107</v>
      </c>
      <c r="BF18" t="s">
        <v>817</v>
      </c>
    </row>
    <row r="19" spans="1:58" x14ac:dyDescent="0.35">
      <c r="A19" t="s">
        <v>1689</v>
      </c>
      <c r="B19">
        <v>10000</v>
      </c>
      <c r="C19">
        <v>30000</v>
      </c>
      <c r="D19" s="2">
        <v>45727</v>
      </c>
      <c r="E19" t="s">
        <v>61</v>
      </c>
      <c r="F19" s="3">
        <v>0.47407407407407409</v>
      </c>
      <c r="G19">
        <v>10620258028</v>
      </c>
      <c r="I19">
        <v>3</v>
      </c>
      <c r="J19" t="s">
        <v>63</v>
      </c>
      <c r="K19">
        <v>85</v>
      </c>
      <c r="L19" t="s">
        <v>327</v>
      </c>
      <c r="M19" s="4">
        <v>10000</v>
      </c>
      <c r="P19" s="2">
        <v>45727</v>
      </c>
      <c r="R19">
        <v>11</v>
      </c>
      <c r="S19" s="4">
        <v>110000</v>
      </c>
      <c r="T19" t="s">
        <v>65</v>
      </c>
      <c r="U19" t="s">
        <v>1690</v>
      </c>
      <c r="V19">
        <v>0</v>
      </c>
      <c r="W19" s="4">
        <v>100000</v>
      </c>
      <c r="X19" s="4">
        <v>10000</v>
      </c>
      <c r="Y19">
        <v>0</v>
      </c>
      <c r="Z19">
        <v>0</v>
      </c>
      <c r="AA19">
        <v>0</v>
      </c>
      <c r="AD19">
        <v>0</v>
      </c>
      <c r="AM19" t="s">
        <v>1691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1692</v>
      </c>
      <c r="BA19">
        <v>0</v>
      </c>
      <c r="BC19" t="s">
        <v>107</v>
      </c>
      <c r="BF19" t="s">
        <v>1693</v>
      </c>
    </row>
    <row r="20" spans="1:58" x14ac:dyDescent="0.35">
      <c r="A20" t="s">
        <v>1694</v>
      </c>
      <c r="B20">
        <v>10000</v>
      </c>
      <c r="C20">
        <v>30000</v>
      </c>
      <c r="D20" s="2">
        <v>45727</v>
      </c>
      <c r="E20" t="s">
        <v>61</v>
      </c>
      <c r="F20" t="s">
        <v>1695</v>
      </c>
      <c r="G20">
        <v>10620258028</v>
      </c>
      <c r="I20">
        <v>3</v>
      </c>
      <c r="J20" t="s">
        <v>63</v>
      </c>
      <c r="K20">
        <v>85</v>
      </c>
      <c r="L20" t="s">
        <v>327</v>
      </c>
      <c r="M20" s="4">
        <v>10000</v>
      </c>
      <c r="P20" s="2">
        <v>45727</v>
      </c>
      <c r="R20">
        <v>11</v>
      </c>
      <c r="S20" s="4">
        <v>110000</v>
      </c>
      <c r="T20" t="s">
        <v>65</v>
      </c>
      <c r="U20" t="s">
        <v>784</v>
      </c>
      <c r="V20">
        <v>0</v>
      </c>
      <c r="W20" s="4">
        <v>100000</v>
      </c>
      <c r="X20" s="4">
        <v>10000</v>
      </c>
      <c r="Y20">
        <v>0</v>
      </c>
      <c r="Z20">
        <v>0</v>
      </c>
      <c r="AA20">
        <v>0</v>
      </c>
      <c r="AD20">
        <v>0</v>
      </c>
      <c r="AM20" t="s">
        <v>785</v>
      </c>
      <c r="AN20" t="s">
        <v>107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1696</v>
      </c>
      <c r="BA20">
        <v>0</v>
      </c>
      <c r="BC20" t="s">
        <v>107</v>
      </c>
      <c r="BF20" t="s">
        <v>1697</v>
      </c>
    </row>
    <row r="21" spans="1:58" x14ac:dyDescent="0.35">
      <c r="A21" t="s">
        <v>818</v>
      </c>
      <c r="B21">
        <v>10000</v>
      </c>
      <c r="C21">
        <v>40000</v>
      </c>
      <c r="D21" s="2">
        <v>45729</v>
      </c>
      <c r="E21" t="s">
        <v>61</v>
      </c>
      <c r="F21" t="s">
        <v>819</v>
      </c>
      <c r="G21">
        <v>10639931052</v>
      </c>
      <c r="I21">
        <v>3</v>
      </c>
      <c r="J21" t="s">
        <v>63</v>
      </c>
      <c r="K21">
        <v>85</v>
      </c>
      <c r="L21" t="s">
        <v>327</v>
      </c>
      <c r="M21" s="4">
        <v>8182</v>
      </c>
      <c r="P21" s="2">
        <v>45727</v>
      </c>
      <c r="R21">
        <v>11</v>
      </c>
      <c r="S21" s="4">
        <v>90002</v>
      </c>
      <c r="T21" t="s">
        <v>65</v>
      </c>
      <c r="U21" t="s">
        <v>820</v>
      </c>
      <c r="V21">
        <v>0</v>
      </c>
      <c r="W21" s="4">
        <v>80000</v>
      </c>
      <c r="X21" s="4">
        <v>10002</v>
      </c>
      <c r="Y21">
        <v>0</v>
      </c>
      <c r="Z21">
        <v>0</v>
      </c>
      <c r="AA21">
        <v>0</v>
      </c>
      <c r="AD21">
        <v>0</v>
      </c>
      <c r="AM21" t="s">
        <v>821</v>
      </c>
      <c r="AN21" t="s">
        <v>107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822</v>
      </c>
      <c r="BA21">
        <v>0</v>
      </c>
      <c r="BC21" t="s">
        <v>107</v>
      </c>
      <c r="BF21" t="s">
        <v>823</v>
      </c>
    </row>
    <row r="22" spans="1:58" x14ac:dyDescent="0.35">
      <c r="A22" t="s">
        <v>2561</v>
      </c>
      <c r="B22">
        <v>10000</v>
      </c>
      <c r="C22">
        <v>10000</v>
      </c>
      <c r="D22" s="2">
        <v>45730</v>
      </c>
      <c r="E22" t="s">
        <v>61</v>
      </c>
      <c r="F22" t="s">
        <v>2288</v>
      </c>
      <c r="G22" t="s">
        <v>2289</v>
      </c>
      <c r="I22">
        <v>1</v>
      </c>
      <c r="J22" t="s">
        <v>63</v>
      </c>
      <c r="K22">
        <v>78</v>
      </c>
      <c r="L22" t="s">
        <v>188</v>
      </c>
      <c r="M22" s="4">
        <v>5500</v>
      </c>
      <c r="P22" s="2">
        <v>45727</v>
      </c>
      <c r="R22">
        <v>16</v>
      </c>
      <c r="S22" s="4">
        <v>88000</v>
      </c>
      <c r="T22" t="s">
        <v>65</v>
      </c>
      <c r="U22" t="s">
        <v>1740</v>
      </c>
      <c r="V22">
        <v>0</v>
      </c>
      <c r="W22" s="4">
        <v>80000</v>
      </c>
      <c r="X22" s="4">
        <v>8000</v>
      </c>
      <c r="Y22">
        <v>0</v>
      </c>
      <c r="Z22">
        <v>0</v>
      </c>
      <c r="AA22">
        <v>0</v>
      </c>
      <c r="AD22">
        <v>0</v>
      </c>
      <c r="AM22" t="s">
        <v>1741</v>
      </c>
      <c r="AN22" t="s">
        <v>157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2562</v>
      </c>
      <c r="BA22">
        <v>0</v>
      </c>
      <c r="BC22" t="s">
        <v>157</v>
      </c>
      <c r="BF22" t="s">
        <v>2563</v>
      </c>
    </row>
    <row r="23" spans="1:58" x14ac:dyDescent="0.35">
      <c r="A23" t="s">
        <v>2564</v>
      </c>
      <c r="B23">
        <v>10000</v>
      </c>
      <c r="C23">
        <v>10000</v>
      </c>
      <c r="D23" s="2">
        <v>45727</v>
      </c>
      <c r="E23" t="s">
        <v>61</v>
      </c>
      <c r="F23" s="3">
        <v>0.43938657407407405</v>
      </c>
      <c r="G23" t="s">
        <v>2052</v>
      </c>
      <c r="I23">
        <v>1</v>
      </c>
      <c r="J23" t="s">
        <v>63</v>
      </c>
      <c r="K23">
        <v>59</v>
      </c>
      <c r="L23" t="s">
        <v>745</v>
      </c>
      <c r="M23">
        <v>373</v>
      </c>
      <c r="P23" s="2">
        <v>45727</v>
      </c>
      <c r="R23">
        <v>4</v>
      </c>
      <c r="S23" s="4">
        <v>1492</v>
      </c>
      <c r="T23" t="s">
        <v>65</v>
      </c>
      <c r="U23">
        <v>112888630001</v>
      </c>
      <c r="V23">
        <v>0</v>
      </c>
      <c r="W23" s="4">
        <v>1490</v>
      </c>
      <c r="X23">
        <v>2</v>
      </c>
      <c r="Y23">
        <v>0</v>
      </c>
      <c r="Z23">
        <v>0</v>
      </c>
      <c r="AA23">
        <v>0</v>
      </c>
      <c r="AD23">
        <v>0</v>
      </c>
      <c r="AM23">
        <v>11288863</v>
      </c>
      <c r="AN23" t="s">
        <v>182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2565</v>
      </c>
      <c r="BA23">
        <v>0</v>
      </c>
      <c r="BC23" t="s">
        <v>182</v>
      </c>
      <c r="BF23" t="s">
        <v>2566</v>
      </c>
    </row>
    <row r="24" spans="1:58" x14ac:dyDescent="0.35">
      <c r="A24" t="s">
        <v>2567</v>
      </c>
      <c r="B24">
        <v>10000</v>
      </c>
      <c r="C24">
        <v>10000</v>
      </c>
      <c r="D24" s="2">
        <v>45727</v>
      </c>
      <c r="E24" t="s">
        <v>61</v>
      </c>
      <c r="F24" t="s">
        <v>2568</v>
      </c>
      <c r="G24" t="s">
        <v>418</v>
      </c>
      <c r="I24">
        <v>1</v>
      </c>
      <c r="J24" t="s">
        <v>63</v>
      </c>
      <c r="K24">
        <v>59</v>
      </c>
      <c r="L24" t="s">
        <v>745</v>
      </c>
      <c r="M24">
        <v>200</v>
      </c>
      <c r="P24" s="2">
        <v>45727</v>
      </c>
      <c r="R24">
        <v>10</v>
      </c>
      <c r="S24" s="4">
        <v>2000</v>
      </c>
      <c r="T24" t="s">
        <v>65</v>
      </c>
      <c r="U24">
        <v>112063620001</v>
      </c>
      <c r="V24">
        <v>0</v>
      </c>
      <c r="W24" s="4">
        <v>2000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11206362</v>
      </c>
      <c r="AN24" t="s">
        <v>182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2569</v>
      </c>
      <c r="BA24">
        <v>0</v>
      </c>
      <c r="BC24" t="s">
        <v>182</v>
      </c>
      <c r="BF24" t="s">
        <v>2570</v>
      </c>
    </row>
    <row r="25" spans="1:58" x14ac:dyDescent="0.35">
      <c r="A25" t="s">
        <v>2567</v>
      </c>
      <c r="B25">
        <v>20000</v>
      </c>
      <c r="C25">
        <v>10000</v>
      </c>
      <c r="D25" s="2">
        <v>45727</v>
      </c>
      <c r="E25" t="s">
        <v>61</v>
      </c>
      <c r="F25" t="s">
        <v>2568</v>
      </c>
      <c r="G25" t="s">
        <v>418</v>
      </c>
      <c r="I25">
        <v>1</v>
      </c>
      <c r="J25" t="s">
        <v>63</v>
      </c>
      <c r="K25">
        <v>59</v>
      </c>
      <c r="L25" t="s">
        <v>745</v>
      </c>
      <c r="M25">
        <v>200</v>
      </c>
      <c r="P25" s="2">
        <v>45727</v>
      </c>
      <c r="R25">
        <v>10</v>
      </c>
      <c r="S25" s="4">
        <v>2000</v>
      </c>
      <c r="T25" t="s">
        <v>65</v>
      </c>
      <c r="U25">
        <v>112063620001</v>
      </c>
      <c r="V25">
        <v>0</v>
      </c>
      <c r="W25" s="4">
        <v>2000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11206362</v>
      </c>
      <c r="AN25" t="s">
        <v>182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2569</v>
      </c>
      <c r="BA25">
        <v>0</v>
      </c>
      <c r="BC25" t="s">
        <v>182</v>
      </c>
      <c r="BF25" t="s">
        <v>2570</v>
      </c>
    </row>
    <row r="26" spans="1:58" x14ac:dyDescent="0.35">
      <c r="A26" t="s">
        <v>2567</v>
      </c>
      <c r="B26">
        <v>30000</v>
      </c>
      <c r="C26">
        <v>10000</v>
      </c>
      <c r="D26" s="2">
        <v>45727</v>
      </c>
      <c r="E26" t="s">
        <v>61</v>
      </c>
      <c r="F26" t="s">
        <v>2568</v>
      </c>
      <c r="G26" t="s">
        <v>418</v>
      </c>
      <c r="I26">
        <v>1</v>
      </c>
      <c r="J26" t="s">
        <v>63</v>
      </c>
      <c r="K26">
        <v>59</v>
      </c>
      <c r="L26" t="s">
        <v>745</v>
      </c>
      <c r="M26">
        <v>200</v>
      </c>
      <c r="P26" s="2">
        <v>45727</v>
      </c>
      <c r="R26">
        <v>10</v>
      </c>
      <c r="S26" s="4">
        <v>2000</v>
      </c>
      <c r="T26" t="s">
        <v>65</v>
      </c>
      <c r="U26">
        <v>112063620001</v>
      </c>
      <c r="V26">
        <v>0</v>
      </c>
      <c r="W26" s="4">
        <v>2000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11206362</v>
      </c>
      <c r="AN26" t="s">
        <v>182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2569</v>
      </c>
      <c r="BA26">
        <v>0</v>
      </c>
      <c r="BC26" t="s">
        <v>182</v>
      </c>
      <c r="BF26" t="s">
        <v>2570</v>
      </c>
    </row>
    <row r="27" spans="1:58" x14ac:dyDescent="0.35">
      <c r="A27" t="s">
        <v>2571</v>
      </c>
      <c r="B27">
        <v>10000</v>
      </c>
      <c r="C27">
        <v>10000</v>
      </c>
      <c r="D27" s="2">
        <v>45727</v>
      </c>
      <c r="E27" t="s">
        <v>61</v>
      </c>
      <c r="F27" t="s">
        <v>2572</v>
      </c>
      <c r="G27" t="s">
        <v>418</v>
      </c>
      <c r="I27">
        <v>1</v>
      </c>
      <c r="J27" t="s">
        <v>63</v>
      </c>
      <c r="K27">
        <v>59</v>
      </c>
      <c r="L27" t="s">
        <v>745</v>
      </c>
      <c r="M27">
        <v>200</v>
      </c>
      <c r="P27" s="2">
        <v>45727</v>
      </c>
      <c r="R27">
        <v>10</v>
      </c>
      <c r="S27" s="4">
        <v>2000</v>
      </c>
      <c r="T27" t="s">
        <v>65</v>
      </c>
      <c r="U27">
        <v>112026100001</v>
      </c>
      <c r="V27">
        <v>0</v>
      </c>
      <c r="W27" s="4">
        <v>2000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11202610</v>
      </c>
      <c r="AN27" t="s">
        <v>182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2573</v>
      </c>
      <c r="BA27">
        <v>0</v>
      </c>
      <c r="BC27" t="s">
        <v>182</v>
      </c>
      <c r="BF27" t="s">
        <v>2574</v>
      </c>
    </row>
    <row r="28" spans="1:58" x14ac:dyDescent="0.35">
      <c r="A28" t="s">
        <v>2575</v>
      </c>
      <c r="B28">
        <v>10000</v>
      </c>
      <c r="C28">
        <v>10000</v>
      </c>
      <c r="D28" s="2">
        <v>45727</v>
      </c>
      <c r="E28" t="s">
        <v>61</v>
      </c>
      <c r="F28" t="s">
        <v>2576</v>
      </c>
      <c r="G28" t="s">
        <v>1773</v>
      </c>
      <c r="I28">
        <v>1</v>
      </c>
      <c r="J28" t="s">
        <v>63</v>
      </c>
      <c r="K28">
        <v>32</v>
      </c>
      <c r="L28" t="s">
        <v>553</v>
      </c>
      <c r="M28" s="4">
        <v>5860</v>
      </c>
      <c r="P28" s="2">
        <v>45727</v>
      </c>
      <c r="R28">
        <v>1</v>
      </c>
      <c r="S28" s="4">
        <v>5860</v>
      </c>
      <c r="T28" t="s">
        <v>65</v>
      </c>
      <c r="U28" t="s">
        <v>2199</v>
      </c>
      <c r="V28">
        <v>0</v>
      </c>
      <c r="W28" s="4">
        <v>5360</v>
      </c>
      <c r="X28">
        <v>500</v>
      </c>
      <c r="Y28">
        <v>0</v>
      </c>
      <c r="Z28">
        <v>0</v>
      </c>
      <c r="AA28">
        <v>0</v>
      </c>
      <c r="AD28">
        <v>0</v>
      </c>
      <c r="AM28" t="s">
        <v>2200</v>
      </c>
      <c r="AN28" t="s">
        <v>116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2577</v>
      </c>
      <c r="BA28">
        <v>0</v>
      </c>
      <c r="BC28" t="s">
        <v>116</v>
      </c>
      <c r="BF28" t="s">
        <v>1288</v>
      </c>
    </row>
    <row r="29" spans="1:58" x14ac:dyDescent="0.35">
      <c r="A29" t="s">
        <v>2578</v>
      </c>
      <c r="B29">
        <v>10000</v>
      </c>
      <c r="C29">
        <v>10000</v>
      </c>
      <c r="D29" s="2">
        <v>45727</v>
      </c>
      <c r="E29" t="s">
        <v>61</v>
      </c>
      <c r="F29" t="s">
        <v>2576</v>
      </c>
      <c r="G29" t="s">
        <v>1773</v>
      </c>
      <c r="I29">
        <v>1</v>
      </c>
      <c r="J29" t="s">
        <v>63</v>
      </c>
      <c r="K29">
        <v>32</v>
      </c>
      <c r="L29" t="s">
        <v>553</v>
      </c>
      <c r="M29" s="4">
        <v>5860</v>
      </c>
      <c r="P29" s="2">
        <v>45727</v>
      </c>
      <c r="R29">
        <v>1</v>
      </c>
      <c r="S29" s="4">
        <v>5860</v>
      </c>
      <c r="T29" t="s">
        <v>65</v>
      </c>
      <c r="U29" t="s">
        <v>2199</v>
      </c>
      <c r="V29">
        <v>0</v>
      </c>
      <c r="W29" s="4">
        <v>5360</v>
      </c>
      <c r="X29">
        <v>500</v>
      </c>
      <c r="Y29">
        <v>0</v>
      </c>
      <c r="Z29">
        <v>0</v>
      </c>
      <c r="AA29">
        <v>0</v>
      </c>
      <c r="AD29">
        <v>0</v>
      </c>
      <c r="AM29" t="s">
        <v>2200</v>
      </c>
      <c r="AN29" t="s">
        <v>116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2579</v>
      </c>
      <c r="BA29">
        <v>0</v>
      </c>
      <c r="BC29" t="s">
        <v>116</v>
      </c>
      <c r="BF29" t="s">
        <v>1291</v>
      </c>
    </row>
    <row r="30" spans="1:58" x14ac:dyDescent="0.35">
      <c r="A30" t="s">
        <v>2580</v>
      </c>
      <c r="B30">
        <v>10000</v>
      </c>
      <c r="C30">
        <v>10000</v>
      </c>
      <c r="D30" s="2">
        <v>45735</v>
      </c>
      <c r="E30" t="s">
        <v>61</v>
      </c>
      <c r="F30" t="s">
        <v>2581</v>
      </c>
      <c r="G30" t="s">
        <v>2582</v>
      </c>
      <c r="I30">
        <v>1</v>
      </c>
      <c r="J30" t="s">
        <v>63</v>
      </c>
      <c r="K30">
        <v>103</v>
      </c>
      <c r="L30" t="s">
        <v>1986</v>
      </c>
      <c r="M30" s="4">
        <v>31875</v>
      </c>
      <c r="P30" s="2">
        <v>45727</v>
      </c>
      <c r="R30">
        <v>8</v>
      </c>
      <c r="S30" s="4">
        <v>255000</v>
      </c>
      <c r="T30" t="s">
        <v>65</v>
      </c>
      <c r="U30" t="s">
        <v>319</v>
      </c>
      <c r="V30">
        <v>0</v>
      </c>
      <c r="W30" s="4">
        <v>254986</v>
      </c>
      <c r="X30">
        <v>14</v>
      </c>
      <c r="Y30">
        <v>0</v>
      </c>
      <c r="Z30">
        <v>0</v>
      </c>
      <c r="AA30">
        <v>0</v>
      </c>
      <c r="AD30">
        <v>0</v>
      </c>
      <c r="AM30" t="s">
        <v>320</v>
      </c>
      <c r="AN30" t="s">
        <v>321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2583</v>
      </c>
      <c r="BA30">
        <v>0</v>
      </c>
      <c r="BC30" t="s">
        <v>321</v>
      </c>
      <c r="BF30" t="s">
        <v>2584</v>
      </c>
    </row>
    <row r="31" spans="1:58" x14ac:dyDescent="0.35">
      <c r="A31" t="s">
        <v>2580</v>
      </c>
      <c r="B31">
        <v>10000</v>
      </c>
      <c r="C31">
        <v>20000</v>
      </c>
      <c r="D31" s="2">
        <v>45735</v>
      </c>
      <c r="E31" t="s">
        <v>61</v>
      </c>
      <c r="F31" t="s">
        <v>2581</v>
      </c>
      <c r="G31" t="s">
        <v>2582</v>
      </c>
      <c r="I31">
        <v>1</v>
      </c>
      <c r="J31" t="s">
        <v>63</v>
      </c>
      <c r="K31" t="s">
        <v>317</v>
      </c>
      <c r="L31" t="s">
        <v>732</v>
      </c>
      <c r="M31" s="4">
        <v>37500</v>
      </c>
      <c r="P31" s="2">
        <v>45727</v>
      </c>
      <c r="R31">
        <v>8</v>
      </c>
      <c r="S31" s="4">
        <v>300000</v>
      </c>
      <c r="T31" t="s">
        <v>65</v>
      </c>
      <c r="U31" t="s">
        <v>319</v>
      </c>
      <c r="V31">
        <v>0</v>
      </c>
      <c r="W31" s="4">
        <v>299983</v>
      </c>
      <c r="X31">
        <v>17</v>
      </c>
      <c r="Y31">
        <v>0</v>
      </c>
      <c r="Z31">
        <v>0</v>
      </c>
      <c r="AA31">
        <v>0</v>
      </c>
      <c r="AD31">
        <v>0</v>
      </c>
      <c r="AM31" t="s">
        <v>320</v>
      </c>
      <c r="AN31" t="s">
        <v>321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2583</v>
      </c>
      <c r="BA31">
        <v>0</v>
      </c>
      <c r="BC31" t="s">
        <v>321</v>
      </c>
      <c r="BF31" t="s">
        <v>2584</v>
      </c>
    </row>
    <row r="32" spans="1:58" x14ac:dyDescent="0.35">
      <c r="A32" t="s">
        <v>2585</v>
      </c>
      <c r="B32">
        <v>10000</v>
      </c>
      <c r="C32">
        <v>10000</v>
      </c>
      <c r="D32" s="2">
        <v>45727</v>
      </c>
      <c r="E32" t="s">
        <v>61</v>
      </c>
      <c r="F32" s="3">
        <v>0.48379629629629628</v>
      </c>
      <c r="G32" t="s">
        <v>2052</v>
      </c>
      <c r="I32">
        <v>1</v>
      </c>
      <c r="J32" t="s">
        <v>63</v>
      </c>
      <c r="K32">
        <v>59</v>
      </c>
      <c r="L32" t="s">
        <v>745</v>
      </c>
      <c r="M32">
        <v>745</v>
      </c>
      <c r="P32" s="2">
        <v>45727</v>
      </c>
      <c r="R32">
        <v>4</v>
      </c>
      <c r="S32" s="4">
        <v>2980</v>
      </c>
      <c r="T32" t="s">
        <v>65</v>
      </c>
      <c r="U32">
        <v>112966280001</v>
      </c>
      <c r="V32">
        <v>0</v>
      </c>
      <c r="W32" s="4">
        <v>2980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11296628</v>
      </c>
      <c r="AN32" t="s">
        <v>182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2586</v>
      </c>
      <c r="BA32">
        <v>0</v>
      </c>
      <c r="BC32" t="s">
        <v>182</v>
      </c>
      <c r="BF32" t="s">
        <v>2587</v>
      </c>
    </row>
    <row r="33" spans="1:58" x14ac:dyDescent="0.35">
      <c r="A33" t="s">
        <v>2588</v>
      </c>
      <c r="B33">
        <v>10000</v>
      </c>
      <c r="C33">
        <v>10000</v>
      </c>
      <c r="D33" s="2">
        <v>45729</v>
      </c>
      <c r="E33" t="s">
        <v>61</v>
      </c>
      <c r="F33" t="s">
        <v>2589</v>
      </c>
      <c r="G33" t="s">
        <v>2590</v>
      </c>
      <c r="I33">
        <v>1</v>
      </c>
      <c r="J33" t="s">
        <v>63</v>
      </c>
      <c r="K33">
        <v>71</v>
      </c>
      <c r="L33" t="s">
        <v>135</v>
      </c>
      <c r="M33" s="4">
        <v>28667</v>
      </c>
      <c r="P33" s="2">
        <v>45727</v>
      </c>
      <c r="R33">
        <v>6</v>
      </c>
      <c r="S33" s="4">
        <v>172002</v>
      </c>
      <c r="T33" t="s">
        <v>65</v>
      </c>
      <c r="U33" t="s">
        <v>1026</v>
      </c>
      <c r="V33">
        <v>0</v>
      </c>
      <c r="W33" s="4">
        <v>171999</v>
      </c>
      <c r="X33">
        <v>3</v>
      </c>
      <c r="Y33">
        <v>0</v>
      </c>
      <c r="Z33">
        <v>0</v>
      </c>
      <c r="AA33">
        <v>0</v>
      </c>
      <c r="AD33">
        <v>0</v>
      </c>
      <c r="AM33" t="s">
        <v>1027</v>
      </c>
      <c r="AN33" t="s">
        <v>1253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2591</v>
      </c>
      <c r="BA33">
        <v>0</v>
      </c>
      <c r="BC33" t="s">
        <v>1253</v>
      </c>
      <c r="BF33" t="s">
        <v>2592</v>
      </c>
    </row>
    <row r="34" spans="1:58" x14ac:dyDescent="0.35">
      <c r="A34" t="s">
        <v>949</v>
      </c>
      <c r="B34">
        <v>10000</v>
      </c>
      <c r="C34">
        <v>20000</v>
      </c>
      <c r="D34" s="2">
        <v>45729</v>
      </c>
      <c r="E34" t="s">
        <v>61</v>
      </c>
      <c r="F34" t="s">
        <v>950</v>
      </c>
      <c r="G34">
        <v>10639931049</v>
      </c>
      <c r="I34">
        <v>2</v>
      </c>
      <c r="J34" t="s">
        <v>63</v>
      </c>
      <c r="K34">
        <v>77</v>
      </c>
      <c r="L34" t="s">
        <v>127</v>
      </c>
      <c r="M34" s="4">
        <v>2697</v>
      </c>
      <c r="P34" s="2">
        <v>45727</v>
      </c>
      <c r="R34">
        <v>66</v>
      </c>
      <c r="S34" s="4">
        <v>178002</v>
      </c>
      <c r="T34" t="s">
        <v>65</v>
      </c>
      <c r="U34" t="s">
        <v>951</v>
      </c>
      <c r="V34">
        <v>0</v>
      </c>
      <c r="W34" s="4">
        <v>160000</v>
      </c>
      <c r="X34" s="4">
        <v>18002</v>
      </c>
      <c r="Y34">
        <v>0</v>
      </c>
      <c r="Z34">
        <v>0</v>
      </c>
      <c r="AA34">
        <v>0</v>
      </c>
      <c r="AD34">
        <v>0</v>
      </c>
      <c r="AM34" t="s">
        <v>952</v>
      </c>
      <c r="AN34" t="s">
        <v>107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953</v>
      </c>
      <c r="BA34">
        <v>0</v>
      </c>
      <c r="BC34" t="s">
        <v>107</v>
      </c>
      <c r="BF34" t="s">
        <v>954</v>
      </c>
    </row>
    <row r="35" spans="1:58" x14ac:dyDescent="0.35">
      <c r="A35" t="s">
        <v>955</v>
      </c>
      <c r="B35">
        <v>10000</v>
      </c>
      <c r="C35">
        <v>30000</v>
      </c>
      <c r="D35" s="2">
        <v>45734</v>
      </c>
      <c r="E35" t="s">
        <v>61</v>
      </c>
      <c r="F35" t="s">
        <v>956</v>
      </c>
      <c r="G35">
        <v>10639931051</v>
      </c>
      <c r="I35">
        <v>3</v>
      </c>
      <c r="J35" t="s">
        <v>63</v>
      </c>
      <c r="K35">
        <v>85</v>
      </c>
      <c r="L35" t="s">
        <v>327</v>
      </c>
      <c r="M35" s="4">
        <v>1819</v>
      </c>
      <c r="P35" s="2">
        <v>45727</v>
      </c>
      <c r="R35">
        <v>11</v>
      </c>
      <c r="S35" s="4">
        <v>20009</v>
      </c>
      <c r="T35" t="s">
        <v>65</v>
      </c>
      <c r="U35" t="s">
        <v>957</v>
      </c>
      <c r="V35">
        <v>0</v>
      </c>
      <c r="W35" s="4">
        <v>20000</v>
      </c>
      <c r="X35">
        <v>9</v>
      </c>
      <c r="Y35">
        <v>0</v>
      </c>
      <c r="Z35">
        <v>0</v>
      </c>
      <c r="AA35">
        <v>0</v>
      </c>
      <c r="AD35">
        <v>0</v>
      </c>
      <c r="AM35" t="s">
        <v>958</v>
      </c>
      <c r="AN35" t="s">
        <v>107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959</v>
      </c>
      <c r="BA35">
        <v>0</v>
      </c>
      <c r="BC35" t="s">
        <v>107</v>
      </c>
      <c r="BF35" t="s">
        <v>960</v>
      </c>
    </row>
    <row r="36" spans="1:58" x14ac:dyDescent="0.35">
      <c r="A36" t="s">
        <v>961</v>
      </c>
      <c r="B36">
        <v>10000</v>
      </c>
      <c r="C36">
        <v>20000</v>
      </c>
      <c r="D36" s="2">
        <v>45733</v>
      </c>
      <c r="E36" t="s">
        <v>61</v>
      </c>
      <c r="F36" t="s">
        <v>962</v>
      </c>
      <c r="G36" t="s">
        <v>963</v>
      </c>
      <c r="I36">
        <v>2</v>
      </c>
      <c r="J36" t="s">
        <v>63</v>
      </c>
      <c r="K36">
        <v>77</v>
      </c>
      <c r="L36" t="s">
        <v>127</v>
      </c>
      <c r="M36" s="4">
        <v>1455</v>
      </c>
      <c r="P36" s="2">
        <v>45727</v>
      </c>
      <c r="R36">
        <v>66</v>
      </c>
      <c r="S36" s="4">
        <v>96030</v>
      </c>
      <c r="T36" t="s">
        <v>65</v>
      </c>
      <c r="U36" t="s">
        <v>964</v>
      </c>
      <c r="V36">
        <v>0</v>
      </c>
      <c r="W36" s="4">
        <v>80000</v>
      </c>
      <c r="X36" s="4">
        <v>16030</v>
      </c>
      <c r="Y36">
        <v>0</v>
      </c>
      <c r="Z36">
        <v>0</v>
      </c>
      <c r="AA36">
        <v>0</v>
      </c>
      <c r="AD36">
        <v>0</v>
      </c>
      <c r="AM36" t="s">
        <v>965</v>
      </c>
      <c r="AN36" t="s">
        <v>107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966</v>
      </c>
      <c r="BA36">
        <v>0</v>
      </c>
      <c r="BC36" t="s">
        <v>107</v>
      </c>
      <c r="BF36" t="s">
        <v>967</v>
      </c>
    </row>
    <row r="37" spans="1:58" x14ac:dyDescent="0.35">
      <c r="A37" t="s">
        <v>968</v>
      </c>
      <c r="B37">
        <v>10000</v>
      </c>
      <c r="C37">
        <v>30000</v>
      </c>
      <c r="D37" s="2">
        <v>45729</v>
      </c>
      <c r="E37" t="s">
        <v>61</v>
      </c>
      <c r="F37" t="s">
        <v>969</v>
      </c>
      <c r="G37">
        <v>10639931050</v>
      </c>
      <c r="I37">
        <v>3</v>
      </c>
      <c r="J37" t="s">
        <v>63</v>
      </c>
      <c r="K37">
        <v>85</v>
      </c>
      <c r="L37" t="s">
        <v>327</v>
      </c>
      <c r="M37" s="4">
        <v>15910</v>
      </c>
      <c r="P37" s="2">
        <v>45727</v>
      </c>
      <c r="R37">
        <v>11</v>
      </c>
      <c r="S37" s="4">
        <v>175010</v>
      </c>
      <c r="T37" t="s">
        <v>65</v>
      </c>
      <c r="U37" t="s">
        <v>970</v>
      </c>
      <c r="V37">
        <v>0</v>
      </c>
      <c r="W37" s="4">
        <v>180000</v>
      </c>
      <c r="X37" s="4">
        <v>-4990</v>
      </c>
      <c r="Y37">
        <v>0</v>
      </c>
      <c r="Z37">
        <v>0</v>
      </c>
      <c r="AA37">
        <v>0</v>
      </c>
      <c r="AD37">
        <v>0</v>
      </c>
      <c r="AM37" t="s">
        <v>971</v>
      </c>
      <c r="AN37" t="s">
        <v>107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972</v>
      </c>
      <c r="BA37">
        <v>0</v>
      </c>
      <c r="BC37" t="s">
        <v>107</v>
      </c>
      <c r="BF37" t="s">
        <v>973</v>
      </c>
    </row>
    <row r="38" spans="1:58" x14ac:dyDescent="0.35">
      <c r="A38" t="s">
        <v>2593</v>
      </c>
      <c r="B38">
        <v>10000</v>
      </c>
      <c r="C38">
        <v>10000</v>
      </c>
      <c r="D38" s="2">
        <v>45730</v>
      </c>
      <c r="E38" t="s">
        <v>61</v>
      </c>
      <c r="F38" t="s">
        <v>2288</v>
      </c>
      <c r="G38" t="s">
        <v>2289</v>
      </c>
      <c r="I38">
        <v>1</v>
      </c>
      <c r="J38" t="s">
        <v>63</v>
      </c>
      <c r="K38">
        <v>78</v>
      </c>
      <c r="L38" t="s">
        <v>188</v>
      </c>
      <c r="M38" s="4">
        <v>2750</v>
      </c>
      <c r="P38" s="2">
        <v>45727</v>
      </c>
      <c r="R38">
        <v>16</v>
      </c>
      <c r="S38" s="4">
        <v>44000</v>
      </c>
      <c r="T38" t="s">
        <v>65</v>
      </c>
      <c r="U38" t="s">
        <v>2594</v>
      </c>
      <c r="V38">
        <v>0</v>
      </c>
      <c r="W38" s="4">
        <v>40000</v>
      </c>
      <c r="X38" s="4">
        <v>4000</v>
      </c>
      <c r="Y38">
        <v>0</v>
      </c>
      <c r="Z38">
        <v>0</v>
      </c>
      <c r="AA38">
        <v>0</v>
      </c>
      <c r="AD38">
        <v>0</v>
      </c>
      <c r="AM38" t="s">
        <v>2595</v>
      </c>
      <c r="AN38" t="s">
        <v>175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2596</v>
      </c>
      <c r="BA38">
        <v>0</v>
      </c>
      <c r="BC38" t="s">
        <v>175</v>
      </c>
      <c r="BF38" t="s">
        <v>2597</v>
      </c>
    </row>
    <row r="39" spans="1:58" x14ac:dyDescent="0.35">
      <c r="A39" t="s">
        <v>2598</v>
      </c>
      <c r="B39">
        <v>10000</v>
      </c>
      <c r="C39">
        <v>10000</v>
      </c>
      <c r="D39" s="2">
        <v>45730</v>
      </c>
      <c r="E39" t="s">
        <v>61</v>
      </c>
      <c r="F39" t="s">
        <v>2288</v>
      </c>
      <c r="G39" t="s">
        <v>2289</v>
      </c>
      <c r="I39">
        <v>1</v>
      </c>
      <c r="J39" t="s">
        <v>63</v>
      </c>
      <c r="K39">
        <v>78</v>
      </c>
      <c r="L39" t="s">
        <v>188</v>
      </c>
      <c r="M39" s="4">
        <v>2750</v>
      </c>
      <c r="P39" s="2">
        <v>45727</v>
      </c>
      <c r="R39">
        <v>16</v>
      </c>
      <c r="S39" s="4">
        <v>44000</v>
      </c>
      <c r="T39" t="s">
        <v>65</v>
      </c>
      <c r="U39" t="s">
        <v>1740</v>
      </c>
      <c r="V39">
        <v>0</v>
      </c>
      <c r="W39" s="4">
        <v>40000</v>
      </c>
      <c r="X39" s="4">
        <v>4000</v>
      </c>
      <c r="Y39">
        <v>0</v>
      </c>
      <c r="Z39">
        <v>0</v>
      </c>
      <c r="AA39">
        <v>0</v>
      </c>
      <c r="AD39">
        <v>0</v>
      </c>
      <c r="AM39" t="s">
        <v>1741</v>
      </c>
      <c r="AN39" t="s">
        <v>175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2599</v>
      </c>
      <c r="BA39">
        <v>0</v>
      </c>
      <c r="BC39" t="s">
        <v>175</v>
      </c>
      <c r="BF39" t="s">
        <v>2600</v>
      </c>
    </row>
    <row r="40" spans="1:58" x14ac:dyDescent="0.35">
      <c r="A40" t="s">
        <v>1839</v>
      </c>
      <c r="B40">
        <v>10000</v>
      </c>
      <c r="C40">
        <v>20000</v>
      </c>
      <c r="D40" s="2">
        <v>45728</v>
      </c>
      <c r="E40" t="s">
        <v>61</v>
      </c>
      <c r="F40" s="3">
        <v>0.46938657407407408</v>
      </c>
      <c r="G40" t="s">
        <v>1840</v>
      </c>
      <c r="I40">
        <v>2</v>
      </c>
      <c r="J40" t="s">
        <v>63</v>
      </c>
      <c r="K40">
        <v>105</v>
      </c>
      <c r="L40" t="s">
        <v>424</v>
      </c>
      <c r="M40">
        <v>550</v>
      </c>
      <c r="P40" s="2">
        <v>45727</v>
      </c>
      <c r="R40">
        <v>1</v>
      </c>
      <c r="S40">
        <v>550</v>
      </c>
      <c r="T40" t="s">
        <v>65</v>
      </c>
      <c r="U40">
        <v>10104870001</v>
      </c>
      <c r="V40">
        <v>0</v>
      </c>
      <c r="W40">
        <v>500</v>
      </c>
      <c r="X40">
        <v>50</v>
      </c>
      <c r="Y40">
        <v>0</v>
      </c>
      <c r="Z40">
        <v>0</v>
      </c>
      <c r="AA40">
        <v>0</v>
      </c>
      <c r="AD40">
        <v>0</v>
      </c>
      <c r="AM40">
        <v>1010487</v>
      </c>
      <c r="AN40" t="s">
        <v>1841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1842</v>
      </c>
      <c r="BA40">
        <v>0</v>
      </c>
      <c r="BC40" t="s">
        <v>1841</v>
      </c>
      <c r="BF40" t="s">
        <v>1843</v>
      </c>
    </row>
    <row r="41" spans="1:58" x14ac:dyDescent="0.35">
      <c r="A41" t="s">
        <v>609</v>
      </c>
      <c r="B41">
        <v>10000</v>
      </c>
      <c r="C41">
        <v>20000</v>
      </c>
      <c r="D41" s="2">
        <v>45730</v>
      </c>
      <c r="E41" t="s">
        <v>61</v>
      </c>
      <c r="F41" t="s">
        <v>610</v>
      </c>
      <c r="G41">
        <v>10639931002</v>
      </c>
      <c r="I41">
        <v>2</v>
      </c>
      <c r="J41" t="s">
        <v>63</v>
      </c>
      <c r="K41">
        <v>77</v>
      </c>
      <c r="L41" t="s">
        <v>127</v>
      </c>
      <c r="M41" s="4">
        <v>4410</v>
      </c>
      <c r="P41" s="2">
        <v>45727</v>
      </c>
      <c r="R41">
        <v>66</v>
      </c>
      <c r="S41" s="4">
        <v>291060</v>
      </c>
      <c r="T41" t="s">
        <v>65</v>
      </c>
      <c r="U41" t="s">
        <v>611</v>
      </c>
      <c r="V41">
        <v>0</v>
      </c>
      <c r="W41" s="4">
        <v>260000</v>
      </c>
      <c r="X41" s="4">
        <v>31060</v>
      </c>
      <c r="Y41">
        <v>0</v>
      </c>
      <c r="Z41">
        <v>0</v>
      </c>
      <c r="AA41">
        <v>0</v>
      </c>
      <c r="AD41">
        <v>0</v>
      </c>
      <c r="AM41" t="s">
        <v>612</v>
      </c>
      <c r="AN41" t="s">
        <v>107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613</v>
      </c>
      <c r="BA41">
        <v>0</v>
      </c>
      <c r="BC41" t="s">
        <v>107</v>
      </c>
      <c r="BF41" t="s">
        <v>614</v>
      </c>
    </row>
    <row r="42" spans="1:58" x14ac:dyDescent="0.35">
      <c r="A42" t="s">
        <v>664</v>
      </c>
      <c r="B42">
        <v>10000</v>
      </c>
      <c r="C42">
        <v>30000</v>
      </c>
      <c r="D42" s="2">
        <v>45734</v>
      </c>
      <c r="E42" t="s">
        <v>61</v>
      </c>
      <c r="F42" t="s">
        <v>665</v>
      </c>
      <c r="G42">
        <v>10639931060</v>
      </c>
      <c r="I42">
        <v>3</v>
      </c>
      <c r="J42" t="s">
        <v>63</v>
      </c>
      <c r="K42">
        <v>85</v>
      </c>
      <c r="L42" t="s">
        <v>327</v>
      </c>
      <c r="M42" s="4">
        <v>1819</v>
      </c>
      <c r="P42" s="2">
        <v>45727</v>
      </c>
      <c r="R42">
        <v>11</v>
      </c>
      <c r="S42" s="4">
        <v>20009</v>
      </c>
      <c r="T42" t="s">
        <v>65</v>
      </c>
      <c r="U42" t="s">
        <v>666</v>
      </c>
      <c r="V42">
        <v>0</v>
      </c>
      <c r="W42" s="4">
        <v>20000</v>
      </c>
      <c r="X42">
        <v>9</v>
      </c>
      <c r="Y42">
        <v>0</v>
      </c>
      <c r="Z42">
        <v>0</v>
      </c>
      <c r="AA42">
        <v>0</v>
      </c>
      <c r="AD42">
        <v>0</v>
      </c>
      <c r="AM42" t="s">
        <v>667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668</v>
      </c>
      <c r="BA42">
        <v>0</v>
      </c>
      <c r="BC42" t="s">
        <v>107</v>
      </c>
      <c r="BF42" t="s">
        <v>669</v>
      </c>
    </row>
    <row r="43" spans="1:58" x14ac:dyDescent="0.35">
      <c r="A43" t="s">
        <v>670</v>
      </c>
      <c r="B43">
        <v>10000</v>
      </c>
      <c r="C43">
        <v>30000</v>
      </c>
      <c r="D43" s="2">
        <v>45729</v>
      </c>
      <c r="E43" t="s">
        <v>61</v>
      </c>
      <c r="F43" t="s">
        <v>671</v>
      </c>
      <c r="G43">
        <v>10639931060</v>
      </c>
      <c r="I43">
        <v>3</v>
      </c>
      <c r="J43" t="s">
        <v>63</v>
      </c>
      <c r="K43">
        <v>85</v>
      </c>
      <c r="L43" t="s">
        <v>327</v>
      </c>
      <c r="M43" s="4">
        <v>4546</v>
      </c>
      <c r="P43" s="2">
        <v>45727</v>
      </c>
      <c r="R43">
        <v>11</v>
      </c>
      <c r="S43" s="4">
        <v>50006</v>
      </c>
      <c r="T43" t="s">
        <v>65</v>
      </c>
      <c r="U43" t="s">
        <v>672</v>
      </c>
      <c r="V43">
        <v>0</v>
      </c>
      <c r="W43" s="4">
        <v>50000</v>
      </c>
      <c r="X43">
        <v>6</v>
      </c>
      <c r="Y43">
        <v>0</v>
      </c>
      <c r="Z43">
        <v>0</v>
      </c>
      <c r="AA43">
        <v>0</v>
      </c>
      <c r="AD43">
        <v>0</v>
      </c>
      <c r="AM43" t="s">
        <v>673</v>
      </c>
      <c r="AN43" t="s">
        <v>107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674</v>
      </c>
      <c r="BA43">
        <v>0</v>
      </c>
      <c r="BC43" t="s">
        <v>107</v>
      </c>
      <c r="BF43" t="s">
        <v>675</v>
      </c>
    </row>
    <row r="44" spans="1:58" x14ac:dyDescent="0.35">
      <c r="A44" t="s">
        <v>676</v>
      </c>
      <c r="B44">
        <v>10000</v>
      </c>
      <c r="C44">
        <v>30000</v>
      </c>
      <c r="D44" s="2">
        <v>45729</v>
      </c>
      <c r="E44" t="s">
        <v>61</v>
      </c>
      <c r="F44" t="s">
        <v>677</v>
      </c>
      <c r="G44">
        <v>10639931060</v>
      </c>
      <c r="I44">
        <v>3</v>
      </c>
      <c r="J44" t="s">
        <v>63</v>
      </c>
      <c r="K44">
        <v>85</v>
      </c>
      <c r="L44" t="s">
        <v>327</v>
      </c>
      <c r="M44" s="4">
        <v>1819</v>
      </c>
      <c r="P44" s="2">
        <v>45727</v>
      </c>
      <c r="R44">
        <v>11</v>
      </c>
      <c r="S44" s="4">
        <v>20009</v>
      </c>
      <c r="T44" t="s">
        <v>65</v>
      </c>
      <c r="U44" t="s">
        <v>678</v>
      </c>
      <c r="V44">
        <v>0</v>
      </c>
      <c r="W44" s="4">
        <v>20000</v>
      </c>
      <c r="X44">
        <v>9</v>
      </c>
      <c r="Y44">
        <v>0</v>
      </c>
      <c r="Z44">
        <v>0</v>
      </c>
      <c r="AA44">
        <v>0</v>
      </c>
      <c r="AD44">
        <v>0</v>
      </c>
      <c r="AM44" t="s">
        <v>679</v>
      </c>
      <c r="AN44" t="s">
        <v>107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680</v>
      </c>
      <c r="BA44">
        <v>0</v>
      </c>
      <c r="BC44" t="s">
        <v>107</v>
      </c>
      <c r="BF44" t="s">
        <v>681</v>
      </c>
    </row>
    <row r="45" spans="1:58" x14ac:dyDescent="0.35">
      <c r="A45" t="s">
        <v>682</v>
      </c>
      <c r="B45">
        <v>10000</v>
      </c>
      <c r="C45">
        <v>30000</v>
      </c>
      <c r="D45" s="2">
        <v>45729</v>
      </c>
      <c r="E45" t="s">
        <v>61</v>
      </c>
      <c r="F45" t="s">
        <v>683</v>
      </c>
      <c r="G45">
        <v>10639931060</v>
      </c>
      <c r="I45">
        <v>3</v>
      </c>
      <c r="J45" t="s">
        <v>63</v>
      </c>
      <c r="K45">
        <v>85</v>
      </c>
      <c r="L45" t="s">
        <v>327</v>
      </c>
      <c r="M45" s="4">
        <v>1819</v>
      </c>
      <c r="P45" s="2">
        <v>45727</v>
      </c>
      <c r="R45">
        <v>11</v>
      </c>
      <c r="S45" s="4">
        <v>20009</v>
      </c>
      <c r="T45" t="s">
        <v>65</v>
      </c>
      <c r="U45" t="s">
        <v>684</v>
      </c>
      <c r="V45">
        <v>0</v>
      </c>
      <c r="W45" s="4">
        <v>20000</v>
      </c>
      <c r="X45">
        <v>9</v>
      </c>
      <c r="Y45">
        <v>0</v>
      </c>
      <c r="Z45">
        <v>0</v>
      </c>
      <c r="AA45">
        <v>0</v>
      </c>
      <c r="AD45">
        <v>0</v>
      </c>
      <c r="AM45" t="s">
        <v>685</v>
      </c>
      <c r="AN45" t="s">
        <v>107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686</v>
      </c>
      <c r="BA45">
        <v>0</v>
      </c>
      <c r="BC45" t="s">
        <v>107</v>
      </c>
      <c r="BF45" t="s">
        <v>687</v>
      </c>
    </row>
    <row r="46" spans="1:58" x14ac:dyDescent="0.35">
      <c r="A46" t="s">
        <v>688</v>
      </c>
      <c r="B46">
        <v>10000</v>
      </c>
      <c r="C46">
        <v>30000</v>
      </c>
      <c r="D46" s="2">
        <v>45729</v>
      </c>
      <c r="E46" t="s">
        <v>61</v>
      </c>
      <c r="F46" t="s">
        <v>689</v>
      </c>
      <c r="G46">
        <v>10639931060</v>
      </c>
      <c r="I46">
        <v>3</v>
      </c>
      <c r="J46" t="s">
        <v>63</v>
      </c>
      <c r="K46">
        <v>85</v>
      </c>
      <c r="L46" t="s">
        <v>327</v>
      </c>
      <c r="M46" s="4">
        <v>1819</v>
      </c>
      <c r="P46" s="2">
        <v>45727</v>
      </c>
      <c r="R46">
        <v>11</v>
      </c>
      <c r="S46" s="4">
        <v>20009</v>
      </c>
      <c r="T46" t="s">
        <v>65</v>
      </c>
      <c r="U46" t="s">
        <v>690</v>
      </c>
      <c r="V46">
        <v>0</v>
      </c>
      <c r="W46" s="4">
        <v>20000</v>
      </c>
      <c r="X46">
        <v>9</v>
      </c>
      <c r="Y46">
        <v>0</v>
      </c>
      <c r="Z46">
        <v>0</v>
      </c>
      <c r="AA46">
        <v>0</v>
      </c>
      <c r="AD46">
        <v>0</v>
      </c>
      <c r="AM46" t="s">
        <v>691</v>
      </c>
      <c r="AN46" t="s">
        <v>107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692</v>
      </c>
      <c r="BA46">
        <v>0</v>
      </c>
      <c r="BC46" t="s">
        <v>107</v>
      </c>
      <c r="BF46" t="s">
        <v>693</v>
      </c>
    </row>
    <row r="47" spans="1:58" x14ac:dyDescent="0.35">
      <c r="A47" t="s">
        <v>2601</v>
      </c>
      <c r="B47">
        <v>10000</v>
      </c>
      <c r="C47">
        <v>10000</v>
      </c>
      <c r="D47" s="2">
        <v>45728</v>
      </c>
      <c r="E47" t="s">
        <v>61</v>
      </c>
      <c r="F47" s="3">
        <v>0.46886574074074072</v>
      </c>
      <c r="G47" t="s">
        <v>1852</v>
      </c>
      <c r="I47">
        <v>1</v>
      </c>
      <c r="J47" t="s">
        <v>63</v>
      </c>
      <c r="K47">
        <v>86</v>
      </c>
      <c r="L47" t="s">
        <v>64</v>
      </c>
      <c r="M47" s="4">
        <v>27500</v>
      </c>
      <c r="P47" s="2">
        <v>45727</v>
      </c>
      <c r="R47">
        <v>2</v>
      </c>
      <c r="S47" s="4">
        <v>55000</v>
      </c>
      <c r="T47" t="s">
        <v>65</v>
      </c>
      <c r="U47" t="s">
        <v>2602</v>
      </c>
      <c r="V47">
        <v>0</v>
      </c>
      <c r="W47" s="4">
        <v>55000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2603</v>
      </c>
      <c r="AN47" t="s">
        <v>1855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2604</v>
      </c>
      <c r="BA47">
        <v>0</v>
      </c>
      <c r="BC47" t="s">
        <v>1855</v>
      </c>
      <c r="BF47" t="s">
        <v>2605</v>
      </c>
    </row>
    <row r="48" spans="1:58" x14ac:dyDescent="0.35">
      <c r="A48" t="s">
        <v>2358</v>
      </c>
      <c r="B48">
        <v>10000</v>
      </c>
      <c r="C48">
        <v>20000</v>
      </c>
      <c r="D48" s="2">
        <v>45727</v>
      </c>
      <c r="E48" t="s">
        <v>61</v>
      </c>
      <c r="F48" t="s">
        <v>2359</v>
      </c>
      <c r="G48" t="s">
        <v>2360</v>
      </c>
      <c r="I48">
        <v>2</v>
      </c>
      <c r="J48" t="s">
        <v>63</v>
      </c>
      <c r="K48">
        <v>105</v>
      </c>
      <c r="L48" t="s">
        <v>424</v>
      </c>
      <c r="M48" s="4">
        <v>1300</v>
      </c>
      <c r="P48" s="2">
        <v>45727</v>
      </c>
      <c r="R48">
        <v>3</v>
      </c>
      <c r="S48" s="4">
        <v>3900</v>
      </c>
      <c r="T48" t="s">
        <v>65</v>
      </c>
      <c r="U48" t="s">
        <v>2361</v>
      </c>
      <c r="V48">
        <v>0</v>
      </c>
      <c r="W48" s="4">
        <v>3000</v>
      </c>
      <c r="X48">
        <v>900</v>
      </c>
      <c r="Y48">
        <v>0</v>
      </c>
      <c r="Z48">
        <v>0</v>
      </c>
      <c r="AA48">
        <v>0</v>
      </c>
      <c r="AD48">
        <v>0</v>
      </c>
      <c r="AM48" t="s">
        <v>2362</v>
      </c>
      <c r="AN48" t="s">
        <v>878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2363</v>
      </c>
      <c r="BA48">
        <v>0</v>
      </c>
      <c r="BC48" t="s">
        <v>878</v>
      </c>
      <c r="BF48" t="s">
        <v>2364</v>
      </c>
    </row>
    <row r="49" spans="1:58" x14ac:dyDescent="0.35">
      <c r="A49" t="s">
        <v>2365</v>
      </c>
      <c r="B49">
        <v>10000</v>
      </c>
      <c r="C49">
        <v>20000</v>
      </c>
      <c r="D49" s="2">
        <v>45727</v>
      </c>
      <c r="E49" t="s">
        <v>61</v>
      </c>
      <c r="F49" t="s">
        <v>2366</v>
      </c>
      <c r="G49" t="s">
        <v>2360</v>
      </c>
      <c r="I49">
        <v>2</v>
      </c>
      <c r="J49" t="s">
        <v>63</v>
      </c>
      <c r="K49">
        <v>105</v>
      </c>
      <c r="L49" t="s">
        <v>424</v>
      </c>
      <c r="M49" s="4">
        <v>1300</v>
      </c>
      <c r="P49" s="2">
        <v>45727</v>
      </c>
      <c r="R49">
        <v>3</v>
      </c>
      <c r="S49" s="4">
        <v>3900</v>
      </c>
      <c r="T49" t="s">
        <v>65</v>
      </c>
      <c r="U49" t="s">
        <v>2367</v>
      </c>
      <c r="V49">
        <v>0</v>
      </c>
      <c r="W49" s="4">
        <v>3000</v>
      </c>
      <c r="X49">
        <v>900</v>
      </c>
      <c r="Y49">
        <v>0</v>
      </c>
      <c r="Z49">
        <v>0</v>
      </c>
      <c r="AA49">
        <v>0</v>
      </c>
      <c r="AD49">
        <v>0</v>
      </c>
      <c r="AM49" t="s">
        <v>2368</v>
      </c>
      <c r="AN49" t="s">
        <v>878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2369</v>
      </c>
      <c r="BA49">
        <v>0</v>
      </c>
      <c r="BC49" t="s">
        <v>878</v>
      </c>
      <c r="BF49" t="s">
        <v>2364</v>
      </c>
    </row>
    <row r="50" spans="1:58" x14ac:dyDescent="0.35">
      <c r="A50" t="s">
        <v>2370</v>
      </c>
      <c r="B50">
        <v>10000</v>
      </c>
      <c r="C50">
        <v>20000</v>
      </c>
      <c r="D50" s="2">
        <v>45727</v>
      </c>
      <c r="E50" t="s">
        <v>61</v>
      </c>
      <c r="F50" t="s">
        <v>2371</v>
      </c>
      <c r="G50" t="s">
        <v>2360</v>
      </c>
      <c r="I50">
        <v>2</v>
      </c>
      <c r="J50" t="s">
        <v>63</v>
      </c>
      <c r="K50">
        <v>105</v>
      </c>
      <c r="L50" t="s">
        <v>424</v>
      </c>
      <c r="M50" s="4">
        <v>1300</v>
      </c>
      <c r="P50" s="2">
        <v>45727</v>
      </c>
      <c r="R50">
        <v>3</v>
      </c>
      <c r="S50" s="4">
        <v>3900</v>
      </c>
      <c r="T50" t="s">
        <v>65</v>
      </c>
      <c r="U50" t="s">
        <v>2372</v>
      </c>
      <c r="V50">
        <v>0</v>
      </c>
      <c r="W50" s="4">
        <v>3000</v>
      </c>
      <c r="X50">
        <v>900</v>
      </c>
      <c r="Y50">
        <v>0</v>
      </c>
      <c r="Z50">
        <v>0</v>
      </c>
      <c r="AA50">
        <v>0</v>
      </c>
      <c r="AD50">
        <v>0</v>
      </c>
      <c r="AM50" t="s">
        <v>2373</v>
      </c>
      <c r="AN50" t="s">
        <v>878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2374</v>
      </c>
      <c r="BA50">
        <v>0</v>
      </c>
      <c r="BC50" t="s">
        <v>878</v>
      </c>
      <c r="BF50" t="s">
        <v>2364</v>
      </c>
    </row>
    <row r="51" spans="1:58" x14ac:dyDescent="0.35">
      <c r="A51" t="s">
        <v>1875</v>
      </c>
      <c r="B51">
        <v>10000</v>
      </c>
      <c r="C51">
        <v>20000</v>
      </c>
      <c r="D51" s="2">
        <v>45728</v>
      </c>
      <c r="E51" t="s">
        <v>61</v>
      </c>
      <c r="F51" s="3">
        <v>0.43936342592592592</v>
      </c>
      <c r="G51" t="s">
        <v>1876</v>
      </c>
      <c r="I51">
        <v>2</v>
      </c>
      <c r="J51" t="s">
        <v>63</v>
      </c>
      <c r="K51">
        <v>92</v>
      </c>
      <c r="L51" t="s">
        <v>424</v>
      </c>
      <c r="M51" s="4">
        <v>1000</v>
      </c>
      <c r="P51" s="2">
        <v>45727</v>
      </c>
      <c r="R51">
        <v>1</v>
      </c>
      <c r="S51" s="4">
        <v>1000</v>
      </c>
      <c r="T51" t="s">
        <v>65</v>
      </c>
      <c r="U51" t="s">
        <v>1877</v>
      </c>
      <c r="V51">
        <v>0</v>
      </c>
      <c r="W51" s="4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1878</v>
      </c>
      <c r="AN51" t="s">
        <v>1879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1880</v>
      </c>
      <c r="BA51">
        <v>0</v>
      </c>
      <c r="BC51" t="s">
        <v>1879</v>
      </c>
      <c r="BF51" t="s">
        <v>1881</v>
      </c>
    </row>
    <row r="52" spans="1:58" x14ac:dyDescent="0.35">
      <c r="A52" t="s">
        <v>2393</v>
      </c>
      <c r="B52">
        <v>10000</v>
      </c>
      <c r="C52">
        <v>20000</v>
      </c>
      <c r="D52" s="2">
        <v>45728</v>
      </c>
      <c r="E52" t="s">
        <v>61</v>
      </c>
      <c r="F52" t="s">
        <v>2394</v>
      </c>
      <c r="G52" t="s">
        <v>2395</v>
      </c>
      <c r="I52">
        <v>2</v>
      </c>
      <c r="J52" t="s">
        <v>63</v>
      </c>
      <c r="K52">
        <v>77</v>
      </c>
      <c r="L52" t="s">
        <v>127</v>
      </c>
      <c r="M52">
        <v>227</v>
      </c>
      <c r="P52" s="2">
        <v>45727</v>
      </c>
      <c r="R52">
        <v>168</v>
      </c>
      <c r="S52" s="4">
        <v>38136</v>
      </c>
      <c r="T52" t="s">
        <v>65</v>
      </c>
      <c r="U52" t="s">
        <v>2396</v>
      </c>
      <c r="V52">
        <v>0</v>
      </c>
      <c r="W52" s="4">
        <v>20000</v>
      </c>
      <c r="X52" s="4">
        <v>18136</v>
      </c>
      <c r="Y52">
        <v>0</v>
      </c>
      <c r="Z52">
        <v>0</v>
      </c>
      <c r="AA52">
        <v>0</v>
      </c>
      <c r="AD52">
        <v>0</v>
      </c>
      <c r="AM52" t="s">
        <v>2397</v>
      </c>
      <c r="AN52" t="s">
        <v>68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2398</v>
      </c>
      <c r="BA52">
        <v>0</v>
      </c>
      <c r="BC52" t="s">
        <v>68</v>
      </c>
      <c r="BF52" t="s">
        <v>2399</v>
      </c>
    </row>
    <row r="53" spans="1:58" x14ac:dyDescent="0.35">
      <c r="A53" t="s">
        <v>2400</v>
      </c>
      <c r="B53">
        <v>10000</v>
      </c>
      <c r="C53">
        <v>20000</v>
      </c>
      <c r="D53" s="2">
        <v>45728</v>
      </c>
      <c r="E53" t="s">
        <v>61</v>
      </c>
      <c r="F53" t="s">
        <v>2401</v>
      </c>
      <c r="G53" t="s">
        <v>2395</v>
      </c>
      <c r="I53">
        <v>2</v>
      </c>
      <c r="J53" t="s">
        <v>63</v>
      </c>
      <c r="K53">
        <v>77</v>
      </c>
      <c r="L53" t="s">
        <v>127</v>
      </c>
      <c r="M53">
        <v>220</v>
      </c>
      <c r="P53" s="2">
        <v>45727</v>
      </c>
      <c r="R53">
        <v>25</v>
      </c>
      <c r="S53" s="4">
        <v>5500</v>
      </c>
      <c r="T53" t="s">
        <v>65</v>
      </c>
      <c r="U53" t="s">
        <v>2402</v>
      </c>
      <c r="V53">
        <v>0</v>
      </c>
      <c r="W53" s="4">
        <v>1000</v>
      </c>
      <c r="X53" s="4">
        <v>4500</v>
      </c>
      <c r="Y53">
        <v>0</v>
      </c>
      <c r="Z53">
        <v>0</v>
      </c>
      <c r="AA53">
        <v>0</v>
      </c>
      <c r="AD53">
        <v>0</v>
      </c>
      <c r="AM53" t="s">
        <v>2403</v>
      </c>
      <c r="AN53" t="s">
        <v>68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2404</v>
      </c>
      <c r="BA53">
        <v>0</v>
      </c>
      <c r="BC53" t="s">
        <v>68</v>
      </c>
      <c r="BF53" t="s">
        <v>2405</v>
      </c>
    </row>
    <row r="54" spans="1:58" x14ac:dyDescent="0.35">
      <c r="A54" t="s">
        <v>2606</v>
      </c>
      <c r="B54">
        <v>10000</v>
      </c>
      <c r="C54">
        <v>10000</v>
      </c>
      <c r="D54" s="2">
        <v>45729</v>
      </c>
      <c r="E54" t="s">
        <v>61</v>
      </c>
      <c r="F54" t="s">
        <v>2607</v>
      </c>
      <c r="G54" t="s">
        <v>2113</v>
      </c>
      <c r="I54">
        <v>1</v>
      </c>
      <c r="J54" t="s">
        <v>63</v>
      </c>
      <c r="K54">
        <v>12</v>
      </c>
      <c r="L54" t="s">
        <v>478</v>
      </c>
      <c r="M54" s="4">
        <v>32000</v>
      </c>
      <c r="P54" s="2">
        <v>45727</v>
      </c>
      <c r="R54">
        <v>1</v>
      </c>
      <c r="S54" s="4">
        <v>32000</v>
      </c>
      <c r="T54" t="s">
        <v>65</v>
      </c>
      <c r="U54" t="s">
        <v>2608</v>
      </c>
      <c r="V54">
        <v>0</v>
      </c>
      <c r="W54" s="4">
        <v>32000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2609</v>
      </c>
      <c r="AN54" t="s">
        <v>116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2610</v>
      </c>
      <c r="BA54">
        <v>0</v>
      </c>
      <c r="BC54" t="s">
        <v>116</v>
      </c>
      <c r="BF54" t="s">
        <v>1906</v>
      </c>
    </row>
    <row r="55" spans="1:58" x14ac:dyDescent="0.35">
      <c r="A55" t="s">
        <v>2611</v>
      </c>
      <c r="B55">
        <v>10000</v>
      </c>
      <c r="C55">
        <v>10000</v>
      </c>
      <c r="D55" s="2">
        <v>45727</v>
      </c>
      <c r="E55" t="s">
        <v>61</v>
      </c>
      <c r="F55" t="s">
        <v>2612</v>
      </c>
      <c r="G55" t="s">
        <v>2613</v>
      </c>
      <c r="I55">
        <v>1</v>
      </c>
      <c r="J55" t="s">
        <v>63</v>
      </c>
      <c r="K55">
        <v>22</v>
      </c>
      <c r="L55" t="s">
        <v>466</v>
      </c>
      <c r="M55" s="4">
        <v>2000</v>
      </c>
      <c r="P55" s="2">
        <v>45727</v>
      </c>
      <c r="R55">
        <v>1</v>
      </c>
      <c r="S55" s="4">
        <v>2000</v>
      </c>
      <c r="T55" t="s">
        <v>65</v>
      </c>
      <c r="U55" t="s">
        <v>2614</v>
      </c>
      <c r="V55">
        <v>0</v>
      </c>
      <c r="W55" s="4">
        <v>2000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2615</v>
      </c>
      <c r="AN55" t="s">
        <v>116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2616</v>
      </c>
      <c r="BA55">
        <v>0</v>
      </c>
      <c r="BC55" t="s">
        <v>116</v>
      </c>
      <c r="BF55" t="s">
        <v>2230</v>
      </c>
    </row>
    <row r="56" spans="1:58" x14ac:dyDescent="0.35">
      <c r="A56" t="s">
        <v>2617</v>
      </c>
      <c r="B56">
        <v>10000</v>
      </c>
      <c r="C56">
        <v>10000</v>
      </c>
      <c r="D56" s="2">
        <v>45727</v>
      </c>
      <c r="E56" t="s">
        <v>61</v>
      </c>
      <c r="F56" t="s">
        <v>2618</v>
      </c>
      <c r="G56" t="s">
        <v>465</v>
      </c>
      <c r="I56">
        <v>1</v>
      </c>
      <c r="J56" t="s">
        <v>63</v>
      </c>
      <c r="K56">
        <v>22</v>
      </c>
      <c r="L56" t="s">
        <v>466</v>
      </c>
      <c r="M56" s="4">
        <v>6000</v>
      </c>
      <c r="P56" s="2">
        <v>45727</v>
      </c>
      <c r="R56">
        <v>1</v>
      </c>
      <c r="S56" s="4">
        <v>6000</v>
      </c>
      <c r="T56" t="s">
        <v>65</v>
      </c>
      <c r="U56" t="s">
        <v>2619</v>
      </c>
      <c r="V56">
        <v>0</v>
      </c>
      <c r="W56" s="4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2620</v>
      </c>
      <c r="AN56" t="s">
        <v>116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2621</v>
      </c>
      <c r="BA56">
        <v>0</v>
      </c>
      <c r="BC56" t="s">
        <v>116</v>
      </c>
      <c r="BF56" t="s">
        <v>2230</v>
      </c>
    </row>
    <row r="57" spans="1:58" x14ac:dyDescent="0.35">
      <c r="A57" t="s">
        <v>2622</v>
      </c>
      <c r="B57">
        <v>10000</v>
      </c>
      <c r="C57">
        <v>10000</v>
      </c>
      <c r="D57" s="2">
        <v>45728</v>
      </c>
      <c r="E57" t="s">
        <v>61</v>
      </c>
      <c r="F57" t="s">
        <v>2407</v>
      </c>
      <c r="G57" t="s">
        <v>2623</v>
      </c>
      <c r="I57">
        <v>1</v>
      </c>
      <c r="J57" t="s">
        <v>63</v>
      </c>
      <c r="K57">
        <v>22</v>
      </c>
      <c r="L57" t="s">
        <v>466</v>
      </c>
      <c r="M57" s="4">
        <v>4000</v>
      </c>
      <c r="P57" s="2">
        <v>45727</v>
      </c>
      <c r="R57">
        <v>1</v>
      </c>
      <c r="S57" s="4">
        <v>4000</v>
      </c>
      <c r="T57" t="s">
        <v>65</v>
      </c>
      <c r="U57" t="s">
        <v>2624</v>
      </c>
      <c r="V57">
        <v>0</v>
      </c>
      <c r="W57" s="4">
        <v>4000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2625</v>
      </c>
      <c r="AN57" t="s">
        <v>116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2626</v>
      </c>
      <c r="BA57">
        <v>0</v>
      </c>
      <c r="BC57" t="s">
        <v>116</v>
      </c>
      <c r="BF57" t="s">
        <v>2230</v>
      </c>
    </row>
    <row r="58" spans="1:58" x14ac:dyDescent="0.35">
      <c r="A58" t="s">
        <v>2627</v>
      </c>
      <c r="B58">
        <v>10000</v>
      </c>
      <c r="C58">
        <v>10000</v>
      </c>
      <c r="D58" s="2">
        <v>45727</v>
      </c>
      <c r="E58" t="s">
        <v>61</v>
      </c>
      <c r="F58" t="s">
        <v>2417</v>
      </c>
      <c r="G58" t="s">
        <v>465</v>
      </c>
      <c r="I58">
        <v>1</v>
      </c>
      <c r="J58" t="s">
        <v>63</v>
      </c>
      <c r="K58">
        <v>22</v>
      </c>
      <c r="L58" t="s">
        <v>466</v>
      </c>
      <c r="M58" s="4">
        <v>4000</v>
      </c>
      <c r="P58" s="2">
        <v>45727</v>
      </c>
      <c r="R58">
        <v>1</v>
      </c>
      <c r="S58" s="4">
        <v>4000</v>
      </c>
      <c r="T58" t="s">
        <v>65</v>
      </c>
      <c r="U58" t="s">
        <v>2628</v>
      </c>
      <c r="V58">
        <v>0</v>
      </c>
      <c r="W58" s="4">
        <v>4000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2629</v>
      </c>
      <c r="AN58" t="s">
        <v>116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2630</v>
      </c>
      <c r="BA58">
        <v>0</v>
      </c>
      <c r="BC58" t="s">
        <v>116</v>
      </c>
      <c r="BF58" t="s">
        <v>1918</v>
      </c>
    </row>
    <row r="59" spans="1:58" x14ac:dyDescent="0.35">
      <c r="A59" t="s">
        <v>2425</v>
      </c>
      <c r="B59">
        <v>10000</v>
      </c>
      <c r="C59">
        <v>30000</v>
      </c>
      <c r="D59" s="2">
        <v>45742</v>
      </c>
      <c r="E59" t="s">
        <v>61</v>
      </c>
      <c r="F59" t="s">
        <v>2426</v>
      </c>
      <c r="G59" t="s">
        <v>2427</v>
      </c>
      <c r="I59">
        <v>2</v>
      </c>
      <c r="J59" t="s">
        <v>63</v>
      </c>
      <c r="K59">
        <v>77</v>
      </c>
      <c r="L59" t="s">
        <v>127</v>
      </c>
      <c r="M59" s="4">
        <v>1167</v>
      </c>
      <c r="P59" s="2">
        <v>45727</v>
      </c>
      <c r="R59">
        <v>6</v>
      </c>
      <c r="S59" s="4">
        <v>7002</v>
      </c>
      <c r="T59" t="s">
        <v>65</v>
      </c>
      <c r="U59" t="s">
        <v>2428</v>
      </c>
      <c r="V59">
        <v>0</v>
      </c>
      <c r="W59" s="4">
        <v>5000</v>
      </c>
      <c r="X59" s="4">
        <v>2002</v>
      </c>
      <c r="Y59">
        <v>0</v>
      </c>
      <c r="Z59">
        <v>0</v>
      </c>
      <c r="AA59">
        <v>0</v>
      </c>
      <c r="AD59">
        <v>0</v>
      </c>
      <c r="AM59" t="s">
        <v>2429</v>
      </c>
      <c r="AN59" t="s">
        <v>107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2430</v>
      </c>
      <c r="BA59">
        <v>0</v>
      </c>
      <c r="BC59" t="s">
        <v>107</v>
      </c>
      <c r="BF59" t="s">
        <v>2431</v>
      </c>
    </row>
    <row r="60" spans="1:58" x14ac:dyDescent="0.35">
      <c r="A60" t="s">
        <v>1949</v>
      </c>
      <c r="B60">
        <v>10000</v>
      </c>
      <c r="C60">
        <v>20000</v>
      </c>
      <c r="D60" s="2">
        <v>45733</v>
      </c>
      <c r="E60" t="s">
        <v>61</v>
      </c>
      <c r="F60" t="s">
        <v>1950</v>
      </c>
      <c r="G60">
        <v>10639931107</v>
      </c>
      <c r="I60">
        <v>2</v>
      </c>
      <c r="J60" t="s">
        <v>63</v>
      </c>
      <c r="K60">
        <v>77</v>
      </c>
      <c r="L60" t="s">
        <v>127</v>
      </c>
      <c r="M60" s="4">
        <v>1364</v>
      </c>
      <c r="P60" s="2">
        <v>45727</v>
      </c>
      <c r="R60">
        <v>66</v>
      </c>
      <c r="S60" s="4">
        <v>90024</v>
      </c>
      <c r="T60" t="s">
        <v>65</v>
      </c>
      <c r="U60" t="s">
        <v>1951</v>
      </c>
      <c r="V60">
        <v>0</v>
      </c>
      <c r="W60" s="4">
        <v>80000</v>
      </c>
      <c r="X60" s="4">
        <v>10024</v>
      </c>
      <c r="Y60">
        <v>0</v>
      </c>
      <c r="Z60">
        <v>0</v>
      </c>
      <c r="AA60">
        <v>0</v>
      </c>
      <c r="AD60">
        <v>0</v>
      </c>
      <c r="AM60" t="s">
        <v>1952</v>
      </c>
      <c r="AN60" t="s">
        <v>107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1953</v>
      </c>
      <c r="BA60">
        <v>0</v>
      </c>
      <c r="BC60" t="s">
        <v>107</v>
      </c>
      <c r="BF60" t="s">
        <v>1954</v>
      </c>
    </row>
    <row r="61" spans="1:58" x14ac:dyDescent="0.35">
      <c r="A61" t="s">
        <v>2434</v>
      </c>
      <c r="B61">
        <v>10000</v>
      </c>
      <c r="C61">
        <v>30000</v>
      </c>
      <c r="D61" s="2">
        <v>45729</v>
      </c>
      <c r="E61" t="s">
        <v>61</v>
      </c>
      <c r="F61" t="s">
        <v>2631</v>
      </c>
      <c r="G61">
        <v>59469</v>
      </c>
      <c r="I61">
        <v>2</v>
      </c>
      <c r="J61" t="s">
        <v>63</v>
      </c>
      <c r="K61">
        <v>96</v>
      </c>
      <c r="L61" t="s">
        <v>104</v>
      </c>
      <c r="M61" s="4">
        <v>179375</v>
      </c>
      <c r="P61" s="2">
        <v>45727</v>
      </c>
      <c r="R61">
        <v>6</v>
      </c>
      <c r="S61" s="4">
        <v>1076250</v>
      </c>
      <c r="T61" t="s">
        <v>65</v>
      </c>
      <c r="U61" t="s">
        <v>993</v>
      </c>
      <c r="V61">
        <v>0</v>
      </c>
      <c r="W61" s="4">
        <v>1076250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994</v>
      </c>
      <c r="AN61" t="s">
        <v>321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2436</v>
      </c>
      <c r="BA61">
        <v>0</v>
      </c>
      <c r="BC61" t="s">
        <v>321</v>
      </c>
      <c r="BF61" t="s">
        <v>2437</v>
      </c>
    </row>
    <row r="62" spans="1:58" x14ac:dyDescent="0.35">
      <c r="A62" t="s">
        <v>2632</v>
      </c>
      <c r="B62">
        <v>10000</v>
      </c>
      <c r="C62">
        <v>10000</v>
      </c>
      <c r="D62" s="2">
        <v>45728</v>
      </c>
      <c r="E62" t="s">
        <v>61</v>
      </c>
      <c r="F62" t="s">
        <v>2633</v>
      </c>
      <c r="G62" t="s">
        <v>2634</v>
      </c>
      <c r="I62">
        <v>1</v>
      </c>
      <c r="J62" t="s">
        <v>63</v>
      </c>
      <c r="K62">
        <v>31</v>
      </c>
      <c r="L62" t="s">
        <v>1311</v>
      </c>
      <c r="M62" s="4">
        <v>5000</v>
      </c>
      <c r="P62" s="2">
        <v>45727</v>
      </c>
      <c r="R62">
        <v>6</v>
      </c>
      <c r="S62" s="4">
        <v>30000</v>
      </c>
      <c r="T62" t="s">
        <v>65</v>
      </c>
      <c r="U62" t="s">
        <v>2635</v>
      </c>
      <c r="V62">
        <v>0</v>
      </c>
      <c r="W62" s="4">
        <v>25000</v>
      </c>
      <c r="X62" s="4">
        <v>5000</v>
      </c>
      <c r="Y62">
        <v>0</v>
      </c>
      <c r="Z62">
        <v>0</v>
      </c>
      <c r="AA62">
        <v>0</v>
      </c>
      <c r="AD62">
        <v>0</v>
      </c>
      <c r="AM62" t="s">
        <v>2636</v>
      </c>
      <c r="AN62" t="s">
        <v>2637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2638</v>
      </c>
      <c r="BA62">
        <v>0</v>
      </c>
      <c r="BC62" t="s">
        <v>2637</v>
      </c>
      <c r="BF62" t="s">
        <v>2639</v>
      </c>
    </row>
    <row r="63" spans="1:58" x14ac:dyDescent="0.35">
      <c r="A63" t="s">
        <v>2640</v>
      </c>
      <c r="B63">
        <v>10000</v>
      </c>
      <c r="C63">
        <v>10000</v>
      </c>
      <c r="D63" s="2">
        <v>45728</v>
      </c>
      <c r="E63" t="s">
        <v>61</v>
      </c>
      <c r="F63" t="s">
        <v>2641</v>
      </c>
      <c r="G63" t="s">
        <v>518</v>
      </c>
      <c r="I63">
        <v>1</v>
      </c>
      <c r="J63" t="s">
        <v>63</v>
      </c>
      <c r="K63">
        <v>63</v>
      </c>
      <c r="L63" t="s">
        <v>519</v>
      </c>
      <c r="M63">
        <v>14</v>
      </c>
      <c r="P63" s="2">
        <v>45727</v>
      </c>
      <c r="R63">
        <v>15</v>
      </c>
      <c r="S63">
        <v>210</v>
      </c>
      <c r="T63" t="s">
        <v>65</v>
      </c>
      <c r="U63" t="s">
        <v>2642</v>
      </c>
      <c r="V63">
        <v>0</v>
      </c>
      <c r="W63">
        <v>200</v>
      </c>
      <c r="X63">
        <v>10</v>
      </c>
      <c r="Y63">
        <v>0</v>
      </c>
      <c r="Z63">
        <v>0</v>
      </c>
      <c r="AA63">
        <v>0</v>
      </c>
      <c r="AD63">
        <v>0</v>
      </c>
      <c r="AM63" t="s">
        <v>2643</v>
      </c>
      <c r="AN63" t="s">
        <v>661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2644</v>
      </c>
      <c r="BA63">
        <v>0</v>
      </c>
      <c r="BC63" t="s">
        <v>661</v>
      </c>
      <c r="BF63" t="s">
        <v>2645</v>
      </c>
    </row>
    <row r="64" spans="1:58" x14ac:dyDescent="0.35">
      <c r="A64" t="s">
        <v>2646</v>
      </c>
      <c r="B64">
        <v>10000</v>
      </c>
      <c r="C64">
        <v>10000</v>
      </c>
      <c r="D64" s="2">
        <v>45728</v>
      </c>
      <c r="E64" t="s">
        <v>61</v>
      </c>
      <c r="F64" t="s">
        <v>2641</v>
      </c>
      <c r="G64" t="s">
        <v>2494</v>
      </c>
      <c r="I64">
        <v>1</v>
      </c>
      <c r="J64" t="s">
        <v>63</v>
      </c>
      <c r="K64">
        <v>87</v>
      </c>
      <c r="L64" t="s">
        <v>172</v>
      </c>
      <c r="M64">
        <v>100</v>
      </c>
      <c r="P64" s="2">
        <v>45727</v>
      </c>
      <c r="R64">
        <v>2</v>
      </c>
      <c r="S64">
        <v>200</v>
      </c>
      <c r="T64" t="s">
        <v>65</v>
      </c>
      <c r="U64" t="s">
        <v>2495</v>
      </c>
      <c r="V64">
        <v>0</v>
      </c>
      <c r="W64">
        <v>200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2496</v>
      </c>
      <c r="AN64" t="s">
        <v>661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2647</v>
      </c>
      <c r="BA64">
        <v>0</v>
      </c>
      <c r="BC64" t="s">
        <v>661</v>
      </c>
      <c r="BF64" t="s">
        <v>2648</v>
      </c>
    </row>
    <row r="65" spans="1:58" x14ac:dyDescent="0.35">
      <c r="A65" t="s">
        <v>2649</v>
      </c>
      <c r="B65">
        <v>10000</v>
      </c>
      <c r="C65">
        <v>10000</v>
      </c>
      <c r="D65" s="2">
        <v>45735</v>
      </c>
      <c r="E65" t="s">
        <v>61</v>
      </c>
      <c r="F65" s="3">
        <v>0.45159722222222221</v>
      </c>
      <c r="G65" t="s">
        <v>2650</v>
      </c>
      <c r="I65">
        <v>1</v>
      </c>
      <c r="J65" t="s">
        <v>63</v>
      </c>
      <c r="K65">
        <v>79</v>
      </c>
      <c r="L65" t="s">
        <v>573</v>
      </c>
      <c r="M65">
        <v>100</v>
      </c>
      <c r="P65" s="2">
        <v>45727</v>
      </c>
      <c r="R65">
        <v>20</v>
      </c>
      <c r="S65" s="4">
        <v>2000</v>
      </c>
      <c r="T65" t="s">
        <v>65</v>
      </c>
      <c r="U65" t="s">
        <v>2651</v>
      </c>
      <c r="V65">
        <v>0</v>
      </c>
      <c r="W65" s="4">
        <v>2000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2652</v>
      </c>
      <c r="AN65" t="s">
        <v>2653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2654</v>
      </c>
      <c r="BA65">
        <v>0</v>
      </c>
      <c r="BC65" t="s">
        <v>2653</v>
      </c>
      <c r="BF65" t="s">
        <v>2655</v>
      </c>
    </row>
    <row r="66" spans="1:58" x14ac:dyDescent="0.35">
      <c r="A66" t="s">
        <v>2656</v>
      </c>
      <c r="B66">
        <v>10000</v>
      </c>
      <c r="C66">
        <v>10000</v>
      </c>
      <c r="D66" s="2">
        <v>45728</v>
      </c>
      <c r="E66" t="s">
        <v>61</v>
      </c>
      <c r="F66" t="s">
        <v>2657</v>
      </c>
      <c r="G66" t="s">
        <v>2445</v>
      </c>
      <c r="I66">
        <v>1</v>
      </c>
      <c r="J66" t="s">
        <v>63</v>
      </c>
      <c r="K66">
        <v>88</v>
      </c>
      <c r="L66" t="s">
        <v>630</v>
      </c>
      <c r="M66" s="4">
        <v>1090</v>
      </c>
      <c r="P66" s="2">
        <v>45727</v>
      </c>
      <c r="R66">
        <v>1</v>
      </c>
      <c r="S66" s="4">
        <v>1090</v>
      </c>
      <c r="T66" t="s">
        <v>65</v>
      </c>
      <c r="U66" t="s">
        <v>2658</v>
      </c>
      <c r="V66">
        <v>0</v>
      </c>
      <c r="W66" s="4">
        <v>1090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2659</v>
      </c>
      <c r="AN66" t="s">
        <v>2448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2660</v>
      </c>
      <c r="BA66">
        <v>0</v>
      </c>
      <c r="BC66" t="s">
        <v>2448</v>
      </c>
      <c r="BF66" t="s">
        <v>2450</v>
      </c>
    </row>
    <row r="67" spans="1:58" x14ac:dyDescent="0.35">
      <c r="A67" t="s">
        <v>2656</v>
      </c>
      <c r="B67">
        <v>20000</v>
      </c>
      <c r="C67">
        <v>10000</v>
      </c>
      <c r="D67" s="2">
        <v>45728</v>
      </c>
      <c r="E67" t="s">
        <v>61</v>
      </c>
      <c r="F67" t="s">
        <v>2657</v>
      </c>
      <c r="G67" t="s">
        <v>2445</v>
      </c>
      <c r="I67">
        <v>1</v>
      </c>
      <c r="J67" t="s">
        <v>63</v>
      </c>
      <c r="K67">
        <v>88</v>
      </c>
      <c r="L67" t="s">
        <v>630</v>
      </c>
      <c r="M67">
        <v>450</v>
      </c>
      <c r="P67" s="2">
        <v>45727</v>
      </c>
      <c r="R67">
        <v>1</v>
      </c>
      <c r="S67">
        <v>450</v>
      </c>
      <c r="T67" t="s">
        <v>65</v>
      </c>
      <c r="U67" t="s">
        <v>2658</v>
      </c>
      <c r="V67">
        <v>0</v>
      </c>
      <c r="W67">
        <v>450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2659</v>
      </c>
      <c r="AN67" t="s">
        <v>2448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2660</v>
      </c>
      <c r="BA67">
        <v>0</v>
      </c>
      <c r="BC67" t="s">
        <v>2448</v>
      </c>
      <c r="BF67" t="s">
        <v>2450</v>
      </c>
    </row>
    <row r="68" spans="1:58" x14ac:dyDescent="0.35">
      <c r="A68" t="s">
        <v>2656</v>
      </c>
      <c r="B68">
        <v>30000</v>
      </c>
      <c r="C68">
        <v>10000</v>
      </c>
      <c r="D68" s="2">
        <v>45728</v>
      </c>
      <c r="E68" t="s">
        <v>61</v>
      </c>
      <c r="F68" t="s">
        <v>2657</v>
      </c>
      <c r="G68" t="s">
        <v>2445</v>
      </c>
      <c r="I68">
        <v>1</v>
      </c>
      <c r="J68" t="s">
        <v>63</v>
      </c>
      <c r="K68">
        <v>88</v>
      </c>
      <c r="L68" t="s">
        <v>630</v>
      </c>
      <c r="M68">
        <v>150</v>
      </c>
      <c r="P68" s="2">
        <v>45727</v>
      </c>
      <c r="R68">
        <v>1</v>
      </c>
      <c r="S68">
        <v>150</v>
      </c>
      <c r="T68" t="s">
        <v>65</v>
      </c>
      <c r="U68" t="s">
        <v>2658</v>
      </c>
      <c r="V68">
        <v>0</v>
      </c>
      <c r="W68">
        <v>150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2659</v>
      </c>
      <c r="AN68" t="s">
        <v>2448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2660</v>
      </c>
      <c r="BA68">
        <v>0</v>
      </c>
      <c r="BC68" t="s">
        <v>2448</v>
      </c>
      <c r="BF68" t="s">
        <v>2450</v>
      </c>
    </row>
    <row r="69" spans="1:58" x14ac:dyDescent="0.35">
      <c r="A69" t="s">
        <v>2661</v>
      </c>
      <c r="B69">
        <v>10000</v>
      </c>
      <c r="C69">
        <v>10000</v>
      </c>
      <c r="D69" s="2">
        <v>45728</v>
      </c>
      <c r="E69" t="s">
        <v>61</v>
      </c>
      <c r="F69" t="s">
        <v>2457</v>
      </c>
      <c r="G69" t="s">
        <v>518</v>
      </c>
      <c r="I69">
        <v>1</v>
      </c>
      <c r="J69" t="s">
        <v>63</v>
      </c>
      <c r="K69">
        <v>63</v>
      </c>
      <c r="L69" t="s">
        <v>519</v>
      </c>
      <c r="M69" s="4">
        <v>3000</v>
      </c>
      <c r="P69" s="2">
        <v>45727</v>
      </c>
      <c r="R69">
        <v>40</v>
      </c>
      <c r="S69" s="4">
        <v>120000</v>
      </c>
      <c r="T69" t="s">
        <v>65</v>
      </c>
      <c r="U69" t="s">
        <v>2662</v>
      </c>
      <c r="V69">
        <v>0</v>
      </c>
      <c r="W69" s="4">
        <v>120000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2663</v>
      </c>
      <c r="AN69" t="s">
        <v>157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2664</v>
      </c>
      <c r="BA69">
        <v>0</v>
      </c>
      <c r="BC69" t="s">
        <v>157</v>
      </c>
      <c r="BF69" t="s">
        <v>2665</v>
      </c>
    </row>
    <row r="70" spans="1:58" x14ac:dyDescent="0.35">
      <c r="A70" t="s">
        <v>2666</v>
      </c>
      <c r="B70">
        <v>10000</v>
      </c>
      <c r="C70">
        <v>10000</v>
      </c>
      <c r="D70" s="2">
        <v>45729</v>
      </c>
      <c r="E70" t="s">
        <v>61</v>
      </c>
      <c r="F70" t="s">
        <v>2493</v>
      </c>
      <c r="G70" t="s">
        <v>518</v>
      </c>
      <c r="I70">
        <v>1</v>
      </c>
      <c r="J70" t="s">
        <v>63</v>
      </c>
      <c r="K70">
        <v>63</v>
      </c>
      <c r="L70" t="s">
        <v>519</v>
      </c>
      <c r="M70" s="4">
        <v>5000</v>
      </c>
      <c r="P70" s="2">
        <v>45727</v>
      </c>
      <c r="R70">
        <v>60</v>
      </c>
      <c r="S70" s="4">
        <v>300000</v>
      </c>
      <c r="T70" t="s">
        <v>65</v>
      </c>
      <c r="U70" t="s">
        <v>2667</v>
      </c>
      <c r="V70">
        <v>0</v>
      </c>
      <c r="W70" s="4">
        <v>300000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2668</v>
      </c>
      <c r="AN70" t="s">
        <v>157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2669</v>
      </c>
      <c r="BA70">
        <v>0</v>
      </c>
      <c r="BC70" t="s">
        <v>157</v>
      </c>
      <c r="BF70" t="s">
        <v>2670</v>
      </c>
    </row>
    <row r="71" spans="1:58" x14ac:dyDescent="0.35">
      <c r="A71" t="s">
        <v>2671</v>
      </c>
      <c r="B71">
        <v>10000</v>
      </c>
      <c r="C71">
        <v>10000</v>
      </c>
      <c r="D71" s="2">
        <v>45728</v>
      </c>
      <c r="E71" t="s">
        <v>61</v>
      </c>
      <c r="F71" t="s">
        <v>2457</v>
      </c>
      <c r="G71">
        <v>1006323</v>
      </c>
      <c r="I71">
        <v>1</v>
      </c>
      <c r="J71" t="s">
        <v>63</v>
      </c>
      <c r="K71">
        <v>63</v>
      </c>
      <c r="L71" t="s">
        <v>519</v>
      </c>
      <c r="M71" s="4">
        <v>5000</v>
      </c>
      <c r="P71" s="2">
        <v>45727</v>
      </c>
      <c r="R71">
        <v>40</v>
      </c>
      <c r="S71" s="4">
        <v>200000</v>
      </c>
      <c r="T71" t="s">
        <v>65</v>
      </c>
      <c r="U71" t="s">
        <v>2466</v>
      </c>
      <c r="V71">
        <v>0</v>
      </c>
      <c r="W71" s="4">
        <v>200000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2467</v>
      </c>
      <c r="AN71" t="s">
        <v>157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2672</v>
      </c>
      <c r="BA71">
        <v>0</v>
      </c>
      <c r="BC71" t="s">
        <v>157</v>
      </c>
      <c r="BF71" t="s">
        <v>2673</v>
      </c>
    </row>
    <row r="72" spans="1:58" x14ac:dyDescent="0.35">
      <c r="A72" t="s">
        <v>2674</v>
      </c>
      <c r="B72">
        <v>10000</v>
      </c>
      <c r="C72">
        <v>10000</v>
      </c>
      <c r="D72" s="2">
        <v>45728</v>
      </c>
      <c r="E72" t="s">
        <v>61</v>
      </c>
      <c r="F72" t="s">
        <v>2457</v>
      </c>
      <c r="G72">
        <v>1006323</v>
      </c>
      <c r="I72">
        <v>1</v>
      </c>
      <c r="J72" t="s">
        <v>63</v>
      </c>
      <c r="K72">
        <v>63</v>
      </c>
      <c r="L72" t="s">
        <v>519</v>
      </c>
      <c r="M72" s="4">
        <v>5000</v>
      </c>
      <c r="P72" s="2">
        <v>45727</v>
      </c>
      <c r="R72">
        <v>40</v>
      </c>
      <c r="S72" s="4">
        <v>200000</v>
      </c>
      <c r="T72" t="s">
        <v>65</v>
      </c>
      <c r="U72" t="s">
        <v>2466</v>
      </c>
      <c r="V72">
        <v>0</v>
      </c>
      <c r="W72" s="4">
        <v>200000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2467</v>
      </c>
      <c r="AN72" t="s">
        <v>157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2675</v>
      </c>
      <c r="BA72">
        <v>0</v>
      </c>
      <c r="BC72" t="s">
        <v>157</v>
      </c>
      <c r="BF72" t="s">
        <v>2676</v>
      </c>
    </row>
    <row r="73" spans="1:58" x14ac:dyDescent="0.35">
      <c r="A73" t="s">
        <v>2677</v>
      </c>
      <c r="B73">
        <v>10000</v>
      </c>
      <c r="C73">
        <v>10000</v>
      </c>
      <c r="D73" s="2">
        <v>45728</v>
      </c>
      <c r="E73" t="s">
        <v>61</v>
      </c>
      <c r="F73" t="s">
        <v>2457</v>
      </c>
      <c r="G73" t="s">
        <v>518</v>
      </c>
      <c r="I73">
        <v>1</v>
      </c>
      <c r="J73" t="s">
        <v>63</v>
      </c>
      <c r="K73">
        <v>63</v>
      </c>
      <c r="L73" t="s">
        <v>519</v>
      </c>
      <c r="M73" s="4">
        <v>2000</v>
      </c>
      <c r="P73" s="2">
        <v>45727</v>
      </c>
      <c r="R73">
        <v>60</v>
      </c>
      <c r="S73" s="4">
        <v>120000</v>
      </c>
      <c r="T73" t="s">
        <v>65</v>
      </c>
      <c r="U73" t="s">
        <v>2642</v>
      </c>
      <c r="V73">
        <v>0</v>
      </c>
      <c r="W73" s="4">
        <v>120000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2643</v>
      </c>
      <c r="AN73" t="s">
        <v>157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2678</v>
      </c>
      <c r="BA73">
        <v>0</v>
      </c>
      <c r="BC73" t="s">
        <v>157</v>
      </c>
      <c r="BF73" t="s">
        <v>2679</v>
      </c>
    </row>
    <row r="74" spans="1:58" x14ac:dyDescent="0.35">
      <c r="A74" t="s">
        <v>2680</v>
      </c>
      <c r="B74">
        <v>10000</v>
      </c>
      <c r="C74">
        <v>10000</v>
      </c>
      <c r="D74" s="2">
        <v>45733</v>
      </c>
      <c r="E74" t="s">
        <v>61</v>
      </c>
      <c r="F74" t="s">
        <v>2326</v>
      </c>
      <c r="G74" t="s">
        <v>2289</v>
      </c>
      <c r="I74">
        <v>1</v>
      </c>
      <c r="J74" t="s">
        <v>63</v>
      </c>
      <c r="K74">
        <v>78</v>
      </c>
      <c r="L74" t="s">
        <v>188</v>
      </c>
      <c r="M74" s="4">
        <v>5500</v>
      </c>
      <c r="P74" s="2">
        <v>45727</v>
      </c>
      <c r="R74">
        <v>16</v>
      </c>
      <c r="S74" s="4">
        <v>88000</v>
      </c>
      <c r="T74" t="s">
        <v>65</v>
      </c>
      <c r="U74" t="s">
        <v>2290</v>
      </c>
      <c r="V74">
        <v>0</v>
      </c>
      <c r="W74" s="4">
        <v>80000</v>
      </c>
      <c r="X74" s="4">
        <v>8000</v>
      </c>
      <c r="Y74">
        <v>0</v>
      </c>
      <c r="Z74">
        <v>0</v>
      </c>
      <c r="AA74">
        <v>0</v>
      </c>
      <c r="AD74">
        <v>0</v>
      </c>
      <c r="AM74" t="s">
        <v>2291</v>
      </c>
      <c r="AN74" t="s">
        <v>157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2681</v>
      </c>
      <c r="BA74">
        <v>0</v>
      </c>
      <c r="BC74" t="s">
        <v>157</v>
      </c>
      <c r="BF74" t="s">
        <v>2682</v>
      </c>
    </row>
    <row r="75" spans="1:58" x14ac:dyDescent="0.35">
      <c r="A75" t="s">
        <v>2683</v>
      </c>
      <c r="B75">
        <v>10000</v>
      </c>
      <c r="C75">
        <v>10000</v>
      </c>
      <c r="D75" s="2">
        <v>45730</v>
      </c>
      <c r="E75" t="s">
        <v>61</v>
      </c>
      <c r="F75" t="s">
        <v>2684</v>
      </c>
      <c r="G75" t="s">
        <v>2289</v>
      </c>
      <c r="I75">
        <v>1</v>
      </c>
      <c r="J75" t="s">
        <v>63</v>
      </c>
      <c r="K75">
        <v>78</v>
      </c>
      <c r="L75" t="s">
        <v>188</v>
      </c>
      <c r="M75" s="4">
        <v>5500</v>
      </c>
      <c r="P75" s="2">
        <v>45727</v>
      </c>
      <c r="R75">
        <v>16</v>
      </c>
      <c r="S75" s="4">
        <v>88000</v>
      </c>
      <c r="T75" t="s">
        <v>65</v>
      </c>
      <c r="U75" t="s">
        <v>1740</v>
      </c>
      <c r="V75">
        <v>0</v>
      </c>
      <c r="W75" s="4">
        <v>80000</v>
      </c>
      <c r="X75" s="4">
        <v>8000</v>
      </c>
      <c r="Y75">
        <v>0</v>
      </c>
      <c r="Z75">
        <v>0</v>
      </c>
      <c r="AA75">
        <v>0</v>
      </c>
      <c r="AD75">
        <v>0</v>
      </c>
      <c r="AM75" t="s">
        <v>1741</v>
      </c>
      <c r="AN75" t="s">
        <v>157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2685</v>
      </c>
      <c r="BA75">
        <v>0</v>
      </c>
      <c r="BC75" t="s">
        <v>157</v>
      </c>
      <c r="BF75" t="s">
        <v>2686</v>
      </c>
    </row>
    <row r="76" spans="1:58" x14ac:dyDescent="0.35">
      <c r="A76" t="s">
        <v>2687</v>
      </c>
      <c r="B76">
        <v>10000</v>
      </c>
      <c r="C76">
        <v>10000</v>
      </c>
      <c r="D76" s="2">
        <v>45730</v>
      </c>
      <c r="E76" t="s">
        <v>61</v>
      </c>
      <c r="F76" t="s">
        <v>2684</v>
      </c>
      <c r="G76" t="s">
        <v>2289</v>
      </c>
      <c r="I76">
        <v>1</v>
      </c>
      <c r="J76" t="s">
        <v>63</v>
      </c>
      <c r="K76">
        <v>78</v>
      </c>
      <c r="L76" t="s">
        <v>188</v>
      </c>
      <c r="M76" s="4">
        <v>5500</v>
      </c>
      <c r="P76" s="2">
        <v>45727</v>
      </c>
      <c r="R76">
        <v>16</v>
      </c>
      <c r="S76" s="4">
        <v>88000</v>
      </c>
      <c r="T76" t="s">
        <v>65</v>
      </c>
      <c r="U76" t="s">
        <v>1740</v>
      </c>
      <c r="V76">
        <v>0</v>
      </c>
      <c r="W76" s="4">
        <v>80000</v>
      </c>
      <c r="X76" s="4">
        <v>8000</v>
      </c>
      <c r="Y76">
        <v>0</v>
      </c>
      <c r="Z76">
        <v>0</v>
      </c>
      <c r="AA76">
        <v>0</v>
      </c>
      <c r="AD76">
        <v>0</v>
      </c>
      <c r="AM76" t="s">
        <v>1741</v>
      </c>
      <c r="AN76" t="s">
        <v>157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2688</v>
      </c>
      <c r="BA76">
        <v>0</v>
      </c>
      <c r="BC76" t="s">
        <v>157</v>
      </c>
      <c r="BF76" t="s">
        <v>2689</v>
      </c>
    </row>
    <row r="77" spans="1:58" x14ac:dyDescent="0.35">
      <c r="A77" t="s">
        <v>2690</v>
      </c>
      <c r="B77">
        <v>10000</v>
      </c>
      <c r="C77">
        <v>10000</v>
      </c>
      <c r="D77" s="2">
        <v>45730</v>
      </c>
      <c r="E77" t="s">
        <v>61</v>
      </c>
      <c r="F77" t="s">
        <v>2691</v>
      </c>
      <c r="G77">
        <v>12190705006</v>
      </c>
      <c r="I77">
        <v>1</v>
      </c>
      <c r="J77" t="s">
        <v>63</v>
      </c>
      <c r="K77" t="s">
        <v>2482</v>
      </c>
      <c r="L77" t="s">
        <v>154</v>
      </c>
      <c r="M77" s="4">
        <v>35000</v>
      </c>
      <c r="P77" s="2">
        <v>45727</v>
      </c>
      <c r="R77">
        <v>2</v>
      </c>
      <c r="S77" s="4">
        <v>70000</v>
      </c>
      <c r="T77" t="s">
        <v>65</v>
      </c>
      <c r="U77" t="s">
        <v>803</v>
      </c>
      <c r="V77">
        <v>0</v>
      </c>
      <c r="W77" s="4">
        <v>70000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804</v>
      </c>
      <c r="AN77" t="s">
        <v>157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2692</v>
      </c>
      <c r="BA77">
        <v>0</v>
      </c>
      <c r="BC77" t="s">
        <v>157</v>
      </c>
      <c r="BF77" t="s">
        <v>2693</v>
      </c>
    </row>
    <row r="78" spans="1:58" x14ac:dyDescent="0.35">
      <c r="A78" t="s">
        <v>2694</v>
      </c>
      <c r="B78">
        <v>10000</v>
      </c>
      <c r="C78">
        <v>10000</v>
      </c>
      <c r="D78" s="2">
        <v>45728</v>
      </c>
      <c r="E78" t="s">
        <v>61</v>
      </c>
      <c r="F78" t="s">
        <v>2303</v>
      </c>
      <c r="G78" t="s">
        <v>860</v>
      </c>
      <c r="I78">
        <v>1</v>
      </c>
      <c r="J78" t="s">
        <v>63</v>
      </c>
      <c r="K78">
        <v>26</v>
      </c>
      <c r="L78" t="s">
        <v>249</v>
      </c>
      <c r="M78" s="4">
        <v>4500</v>
      </c>
      <c r="P78" s="2">
        <v>45727</v>
      </c>
      <c r="R78">
        <v>4</v>
      </c>
      <c r="S78" s="4">
        <v>18000</v>
      </c>
      <c r="T78" t="s">
        <v>65</v>
      </c>
      <c r="U78" t="s">
        <v>2695</v>
      </c>
      <c r="V78">
        <v>0</v>
      </c>
      <c r="W78" s="4">
        <v>18000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2696</v>
      </c>
      <c r="AN78" t="s">
        <v>175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2697</v>
      </c>
      <c r="BA78">
        <v>0</v>
      </c>
      <c r="BC78" t="s">
        <v>175</v>
      </c>
      <c r="BF78" t="s">
        <v>2698</v>
      </c>
    </row>
    <row r="79" spans="1:58" x14ac:dyDescent="0.35">
      <c r="A79" t="s">
        <v>2699</v>
      </c>
      <c r="B79">
        <v>10000</v>
      </c>
      <c r="C79">
        <v>10000</v>
      </c>
      <c r="D79" s="2">
        <v>45727</v>
      </c>
      <c r="E79" t="s">
        <v>61</v>
      </c>
      <c r="F79" t="s">
        <v>2700</v>
      </c>
      <c r="G79" t="s">
        <v>860</v>
      </c>
      <c r="I79">
        <v>1</v>
      </c>
      <c r="J79" t="s">
        <v>63</v>
      </c>
      <c r="K79">
        <v>26</v>
      </c>
      <c r="L79" t="s">
        <v>249</v>
      </c>
      <c r="M79" s="4">
        <v>4500</v>
      </c>
      <c r="P79" s="2">
        <v>45727</v>
      </c>
      <c r="R79">
        <v>4</v>
      </c>
      <c r="S79" s="4">
        <v>18000</v>
      </c>
      <c r="T79" t="s">
        <v>65</v>
      </c>
      <c r="U79" t="s">
        <v>1003</v>
      </c>
      <c r="V79">
        <v>0</v>
      </c>
      <c r="W79" s="4">
        <v>18000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1004</v>
      </c>
      <c r="AN79" t="s">
        <v>175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2701</v>
      </c>
      <c r="BA79">
        <v>0</v>
      </c>
      <c r="BC79" t="s">
        <v>175</v>
      </c>
      <c r="BF79" t="s">
        <v>2702</v>
      </c>
    </row>
    <row r="80" spans="1:58" x14ac:dyDescent="0.35">
      <c r="A80" t="s">
        <v>2703</v>
      </c>
      <c r="B80">
        <v>10000</v>
      </c>
      <c r="C80">
        <v>10000</v>
      </c>
      <c r="D80" s="2">
        <v>45728</v>
      </c>
      <c r="E80" t="s">
        <v>61</v>
      </c>
      <c r="F80" t="s">
        <v>2486</v>
      </c>
      <c r="G80" t="s">
        <v>518</v>
      </c>
      <c r="I80">
        <v>1</v>
      </c>
      <c r="J80" t="s">
        <v>63</v>
      </c>
      <c r="K80">
        <v>63</v>
      </c>
      <c r="L80" t="s">
        <v>519</v>
      </c>
      <c r="M80" s="4">
        <v>2000</v>
      </c>
      <c r="P80" s="2">
        <v>45727</v>
      </c>
      <c r="R80">
        <v>40</v>
      </c>
      <c r="S80" s="4">
        <v>80000</v>
      </c>
      <c r="T80" t="s">
        <v>65</v>
      </c>
      <c r="U80" t="s">
        <v>520</v>
      </c>
      <c r="V80">
        <v>0</v>
      </c>
      <c r="W80" s="4">
        <v>80000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521</v>
      </c>
      <c r="AN80" t="s">
        <v>175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2704</v>
      </c>
      <c r="BA80">
        <v>0</v>
      </c>
      <c r="BC80" t="s">
        <v>175</v>
      </c>
      <c r="BF80" t="s">
        <v>2705</v>
      </c>
    </row>
    <row r="81" spans="1:58" x14ac:dyDescent="0.35">
      <c r="A81" t="s">
        <v>2706</v>
      </c>
      <c r="B81">
        <v>10000</v>
      </c>
      <c r="C81">
        <v>10000</v>
      </c>
      <c r="D81" s="2">
        <v>45733</v>
      </c>
      <c r="E81" t="s">
        <v>61</v>
      </c>
      <c r="F81" t="s">
        <v>2707</v>
      </c>
      <c r="G81" t="s">
        <v>2708</v>
      </c>
      <c r="I81">
        <v>1</v>
      </c>
      <c r="J81" t="s">
        <v>63</v>
      </c>
      <c r="K81">
        <v>62</v>
      </c>
      <c r="L81" t="s">
        <v>385</v>
      </c>
      <c r="M81" s="4">
        <v>150000</v>
      </c>
      <c r="P81" s="2">
        <v>45727</v>
      </c>
      <c r="R81">
        <v>1</v>
      </c>
      <c r="S81" s="4">
        <v>150000</v>
      </c>
      <c r="T81" t="s">
        <v>65</v>
      </c>
      <c r="U81" t="s">
        <v>2488</v>
      </c>
      <c r="V81">
        <v>0</v>
      </c>
      <c r="W81" s="4">
        <v>150000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2489</v>
      </c>
      <c r="AN81" t="s">
        <v>175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2709</v>
      </c>
      <c r="BA81">
        <v>0</v>
      </c>
      <c r="BC81" t="s">
        <v>175</v>
      </c>
      <c r="BF81" t="s">
        <v>2710</v>
      </c>
    </row>
    <row r="82" spans="1:58" x14ac:dyDescent="0.35">
      <c r="A82" t="s">
        <v>2711</v>
      </c>
      <c r="B82">
        <v>10000</v>
      </c>
      <c r="C82">
        <v>10000</v>
      </c>
      <c r="D82" s="2">
        <v>45728</v>
      </c>
      <c r="E82" t="s">
        <v>61</v>
      </c>
      <c r="F82" s="3">
        <v>0.44052083333333331</v>
      </c>
      <c r="G82" t="s">
        <v>2712</v>
      </c>
      <c r="I82">
        <v>1</v>
      </c>
      <c r="J82" t="s">
        <v>63</v>
      </c>
      <c r="K82">
        <v>88</v>
      </c>
      <c r="L82" t="s">
        <v>630</v>
      </c>
      <c r="M82">
        <v>20</v>
      </c>
      <c r="P82" s="2">
        <v>45727</v>
      </c>
      <c r="R82">
        <v>1</v>
      </c>
      <c r="S82">
        <v>20</v>
      </c>
      <c r="T82" t="s">
        <v>65</v>
      </c>
      <c r="U82">
        <v>107456090001</v>
      </c>
      <c r="V82">
        <v>0</v>
      </c>
      <c r="W82">
        <v>10</v>
      </c>
      <c r="X82">
        <v>10</v>
      </c>
      <c r="Y82">
        <v>0</v>
      </c>
      <c r="Z82">
        <v>0</v>
      </c>
      <c r="AA82">
        <v>0</v>
      </c>
      <c r="AD82">
        <v>0</v>
      </c>
      <c r="AM82">
        <v>10745609</v>
      </c>
      <c r="AN82" t="s">
        <v>487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2713</v>
      </c>
      <c r="BA82">
        <v>0</v>
      </c>
      <c r="BC82" t="s">
        <v>487</v>
      </c>
      <c r="BF82" t="s">
        <v>2714</v>
      </c>
    </row>
    <row r="83" spans="1:58" x14ac:dyDescent="0.35">
      <c r="A83" t="s">
        <v>2711</v>
      </c>
      <c r="B83">
        <v>10000</v>
      </c>
      <c r="C83">
        <v>20000</v>
      </c>
      <c r="D83" s="2">
        <v>45728</v>
      </c>
      <c r="E83" t="s">
        <v>61</v>
      </c>
      <c r="F83" s="3">
        <v>0.44052083333333331</v>
      </c>
      <c r="G83" t="s">
        <v>2712</v>
      </c>
      <c r="I83">
        <v>2</v>
      </c>
      <c r="J83" t="s">
        <v>63</v>
      </c>
      <c r="K83">
        <v>100</v>
      </c>
      <c r="L83" t="s">
        <v>424</v>
      </c>
      <c r="M83">
        <v>20</v>
      </c>
      <c r="P83" s="2">
        <v>45727</v>
      </c>
      <c r="R83">
        <v>1</v>
      </c>
      <c r="S83">
        <v>20</v>
      </c>
      <c r="T83" t="s">
        <v>65</v>
      </c>
      <c r="U83">
        <v>107456090001</v>
      </c>
      <c r="V83">
        <v>0</v>
      </c>
      <c r="W83">
        <v>10</v>
      </c>
      <c r="X83">
        <v>10</v>
      </c>
      <c r="Y83">
        <v>0</v>
      </c>
      <c r="Z83">
        <v>0</v>
      </c>
      <c r="AA83">
        <v>0</v>
      </c>
      <c r="AD83">
        <v>0</v>
      </c>
      <c r="AM83">
        <v>10745609</v>
      </c>
      <c r="AN83" t="s">
        <v>487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2713</v>
      </c>
      <c r="BA83">
        <v>0</v>
      </c>
      <c r="BC83" t="s">
        <v>487</v>
      </c>
      <c r="BF83" t="s">
        <v>2714</v>
      </c>
    </row>
    <row r="84" spans="1:58" x14ac:dyDescent="0.35">
      <c r="A84" t="s">
        <v>2715</v>
      </c>
      <c r="B84">
        <v>10000</v>
      </c>
      <c r="C84">
        <v>10000</v>
      </c>
      <c r="D84" s="2">
        <v>45728</v>
      </c>
      <c r="E84" t="s">
        <v>61</v>
      </c>
      <c r="F84" t="s">
        <v>2716</v>
      </c>
      <c r="G84" t="s">
        <v>180</v>
      </c>
      <c r="I84">
        <v>1</v>
      </c>
      <c r="J84" t="s">
        <v>63</v>
      </c>
      <c r="K84">
        <v>59</v>
      </c>
      <c r="L84" t="s">
        <v>745</v>
      </c>
      <c r="M84" s="4">
        <v>15000</v>
      </c>
      <c r="P84" s="2">
        <v>45727</v>
      </c>
      <c r="R84">
        <v>2</v>
      </c>
      <c r="S84" s="4">
        <v>30000</v>
      </c>
      <c r="T84" t="s">
        <v>65</v>
      </c>
      <c r="U84">
        <v>200748640001</v>
      </c>
      <c r="V84">
        <v>0</v>
      </c>
      <c r="W84" s="4">
        <v>30000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20074864</v>
      </c>
      <c r="AN84" t="s">
        <v>182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2717</v>
      </c>
      <c r="BA84">
        <v>0</v>
      </c>
      <c r="BC84" t="s">
        <v>182</v>
      </c>
      <c r="BF84" t="s">
        <v>2718</v>
      </c>
    </row>
    <row r="85" spans="1:58" x14ac:dyDescent="0.35">
      <c r="A85" t="s">
        <v>2719</v>
      </c>
      <c r="B85">
        <v>10000</v>
      </c>
      <c r="C85">
        <v>10000</v>
      </c>
      <c r="D85" s="2">
        <v>45727</v>
      </c>
      <c r="E85" t="s">
        <v>61</v>
      </c>
      <c r="F85" s="3">
        <v>0.43938657407407405</v>
      </c>
      <c r="G85" t="s">
        <v>2052</v>
      </c>
      <c r="I85">
        <v>1</v>
      </c>
      <c r="J85" t="s">
        <v>63</v>
      </c>
      <c r="K85">
        <v>59</v>
      </c>
      <c r="L85" t="s">
        <v>745</v>
      </c>
      <c r="M85">
        <v>373</v>
      </c>
      <c r="P85" s="2">
        <v>45727</v>
      </c>
      <c r="R85">
        <v>4</v>
      </c>
      <c r="S85" s="4">
        <v>1492</v>
      </c>
      <c r="T85" t="s">
        <v>65</v>
      </c>
      <c r="U85">
        <v>112888630001</v>
      </c>
      <c r="V85">
        <v>0</v>
      </c>
      <c r="W85" s="4">
        <v>1490</v>
      </c>
      <c r="X85">
        <v>2</v>
      </c>
      <c r="Y85">
        <v>0</v>
      </c>
      <c r="Z85">
        <v>0</v>
      </c>
      <c r="AA85">
        <v>0</v>
      </c>
      <c r="AD85">
        <v>0</v>
      </c>
      <c r="AM85">
        <v>11288863</v>
      </c>
      <c r="AN85" t="s">
        <v>182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2720</v>
      </c>
      <c r="BA85">
        <v>0</v>
      </c>
      <c r="BC85" t="s">
        <v>182</v>
      </c>
      <c r="BF85" t="s">
        <v>2721</v>
      </c>
    </row>
    <row r="86" spans="1:58" x14ac:dyDescent="0.35">
      <c r="A86" t="s">
        <v>2722</v>
      </c>
      <c r="B86">
        <v>10000</v>
      </c>
      <c r="C86">
        <v>10000</v>
      </c>
      <c r="D86" s="2">
        <v>45727</v>
      </c>
      <c r="E86" t="s">
        <v>61</v>
      </c>
      <c r="F86" t="s">
        <v>2700</v>
      </c>
      <c r="G86" t="s">
        <v>2052</v>
      </c>
      <c r="I86">
        <v>1</v>
      </c>
      <c r="J86" t="s">
        <v>63</v>
      </c>
      <c r="K86">
        <v>59</v>
      </c>
      <c r="L86" t="s">
        <v>745</v>
      </c>
      <c r="M86">
        <v>373</v>
      </c>
      <c r="P86" s="2">
        <v>45727</v>
      </c>
      <c r="R86">
        <v>4</v>
      </c>
      <c r="S86" s="4">
        <v>1490</v>
      </c>
      <c r="T86" t="s">
        <v>65</v>
      </c>
      <c r="U86">
        <v>112888120001</v>
      </c>
      <c r="V86">
        <v>0</v>
      </c>
      <c r="W86" s="4">
        <v>1490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11288812</v>
      </c>
      <c r="AN86" t="s">
        <v>182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2723</v>
      </c>
      <c r="BA86">
        <v>0</v>
      </c>
      <c r="BC86" t="s">
        <v>182</v>
      </c>
      <c r="BF86" t="s">
        <v>2724</v>
      </c>
    </row>
    <row r="87" spans="1:58" x14ac:dyDescent="0.35">
      <c r="A87" t="s">
        <v>2722</v>
      </c>
      <c r="B87">
        <v>20000</v>
      </c>
      <c r="C87">
        <v>10000</v>
      </c>
      <c r="D87" s="2">
        <v>45727</v>
      </c>
      <c r="E87" t="s">
        <v>61</v>
      </c>
      <c r="F87" t="s">
        <v>2700</v>
      </c>
      <c r="G87" t="s">
        <v>2052</v>
      </c>
      <c r="I87">
        <v>1</v>
      </c>
      <c r="J87" t="s">
        <v>63</v>
      </c>
      <c r="K87">
        <v>59</v>
      </c>
      <c r="L87" t="s">
        <v>745</v>
      </c>
      <c r="M87">
        <v>373</v>
      </c>
      <c r="P87" s="2">
        <v>45727</v>
      </c>
      <c r="R87">
        <v>4</v>
      </c>
      <c r="S87" s="4">
        <v>1490</v>
      </c>
      <c r="T87" t="s">
        <v>65</v>
      </c>
      <c r="U87">
        <v>112888120001</v>
      </c>
      <c r="V87">
        <v>0</v>
      </c>
      <c r="W87" s="4">
        <v>1490</v>
      </c>
      <c r="X87">
        <v>0</v>
      </c>
      <c r="Y87">
        <v>0</v>
      </c>
      <c r="Z87">
        <v>0</v>
      </c>
      <c r="AA87">
        <v>0</v>
      </c>
      <c r="AD87">
        <v>0</v>
      </c>
      <c r="AM87">
        <v>11288812</v>
      </c>
      <c r="AN87" t="s">
        <v>182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2723</v>
      </c>
      <c r="BA87">
        <v>0</v>
      </c>
      <c r="BC87" t="s">
        <v>182</v>
      </c>
      <c r="BF87" t="s">
        <v>2724</v>
      </c>
    </row>
    <row r="88" spans="1:58" x14ac:dyDescent="0.35">
      <c r="A88" t="s">
        <v>2725</v>
      </c>
      <c r="B88">
        <v>10000</v>
      </c>
      <c r="C88">
        <v>10000</v>
      </c>
      <c r="D88" s="2">
        <v>45727</v>
      </c>
      <c r="E88" t="s">
        <v>61</v>
      </c>
      <c r="F88" s="3">
        <v>0.47438657407407409</v>
      </c>
      <c r="G88" t="s">
        <v>2052</v>
      </c>
      <c r="I88">
        <v>1</v>
      </c>
      <c r="J88" t="s">
        <v>63</v>
      </c>
      <c r="K88">
        <v>59</v>
      </c>
      <c r="L88" t="s">
        <v>745</v>
      </c>
      <c r="M88">
        <v>373</v>
      </c>
      <c r="P88" s="2">
        <v>45727</v>
      </c>
      <c r="R88">
        <v>4</v>
      </c>
      <c r="S88" s="4">
        <v>1492</v>
      </c>
      <c r="T88" t="s">
        <v>65</v>
      </c>
      <c r="U88">
        <v>113275270001</v>
      </c>
      <c r="V88">
        <v>0</v>
      </c>
      <c r="W88" s="4">
        <v>1490</v>
      </c>
      <c r="X88">
        <v>2</v>
      </c>
      <c r="Y88">
        <v>0</v>
      </c>
      <c r="Z88">
        <v>0</v>
      </c>
      <c r="AA88">
        <v>0</v>
      </c>
      <c r="AD88">
        <v>0</v>
      </c>
      <c r="AM88">
        <v>11327527</v>
      </c>
      <c r="AN88" t="s">
        <v>182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2726</v>
      </c>
      <c r="BA88">
        <v>0</v>
      </c>
      <c r="BC88" t="s">
        <v>182</v>
      </c>
      <c r="BF88" t="s">
        <v>2727</v>
      </c>
    </row>
    <row r="89" spans="1:58" x14ac:dyDescent="0.35">
      <c r="A89" t="s">
        <v>2728</v>
      </c>
      <c r="B89">
        <v>10000</v>
      </c>
      <c r="C89">
        <v>10000</v>
      </c>
      <c r="D89" s="2">
        <v>45727</v>
      </c>
      <c r="E89" t="s">
        <v>61</v>
      </c>
      <c r="F89" t="s">
        <v>2568</v>
      </c>
      <c r="G89" t="s">
        <v>418</v>
      </c>
      <c r="I89">
        <v>1</v>
      </c>
      <c r="J89" t="s">
        <v>63</v>
      </c>
      <c r="K89">
        <v>59</v>
      </c>
      <c r="L89" t="s">
        <v>745</v>
      </c>
      <c r="M89">
        <v>400</v>
      </c>
      <c r="P89" s="2">
        <v>45727</v>
      </c>
      <c r="R89">
        <v>10</v>
      </c>
      <c r="S89" s="4">
        <v>4000</v>
      </c>
      <c r="T89" t="s">
        <v>65</v>
      </c>
      <c r="U89">
        <v>112063620001</v>
      </c>
      <c r="V89">
        <v>0</v>
      </c>
      <c r="W89" s="4">
        <v>4000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11206362</v>
      </c>
      <c r="AN89" t="s">
        <v>182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2729</v>
      </c>
      <c r="BA89">
        <v>0</v>
      </c>
      <c r="BC89" t="s">
        <v>182</v>
      </c>
      <c r="BF89" t="s">
        <v>2730</v>
      </c>
    </row>
    <row r="90" spans="1:58" x14ac:dyDescent="0.35">
      <c r="A90" t="s">
        <v>2731</v>
      </c>
      <c r="B90">
        <v>10000</v>
      </c>
      <c r="C90">
        <v>10000</v>
      </c>
      <c r="D90" s="2">
        <v>45727</v>
      </c>
      <c r="E90" t="s">
        <v>61</v>
      </c>
      <c r="F90" t="s">
        <v>2572</v>
      </c>
      <c r="G90" t="s">
        <v>418</v>
      </c>
      <c r="I90">
        <v>1</v>
      </c>
      <c r="J90" t="s">
        <v>63</v>
      </c>
      <c r="K90">
        <v>59</v>
      </c>
      <c r="L90" t="s">
        <v>745</v>
      </c>
      <c r="M90">
        <v>200</v>
      </c>
      <c r="P90" s="2">
        <v>45727</v>
      </c>
      <c r="R90">
        <v>10</v>
      </c>
      <c r="S90" s="4">
        <v>2000</v>
      </c>
      <c r="T90" t="s">
        <v>65</v>
      </c>
      <c r="U90">
        <v>112026100001</v>
      </c>
      <c r="V90">
        <v>0</v>
      </c>
      <c r="W90" s="4">
        <v>2000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11202610</v>
      </c>
      <c r="AN90" t="s">
        <v>182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2732</v>
      </c>
      <c r="BA90">
        <v>0</v>
      </c>
      <c r="BC90" t="s">
        <v>182</v>
      </c>
      <c r="BF90" t="s">
        <v>2733</v>
      </c>
    </row>
    <row r="91" spans="1:58" x14ac:dyDescent="0.35">
      <c r="A91" t="s">
        <v>2734</v>
      </c>
      <c r="B91">
        <v>10000</v>
      </c>
      <c r="C91">
        <v>10000</v>
      </c>
      <c r="D91" s="2">
        <v>45727</v>
      </c>
      <c r="E91" t="s">
        <v>61</v>
      </c>
      <c r="F91" t="s">
        <v>2572</v>
      </c>
      <c r="G91" t="s">
        <v>418</v>
      </c>
      <c r="I91">
        <v>1</v>
      </c>
      <c r="J91" t="s">
        <v>63</v>
      </c>
      <c r="K91">
        <v>59</v>
      </c>
      <c r="L91" t="s">
        <v>745</v>
      </c>
      <c r="M91">
        <v>200</v>
      </c>
      <c r="P91" s="2">
        <v>45727</v>
      </c>
      <c r="R91">
        <v>10</v>
      </c>
      <c r="S91" s="4">
        <v>2000</v>
      </c>
      <c r="T91" t="s">
        <v>65</v>
      </c>
      <c r="U91">
        <v>112026100001</v>
      </c>
      <c r="V91">
        <v>0</v>
      </c>
      <c r="W91" s="4">
        <v>2000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11202610</v>
      </c>
      <c r="AN91" t="s">
        <v>182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2735</v>
      </c>
      <c r="BA91">
        <v>0</v>
      </c>
      <c r="BC91" t="s">
        <v>182</v>
      </c>
      <c r="BF91" t="s">
        <v>2736</v>
      </c>
    </row>
    <row r="92" spans="1:58" x14ac:dyDescent="0.35">
      <c r="A92" t="s">
        <v>2737</v>
      </c>
      <c r="B92">
        <v>10000</v>
      </c>
      <c r="C92">
        <v>10000</v>
      </c>
      <c r="D92" s="2">
        <v>45728</v>
      </c>
      <c r="E92" t="s">
        <v>61</v>
      </c>
      <c r="F92" t="s">
        <v>2738</v>
      </c>
      <c r="G92">
        <v>860909190840</v>
      </c>
      <c r="I92">
        <v>1</v>
      </c>
      <c r="J92" t="s">
        <v>63</v>
      </c>
      <c r="K92">
        <v>79</v>
      </c>
      <c r="L92" t="s">
        <v>573</v>
      </c>
      <c r="M92">
        <v>96</v>
      </c>
      <c r="P92" s="2">
        <v>45727</v>
      </c>
      <c r="R92">
        <v>42</v>
      </c>
      <c r="S92" s="4">
        <v>4032</v>
      </c>
      <c r="T92" t="s">
        <v>65</v>
      </c>
      <c r="U92">
        <v>200909620001</v>
      </c>
      <c r="V92">
        <v>0</v>
      </c>
      <c r="W92" s="4">
        <v>2000</v>
      </c>
      <c r="X92" s="4">
        <v>2032</v>
      </c>
      <c r="Y92">
        <v>0</v>
      </c>
      <c r="Z92">
        <v>0</v>
      </c>
      <c r="AA92">
        <v>0</v>
      </c>
      <c r="AD92">
        <v>0</v>
      </c>
      <c r="AM92">
        <v>20090962</v>
      </c>
      <c r="AN92" t="s">
        <v>182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2739</v>
      </c>
      <c r="BA92">
        <v>0</v>
      </c>
      <c r="BC92" t="s">
        <v>182</v>
      </c>
      <c r="BF92" t="s">
        <v>2740</v>
      </c>
    </row>
    <row r="93" spans="1:58" x14ac:dyDescent="0.35">
      <c r="A93" t="s">
        <v>2741</v>
      </c>
      <c r="B93">
        <v>10000</v>
      </c>
      <c r="C93">
        <v>10000</v>
      </c>
      <c r="D93" s="2">
        <v>45728</v>
      </c>
      <c r="E93" t="s">
        <v>61</v>
      </c>
      <c r="F93" t="s">
        <v>2742</v>
      </c>
      <c r="G93">
        <v>860909190840</v>
      </c>
      <c r="I93">
        <v>1</v>
      </c>
      <c r="J93" t="s">
        <v>63</v>
      </c>
      <c r="K93">
        <v>79</v>
      </c>
      <c r="L93" t="s">
        <v>573</v>
      </c>
      <c r="M93">
        <v>239</v>
      </c>
      <c r="P93" s="2">
        <v>45727</v>
      </c>
      <c r="R93">
        <v>42</v>
      </c>
      <c r="S93" s="4">
        <v>10038</v>
      </c>
      <c r="T93" t="s">
        <v>65</v>
      </c>
      <c r="U93">
        <v>200909620001</v>
      </c>
      <c r="V93">
        <v>0</v>
      </c>
      <c r="W93" s="4">
        <v>9000</v>
      </c>
      <c r="X93" s="4">
        <v>1038</v>
      </c>
      <c r="Y93">
        <v>0</v>
      </c>
      <c r="Z93">
        <v>0</v>
      </c>
      <c r="AA93">
        <v>0</v>
      </c>
      <c r="AD93">
        <v>0</v>
      </c>
      <c r="AM93">
        <v>20090962</v>
      </c>
      <c r="AN93" t="s">
        <v>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2743</v>
      </c>
      <c r="BA93">
        <v>0</v>
      </c>
      <c r="BC93" t="s">
        <v>182</v>
      </c>
      <c r="BF93" t="s">
        <v>2744</v>
      </c>
    </row>
    <row r="94" spans="1:58" x14ac:dyDescent="0.35">
      <c r="A94" t="s">
        <v>2745</v>
      </c>
      <c r="B94">
        <v>10000</v>
      </c>
      <c r="C94">
        <v>10000</v>
      </c>
      <c r="D94" s="2">
        <v>45728</v>
      </c>
      <c r="E94" t="s">
        <v>61</v>
      </c>
      <c r="F94" t="s">
        <v>2746</v>
      </c>
      <c r="G94">
        <v>860909190840</v>
      </c>
      <c r="I94">
        <v>1</v>
      </c>
      <c r="J94" t="s">
        <v>63</v>
      </c>
      <c r="K94">
        <v>79</v>
      </c>
      <c r="L94" t="s">
        <v>573</v>
      </c>
      <c r="M94">
        <v>143</v>
      </c>
      <c r="P94" s="2">
        <v>45727</v>
      </c>
      <c r="R94">
        <v>42</v>
      </c>
      <c r="S94" s="4">
        <v>6022</v>
      </c>
      <c r="T94" t="s">
        <v>65</v>
      </c>
      <c r="U94">
        <v>200717170001</v>
      </c>
      <c r="V94">
        <v>0</v>
      </c>
      <c r="W94" s="4">
        <v>7000</v>
      </c>
      <c r="X94">
        <v>-978</v>
      </c>
      <c r="Y94">
        <v>0</v>
      </c>
      <c r="Z94">
        <v>0</v>
      </c>
      <c r="AA94">
        <v>0</v>
      </c>
      <c r="AD94">
        <v>0</v>
      </c>
      <c r="AM94">
        <v>20071717</v>
      </c>
      <c r="AN94" t="s">
        <v>182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2747</v>
      </c>
      <c r="BA94">
        <v>0</v>
      </c>
      <c r="BC94" t="s">
        <v>182</v>
      </c>
      <c r="BF94" t="s">
        <v>2748</v>
      </c>
    </row>
    <row r="95" spans="1:58" x14ac:dyDescent="0.35">
      <c r="A95" t="s">
        <v>2745</v>
      </c>
      <c r="B95">
        <v>20000</v>
      </c>
      <c r="C95">
        <v>10000</v>
      </c>
      <c r="D95" s="2">
        <v>45728</v>
      </c>
      <c r="E95" t="s">
        <v>61</v>
      </c>
      <c r="F95" t="s">
        <v>2746</v>
      </c>
      <c r="G95">
        <v>860909190840</v>
      </c>
      <c r="I95">
        <v>1</v>
      </c>
      <c r="J95" t="s">
        <v>63</v>
      </c>
      <c r="K95">
        <v>79</v>
      </c>
      <c r="L95" t="s">
        <v>573</v>
      </c>
      <c r="M95">
        <v>48</v>
      </c>
      <c r="P95" s="2">
        <v>45727</v>
      </c>
      <c r="R95">
        <v>42</v>
      </c>
      <c r="S95" s="4">
        <v>2000</v>
      </c>
      <c r="T95" t="s">
        <v>65</v>
      </c>
      <c r="U95">
        <v>200717170001</v>
      </c>
      <c r="V95">
        <v>0</v>
      </c>
      <c r="W95" s="4">
        <v>2000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20071717</v>
      </c>
      <c r="AN95" t="s">
        <v>182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2747</v>
      </c>
      <c r="BA95">
        <v>0</v>
      </c>
      <c r="BC95" t="s">
        <v>182</v>
      </c>
      <c r="BF95" t="s">
        <v>2748</v>
      </c>
    </row>
    <row r="96" spans="1:58" x14ac:dyDescent="0.35">
      <c r="A96" t="s">
        <v>2749</v>
      </c>
      <c r="B96">
        <v>10000</v>
      </c>
      <c r="C96">
        <v>10000</v>
      </c>
      <c r="D96" s="2">
        <v>45728</v>
      </c>
      <c r="E96" t="s">
        <v>61</v>
      </c>
      <c r="F96" t="s">
        <v>2750</v>
      </c>
      <c r="G96">
        <v>860909190840</v>
      </c>
      <c r="I96">
        <v>1</v>
      </c>
      <c r="J96" t="s">
        <v>63</v>
      </c>
      <c r="K96">
        <v>79</v>
      </c>
      <c r="L96" t="s">
        <v>573</v>
      </c>
      <c r="M96">
        <v>334</v>
      </c>
      <c r="P96" s="2">
        <v>45727</v>
      </c>
      <c r="R96">
        <v>36</v>
      </c>
      <c r="S96" s="4">
        <v>12024</v>
      </c>
      <c r="T96" t="s">
        <v>65</v>
      </c>
      <c r="U96">
        <v>200717150001</v>
      </c>
      <c r="V96">
        <v>0</v>
      </c>
      <c r="W96" s="4">
        <v>14000</v>
      </c>
      <c r="X96" s="4">
        <v>-1976</v>
      </c>
      <c r="Y96">
        <v>0</v>
      </c>
      <c r="Z96">
        <v>0</v>
      </c>
      <c r="AA96">
        <v>0</v>
      </c>
      <c r="AD96">
        <v>0</v>
      </c>
      <c r="AM96">
        <v>20071715</v>
      </c>
      <c r="AN96" t="s">
        <v>182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2751</v>
      </c>
      <c r="BA96">
        <v>0</v>
      </c>
      <c r="BC96" t="s">
        <v>182</v>
      </c>
      <c r="BF96" t="s">
        <v>2752</v>
      </c>
    </row>
    <row r="97" spans="1:58" x14ac:dyDescent="0.35">
      <c r="A97" t="s">
        <v>2753</v>
      </c>
      <c r="B97">
        <v>10000</v>
      </c>
      <c r="C97">
        <v>10000</v>
      </c>
      <c r="D97" s="2">
        <v>45728</v>
      </c>
      <c r="E97" t="s">
        <v>61</v>
      </c>
      <c r="F97" t="s">
        <v>2277</v>
      </c>
      <c r="G97" t="s">
        <v>2754</v>
      </c>
      <c r="I97">
        <v>1</v>
      </c>
      <c r="J97" t="s">
        <v>63</v>
      </c>
      <c r="K97">
        <v>65</v>
      </c>
      <c r="L97" t="s">
        <v>268</v>
      </c>
      <c r="M97">
        <v>715</v>
      </c>
      <c r="P97" s="2">
        <v>45727</v>
      </c>
      <c r="R97">
        <v>14</v>
      </c>
      <c r="S97" s="4">
        <v>10010</v>
      </c>
      <c r="T97" t="s">
        <v>65</v>
      </c>
      <c r="U97" t="s">
        <v>2755</v>
      </c>
      <c r="V97">
        <v>0</v>
      </c>
      <c r="W97" s="4">
        <v>10000</v>
      </c>
      <c r="X97">
        <v>10</v>
      </c>
      <c r="Y97">
        <v>0</v>
      </c>
      <c r="Z97">
        <v>0</v>
      </c>
      <c r="AA97">
        <v>0</v>
      </c>
      <c r="AD97">
        <v>0</v>
      </c>
      <c r="AM97" t="s">
        <v>2756</v>
      </c>
      <c r="AN97" t="s">
        <v>206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2757</v>
      </c>
      <c r="BA97">
        <v>0</v>
      </c>
      <c r="BC97" t="s">
        <v>206</v>
      </c>
      <c r="BF97" t="s">
        <v>2758</v>
      </c>
    </row>
    <row r="98" spans="1:58" x14ac:dyDescent="0.35">
      <c r="A98" t="s">
        <v>2759</v>
      </c>
      <c r="B98">
        <v>10000</v>
      </c>
      <c r="C98">
        <v>10000</v>
      </c>
      <c r="D98" s="2">
        <v>45728</v>
      </c>
      <c r="E98" t="s">
        <v>61</v>
      </c>
      <c r="F98" t="s">
        <v>2760</v>
      </c>
      <c r="G98" t="s">
        <v>1773</v>
      </c>
      <c r="I98">
        <v>1</v>
      </c>
      <c r="J98" t="s">
        <v>63</v>
      </c>
      <c r="K98">
        <v>32</v>
      </c>
      <c r="L98" t="s">
        <v>553</v>
      </c>
      <c r="M98" s="4">
        <v>5860</v>
      </c>
      <c r="P98" s="2">
        <v>45727</v>
      </c>
      <c r="R98">
        <v>1</v>
      </c>
      <c r="S98" s="4">
        <v>5860</v>
      </c>
      <c r="T98" t="s">
        <v>65</v>
      </c>
      <c r="U98" t="s">
        <v>2199</v>
      </c>
      <c r="V98">
        <v>0</v>
      </c>
      <c r="W98" s="4">
        <v>5360</v>
      </c>
      <c r="X98">
        <v>500</v>
      </c>
      <c r="Y98">
        <v>0</v>
      </c>
      <c r="Z98">
        <v>0</v>
      </c>
      <c r="AA98">
        <v>0</v>
      </c>
      <c r="AD98">
        <v>0</v>
      </c>
      <c r="AM98" t="s">
        <v>2200</v>
      </c>
      <c r="AN98" t="s">
        <v>116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2761</v>
      </c>
      <c r="BA98">
        <v>0</v>
      </c>
      <c r="BC98" t="s">
        <v>116</v>
      </c>
      <c r="BF98" t="s">
        <v>2762</v>
      </c>
    </row>
    <row r="105" spans="1:58" x14ac:dyDescent="0.35">
      <c r="A105">
        <f>COUNTA(A5:A104)</f>
        <v>94</v>
      </c>
      <c r="B105">
        <f>'10-Mar'!B100+'11-Mar'!A105</f>
        <v>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A868-4793-4923-B8B4-E9C335F56855}">
  <dimension ref="A1:BF110"/>
  <sheetViews>
    <sheetView topLeftCell="A89" workbookViewId="0">
      <selection activeCell="A4" sqref="A4:XFD10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2763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2764</v>
      </c>
      <c r="B5">
        <v>10000</v>
      </c>
      <c r="C5">
        <v>10000</v>
      </c>
      <c r="D5" s="2">
        <v>45733</v>
      </c>
      <c r="E5" t="s">
        <v>61</v>
      </c>
      <c r="F5" t="s">
        <v>2765</v>
      </c>
      <c r="G5" t="s">
        <v>2766</v>
      </c>
      <c r="H5" t="s">
        <v>2767</v>
      </c>
      <c r="I5">
        <v>1</v>
      </c>
      <c r="J5" t="s">
        <v>69</v>
      </c>
      <c r="K5">
        <v>95</v>
      </c>
      <c r="L5" t="s">
        <v>597</v>
      </c>
      <c r="M5" s="4">
        <v>87000</v>
      </c>
      <c r="P5" s="2">
        <v>45728</v>
      </c>
      <c r="R5">
        <v>28</v>
      </c>
      <c r="S5" s="4">
        <v>2436000</v>
      </c>
      <c r="T5" t="s">
        <v>65</v>
      </c>
      <c r="U5" t="s">
        <v>2768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2769</v>
      </c>
      <c r="AN5" t="s">
        <v>116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116</v>
      </c>
      <c r="BF5" t="s">
        <v>2770</v>
      </c>
    </row>
    <row r="6" spans="1:58" x14ac:dyDescent="0.35">
      <c r="A6" t="s">
        <v>2771</v>
      </c>
      <c r="B6">
        <v>10000</v>
      </c>
      <c r="C6">
        <v>10000</v>
      </c>
      <c r="D6" s="2">
        <v>45729</v>
      </c>
      <c r="E6" t="s">
        <v>61</v>
      </c>
      <c r="F6" t="s">
        <v>2772</v>
      </c>
      <c r="G6" t="s">
        <v>2773</v>
      </c>
      <c r="H6" t="s">
        <v>1577</v>
      </c>
      <c r="I6">
        <v>1</v>
      </c>
      <c r="J6" t="s">
        <v>69</v>
      </c>
      <c r="K6">
        <v>94</v>
      </c>
      <c r="L6" t="s">
        <v>181</v>
      </c>
      <c r="M6" s="4">
        <v>3000</v>
      </c>
      <c r="P6" s="2">
        <v>45728</v>
      </c>
      <c r="R6">
        <v>4</v>
      </c>
      <c r="S6" s="4">
        <v>12000</v>
      </c>
      <c r="T6" t="s">
        <v>65</v>
      </c>
      <c r="U6" t="s">
        <v>2774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2775</v>
      </c>
      <c r="AN6" t="s">
        <v>364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364</v>
      </c>
      <c r="BF6" t="s">
        <v>2776</v>
      </c>
    </row>
    <row r="7" spans="1:58" x14ac:dyDescent="0.35">
      <c r="A7" t="s">
        <v>2777</v>
      </c>
      <c r="B7">
        <v>10000</v>
      </c>
      <c r="C7">
        <v>10000</v>
      </c>
      <c r="D7" s="2">
        <v>45728</v>
      </c>
      <c r="E7" t="s">
        <v>61</v>
      </c>
      <c r="F7" t="s">
        <v>2778</v>
      </c>
      <c r="G7" t="s">
        <v>826</v>
      </c>
      <c r="H7" t="s">
        <v>1577</v>
      </c>
      <c r="I7">
        <v>1</v>
      </c>
      <c r="J7" t="s">
        <v>69</v>
      </c>
      <c r="K7">
        <v>94</v>
      </c>
      <c r="L7" t="s">
        <v>181</v>
      </c>
      <c r="M7" s="4">
        <v>3000</v>
      </c>
      <c r="P7" s="2">
        <v>45728</v>
      </c>
      <c r="R7">
        <v>4</v>
      </c>
      <c r="S7" s="4">
        <v>12000</v>
      </c>
      <c r="T7" t="s">
        <v>65</v>
      </c>
      <c r="U7" t="s">
        <v>2779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2780</v>
      </c>
      <c r="AN7" t="s">
        <v>364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364</v>
      </c>
      <c r="BF7" t="s">
        <v>2781</v>
      </c>
    </row>
    <row r="8" spans="1:58" x14ac:dyDescent="0.35">
      <c r="A8" t="s">
        <v>2517</v>
      </c>
      <c r="B8">
        <v>10000</v>
      </c>
      <c r="C8">
        <v>20000</v>
      </c>
      <c r="D8" s="2">
        <v>45756</v>
      </c>
      <c r="E8" t="s">
        <v>61</v>
      </c>
      <c r="F8" t="s">
        <v>2518</v>
      </c>
      <c r="G8">
        <v>860909190840</v>
      </c>
      <c r="H8" t="s">
        <v>2519</v>
      </c>
      <c r="I8">
        <v>2</v>
      </c>
      <c r="J8" t="s">
        <v>69</v>
      </c>
      <c r="K8">
        <v>86</v>
      </c>
      <c r="L8" t="s">
        <v>64</v>
      </c>
      <c r="M8" s="4">
        <v>3000</v>
      </c>
      <c r="P8" s="2">
        <v>45728</v>
      </c>
      <c r="R8">
        <v>1</v>
      </c>
      <c r="S8" s="4">
        <v>3000</v>
      </c>
      <c r="T8" t="s">
        <v>65</v>
      </c>
      <c r="U8">
        <v>200699050001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>
        <v>20069905</v>
      </c>
      <c r="AN8" t="s">
        <v>182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182</v>
      </c>
      <c r="BF8" t="s">
        <v>2520</v>
      </c>
    </row>
    <row r="9" spans="1:58" x14ac:dyDescent="0.35">
      <c r="A9" t="s">
        <v>2521</v>
      </c>
      <c r="B9">
        <v>10000</v>
      </c>
      <c r="C9">
        <v>20000</v>
      </c>
      <c r="D9" s="2">
        <v>45742</v>
      </c>
      <c r="E9" t="s">
        <v>61</v>
      </c>
      <c r="F9" t="s">
        <v>2522</v>
      </c>
      <c r="G9">
        <v>860909190840</v>
      </c>
      <c r="H9" t="s">
        <v>2519</v>
      </c>
      <c r="I9">
        <v>2</v>
      </c>
      <c r="J9" t="s">
        <v>69</v>
      </c>
      <c r="K9">
        <v>86</v>
      </c>
      <c r="L9" t="s">
        <v>64</v>
      </c>
      <c r="M9" s="4">
        <v>18000</v>
      </c>
      <c r="P9" s="2">
        <v>45728</v>
      </c>
      <c r="R9">
        <v>1</v>
      </c>
      <c r="S9" s="4">
        <v>18000</v>
      </c>
      <c r="T9" t="s">
        <v>65</v>
      </c>
      <c r="U9">
        <v>200717160001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>
        <v>20071716</v>
      </c>
      <c r="AN9" t="s">
        <v>182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182</v>
      </c>
      <c r="BF9" t="s">
        <v>2523</v>
      </c>
    </row>
    <row r="10" spans="1:58" x14ac:dyDescent="0.35">
      <c r="A10" t="s">
        <v>2782</v>
      </c>
      <c r="B10">
        <v>10000</v>
      </c>
      <c r="C10">
        <v>10000</v>
      </c>
      <c r="D10" s="2">
        <v>45743</v>
      </c>
      <c r="E10" t="s">
        <v>61</v>
      </c>
      <c r="F10" t="s">
        <v>2783</v>
      </c>
      <c r="G10" t="s">
        <v>2427</v>
      </c>
      <c r="H10" t="s">
        <v>2784</v>
      </c>
      <c r="I10">
        <v>1</v>
      </c>
      <c r="J10" t="s">
        <v>69</v>
      </c>
      <c r="K10">
        <v>79</v>
      </c>
      <c r="L10" t="s">
        <v>573</v>
      </c>
      <c r="M10" s="4">
        <v>1934</v>
      </c>
      <c r="P10" s="2">
        <v>45728</v>
      </c>
      <c r="R10">
        <v>15</v>
      </c>
      <c r="S10" s="4">
        <v>29010</v>
      </c>
      <c r="T10" t="s">
        <v>65</v>
      </c>
      <c r="U10" t="s">
        <v>2785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2786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107</v>
      </c>
      <c r="BF10" t="s">
        <v>2787</v>
      </c>
    </row>
    <row r="11" spans="1:58" x14ac:dyDescent="0.35">
      <c r="A11" t="s">
        <v>2782</v>
      </c>
      <c r="B11">
        <v>10000</v>
      </c>
      <c r="C11">
        <v>20000</v>
      </c>
      <c r="D11" s="2">
        <v>45743</v>
      </c>
      <c r="E11" t="s">
        <v>61</v>
      </c>
      <c r="F11" t="s">
        <v>2783</v>
      </c>
      <c r="G11" t="s">
        <v>2427</v>
      </c>
      <c r="H11" t="s">
        <v>2784</v>
      </c>
      <c r="I11">
        <v>1</v>
      </c>
      <c r="J11" t="s">
        <v>69</v>
      </c>
      <c r="K11" t="s">
        <v>295</v>
      </c>
      <c r="L11" t="s">
        <v>296</v>
      </c>
      <c r="M11" s="4">
        <v>11467</v>
      </c>
      <c r="P11" s="2">
        <v>45728</v>
      </c>
      <c r="R11">
        <v>15</v>
      </c>
      <c r="S11" s="4">
        <v>172005</v>
      </c>
      <c r="T11" t="s">
        <v>65</v>
      </c>
      <c r="U11" t="s">
        <v>2785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2786</v>
      </c>
      <c r="AN11" t="s">
        <v>107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107</v>
      </c>
      <c r="BF11" t="s">
        <v>2787</v>
      </c>
    </row>
    <row r="12" spans="1:58" x14ac:dyDescent="0.35">
      <c r="A12" t="s">
        <v>2788</v>
      </c>
      <c r="B12">
        <v>10000</v>
      </c>
      <c r="C12">
        <v>10000</v>
      </c>
      <c r="D12" s="2">
        <v>45748</v>
      </c>
      <c r="E12" t="s">
        <v>61</v>
      </c>
      <c r="F12" t="s">
        <v>2789</v>
      </c>
      <c r="G12" t="s">
        <v>2790</v>
      </c>
      <c r="H12" t="s">
        <v>2791</v>
      </c>
      <c r="I12">
        <v>1</v>
      </c>
      <c r="J12" t="s">
        <v>69</v>
      </c>
      <c r="K12">
        <v>93</v>
      </c>
      <c r="L12" t="s">
        <v>573</v>
      </c>
      <c r="M12">
        <v>964</v>
      </c>
      <c r="P12" s="2">
        <v>45728</v>
      </c>
      <c r="R12">
        <v>352</v>
      </c>
      <c r="S12" s="4">
        <v>339328</v>
      </c>
      <c r="T12" t="s">
        <v>65</v>
      </c>
      <c r="U12" t="s">
        <v>328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329</v>
      </c>
      <c r="AN12" t="s">
        <v>107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107</v>
      </c>
      <c r="BF12" t="s">
        <v>2792</v>
      </c>
    </row>
    <row r="13" spans="1:58" x14ac:dyDescent="0.35">
      <c r="A13" t="s">
        <v>2793</v>
      </c>
      <c r="B13">
        <v>10000</v>
      </c>
      <c r="C13">
        <v>20000</v>
      </c>
      <c r="D13" s="2">
        <v>45728</v>
      </c>
      <c r="E13" t="s">
        <v>61</v>
      </c>
      <c r="F13" t="s">
        <v>2794</v>
      </c>
      <c r="G13" t="s">
        <v>2795</v>
      </c>
      <c r="I13">
        <v>1</v>
      </c>
      <c r="J13" t="s">
        <v>63</v>
      </c>
      <c r="K13">
        <v>73</v>
      </c>
      <c r="L13" t="s">
        <v>90</v>
      </c>
      <c r="M13" s="4">
        <v>6834</v>
      </c>
      <c r="P13" s="2">
        <v>45728</v>
      </c>
      <c r="R13">
        <v>30</v>
      </c>
      <c r="S13" s="4">
        <v>205020</v>
      </c>
      <c r="T13" t="s">
        <v>65</v>
      </c>
      <c r="U13" t="s">
        <v>2796</v>
      </c>
      <c r="V13">
        <v>0</v>
      </c>
      <c r="W13" s="4">
        <v>195239</v>
      </c>
      <c r="X13" s="4">
        <v>9781</v>
      </c>
      <c r="Y13">
        <v>0</v>
      </c>
      <c r="Z13">
        <v>0</v>
      </c>
      <c r="AA13">
        <v>0</v>
      </c>
      <c r="AD13">
        <v>0</v>
      </c>
      <c r="AM13" t="s">
        <v>2797</v>
      </c>
      <c r="AN13" t="s">
        <v>2798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2799</v>
      </c>
      <c r="BA13">
        <v>0</v>
      </c>
      <c r="BC13" t="s">
        <v>2798</v>
      </c>
      <c r="BF13" t="s">
        <v>2800</v>
      </c>
    </row>
    <row r="14" spans="1:58" x14ac:dyDescent="0.35">
      <c r="A14" t="s">
        <v>2793</v>
      </c>
      <c r="B14">
        <v>10000</v>
      </c>
      <c r="C14">
        <v>30000</v>
      </c>
      <c r="D14" s="2">
        <v>45728</v>
      </c>
      <c r="E14" t="s">
        <v>61</v>
      </c>
      <c r="F14" t="s">
        <v>2794</v>
      </c>
      <c r="G14" t="s">
        <v>2795</v>
      </c>
      <c r="I14">
        <v>2</v>
      </c>
      <c r="J14" t="s">
        <v>63</v>
      </c>
      <c r="K14">
        <v>73</v>
      </c>
      <c r="L14" t="s">
        <v>90</v>
      </c>
      <c r="M14" s="4">
        <v>6667</v>
      </c>
      <c r="P14" s="2">
        <v>45728</v>
      </c>
      <c r="R14">
        <v>30</v>
      </c>
      <c r="S14" s="4">
        <v>200010</v>
      </c>
      <c r="T14" t="s">
        <v>65</v>
      </c>
      <c r="U14" t="s">
        <v>2796</v>
      </c>
      <c r="V14">
        <v>0</v>
      </c>
      <c r="W14" s="4">
        <v>199990</v>
      </c>
      <c r="X14">
        <v>20</v>
      </c>
      <c r="Y14">
        <v>0</v>
      </c>
      <c r="Z14">
        <v>0</v>
      </c>
      <c r="AA14">
        <v>0</v>
      </c>
      <c r="AD14">
        <v>0</v>
      </c>
      <c r="AM14" t="s">
        <v>2797</v>
      </c>
      <c r="AN14" t="s">
        <v>2798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2799</v>
      </c>
      <c r="BA14">
        <v>0</v>
      </c>
      <c r="BC14" t="s">
        <v>2798</v>
      </c>
      <c r="BF14" t="s">
        <v>2800</v>
      </c>
    </row>
    <row r="15" spans="1:58" x14ac:dyDescent="0.35">
      <c r="A15" t="s">
        <v>2801</v>
      </c>
      <c r="B15">
        <v>10000</v>
      </c>
      <c r="C15">
        <v>10000</v>
      </c>
      <c r="D15" s="2">
        <v>45734</v>
      </c>
      <c r="E15" t="s">
        <v>61</v>
      </c>
      <c r="F15" t="s">
        <v>2802</v>
      </c>
      <c r="G15" t="s">
        <v>2526</v>
      </c>
      <c r="I15">
        <v>1</v>
      </c>
      <c r="J15" t="s">
        <v>63</v>
      </c>
      <c r="K15">
        <v>82</v>
      </c>
      <c r="L15" t="s">
        <v>341</v>
      </c>
      <c r="M15" s="4">
        <v>5883</v>
      </c>
      <c r="P15" s="2">
        <v>45728</v>
      </c>
      <c r="R15">
        <v>17</v>
      </c>
      <c r="S15" s="4">
        <v>100011</v>
      </c>
      <c r="T15" t="s">
        <v>65</v>
      </c>
      <c r="U15" t="s">
        <v>2527</v>
      </c>
      <c r="V15">
        <v>0</v>
      </c>
      <c r="W15" s="4">
        <v>92310</v>
      </c>
      <c r="X15" s="4">
        <v>7701</v>
      </c>
      <c r="Y15">
        <v>0</v>
      </c>
      <c r="Z15">
        <v>0</v>
      </c>
      <c r="AA15">
        <v>0</v>
      </c>
      <c r="AD15">
        <v>0</v>
      </c>
      <c r="AM15" t="s">
        <v>2528</v>
      </c>
      <c r="AN15" t="s">
        <v>271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2803</v>
      </c>
      <c r="BA15">
        <v>0</v>
      </c>
      <c r="BC15" t="s">
        <v>271</v>
      </c>
      <c r="BF15" t="s">
        <v>2804</v>
      </c>
    </row>
    <row r="16" spans="1:58" x14ac:dyDescent="0.35">
      <c r="A16" t="s">
        <v>72</v>
      </c>
      <c r="B16">
        <v>10000</v>
      </c>
      <c r="C16">
        <v>40000</v>
      </c>
      <c r="D16" s="2">
        <v>45729</v>
      </c>
      <c r="E16" t="s">
        <v>61</v>
      </c>
      <c r="F16" t="s">
        <v>2805</v>
      </c>
      <c r="G16" t="s">
        <v>74</v>
      </c>
      <c r="I16">
        <v>3</v>
      </c>
      <c r="J16" t="s">
        <v>63</v>
      </c>
      <c r="K16">
        <v>91</v>
      </c>
      <c r="L16" t="s">
        <v>75</v>
      </c>
      <c r="M16" s="4">
        <v>12000</v>
      </c>
      <c r="P16" s="2">
        <v>45728</v>
      </c>
      <c r="R16">
        <v>9</v>
      </c>
      <c r="S16" s="4">
        <v>108000</v>
      </c>
      <c r="T16" t="s">
        <v>65</v>
      </c>
      <c r="U16" t="s">
        <v>76</v>
      </c>
      <c r="V16">
        <v>0</v>
      </c>
      <c r="W16" s="4">
        <v>107143</v>
      </c>
      <c r="X16">
        <v>857</v>
      </c>
      <c r="Y16">
        <v>0</v>
      </c>
      <c r="Z16">
        <v>0</v>
      </c>
      <c r="AA16">
        <v>0</v>
      </c>
      <c r="AD16">
        <v>0</v>
      </c>
      <c r="AM16" t="s">
        <v>77</v>
      </c>
      <c r="AN16" t="s">
        <v>68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78</v>
      </c>
      <c r="BA16">
        <v>0</v>
      </c>
      <c r="BC16" t="s">
        <v>68</v>
      </c>
      <c r="BF16" t="s">
        <v>79</v>
      </c>
    </row>
    <row r="17" spans="1:58" x14ac:dyDescent="0.35">
      <c r="A17" t="s">
        <v>2545</v>
      </c>
      <c r="B17">
        <v>10000</v>
      </c>
      <c r="C17">
        <v>20000</v>
      </c>
      <c r="D17" s="2">
        <v>45729</v>
      </c>
      <c r="E17" t="s">
        <v>61</v>
      </c>
      <c r="F17" t="s">
        <v>2806</v>
      </c>
      <c r="G17" t="s">
        <v>2546</v>
      </c>
      <c r="I17">
        <v>1</v>
      </c>
      <c r="J17" t="s">
        <v>63</v>
      </c>
      <c r="K17">
        <v>65</v>
      </c>
      <c r="L17" t="s">
        <v>268</v>
      </c>
      <c r="M17" s="4">
        <v>2000</v>
      </c>
      <c r="P17" s="2">
        <v>45728</v>
      </c>
      <c r="R17">
        <v>1</v>
      </c>
      <c r="S17" s="4">
        <v>2000</v>
      </c>
      <c r="T17" t="s">
        <v>65</v>
      </c>
      <c r="U17" t="s">
        <v>2547</v>
      </c>
      <c r="V17">
        <v>0</v>
      </c>
      <c r="W17" s="4">
        <v>1000</v>
      </c>
      <c r="X17" s="4">
        <v>1000</v>
      </c>
      <c r="Y17">
        <v>0</v>
      </c>
      <c r="Z17">
        <v>0</v>
      </c>
      <c r="AA17">
        <v>0</v>
      </c>
      <c r="AD17">
        <v>0</v>
      </c>
      <c r="AM17" t="s">
        <v>2548</v>
      </c>
      <c r="AN17" t="s">
        <v>2549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2550</v>
      </c>
      <c r="BA17">
        <v>0</v>
      </c>
      <c r="BC17" t="s">
        <v>2549</v>
      </c>
      <c r="BF17" t="s">
        <v>2551</v>
      </c>
    </row>
    <row r="18" spans="1:58" x14ac:dyDescent="0.35">
      <c r="A18" t="s">
        <v>2807</v>
      </c>
      <c r="B18">
        <v>10000</v>
      </c>
      <c r="C18">
        <v>10000</v>
      </c>
      <c r="D18" s="2">
        <v>45728</v>
      </c>
      <c r="E18" t="s">
        <v>61</v>
      </c>
      <c r="F18" t="s">
        <v>2808</v>
      </c>
      <c r="G18" t="s">
        <v>304</v>
      </c>
      <c r="I18">
        <v>1</v>
      </c>
      <c r="J18" t="s">
        <v>63</v>
      </c>
      <c r="K18">
        <v>73</v>
      </c>
      <c r="L18" t="s">
        <v>90</v>
      </c>
      <c r="M18" s="4">
        <v>15750</v>
      </c>
      <c r="P18" s="2">
        <v>45728</v>
      </c>
      <c r="R18">
        <v>8</v>
      </c>
      <c r="S18" s="4">
        <v>126000</v>
      </c>
      <c r="T18" t="s">
        <v>65</v>
      </c>
      <c r="U18" t="s">
        <v>305</v>
      </c>
      <c r="V18">
        <v>0</v>
      </c>
      <c r="W18" s="4">
        <v>126000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306</v>
      </c>
      <c r="AN18" t="s">
        <v>271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2809</v>
      </c>
      <c r="BA18">
        <v>0</v>
      </c>
      <c r="BC18" t="s">
        <v>271</v>
      </c>
      <c r="BF18" t="s">
        <v>2810</v>
      </c>
    </row>
    <row r="19" spans="1:58" x14ac:dyDescent="0.35">
      <c r="A19" t="s">
        <v>2811</v>
      </c>
      <c r="B19">
        <v>10000</v>
      </c>
      <c r="C19">
        <v>30000</v>
      </c>
      <c r="D19" s="2">
        <v>45728</v>
      </c>
      <c r="E19" t="s">
        <v>61</v>
      </c>
      <c r="F19" t="s">
        <v>2812</v>
      </c>
      <c r="G19" t="s">
        <v>333</v>
      </c>
      <c r="I19">
        <v>3</v>
      </c>
      <c r="J19" t="s">
        <v>63</v>
      </c>
      <c r="K19">
        <v>101</v>
      </c>
      <c r="L19" t="s">
        <v>104</v>
      </c>
      <c r="M19" s="4">
        <v>6667</v>
      </c>
      <c r="P19" s="2">
        <v>45728</v>
      </c>
      <c r="R19">
        <v>3</v>
      </c>
      <c r="S19" s="4">
        <v>20001</v>
      </c>
      <c r="T19" t="s">
        <v>65</v>
      </c>
      <c r="U19" t="s">
        <v>2813</v>
      </c>
      <c r="V19">
        <v>0</v>
      </c>
      <c r="W19" s="4">
        <v>20000</v>
      </c>
      <c r="X19">
        <v>1</v>
      </c>
      <c r="Y19">
        <v>0</v>
      </c>
      <c r="Z19">
        <v>0</v>
      </c>
      <c r="AA19">
        <v>0</v>
      </c>
      <c r="AD19">
        <v>0</v>
      </c>
      <c r="AM19" t="s">
        <v>2814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2815</v>
      </c>
      <c r="BA19">
        <v>0</v>
      </c>
      <c r="BC19" t="s">
        <v>107</v>
      </c>
      <c r="BF19" t="s">
        <v>2816</v>
      </c>
    </row>
    <row r="20" spans="1:58" x14ac:dyDescent="0.35">
      <c r="A20" t="s">
        <v>2817</v>
      </c>
      <c r="B20">
        <v>10000</v>
      </c>
      <c r="C20">
        <v>10000</v>
      </c>
      <c r="D20" s="2">
        <v>45728</v>
      </c>
      <c r="E20" t="s">
        <v>61</v>
      </c>
      <c r="F20" t="s">
        <v>2818</v>
      </c>
      <c r="G20" t="s">
        <v>203</v>
      </c>
      <c r="I20">
        <v>1</v>
      </c>
      <c r="J20" t="s">
        <v>63</v>
      </c>
      <c r="K20">
        <v>61</v>
      </c>
      <c r="L20" t="s">
        <v>216</v>
      </c>
      <c r="M20" s="4">
        <v>1000</v>
      </c>
      <c r="P20" s="2">
        <v>45728</v>
      </c>
      <c r="R20">
        <v>1</v>
      </c>
      <c r="S20" s="4">
        <v>1000</v>
      </c>
      <c r="T20" t="s">
        <v>65</v>
      </c>
      <c r="U20" t="s">
        <v>2819</v>
      </c>
      <c r="V20">
        <v>0</v>
      </c>
      <c r="W20" s="4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2820</v>
      </c>
      <c r="AN20" t="s">
        <v>206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2821</v>
      </c>
      <c r="BA20">
        <v>0</v>
      </c>
      <c r="BC20" t="s">
        <v>206</v>
      </c>
      <c r="BF20" t="s">
        <v>2822</v>
      </c>
    </row>
    <row r="21" spans="1:58" x14ac:dyDescent="0.35">
      <c r="A21" t="s">
        <v>2823</v>
      </c>
      <c r="B21">
        <v>10000</v>
      </c>
      <c r="C21">
        <v>10000</v>
      </c>
      <c r="D21" s="2">
        <v>45728</v>
      </c>
      <c r="E21" t="s">
        <v>61</v>
      </c>
      <c r="F21" t="s">
        <v>2824</v>
      </c>
      <c r="G21" t="s">
        <v>180</v>
      </c>
      <c r="I21">
        <v>1</v>
      </c>
      <c r="J21" t="s">
        <v>63</v>
      </c>
      <c r="K21">
        <v>61</v>
      </c>
      <c r="L21" t="s">
        <v>216</v>
      </c>
      <c r="M21" s="4">
        <v>2000</v>
      </c>
      <c r="P21" s="2">
        <v>45728</v>
      </c>
      <c r="R21">
        <v>1</v>
      </c>
      <c r="S21" s="4">
        <v>2000</v>
      </c>
      <c r="T21" t="s">
        <v>65</v>
      </c>
      <c r="U21">
        <v>200094640001</v>
      </c>
      <c r="V21">
        <v>0</v>
      </c>
      <c r="W21" s="4">
        <v>2000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20009464</v>
      </c>
      <c r="AN21" t="s">
        <v>2825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2826</v>
      </c>
      <c r="BA21">
        <v>0</v>
      </c>
      <c r="BC21" t="s">
        <v>2825</v>
      </c>
      <c r="BF21" t="s">
        <v>2827</v>
      </c>
    </row>
    <row r="22" spans="1:58" x14ac:dyDescent="0.35">
      <c r="A22" t="s">
        <v>2828</v>
      </c>
      <c r="B22">
        <v>10000</v>
      </c>
      <c r="C22">
        <v>30000</v>
      </c>
      <c r="D22" s="2">
        <v>45728</v>
      </c>
      <c r="E22" t="s">
        <v>61</v>
      </c>
      <c r="F22" t="s">
        <v>2829</v>
      </c>
      <c r="G22" t="s">
        <v>2247</v>
      </c>
      <c r="I22">
        <v>1</v>
      </c>
      <c r="J22" t="s">
        <v>63</v>
      </c>
      <c r="K22">
        <v>31</v>
      </c>
      <c r="L22" t="s">
        <v>1311</v>
      </c>
      <c r="M22">
        <v>7</v>
      </c>
      <c r="P22" s="2">
        <v>45728</v>
      </c>
      <c r="R22">
        <v>8</v>
      </c>
      <c r="S22">
        <v>56</v>
      </c>
      <c r="T22" t="s">
        <v>65</v>
      </c>
      <c r="U22" t="s">
        <v>2830</v>
      </c>
      <c r="V22">
        <v>0</v>
      </c>
      <c r="W22">
        <v>5</v>
      </c>
      <c r="X22">
        <v>51</v>
      </c>
      <c r="Y22">
        <v>0</v>
      </c>
      <c r="Z22">
        <v>0</v>
      </c>
      <c r="AA22">
        <v>0</v>
      </c>
      <c r="AD22">
        <v>0</v>
      </c>
      <c r="AM22" t="s">
        <v>2831</v>
      </c>
      <c r="AN22" t="s">
        <v>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2832</v>
      </c>
      <c r="BA22">
        <v>0</v>
      </c>
      <c r="BC22" t="s">
        <v>271</v>
      </c>
      <c r="BF22" t="s">
        <v>2833</v>
      </c>
    </row>
    <row r="23" spans="1:58" x14ac:dyDescent="0.35">
      <c r="A23" t="s">
        <v>2834</v>
      </c>
      <c r="B23">
        <v>10000</v>
      </c>
      <c r="C23">
        <v>10000</v>
      </c>
      <c r="D23" s="2">
        <v>45728</v>
      </c>
      <c r="E23" t="s">
        <v>61</v>
      </c>
      <c r="F23" t="s">
        <v>2835</v>
      </c>
      <c r="G23" t="s">
        <v>2836</v>
      </c>
      <c r="I23">
        <v>1</v>
      </c>
      <c r="J23" t="s">
        <v>63</v>
      </c>
      <c r="K23">
        <v>46</v>
      </c>
      <c r="L23" t="s">
        <v>113</v>
      </c>
      <c r="M23" s="4">
        <v>3000</v>
      </c>
      <c r="P23" s="2">
        <v>45728</v>
      </c>
      <c r="R23">
        <v>1</v>
      </c>
      <c r="S23" s="4">
        <v>3000</v>
      </c>
      <c r="T23" t="s">
        <v>65</v>
      </c>
      <c r="U23" t="s">
        <v>2837</v>
      </c>
      <c r="V23">
        <v>0</v>
      </c>
      <c r="W23" s="4">
        <v>3000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2838</v>
      </c>
      <c r="AN23" t="s">
        <v>427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2839</v>
      </c>
      <c r="BA23">
        <v>0</v>
      </c>
      <c r="BC23" t="s">
        <v>427</v>
      </c>
      <c r="BF23" t="s">
        <v>2840</v>
      </c>
    </row>
    <row r="24" spans="1:58" x14ac:dyDescent="0.35">
      <c r="A24" t="s">
        <v>2580</v>
      </c>
      <c r="B24">
        <v>10000</v>
      </c>
      <c r="C24">
        <v>30000</v>
      </c>
      <c r="D24" s="2">
        <v>45735</v>
      </c>
      <c r="E24" t="s">
        <v>61</v>
      </c>
      <c r="F24" t="s">
        <v>2581</v>
      </c>
      <c r="G24" t="s">
        <v>2582</v>
      </c>
      <c r="I24">
        <v>1</v>
      </c>
      <c r="J24" t="s">
        <v>63</v>
      </c>
      <c r="K24" t="s">
        <v>317</v>
      </c>
      <c r="L24" t="s">
        <v>318</v>
      </c>
      <c r="M24" s="4">
        <v>20625</v>
      </c>
      <c r="P24" s="2">
        <v>45728</v>
      </c>
      <c r="R24">
        <v>8</v>
      </c>
      <c r="S24" s="4">
        <v>165000</v>
      </c>
      <c r="T24" t="s">
        <v>65</v>
      </c>
      <c r="U24" t="s">
        <v>319</v>
      </c>
      <c r="V24">
        <v>0</v>
      </c>
      <c r="W24" s="4">
        <v>164991</v>
      </c>
      <c r="X24">
        <v>9</v>
      </c>
      <c r="Y24">
        <v>0</v>
      </c>
      <c r="Z24">
        <v>0</v>
      </c>
      <c r="AA24">
        <v>0</v>
      </c>
      <c r="AD24">
        <v>0</v>
      </c>
      <c r="AM24" t="s">
        <v>320</v>
      </c>
      <c r="AN24" t="s">
        <v>321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2583</v>
      </c>
      <c r="BA24">
        <v>0</v>
      </c>
      <c r="BC24" t="s">
        <v>321</v>
      </c>
      <c r="BF24" t="s">
        <v>2584</v>
      </c>
    </row>
    <row r="25" spans="1:58" x14ac:dyDescent="0.35">
      <c r="A25" t="s">
        <v>2580</v>
      </c>
      <c r="B25">
        <v>20000</v>
      </c>
      <c r="C25">
        <v>10000</v>
      </c>
      <c r="D25" s="2">
        <v>45735</v>
      </c>
      <c r="E25" t="s">
        <v>61</v>
      </c>
      <c r="F25" t="s">
        <v>2581</v>
      </c>
      <c r="G25" t="s">
        <v>2582</v>
      </c>
      <c r="I25">
        <v>1</v>
      </c>
      <c r="J25" t="s">
        <v>63</v>
      </c>
      <c r="K25" t="s">
        <v>317</v>
      </c>
      <c r="L25" t="s">
        <v>318</v>
      </c>
      <c r="M25" s="4">
        <v>31875</v>
      </c>
      <c r="P25" s="2">
        <v>45728</v>
      </c>
      <c r="R25">
        <v>8</v>
      </c>
      <c r="S25" s="4">
        <v>255000</v>
      </c>
      <c r="T25" t="s">
        <v>65</v>
      </c>
      <c r="U25" t="s">
        <v>319</v>
      </c>
      <c r="V25">
        <v>0</v>
      </c>
      <c r="W25" s="4">
        <v>255000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320</v>
      </c>
      <c r="AN25" t="s">
        <v>321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2583</v>
      </c>
      <c r="BA25">
        <v>0</v>
      </c>
      <c r="BC25" t="s">
        <v>321</v>
      </c>
      <c r="BF25" t="s">
        <v>2584</v>
      </c>
    </row>
    <row r="26" spans="1:58" x14ac:dyDescent="0.35">
      <c r="A26" t="s">
        <v>2841</v>
      </c>
      <c r="B26">
        <v>10000</v>
      </c>
      <c r="C26">
        <v>10000</v>
      </c>
      <c r="D26" s="2">
        <v>45728</v>
      </c>
      <c r="E26" t="s">
        <v>61</v>
      </c>
      <c r="F26" t="s">
        <v>2835</v>
      </c>
      <c r="G26" t="s">
        <v>2836</v>
      </c>
      <c r="I26">
        <v>1</v>
      </c>
      <c r="J26" t="s">
        <v>63</v>
      </c>
      <c r="K26">
        <v>46</v>
      </c>
      <c r="L26" t="s">
        <v>113</v>
      </c>
      <c r="M26" s="4">
        <v>3000</v>
      </c>
      <c r="P26" s="2">
        <v>45728</v>
      </c>
      <c r="R26">
        <v>1</v>
      </c>
      <c r="S26" s="4">
        <v>3000</v>
      </c>
      <c r="T26" t="s">
        <v>65</v>
      </c>
      <c r="U26" t="s">
        <v>2837</v>
      </c>
      <c r="V26">
        <v>0</v>
      </c>
      <c r="W26" s="4">
        <v>3000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2838</v>
      </c>
      <c r="AN26" t="s">
        <v>427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2842</v>
      </c>
      <c r="BA26">
        <v>0</v>
      </c>
      <c r="BC26" t="s">
        <v>427</v>
      </c>
      <c r="BF26" t="s">
        <v>2843</v>
      </c>
    </row>
    <row r="27" spans="1:58" x14ac:dyDescent="0.35">
      <c r="A27" t="s">
        <v>2844</v>
      </c>
      <c r="B27">
        <v>10000</v>
      </c>
      <c r="C27">
        <v>20000</v>
      </c>
      <c r="D27" s="2">
        <v>45736</v>
      </c>
      <c r="E27" t="s">
        <v>61</v>
      </c>
      <c r="F27" t="s">
        <v>956</v>
      </c>
      <c r="G27" t="s">
        <v>2845</v>
      </c>
      <c r="I27">
        <v>2</v>
      </c>
      <c r="J27" t="s">
        <v>63</v>
      </c>
      <c r="K27">
        <v>77</v>
      </c>
      <c r="L27" t="s">
        <v>127</v>
      </c>
      <c r="M27" s="4">
        <v>9319</v>
      </c>
      <c r="P27" s="2">
        <v>45728</v>
      </c>
      <c r="R27">
        <v>88</v>
      </c>
      <c r="S27" s="4">
        <v>820072</v>
      </c>
      <c r="T27" t="s">
        <v>65</v>
      </c>
      <c r="U27" t="s">
        <v>2846</v>
      </c>
      <c r="V27">
        <v>0</v>
      </c>
      <c r="W27" s="4">
        <v>770000</v>
      </c>
      <c r="X27" s="4">
        <v>50072</v>
      </c>
      <c r="Y27">
        <v>0</v>
      </c>
      <c r="Z27">
        <v>0</v>
      </c>
      <c r="AA27">
        <v>0</v>
      </c>
      <c r="AD27">
        <v>0</v>
      </c>
      <c r="AM27" t="s">
        <v>2847</v>
      </c>
      <c r="AN27" t="s">
        <v>107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2848</v>
      </c>
      <c r="BA27">
        <v>0</v>
      </c>
      <c r="BC27" t="s">
        <v>107</v>
      </c>
      <c r="BF27" t="s">
        <v>2849</v>
      </c>
    </row>
    <row r="28" spans="1:58" x14ac:dyDescent="0.35">
      <c r="A28" t="s">
        <v>570</v>
      </c>
      <c r="B28">
        <v>10000</v>
      </c>
      <c r="C28">
        <v>40000</v>
      </c>
      <c r="D28" s="2">
        <v>45740</v>
      </c>
      <c r="E28" t="s">
        <v>61</v>
      </c>
      <c r="F28" t="s">
        <v>2850</v>
      </c>
      <c r="G28" t="s">
        <v>572</v>
      </c>
      <c r="I28">
        <v>2</v>
      </c>
      <c r="J28" t="s">
        <v>63</v>
      </c>
      <c r="K28">
        <v>77</v>
      </c>
      <c r="L28" t="s">
        <v>127</v>
      </c>
      <c r="M28" s="4">
        <v>6023</v>
      </c>
      <c r="P28" s="2">
        <v>45728</v>
      </c>
      <c r="R28">
        <v>88</v>
      </c>
      <c r="S28" s="4">
        <v>530024</v>
      </c>
      <c r="T28" t="s">
        <v>65</v>
      </c>
      <c r="U28" t="s">
        <v>574</v>
      </c>
      <c r="V28">
        <v>0</v>
      </c>
      <c r="W28" s="4">
        <v>500000</v>
      </c>
      <c r="X28" s="4">
        <v>30024</v>
      </c>
      <c r="Y28">
        <v>0</v>
      </c>
      <c r="Z28">
        <v>0</v>
      </c>
      <c r="AA28">
        <v>0</v>
      </c>
      <c r="AD28">
        <v>0</v>
      </c>
      <c r="AM28" t="s">
        <v>575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576</v>
      </c>
      <c r="BA28">
        <v>0</v>
      </c>
      <c r="BC28" t="s">
        <v>107</v>
      </c>
      <c r="BF28" t="s">
        <v>577</v>
      </c>
    </row>
    <row r="29" spans="1:58" x14ac:dyDescent="0.35">
      <c r="A29" t="s">
        <v>2305</v>
      </c>
      <c r="B29">
        <v>10000</v>
      </c>
      <c r="C29">
        <v>30000</v>
      </c>
      <c r="D29" s="2">
        <v>45729</v>
      </c>
      <c r="E29" t="s">
        <v>61</v>
      </c>
      <c r="F29" t="s">
        <v>2306</v>
      </c>
      <c r="G29" t="s">
        <v>2307</v>
      </c>
      <c r="I29">
        <v>3</v>
      </c>
      <c r="J29" t="s">
        <v>63</v>
      </c>
      <c r="K29">
        <v>85</v>
      </c>
      <c r="L29" t="s">
        <v>327</v>
      </c>
      <c r="M29" s="4">
        <v>27273</v>
      </c>
      <c r="P29" s="2">
        <v>45728</v>
      </c>
      <c r="R29">
        <v>11</v>
      </c>
      <c r="S29" s="4">
        <v>300003</v>
      </c>
      <c r="T29" t="s">
        <v>65</v>
      </c>
      <c r="U29" t="s">
        <v>1634</v>
      </c>
      <c r="V29">
        <v>0</v>
      </c>
      <c r="W29" s="4">
        <v>300000</v>
      </c>
      <c r="X29">
        <v>3</v>
      </c>
      <c r="Y29">
        <v>0</v>
      </c>
      <c r="Z29">
        <v>0</v>
      </c>
      <c r="AA29">
        <v>0</v>
      </c>
      <c r="AD29">
        <v>0</v>
      </c>
      <c r="AM29" t="s">
        <v>1635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2308</v>
      </c>
      <c r="BA29">
        <v>0</v>
      </c>
      <c r="BC29" t="s">
        <v>107</v>
      </c>
      <c r="BF29" t="s">
        <v>2309</v>
      </c>
    </row>
    <row r="30" spans="1:58" x14ac:dyDescent="0.35">
      <c r="A30" t="s">
        <v>2851</v>
      </c>
      <c r="B30">
        <v>10000</v>
      </c>
      <c r="C30">
        <v>30000</v>
      </c>
      <c r="D30" s="2">
        <v>45740</v>
      </c>
      <c r="E30" t="s">
        <v>61</v>
      </c>
      <c r="F30" s="3">
        <v>0.48317129629629629</v>
      </c>
      <c r="G30" t="s">
        <v>2852</v>
      </c>
      <c r="I30">
        <v>2</v>
      </c>
      <c r="J30" t="s">
        <v>63</v>
      </c>
      <c r="K30">
        <v>77</v>
      </c>
      <c r="L30" t="s">
        <v>127</v>
      </c>
      <c r="M30" s="4">
        <v>3705</v>
      </c>
      <c r="P30" s="2">
        <v>45728</v>
      </c>
      <c r="R30">
        <v>88</v>
      </c>
      <c r="S30" s="4">
        <v>326040</v>
      </c>
      <c r="T30" t="s">
        <v>65</v>
      </c>
      <c r="U30" t="s">
        <v>2853</v>
      </c>
      <c r="V30">
        <v>0</v>
      </c>
      <c r="W30" s="4">
        <v>300000</v>
      </c>
      <c r="X30" s="4">
        <v>26040</v>
      </c>
      <c r="Y30">
        <v>0</v>
      </c>
      <c r="Z30">
        <v>0</v>
      </c>
      <c r="AA30">
        <v>0</v>
      </c>
      <c r="AD30">
        <v>0</v>
      </c>
      <c r="AM30" t="s">
        <v>2854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2855</v>
      </c>
      <c r="BA30">
        <v>0</v>
      </c>
      <c r="BC30" t="s">
        <v>107</v>
      </c>
      <c r="BF30" t="s">
        <v>2856</v>
      </c>
    </row>
    <row r="31" spans="1:58" x14ac:dyDescent="0.35">
      <c r="A31" t="s">
        <v>2857</v>
      </c>
      <c r="B31">
        <v>10000</v>
      </c>
      <c r="C31">
        <v>20000</v>
      </c>
      <c r="D31" s="2">
        <v>45729</v>
      </c>
      <c r="E31" t="s">
        <v>61</v>
      </c>
      <c r="F31" t="s">
        <v>2858</v>
      </c>
      <c r="G31">
        <v>10639931012</v>
      </c>
      <c r="I31">
        <v>2</v>
      </c>
      <c r="J31" t="s">
        <v>63</v>
      </c>
      <c r="K31">
        <v>77</v>
      </c>
      <c r="L31" t="s">
        <v>127</v>
      </c>
      <c r="M31" s="4">
        <v>4061</v>
      </c>
      <c r="P31" s="2">
        <v>45728</v>
      </c>
      <c r="R31">
        <v>66</v>
      </c>
      <c r="S31" s="4">
        <v>268026</v>
      </c>
      <c r="T31" t="s">
        <v>65</v>
      </c>
      <c r="U31" t="s">
        <v>2859</v>
      </c>
      <c r="V31">
        <v>0</v>
      </c>
      <c r="W31" s="4">
        <v>240000</v>
      </c>
      <c r="X31" s="4">
        <v>28026</v>
      </c>
      <c r="Y31">
        <v>0</v>
      </c>
      <c r="Z31">
        <v>0</v>
      </c>
      <c r="AA31">
        <v>0</v>
      </c>
      <c r="AD31">
        <v>0</v>
      </c>
      <c r="AM31" t="s">
        <v>2860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2861</v>
      </c>
      <c r="BA31">
        <v>0</v>
      </c>
      <c r="BC31" t="s">
        <v>107</v>
      </c>
      <c r="BF31" t="s">
        <v>2862</v>
      </c>
    </row>
    <row r="32" spans="1:58" x14ac:dyDescent="0.35">
      <c r="A32" t="s">
        <v>2857</v>
      </c>
      <c r="B32">
        <v>10000</v>
      </c>
      <c r="C32">
        <v>30000</v>
      </c>
      <c r="D32" s="2">
        <v>45729</v>
      </c>
      <c r="E32" t="s">
        <v>61</v>
      </c>
      <c r="F32" t="s">
        <v>2858</v>
      </c>
      <c r="G32">
        <v>10639931012</v>
      </c>
      <c r="I32">
        <v>3</v>
      </c>
      <c r="J32" t="s">
        <v>63</v>
      </c>
      <c r="K32">
        <v>85</v>
      </c>
      <c r="L32" t="s">
        <v>327</v>
      </c>
      <c r="M32" s="4">
        <v>24000</v>
      </c>
      <c r="P32" s="2">
        <v>45728</v>
      </c>
      <c r="R32">
        <v>11</v>
      </c>
      <c r="S32" s="4">
        <v>264000</v>
      </c>
      <c r="T32" t="s">
        <v>65</v>
      </c>
      <c r="U32" t="s">
        <v>2859</v>
      </c>
      <c r="V32">
        <v>0</v>
      </c>
      <c r="W32" s="4">
        <v>240000</v>
      </c>
      <c r="X32" s="4">
        <v>24000</v>
      </c>
      <c r="Y32">
        <v>0</v>
      </c>
      <c r="Z32">
        <v>0</v>
      </c>
      <c r="AA32">
        <v>0</v>
      </c>
      <c r="AD32">
        <v>0</v>
      </c>
      <c r="AM32" t="s">
        <v>2860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2861</v>
      </c>
      <c r="BA32">
        <v>0</v>
      </c>
      <c r="BC32" t="s">
        <v>107</v>
      </c>
      <c r="BF32" t="s">
        <v>2862</v>
      </c>
    </row>
    <row r="33" spans="1:58" x14ac:dyDescent="0.35">
      <c r="A33" t="s">
        <v>974</v>
      </c>
      <c r="B33">
        <v>10000</v>
      </c>
      <c r="C33">
        <v>30000</v>
      </c>
      <c r="D33" s="2">
        <v>45729</v>
      </c>
      <c r="E33" t="s">
        <v>61</v>
      </c>
      <c r="F33" t="s">
        <v>975</v>
      </c>
      <c r="G33">
        <v>10639931052</v>
      </c>
      <c r="I33">
        <v>3</v>
      </c>
      <c r="J33" t="s">
        <v>63</v>
      </c>
      <c r="K33">
        <v>85</v>
      </c>
      <c r="L33" t="s">
        <v>327</v>
      </c>
      <c r="M33" s="4">
        <v>22728</v>
      </c>
      <c r="P33" s="2">
        <v>45728</v>
      </c>
      <c r="R33">
        <v>11</v>
      </c>
      <c r="S33" s="4">
        <v>250008</v>
      </c>
      <c r="T33" t="s">
        <v>65</v>
      </c>
      <c r="U33" t="s">
        <v>773</v>
      </c>
      <c r="V33">
        <v>0</v>
      </c>
      <c r="W33" s="4">
        <v>230000</v>
      </c>
      <c r="X33" s="4">
        <v>20008</v>
      </c>
      <c r="Y33">
        <v>0</v>
      </c>
      <c r="Z33">
        <v>0</v>
      </c>
      <c r="AA33">
        <v>0</v>
      </c>
      <c r="AD33">
        <v>0</v>
      </c>
      <c r="AM33" t="s">
        <v>774</v>
      </c>
      <c r="AN33" t="s">
        <v>107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976</v>
      </c>
      <c r="BA33">
        <v>0</v>
      </c>
      <c r="BC33" t="s">
        <v>107</v>
      </c>
      <c r="BF33" t="s">
        <v>977</v>
      </c>
    </row>
    <row r="34" spans="1:58" x14ac:dyDescent="0.35">
      <c r="A34" t="s">
        <v>978</v>
      </c>
      <c r="B34">
        <v>10000</v>
      </c>
      <c r="C34">
        <v>30000</v>
      </c>
      <c r="D34" s="2">
        <v>45729</v>
      </c>
      <c r="E34" t="s">
        <v>61</v>
      </c>
      <c r="F34" t="s">
        <v>979</v>
      </c>
      <c r="G34" t="s">
        <v>980</v>
      </c>
      <c r="I34">
        <v>3</v>
      </c>
      <c r="J34" t="s">
        <v>63</v>
      </c>
      <c r="K34">
        <v>85</v>
      </c>
      <c r="L34" t="s">
        <v>327</v>
      </c>
      <c r="M34" s="4">
        <v>27273</v>
      </c>
      <c r="P34" s="2">
        <v>45728</v>
      </c>
      <c r="R34">
        <v>11</v>
      </c>
      <c r="S34" s="4">
        <v>300003</v>
      </c>
      <c r="T34" t="s">
        <v>65</v>
      </c>
      <c r="U34" t="s">
        <v>981</v>
      </c>
      <c r="V34">
        <v>0</v>
      </c>
      <c r="W34" s="4">
        <v>310000</v>
      </c>
      <c r="X34" s="4">
        <v>-9997</v>
      </c>
      <c r="Y34">
        <v>0</v>
      </c>
      <c r="Z34">
        <v>0</v>
      </c>
      <c r="AA34">
        <v>0</v>
      </c>
      <c r="AD34">
        <v>0</v>
      </c>
      <c r="AM34" t="s">
        <v>982</v>
      </c>
      <c r="AN34" t="s">
        <v>107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983</v>
      </c>
      <c r="BA34">
        <v>0</v>
      </c>
      <c r="BC34" t="s">
        <v>107</v>
      </c>
      <c r="BF34" t="s">
        <v>984</v>
      </c>
    </row>
    <row r="35" spans="1:58" x14ac:dyDescent="0.35">
      <c r="A35" t="s">
        <v>2311</v>
      </c>
      <c r="B35">
        <v>10000</v>
      </c>
      <c r="C35">
        <v>20000</v>
      </c>
      <c r="D35" s="2">
        <v>45730</v>
      </c>
      <c r="E35" t="s">
        <v>61</v>
      </c>
      <c r="F35" t="s">
        <v>2312</v>
      </c>
      <c r="G35" t="s">
        <v>2313</v>
      </c>
      <c r="I35">
        <v>2</v>
      </c>
      <c r="J35" t="s">
        <v>63</v>
      </c>
      <c r="K35">
        <v>112</v>
      </c>
      <c r="L35" t="s">
        <v>533</v>
      </c>
      <c r="M35" s="4">
        <v>33598</v>
      </c>
      <c r="P35" s="2">
        <v>45728</v>
      </c>
      <c r="R35">
        <v>112</v>
      </c>
      <c r="S35" s="4">
        <v>3762976</v>
      </c>
      <c r="T35" t="s">
        <v>65</v>
      </c>
      <c r="U35" t="s">
        <v>2316</v>
      </c>
      <c r="V35">
        <v>0</v>
      </c>
      <c r="W35" s="4">
        <v>3040000</v>
      </c>
      <c r="X35" s="4">
        <v>722976</v>
      </c>
      <c r="Y35">
        <v>0</v>
      </c>
      <c r="Z35">
        <v>0</v>
      </c>
      <c r="AA35">
        <v>0</v>
      </c>
      <c r="AD35">
        <v>0</v>
      </c>
      <c r="AM35" t="s">
        <v>2317</v>
      </c>
      <c r="AN35" t="s">
        <v>481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2318</v>
      </c>
      <c r="BA35">
        <v>0</v>
      </c>
      <c r="BC35" t="s">
        <v>481</v>
      </c>
      <c r="BF35" t="s">
        <v>1418</v>
      </c>
    </row>
    <row r="36" spans="1:58" x14ac:dyDescent="0.35">
      <c r="A36" t="s">
        <v>2863</v>
      </c>
      <c r="B36">
        <v>10000</v>
      </c>
      <c r="C36">
        <v>10000</v>
      </c>
      <c r="D36" s="2">
        <v>45733</v>
      </c>
      <c r="E36" t="s">
        <v>61</v>
      </c>
      <c r="F36" t="s">
        <v>2864</v>
      </c>
      <c r="G36" t="s">
        <v>2289</v>
      </c>
      <c r="I36">
        <v>1</v>
      </c>
      <c r="J36" t="s">
        <v>63</v>
      </c>
      <c r="K36">
        <v>78</v>
      </c>
      <c r="L36" t="s">
        <v>188</v>
      </c>
      <c r="M36" s="4">
        <v>8000</v>
      </c>
      <c r="P36" s="2">
        <v>45728</v>
      </c>
      <c r="R36">
        <v>16</v>
      </c>
      <c r="S36" s="4">
        <v>128000</v>
      </c>
      <c r="T36" t="s">
        <v>65</v>
      </c>
      <c r="U36" t="s">
        <v>2865</v>
      </c>
      <c r="V36">
        <v>0</v>
      </c>
      <c r="W36" s="4">
        <v>120000</v>
      </c>
      <c r="X36" s="4">
        <v>8000</v>
      </c>
      <c r="Y36">
        <v>0</v>
      </c>
      <c r="Z36">
        <v>0</v>
      </c>
      <c r="AA36">
        <v>0</v>
      </c>
      <c r="AD36">
        <v>0</v>
      </c>
      <c r="AM36" t="s">
        <v>2866</v>
      </c>
      <c r="AN36" t="s">
        <v>175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2867</v>
      </c>
      <c r="BA36">
        <v>0</v>
      </c>
      <c r="BC36" t="s">
        <v>175</v>
      </c>
      <c r="BF36" t="s">
        <v>2868</v>
      </c>
    </row>
    <row r="37" spans="1:58" x14ac:dyDescent="0.35">
      <c r="A37" t="s">
        <v>2869</v>
      </c>
      <c r="B37">
        <v>10000</v>
      </c>
      <c r="C37">
        <v>10000</v>
      </c>
      <c r="D37" s="2">
        <v>45733</v>
      </c>
      <c r="E37" t="s">
        <v>61</v>
      </c>
      <c r="F37" t="s">
        <v>2320</v>
      </c>
      <c r="G37" t="s">
        <v>2289</v>
      </c>
      <c r="I37">
        <v>1</v>
      </c>
      <c r="J37" t="s">
        <v>63</v>
      </c>
      <c r="K37">
        <v>78</v>
      </c>
      <c r="L37" t="s">
        <v>188</v>
      </c>
      <c r="M37" s="4">
        <v>8000</v>
      </c>
      <c r="P37" s="2">
        <v>45728</v>
      </c>
      <c r="R37">
        <v>16</v>
      </c>
      <c r="S37" s="4">
        <v>128000</v>
      </c>
      <c r="T37" t="s">
        <v>65</v>
      </c>
      <c r="U37" t="s">
        <v>2865</v>
      </c>
      <c r="V37">
        <v>0</v>
      </c>
      <c r="W37" s="4">
        <v>120000</v>
      </c>
      <c r="X37" s="4">
        <v>8000</v>
      </c>
      <c r="Y37">
        <v>0</v>
      </c>
      <c r="Z37">
        <v>0</v>
      </c>
      <c r="AA37">
        <v>0</v>
      </c>
      <c r="AD37">
        <v>0</v>
      </c>
      <c r="AM37" t="s">
        <v>2866</v>
      </c>
      <c r="AN37" t="s">
        <v>175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2870</v>
      </c>
      <c r="BA37">
        <v>0</v>
      </c>
      <c r="BC37" t="s">
        <v>175</v>
      </c>
      <c r="BF37" t="s">
        <v>2871</v>
      </c>
    </row>
    <row r="38" spans="1:58" x14ac:dyDescent="0.35">
      <c r="A38" t="s">
        <v>609</v>
      </c>
      <c r="B38">
        <v>10000</v>
      </c>
      <c r="C38">
        <v>30000</v>
      </c>
      <c r="D38" s="2">
        <v>45730</v>
      </c>
      <c r="E38" t="s">
        <v>61</v>
      </c>
      <c r="F38" t="s">
        <v>610</v>
      </c>
      <c r="G38">
        <v>10639931002</v>
      </c>
      <c r="I38">
        <v>3</v>
      </c>
      <c r="J38" t="s">
        <v>63</v>
      </c>
      <c r="K38">
        <v>85</v>
      </c>
      <c r="L38" t="s">
        <v>327</v>
      </c>
      <c r="M38" s="4">
        <v>23637</v>
      </c>
      <c r="P38" s="2">
        <v>45728</v>
      </c>
      <c r="R38">
        <v>11</v>
      </c>
      <c r="S38" s="4">
        <v>260007</v>
      </c>
      <c r="T38" t="s">
        <v>65</v>
      </c>
      <c r="U38" t="s">
        <v>611</v>
      </c>
      <c r="V38">
        <v>0</v>
      </c>
      <c r="W38" s="4">
        <v>260000</v>
      </c>
      <c r="X38">
        <v>7</v>
      </c>
      <c r="Y38">
        <v>0</v>
      </c>
      <c r="Z38">
        <v>0</v>
      </c>
      <c r="AA38">
        <v>0</v>
      </c>
      <c r="AD38">
        <v>0</v>
      </c>
      <c r="AM38" t="s">
        <v>612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613</v>
      </c>
      <c r="BA38">
        <v>0</v>
      </c>
      <c r="BC38" t="s">
        <v>107</v>
      </c>
      <c r="BF38" t="s">
        <v>614</v>
      </c>
    </row>
    <row r="39" spans="1:58" x14ac:dyDescent="0.35">
      <c r="A39" t="s">
        <v>2872</v>
      </c>
      <c r="B39">
        <v>10000</v>
      </c>
      <c r="C39">
        <v>10000</v>
      </c>
      <c r="D39" s="2">
        <v>45728</v>
      </c>
      <c r="E39" t="s">
        <v>61</v>
      </c>
      <c r="F39" t="s">
        <v>2824</v>
      </c>
      <c r="G39" t="s">
        <v>2873</v>
      </c>
      <c r="I39">
        <v>1</v>
      </c>
      <c r="J39" t="s">
        <v>63</v>
      </c>
      <c r="K39">
        <v>61</v>
      </c>
      <c r="L39" t="s">
        <v>216</v>
      </c>
      <c r="M39">
        <v>500</v>
      </c>
      <c r="P39" s="2">
        <v>45728</v>
      </c>
      <c r="R39">
        <v>1</v>
      </c>
      <c r="S39">
        <v>500</v>
      </c>
      <c r="T39" t="s">
        <v>65</v>
      </c>
      <c r="U39" t="s">
        <v>2874</v>
      </c>
      <c r="V39">
        <v>0</v>
      </c>
      <c r="W39">
        <v>500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2875</v>
      </c>
      <c r="AN39" t="s">
        <v>508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2876</v>
      </c>
      <c r="BA39">
        <v>0</v>
      </c>
      <c r="BC39" t="s">
        <v>508</v>
      </c>
      <c r="BF39" t="s">
        <v>621</v>
      </c>
    </row>
    <row r="40" spans="1:58" x14ac:dyDescent="0.35">
      <c r="A40" t="s">
        <v>2877</v>
      </c>
      <c r="B40">
        <v>10000</v>
      </c>
      <c r="C40">
        <v>10000</v>
      </c>
      <c r="D40" s="2">
        <v>45729</v>
      </c>
      <c r="E40" t="s">
        <v>61</v>
      </c>
      <c r="F40" s="3">
        <v>0.42353009259259261</v>
      </c>
      <c r="G40" t="s">
        <v>2878</v>
      </c>
      <c r="I40">
        <v>1</v>
      </c>
      <c r="J40" t="s">
        <v>63</v>
      </c>
      <c r="K40">
        <v>61</v>
      </c>
      <c r="L40" t="s">
        <v>216</v>
      </c>
      <c r="M40" s="4">
        <v>1000</v>
      </c>
      <c r="P40" s="2">
        <v>45728</v>
      </c>
      <c r="R40">
        <v>2</v>
      </c>
      <c r="S40" s="4">
        <v>2000</v>
      </c>
      <c r="T40" t="s">
        <v>65</v>
      </c>
      <c r="U40">
        <v>701527430001</v>
      </c>
      <c r="V40">
        <v>0</v>
      </c>
      <c r="W40" s="4">
        <v>2000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70152743</v>
      </c>
      <c r="AN40" t="s">
        <v>1139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2879</v>
      </c>
      <c r="BA40">
        <v>0</v>
      </c>
      <c r="BC40" t="s">
        <v>1139</v>
      </c>
      <c r="BF40" t="s">
        <v>2880</v>
      </c>
    </row>
    <row r="41" spans="1:58" x14ac:dyDescent="0.35">
      <c r="A41" t="s">
        <v>2881</v>
      </c>
      <c r="B41">
        <v>10000</v>
      </c>
      <c r="C41">
        <v>10000</v>
      </c>
      <c r="D41" s="2">
        <v>45729</v>
      </c>
      <c r="E41" t="s">
        <v>61</v>
      </c>
      <c r="F41" t="s">
        <v>2882</v>
      </c>
      <c r="G41" t="s">
        <v>2883</v>
      </c>
      <c r="I41">
        <v>1</v>
      </c>
      <c r="J41" t="s">
        <v>63</v>
      </c>
      <c r="K41">
        <v>60</v>
      </c>
      <c r="L41" t="s">
        <v>277</v>
      </c>
      <c r="M41" s="4">
        <v>1000</v>
      </c>
      <c r="P41" s="2">
        <v>45728</v>
      </c>
      <c r="R41">
        <v>2</v>
      </c>
      <c r="S41" s="4">
        <v>2000</v>
      </c>
      <c r="T41" t="s">
        <v>65</v>
      </c>
      <c r="U41">
        <v>4.49053061001E+17</v>
      </c>
      <c r="V41">
        <v>0</v>
      </c>
      <c r="W41" s="4">
        <v>2000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44905306100100</v>
      </c>
      <c r="AN41" t="s">
        <v>2347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2884</v>
      </c>
      <c r="BA41">
        <v>0</v>
      </c>
      <c r="BC41" t="s">
        <v>2347</v>
      </c>
      <c r="BF41" t="s">
        <v>2349</v>
      </c>
    </row>
    <row r="42" spans="1:58" x14ac:dyDescent="0.35">
      <c r="A42" t="s">
        <v>2885</v>
      </c>
      <c r="B42">
        <v>10000</v>
      </c>
      <c r="C42">
        <v>10000</v>
      </c>
      <c r="D42" s="2">
        <v>45729</v>
      </c>
      <c r="E42" t="s">
        <v>61</v>
      </c>
      <c r="F42" s="3">
        <v>0.4465972222222222</v>
      </c>
      <c r="G42" t="s">
        <v>1293</v>
      </c>
      <c r="I42">
        <v>1</v>
      </c>
      <c r="J42" t="s">
        <v>63</v>
      </c>
      <c r="K42">
        <v>72</v>
      </c>
      <c r="L42" t="s">
        <v>163</v>
      </c>
      <c r="M42">
        <v>948</v>
      </c>
      <c r="P42" s="2">
        <v>45728</v>
      </c>
      <c r="R42">
        <v>3</v>
      </c>
      <c r="S42" s="4">
        <v>2845</v>
      </c>
      <c r="T42" t="s">
        <v>65</v>
      </c>
      <c r="U42" t="s">
        <v>2886</v>
      </c>
      <c r="V42">
        <v>0</v>
      </c>
      <c r="W42" s="4">
        <v>1515</v>
      </c>
      <c r="X42" s="4">
        <v>1330</v>
      </c>
      <c r="Y42">
        <v>0</v>
      </c>
      <c r="Z42">
        <v>0</v>
      </c>
      <c r="AA42">
        <v>0</v>
      </c>
      <c r="AD42">
        <v>0</v>
      </c>
      <c r="AM42" t="s">
        <v>2887</v>
      </c>
      <c r="AN42" t="s">
        <v>1282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2888</v>
      </c>
      <c r="BA42">
        <v>0</v>
      </c>
      <c r="BC42" t="s">
        <v>1282</v>
      </c>
      <c r="BF42" t="s">
        <v>2889</v>
      </c>
    </row>
    <row r="43" spans="1:58" x14ac:dyDescent="0.35">
      <c r="A43" t="s">
        <v>2885</v>
      </c>
      <c r="B43">
        <v>20000</v>
      </c>
      <c r="C43">
        <v>10000</v>
      </c>
      <c r="D43" s="2">
        <v>45729</v>
      </c>
      <c r="E43" t="s">
        <v>61</v>
      </c>
      <c r="F43" s="3">
        <v>0.4465972222222222</v>
      </c>
      <c r="G43" t="s">
        <v>1293</v>
      </c>
      <c r="I43">
        <v>1</v>
      </c>
      <c r="J43" t="s">
        <v>63</v>
      </c>
      <c r="K43">
        <v>72</v>
      </c>
      <c r="L43" t="s">
        <v>163</v>
      </c>
      <c r="M43">
        <v>52</v>
      </c>
      <c r="P43" s="2">
        <v>45728</v>
      </c>
      <c r="R43">
        <v>3</v>
      </c>
      <c r="S43">
        <v>155</v>
      </c>
      <c r="T43" t="s">
        <v>65</v>
      </c>
      <c r="U43" t="s">
        <v>2886</v>
      </c>
      <c r="V43">
        <v>0</v>
      </c>
      <c r="W43">
        <v>155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2887</v>
      </c>
      <c r="AN43" t="s">
        <v>1282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2888</v>
      </c>
      <c r="BA43">
        <v>0</v>
      </c>
      <c r="BC43" t="s">
        <v>1282</v>
      </c>
      <c r="BF43" t="s">
        <v>2889</v>
      </c>
    </row>
    <row r="44" spans="1:58" x14ac:dyDescent="0.35">
      <c r="A44" t="s">
        <v>2890</v>
      </c>
      <c r="B44">
        <v>10000</v>
      </c>
      <c r="C44">
        <v>10000</v>
      </c>
      <c r="D44" s="2">
        <v>45729</v>
      </c>
      <c r="E44" t="s">
        <v>61</v>
      </c>
      <c r="F44" t="s">
        <v>2891</v>
      </c>
      <c r="G44" t="s">
        <v>2892</v>
      </c>
      <c r="I44">
        <v>1</v>
      </c>
      <c r="J44" t="s">
        <v>63</v>
      </c>
      <c r="K44">
        <v>46</v>
      </c>
      <c r="L44" t="s">
        <v>113</v>
      </c>
      <c r="M44" s="4">
        <v>1000</v>
      </c>
      <c r="P44" s="2">
        <v>45728</v>
      </c>
      <c r="R44">
        <v>1</v>
      </c>
      <c r="S44" s="4">
        <v>1000</v>
      </c>
      <c r="T44" t="s">
        <v>65</v>
      </c>
      <c r="U44" t="s">
        <v>2893</v>
      </c>
      <c r="V44">
        <v>0</v>
      </c>
      <c r="W44" s="4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2894</v>
      </c>
      <c r="AN44" t="s">
        <v>116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2895</v>
      </c>
      <c r="BA44">
        <v>0</v>
      </c>
      <c r="BC44" t="s">
        <v>116</v>
      </c>
      <c r="BF44" t="s">
        <v>2380</v>
      </c>
    </row>
    <row r="45" spans="1:58" x14ac:dyDescent="0.35">
      <c r="A45" t="s">
        <v>2896</v>
      </c>
      <c r="B45">
        <v>10000</v>
      </c>
      <c r="C45">
        <v>10000</v>
      </c>
      <c r="D45" s="2">
        <v>45728</v>
      </c>
      <c r="E45" t="s">
        <v>61</v>
      </c>
      <c r="F45" t="s">
        <v>2897</v>
      </c>
      <c r="G45" t="s">
        <v>1902</v>
      </c>
      <c r="I45">
        <v>1</v>
      </c>
      <c r="J45" t="s">
        <v>63</v>
      </c>
      <c r="K45">
        <v>61</v>
      </c>
      <c r="L45" t="s">
        <v>197</v>
      </c>
      <c r="M45" s="4">
        <v>7500</v>
      </c>
      <c r="P45" s="2">
        <v>45728</v>
      </c>
      <c r="R45">
        <v>6</v>
      </c>
      <c r="S45" s="4">
        <v>45000</v>
      </c>
      <c r="T45" t="s">
        <v>65</v>
      </c>
      <c r="U45" t="s">
        <v>198</v>
      </c>
      <c r="V45">
        <v>0</v>
      </c>
      <c r="W45" s="4">
        <v>45000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199</v>
      </c>
      <c r="AN45" t="s">
        <v>116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2898</v>
      </c>
      <c r="BA45">
        <v>0</v>
      </c>
      <c r="BC45" t="s">
        <v>116</v>
      </c>
      <c r="BF45" t="s">
        <v>2230</v>
      </c>
    </row>
    <row r="46" spans="1:58" x14ac:dyDescent="0.35">
      <c r="A46" t="s">
        <v>2899</v>
      </c>
      <c r="B46">
        <v>10000</v>
      </c>
      <c r="C46">
        <v>10000</v>
      </c>
      <c r="D46" s="2">
        <v>45729</v>
      </c>
      <c r="E46" t="s">
        <v>61</v>
      </c>
      <c r="F46" t="s">
        <v>2900</v>
      </c>
      <c r="G46" t="s">
        <v>2901</v>
      </c>
      <c r="I46">
        <v>1</v>
      </c>
      <c r="J46" t="s">
        <v>63</v>
      </c>
      <c r="K46">
        <v>22</v>
      </c>
      <c r="L46" t="s">
        <v>466</v>
      </c>
      <c r="M46" s="4">
        <v>28000</v>
      </c>
      <c r="P46" s="2">
        <v>45728</v>
      </c>
      <c r="R46">
        <v>2</v>
      </c>
      <c r="S46" s="4">
        <v>56000</v>
      </c>
      <c r="T46" t="s">
        <v>65</v>
      </c>
      <c r="U46" t="s">
        <v>2902</v>
      </c>
      <c r="V46">
        <v>0</v>
      </c>
      <c r="W46" s="4">
        <v>56000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2903</v>
      </c>
      <c r="AN46" t="s">
        <v>116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2904</v>
      </c>
      <c r="BA46">
        <v>0</v>
      </c>
      <c r="BC46" t="s">
        <v>116</v>
      </c>
      <c r="BF46" t="s">
        <v>1918</v>
      </c>
    </row>
    <row r="47" spans="1:58" x14ac:dyDescent="0.35">
      <c r="A47" t="s">
        <v>2905</v>
      </c>
      <c r="B47">
        <v>10000</v>
      </c>
      <c r="C47">
        <v>20000</v>
      </c>
      <c r="D47" s="2">
        <v>45729</v>
      </c>
      <c r="E47" t="s">
        <v>61</v>
      </c>
      <c r="F47" t="s">
        <v>2906</v>
      </c>
      <c r="G47" t="s">
        <v>2773</v>
      </c>
      <c r="I47">
        <v>1</v>
      </c>
      <c r="J47" t="s">
        <v>63</v>
      </c>
      <c r="K47">
        <v>94</v>
      </c>
      <c r="L47" t="s">
        <v>181</v>
      </c>
      <c r="M47" s="4">
        <v>3000</v>
      </c>
      <c r="P47" s="2">
        <v>45728</v>
      </c>
      <c r="R47">
        <v>4</v>
      </c>
      <c r="S47" s="4">
        <v>12000</v>
      </c>
      <c r="T47" t="s">
        <v>65</v>
      </c>
      <c r="U47" t="s">
        <v>2774</v>
      </c>
      <c r="V47">
        <v>0</v>
      </c>
      <c r="W47" s="4">
        <v>12000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2775</v>
      </c>
      <c r="AN47" t="s">
        <v>364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2907</v>
      </c>
      <c r="BA47">
        <v>0</v>
      </c>
      <c r="BC47" t="s">
        <v>364</v>
      </c>
      <c r="BF47" t="s">
        <v>2908</v>
      </c>
    </row>
    <row r="48" spans="1:58" x14ac:dyDescent="0.35">
      <c r="A48" t="s">
        <v>2909</v>
      </c>
      <c r="B48">
        <v>10000</v>
      </c>
      <c r="C48">
        <v>10000</v>
      </c>
      <c r="D48" s="2">
        <v>45728</v>
      </c>
      <c r="E48" t="s">
        <v>61</v>
      </c>
      <c r="F48" t="s">
        <v>2910</v>
      </c>
      <c r="G48" t="s">
        <v>2911</v>
      </c>
      <c r="I48">
        <v>1</v>
      </c>
      <c r="J48" t="s">
        <v>63</v>
      </c>
      <c r="K48">
        <v>65</v>
      </c>
      <c r="L48" t="s">
        <v>268</v>
      </c>
      <c r="M48" s="4">
        <v>13334</v>
      </c>
      <c r="P48" s="2">
        <v>45728</v>
      </c>
      <c r="R48">
        <v>3</v>
      </c>
      <c r="S48" s="4">
        <v>40002</v>
      </c>
      <c r="T48" t="s">
        <v>65</v>
      </c>
      <c r="U48" t="s">
        <v>2912</v>
      </c>
      <c r="V48">
        <v>0</v>
      </c>
      <c r="W48" s="4">
        <v>40000</v>
      </c>
      <c r="X48">
        <v>2</v>
      </c>
      <c r="Y48">
        <v>0</v>
      </c>
      <c r="Z48">
        <v>0</v>
      </c>
      <c r="AA48">
        <v>0</v>
      </c>
      <c r="AD48">
        <v>0</v>
      </c>
      <c r="AM48" t="s">
        <v>2913</v>
      </c>
      <c r="AN48" t="s">
        <v>2914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2915</v>
      </c>
      <c r="BA48">
        <v>0</v>
      </c>
      <c r="BC48" t="s">
        <v>2914</v>
      </c>
      <c r="BF48" t="s">
        <v>2916</v>
      </c>
    </row>
    <row r="49" spans="1:58" x14ac:dyDescent="0.35">
      <c r="A49" t="s">
        <v>2443</v>
      </c>
      <c r="B49">
        <v>10000</v>
      </c>
      <c r="C49">
        <v>20000</v>
      </c>
      <c r="D49" s="2">
        <v>45728</v>
      </c>
      <c r="E49" t="s">
        <v>61</v>
      </c>
      <c r="F49" t="s">
        <v>2917</v>
      </c>
      <c r="G49" t="s">
        <v>2445</v>
      </c>
      <c r="I49">
        <v>2</v>
      </c>
      <c r="J49" t="s">
        <v>63</v>
      </c>
      <c r="K49">
        <v>105</v>
      </c>
      <c r="L49" t="s">
        <v>424</v>
      </c>
      <c r="M49">
        <v>510</v>
      </c>
      <c r="P49" s="2">
        <v>45728</v>
      </c>
      <c r="R49">
        <v>2</v>
      </c>
      <c r="S49" s="4">
        <v>1020</v>
      </c>
      <c r="T49" t="s">
        <v>65</v>
      </c>
      <c r="U49" t="s">
        <v>2446</v>
      </c>
      <c r="V49">
        <v>0</v>
      </c>
      <c r="W49">
        <v>330</v>
      </c>
      <c r="X49">
        <v>690</v>
      </c>
      <c r="Y49">
        <v>0</v>
      </c>
      <c r="Z49">
        <v>0</v>
      </c>
      <c r="AA49">
        <v>0</v>
      </c>
      <c r="AD49">
        <v>0</v>
      </c>
      <c r="AM49" t="s">
        <v>2447</v>
      </c>
      <c r="AN49" t="s">
        <v>2448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2449</v>
      </c>
      <c r="BA49">
        <v>0</v>
      </c>
      <c r="BC49" t="s">
        <v>2448</v>
      </c>
      <c r="BF49" t="s">
        <v>2450</v>
      </c>
    </row>
    <row r="50" spans="1:58" x14ac:dyDescent="0.35">
      <c r="A50" t="s">
        <v>2656</v>
      </c>
      <c r="B50">
        <v>10000</v>
      </c>
      <c r="C50">
        <v>20000</v>
      </c>
      <c r="D50" s="2">
        <v>45728</v>
      </c>
      <c r="E50" t="s">
        <v>61</v>
      </c>
      <c r="F50" t="s">
        <v>2657</v>
      </c>
      <c r="G50" t="s">
        <v>2445</v>
      </c>
      <c r="I50">
        <v>2</v>
      </c>
      <c r="J50" t="s">
        <v>63</v>
      </c>
      <c r="K50">
        <v>105</v>
      </c>
      <c r="L50" t="s">
        <v>424</v>
      </c>
      <c r="M50">
        <v>845</v>
      </c>
      <c r="P50" s="2">
        <v>45728</v>
      </c>
      <c r="R50">
        <v>2</v>
      </c>
      <c r="S50" s="4">
        <v>1690</v>
      </c>
      <c r="T50" t="s">
        <v>65</v>
      </c>
      <c r="U50" t="s">
        <v>2658</v>
      </c>
      <c r="V50">
        <v>0</v>
      </c>
      <c r="W50" s="4">
        <v>1090</v>
      </c>
      <c r="X50">
        <v>600</v>
      </c>
      <c r="Y50">
        <v>0</v>
      </c>
      <c r="Z50">
        <v>0</v>
      </c>
      <c r="AA50">
        <v>0</v>
      </c>
      <c r="AD50">
        <v>0</v>
      </c>
      <c r="AM50" t="s">
        <v>2659</v>
      </c>
      <c r="AN50" t="s">
        <v>2448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2660</v>
      </c>
      <c r="BA50">
        <v>0</v>
      </c>
      <c r="BC50" t="s">
        <v>2448</v>
      </c>
      <c r="BF50" t="s">
        <v>2450</v>
      </c>
    </row>
    <row r="51" spans="1:58" x14ac:dyDescent="0.35">
      <c r="A51" t="s">
        <v>2451</v>
      </c>
      <c r="B51">
        <v>10000</v>
      </c>
      <c r="C51">
        <v>30000</v>
      </c>
      <c r="D51" s="2">
        <v>45728</v>
      </c>
      <c r="E51" t="s">
        <v>61</v>
      </c>
      <c r="F51" t="s">
        <v>2452</v>
      </c>
      <c r="G51" t="s">
        <v>2445</v>
      </c>
      <c r="I51">
        <v>2</v>
      </c>
      <c r="J51" t="s">
        <v>63</v>
      </c>
      <c r="K51">
        <v>105</v>
      </c>
      <c r="L51" t="s">
        <v>424</v>
      </c>
      <c r="M51">
        <v>120</v>
      </c>
      <c r="P51" s="2">
        <v>45728</v>
      </c>
      <c r="R51">
        <v>2</v>
      </c>
      <c r="S51">
        <v>240</v>
      </c>
      <c r="T51" t="s">
        <v>65</v>
      </c>
      <c r="U51" t="s">
        <v>2453</v>
      </c>
      <c r="V51">
        <v>0</v>
      </c>
      <c r="W51">
        <v>60</v>
      </c>
      <c r="X51">
        <v>180</v>
      </c>
      <c r="Y51">
        <v>0</v>
      </c>
      <c r="Z51">
        <v>0</v>
      </c>
      <c r="AA51">
        <v>0</v>
      </c>
      <c r="AD51">
        <v>0</v>
      </c>
      <c r="AM51" t="s">
        <v>2454</v>
      </c>
      <c r="AN51" t="s">
        <v>2448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2455</v>
      </c>
      <c r="BA51">
        <v>0</v>
      </c>
      <c r="BC51" t="s">
        <v>2448</v>
      </c>
      <c r="BF51" t="s">
        <v>2450</v>
      </c>
    </row>
    <row r="52" spans="1:58" x14ac:dyDescent="0.35">
      <c r="A52" t="s">
        <v>2918</v>
      </c>
      <c r="B52">
        <v>10000</v>
      </c>
      <c r="C52">
        <v>10000</v>
      </c>
      <c r="D52" s="2">
        <v>45729</v>
      </c>
      <c r="E52" t="s">
        <v>61</v>
      </c>
      <c r="F52" t="s">
        <v>2906</v>
      </c>
      <c r="G52" t="s">
        <v>1258</v>
      </c>
      <c r="I52">
        <v>1</v>
      </c>
      <c r="J52" t="s">
        <v>63</v>
      </c>
      <c r="K52">
        <v>26</v>
      </c>
      <c r="L52" t="s">
        <v>249</v>
      </c>
      <c r="M52" s="4">
        <v>9000</v>
      </c>
      <c r="P52" s="2">
        <v>45728</v>
      </c>
      <c r="R52">
        <v>4</v>
      </c>
      <c r="S52" s="4">
        <v>36000</v>
      </c>
      <c r="T52" t="s">
        <v>65</v>
      </c>
      <c r="U52" t="s">
        <v>2919</v>
      </c>
      <c r="V52">
        <v>0</v>
      </c>
      <c r="W52" s="4">
        <v>36000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2920</v>
      </c>
      <c r="AN52" t="s">
        <v>157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2921</v>
      </c>
      <c r="BA52">
        <v>0</v>
      </c>
      <c r="BC52" t="s">
        <v>157</v>
      </c>
      <c r="BF52" t="s">
        <v>2922</v>
      </c>
    </row>
    <row r="53" spans="1:58" x14ac:dyDescent="0.35">
      <c r="A53" t="s">
        <v>2923</v>
      </c>
      <c r="B53">
        <v>10000</v>
      </c>
      <c r="C53">
        <v>10000</v>
      </c>
      <c r="D53" s="2">
        <v>45729</v>
      </c>
      <c r="E53" t="s">
        <v>61</v>
      </c>
      <c r="F53" t="s">
        <v>2493</v>
      </c>
      <c r="G53" t="s">
        <v>518</v>
      </c>
      <c r="I53">
        <v>1</v>
      </c>
      <c r="J53" t="s">
        <v>63</v>
      </c>
      <c r="K53">
        <v>63</v>
      </c>
      <c r="L53" t="s">
        <v>519</v>
      </c>
      <c r="M53" s="4">
        <v>5000</v>
      </c>
      <c r="P53" s="2">
        <v>45728</v>
      </c>
      <c r="R53">
        <v>60</v>
      </c>
      <c r="S53" s="4">
        <v>300000</v>
      </c>
      <c r="T53" t="s">
        <v>65</v>
      </c>
      <c r="U53" t="s">
        <v>2667</v>
      </c>
      <c r="V53">
        <v>0</v>
      </c>
      <c r="W53" s="4">
        <v>300000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2668</v>
      </c>
      <c r="AN53" t="s">
        <v>157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2924</v>
      </c>
      <c r="BA53">
        <v>0</v>
      </c>
      <c r="BC53" t="s">
        <v>157</v>
      </c>
      <c r="BF53" t="s">
        <v>2925</v>
      </c>
    </row>
    <row r="54" spans="1:58" x14ac:dyDescent="0.35">
      <c r="A54" t="s">
        <v>2926</v>
      </c>
      <c r="B54">
        <v>10000</v>
      </c>
      <c r="C54">
        <v>10000</v>
      </c>
      <c r="D54" s="2">
        <v>45730</v>
      </c>
      <c r="E54" t="s">
        <v>61</v>
      </c>
      <c r="F54" t="s">
        <v>2927</v>
      </c>
      <c r="G54">
        <v>1006323</v>
      </c>
      <c r="I54">
        <v>1</v>
      </c>
      <c r="J54" t="s">
        <v>63</v>
      </c>
      <c r="K54">
        <v>63</v>
      </c>
      <c r="L54" t="s">
        <v>519</v>
      </c>
      <c r="M54" s="4">
        <v>4000</v>
      </c>
      <c r="P54" s="2">
        <v>45728</v>
      </c>
      <c r="R54">
        <v>30</v>
      </c>
      <c r="S54" s="4">
        <v>120000</v>
      </c>
      <c r="T54" t="s">
        <v>65</v>
      </c>
      <c r="U54" t="s">
        <v>2928</v>
      </c>
      <c r="V54">
        <v>0</v>
      </c>
      <c r="W54" s="4">
        <v>120000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2929</v>
      </c>
      <c r="AN54" t="s">
        <v>157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2930</v>
      </c>
      <c r="BA54">
        <v>0</v>
      </c>
      <c r="BC54" t="s">
        <v>157</v>
      </c>
      <c r="BF54" t="s">
        <v>2931</v>
      </c>
    </row>
    <row r="55" spans="1:58" x14ac:dyDescent="0.35">
      <c r="A55" t="s">
        <v>2932</v>
      </c>
      <c r="B55">
        <v>10000</v>
      </c>
      <c r="C55">
        <v>10000</v>
      </c>
      <c r="D55" s="2">
        <v>45734</v>
      </c>
      <c r="E55" t="s">
        <v>61</v>
      </c>
      <c r="F55" t="s">
        <v>133</v>
      </c>
      <c r="G55" t="s">
        <v>2289</v>
      </c>
      <c r="I55">
        <v>1</v>
      </c>
      <c r="J55" t="s">
        <v>63</v>
      </c>
      <c r="K55">
        <v>78</v>
      </c>
      <c r="L55" t="s">
        <v>188</v>
      </c>
      <c r="M55" s="4">
        <v>2750</v>
      </c>
      <c r="P55" s="2">
        <v>45728</v>
      </c>
      <c r="R55">
        <v>16</v>
      </c>
      <c r="S55" s="4">
        <v>44000</v>
      </c>
      <c r="T55" t="s">
        <v>65</v>
      </c>
      <c r="U55" t="s">
        <v>2865</v>
      </c>
      <c r="V55">
        <v>0</v>
      </c>
      <c r="W55" s="4">
        <v>40000</v>
      </c>
      <c r="X55" s="4">
        <v>4000</v>
      </c>
      <c r="Y55">
        <v>0</v>
      </c>
      <c r="Z55">
        <v>0</v>
      </c>
      <c r="AA55">
        <v>0</v>
      </c>
      <c r="AD55">
        <v>0</v>
      </c>
      <c r="AM55" t="s">
        <v>2866</v>
      </c>
      <c r="AN55" t="s">
        <v>157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2933</v>
      </c>
      <c r="BA55">
        <v>0</v>
      </c>
      <c r="BC55" t="s">
        <v>157</v>
      </c>
      <c r="BF55" t="s">
        <v>2934</v>
      </c>
    </row>
    <row r="56" spans="1:58" x14ac:dyDescent="0.35">
      <c r="A56" t="s">
        <v>2935</v>
      </c>
      <c r="B56">
        <v>10000</v>
      </c>
      <c r="C56">
        <v>10000</v>
      </c>
      <c r="D56" s="2">
        <v>45730</v>
      </c>
      <c r="E56" t="s">
        <v>61</v>
      </c>
      <c r="F56" t="s">
        <v>2684</v>
      </c>
      <c r="G56" t="s">
        <v>2289</v>
      </c>
      <c r="I56">
        <v>1</v>
      </c>
      <c r="J56" t="s">
        <v>63</v>
      </c>
      <c r="K56">
        <v>78</v>
      </c>
      <c r="L56" t="s">
        <v>188</v>
      </c>
      <c r="M56" s="4">
        <v>5500</v>
      </c>
      <c r="P56" s="2">
        <v>45728</v>
      </c>
      <c r="R56">
        <v>16</v>
      </c>
      <c r="S56" s="4">
        <v>88000</v>
      </c>
      <c r="T56" t="s">
        <v>65</v>
      </c>
      <c r="U56" t="s">
        <v>2594</v>
      </c>
      <c r="V56">
        <v>0</v>
      </c>
      <c r="W56" s="4">
        <v>80000</v>
      </c>
      <c r="X56" s="4">
        <v>8000</v>
      </c>
      <c r="Y56">
        <v>0</v>
      </c>
      <c r="Z56">
        <v>0</v>
      </c>
      <c r="AA56">
        <v>0</v>
      </c>
      <c r="AD56">
        <v>0</v>
      </c>
      <c r="AM56" t="s">
        <v>2595</v>
      </c>
      <c r="AN56" t="s">
        <v>157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2936</v>
      </c>
      <c r="BA56">
        <v>0</v>
      </c>
      <c r="BC56" t="s">
        <v>157</v>
      </c>
      <c r="BF56" t="s">
        <v>2937</v>
      </c>
    </row>
    <row r="57" spans="1:58" x14ac:dyDescent="0.35">
      <c r="A57" t="s">
        <v>2938</v>
      </c>
      <c r="B57">
        <v>10000</v>
      </c>
      <c r="C57">
        <v>10000</v>
      </c>
      <c r="D57" s="2">
        <v>45730</v>
      </c>
      <c r="E57" t="s">
        <v>61</v>
      </c>
      <c r="F57" t="s">
        <v>2939</v>
      </c>
      <c r="G57" t="s">
        <v>2940</v>
      </c>
      <c r="I57">
        <v>1</v>
      </c>
      <c r="J57" t="s">
        <v>63</v>
      </c>
      <c r="K57" t="s">
        <v>399</v>
      </c>
      <c r="L57" t="s">
        <v>380</v>
      </c>
      <c r="M57" s="4">
        <v>50000</v>
      </c>
      <c r="P57" s="2">
        <v>45728</v>
      </c>
      <c r="R57">
        <v>1</v>
      </c>
      <c r="S57" s="4">
        <v>50000</v>
      </c>
      <c r="T57" t="s">
        <v>65</v>
      </c>
      <c r="U57" t="s">
        <v>381</v>
      </c>
      <c r="V57">
        <v>0</v>
      </c>
      <c r="W57" s="4">
        <v>50000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382</v>
      </c>
      <c r="AN57" t="s">
        <v>157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2941</v>
      </c>
      <c r="BA57">
        <v>0</v>
      </c>
      <c r="BC57" t="s">
        <v>157</v>
      </c>
      <c r="BF57" t="s">
        <v>2942</v>
      </c>
    </row>
    <row r="58" spans="1:58" x14ac:dyDescent="0.35">
      <c r="A58" t="s">
        <v>2943</v>
      </c>
      <c r="B58">
        <v>10000</v>
      </c>
      <c r="C58">
        <v>10000</v>
      </c>
      <c r="D58" s="2">
        <v>45730</v>
      </c>
      <c r="E58" t="s">
        <v>61</v>
      </c>
      <c r="F58" t="s">
        <v>2927</v>
      </c>
      <c r="G58">
        <v>8628207</v>
      </c>
      <c r="I58">
        <v>1</v>
      </c>
      <c r="J58" t="s">
        <v>63</v>
      </c>
      <c r="K58">
        <v>63</v>
      </c>
      <c r="L58" t="s">
        <v>519</v>
      </c>
      <c r="M58" s="4">
        <v>1760</v>
      </c>
      <c r="P58" s="2">
        <v>45728</v>
      </c>
      <c r="R58">
        <v>75</v>
      </c>
      <c r="S58" s="4">
        <v>132000</v>
      </c>
      <c r="T58" t="s">
        <v>65</v>
      </c>
      <c r="U58" t="s">
        <v>2944</v>
      </c>
      <c r="V58">
        <v>0</v>
      </c>
      <c r="W58" s="4">
        <v>132000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2945</v>
      </c>
      <c r="AN58" t="s">
        <v>157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2946</v>
      </c>
      <c r="BA58">
        <v>0</v>
      </c>
      <c r="BC58" t="s">
        <v>157</v>
      </c>
      <c r="BF58" t="s">
        <v>2947</v>
      </c>
    </row>
    <row r="59" spans="1:58" x14ac:dyDescent="0.35">
      <c r="A59" t="s">
        <v>2948</v>
      </c>
      <c r="B59">
        <v>10000</v>
      </c>
      <c r="C59">
        <v>10000</v>
      </c>
      <c r="D59" s="2">
        <v>45730</v>
      </c>
      <c r="E59" t="s">
        <v>61</v>
      </c>
      <c r="F59" t="s">
        <v>2939</v>
      </c>
      <c r="G59">
        <v>8628207</v>
      </c>
      <c r="I59">
        <v>1</v>
      </c>
      <c r="J59" t="s">
        <v>63</v>
      </c>
      <c r="K59">
        <v>63</v>
      </c>
      <c r="L59" t="s">
        <v>519</v>
      </c>
      <c r="M59" s="4">
        <v>2347</v>
      </c>
      <c r="P59" s="2">
        <v>45728</v>
      </c>
      <c r="R59">
        <v>75</v>
      </c>
      <c r="S59" s="4">
        <v>176025</v>
      </c>
      <c r="T59" t="s">
        <v>65</v>
      </c>
      <c r="U59" t="s">
        <v>2944</v>
      </c>
      <c r="V59">
        <v>0</v>
      </c>
      <c r="W59" s="4">
        <v>176000</v>
      </c>
      <c r="X59">
        <v>25</v>
      </c>
      <c r="Y59">
        <v>0</v>
      </c>
      <c r="Z59">
        <v>0</v>
      </c>
      <c r="AA59">
        <v>0</v>
      </c>
      <c r="AD59">
        <v>0</v>
      </c>
      <c r="AM59" t="s">
        <v>2945</v>
      </c>
      <c r="AN59" t="s">
        <v>157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2949</v>
      </c>
      <c r="BA59">
        <v>0</v>
      </c>
      <c r="BC59" t="s">
        <v>157</v>
      </c>
      <c r="BF59" t="s">
        <v>2950</v>
      </c>
    </row>
    <row r="60" spans="1:58" x14ac:dyDescent="0.35">
      <c r="A60" t="s">
        <v>2951</v>
      </c>
      <c r="B60">
        <v>10000</v>
      </c>
      <c r="C60">
        <v>10000</v>
      </c>
      <c r="D60" s="2">
        <v>45730</v>
      </c>
      <c r="E60" t="s">
        <v>61</v>
      </c>
      <c r="F60" t="s">
        <v>2952</v>
      </c>
      <c r="G60">
        <v>1006323</v>
      </c>
      <c r="I60">
        <v>1</v>
      </c>
      <c r="J60" t="s">
        <v>63</v>
      </c>
      <c r="K60" t="s">
        <v>770</v>
      </c>
      <c r="L60" t="s">
        <v>154</v>
      </c>
      <c r="M60" s="4">
        <v>5264</v>
      </c>
      <c r="P60" s="2">
        <v>45728</v>
      </c>
      <c r="R60">
        <v>38</v>
      </c>
      <c r="S60" s="4">
        <v>200032</v>
      </c>
      <c r="T60" t="s">
        <v>65</v>
      </c>
      <c r="U60" t="s">
        <v>2953</v>
      </c>
      <c r="V60">
        <v>0</v>
      </c>
      <c r="W60" s="4">
        <v>200000</v>
      </c>
      <c r="X60">
        <v>32</v>
      </c>
      <c r="Y60">
        <v>0</v>
      </c>
      <c r="Z60">
        <v>0</v>
      </c>
      <c r="AA60">
        <v>0</v>
      </c>
      <c r="AD60">
        <v>0</v>
      </c>
      <c r="AM60" t="s">
        <v>2954</v>
      </c>
      <c r="AN60" t="s">
        <v>157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2955</v>
      </c>
      <c r="BA60">
        <v>0</v>
      </c>
      <c r="BC60" t="s">
        <v>157</v>
      </c>
      <c r="BF60" t="s">
        <v>2956</v>
      </c>
    </row>
    <row r="61" spans="1:58" x14ac:dyDescent="0.35">
      <c r="A61" t="s">
        <v>2957</v>
      </c>
      <c r="B61">
        <v>10000</v>
      </c>
      <c r="C61">
        <v>10000</v>
      </c>
      <c r="D61" s="2">
        <v>45729</v>
      </c>
      <c r="E61" t="s">
        <v>61</v>
      </c>
      <c r="F61" t="s">
        <v>2958</v>
      </c>
      <c r="G61">
        <v>8628207</v>
      </c>
      <c r="I61">
        <v>1</v>
      </c>
      <c r="J61" t="s">
        <v>63</v>
      </c>
      <c r="K61">
        <v>63</v>
      </c>
      <c r="L61" t="s">
        <v>519</v>
      </c>
      <c r="M61" s="4">
        <v>2000</v>
      </c>
      <c r="P61" s="2">
        <v>45728</v>
      </c>
      <c r="R61">
        <v>60</v>
      </c>
      <c r="S61" s="4">
        <v>120000</v>
      </c>
      <c r="T61" t="s">
        <v>65</v>
      </c>
      <c r="U61" t="s">
        <v>2959</v>
      </c>
      <c r="V61">
        <v>0</v>
      </c>
      <c r="W61" s="4">
        <v>120000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2960</v>
      </c>
      <c r="AN61" t="s">
        <v>157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2961</v>
      </c>
      <c r="BA61">
        <v>0</v>
      </c>
      <c r="BC61" t="s">
        <v>157</v>
      </c>
      <c r="BF61" t="s">
        <v>2962</v>
      </c>
    </row>
    <row r="62" spans="1:58" x14ac:dyDescent="0.35">
      <c r="A62" t="s">
        <v>2963</v>
      </c>
      <c r="B62">
        <v>10000</v>
      </c>
      <c r="C62">
        <v>10000</v>
      </c>
      <c r="D62" s="2">
        <v>45730</v>
      </c>
      <c r="E62" t="s">
        <v>61</v>
      </c>
      <c r="F62" t="s">
        <v>2939</v>
      </c>
      <c r="G62">
        <v>8628207</v>
      </c>
      <c r="I62">
        <v>1</v>
      </c>
      <c r="J62" t="s">
        <v>63</v>
      </c>
      <c r="K62">
        <v>63</v>
      </c>
      <c r="L62" t="s">
        <v>519</v>
      </c>
      <c r="M62" s="4">
        <v>1174</v>
      </c>
      <c r="P62" s="2">
        <v>45728</v>
      </c>
      <c r="R62">
        <v>75</v>
      </c>
      <c r="S62" s="4">
        <v>88050</v>
      </c>
      <c r="T62" t="s">
        <v>65</v>
      </c>
      <c r="U62" t="s">
        <v>2944</v>
      </c>
      <c r="V62">
        <v>0</v>
      </c>
      <c r="W62" s="4">
        <v>88000</v>
      </c>
      <c r="X62">
        <v>50</v>
      </c>
      <c r="Y62">
        <v>0</v>
      </c>
      <c r="Z62">
        <v>0</v>
      </c>
      <c r="AA62">
        <v>0</v>
      </c>
      <c r="AD62">
        <v>0</v>
      </c>
      <c r="AM62" t="s">
        <v>2945</v>
      </c>
      <c r="AN62" t="s">
        <v>175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2964</v>
      </c>
      <c r="BA62">
        <v>0</v>
      </c>
      <c r="BC62" t="s">
        <v>175</v>
      </c>
      <c r="BF62" t="s">
        <v>2965</v>
      </c>
    </row>
    <row r="63" spans="1:58" x14ac:dyDescent="0.35">
      <c r="A63" t="s">
        <v>2966</v>
      </c>
      <c r="B63">
        <v>10000</v>
      </c>
      <c r="C63">
        <v>10000</v>
      </c>
      <c r="D63" s="2">
        <v>45728</v>
      </c>
      <c r="E63" t="s">
        <v>61</v>
      </c>
      <c r="F63" t="s">
        <v>2778</v>
      </c>
      <c r="G63" t="s">
        <v>826</v>
      </c>
      <c r="I63">
        <v>1</v>
      </c>
      <c r="J63" t="s">
        <v>63</v>
      </c>
      <c r="K63">
        <v>94</v>
      </c>
      <c r="L63" t="s">
        <v>181</v>
      </c>
      <c r="M63" s="4">
        <v>3000</v>
      </c>
      <c r="P63" s="2">
        <v>45728</v>
      </c>
      <c r="R63">
        <v>4</v>
      </c>
      <c r="S63" s="4">
        <v>12000</v>
      </c>
      <c r="T63" t="s">
        <v>65</v>
      </c>
      <c r="U63" t="s">
        <v>2779</v>
      </c>
      <c r="V63">
        <v>0</v>
      </c>
      <c r="W63" s="4">
        <v>12000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2780</v>
      </c>
      <c r="AN63" t="s">
        <v>364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2967</v>
      </c>
      <c r="BA63">
        <v>0</v>
      </c>
      <c r="BC63" t="s">
        <v>364</v>
      </c>
      <c r="BF63" t="s">
        <v>2968</v>
      </c>
    </row>
    <row r="64" spans="1:58" x14ac:dyDescent="0.35">
      <c r="A64" t="s">
        <v>2503</v>
      </c>
      <c r="B64">
        <v>10000</v>
      </c>
      <c r="C64">
        <v>50000</v>
      </c>
      <c r="D64" s="2">
        <v>45740</v>
      </c>
      <c r="E64" t="s">
        <v>61</v>
      </c>
      <c r="F64" t="s">
        <v>2969</v>
      </c>
      <c r="G64">
        <v>10639931036</v>
      </c>
      <c r="I64">
        <v>2</v>
      </c>
      <c r="J64" t="s">
        <v>63</v>
      </c>
      <c r="K64">
        <v>77</v>
      </c>
      <c r="L64" t="s">
        <v>127</v>
      </c>
      <c r="M64">
        <v>864</v>
      </c>
      <c r="P64" s="2">
        <v>45728</v>
      </c>
      <c r="R64">
        <v>88</v>
      </c>
      <c r="S64" s="4">
        <v>76032</v>
      </c>
      <c r="T64" t="s">
        <v>65</v>
      </c>
      <c r="U64" t="s">
        <v>2504</v>
      </c>
      <c r="V64">
        <v>0</v>
      </c>
      <c r="W64" s="4">
        <v>70000</v>
      </c>
      <c r="X64" s="4">
        <v>6032</v>
      </c>
      <c r="Y64">
        <v>0</v>
      </c>
      <c r="Z64">
        <v>0</v>
      </c>
      <c r="AA64">
        <v>0</v>
      </c>
      <c r="AD64">
        <v>0</v>
      </c>
      <c r="AM64" t="s">
        <v>2505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2506</v>
      </c>
      <c r="BA64">
        <v>0</v>
      </c>
      <c r="BC64" t="s">
        <v>107</v>
      </c>
      <c r="BF64" t="s">
        <v>2507</v>
      </c>
    </row>
    <row r="65" spans="1:58" x14ac:dyDescent="0.35">
      <c r="A65" t="s">
        <v>2508</v>
      </c>
      <c r="B65">
        <v>10000</v>
      </c>
      <c r="C65">
        <v>40000</v>
      </c>
      <c r="D65" s="2">
        <v>45740</v>
      </c>
      <c r="E65" t="s">
        <v>61</v>
      </c>
      <c r="F65" t="s">
        <v>2970</v>
      </c>
      <c r="G65">
        <v>10639931036</v>
      </c>
      <c r="I65">
        <v>2</v>
      </c>
      <c r="J65" t="s">
        <v>63</v>
      </c>
      <c r="K65">
        <v>77</v>
      </c>
      <c r="L65" t="s">
        <v>127</v>
      </c>
      <c r="M65">
        <v>864</v>
      </c>
      <c r="P65" s="2">
        <v>45728</v>
      </c>
      <c r="R65">
        <v>88</v>
      </c>
      <c r="S65" s="4">
        <v>76032</v>
      </c>
      <c r="T65" t="s">
        <v>65</v>
      </c>
      <c r="U65" t="s">
        <v>2509</v>
      </c>
      <c r="V65">
        <v>0</v>
      </c>
      <c r="W65" s="4">
        <v>50000</v>
      </c>
      <c r="X65" s="4">
        <v>26032</v>
      </c>
      <c r="Y65">
        <v>0</v>
      </c>
      <c r="Z65">
        <v>0</v>
      </c>
      <c r="AA65">
        <v>0</v>
      </c>
      <c r="AD65">
        <v>0</v>
      </c>
      <c r="AM65" t="s">
        <v>2510</v>
      </c>
      <c r="AN65" t="s">
        <v>107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2511</v>
      </c>
      <c r="BA65">
        <v>0</v>
      </c>
      <c r="BC65" t="s">
        <v>107</v>
      </c>
      <c r="BF65" t="s">
        <v>2507</v>
      </c>
    </row>
    <row r="66" spans="1:58" x14ac:dyDescent="0.35">
      <c r="A66" t="s">
        <v>2971</v>
      </c>
      <c r="B66">
        <v>10000</v>
      </c>
      <c r="C66">
        <v>10000</v>
      </c>
      <c r="D66" s="2">
        <v>45736</v>
      </c>
      <c r="E66" t="s">
        <v>61</v>
      </c>
      <c r="F66" t="s">
        <v>2972</v>
      </c>
      <c r="G66" t="s">
        <v>2973</v>
      </c>
      <c r="I66">
        <v>1</v>
      </c>
      <c r="J66" t="s">
        <v>63</v>
      </c>
      <c r="K66">
        <v>88</v>
      </c>
      <c r="L66" t="s">
        <v>630</v>
      </c>
      <c r="M66" s="4">
        <v>2100</v>
      </c>
      <c r="P66" s="2">
        <v>45728</v>
      </c>
      <c r="R66">
        <v>5</v>
      </c>
      <c r="S66" s="4">
        <v>10500</v>
      </c>
      <c r="T66" t="s">
        <v>65</v>
      </c>
      <c r="U66" t="s">
        <v>2974</v>
      </c>
      <c r="V66">
        <v>0</v>
      </c>
      <c r="W66" s="4">
        <v>10000</v>
      </c>
      <c r="X66">
        <v>500</v>
      </c>
      <c r="Y66">
        <v>0</v>
      </c>
      <c r="Z66">
        <v>0</v>
      </c>
      <c r="AA66">
        <v>0</v>
      </c>
      <c r="AD66">
        <v>0</v>
      </c>
      <c r="AM66" t="s">
        <v>2975</v>
      </c>
      <c r="AN66" t="s">
        <v>2976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2977</v>
      </c>
      <c r="BA66">
        <v>0</v>
      </c>
      <c r="BC66" t="s">
        <v>2976</v>
      </c>
      <c r="BF66" t="s">
        <v>2978</v>
      </c>
    </row>
    <row r="67" spans="1:58" x14ac:dyDescent="0.35">
      <c r="A67" t="s">
        <v>2979</v>
      </c>
      <c r="B67">
        <v>10000</v>
      </c>
      <c r="C67">
        <v>10000</v>
      </c>
      <c r="D67" s="2">
        <v>45729</v>
      </c>
      <c r="E67" t="s">
        <v>61</v>
      </c>
      <c r="F67" t="s">
        <v>2980</v>
      </c>
      <c r="G67" t="s">
        <v>2981</v>
      </c>
      <c r="I67">
        <v>1</v>
      </c>
      <c r="J67" t="s">
        <v>63</v>
      </c>
      <c r="K67">
        <v>88</v>
      </c>
      <c r="L67" t="s">
        <v>630</v>
      </c>
      <c r="M67" s="4">
        <v>1000</v>
      </c>
      <c r="P67" s="2">
        <v>45728</v>
      </c>
      <c r="R67">
        <v>1</v>
      </c>
      <c r="S67" s="4">
        <v>1000</v>
      </c>
      <c r="T67" t="s">
        <v>65</v>
      </c>
      <c r="U67">
        <v>107456090001</v>
      </c>
      <c r="V67">
        <v>0</v>
      </c>
      <c r="W67" s="4">
        <v>1000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10745609</v>
      </c>
      <c r="AN67" t="s">
        <v>487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2982</v>
      </c>
      <c r="BA67">
        <v>0</v>
      </c>
      <c r="BC67" t="s">
        <v>487</v>
      </c>
      <c r="BF67" t="s">
        <v>2983</v>
      </c>
    </row>
    <row r="68" spans="1:58" x14ac:dyDescent="0.35">
      <c r="A68" t="s">
        <v>2979</v>
      </c>
      <c r="B68">
        <v>10000</v>
      </c>
      <c r="C68">
        <v>20000</v>
      </c>
      <c r="D68" s="2">
        <v>45729</v>
      </c>
      <c r="E68" t="s">
        <v>61</v>
      </c>
      <c r="F68" t="s">
        <v>2980</v>
      </c>
      <c r="G68" t="s">
        <v>2981</v>
      </c>
      <c r="I68">
        <v>2</v>
      </c>
      <c r="J68" t="s">
        <v>63</v>
      </c>
      <c r="K68">
        <v>100</v>
      </c>
      <c r="L68" t="s">
        <v>424</v>
      </c>
      <c r="M68" s="4">
        <v>1000</v>
      </c>
      <c r="P68" s="2">
        <v>45728</v>
      </c>
      <c r="R68">
        <v>1</v>
      </c>
      <c r="S68" s="4">
        <v>1000</v>
      </c>
      <c r="T68" t="s">
        <v>65</v>
      </c>
      <c r="U68">
        <v>107456090001</v>
      </c>
      <c r="V68">
        <v>0</v>
      </c>
      <c r="W68" s="4">
        <v>1000</v>
      </c>
      <c r="X68">
        <v>0</v>
      </c>
      <c r="Y68">
        <v>0</v>
      </c>
      <c r="Z68">
        <v>0</v>
      </c>
      <c r="AA68">
        <v>0</v>
      </c>
      <c r="AD68">
        <v>0</v>
      </c>
      <c r="AM68">
        <v>10745609</v>
      </c>
      <c r="AN68" t="s">
        <v>487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2982</v>
      </c>
      <c r="BA68">
        <v>0</v>
      </c>
      <c r="BC68" t="s">
        <v>487</v>
      </c>
      <c r="BF68" t="s">
        <v>2983</v>
      </c>
    </row>
    <row r="69" spans="1:58" x14ac:dyDescent="0.35">
      <c r="A69" t="s">
        <v>2711</v>
      </c>
      <c r="B69">
        <v>10000</v>
      </c>
      <c r="C69">
        <v>30000</v>
      </c>
      <c r="D69" s="2">
        <v>45729</v>
      </c>
      <c r="E69" t="s">
        <v>61</v>
      </c>
      <c r="F69" t="s">
        <v>2984</v>
      </c>
      <c r="G69" t="s">
        <v>2981</v>
      </c>
      <c r="I69">
        <v>1</v>
      </c>
      <c r="J69" t="s">
        <v>63</v>
      </c>
      <c r="K69">
        <v>88</v>
      </c>
      <c r="L69" t="s">
        <v>630</v>
      </c>
      <c r="M69">
        <v>20</v>
      </c>
      <c r="P69" s="2">
        <v>45728</v>
      </c>
      <c r="R69">
        <v>1</v>
      </c>
      <c r="S69">
        <v>20</v>
      </c>
      <c r="T69" t="s">
        <v>65</v>
      </c>
      <c r="U69">
        <v>107456090001</v>
      </c>
      <c r="V69">
        <v>0</v>
      </c>
      <c r="W69">
        <v>10</v>
      </c>
      <c r="X69">
        <v>10</v>
      </c>
      <c r="Y69">
        <v>0</v>
      </c>
      <c r="Z69">
        <v>0</v>
      </c>
      <c r="AA69">
        <v>0</v>
      </c>
      <c r="AD69">
        <v>0</v>
      </c>
      <c r="AM69">
        <v>10745609</v>
      </c>
      <c r="AN69" t="s">
        <v>487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2713</v>
      </c>
      <c r="BA69">
        <v>0</v>
      </c>
      <c r="BC69" t="s">
        <v>487</v>
      </c>
      <c r="BF69" t="s">
        <v>2714</v>
      </c>
    </row>
    <row r="70" spans="1:58" x14ac:dyDescent="0.35">
      <c r="A70" t="s">
        <v>2711</v>
      </c>
      <c r="B70">
        <v>10000</v>
      </c>
      <c r="C70">
        <v>40000</v>
      </c>
      <c r="D70" s="2">
        <v>45729</v>
      </c>
      <c r="E70" t="s">
        <v>61</v>
      </c>
      <c r="F70" t="s">
        <v>2984</v>
      </c>
      <c r="G70" t="s">
        <v>2981</v>
      </c>
      <c r="I70">
        <v>2</v>
      </c>
      <c r="J70" t="s">
        <v>63</v>
      </c>
      <c r="K70">
        <v>100</v>
      </c>
      <c r="L70" t="s">
        <v>424</v>
      </c>
      <c r="M70">
        <v>20</v>
      </c>
      <c r="P70" s="2">
        <v>45728</v>
      </c>
      <c r="R70">
        <v>1</v>
      </c>
      <c r="S70">
        <v>20</v>
      </c>
      <c r="T70" t="s">
        <v>65</v>
      </c>
      <c r="U70">
        <v>107456090001</v>
      </c>
      <c r="V70">
        <v>0</v>
      </c>
      <c r="W70">
        <v>10</v>
      </c>
      <c r="X70">
        <v>10</v>
      </c>
      <c r="Y70">
        <v>0</v>
      </c>
      <c r="Z70">
        <v>0</v>
      </c>
      <c r="AA70">
        <v>0</v>
      </c>
      <c r="AD70">
        <v>0</v>
      </c>
      <c r="AM70">
        <v>10745609</v>
      </c>
      <c r="AN70" t="s">
        <v>487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2713</v>
      </c>
      <c r="BA70">
        <v>0</v>
      </c>
      <c r="BC70" t="s">
        <v>487</v>
      </c>
      <c r="BF70" t="s">
        <v>2714</v>
      </c>
    </row>
    <row r="71" spans="1:58" x14ac:dyDescent="0.35">
      <c r="A71" t="s">
        <v>2985</v>
      </c>
      <c r="B71">
        <v>10000</v>
      </c>
      <c r="C71">
        <v>10000</v>
      </c>
      <c r="D71" s="2">
        <v>45729</v>
      </c>
      <c r="E71" t="s">
        <v>61</v>
      </c>
      <c r="F71" t="s">
        <v>2882</v>
      </c>
      <c r="G71" t="s">
        <v>2986</v>
      </c>
      <c r="I71">
        <v>1</v>
      </c>
      <c r="J71" t="s">
        <v>63</v>
      </c>
      <c r="K71">
        <v>65</v>
      </c>
      <c r="L71" t="s">
        <v>268</v>
      </c>
      <c r="M71">
        <v>334</v>
      </c>
      <c r="P71" s="2">
        <v>45728</v>
      </c>
      <c r="R71">
        <v>3</v>
      </c>
      <c r="S71" s="4">
        <v>1002</v>
      </c>
      <c r="T71" t="s">
        <v>65</v>
      </c>
      <c r="U71" t="s">
        <v>2987</v>
      </c>
      <c r="V71">
        <v>0</v>
      </c>
      <c r="W71" s="4">
        <v>1000</v>
      </c>
      <c r="X71">
        <v>2</v>
      </c>
      <c r="Y71">
        <v>0</v>
      </c>
      <c r="Z71">
        <v>0</v>
      </c>
      <c r="AA71">
        <v>0</v>
      </c>
      <c r="AD71">
        <v>0</v>
      </c>
      <c r="AM71" t="s">
        <v>2988</v>
      </c>
      <c r="AN71" t="s">
        <v>508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2989</v>
      </c>
      <c r="BA71">
        <v>0</v>
      </c>
      <c r="BC71" t="s">
        <v>508</v>
      </c>
      <c r="BF71" t="s">
        <v>2990</v>
      </c>
    </row>
    <row r="72" spans="1:58" x14ac:dyDescent="0.35">
      <c r="A72" t="s">
        <v>2991</v>
      </c>
      <c r="B72">
        <v>10000</v>
      </c>
      <c r="C72">
        <v>10000</v>
      </c>
      <c r="D72" s="2">
        <v>45729</v>
      </c>
      <c r="E72" t="s">
        <v>61</v>
      </c>
      <c r="F72" t="s">
        <v>2882</v>
      </c>
      <c r="G72" t="s">
        <v>2986</v>
      </c>
      <c r="I72">
        <v>1</v>
      </c>
      <c r="J72" t="s">
        <v>63</v>
      </c>
      <c r="K72">
        <v>65</v>
      </c>
      <c r="L72" t="s">
        <v>268</v>
      </c>
      <c r="M72">
        <v>334</v>
      </c>
      <c r="P72" s="2">
        <v>45728</v>
      </c>
      <c r="R72">
        <v>3</v>
      </c>
      <c r="S72" s="4">
        <v>1002</v>
      </c>
      <c r="T72" t="s">
        <v>65</v>
      </c>
      <c r="U72" t="s">
        <v>2987</v>
      </c>
      <c r="V72">
        <v>0</v>
      </c>
      <c r="W72" s="4">
        <v>1000</v>
      </c>
      <c r="X72">
        <v>2</v>
      </c>
      <c r="Y72">
        <v>0</v>
      </c>
      <c r="Z72">
        <v>0</v>
      </c>
      <c r="AA72">
        <v>0</v>
      </c>
      <c r="AD72">
        <v>0</v>
      </c>
      <c r="AM72" t="s">
        <v>2988</v>
      </c>
      <c r="AN72" t="s">
        <v>508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2992</v>
      </c>
      <c r="BA72">
        <v>0</v>
      </c>
      <c r="BC72" t="s">
        <v>508</v>
      </c>
      <c r="BF72" t="s">
        <v>2993</v>
      </c>
    </row>
    <row r="73" spans="1:58" x14ac:dyDescent="0.35">
      <c r="A73" t="s">
        <v>2994</v>
      </c>
      <c r="B73">
        <v>10000</v>
      </c>
      <c r="C73">
        <v>10000</v>
      </c>
      <c r="D73" s="2">
        <v>45729</v>
      </c>
      <c r="E73" t="s">
        <v>61</v>
      </c>
      <c r="F73" t="s">
        <v>2995</v>
      </c>
      <c r="G73" t="s">
        <v>1293</v>
      </c>
      <c r="I73">
        <v>1</v>
      </c>
      <c r="J73" t="s">
        <v>63</v>
      </c>
      <c r="K73">
        <v>72</v>
      </c>
      <c r="L73" t="s">
        <v>163</v>
      </c>
      <c r="M73" s="4">
        <v>1000</v>
      </c>
      <c r="P73" s="2">
        <v>45728</v>
      </c>
      <c r="R73">
        <v>10</v>
      </c>
      <c r="S73" s="4">
        <v>10000</v>
      </c>
      <c r="T73" t="s">
        <v>65</v>
      </c>
      <c r="U73" t="s">
        <v>2996</v>
      </c>
      <c r="V73">
        <v>0</v>
      </c>
      <c r="W73" s="4">
        <v>5000</v>
      </c>
      <c r="X73" s="4">
        <v>5000</v>
      </c>
      <c r="Y73">
        <v>0</v>
      </c>
      <c r="Z73">
        <v>0</v>
      </c>
      <c r="AA73">
        <v>0</v>
      </c>
      <c r="AD73">
        <v>0</v>
      </c>
      <c r="AM73" t="s">
        <v>2997</v>
      </c>
      <c r="AN73" t="s">
        <v>909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2998</v>
      </c>
      <c r="BA73">
        <v>0</v>
      </c>
      <c r="BC73" t="s">
        <v>909</v>
      </c>
      <c r="BF73" t="s">
        <v>2999</v>
      </c>
    </row>
    <row r="74" spans="1:58" x14ac:dyDescent="0.35">
      <c r="A74" t="s">
        <v>3000</v>
      </c>
      <c r="B74">
        <v>10000</v>
      </c>
      <c r="C74">
        <v>10000</v>
      </c>
      <c r="D74" s="2">
        <v>45729</v>
      </c>
      <c r="E74" t="s">
        <v>61</v>
      </c>
      <c r="F74" t="s">
        <v>2772</v>
      </c>
      <c r="G74" t="s">
        <v>1143</v>
      </c>
      <c r="I74">
        <v>1</v>
      </c>
      <c r="J74" t="s">
        <v>63</v>
      </c>
      <c r="K74">
        <v>82</v>
      </c>
      <c r="L74" t="s">
        <v>341</v>
      </c>
      <c r="M74" s="4">
        <v>3000</v>
      </c>
      <c r="P74" s="2">
        <v>45728</v>
      </c>
      <c r="R74">
        <v>2</v>
      </c>
      <c r="S74" s="4">
        <v>6000</v>
      </c>
      <c r="T74" t="s">
        <v>65</v>
      </c>
      <c r="U74" t="s">
        <v>3001</v>
      </c>
      <c r="V74">
        <v>0</v>
      </c>
      <c r="W74" s="4">
        <v>6000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3002</v>
      </c>
      <c r="AN74" t="s">
        <v>116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3003</v>
      </c>
      <c r="BA74">
        <v>0</v>
      </c>
      <c r="BC74" t="s">
        <v>116</v>
      </c>
      <c r="BF74" t="s">
        <v>3004</v>
      </c>
    </row>
    <row r="75" spans="1:58" x14ac:dyDescent="0.35">
      <c r="A75" t="s">
        <v>3005</v>
      </c>
      <c r="B75">
        <v>10000</v>
      </c>
      <c r="C75">
        <v>10000</v>
      </c>
      <c r="D75" s="2">
        <v>45730</v>
      </c>
      <c r="E75" t="s">
        <v>61</v>
      </c>
      <c r="F75" t="s">
        <v>3006</v>
      </c>
      <c r="G75" t="s">
        <v>180</v>
      </c>
      <c r="I75">
        <v>1</v>
      </c>
      <c r="J75" t="s">
        <v>63</v>
      </c>
      <c r="K75">
        <v>59</v>
      </c>
      <c r="L75" t="s">
        <v>745</v>
      </c>
      <c r="M75" s="4">
        <v>15000</v>
      </c>
      <c r="P75" s="2">
        <v>45728</v>
      </c>
      <c r="R75">
        <v>2</v>
      </c>
      <c r="S75" s="4">
        <v>30000</v>
      </c>
      <c r="T75" t="s">
        <v>65</v>
      </c>
      <c r="U75">
        <v>200748640001</v>
      </c>
      <c r="V75">
        <v>0</v>
      </c>
      <c r="W75" s="4">
        <v>30000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20074864</v>
      </c>
      <c r="AN75" t="s">
        <v>182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3007</v>
      </c>
      <c r="BA75">
        <v>0</v>
      </c>
      <c r="BC75" t="s">
        <v>182</v>
      </c>
      <c r="BF75" t="s">
        <v>3008</v>
      </c>
    </row>
    <row r="76" spans="1:58" x14ac:dyDescent="0.35">
      <c r="A76" t="s">
        <v>3005</v>
      </c>
      <c r="B76">
        <v>20000</v>
      </c>
      <c r="C76">
        <v>10000</v>
      </c>
      <c r="D76" s="2">
        <v>45730</v>
      </c>
      <c r="E76" t="s">
        <v>61</v>
      </c>
      <c r="F76" t="s">
        <v>3006</v>
      </c>
      <c r="G76" t="s">
        <v>180</v>
      </c>
      <c r="I76">
        <v>1</v>
      </c>
      <c r="J76" t="s">
        <v>63</v>
      </c>
      <c r="K76">
        <v>59</v>
      </c>
      <c r="L76" t="s">
        <v>745</v>
      </c>
      <c r="M76" s="4">
        <v>15000</v>
      </c>
      <c r="P76" s="2">
        <v>45728</v>
      </c>
      <c r="R76">
        <v>2</v>
      </c>
      <c r="S76" s="4">
        <v>30000</v>
      </c>
      <c r="T76" t="s">
        <v>65</v>
      </c>
      <c r="U76">
        <v>200748640001</v>
      </c>
      <c r="V76">
        <v>0</v>
      </c>
      <c r="W76" s="4">
        <v>30000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20074864</v>
      </c>
      <c r="AN76" t="s">
        <v>182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3007</v>
      </c>
      <c r="BA76">
        <v>0</v>
      </c>
      <c r="BC76" t="s">
        <v>182</v>
      </c>
      <c r="BF76" t="s">
        <v>3008</v>
      </c>
    </row>
    <row r="77" spans="1:58" x14ac:dyDescent="0.35">
      <c r="A77" t="s">
        <v>3009</v>
      </c>
      <c r="B77">
        <v>10000</v>
      </c>
      <c r="C77">
        <v>10000</v>
      </c>
      <c r="D77" s="2">
        <v>45729</v>
      </c>
      <c r="E77" t="s">
        <v>61</v>
      </c>
      <c r="F77" t="s">
        <v>2906</v>
      </c>
      <c r="G77" t="s">
        <v>699</v>
      </c>
      <c r="I77">
        <v>1</v>
      </c>
      <c r="J77" t="s">
        <v>63</v>
      </c>
      <c r="K77">
        <v>82</v>
      </c>
      <c r="L77" t="s">
        <v>341</v>
      </c>
      <c r="M77">
        <v>434</v>
      </c>
      <c r="P77" s="2">
        <v>45728</v>
      </c>
      <c r="R77">
        <v>30</v>
      </c>
      <c r="S77" s="4">
        <v>13020</v>
      </c>
      <c r="T77" t="s">
        <v>65</v>
      </c>
      <c r="U77">
        <v>150570120001</v>
      </c>
      <c r="V77">
        <v>0</v>
      </c>
      <c r="W77" s="4">
        <v>13000</v>
      </c>
      <c r="X77">
        <v>20</v>
      </c>
      <c r="Y77">
        <v>0</v>
      </c>
      <c r="Z77">
        <v>0</v>
      </c>
      <c r="AA77">
        <v>0</v>
      </c>
      <c r="AD77">
        <v>0</v>
      </c>
      <c r="AM77">
        <v>15057012</v>
      </c>
      <c r="AN77" t="s">
        <v>182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3010</v>
      </c>
      <c r="BA77">
        <v>0</v>
      </c>
      <c r="BC77" t="s">
        <v>182</v>
      </c>
      <c r="BF77" t="s">
        <v>3011</v>
      </c>
    </row>
    <row r="78" spans="1:58" x14ac:dyDescent="0.35">
      <c r="A78" t="s">
        <v>3012</v>
      </c>
      <c r="B78">
        <v>10000</v>
      </c>
      <c r="C78">
        <v>10000</v>
      </c>
      <c r="D78" s="2">
        <v>45729</v>
      </c>
      <c r="E78" t="s">
        <v>61</v>
      </c>
      <c r="F78" s="3">
        <v>0.44581018518518517</v>
      </c>
      <c r="G78" t="s">
        <v>3013</v>
      </c>
      <c r="I78">
        <v>1</v>
      </c>
      <c r="J78" t="s">
        <v>63</v>
      </c>
      <c r="K78">
        <v>31</v>
      </c>
      <c r="L78" t="s">
        <v>1311</v>
      </c>
      <c r="M78" s="4">
        <v>39870</v>
      </c>
      <c r="P78" s="2">
        <v>45728</v>
      </c>
      <c r="R78">
        <v>1</v>
      </c>
      <c r="S78" s="4">
        <v>39870</v>
      </c>
      <c r="T78" t="s">
        <v>65</v>
      </c>
      <c r="U78">
        <v>111818390001</v>
      </c>
      <c r="V78">
        <v>0</v>
      </c>
      <c r="W78" s="4">
        <v>39870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11181839</v>
      </c>
      <c r="AN78" t="s">
        <v>182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3014</v>
      </c>
      <c r="BA78">
        <v>0</v>
      </c>
      <c r="BC78" t="s">
        <v>182</v>
      </c>
      <c r="BF78" t="s">
        <v>3015</v>
      </c>
    </row>
    <row r="79" spans="1:58" x14ac:dyDescent="0.35">
      <c r="A79" t="s">
        <v>3012</v>
      </c>
      <c r="B79">
        <v>20000</v>
      </c>
      <c r="C79">
        <v>10000</v>
      </c>
      <c r="D79" s="2">
        <v>45729</v>
      </c>
      <c r="E79" t="s">
        <v>61</v>
      </c>
      <c r="F79" s="3">
        <v>0.44581018518518517</v>
      </c>
      <c r="G79" t="s">
        <v>3013</v>
      </c>
      <c r="I79">
        <v>1</v>
      </c>
      <c r="J79" t="s">
        <v>63</v>
      </c>
      <c r="K79">
        <v>31</v>
      </c>
      <c r="L79" t="s">
        <v>1311</v>
      </c>
      <c r="M79" s="4">
        <v>39870</v>
      </c>
      <c r="P79" s="2">
        <v>45728</v>
      </c>
      <c r="R79">
        <v>1</v>
      </c>
      <c r="S79" s="4">
        <v>39870</v>
      </c>
      <c r="T79" t="s">
        <v>65</v>
      </c>
      <c r="U79">
        <v>111818390001</v>
      </c>
      <c r="V79">
        <v>0</v>
      </c>
      <c r="W79" s="4">
        <v>39870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11181839</v>
      </c>
      <c r="AN79" t="s">
        <v>182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3014</v>
      </c>
      <c r="BA79">
        <v>0</v>
      </c>
      <c r="BC79" t="s">
        <v>182</v>
      </c>
      <c r="BF79" t="s">
        <v>3015</v>
      </c>
    </row>
    <row r="80" spans="1:58" x14ac:dyDescent="0.35">
      <c r="A80" t="s">
        <v>3012</v>
      </c>
      <c r="B80">
        <v>30000</v>
      </c>
      <c r="C80">
        <v>10000</v>
      </c>
      <c r="D80" s="2">
        <v>45729</v>
      </c>
      <c r="E80" t="s">
        <v>61</v>
      </c>
      <c r="F80" s="3">
        <v>0.44581018518518517</v>
      </c>
      <c r="G80" t="s">
        <v>3013</v>
      </c>
      <c r="I80">
        <v>1</v>
      </c>
      <c r="J80" t="s">
        <v>63</v>
      </c>
      <c r="K80">
        <v>31</v>
      </c>
      <c r="L80" t="s">
        <v>1311</v>
      </c>
      <c r="M80" s="4">
        <v>39870</v>
      </c>
      <c r="P80" s="2">
        <v>45728</v>
      </c>
      <c r="R80">
        <v>1</v>
      </c>
      <c r="S80" s="4">
        <v>39870</v>
      </c>
      <c r="T80" t="s">
        <v>65</v>
      </c>
      <c r="U80">
        <v>111818390001</v>
      </c>
      <c r="V80">
        <v>0</v>
      </c>
      <c r="W80" s="4">
        <v>39870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11181839</v>
      </c>
      <c r="AN80" t="s">
        <v>182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3014</v>
      </c>
      <c r="BA80">
        <v>0</v>
      </c>
      <c r="BC80" t="s">
        <v>182</v>
      </c>
      <c r="BF80" t="s">
        <v>3015</v>
      </c>
    </row>
    <row r="81" spans="1:58" x14ac:dyDescent="0.35">
      <c r="A81" t="s">
        <v>2737</v>
      </c>
      <c r="B81">
        <v>10000</v>
      </c>
      <c r="C81">
        <v>20000</v>
      </c>
      <c r="D81" s="2">
        <v>45728</v>
      </c>
      <c r="E81" t="s">
        <v>61</v>
      </c>
      <c r="F81" t="s">
        <v>2738</v>
      </c>
      <c r="G81">
        <v>860909190840</v>
      </c>
      <c r="I81">
        <v>2</v>
      </c>
      <c r="J81" t="s">
        <v>63</v>
      </c>
      <c r="K81">
        <v>86</v>
      </c>
      <c r="L81" t="s">
        <v>64</v>
      </c>
      <c r="M81">
        <v>250</v>
      </c>
      <c r="P81" s="2">
        <v>45728</v>
      </c>
      <c r="R81">
        <v>14</v>
      </c>
      <c r="S81" s="4">
        <v>3500</v>
      </c>
      <c r="T81" t="s">
        <v>65</v>
      </c>
      <c r="U81">
        <v>200909620001</v>
      </c>
      <c r="V81">
        <v>0</v>
      </c>
      <c r="W81" s="4">
        <v>2000</v>
      </c>
      <c r="X81" s="4">
        <v>1500</v>
      </c>
      <c r="Y81">
        <v>0</v>
      </c>
      <c r="Z81">
        <v>0</v>
      </c>
      <c r="AA81">
        <v>0</v>
      </c>
      <c r="AD81">
        <v>0</v>
      </c>
      <c r="AM81">
        <v>20090962</v>
      </c>
      <c r="AN81" t="s">
        <v>182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2739</v>
      </c>
      <c r="BA81">
        <v>0</v>
      </c>
      <c r="BC81" t="s">
        <v>182</v>
      </c>
      <c r="BF81" t="s">
        <v>2740</v>
      </c>
    </row>
    <row r="82" spans="1:58" x14ac:dyDescent="0.35">
      <c r="A82" t="s">
        <v>2741</v>
      </c>
      <c r="B82">
        <v>10000</v>
      </c>
      <c r="C82">
        <v>20000</v>
      </c>
      <c r="D82" s="2">
        <v>45728</v>
      </c>
      <c r="E82" t="s">
        <v>61</v>
      </c>
      <c r="F82" t="s">
        <v>2742</v>
      </c>
      <c r="G82">
        <v>860909190840</v>
      </c>
      <c r="I82">
        <v>2</v>
      </c>
      <c r="J82" t="s">
        <v>63</v>
      </c>
      <c r="K82">
        <v>86</v>
      </c>
      <c r="L82" t="s">
        <v>64</v>
      </c>
      <c r="M82">
        <v>642</v>
      </c>
      <c r="P82" s="2">
        <v>45728</v>
      </c>
      <c r="R82">
        <v>14</v>
      </c>
      <c r="S82" s="4">
        <v>8988</v>
      </c>
      <c r="T82" t="s">
        <v>65</v>
      </c>
      <c r="U82">
        <v>200909620001</v>
      </c>
      <c r="V82">
        <v>0</v>
      </c>
      <c r="W82" s="4">
        <v>9000</v>
      </c>
      <c r="X82">
        <v>-12</v>
      </c>
      <c r="Y82">
        <v>0</v>
      </c>
      <c r="Z82">
        <v>0</v>
      </c>
      <c r="AA82">
        <v>0</v>
      </c>
      <c r="AD82">
        <v>0</v>
      </c>
      <c r="AM82">
        <v>20090962</v>
      </c>
      <c r="AN82" t="s">
        <v>182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2743</v>
      </c>
      <c r="BA82">
        <v>0</v>
      </c>
      <c r="BC82" t="s">
        <v>182</v>
      </c>
      <c r="BF82" t="s">
        <v>2744</v>
      </c>
    </row>
    <row r="83" spans="1:58" x14ac:dyDescent="0.35">
      <c r="A83" t="s">
        <v>3016</v>
      </c>
      <c r="B83">
        <v>10000</v>
      </c>
      <c r="C83">
        <v>10000</v>
      </c>
      <c r="D83" s="2">
        <v>45729</v>
      </c>
      <c r="E83" t="s">
        <v>61</v>
      </c>
      <c r="F83" t="s">
        <v>3017</v>
      </c>
      <c r="G83" t="s">
        <v>1264</v>
      </c>
      <c r="I83">
        <v>1</v>
      </c>
      <c r="J83" t="s">
        <v>63</v>
      </c>
      <c r="K83">
        <v>60</v>
      </c>
      <c r="L83" t="s">
        <v>277</v>
      </c>
      <c r="M83">
        <v>100</v>
      </c>
      <c r="P83" s="2">
        <v>45728</v>
      </c>
      <c r="R83">
        <v>1</v>
      </c>
      <c r="S83">
        <v>100</v>
      </c>
      <c r="T83" t="s">
        <v>65</v>
      </c>
      <c r="U83" t="s">
        <v>3018</v>
      </c>
      <c r="V83">
        <v>0</v>
      </c>
      <c r="W83">
        <v>100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3019</v>
      </c>
      <c r="AN83" t="s">
        <v>2976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3020</v>
      </c>
      <c r="BA83">
        <v>0</v>
      </c>
      <c r="BC83" t="s">
        <v>2976</v>
      </c>
      <c r="BF83" t="s">
        <v>3021</v>
      </c>
    </row>
    <row r="84" spans="1:58" x14ac:dyDescent="0.35">
      <c r="A84" t="s">
        <v>2745</v>
      </c>
      <c r="B84">
        <v>10000</v>
      </c>
      <c r="C84">
        <v>20000</v>
      </c>
      <c r="D84" s="2">
        <v>45728</v>
      </c>
      <c r="E84" t="s">
        <v>61</v>
      </c>
      <c r="F84" t="s">
        <v>2746</v>
      </c>
      <c r="G84">
        <v>860909190840</v>
      </c>
      <c r="I84">
        <v>2</v>
      </c>
      <c r="J84" t="s">
        <v>63</v>
      </c>
      <c r="K84">
        <v>86</v>
      </c>
      <c r="L84" t="s">
        <v>64</v>
      </c>
      <c r="M84">
        <v>500</v>
      </c>
      <c r="P84" s="2">
        <v>45728</v>
      </c>
      <c r="R84">
        <v>14</v>
      </c>
      <c r="S84" s="4">
        <v>7000</v>
      </c>
      <c r="T84" t="s">
        <v>65</v>
      </c>
      <c r="U84">
        <v>200717170001</v>
      </c>
      <c r="V84">
        <v>0</v>
      </c>
      <c r="W84" s="4">
        <v>7000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20071717</v>
      </c>
      <c r="AN84" t="s">
        <v>182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2747</v>
      </c>
      <c r="BA84">
        <v>0</v>
      </c>
      <c r="BC84" t="s">
        <v>182</v>
      </c>
      <c r="BF84" t="s">
        <v>2748</v>
      </c>
    </row>
    <row r="85" spans="1:58" x14ac:dyDescent="0.35">
      <c r="A85" t="s">
        <v>2749</v>
      </c>
      <c r="B85">
        <v>10000</v>
      </c>
      <c r="C85">
        <v>20000</v>
      </c>
      <c r="D85" s="2">
        <v>45728</v>
      </c>
      <c r="E85" t="s">
        <v>61</v>
      </c>
      <c r="F85" t="s">
        <v>2750</v>
      </c>
      <c r="G85">
        <v>860909190840</v>
      </c>
      <c r="I85">
        <v>2</v>
      </c>
      <c r="J85" t="s">
        <v>63</v>
      </c>
      <c r="K85">
        <v>86</v>
      </c>
      <c r="L85" t="s">
        <v>64</v>
      </c>
      <c r="M85" s="4">
        <v>1112</v>
      </c>
      <c r="P85" s="2">
        <v>45728</v>
      </c>
      <c r="R85">
        <v>9</v>
      </c>
      <c r="S85" s="4">
        <v>10008</v>
      </c>
      <c r="T85" t="s">
        <v>65</v>
      </c>
      <c r="U85">
        <v>200717150001</v>
      </c>
      <c r="V85">
        <v>0</v>
      </c>
      <c r="W85" s="4">
        <v>14000</v>
      </c>
      <c r="X85" s="4">
        <v>-3992</v>
      </c>
      <c r="Y85">
        <v>0</v>
      </c>
      <c r="Z85">
        <v>0</v>
      </c>
      <c r="AA85">
        <v>0</v>
      </c>
      <c r="AD85">
        <v>0</v>
      </c>
      <c r="AM85">
        <v>20071715</v>
      </c>
      <c r="AN85" t="s">
        <v>182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2751</v>
      </c>
      <c r="BA85">
        <v>0</v>
      </c>
      <c r="BC85" t="s">
        <v>182</v>
      </c>
      <c r="BF85" t="s">
        <v>2752</v>
      </c>
    </row>
    <row r="86" spans="1:58" x14ac:dyDescent="0.35">
      <c r="A86" t="s">
        <v>3022</v>
      </c>
      <c r="B86">
        <v>10000</v>
      </c>
      <c r="C86">
        <v>10000</v>
      </c>
      <c r="D86" s="2">
        <v>45730</v>
      </c>
      <c r="E86" t="s">
        <v>61</v>
      </c>
      <c r="F86" t="s">
        <v>3023</v>
      </c>
      <c r="G86" t="s">
        <v>3024</v>
      </c>
      <c r="I86">
        <v>1</v>
      </c>
      <c r="J86" t="s">
        <v>63</v>
      </c>
      <c r="K86">
        <v>88</v>
      </c>
      <c r="L86" t="s">
        <v>630</v>
      </c>
      <c r="M86">
        <v>650</v>
      </c>
      <c r="P86" s="2">
        <v>45728</v>
      </c>
      <c r="R86">
        <v>2</v>
      </c>
      <c r="S86" s="4">
        <v>1300</v>
      </c>
      <c r="T86" t="s">
        <v>65</v>
      </c>
      <c r="U86">
        <v>107343410001</v>
      </c>
      <c r="V86">
        <v>0</v>
      </c>
      <c r="W86">
        <v>700</v>
      </c>
      <c r="X86">
        <v>600</v>
      </c>
      <c r="Y86">
        <v>0</v>
      </c>
      <c r="Z86">
        <v>0</v>
      </c>
      <c r="AA86">
        <v>0</v>
      </c>
      <c r="AD86">
        <v>0</v>
      </c>
      <c r="AM86">
        <v>10734341</v>
      </c>
      <c r="AN86" t="s">
        <v>487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3025</v>
      </c>
      <c r="BA86">
        <v>0</v>
      </c>
      <c r="BC86" t="s">
        <v>487</v>
      </c>
      <c r="BF86" t="s">
        <v>3026</v>
      </c>
    </row>
    <row r="87" spans="1:58" x14ac:dyDescent="0.35">
      <c r="A87" t="s">
        <v>3022</v>
      </c>
      <c r="B87">
        <v>20000</v>
      </c>
      <c r="C87">
        <v>10000</v>
      </c>
      <c r="D87" s="2">
        <v>45730</v>
      </c>
      <c r="E87" t="s">
        <v>61</v>
      </c>
      <c r="F87" t="s">
        <v>3023</v>
      </c>
      <c r="G87" t="s">
        <v>3024</v>
      </c>
      <c r="I87">
        <v>1</v>
      </c>
      <c r="J87" t="s">
        <v>63</v>
      </c>
      <c r="K87">
        <v>88</v>
      </c>
      <c r="L87" t="s">
        <v>630</v>
      </c>
      <c r="M87">
        <v>350</v>
      </c>
      <c r="P87" s="2">
        <v>45728</v>
      </c>
      <c r="R87">
        <v>2</v>
      </c>
      <c r="S87">
        <v>700</v>
      </c>
      <c r="T87" t="s">
        <v>65</v>
      </c>
      <c r="U87">
        <v>107343410001</v>
      </c>
      <c r="V87">
        <v>0</v>
      </c>
      <c r="W87">
        <v>700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10734341</v>
      </c>
      <c r="AN87" t="s">
        <v>487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3025</v>
      </c>
      <c r="BA87">
        <v>0</v>
      </c>
      <c r="BC87" t="s">
        <v>487</v>
      </c>
      <c r="BF87" t="s">
        <v>3026</v>
      </c>
    </row>
    <row r="88" spans="1:58" x14ac:dyDescent="0.35">
      <c r="A88" t="s">
        <v>3027</v>
      </c>
      <c r="B88">
        <v>10000</v>
      </c>
      <c r="C88">
        <v>10000</v>
      </c>
      <c r="D88" s="2">
        <v>45729</v>
      </c>
      <c r="E88" t="s">
        <v>61</v>
      </c>
      <c r="F88" t="s">
        <v>3028</v>
      </c>
      <c r="G88" t="s">
        <v>3029</v>
      </c>
      <c r="I88">
        <v>1</v>
      </c>
      <c r="J88" t="s">
        <v>63</v>
      </c>
      <c r="K88">
        <v>86</v>
      </c>
      <c r="L88" t="s">
        <v>64</v>
      </c>
      <c r="M88" s="4">
        <v>27500</v>
      </c>
      <c r="P88" s="2">
        <v>45728</v>
      </c>
      <c r="R88">
        <v>2</v>
      </c>
      <c r="S88" s="4">
        <v>55000</v>
      </c>
      <c r="T88" t="s">
        <v>65</v>
      </c>
      <c r="U88" t="s">
        <v>3030</v>
      </c>
      <c r="V88">
        <v>0</v>
      </c>
      <c r="W88" s="4">
        <v>55000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3031</v>
      </c>
      <c r="AN88" t="s">
        <v>1855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3032</v>
      </c>
      <c r="BA88">
        <v>0</v>
      </c>
      <c r="BC88" t="s">
        <v>1855</v>
      </c>
      <c r="BF88" t="s">
        <v>3033</v>
      </c>
    </row>
    <row r="89" spans="1:58" x14ac:dyDescent="0.35">
      <c r="A89" t="s">
        <v>3034</v>
      </c>
      <c r="B89">
        <v>10000</v>
      </c>
      <c r="C89">
        <v>10000</v>
      </c>
      <c r="D89" s="2">
        <v>45730</v>
      </c>
      <c r="E89" t="s">
        <v>61</v>
      </c>
      <c r="F89" s="3">
        <v>0.53435185185185186</v>
      </c>
      <c r="G89" t="s">
        <v>899</v>
      </c>
      <c r="I89">
        <v>1</v>
      </c>
      <c r="J89" t="s">
        <v>63</v>
      </c>
      <c r="K89">
        <v>93</v>
      </c>
      <c r="L89" t="s">
        <v>573</v>
      </c>
      <c r="M89">
        <v>439</v>
      </c>
      <c r="P89" s="2">
        <v>45728</v>
      </c>
      <c r="R89">
        <v>342</v>
      </c>
      <c r="S89" s="4">
        <v>150138</v>
      </c>
      <c r="T89" t="s">
        <v>65</v>
      </c>
      <c r="U89" t="s">
        <v>901</v>
      </c>
      <c r="V89">
        <v>0</v>
      </c>
      <c r="W89" s="4">
        <v>120000</v>
      </c>
      <c r="X89" s="4">
        <v>30138</v>
      </c>
      <c r="Y89">
        <v>0</v>
      </c>
      <c r="Z89">
        <v>0</v>
      </c>
      <c r="AA89">
        <v>0</v>
      </c>
      <c r="AD89">
        <v>0</v>
      </c>
      <c r="AM89" t="s">
        <v>902</v>
      </c>
      <c r="AN89" t="s">
        <v>903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3035</v>
      </c>
      <c r="BA89">
        <v>0</v>
      </c>
      <c r="BC89" t="s">
        <v>903</v>
      </c>
      <c r="BF89" t="s">
        <v>3036</v>
      </c>
    </row>
    <row r="90" spans="1:58" x14ac:dyDescent="0.35">
      <c r="A90" t="s">
        <v>3037</v>
      </c>
      <c r="B90">
        <v>10000</v>
      </c>
      <c r="C90">
        <v>10000</v>
      </c>
      <c r="D90" s="2">
        <v>45728</v>
      </c>
      <c r="E90" t="s">
        <v>61</v>
      </c>
      <c r="F90" t="s">
        <v>2824</v>
      </c>
      <c r="G90" t="s">
        <v>3038</v>
      </c>
      <c r="I90">
        <v>1</v>
      </c>
      <c r="J90" t="s">
        <v>63</v>
      </c>
      <c r="K90">
        <v>61</v>
      </c>
      <c r="L90" t="s">
        <v>216</v>
      </c>
      <c r="M90">
        <v>3</v>
      </c>
      <c r="P90" s="2">
        <v>45728</v>
      </c>
      <c r="R90">
        <v>10</v>
      </c>
      <c r="S90">
        <v>30</v>
      </c>
      <c r="T90" t="s">
        <v>65</v>
      </c>
      <c r="U90" t="s">
        <v>3039</v>
      </c>
      <c r="V90">
        <v>0</v>
      </c>
      <c r="W90">
        <v>25</v>
      </c>
      <c r="X90">
        <v>5</v>
      </c>
      <c r="Y90">
        <v>0</v>
      </c>
      <c r="Z90">
        <v>0</v>
      </c>
      <c r="AA90">
        <v>0</v>
      </c>
      <c r="AD90">
        <v>0</v>
      </c>
      <c r="AM90" t="s">
        <v>3040</v>
      </c>
      <c r="AN90" t="s">
        <v>3041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3042</v>
      </c>
      <c r="BA90">
        <v>0</v>
      </c>
      <c r="BC90" t="s">
        <v>3041</v>
      </c>
      <c r="BF90" t="s">
        <v>3043</v>
      </c>
    </row>
    <row r="91" spans="1:58" x14ac:dyDescent="0.35">
      <c r="A91" t="s">
        <v>3044</v>
      </c>
      <c r="B91">
        <v>10000</v>
      </c>
      <c r="C91">
        <v>10000</v>
      </c>
      <c r="D91" s="2">
        <v>45728</v>
      </c>
      <c r="E91" t="s">
        <v>61</v>
      </c>
      <c r="F91" s="3">
        <v>0.43989583333333332</v>
      </c>
      <c r="G91" t="s">
        <v>3045</v>
      </c>
      <c r="I91">
        <v>1</v>
      </c>
      <c r="J91" t="s">
        <v>63</v>
      </c>
      <c r="K91">
        <v>65</v>
      </c>
      <c r="L91" t="s">
        <v>268</v>
      </c>
      <c r="M91">
        <v>17</v>
      </c>
      <c r="P91" s="2">
        <v>45728</v>
      </c>
      <c r="R91">
        <v>6</v>
      </c>
      <c r="S91">
        <v>102</v>
      </c>
      <c r="T91" t="s">
        <v>65</v>
      </c>
      <c r="U91" t="s">
        <v>3046</v>
      </c>
      <c r="V91">
        <v>0</v>
      </c>
      <c r="W91">
        <v>100</v>
      </c>
      <c r="X91">
        <v>2</v>
      </c>
      <c r="Y91">
        <v>0</v>
      </c>
      <c r="Z91">
        <v>0</v>
      </c>
      <c r="AA91">
        <v>0</v>
      </c>
      <c r="AD91">
        <v>0</v>
      </c>
      <c r="AM91" t="s">
        <v>3047</v>
      </c>
      <c r="AN91" t="s">
        <v>2976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3048</v>
      </c>
      <c r="BA91">
        <v>0</v>
      </c>
      <c r="BC91" t="s">
        <v>2976</v>
      </c>
      <c r="BF91" t="s">
        <v>3049</v>
      </c>
    </row>
    <row r="92" spans="1:58" x14ac:dyDescent="0.35">
      <c r="A92" t="s">
        <v>3050</v>
      </c>
      <c r="B92">
        <v>10000</v>
      </c>
      <c r="C92">
        <v>10000</v>
      </c>
      <c r="D92" s="2">
        <v>45730</v>
      </c>
      <c r="E92" t="s">
        <v>61</v>
      </c>
      <c r="F92" t="s">
        <v>3051</v>
      </c>
      <c r="G92" t="s">
        <v>3052</v>
      </c>
      <c r="I92">
        <v>1</v>
      </c>
      <c r="J92" t="s">
        <v>63</v>
      </c>
      <c r="K92">
        <v>88</v>
      </c>
      <c r="L92" t="s">
        <v>630</v>
      </c>
      <c r="M92" s="4">
        <v>2500</v>
      </c>
      <c r="P92" s="2">
        <v>45728</v>
      </c>
      <c r="R92">
        <v>1</v>
      </c>
      <c r="S92" s="4">
        <v>2500</v>
      </c>
      <c r="T92" t="s">
        <v>65</v>
      </c>
      <c r="U92" t="s">
        <v>3053</v>
      </c>
      <c r="V92">
        <v>0</v>
      </c>
      <c r="W92" s="4">
        <v>2000</v>
      </c>
      <c r="X92">
        <v>500</v>
      </c>
      <c r="Y92">
        <v>0</v>
      </c>
      <c r="Z92">
        <v>0</v>
      </c>
      <c r="AA92">
        <v>0</v>
      </c>
      <c r="AD92">
        <v>0</v>
      </c>
      <c r="AM92" t="s">
        <v>3054</v>
      </c>
      <c r="AN92" t="s">
        <v>3055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3056</v>
      </c>
      <c r="BA92">
        <v>0</v>
      </c>
      <c r="BC92" t="s">
        <v>3055</v>
      </c>
      <c r="BF92" t="s">
        <v>3057</v>
      </c>
    </row>
    <row r="93" spans="1:58" x14ac:dyDescent="0.35">
      <c r="A93" t="s">
        <v>3058</v>
      </c>
      <c r="B93">
        <v>10000</v>
      </c>
      <c r="C93">
        <v>10000</v>
      </c>
      <c r="D93" s="2">
        <v>45730</v>
      </c>
      <c r="E93" t="s">
        <v>61</v>
      </c>
      <c r="F93" t="s">
        <v>3059</v>
      </c>
      <c r="G93" t="s">
        <v>3052</v>
      </c>
      <c r="I93">
        <v>1</v>
      </c>
      <c r="J93" t="s">
        <v>63</v>
      </c>
      <c r="K93">
        <v>88</v>
      </c>
      <c r="L93" t="s">
        <v>630</v>
      </c>
      <c r="M93" s="4">
        <v>1500</v>
      </c>
      <c r="P93" s="2">
        <v>45728</v>
      </c>
      <c r="R93">
        <v>1</v>
      </c>
      <c r="S93" s="4">
        <v>1500</v>
      </c>
      <c r="T93" t="s">
        <v>65</v>
      </c>
      <c r="U93" t="s">
        <v>3060</v>
      </c>
      <c r="V93">
        <v>0</v>
      </c>
      <c r="W93" s="4">
        <v>1000</v>
      </c>
      <c r="X93">
        <v>500</v>
      </c>
      <c r="Y93">
        <v>0</v>
      </c>
      <c r="Z93">
        <v>0</v>
      </c>
      <c r="AA93">
        <v>0</v>
      </c>
      <c r="AD93">
        <v>0</v>
      </c>
      <c r="AM93" t="s">
        <v>3061</v>
      </c>
      <c r="AN93" t="s">
        <v>3055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3062</v>
      </c>
      <c r="BA93">
        <v>0</v>
      </c>
      <c r="BC93" t="s">
        <v>3055</v>
      </c>
      <c r="BF93" t="s">
        <v>3057</v>
      </c>
    </row>
    <row r="94" spans="1:58" x14ac:dyDescent="0.35">
      <c r="A94" t="s">
        <v>3058</v>
      </c>
      <c r="B94">
        <v>10000</v>
      </c>
      <c r="C94">
        <v>20000</v>
      </c>
      <c r="D94" s="2">
        <v>45730</v>
      </c>
      <c r="E94" t="s">
        <v>61</v>
      </c>
      <c r="F94" t="s">
        <v>3059</v>
      </c>
      <c r="G94" t="s">
        <v>3052</v>
      </c>
      <c r="I94">
        <v>2</v>
      </c>
      <c r="J94" t="s">
        <v>63</v>
      </c>
      <c r="K94">
        <v>92</v>
      </c>
      <c r="L94" t="s">
        <v>424</v>
      </c>
      <c r="M94" s="4">
        <v>1400</v>
      </c>
      <c r="P94" s="2">
        <v>45728</v>
      </c>
      <c r="R94">
        <v>1</v>
      </c>
      <c r="S94" s="4">
        <v>1400</v>
      </c>
      <c r="T94" t="s">
        <v>65</v>
      </c>
      <c r="U94" t="s">
        <v>3060</v>
      </c>
      <c r="V94">
        <v>0</v>
      </c>
      <c r="W94" s="4">
        <v>1000</v>
      </c>
      <c r="X94">
        <v>400</v>
      </c>
      <c r="Y94">
        <v>0</v>
      </c>
      <c r="Z94">
        <v>0</v>
      </c>
      <c r="AA94">
        <v>0</v>
      </c>
      <c r="AD94">
        <v>0</v>
      </c>
      <c r="AM94" t="s">
        <v>3061</v>
      </c>
      <c r="AN94" t="s">
        <v>3055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3062</v>
      </c>
      <c r="BA94">
        <v>0</v>
      </c>
      <c r="BC94" t="s">
        <v>3055</v>
      </c>
      <c r="BF94" t="s">
        <v>3057</v>
      </c>
    </row>
    <row r="95" spans="1:58" x14ac:dyDescent="0.35">
      <c r="A95" t="s">
        <v>3063</v>
      </c>
      <c r="B95">
        <v>10000</v>
      </c>
      <c r="C95">
        <v>10000</v>
      </c>
      <c r="D95" s="2">
        <v>45729</v>
      </c>
      <c r="E95" t="s">
        <v>61</v>
      </c>
      <c r="F95" t="s">
        <v>3017</v>
      </c>
      <c r="G95" t="s">
        <v>3064</v>
      </c>
      <c r="I95">
        <v>1</v>
      </c>
      <c r="J95" t="s">
        <v>63</v>
      </c>
      <c r="K95">
        <v>60</v>
      </c>
      <c r="L95" t="s">
        <v>277</v>
      </c>
      <c r="M95">
        <v>100</v>
      </c>
      <c r="P95" s="2">
        <v>45728</v>
      </c>
      <c r="R95">
        <v>1</v>
      </c>
      <c r="S95">
        <v>100</v>
      </c>
      <c r="T95" t="s">
        <v>65</v>
      </c>
      <c r="U95" t="s">
        <v>3065</v>
      </c>
      <c r="V95">
        <v>0</v>
      </c>
      <c r="W95">
        <v>100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3066</v>
      </c>
      <c r="AN95" t="s">
        <v>2976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3067</v>
      </c>
      <c r="BA95">
        <v>0</v>
      </c>
      <c r="BC95" t="s">
        <v>2976</v>
      </c>
      <c r="BF95" t="s">
        <v>3049</v>
      </c>
    </row>
    <row r="96" spans="1:58" x14ac:dyDescent="0.35">
      <c r="A96" t="s">
        <v>3068</v>
      </c>
      <c r="B96">
        <v>10000</v>
      </c>
      <c r="C96">
        <v>10000</v>
      </c>
      <c r="D96" s="2">
        <v>45728</v>
      </c>
      <c r="E96" t="s">
        <v>61</v>
      </c>
      <c r="F96" t="s">
        <v>2760</v>
      </c>
      <c r="G96" t="s">
        <v>1773</v>
      </c>
      <c r="I96">
        <v>1</v>
      </c>
      <c r="J96" t="s">
        <v>63</v>
      </c>
      <c r="K96">
        <v>32</v>
      </c>
      <c r="L96" t="s">
        <v>553</v>
      </c>
      <c r="M96" s="4">
        <v>5860</v>
      </c>
      <c r="P96" s="2">
        <v>45728</v>
      </c>
      <c r="R96">
        <v>1</v>
      </c>
      <c r="S96" s="4">
        <v>5860</v>
      </c>
      <c r="T96" t="s">
        <v>65</v>
      </c>
      <c r="U96" t="s">
        <v>2059</v>
      </c>
      <c r="V96">
        <v>0</v>
      </c>
      <c r="W96" s="4">
        <v>5360</v>
      </c>
      <c r="X96">
        <v>500</v>
      </c>
      <c r="Y96">
        <v>0</v>
      </c>
      <c r="Z96">
        <v>0</v>
      </c>
      <c r="AA96">
        <v>0</v>
      </c>
      <c r="AD96">
        <v>0</v>
      </c>
      <c r="AM96" t="s">
        <v>2060</v>
      </c>
      <c r="AN96" t="s">
        <v>116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3069</v>
      </c>
      <c r="BA96">
        <v>0</v>
      </c>
      <c r="BC96" t="s">
        <v>116</v>
      </c>
      <c r="BF96" t="s">
        <v>2762</v>
      </c>
    </row>
    <row r="97" spans="1:58" x14ac:dyDescent="0.35">
      <c r="A97" t="s">
        <v>3070</v>
      </c>
      <c r="B97">
        <v>10000</v>
      </c>
      <c r="C97">
        <v>10000</v>
      </c>
      <c r="D97" s="2">
        <v>45728</v>
      </c>
      <c r="E97" t="s">
        <v>61</v>
      </c>
      <c r="F97" t="s">
        <v>2818</v>
      </c>
      <c r="G97" t="s">
        <v>3071</v>
      </c>
      <c r="I97">
        <v>1</v>
      </c>
      <c r="J97" t="s">
        <v>63</v>
      </c>
      <c r="K97">
        <v>61</v>
      </c>
      <c r="L97" t="s">
        <v>197</v>
      </c>
      <c r="M97" s="4">
        <v>6667</v>
      </c>
      <c r="P97" s="2">
        <v>45728</v>
      </c>
      <c r="R97">
        <v>6</v>
      </c>
      <c r="S97" s="4">
        <v>40002</v>
      </c>
      <c r="T97" t="s">
        <v>65</v>
      </c>
      <c r="U97" t="s">
        <v>198</v>
      </c>
      <c r="V97">
        <v>0</v>
      </c>
      <c r="W97" s="4">
        <v>40000</v>
      </c>
      <c r="X97">
        <v>2</v>
      </c>
      <c r="Y97">
        <v>0</v>
      </c>
      <c r="Z97">
        <v>0</v>
      </c>
      <c r="AA97">
        <v>0</v>
      </c>
      <c r="AD97">
        <v>0</v>
      </c>
      <c r="AM97" t="s">
        <v>199</v>
      </c>
      <c r="AN97" t="s">
        <v>116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3072</v>
      </c>
      <c r="BA97">
        <v>0</v>
      </c>
      <c r="BC97" t="s">
        <v>116</v>
      </c>
      <c r="BF97" t="s">
        <v>3073</v>
      </c>
    </row>
    <row r="98" spans="1:58" x14ac:dyDescent="0.35">
      <c r="A98" t="s">
        <v>3074</v>
      </c>
      <c r="B98">
        <v>10000</v>
      </c>
      <c r="C98">
        <v>10000</v>
      </c>
      <c r="D98" s="2">
        <v>45735</v>
      </c>
      <c r="E98" t="s">
        <v>61</v>
      </c>
      <c r="F98" t="s">
        <v>3075</v>
      </c>
      <c r="G98">
        <v>10639931032</v>
      </c>
      <c r="I98">
        <v>1</v>
      </c>
      <c r="J98" t="s">
        <v>63</v>
      </c>
      <c r="K98">
        <v>93</v>
      </c>
      <c r="L98" t="s">
        <v>573</v>
      </c>
      <c r="M98">
        <v>107</v>
      </c>
      <c r="P98" s="2">
        <v>45728</v>
      </c>
      <c r="R98">
        <v>75</v>
      </c>
      <c r="S98" s="4">
        <v>8025</v>
      </c>
      <c r="T98" t="s">
        <v>65</v>
      </c>
      <c r="U98" t="s">
        <v>3076</v>
      </c>
      <c r="V98">
        <v>0</v>
      </c>
      <c r="W98" s="4">
        <v>5000</v>
      </c>
      <c r="X98" s="4">
        <v>3025</v>
      </c>
      <c r="Y98">
        <v>0</v>
      </c>
      <c r="Z98">
        <v>0</v>
      </c>
      <c r="AA98">
        <v>0</v>
      </c>
      <c r="AD98">
        <v>0</v>
      </c>
      <c r="AM98" t="s">
        <v>3077</v>
      </c>
      <c r="AN98" t="s">
        <v>68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3078</v>
      </c>
      <c r="BA98">
        <v>0</v>
      </c>
      <c r="BC98" t="s">
        <v>68</v>
      </c>
      <c r="BF98" t="s">
        <v>3079</v>
      </c>
    </row>
    <row r="99" spans="1:58" x14ac:dyDescent="0.35">
      <c r="A99" t="s">
        <v>3080</v>
      </c>
      <c r="B99">
        <v>10000</v>
      </c>
      <c r="C99">
        <v>10000</v>
      </c>
      <c r="D99" s="2">
        <v>45735</v>
      </c>
      <c r="E99" t="s">
        <v>61</v>
      </c>
      <c r="F99" t="s">
        <v>3081</v>
      </c>
      <c r="G99">
        <v>10639931032</v>
      </c>
      <c r="I99">
        <v>1</v>
      </c>
      <c r="J99" t="s">
        <v>63</v>
      </c>
      <c r="K99">
        <v>79</v>
      </c>
      <c r="L99" t="s">
        <v>573</v>
      </c>
      <c r="M99">
        <v>107</v>
      </c>
      <c r="P99" s="2">
        <v>45728</v>
      </c>
      <c r="R99">
        <v>75</v>
      </c>
      <c r="S99" s="4">
        <v>8025</v>
      </c>
      <c r="T99" t="s">
        <v>65</v>
      </c>
      <c r="U99" t="s">
        <v>3082</v>
      </c>
      <c r="V99">
        <v>0</v>
      </c>
      <c r="W99" s="4">
        <v>5000</v>
      </c>
      <c r="X99" s="4">
        <v>3025</v>
      </c>
      <c r="Y99">
        <v>0</v>
      </c>
      <c r="Z99">
        <v>0</v>
      </c>
      <c r="AA99">
        <v>0</v>
      </c>
      <c r="AD99">
        <v>0</v>
      </c>
      <c r="AM99" t="s">
        <v>3083</v>
      </c>
      <c r="AN99" t="s">
        <v>68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3084</v>
      </c>
      <c r="BA99">
        <v>0</v>
      </c>
      <c r="BC99" t="s">
        <v>68</v>
      </c>
      <c r="BF99" t="s">
        <v>3085</v>
      </c>
    </row>
    <row r="100" spans="1:58" x14ac:dyDescent="0.35">
      <c r="A100" t="s">
        <v>3086</v>
      </c>
      <c r="B100">
        <v>10000</v>
      </c>
      <c r="C100">
        <v>10000</v>
      </c>
      <c r="D100" s="2">
        <v>45735</v>
      </c>
      <c r="E100" t="s">
        <v>61</v>
      </c>
      <c r="F100" t="s">
        <v>3087</v>
      </c>
      <c r="G100">
        <v>10639931032</v>
      </c>
      <c r="I100">
        <v>1</v>
      </c>
      <c r="J100" t="s">
        <v>63</v>
      </c>
      <c r="K100">
        <v>93</v>
      </c>
      <c r="L100" t="s">
        <v>573</v>
      </c>
      <c r="M100">
        <v>50</v>
      </c>
      <c r="P100" s="2">
        <v>45728</v>
      </c>
      <c r="R100">
        <v>42</v>
      </c>
      <c r="S100" s="4">
        <v>2100</v>
      </c>
      <c r="T100" t="s">
        <v>65</v>
      </c>
      <c r="U100" t="s">
        <v>3088</v>
      </c>
      <c r="V100">
        <v>0</v>
      </c>
      <c r="W100" s="4">
        <v>1000</v>
      </c>
      <c r="X100" s="4">
        <v>1100</v>
      </c>
      <c r="Y100">
        <v>0</v>
      </c>
      <c r="Z100">
        <v>0</v>
      </c>
      <c r="AA100">
        <v>0</v>
      </c>
      <c r="AD100">
        <v>0</v>
      </c>
      <c r="AM100" t="s">
        <v>3089</v>
      </c>
      <c r="AN100" t="s">
        <v>68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3090</v>
      </c>
      <c r="BA100">
        <v>0</v>
      </c>
      <c r="BC100" t="s">
        <v>68</v>
      </c>
      <c r="BF100" t="s">
        <v>3091</v>
      </c>
    </row>
    <row r="110" spans="1:58" x14ac:dyDescent="0.35">
      <c r="A110">
        <f>COUNTA(A5:A109)</f>
        <v>96</v>
      </c>
      <c r="B110">
        <f>'11-Mar'!B105+'12-Mar'!A110</f>
        <v>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0B9B-5ACE-4D70-BD2E-50325C3EA614}">
  <dimension ref="A1:BF100"/>
  <sheetViews>
    <sheetView topLeftCell="A92" workbookViewId="0">
      <selection activeCell="A4" sqref="A4:XFD10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3092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3093</v>
      </c>
      <c r="B5">
        <v>10000</v>
      </c>
      <c r="C5">
        <v>10000</v>
      </c>
      <c r="D5" s="2">
        <v>45754</v>
      </c>
      <c r="E5" t="s">
        <v>61</v>
      </c>
      <c r="F5" t="s">
        <v>3094</v>
      </c>
      <c r="G5" t="s">
        <v>1725</v>
      </c>
      <c r="H5" t="s">
        <v>3095</v>
      </c>
      <c r="I5">
        <v>1</v>
      </c>
      <c r="J5" t="s">
        <v>69</v>
      </c>
      <c r="K5">
        <v>72</v>
      </c>
      <c r="L5" t="s">
        <v>163</v>
      </c>
      <c r="M5" s="4">
        <v>1000</v>
      </c>
      <c r="P5" s="2">
        <v>45729</v>
      </c>
      <c r="R5">
        <v>3</v>
      </c>
      <c r="S5" s="4">
        <v>3000</v>
      </c>
      <c r="T5" t="s">
        <v>65</v>
      </c>
      <c r="U5" t="s">
        <v>3096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3097</v>
      </c>
      <c r="AN5" t="s">
        <v>116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116</v>
      </c>
      <c r="BF5" t="s">
        <v>3098</v>
      </c>
    </row>
    <row r="6" spans="1:58" x14ac:dyDescent="0.35">
      <c r="A6" t="s">
        <v>3099</v>
      </c>
      <c r="B6">
        <v>10000</v>
      </c>
      <c r="C6">
        <v>10000</v>
      </c>
      <c r="D6" s="2">
        <v>45754</v>
      </c>
      <c r="E6" t="s">
        <v>61</v>
      </c>
      <c r="F6" t="s">
        <v>3100</v>
      </c>
      <c r="G6" t="s">
        <v>1725</v>
      </c>
      <c r="H6" t="s">
        <v>3095</v>
      </c>
      <c r="I6">
        <v>1</v>
      </c>
      <c r="J6" t="s">
        <v>69</v>
      </c>
      <c r="K6">
        <v>72</v>
      </c>
      <c r="L6" t="s">
        <v>163</v>
      </c>
      <c r="M6" s="4">
        <v>1500</v>
      </c>
      <c r="P6" s="2">
        <v>45729</v>
      </c>
      <c r="R6">
        <v>3</v>
      </c>
      <c r="S6" s="4">
        <v>4500</v>
      </c>
      <c r="T6" t="s">
        <v>65</v>
      </c>
      <c r="U6" t="s">
        <v>3096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3097</v>
      </c>
      <c r="AN6" t="s">
        <v>116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116</v>
      </c>
      <c r="BF6" t="s">
        <v>3101</v>
      </c>
    </row>
    <row r="7" spans="1:58" x14ac:dyDescent="0.35">
      <c r="A7" t="s">
        <v>3102</v>
      </c>
      <c r="B7">
        <v>10000</v>
      </c>
      <c r="C7">
        <v>50000</v>
      </c>
      <c r="D7" s="2">
        <v>45733</v>
      </c>
      <c r="E7" t="s">
        <v>61</v>
      </c>
      <c r="F7" t="s">
        <v>1180</v>
      </c>
      <c r="G7" t="s">
        <v>3103</v>
      </c>
      <c r="I7">
        <v>2</v>
      </c>
      <c r="J7" t="s">
        <v>63</v>
      </c>
      <c r="K7">
        <v>77</v>
      </c>
      <c r="L7" t="s">
        <v>127</v>
      </c>
      <c r="M7" s="4">
        <v>14862</v>
      </c>
      <c r="P7" s="2">
        <v>45729</v>
      </c>
      <c r="R7">
        <v>36</v>
      </c>
      <c r="S7" s="4">
        <v>535032</v>
      </c>
      <c r="T7" t="s">
        <v>65</v>
      </c>
      <c r="U7" t="s">
        <v>66</v>
      </c>
      <c r="V7">
        <v>0</v>
      </c>
      <c r="W7" s="4">
        <v>500000</v>
      </c>
      <c r="X7" s="4">
        <v>35032</v>
      </c>
      <c r="Y7">
        <v>0</v>
      </c>
      <c r="Z7">
        <v>0</v>
      </c>
      <c r="AA7">
        <v>0</v>
      </c>
      <c r="AD7">
        <v>0</v>
      </c>
      <c r="AM7" t="s">
        <v>67</v>
      </c>
      <c r="AN7" t="s">
        <v>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3104</v>
      </c>
      <c r="BA7">
        <v>0</v>
      </c>
      <c r="BC7" t="s">
        <v>68</v>
      </c>
      <c r="BF7" t="s">
        <v>3105</v>
      </c>
    </row>
    <row r="8" spans="1:58" x14ac:dyDescent="0.35">
      <c r="A8" t="s">
        <v>72</v>
      </c>
      <c r="B8">
        <v>10000</v>
      </c>
      <c r="C8">
        <v>50000</v>
      </c>
      <c r="D8" s="2">
        <v>45729</v>
      </c>
      <c r="E8" t="s">
        <v>61</v>
      </c>
      <c r="F8" t="s">
        <v>2805</v>
      </c>
      <c r="G8" t="s">
        <v>74</v>
      </c>
      <c r="I8">
        <v>3</v>
      </c>
      <c r="J8" t="s">
        <v>63</v>
      </c>
      <c r="K8">
        <v>91</v>
      </c>
      <c r="L8" t="s">
        <v>104</v>
      </c>
      <c r="M8" s="4">
        <v>44000</v>
      </c>
      <c r="P8" s="2">
        <v>45729</v>
      </c>
      <c r="R8">
        <v>9</v>
      </c>
      <c r="S8" s="4">
        <v>396000</v>
      </c>
      <c r="T8" t="s">
        <v>65</v>
      </c>
      <c r="U8" t="s">
        <v>76</v>
      </c>
      <c r="V8">
        <v>0</v>
      </c>
      <c r="W8" s="4">
        <v>392857</v>
      </c>
      <c r="X8" s="4">
        <v>3143</v>
      </c>
      <c r="Y8">
        <v>0</v>
      </c>
      <c r="Z8">
        <v>0</v>
      </c>
      <c r="AA8">
        <v>0</v>
      </c>
      <c r="AD8">
        <v>0</v>
      </c>
      <c r="AM8" t="s">
        <v>77</v>
      </c>
      <c r="AN8" t="s">
        <v>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78</v>
      </c>
      <c r="BA8">
        <v>0</v>
      </c>
      <c r="BC8" t="s">
        <v>68</v>
      </c>
      <c r="BF8" t="s">
        <v>79</v>
      </c>
    </row>
    <row r="9" spans="1:58" x14ac:dyDescent="0.35">
      <c r="A9" t="s">
        <v>725</v>
      </c>
      <c r="B9">
        <v>10000</v>
      </c>
      <c r="C9">
        <v>50000</v>
      </c>
      <c r="D9" s="2">
        <v>45730</v>
      </c>
      <c r="E9" t="s">
        <v>61</v>
      </c>
      <c r="F9" t="s">
        <v>726</v>
      </c>
      <c r="G9" t="s">
        <v>727</v>
      </c>
      <c r="I9">
        <v>3</v>
      </c>
      <c r="J9" t="s">
        <v>63</v>
      </c>
      <c r="K9">
        <v>91</v>
      </c>
      <c r="L9" t="s">
        <v>75</v>
      </c>
      <c r="M9" s="4">
        <v>7000</v>
      </c>
      <c r="P9" s="2">
        <v>45729</v>
      </c>
      <c r="R9">
        <v>9</v>
      </c>
      <c r="S9" s="4">
        <v>63000</v>
      </c>
      <c r="T9" t="s">
        <v>65</v>
      </c>
      <c r="U9" t="s">
        <v>728</v>
      </c>
      <c r="V9">
        <v>0</v>
      </c>
      <c r="W9" s="4">
        <v>59322</v>
      </c>
      <c r="X9" s="4">
        <v>3678</v>
      </c>
      <c r="Y9">
        <v>0</v>
      </c>
      <c r="Z9">
        <v>0</v>
      </c>
      <c r="AA9">
        <v>0</v>
      </c>
      <c r="AD9">
        <v>0</v>
      </c>
      <c r="AM9" t="s">
        <v>729</v>
      </c>
      <c r="AN9" t="s">
        <v>68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730</v>
      </c>
      <c r="BA9">
        <v>0</v>
      </c>
      <c r="BC9" t="s">
        <v>68</v>
      </c>
      <c r="BF9" t="s">
        <v>731</v>
      </c>
    </row>
    <row r="10" spans="1:58" x14ac:dyDescent="0.35">
      <c r="A10" t="s">
        <v>80</v>
      </c>
      <c r="B10">
        <v>10000</v>
      </c>
      <c r="C10">
        <v>50000</v>
      </c>
      <c r="D10" s="2">
        <v>45730</v>
      </c>
      <c r="E10" t="s">
        <v>61</v>
      </c>
      <c r="F10" t="s">
        <v>81</v>
      </c>
      <c r="G10" t="s">
        <v>82</v>
      </c>
      <c r="I10">
        <v>3</v>
      </c>
      <c r="J10" t="s">
        <v>63</v>
      </c>
      <c r="K10">
        <v>91</v>
      </c>
      <c r="L10" t="s">
        <v>104</v>
      </c>
      <c r="M10" s="4">
        <v>12000</v>
      </c>
      <c r="P10" s="2">
        <v>45729</v>
      </c>
      <c r="R10">
        <v>9</v>
      </c>
      <c r="S10" s="4">
        <v>108000</v>
      </c>
      <c r="T10" t="s">
        <v>65</v>
      </c>
      <c r="U10" t="s">
        <v>83</v>
      </c>
      <c r="V10">
        <v>0</v>
      </c>
      <c r="W10" s="4">
        <v>107143</v>
      </c>
      <c r="X10">
        <v>857</v>
      </c>
      <c r="Y10">
        <v>0</v>
      </c>
      <c r="Z10">
        <v>0</v>
      </c>
      <c r="AA10">
        <v>0</v>
      </c>
      <c r="AD10">
        <v>0</v>
      </c>
      <c r="AM10" t="s">
        <v>84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85</v>
      </c>
      <c r="BA10">
        <v>0</v>
      </c>
      <c r="BC10" t="s">
        <v>68</v>
      </c>
      <c r="BF10" t="s">
        <v>86</v>
      </c>
    </row>
    <row r="11" spans="1:58" x14ac:dyDescent="0.35">
      <c r="A11" t="s">
        <v>3106</v>
      </c>
      <c r="B11">
        <v>10000</v>
      </c>
      <c r="C11">
        <v>20000</v>
      </c>
      <c r="D11" s="2">
        <v>45729</v>
      </c>
      <c r="E11" t="s">
        <v>61</v>
      </c>
      <c r="F11" t="s">
        <v>3107</v>
      </c>
      <c r="G11" t="s">
        <v>3108</v>
      </c>
      <c r="I11">
        <v>1</v>
      </c>
      <c r="J11" t="s">
        <v>63</v>
      </c>
      <c r="K11">
        <v>65</v>
      </c>
      <c r="L11" t="s">
        <v>268</v>
      </c>
      <c r="M11" s="4">
        <v>6750</v>
      </c>
      <c r="P11" s="2">
        <v>45729</v>
      </c>
      <c r="R11">
        <v>12</v>
      </c>
      <c r="S11" s="4">
        <v>81000</v>
      </c>
      <c r="T11" t="s">
        <v>65</v>
      </c>
      <c r="U11" t="s">
        <v>269</v>
      </c>
      <c r="V11">
        <v>0</v>
      </c>
      <c r="W11" s="4">
        <v>81000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270</v>
      </c>
      <c r="AN11" t="s">
        <v>271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3109</v>
      </c>
      <c r="BA11">
        <v>0</v>
      </c>
      <c r="BC11" t="s">
        <v>271</v>
      </c>
      <c r="BF11" t="s">
        <v>3110</v>
      </c>
    </row>
    <row r="12" spans="1:58" x14ac:dyDescent="0.35">
      <c r="A12" t="s">
        <v>2545</v>
      </c>
      <c r="B12">
        <v>10000</v>
      </c>
      <c r="C12">
        <v>30000</v>
      </c>
      <c r="D12" s="2">
        <v>45729</v>
      </c>
      <c r="E12" t="s">
        <v>61</v>
      </c>
      <c r="F12" t="s">
        <v>2806</v>
      </c>
      <c r="G12" t="s">
        <v>2546</v>
      </c>
      <c r="I12">
        <v>2</v>
      </c>
      <c r="J12" t="s">
        <v>63</v>
      </c>
      <c r="K12">
        <v>60</v>
      </c>
      <c r="L12" t="s">
        <v>277</v>
      </c>
      <c r="M12" s="4">
        <v>2000</v>
      </c>
      <c r="P12" s="2">
        <v>45729</v>
      </c>
      <c r="R12">
        <v>1</v>
      </c>
      <c r="S12" s="4">
        <v>2000</v>
      </c>
      <c r="T12" t="s">
        <v>65</v>
      </c>
      <c r="U12" t="s">
        <v>2547</v>
      </c>
      <c r="V12">
        <v>0</v>
      </c>
      <c r="W12" s="4">
        <v>2000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2548</v>
      </c>
      <c r="AN12" t="s">
        <v>2549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2550</v>
      </c>
      <c r="BA12">
        <v>0</v>
      </c>
      <c r="BC12" t="s">
        <v>2549</v>
      </c>
      <c r="BF12" t="s">
        <v>2551</v>
      </c>
    </row>
    <row r="13" spans="1:58" x14ac:dyDescent="0.35">
      <c r="A13" t="s">
        <v>2552</v>
      </c>
      <c r="B13">
        <v>10000</v>
      </c>
      <c r="C13">
        <v>20000</v>
      </c>
      <c r="D13" s="2">
        <v>45730</v>
      </c>
      <c r="E13" t="s">
        <v>61</v>
      </c>
      <c r="F13" t="s">
        <v>2553</v>
      </c>
      <c r="G13" t="s">
        <v>89</v>
      </c>
      <c r="I13">
        <v>1</v>
      </c>
      <c r="J13" t="s">
        <v>63</v>
      </c>
      <c r="K13">
        <v>73</v>
      </c>
      <c r="L13" t="s">
        <v>90</v>
      </c>
      <c r="M13" s="4">
        <v>3000</v>
      </c>
      <c r="P13" s="2">
        <v>45729</v>
      </c>
      <c r="R13">
        <v>12</v>
      </c>
      <c r="S13" s="4">
        <v>36000</v>
      </c>
      <c r="T13" t="s">
        <v>65</v>
      </c>
      <c r="U13">
        <v>80256230001</v>
      </c>
      <c r="V13">
        <v>0</v>
      </c>
      <c r="W13" s="4">
        <v>36000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91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2554</v>
      </c>
      <c r="BA13">
        <v>0</v>
      </c>
      <c r="BC13" t="s">
        <v>91</v>
      </c>
      <c r="BF13" t="s">
        <v>2555</v>
      </c>
    </row>
    <row r="14" spans="1:58" x14ac:dyDescent="0.35">
      <c r="A14" t="s">
        <v>3111</v>
      </c>
      <c r="B14">
        <v>10000</v>
      </c>
      <c r="C14">
        <v>10000</v>
      </c>
      <c r="D14" s="2">
        <v>45730</v>
      </c>
      <c r="E14" t="s">
        <v>61</v>
      </c>
      <c r="F14" t="s">
        <v>3112</v>
      </c>
      <c r="G14" t="s">
        <v>89</v>
      </c>
      <c r="I14">
        <v>1</v>
      </c>
      <c r="J14" t="s">
        <v>63</v>
      </c>
      <c r="K14">
        <v>73</v>
      </c>
      <c r="L14" t="s">
        <v>90</v>
      </c>
      <c r="M14" s="4">
        <v>30000</v>
      </c>
      <c r="P14" s="2">
        <v>45729</v>
      </c>
      <c r="R14">
        <v>12</v>
      </c>
      <c r="S14" s="4">
        <v>360000</v>
      </c>
      <c r="T14" t="s">
        <v>65</v>
      </c>
      <c r="U14">
        <v>80256230001</v>
      </c>
      <c r="V14">
        <v>0</v>
      </c>
      <c r="W14" s="4">
        <v>360000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91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3113</v>
      </c>
      <c r="BA14">
        <v>0</v>
      </c>
      <c r="BC14" t="s">
        <v>91</v>
      </c>
      <c r="BF14" t="s">
        <v>3114</v>
      </c>
    </row>
    <row r="15" spans="1:58" x14ac:dyDescent="0.35">
      <c r="A15" t="s">
        <v>3111</v>
      </c>
      <c r="B15">
        <v>10000</v>
      </c>
      <c r="C15">
        <v>20000</v>
      </c>
      <c r="D15" s="2">
        <v>45730</v>
      </c>
      <c r="E15" t="s">
        <v>61</v>
      </c>
      <c r="F15" t="s">
        <v>3112</v>
      </c>
      <c r="G15" t="s">
        <v>89</v>
      </c>
      <c r="I15">
        <v>1</v>
      </c>
      <c r="J15" t="s">
        <v>63</v>
      </c>
      <c r="K15" t="s">
        <v>97</v>
      </c>
      <c r="L15" t="s">
        <v>98</v>
      </c>
      <c r="M15" s="4">
        <v>30000</v>
      </c>
      <c r="P15" s="2">
        <v>45729</v>
      </c>
      <c r="R15">
        <v>12</v>
      </c>
      <c r="S15" s="4">
        <v>360000</v>
      </c>
      <c r="T15" t="s">
        <v>65</v>
      </c>
      <c r="U15">
        <v>80256230001</v>
      </c>
      <c r="V15">
        <v>0</v>
      </c>
      <c r="W15" s="4">
        <v>360000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91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3113</v>
      </c>
      <c r="BA15">
        <v>0</v>
      </c>
      <c r="BC15" t="s">
        <v>91</v>
      </c>
      <c r="BF15" t="s">
        <v>3114</v>
      </c>
    </row>
    <row r="16" spans="1:58" x14ac:dyDescent="0.35">
      <c r="A16" t="s">
        <v>3115</v>
      </c>
      <c r="B16">
        <v>10000</v>
      </c>
      <c r="C16">
        <v>10000</v>
      </c>
      <c r="D16" s="2">
        <v>45730</v>
      </c>
      <c r="E16" t="s">
        <v>61</v>
      </c>
      <c r="F16" t="s">
        <v>3116</v>
      </c>
      <c r="G16" t="s">
        <v>3117</v>
      </c>
      <c r="I16">
        <v>1</v>
      </c>
      <c r="J16" t="s">
        <v>63</v>
      </c>
      <c r="K16">
        <v>86</v>
      </c>
      <c r="L16" t="s">
        <v>64</v>
      </c>
      <c r="M16" s="4">
        <v>6750</v>
      </c>
      <c r="P16" s="2">
        <v>45729</v>
      </c>
      <c r="R16">
        <v>4</v>
      </c>
      <c r="S16" s="4">
        <v>27000</v>
      </c>
      <c r="T16" t="s">
        <v>65</v>
      </c>
      <c r="U16" t="s">
        <v>3118</v>
      </c>
      <c r="V16">
        <v>0</v>
      </c>
      <c r="W16" s="4">
        <v>27000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3119</v>
      </c>
      <c r="AN16" t="s">
        <v>271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3120</v>
      </c>
      <c r="BA16">
        <v>0</v>
      </c>
      <c r="BC16" t="s">
        <v>271</v>
      </c>
      <c r="BF16" t="s">
        <v>3121</v>
      </c>
    </row>
    <row r="17" spans="1:58" x14ac:dyDescent="0.35">
      <c r="A17" t="s">
        <v>3122</v>
      </c>
      <c r="B17">
        <v>10000</v>
      </c>
      <c r="C17">
        <v>10000</v>
      </c>
      <c r="D17" s="2">
        <v>45730</v>
      </c>
      <c r="E17" t="s">
        <v>61</v>
      </c>
      <c r="F17" t="s">
        <v>3123</v>
      </c>
      <c r="G17" t="s">
        <v>3124</v>
      </c>
      <c r="I17">
        <v>1</v>
      </c>
      <c r="J17" t="s">
        <v>63</v>
      </c>
      <c r="K17">
        <v>31</v>
      </c>
      <c r="L17" t="s">
        <v>1311</v>
      </c>
      <c r="M17" s="4">
        <v>27000</v>
      </c>
      <c r="P17" s="2">
        <v>45729</v>
      </c>
      <c r="R17">
        <v>2</v>
      </c>
      <c r="S17" s="4">
        <v>54000</v>
      </c>
      <c r="T17" t="s">
        <v>65</v>
      </c>
      <c r="U17" t="s">
        <v>3125</v>
      </c>
      <c r="V17">
        <v>0</v>
      </c>
      <c r="W17" s="4">
        <v>54000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3126</v>
      </c>
      <c r="AN17" t="s">
        <v>271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3127</v>
      </c>
      <c r="BA17">
        <v>0</v>
      </c>
      <c r="BC17" t="s">
        <v>271</v>
      </c>
      <c r="BF17" t="s">
        <v>3128</v>
      </c>
    </row>
    <row r="18" spans="1:58" x14ac:dyDescent="0.35">
      <c r="A18" t="s">
        <v>3129</v>
      </c>
      <c r="B18">
        <v>10000</v>
      </c>
      <c r="C18">
        <v>20000</v>
      </c>
      <c r="D18" s="2">
        <v>45729</v>
      </c>
      <c r="E18" t="s">
        <v>61</v>
      </c>
      <c r="F18" t="s">
        <v>3130</v>
      </c>
      <c r="G18" t="s">
        <v>2773</v>
      </c>
      <c r="I18">
        <v>1</v>
      </c>
      <c r="J18" t="s">
        <v>63</v>
      </c>
      <c r="K18">
        <v>94</v>
      </c>
      <c r="L18" t="s">
        <v>181</v>
      </c>
      <c r="M18" s="4">
        <v>3000</v>
      </c>
      <c r="P18" s="2">
        <v>45729</v>
      </c>
      <c r="R18">
        <v>4</v>
      </c>
      <c r="S18" s="4">
        <v>12000</v>
      </c>
      <c r="T18" t="s">
        <v>65</v>
      </c>
      <c r="U18" t="s">
        <v>362</v>
      </c>
      <c r="V18">
        <v>0</v>
      </c>
      <c r="W18" s="4">
        <v>12000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363</v>
      </c>
      <c r="AN18" t="s">
        <v>364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3131</v>
      </c>
      <c r="BA18">
        <v>0</v>
      </c>
      <c r="BC18" t="s">
        <v>364</v>
      </c>
      <c r="BF18" t="s">
        <v>3132</v>
      </c>
    </row>
    <row r="19" spans="1:58" x14ac:dyDescent="0.35">
      <c r="A19" t="s">
        <v>3133</v>
      </c>
      <c r="B19">
        <v>10000</v>
      </c>
      <c r="C19">
        <v>20000</v>
      </c>
      <c r="D19" s="2">
        <v>45730</v>
      </c>
      <c r="E19" t="s">
        <v>61</v>
      </c>
      <c r="F19" t="s">
        <v>3134</v>
      </c>
      <c r="G19" t="s">
        <v>2271</v>
      </c>
      <c r="I19">
        <v>1</v>
      </c>
      <c r="J19" t="s">
        <v>63</v>
      </c>
      <c r="K19">
        <v>94</v>
      </c>
      <c r="L19" t="s">
        <v>181</v>
      </c>
      <c r="M19" s="4">
        <v>9000</v>
      </c>
      <c r="P19" s="2">
        <v>45729</v>
      </c>
      <c r="R19">
        <v>4</v>
      </c>
      <c r="S19" s="4">
        <v>36000</v>
      </c>
      <c r="T19" t="s">
        <v>65</v>
      </c>
      <c r="U19" t="s">
        <v>3135</v>
      </c>
      <c r="V19">
        <v>0</v>
      </c>
      <c r="W19" s="4">
        <v>36000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3136</v>
      </c>
      <c r="AN19" t="s">
        <v>364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3137</v>
      </c>
      <c r="BA19">
        <v>0</v>
      </c>
      <c r="BC19" t="s">
        <v>364</v>
      </c>
      <c r="BF19" t="s">
        <v>3138</v>
      </c>
    </row>
    <row r="20" spans="1:58" x14ac:dyDescent="0.35">
      <c r="A20" t="s">
        <v>3139</v>
      </c>
      <c r="B20">
        <v>10000</v>
      </c>
      <c r="C20">
        <v>30000</v>
      </c>
      <c r="D20" s="2">
        <v>45734</v>
      </c>
      <c r="E20" t="s">
        <v>61</v>
      </c>
      <c r="F20" t="s">
        <v>3140</v>
      </c>
      <c r="G20" t="s">
        <v>3141</v>
      </c>
      <c r="I20">
        <v>1</v>
      </c>
      <c r="J20" t="s">
        <v>63</v>
      </c>
      <c r="K20">
        <v>79</v>
      </c>
      <c r="L20" t="s">
        <v>573</v>
      </c>
      <c r="M20">
        <v>228</v>
      </c>
      <c r="P20" s="2">
        <v>45729</v>
      </c>
      <c r="R20">
        <v>132</v>
      </c>
      <c r="S20" s="4">
        <v>30096</v>
      </c>
      <c r="T20" t="s">
        <v>65</v>
      </c>
      <c r="U20" t="s">
        <v>3142</v>
      </c>
      <c r="V20">
        <v>0</v>
      </c>
      <c r="W20" s="4">
        <v>9322</v>
      </c>
      <c r="X20" s="4">
        <v>20774</v>
      </c>
      <c r="Y20">
        <v>0</v>
      </c>
      <c r="Z20">
        <v>0</v>
      </c>
      <c r="AA20">
        <v>0</v>
      </c>
      <c r="AD20">
        <v>0</v>
      </c>
      <c r="AM20" t="s">
        <v>3143</v>
      </c>
      <c r="AN20" t="s">
        <v>3144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3145</v>
      </c>
      <c r="BA20">
        <v>0</v>
      </c>
      <c r="BC20" t="s">
        <v>3144</v>
      </c>
      <c r="BF20" t="s">
        <v>3146</v>
      </c>
    </row>
    <row r="21" spans="1:58" x14ac:dyDescent="0.35">
      <c r="A21" t="s">
        <v>2287</v>
      </c>
      <c r="B21">
        <v>10000</v>
      </c>
      <c r="C21">
        <v>20000</v>
      </c>
      <c r="D21" s="2">
        <v>45730</v>
      </c>
      <c r="E21" t="s">
        <v>61</v>
      </c>
      <c r="F21" t="s">
        <v>2288</v>
      </c>
      <c r="G21" t="s">
        <v>2289</v>
      </c>
      <c r="I21">
        <v>2</v>
      </c>
      <c r="J21" t="s">
        <v>63</v>
      </c>
      <c r="K21">
        <v>63</v>
      </c>
      <c r="L21" t="s">
        <v>519</v>
      </c>
      <c r="M21" s="4">
        <v>5000</v>
      </c>
      <c r="P21" s="2">
        <v>45729</v>
      </c>
      <c r="R21">
        <v>16</v>
      </c>
      <c r="S21" s="4">
        <v>80000</v>
      </c>
      <c r="T21" t="s">
        <v>65</v>
      </c>
      <c r="U21" t="s">
        <v>2290</v>
      </c>
      <c r="V21">
        <v>0</v>
      </c>
      <c r="W21" s="4">
        <v>80000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2291</v>
      </c>
      <c r="AN21" t="s">
        <v>157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2292</v>
      </c>
      <c r="BA21">
        <v>0</v>
      </c>
      <c r="BC21" t="s">
        <v>157</v>
      </c>
      <c r="BF21" t="s">
        <v>2293</v>
      </c>
    </row>
    <row r="22" spans="1:58" x14ac:dyDescent="0.35">
      <c r="A22" t="s">
        <v>2561</v>
      </c>
      <c r="B22">
        <v>10000</v>
      </c>
      <c r="C22">
        <v>20000</v>
      </c>
      <c r="D22" s="2">
        <v>45730</v>
      </c>
      <c r="E22" t="s">
        <v>61</v>
      </c>
      <c r="F22" t="s">
        <v>2288</v>
      </c>
      <c r="G22" t="s">
        <v>2289</v>
      </c>
      <c r="I22">
        <v>2</v>
      </c>
      <c r="J22" t="s">
        <v>63</v>
      </c>
      <c r="K22">
        <v>63</v>
      </c>
      <c r="L22" t="s">
        <v>519</v>
      </c>
      <c r="M22" s="4">
        <v>5000</v>
      </c>
      <c r="P22" s="2">
        <v>45729</v>
      </c>
      <c r="R22">
        <v>16</v>
      </c>
      <c r="S22" s="4">
        <v>80000</v>
      </c>
      <c r="T22" t="s">
        <v>65</v>
      </c>
      <c r="U22" t="s">
        <v>1740</v>
      </c>
      <c r="V22">
        <v>0</v>
      </c>
      <c r="W22" s="4">
        <v>80000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1741</v>
      </c>
      <c r="AN22" t="s">
        <v>157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2562</v>
      </c>
      <c r="BA22">
        <v>0</v>
      </c>
      <c r="BC22" t="s">
        <v>157</v>
      </c>
      <c r="BF22" t="s">
        <v>2563</v>
      </c>
    </row>
    <row r="23" spans="1:58" x14ac:dyDescent="0.35">
      <c r="A23" t="s">
        <v>2580</v>
      </c>
      <c r="B23">
        <v>10000</v>
      </c>
      <c r="C23">
        <v>40000</v>
      </c>
      <c r="D23" s="2">
        <v>45735</v>
      </c>
      <c r="E23" t="s">
        <v>61</v>
      </c>
      <c r="F23" t="s">
        <v>2581</v>
      </c>
      <c r="G23" t="s">
        <v>2582</v>
      </c>
      <c r="I23">
        <v>1</v>
      </c>
      <c r="J23" t="s">
        <v>63</v>
      </c>
      <c r="K23">
        <v>103</v>
      </c>
      <c r="L23" t="s">
        <v>733</v>
      </c>
      <c r="M23">
        <v>5</v>
      </c>
      <c r="P23" s="2">
        <v>45729</v>
      </c>
      <c r="R23">
        <v>8</v>
      </c>
      <c r="S23">
        <v>40</v>
      </c>
      <c r="T23" t="s">
        <v>65</v>
      </c>
      <c r="U23" t="s">
        <v>319</v>
      </c>
      <c r="V23">
        <v>0</v>
      </c>
      <c r="W23">
        <v>40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320</v>
      </c>
      <c r="AN23" t="s">
        <v>321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2583</v>
      </c>
      <c r="BA23">
        <v>0</v>
      </c>
      <c r="BC23" t="s">
        <v>321</v>
      </c>
      <c r="BF23" t="s">
        <v>2584</v>
      </c>
    </row>
    <row r="24" spans="1:58" x14ac:dyDescent="0.35">
      <c r="A24" t="s">
        <v>2580</v>
      </c>
      <c r="B24">
        <v>20000</v>
      </c>
      <c r="C24">
        <v>20000</v>
      </c>
      <c r="D24" s="2">
        <v>45735</v>
      </c>
      <c r="E24" t="s">
        <v>61</v>
      </c>
      <c r="F24" t="s">
        <v>2581</v>
      </c>
      <c r="G24" t="s">
        <v>2582</v>
      </c>
      <c r="I24">
        <v>1</v>
      </c>
      <c r="J24" t="s">
        <v>63</v>
      </c>
      <c r="K24">
        <v>103</v>
      </c>
      <c r="L24" t="s">
        <v>733</v>
      </c>
      <c r="M24" s="4">
        <v>58125</v>
      </c>
      <c r="P24" s="2">
        <v>45729</v>
      </c>
      <c r="R24">
        <v>8</v>
      </c>
      <c r="S24" s="4">
        <v>465000</v>
      </c>
      <c r="T24" t="s">
        <v>65</v>
      </c>
      <c r="U24" t="s">
        <v>319</v>
      </c>
      <c r="V24">
        <v>0</v>
      </c>
      <c r="W24" s="4">
        <v>465000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320</v>
      </c>
      <c r="AN24" t="s">
        <v>321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2583</v>
      </c>
      <c r="BA24">
        <v>0</v>
      </c>
      <c r="BC24" t="s">
        <v>321</v>
      </c>
      <c r="BF24" t="s">
        <v>2584</v>
      </c>
    </row>
    <row r="25" spans="1:58" x14ac:dyDescent="0.35">
      <c r="A25" t="s">
        <v>2588</v>
      </c>
      <c r="B25">
        <v>10000</v>
      </c>
      <c r="C25">
        <v>20000</v>
      </c>
      <c r="D25" s="2">
        <v>45729</v>
      </c>
      <c r="E25" t="s">
        <v>61</v>
      </c>
      <c r="F25" t="s">
        <v>2589</v>
      </c>
      <c r="G25" t="s">
        <v>2590</v>
      </c>
      <c r="I25">
        <v>1</v>
      </c>
      <c r="J25" t="s">
        <v>63</v>
      </c>
      <c r="K25">
        <v>71</v>
      </c>
      <c r="L25" t="s">
        <v>135</v>
      </c>
      <c r="M25" s="4">
        <v>9334</v>
      </c>
      <c r="P25" s="2">
        <v>45729</v>
      </c>
      <c r="R25">
        <v>3</v>
      </c>
      <c r="S25" s="4">
        <v>28002</v>
      </c>
      <c r="T25" t="s">
        <v>65</v>
      </c>
      <c r="U25" t="s">
        <v>1026</v>
      </c>
      <c r="V25">
        <v>0</v>
      </c>
      <c r="W25" s="4">
        <v>28001</v>
      </c>
      <c r="X25">
        <v>1</v>
      </c>
      <c r="Y25">
        <v>0</v>
      </c>
      <c r="Z25">
        <v>0</v>
      </c>
      <c r="AA25">
        <v>0</v>
      </c>
      <c r="AD25">
        <v>0</v>
      </c>
      <c r="AM25" t="s">
        <v>1027</v>
      </c>
      <c r="AN25" t="s">
        <v>1253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2591</v>
      </c>
      <c r="BA25">
        <v>0</v>
      </c>
      <c r="BC25" t="s">
        <v>1253</v>
      </c>
      <c r="BF25" t="s">
        <v>2592</v>
      </c>
    </row>
    <row r="26" spans="1:58" x14ac:dyDescent="0.35">
      <c r="A26" t="s">
        <v>949</v>
      </c>
      <c r="B26">
        <v>10000</v>
      </c>
      <c r="C26">
        <v>30000</v>
      </c>
      <c r="D26" s="2">
        <v>45729</v>
      </c>
      <c r="E26" t="s">
        <v>61</v>
      </c>
      <c r="F26" t="s">
        <v>950</v>
      </c>
      <c r="G26">
        <v>10639931049</v>
      </c>
      <c r="I26">
        <v>3</v>
      </c>
      <c r="J26" t="s">
        <v>63</v>
      </c>
      <c r="K26">
        <v>85</v>
      </c>
      <c r="L26" t="s">
        <v>327</v>
      </c>
      <c r="M26" s="4">
        <v>16000</v>
      </c>
      <c r="P26" s="2">
        <v>45729</v>
      </c>
      <c r="R26">
        <v>11</v>
      </c>
      <c r="S26" s="4">
        <v>176000</v>
      </c>
      <c r="T26" t="s">
        <v>65</v>
      </c>
      <c r="U26" t="s">
        <v>951</v>
      </c>
      <c r="V26">
        <v>0</v>
      </c>
      <c r="W26" s="4">
        <v>160000</v>
      </c>
      <c r="X26" s="4">
        <v>16000</v>
      </c>
      <c r="Y26">
        <v>0</v>
      </c>
      <c r="Z26">
        <v>0</v>
      </c>
      <c r="AA26">
        <v>0</v>
      </c>
      <c r="AD26">
        <v>0</v>
      </c>
      <c r="AM26" t="s">
        <v>952</v>
      </c>
      <c r="AN26" t="s">
        <v>107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953</v>
      </c>
      <c r="BA26">
        <v>0</v>
      </c>
      <c r="BC26" t="s">
        <v>107</v>
      </c>
      <c r="BF26" t="s">
        <v>954</v>
      </c>
    </row>
    <row r="27" spans="1:58" x14ac:dyDescent="0.35">
      <c r="A27" t="s">
        <v>2593</v>
      </c>
      <c r="B27">
        <v>10000</v>
      </c>
      <c r="C27">
        <v>20000</v>
      </c>
      <c r="D27" s="2">
        <v>45730</v>
      </c>
      <c r="E27" t="s">
        <v>61</v>
      </c>
      <c r="F27" t="s">
        <v>2288</v>
      </c>
      <c r="G27" t="s">
        <v>2289</v>
      </c>
      <c r="I27">
        <v>2</v>
      </c>
      <c r="J27" t="s">
        <v>63</v>
      </c>
      <c r="K27">
        <v>63</v>
      </c>
      <c r="L27" t="s">
        <v>519</v>
      </c>
      <c r="M27" s="4">
        <v>2500</v>
      </c>
      <c r="P27" s="2">
        <v>45729</v>
      </c>
      <c r="R27">
        <v>16</v>
      </c>
      <c r="S27" s="4">
        <v>40000</v>
      </c>
      <c r="T27" t="s">
        <v>65</v>
      </c>
      <c r="U27" t="s">
        <v>2594</v>
      </c>
      <c r="V27">
        <v>0</v>
      </c>
      <c r="W27" s="4">
        <v>40000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2595</v>
      </c>
      <c r="AN27" t="s">
        <v>175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2596</v>
      </c>
      <c r="BA27">
        <v>0</v>
      </c>
      <c r="BC27" t="s">
        <v>175</v>
      </c>
      <c r="BF27" t="s">
        <v>2597</v>
      </c>
    </row>
    <row r="28" spans="1:58" x14ac:dyDescent="0.35">
      <c r="A28" t="s">
        <v>2319</v>
      </c>
      <c r="B28">
        <v>10000</v>
      </c>
      <c r="C28">
        <v>20000</v>
      </c>
      <c r="D28" s="2">
        <v>45733</v>
      </c>
      <c r="E28" t="s">
        <v>61</v>
      </c>
      <c r="F28" t="s">
        <v>2320</v>
      </c>
      <c r="G28" t="s">
        <v>2289</v>
      </c>
      <c r="I28">
        <v>2</v>
      </c>
      <c r="J28" t="s">
        <v>63</v>
      </c>
      <c r="K28">
        <v>63</v>
      </c>
      <c r="L28" t="s">
        <v>519</v>
      </c>
      <c r="M28" s="4">
        <v>2500</v>
      </c>
      <c r="P28" s="2">
        <v>45729</v>
      </c>
      <c r="R28">
        <v>16</v>
      </c>
      <c r="S28" s="4">
        <v>40000</v>
      </c>
      <c r="T28" t="s">
        <v>65</v>
      </c>
      <c r="U28" t="s">
        <v>2290</v>
      </c>
      <c r="V28">
        <v>0</v>
      </c>
      <c r="W28" s="4">
        <v>40000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2291</v>
      </c>
      <c r="AN28" t="s">
        <v>175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2321</v>
      </c>
      <c r="BA28">
        <v>0</v>
      </c>
      <c r="BC28" t="s">
        <v>175</v>
      </c>
      <c r="BF28" t="s">
        <v>2322</v>
      </c>
    </row>
    <row r="29" spans="1:58" x14ac:dyDescent="0.35">
      <c r="A29" t="s">
        <v>2323</v>
      </c>
      <c r="B29">
        <v>10000</v>
      </c>
      <c r="C29">
        <v>20000</v>
      </c>
      <c r="D29" s="2">
        <v>45733</v>
      </c>
      <c r="E29" t="s">
        <v>61</v>
      </c>
      <c r="F29" t="s">
        <v>2320</v>
      </c>
      <c r="G29" t="s">
        <v>2289</v>
      </c>
      <c r="I29">
        <v>2</v>
      </c>
      <c r="J29" t="s">
        <v>63</v>
      </c>
      <c r="K29">
        <v>63</v>
      </c>
      <c r="L29" t="s">
        <v>519</v>
      </c>
      <c r="M29" s="4">
        <v>2500</v>
      </c>
      <c r="P29" s="2">
        <v>45729</v>
      </c>
      <c r="R29">
        <v>16</v>
      </c>
      <c r="S29" s="4">
        <v>40000</v>
      </c>
      <c r="T29" t="s">
        <v>65</v>
      </c>
      <c r="U29" t="s">
        <v>2290</v>
      </c>
      <c r="V29">
        <v>0</v>
      </c>
      <c r="W29" s="4">
        <v>40000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2291</v>
      </c>
      <c r="AN29" t="s">
        <v>175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2324</v>
      </c>
      <c r="BA29">
        <v>0</v>
      </c>
      <c r="BC29" t="s">
        <v>175</v>
      </c>
      <c r="BF29" t="s">
        <v>2325</v>
      </c>
    </row>
    <row r="30" spans="1:58" x14ac:dyDescent="0.35">
      <c r="A30" t="s">
        <v>2598</v>
      </c>
      <c r="B30">
        <v>10000</v>
      </c>
      <c r="C30">
        <v>20000</v>
      </c>
      <c r="D30" s="2">
        <v>45730</v>
      </c>
      <c r="E30" t="s">
        <v>61</v>
      </c>
      <c r="F30" t="s">
        <v>2288</v>
      </c>
      <c r="G30" t="s">
        <v>2289</v>
      </c>
      <c r="I30">
        <v>2</v>
      </c>
      <c r="J30" t="s">
        <v>63</v>
      </c>
      <c r="K30">
        <v>63</v>
      </c>
      <c r="L30" t="s">
        <v>519</v>
      </c>
      <c r="M30" s="4">
        <v>2500</v>
      </c>
      <c r="P30" s="2">
        <v>45729</v>
      </c>
      <c r="R30">
        <v>16</v>
      </c>
      <c r="S30" s="4">
        <v>40000</v>
      </c>
      <c r="T30" t="s">
        <v>65</v>
      </c>
      <c r="U30" t="s">
        <v>1740</v>
      </c>
      <c r="V30">
        <v>0</v>
      </c>
      <c r="W30" s="4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1741</v>
      </c>
      <c r="AN30" t="s">
        <v>175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2599</v>
      </c>
      <c r="BA30">
        <v>0</v>
      </c>
      <c r="BC30" t="s">
        <v>175</v>
      </c>
      <c r="BF30" t="s">
        <v>2600</v>
      </c>
    </row>
    <row r="31" spans="1:58" x14ac:dyDescent="0.35">
      <c r="A31" t="s">
        <v>3147</v>
      </c>
      <c r="B31">
        <v>10000</v>
      </c>
      <c r="C31">
        <v>10000</v>
      </c>
      <c r="D31" s="2">
        <v>45730</v>
      </c>
      <c r="E31" t="s">
        <v>61</v>
      </c>
      <c r="F31" t="s">
        <v>3148</v>
      </c>
      <c r="G31" t="s">
        <v>3149</v>
      </c>
      <c r="I31">
        <v>1</v>
      </c>
      <c r="J31" t="s">
        <v>63</v>
      </c>
      <c r="K31">
        <v>78</v>
      </c>
      <c r="L31" t="s">
        <v>188</v>
      </c>
      <c r="M31">
        <v>4</v>
      </c>
      <c r="P31" s="2">
        <v>45729</v>
      </c>
      <c r="R31">
        <v>3</v>
      </c>
      <c r="S31">
        <v>12</v>
      </c>
      <c r="T31" t="s">
        <v>65</v>
      </c>
      <c r="U31" t="s">
        <v>3150</v>
      </c>
      <c r="V31">
        <v>0</v>
      </c>
      <c r="W31">
        <v>10</v>
      </c>
      <c r="X31">
        <v>2</v>
      </c>
      <c r="Y31">
        <v>0</v>
      </c>
      <c r="Z31">
        <v>0</v>
      </c>
      <c r="AA31">
        <v>0</v>
      </c>
      <c r="AD31">
        <v>0</v>
      </c>
      <c r="AM31" t="s">
        <v>3151</v>
      </c>
      <c r="AN31" t="s">
        <v>3152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3153</v>
      </c>
      <c r="BA31">
        <v>0</v>
      </c>
      <c r="BC31" t="s">
        <v>3152</v>
      </c>
      <c r="BF31" t="s">
        <v>3154</v>
      </c>
    </row>
    <row r="32" spans="1:58" x14ac:dyDescent="0.35">
      <c r="A32" t="s">
        <v>3155</v>
      </c>
      <c r="B32">
        <v>10000</v>
      </c>
      <c r="C32">
        <v>20000</v>
      </c>
      <c r="D32" s="2">
        <v>45730</v>
      </c>
      <c r="E32" t="s">
        <v>61</v>
      </c>
      <c r="F32" t="s">
        <v>3148</v>
      </c>
      <c r="G32" t="s">
        <v>3149</v>
      </c>
      <c r="I32">
        <v>1</v>
      </c>
      <c r="J32" t="s">
        <v>63</v>
      </c>
      <c r="K32">
        <v>78</v>
      </c>
      <c r="L32" t="s">
        <v>188</v>
      </c>
      <c r="M32" s="4">
        <v>1667</v>
      </c>
      <c r="P32" s="2">
        <v>45729</v>
      </c>
      <c r="R32">
        <v>3</v>
      </c>
      <c r="S32" s="4">
        <v>5001</v>
      </c>
      <c r="T32" t="s">
        <v>65</v>
      </c>
      <c r="U32" t="s">
        <v>3150</v>
      </c>
      <c r="V32">
        <v>0</v>
      </c>
      <c r="W32" s="4">
        <v>5000</v>
      </c>
      <c r="X32">
        <v>1</v>
      </c>
      <c r="Y32">
        <v>0</v>
      </c>
      <c r="Z32">
        <v>0</v>
      </c>
      <c r="AA32">
        <v>0</v>
      </c>
      <c r="AD32">
        <v>0</v>
      </c>
      <c r="AM32" t="s">
        <v>3151</v>
      </c>
      <c r="AN32" t="s">
        <v>3152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3156</v>
      </c>
      <c r="BA32">
        <v>0</v>
      </c>
      <c r="BC32" t="s">
        <v>3152</v>
      </c>
      <c r="BF32" t="s">
        <v>3157</v>
      </c>
    </row>
    <row r="33" spans="1:58" x14ac:dyDescent="0.35">
      <c r="A33" t="s">
        <v>2885</v>
      </c>
      <c r="B33">
        <v>10000</v>
      </c>
      <c r="C33">
        <v>20000</v>
      </c>
      <c r="D33" s="2">
        <v>45729</v>
      </c>
      <c r="E33" t="s">
        <v>61</v>
      </c>
      <c r="F33" s="3">
        <v>0.4465972222222222</v>
      </c>
      <c r="G33" t="s">
        <v>1293</v>
      </c>
      <c r="I33">
        <v>2</v>
      </c>
      <c r="J33" t="s">
        <v>63</v>
      </c>
      <c r="K33">
        <v>82</v>
      </c>
      <c r="L33" t="s">
        <v>341</v>
      </c>
      <c r="M33" s="4">
        <v>1670</v>
      </c>
      <c r="P33" s="2">
        <v>45729</v>
      </c>
      <c r="R33">
        <v>1</v>
      </c>
      <c r="S33" s="4">
        <v>1670</v>
      </c>
      <c r="T33" t="s">
        <v>65</v>
      </c>
      <c r="U33" t="s">
        <v>2886</v>
      </c>
      <c r="V33">
        <v>0</v>
      </c>
      <c r="W33" s="4">
        <v>1515</v>
      </c>
      <c r="X33">
        <v>155</v>
      </c>
      <c r="Y33">
        <v>0</v>
      </c>
      <c r="Z33">
        <v>0</v>
      </c>
      <c r="AA33">
        <v>0</v>
      </c>
      <c r="AD33">
        <v>0</v>
      </c>
      <c r="AM33" t="s">
        <v>2887</v>
      </c>
      <c r="AN33" t="s">
        <v>1282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2888</v>
      </c>
      <c r="BA33">
        <v>0</v>
      </c>
      <c r="BC33" t="s">
        <v>1282</v>
      </c>
      <c r="BF33" t="s">
        <v>2889</v>
      </c>
    </row>
    <row r="34" spans="1:58" x14ac:dyDescent="0.35">
      <c r="A34" t="s">
        <v>3158</v>
      </c>
      <c r="B34">
        <v>10000</v>
      </c>
      <c r="C34">
        <v>10000</v>
      </c>
      <c r="D34" s="2">
        <v>45729</v>
      </c>
      <c r="E34" t="s">
        <v>61</v>
      </c>
      <c r="F34" t="s">
        <v>3159</v>
      </c>
      <c r="G34" t="s">
        <v>3160</v>
      </c>
      <c r="I34">
        <v>1</v>
      </c>
      <c r="J34" t="s">
        <v>63</v>
      </c>
      <c r="K34">
        <v>46</v>
      </c>
      <c r="L34" t="s">
        <v>113</v>
      </c>
      <c r="M34" s="4">
        <v>1000</v>
      </c>
      <c r="P34" s="2">
        <v>45729</v>
      </c>
      <c r="R34">
        <v>1</v>
      </c>
      <c r="S34" s="4">
        <v>1000</v>
      </c>
      <c r="T34" t="s">
        <v>65</v>
      </c>
      <c r="U34" t="s">
        <v>3161</v>
      </c>
      <c r="V34">
        <v>0</v>
      </c>
      <c r="W34" s="4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3162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3163</v>
      </c>
      <c r="BA34">
        <v>0</v>
      </c>
      <c r="BC34" t="s">
        <v>116</v>
      </c>
      <c r="BF34" t="s">
        <v>2380</v>
      </c>
    </row>
    <row r="35" spans="1:58" x14ac:dyDescent="0.35">
      <c r="A35" t="s">
        <v>2105</v>
      </c>
      <c r="B35">
        <v>10000</v>
      </c>
      <c r="C35">
        <v>20000</v>
      </c>
      <c r="D35" s="2">
        <v>45730</v>
      </c>
      <c r="E35" t="s">
        <v>61</v>
      </c>
      <c r="F35" t="s">
        <v>2106</v>
      </c>
      <c r="G35" t="s">
        <v>2107</v>
      </c>
      <c r="I35">
        <v>2</v>
      </c>
      <c r="J35" t="s">
        <v>63</v>
      </c>
      <c r="K35">
        <v>105</v>
      </c>
      <c r="L35" t="s">
        <v>424</v>
      </c>
      <c r="M35" s="4">
        <v>2200</v>
      </c>
      <c r="P35" s="2">
        <v>45729</v>
      </c>
      <c r="R35">
        <v>1</v>
      </c>
      <c r="S35" s="4">
        <v>2200</v>
      </c>
      <c r="T35" t="s">
        <v>65</v>
      </c>
      <c r="U35" t="s">
        <v>2108</v>
      </c>
      <c r="V35">
        <v>0</v>
      </c>
      <c r="W35" s="4">
        <v>1594</v>
      </c>
      <c r="X35">
        <v>606</v>
      </c>
      <c r="Y35">
        <v>0</v>
      </c>
      <c r="Z35">
        <v>0</v>
      </c>
      <c r="AA35">
        <v>0</v>
      </c>
      <c r="AD35">
        <v>0</v>
      </c>
      <c r="AM35" t="s">
        <v>2109</v>
      </c>
      <c r="AN35" t="s">
        <v>1879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2110</v>
      </c>
      <c r="BA35">
        <v>0</v>
      </c>
      <c r="BC35" t="s">
        <v>1879</v>
      </c>
      <c r="BF35" t="s">
        <v>1881</v>
      </c>
    </row>
    <row r="36" spans="1:58" x14ac:dyDescent="0.35">
      <c r="A36" t="s">
        <v>3164</v>
      </c>
      <c r="B36">
        <v>10000</v>
      </c>
      <c r="C36">
        <v>10000</v>
      </c>
      <c r="D36" s="2">
        <v>45730</v>
      </c>
      <c r="E36" t="s">
        <v>61</v>
      </c>
      <c r="F36" t="s">
        <v>3165</v>
      </c>
      <c r="G36">
        <v>860908144578</v>
      </c>
      <c r="I36">
        <v>1</v>
      </c>
      <c r="J36" t="s">
        <v>63</v>
      </c>
      <c r="K36">
        <v>79</v>
      </c>
      <c r="L36" t="s">
        <v>573</v>
      </c>
      <c r="M36">
        <v>550</v>
      </c>
      <c r="P36" s="2">
        <v>45729</v>
      </c>
      <c r="R36">
        <v>8</v>
      </c>
      <c r="S36" s="4">
        <v>4400</v>
      </c>
      <c r="T36" t="s">
        <v>65</v>
      </c>
      <c r="U36" t="s">
        <v>3166</v>
      </c>
      <c r="V36">
        <v>0</v>
      </c>
      <c r="W36" s="4">
        <v>3300</v>
      </c>
      <c r="X36" s="4">
        <v>1100</v>
      </c>
      <c r="Y36">
        <v>0</v>
      </c>
      <c r="Z36">
        <v>0</v>
      </c>
      <c r="AA36">
        <v>0</v>
      </c>
      <c r="AD36">
        <v>0</v>
      </c>
      <c r="AM36" t="s">
        <v>3167</v>
      </c>
      <c r="AN36" t="s">
        <v>3168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3169</v>
      </c>
      <c r="BA36">
        <v>0</v>
      </c>
      <c r="BC36" t="s">
        <v>3168</v>
      </c>
      <c r="BF36" t="s">
        <v>3170</v>
      </c>
    </row>
    <row r="37" spans="1:58" x14ac:dyDescent="0.35">
      <c r="A37" t="s">
        <v>3171</v>
      </c>
      <c r="B37">
        <v>10000</v>
      </c>
      <c r="C37">
        <v>10000</v>
      </c>
      <c r="D37" s="2">
        <v>45730</v>
      </c>
      <c r="E37" t="s">
        <v>61</v>
      </c>
      <c r="F37" t="s">
        <v>3172</v>
      </c>
      <c r="G37" t="s">
        <v>3173</v>
      </c>
      <c r="I37">
        <v>1</v>
      </c>
      <c r="J37" t="s">
        <v>63</v>
      </c>
      <c r="K37">
        <v>60</v>
      </c>
      <c r="L37" t="s">
        <v>277</v>
      </c>
      <c r="M37" s="4">
        <v>4000</v>
      </c>
      <c r="P37" s="2">
        <v>45729</v>
      </c>
      <c r="R37">
        <v>5</v>
      </c>
      <c r="S37" s="4">
        <v>20000</v>
      </c>
      <c r="T37" t="s">
        <v>65</v>
      </c>
      <c r="U37" t="s">
        <v>3174</v>
      </c>
      <c r="V37">
        <v>0</v>
      </c>
      <c r="W37" s="4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3175</v>
      </c>
      <c r="AN37" t="s">
        <v>3176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3177</v>
      </c>
      <c r="BA37">
        <v>0</v>
      </c>
      <c r="BC37" t="s">
        <v>3176</v>
      </c>
      <c r="BF37" t="s">
        <v>3178</v>
      </c>
    </row>
    <row r="38" spans="1:58" x14ac:dyDescent="0.35">
      <c r="A38" t="s">
        <v>3179</v>
      </c>
      <c r="B38">
        <v>10000</v>
      </c>
      <c r="C38">
        <v>10000</v>
      </c>
      <c r="D38" s="2">
        <v>45730</v>
      </c>
      <c r="E38" t="s">
        <v>61</v>
      </c>
      <c r="F38" t="s">
        <v>3172</v>
      </c>
      <c r="G38" t="s">
        <v>3173</v>
      </c>
      <c r="I38">
        <v>1</v>
      </c>
      <c r="J38" t="s">
        <v>63</v>
      </c>
      <c r="K38">
        <v>60</v>
      </c>
      <c r="L38" t="s">
        <v>277</v>
      </c>
      <c r="M38" s="4">
        <v>2500</v>
      </c>
      <c r="P38" s="2">
        <v>45729</v>
      </c>
      <c r="R38">
        <v>8</v>
      </c>
      <c r="S38" s="4">
        <v>20000</v>
      </c>
      <c r="T38" t="s">
        <v>65</v>
      </c>
      <c r="U38" t="s">
        <v>3180</v>
      </c>
      <c r="V38">
        <v>0</v>
      </c>
      <c r="W38" s="4">
        <v>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3181</v>
      </c>
      <c r="AN38" t="s">
        <v>3176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3182</v>
      </c>
      <c r="BA38">
        <v>0</v>
      </c>
      <c r="BC38" t="s">
        <v>3176</v>
      </c>
      <c r="BF38" t="s">
        <v>3178</v>
      </c>
    </row>
    <row r="39" spans="1:58" x14ac:dyDescent="0.35">
      <c r="A39" t="s">
        <v>3183</v>
      </c>
      <c r="B39">
        <v>10000</v>
      </c>
      <c r="C39">
        <v>10000</v>
      </c>
      <c r="D39" s="2">
        <v>45729</v>
      </c>
      <c r="E39" t="s">
        <v>61</v>
      </c>
      <c r="F39" t="s">
        <v>2607</v>
      </c>
      <c r="G39" t="s">
        <v>3184</v>
      </c>
      <c r="I39">
        <v>1</v>
      </c>
      <c r="J39" t="s">
        <v>63</v>
      </c>
      <c r="K39">
        <v>61</v>
      </c>
      <c r="L39" t="s">
        <v>216</v>
      </c>
      <c r="M39">
        <v>200</v>
      </c>
      <c r="P39" s="2">
        <v>45729</v>
      </c>
      <c r="R39">
        <v>1</v>
      </c>
      <c r="S39">
        <v>200</v>
      </c>
      <c r="T39" t="s">
        <v>65</v>
      </c>
      <c r="U39">
        <v>107440870001</v>
      </c>
      <c r="V39">
        <v>0</v>
      </c>
      <c r="W39">
        <v>200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10744087</v>
      </c>
      <c r="AN39" t="s">
        <v>487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3185</v>
      </c>
      <c r="BA39">
        <v>0</v>
      </c>
      <c r="BC39" t="s">
        <v>487</v>
      </c>
      <c r="BF39" t="s">
        <v>3186</v>
      </c>
    </row>
    <row r="40" spans="1:58" x14ac:dyDescent="0.35">
      <c r="A40" t="s">
        <v>3187</v>
      </c>
      <c r="B40">
        <v>10000</v>
      </c>
      <c r="C40">
        <v>10000</v>
      </c>
      <c r="D40" s="2">
        <v>45729</v>
      </c>
      <c r="E40" t="s">
        <v>61</v>
      </c>
      <c r="F40" t="s">
        <v>2607</v>
      </c>
      <c r="G40" t="s">
        <v>3184</v>
      </c>
      <c r="I40">
        <v>1</v>
      </c>
      <c r="J40" t="s">
        <v>63</v>
      </c>
      <c r="K40">
        <v>61</v>
      </c>
      <c r="L40" t="s">
        <v>216</v>
      </c>
      <c r="M40">
        <v>250</v>
      </c>
      <c r="P40" s="2">
        <v>45729</v>
      </c>
      <c r="R40">
        <v>1</v>
      </c>
      <c r="S40">
        <v>250</v>
      </c>
      <c r="T40" t="s">
        <v>65</v>
      </c>
      <c r="U40">
        <v>107133730001</v>
      </c>
      <c r="V40">
        <v>0</v>
      </c>
      <c r="W40">
        <v>250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10713373</v>
      </c>
      <c r="AN40" t="s">
        <v>487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3188</v>
      </c>
      <c r="BA40">
        <v>0</v>
      </c>
      <c r="BC40" t="s">
        <v>487</v>
      </c>
      <c r="BF40" t="s">
        <v>3189</v>
      </c>
    </row>
    <row r="41" spans="1:58" x14ac:dyDescent="0.35">
      <c r="A41" t="s">
        <v>3190</v>
      </c>
      <c r="B41">
        <v>10000</v>
      </c>
      <c r="C41">
        <v>10000</v>
      </c>
      <c r="D41" s="2">
        <v>45730</v>
      </c>
      <c r="E41" t="s">
        <v>61</v>
      </c>
      <c r="F41" s="3">
        <v>0.45489583333333333</v>
      </c>
      <c r="G41" t="s">
        <v>3184</v>
      </c>
      <c r="I41">
        <v>1</v>
      </c>
      <c r="J41" t="s">
        <v>63</v>
      </c>
      <c r="K41">
        <v>61</v>
      </c>
      <c r="L41" t="s">
        <v>216</v>
      </c>
      <c r="M41">
        <v>500</v>
      </c>
      <c r="P41" s="2">
        <v>45729</v>
      </c>
      <c r="R41">
        <v>1</v>
      </c>
      <c r="S41">
        <v>500</v>
      </c>
      <c r="T41" t="s">
        <v>65</v>
      </c>
      <c r="U41">
        <v>107458060001</v>
      </c>
      <c r="V41">
        <v>0</v>
      </c>
      <c r="W41">
        <v>500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10745806</v>
      </c>
      <c r="AN41" t="s">
        <v>487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3191</v>
      </c>
      <c r="BA41">
        <v>0</v>
      </c>
      <c r="BC41" t="s">
        <v>487</v>
      </c>
      <c r="BF41" t="s">
        <v>3192</v>
      </c>
    </row>
    <row r="42" spans="1:58" x14ac:dyDescent="0.35">
      <c r="A42" t="s">
        <v>3193</v>
      </c>
      <c r="B42">
        <v>10000</v>
      </c>
      <c r="C42">
        <v>10000</v>
      </c>
      <c r="D42" s="2">
        <v>45730</v>
      </c>
      <c r="E42" t="s">
        <v>61</v>
      </c>
      <c r="F42" t="s">
        <v>3194</v>
      </c>
      <c r="G42" t="s">
        <v>1725</v>
      </c>
      <c r="I42">
        <v>1</v>
      </c>
      <c r="J42" t="s">
        <v>63</v>
      </c>
      <c r="K42">
        <v>72</v>
      </c>
      <c r="L42" t="s">
        <v>163</v>
      </c>
      <c r="M42" s="4">
        <v>7500</v>
      </c>
      <c r="P42" s="2">
        <v>45729</v>
      </c>
      <c r="R42">
        <v>4</v>
      </c>
      <c r="S42" s="4">
        <v>30000</v>
      </c>
      <c r="T42" t="s">
        <v>65</v>
      </c>
      <c r="U42" t="s">
        <v>3195</v>
      </c>
      <c r="V42">
        <v>0</v>
      </c>
      <c r="W42" s="4">
        <v>25000</v>
      </c>
      <c r="X42" s="4">
        <v>5000</v>
      </c>
      <c r="Y42">
        <v>0</v>
      </c>
      <c r="Z42">
        <v>0</v>
      </c>
      <c r="AA42">
        <v>0</v>
      </c>
      <c r="AD42">
        <v>0</v>
      </c>
      <c r="AM42" t="s">
        <v>3196</v>
      </c>
      <c r="AN42" t="s">
        <v>280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3197</v>
      </c>
      <c r="BA42">
        <v>0</v>
      </c>
      <c r="BC42" t="s">
        <v>280</v>
      </c>
      <c r="BF42" t="s">
        <v>3198</v>
      </c>
    </row>
    <row r="43" spans="1:58" x14ac:dyDescent="0.35">
      <c r="A43" t="s">
        <v>3193</v>
      </c>
      <c r="B43">
        <v>10000</v>
      </c>
      <c r="C43">
        <v>20000</v>
      </c>
      <c r="D43" s="2">
        <v>45730</v>
      </c>
      <c r="E43" t="s">
        <v>61</v>
      </c>
      <c r="F43" t="s">
        <v>3194</v>
      </c>
      <c r="G43" t="s">
        <v>1725</v>
      </c>
      <c r="I43">
        <v>2</v>
      </c>
      <c r="J43" t="s">
        <v>63</v>
      </c>
      <c r="K43">
        <v>82</v>
      </c>
      <c r="L43" t="s">
        <v>341</v>
      </c>
      <c r="M43" s="4">
        <v>4667</v>
      </c>
      <c r="P43" s="2">
        <v>45729</v>
      </c>
      <c r="R43">
        <v>6</v>
      </c>
      <c r="S43" s="4">
        <v>28002</v>
      </c>
      <c r="T43" t="s">
        <v>65</v>
      </c>
      <c r="U43" t="s">
        <v>3195</v>
      </c>
      <c r="V43">
        <v>0</v>
      </c>
      <c r="W43" s="4">
        <v>25000</v>
      </c>
      <c r="X43" s="4">
        <v>3002</v>
      </c>
      <c r="Y43">
        <v>0</v>
      </c>
      <c r="Z43">
        <v>0</v>
      </c>
      <c r="AA43">
        <v>0</v>
      </c>
      <c r="AD43">
        <v>0</v>
      </c>
      <c r="AM43" t="s">
        <v>3196</v>
      </c>
      <c r="AN43" t="s">
        <v>280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3197</v>
      </c>
      <c r="BA43">
        <v>0</v>
      </c>
      <c r="BC43" t="s">
        <v>280</v>
      </c>
      <c r="BF43" t="s">
        <v>3198</v>
      </c>
    </row>
    <row r="44" spans="1:58" x14ac:dyDescent="0.35">
      <c r="A44" t="s">
        <v>3199</v>
      </c>
      <c r="B44">
        <v>10000</v>
      </c>
      <c r="C44">
        <v>10000</v>
      </c>
      <c r="D44" s="2">
        <v>45730</v>
      </c>
      <c r="E44" t="s">
        <v>61</v>
      </c>
      <c r="F44" t="s">
        <v>3200</v>
      </c>
      <c r="G44" t="s">
        <v>1725</v>
      </c>
      <c r="I44">
        <v>1</v>
      </c>
      <c r="J44" t="s">
        <v>63</v>
      </c>
      <c r="K44">
        <v>72</v>
      </c>
      <c r="L44" t="s">
        <v>163</v>
      </c>
      <c r="M44" s="4">
        <v>15000</v>
      </c>
      <c r="P44" s="2">
        <v>45729</v>
      </c>
      <c r="R44">
        <v>2</v>
      </c>
      <c r="S44" s="4">
        <v>30000</v>
      </c>
      <c r="T44" t="s">
        <v>65</v>
      </c>
      <c r="U44" t="s">
        <v>3201</v>
      </c>
      <c r="V44">
        <v>0</v>
      </c>
      <c r="W44" s="4">
        <v>25000</v>
      </c>
      <c r="X44" s="4">
        <v>5000</v>
      </c>
      <c r="Y44">
        <v>0</v>
      </c>
      <c r="Z44">
        <v>0</v>
      </c>
      <c r="AA44">
        <v>0</v>
      </c>
      <c r="AD44">
        <v>0</v>
      </c>
      <c r="AM44" t="s">
        <v>3202</v>
      </c>
      <c r="AN44" t="s">
        <v>1756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3203</v>
      </c>
      <c r="BA44">
        <v>0</v>
      </c>
      <c r="BC44" t="s">
        <v>1756</v>
      </c>
      <c r="BF44" t="s">
        <v>3204</v>
      </c>
    </row>
    <row r="45" spans="1:58" x14ac:dyDescent="0.35">
      <c r="A45" t="s">
        <v>3199</v>
      </c>
      <c r="B45">
        <v>10000</v>
      </c>
      <c r="C45">
        <v>20000</v>
      </c>
      <c r="D45" s="2">
        <v>45730</v>
      </c>
      <c r="E45" t="s">
        <v>61</v>
      </c>
      <c r="F45" t="s">
        <v>3200</v>
      </c>
      <c r="G45" t="s">
        <v>1725</v>
      </c>
      <c r="I45">
        <v>2</v>
      </c>
      <c r="J45" t="s">
        <v>63</v>
      </c>
      <c r="K45">
        <v>71</v>
      </c>
      <c r="L45" t="s">
        <v>135</v>
      </c>
      <c r="M45" s="4">
        <v>12500</v>
      </c>
      <c r="P45" s="2">
        <v>45729</v>
      </c>
      <c r="R45">
        <v>2</v>
      </c>
      <c r="S45" s="4">
        <v>25000</v>
      </c>
      <c r="T45" t="s">
        <v>65</v>
      </c>
      <c r="U45" t="s">
        <v>3201</v>
      </c>
      <c r="V45">
        <v>0</v>
      </c>
      <c r="W45" s="4">
        <v>25000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3202</v>
      </c>
      <c r="AN45" t="s">
        <v>1756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3203</v>
      </c>
      <c r="BA45">
        <v>0</v>
      </c>
      <c r="BC45" t="s">
        <v>1756</v>
      </c>
      <c r="BF45" t="s">
        <v>3204</v>
      </c>
    </row>
    <row r="46" spans="1:58" x14ac:dyDescent="0.35">
      <c r="A46" t="s">
        <v>3205</v>
      </c>
      <c r="B46">
        <v>10000</v>
      </c>
      <c r="C46">
        <v>10000</v>
      </c>
      <c r="D46" s="2">
        <v>45733</v>
      </c>
      <c r="E46" t="s">
        <v>61</v>
      </c>
      <c r="F46" t="s">
        <v>2326</v>
      </c>
      <c r="G46" t="s">
        <v>2289</v>
      </c>
      <c r="I46">
        <v>1</v>
      </c>
      <c r="J46" t="s">
        <v>63</v>
      </c>
      <c r="K46">
        <v>78</v>
      </c>
      <c r="L46" t="s">
        <v>188</v>
      </c>
      <c r="M46" s="4">
        <v>2750</v>
      </c>
      <c r="P46" s="2">
        <v>45729</v>
      </c>
      <c r="R46">
        <v>16</v>
      </c>
      <c r="S46" s="4">
        <v>44000</v>
      </c>
      <c r="T46" t="s">
        <v>65</v>
      </c>
      <c r="U46" t="s">
        <v>2865</v>
      </c>
      <c r="V46">
        <v>0</v>
      </c>
      <c r="W46" s="4">
        <v>40000</v>
      </c>
      <c r="X46" s="4">
        <v>4000</v>
      </c>
      <c r="Y46">
        <v>0</v>
      </c>
      <c r="Z46">
        <v>0</v>
      </c>
      <c r="AA46">
        <v>0</v>
      </c>
      <c r="AD46">
        <v>0</v>
      </c>
      <c r="AM46" t="s">
        <v>2866</v>
      </c>
      <c r="AN46" t="s">
        <v>157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3206</v>
      </c>
      <c r="BA46">
        <v>0</v>
      </c>
      <c r="BC46" t="s">
        <v>157</v>
      </c>
      <c r="BF46" t="s">
        <v>3207</v>
      </c>
    </row>
    <row r="47" spans="1:58" x14ac:dyDescent="0.35">
      <c r="A47" t="s">
        <v>2935</v>
      </c>
      <c r="B47">
        <v>10000</v>
      </c>
      <c r="C47">
        <v>20000</v>
      </c>
      <c r="D47" s="2">
        <v>45730</v>
      </c>
      <c r="E47" t="s">
        <v>61</v>
      </c>
      <c r="F47" t="s">
        <v>2684</v>
      </c>
      <c r="G47" t="s">
        <v>2289</v>
      </c>
      <c r="I47">
        <v>2</v>
      </c>
      <c r="J47" t="s">
        <v>63</v>
      </c>
      <c r="K47">
        <v>63</v>
      </c>
      <c r="L47" t="s">
        <v>519</v>
      </c>
      <c r="M47" s="4">
        <v>5000</v>
      </c>
      <c r="P47" s="2">
        <v>45729</v>
      </c>
      <c r="R47">
        <v>16</v>
      </c>
      <c r="S47" s="4">
        <v>80000</v>
      </c>
      <c r="T47" t="s">
        <v>65</v>
      </c>
      <c r="U47" t="s">
        <v>2594</v>
      </c>
      <c r="V47">
        <v>0</v>
      </c>
      <c r="W47" s="4">
        <v>80000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2595</v>
      </c>
      <c r="AN47" t="s">
        <v>157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2936</v>
      </c>
      <c r="BA47">
        <v>0</v>
      </c>
      <c r="BC47" t="s">
        <v>157</v>
      </c>
      <c r="BF47" t="s">
        <v>2937</v>
      </c>
    </row>
    <row r="48" spans="1:58" x14ac:dyDescent="0.35">
      <c r="A48" t="s">
        <v>2683</v>
      </c>
      <c r="B48">
        <v>10000</v>
      </c>
      <c r="C48">
        <v>20000</v>
      </c>
      <c r="D48" s="2">
        <v>45730</v>
      </c>
      <c r="E48" t="s">
        <v>61</v>
      </c>
      <c r="F48" t="s">
        <v>2684</v>
      </c>
      <c r="G48" t="s">
        <v>2289</v>
      </c>
      <c r="I48">
        <v>2</v>
      </c>
      <c r="J48" t="s">
        <v>63</v>
      </c>
      <c r="K48">
        <v>63</v>
      </c>
      <c r="L48" t="s">
        <v>519</v>
      </c>
      <c r="M48" s="4">
        <v>5000</v>
      </c>
      <c r="P48" s="2">
        <v>45729</v>
      </c>
      <c r="R48">
        <v>16</v>
      </c>
      <c r="S48" s="4">
        <v>80000</v>
      </c>
      <c r="T48" t="s">
        <v>65</v>
      </c>
      <c r="U48" t="s">
        <v>1740</v>
      </c>
      <c r="V48">
        <v>0</v>
      </c>
      <c r="W48" s="4">
        <v>80000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1741</v>
      </c>
      <c r="AN48" t="s">
        <v>157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2685</v>
      </c>
      <c r="BA48">
        <v>0</v>
      </c>
      <c r="BC48" t="s">
        <v>157</v>
      </c>
      <c r="BF48" t="s">
        <v>2686</v>
      </c>
    </row>
    <row r="49" spans="1:58" x14ac:dyDescent="0.35">
      <c r="A49" t="s">
        <v>2687</v>
      </c>
      <c r="B49">
        <v>10000</v>
      </c>
      <c r="C49">
        <v>20000</v>
      </c>
      <c r="D49" s="2">
        <v>45730</v>
      </c>
      <c r="E49" t="s">
        <v>61</v>
      </c>
      <c r="F49" t="s">
        <v>2684</v>
      </c>
      <c r="G49" t="s">
        <v>2289</v>
      </c>
      <c r="I49">
        <v>2</v>
      </c>
      <c r="J49" t="s">
        <v>63</v>
      </c>
      <c r="K49">
        <v>63</v>
      </c>
      <c r="L49" t="s">
        <v>519</v>
      </c>
      <c r="M49" s="4">
        <v>5000</v>
      </c>
      <c r="P49" s="2">
        <v>45729</v>
      </c>
      <c r="R49">
        <v>16</v>
      </c>
      <c r="S49" s="4">
        <v>80000</v>
      </c>
      <c r="T49" t="s">
        <v>65</v>
      </c>
      <c r="U49" t="s">
        <v>1740</v>
      </c>
      <c r="V49">
        <v>0</v>
      </c>
      <c r="W49" s="4">
        <v>80000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1741</v>
      </c>
      <c r="AN49" t="s">
        <v>157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2688</v>
      </c>
      <c r="BA49">
        <v>0</v>
      </c>
      <c r="BC49" t="s">
        <v>157</v>
      </c>
      <c r="BF49" t="s">
        <v>2689</v>
      </c>
    </row>
    <row r="50" spans="1:58" x14ac:dyDescent="0.35">
      <c r="A50" t="s">
        <v>2938</v>
      </c>
      <c r="B50">
        <v>10000</v>
      </c>
      <c r="C50">
        <v>20000</v>
      </c>
      <c r="D50" s="2">
        <v>45730</v>
      </c>
      <c r="E50" t="s">
        <v>61</v>
      </c>
      <c r="F50" t="s">
        <v>2939</v>
      </c>
      <c r="G50" t="s">
        <v>2940</v>
      </c>
      <c r="I50">
        <v>1</v>
      </c>
      <c r="J50" t="s">
        <v>63</v>
      </c>
      <c r="K50">
        <v>66</v>
      </c>
      <c r="L50" t="s">
        <v>800</v>
      </c>
      <c r="M50" s="4">
        <v>30000</v>
      </c>
      <c r="P50" s="2">
        <v>45729</v>
      </c>
      <c r="R50">
        <v>1</v>
      </c>
      <c r="S50" s="4">
        <v>30000</v>
      </c>
      <c r="T50" t="s">
        <v>65</v>
      </c>
      <c r="U50" t="s">
        <v>381</v>
      </c>
      <c r="V50">
        <v>0</v>
      </c>
      <c r="W50" s="4">
        <v>30000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382</v>
      </c>
      <c r="AN50" t="s">
        <v>157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2941</v>
      </c>
      <c r="BA50">
        <v>0</v>
      </c>
      <c r="BC50" t="s">
        <v>157</v>
      </c>
      <c r="BF50" t="s">
        <v>2942</v>
      </c>
    </row>
    <row r="51" spans="1:58" x14ac:dyDescent="0.35">
      <c r="A51" t="s">
        <v>2690</v>
      </c>
      <c r="B51">
        <v>10000</v>
      </c>
      <c r="C51">
        <v>20000</v>
      </c>
      <c r="D51" s="2">
        <v>45730</v>
      </c>
      <c r="E51" t="s">
        <v>61</v>
      </c>
      <c r="F51" t="s">
        <v>2691</v>
      </c>
      <c r="G51">
        <v>12190705006</v>
      </c>
      <c r="I51">
        <v>1</v>
      </c>
      <c r="J51" t="s">
        <v>63</v>
      </c>
      <c r="K51">
        <v>68</v>
      </c>
      <c r="L51" t="s">
        <v>405</v>
      </c>
      <c r="M51" s="4">
        <v>15000</v>
      </c>
      <c r="P51" s="2">
        <v>45729</v>
      </c>
      <c r="R51">
        <v>2</v>
      </c>
      <c r="S51" s="4">
        <v>30000</v>
      </c>
      <c r="T51" t="s">
        <v>65</v>
      </c>
      <c r="U51" t="s">
        <v>803</v>
      </c>
      <c r="V51">
        <v>0</v>
      </c>
      <c r="W51" s="4">
        <v>30000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804</v>
      </c>
      <c r="AN51" t="s">
        <v>157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2692</v>
      </c>
      <c r="BA51">
        <v>0</v>
      </c>
      <c r="BC51" t="s">
        <v>157</v>
      </c>
      <c r="BF51" t="s">
        <v>2693</v>
      </c>
    </row>
    <row r="52" spans="1:58" x14ac:dyDescent="0.35">
      <c r="A52" t="s">
        <v>3208</v>
      </c>
      <c r="B52">
        <v>10000</v>
      </c>
      <c r="C52">
        <v>10000</v>
      </c>
      <c r="D52" s="2">
        <v>45734</v>
      </c>
      <c r="E52" t="s">
        <v>61</v>
      </c>
      <c r="F52" t="s">
        <v>3209</v>
      </c>
      <c r="G52" t="s">
        <v>2289</v>
      </c>
      <c r="I52">
        <v>1</v>
      </c>
      <c r="J52" t="s">
        <v>63</v>
      </c>
      <c r="K52">
        <v>78</v>
      </c>
      <c r="L52" t="s">
        <v>188</v>
      </c>
      <c r="M52" s="4">
        <v>8000</v>
      </c>
      <c r="P52" s="2">
        <v>45729</v>
      </c>
      <c r="R52">
        <v>16</v>
      </c>
      <c r="S52" s="4">
        <v>128000</v>
      </c>
      <c r="T52" t="s">
        <v>65</v>
      </c>
      <c r="U52" t="s">
        <v>2865</v>
      </c>
      <c r="V52">
        <v>0</v>
      </c>
      <c r="W52" s="4">
        <v>120000</v>
      </c>
      <c r="X52" s="4">
        <v>8000</v>
      </c>
      <c r="Y52">
        <v>0</v>
      </c>
      <c r="Z52">
        <v>0</v>
      </c>
      <c r="AA52">
        <v>0</v>
      </c>
      <c r="AD52">
        <v>0</v>
      </c>
      <c r="AM52" t="s">
        <v>2866</v>
      </c>
      <c r="AN52" t="s">
        <v>175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3210</v>
      </c>
      <c r="BA52">
        <v>0</v>
      </c>
      <c r="BC52" t="s">
        <v>175</v>
      </c>
      <c r="BF52" t="s">
        <v>3211</v>
      </c>
    </row>
    <row r="53" spans="1:58" x14ac:dyDescent="0.35">
      <c r="A53" t="s">
        <v>3212</v>
      </c>
      <c r="B53">
        <v>10000</v>
      </c>
      <c r="C53">
        <v>10000</v>
      </c>
      <c r="D53" s="2">
        <v>45734</v>
      </c>
      <c r="E53" t="s">
        <v>61</v>
      </c>
      <c r="F53" t="s">
        <v>3213</v>
      </c>
      <c r="G53" t="s">
        <v>2289</v>
      </c>
      <c r="I53">
        <v>1</v>
      </c>
      <c r="J53" t="s">
        <v>63</v>
      </c>
      <c r="K53">
        <v>78</v>
      </c>
      <c r="L53" t="s">
        <v>188</v>
      </c>
      <c r="M53" s="4">
        <v>8000</v>
      </c>
      <c r="P53" s="2">
        <v>45729</v>
      </c>
      <c r="R53">
        <v>16</v>
      </c>
      <c r="S53" s="4">
        <v>128000</v>
      </c>
      <c r="T53" t="s">
        <v>65</v>
      </c>
      <c r="U53" t="s">
        <v>2865</v>
      </c>
      <c r="V53">
        <v>0</v>
      </c>
      <c r="W53" s="4">
        <v>120000</v>
      </c>
      <c r="X53" s="4">
        <v>8000</v>
      </c>
      <c r="Y53">
        <v>0</v>
      </c>
      <c r="Z53">
        <v>0</v>
      </c>
      <c r="AA53">
        <v>0</v>
      </c>
      <c r="AD53">
        <v>0</v>
      </c>
      <c r="AM53" t="s">
        <v>2866</v>
      </c>
      <c r="AN53" t="s">
        <v>175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3214</v>
      </c>
      <c r="BA53">
        <v>0</v>
      </c>
      <c r="BC53" t="s">
        <v>175</v>
      </c>
      <c r="BF53" t="s">
        <v>3215</v>
      </c>
    </row>
    <row r="54" spans="1:58" x14ac:dyDescent="0.35">
      <c r="A54" t="s">
        <v>3216</v>
      </c>
      <c r="B54">
        <v>10000</v>
      </c>
      <c r="C54">
        <v>10000</v>
      </c>
      <c r="D54" s="2">
        <v>45737</v>
      </c>
      <c r="E54" t="s">
        <v>61</v>
      </c>
      <c r="F54" t="s">
        <v>3217</v>
      </c>
      <c r="G54" t="s">
        <v>3218</v>
      </c>
      <c r="I54">
        <v>1</v>
      </c>
      <c r="J54" t="s">
        <v>63</v>
      </c>
      <c r="K54">
        <v>66</v>
      </c>
      <c r="L54" t="s">
        <v>800</v>
      </c>
      <c r="M54" s="4">
        <v>280000</v>
      </c>
      <c r="P54" s="2">
        <v>45729</v>
      </c>
      <c r="R54">
        <v>1</v>
      </c>
      <c r="S54" s="4">
        <v>280000</v>
      </c>
      <c r="T54" t="s">
        <v>65</v>
      </c>
      <c r="U54" t="s">
        <v>381</v>
      </c>
      <c r="V54">
        <v>0</v>
      </c>
      <c r="W54" s="4">
        <v>280000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382</v>
      </c>
      <c r="AN54" t="s">
        <v>175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3219</v>
      </c>
      <c r="BA54">
        <v>0</v>
      </c>
      <c r="BC54" t="s">
        <v>175</v>
      </c>
      <c r="BF54" t="s">
        <v>3220</v>
      </c>
    </row>
    <row r="55" spans="1:58" x14ac:dyDescent="0.35">
      <c r="A55" t="s">
        <v>3221</v>
      </c>
      <c r="B55">
        <v>10000</v>
      </c>
      <c r="C55">
        <v>10000</v>
      </c>
      <c r="D55" s="2">
        <v>45733</v>
      </c>
      <c r="E55" t="s">
        <v>61</v>
      </c>
      <c r="F55" t="s">
        <v>3222</v>
      </c>
      <c r="G55">
        <v>12190705005</v>
      </c>
      <c r="I55">
        <v>1</v>
      </c>
      <c r="J55" t="s">
        <v>63</v>
      </c>
      <c r="K55">
        <v>68</v>
      </c>
      <c r="L55" t="s">
        <v>405</v>
      </c>
      <c r="M55" s="4">
        <v>15000</v>
      </c>
      <c r="P55" s="2">
        <v>45729</v>
      </c>
      <c r="R55">
        <v>2</v>
      </c>
      <c r="S55" s="4">
        <v>30000</v>
      </c>
      <c r="T55" t="s">
        <v>65</v>
      </c>
      <c r="U55" t="s">
        <v>803</v>
      </c>
      <c r="V55">
        <v>0</v>
      </c>
      <c r="W55" s="4">
        <v>30000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804</v>
      </c>
      <c r="AN55" t="s">
        <v>175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3223</v>
      </c>
      <c r="BA55">
        <v>0</v>
      </c>
      <c r="BC55" t="s">
        <v>175</v>
      </c>
      <c r="BF55" t="s">
        <v>3224</v>
      </c>
    </row>
    <row r="56" spans="1:58" x14ac:dyDescent="0.35">
      <c r="A56" t="s">
        <v>3221</v>
      </c>
      <c r="B56">
        <v>10000</v>
      </c>
      <c r="C56">
        <v>20000</v>
      </c>
      <c r="D56" s="2">
        <v>45733</v>
      </c>
      <c r="E56" t="s">
        <v>61</v>
      </c>
      <c r="F56" t="s">
        <v>3222</v>
      </c>
      <c r="G56">
        <v>12190705005</v>
      </c>
      <c r="I56">
        <v>1</v>
      </c>
      <c r="J56" t="s">
        <v>63</v>
      </c>
      <c r="K56" t="s">
        <v>2482</v>
      </c>
      <c r="L56" t="s">
        <v>154</v>
      </c>
      <c r="M56" s="4">
        <v>35000</v>
      </c>
      <c r="P56" s="2">
        <v>45729</v>
      </c>
      <c r="R56">
        <v>2</v>
      </c>
      <c r="S56" s="4">
        <v>70000</v>
      </c>
      <c r="T56" t="s">
        <v>65</v>
      </c>
      <c r="U56" t="s">
        <v>803</v>
      </c>
      <c r="V56">
        <v>0</v>
      </c>
      <c r="W56" s="4">
        <v>70000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804</v>
      </c>
      <c r="AN56" t="s">
        <v>175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3223</v>
      </c>
      <c r="BA56">
        <v>0</v>
      </c>
      <c r="BC56" t="s">
        <v>175</v>
      </c>
      <c r="BF56" t="s">
        <v>3224</v>
      </c>
    </row>
    <row r="57" spans="1:58" x14ac:dyDescent="0.35">
      <c r="A57" t="s">
        <v>2706</v>
      </c>
      <c r="B57">
        <v>10000</v>
      </c>
      <c r="C57">
        <v>20000</v>
      </c>
      <c r="D57" s="2">
        <v>45733</v>
      </c>
      <c r="E57" t="s">
        <v>61</v>
      </c>
      <c r="F57" t="s">
        <v>2707</v>
      </c>
      <c r="G57" t="s">
        <v>2708</v>
      </c>
      <c r="I57">
        <v>1</v>
      </c>
      <c r="J57" t="s">
        <v>63</v>
      </c>
      <c r="K57" t="s">
        <v>3225</v>
      </c>
      <c r="L57" t="s">
        <v>380</v>
      </c>
      <c r="M57" s="4">
        <v>50000</v>
      </c>
      <c r="P57" s="2">
        <v>45729</v>
      </c>
      <c r="R57">
        <v>1</v>
      </c>
      <c r="S57" s="4">
        <v>50000</v>
      </c>
      <c r="T57" t="s">
        <v>65</v>
      </c>
      <c r="U57" t="s">
        <v>2488</v>
      </c>
      <c r="V57">
        <v>0</v>
      </c>
      <c r="W57" s="4">
        <v>50000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2489</v>
      </c>
      <c r="AN57" t="s">
        <v>175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2709</v>
      </c>
      <c r="BA57">
        <v>0</v>
      </c>
      <c r="BC57" t="s">
        <v>175</v>
      </c>
      <c r="BF57" t="s">
        <v>2710</v>
      </c>
    </row>
    <row r="58" spans="1:58" x14ac:dyDescent="0.35">
      <c r="A58" t="s">
        <v>3226</v>
      </c>
      <c r="B58">
        <v>10000</v>
      </c>
      <c r="C58">
        <v>10000</v>
      </c>
      <c r="D58" s="2">
        <v>45729</v>
      </c>
      <c r="E58" t="s">
        <v>61</v>
      </c>
      <c r="F58" t="s">
        <v>3227</v>
      </c>
      <c r="G58" t="s">
        <v>2344</v>
      </c>
      <c r="I58">
        <v>1</v>
      </c>
      <c r="J58" t="s">
        <v>63</v>
      </c>
      <c r="K58">
        <v>65</v>
      </c>
      <c r="L58" t="s">
        <v>268</v>
      </c>
      <c r="M58">
        <v>39</v>
      </c>
      <c r="P58" s="2">
        <v>45729</v>
      </c>
      <c r="R58">
        <v>26</v>
      </c>
      <c r="S58" s="4">
        <v>1014</v>
      </c>
      <c r="T58" t="s">
        <v>65</v>
      </c>
      <c r="U58" t="s">
        <v>3228</v>
      </c>
      <c r="V58">
        <v>0</v>
      </c>
      <c r="W58" s="4">
        <v>1000</v>
      </c>
      <c r="X58">
        <v>14</v>
      </c>
      <c r="Y58">
        <v>0</v>
      </c>
      <c r="Z58">
        <v>0</v>
      </c>
      <c r="AA58">
        <v>0</v>
      </c>
      <c r="AD58">
        <v>0</v>
      </c>
      <c r="AM58" t="s">
        <v>3229</v>
      </c>
      <c r="AN58" t="s">
        <v>508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3230</v>
      </c>
      <c r="BA58">
        <v>0</v>
      </c>
      <c r="BC58" t="s">
        <v>508</v>
      </c>
      <c r="BF58" t="s">
        <v>2990</v>
      </c>
    </row>
    <row r="59" spans="1:58" x14ac:dyDescent="0.35">
      <c r="A59" t="s">
        <v>3231</v>
      </c>
      <c r="B59">
        <v>10000</v>
      </c>
      <c r="C59">
        <v>10000</v>
      </c>
      <c r="D59" s="2">
        <v>45729</v>
      </c>
      <c r="E59" t="s">
        <v>61</v>
      </c>
      <c r="F59" t="s">
        <v>3232</v>
      </c>
      <c r="G59" t="s">
        <v>2986</v>
      </c>
      <c r="I59">
        <v>1</v>
      </c>
      <c r="J59" t="s">
        <v>63</v>
      </c>
      <c r="K59">
        <v>65</v>
      </c>
      <c r="L59" t="s">
        <v>268</v>
      </c>
      <c r="M59">
        <v>231</v>
      </c>
      <c r="P59" s="2">
        <v>45729</v>
      </c>
      <c r="R59">
        <v>13</v>
      </c>
      <c r="S59" s="4">
        <v>3003</v>
      </c>
      <c r="T59" t="s">
        <v>65</v>
      </c>
      <c r="U59" t="s">
        <v>1042</v>
      </c>
      <c r="V59">
        <v>0</v>
      </c>
      <c r="W59" s="4">
        <v>3000</v>
      </c>
      <c r="X59">
        <v>3</v>
      </c>
      <c r="Y59">
        <v>0</v>
      </c>
      <c r="Z59">
        <v>0</v>
      </c>
      <c r="AA59">
        <v>0</v>
      </c>
      <c r="AD59">
        <v>0</v>
      </c>
      <c r="AM59" t="s">
        <v>1043</v>
      </c>
      <c r="AN59" t="s">
        <v>508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3233</v>
      </c>
      <c r="BA59">
        <v>0</v>
      </c>
      <c r="BC59" t="s">
        <v>508</v>
      </c>
      <c r="BF59" t="s">
        <v>2990</v>
      </c>
    </row>
    <row r="60" spans="1:58" x14ac:dyDescent="0.35">
      <c r="A60" t="s">
        <v>3234</v>
      </c>
      <c r="B60">
        <v>10000</v>
      </c>
      <c r="C60">
        <v>10000</v>
      </c>
      <c r="D60" s="2">
        <v>45730</v>
      </c>
      <c r="E60" t="s">
        <v>61</v>
      </c>
      <c r="F60" t="s">
        <v>3235</v>
      </c>
      <c r="G60" t="s">
        <v>1387</v>
      </c>
      <c r="I60">
        <v>1</v>
      </c>
      <c r="J60" t="s">
        <v>63</v>
      </c>
      <c r="K60">
        <v>65</v>
      </c>
      <c r="L60" t="s">
        <v>268</v>
      </c>
      <c r="M60">
        <v>539</v>
      </c>
      <c r="P60" s="2">
        <v>45729</v>
      </c>
      <c r="R60">
        <v>26</v>
      </c>
      <c r="S60" s="4">
        <v>14014</v>
      </c>
      <c r="T60" t="s">
        <v>65</v>
      </c>
      <c r="U60" t="s">
        <v>3236</v>
      </c>
      <c r="V60">
        <v>0</v>
      </c>
      <c r="W60" s="4">
        <v>14000</v>
      </c>
      <c r="X60">
        <v>14</v>
      </c>
      <c r="Y60">
        <v>0</v>
      </c>
      <c r="Z60">
        <v>0</v>
      </c>
      <c r="AA60">
        <v>0</v>
      </c>
      <c r="AD60">
        <v>0</v>
      </c>
      <c r="AM60" t="s">
        <v>3237</v>
      </c>
      <c r="AN60" t="s">
        <v>508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3238</v>
      </c>
      <c r="BA60">
        <v>0</v>
      </c>
      <c r="BC60" t="s">
        <v>508</v>
      </c>
      <c r="BF60" t="s">
        <v>2990</v>
      </c>
    </row>
    <row r="61" spans="1:58" x14ac:dyDescent="0.35">
      <c r="A61" t="s">
        <v>3239</v>
      </c>
      <c r="B61">
        <v>10000</v>
      </c>
      <c r="C61">
        <v>10000</v>
      </c>
      <c r="D61" s="2">
        <v>45729</v>
      </c>
      <c r="E61" t="s">
        <v>61</v>
      </c>
      <c r="F61" t="s">
        <v>3240</v>
      </c>
      <c r="G61" t="s">
        <v>2344</v>
      </c>
      <c r="I61">
        <v>1</v>
      </c>
      <c r="J61" t="s">
        <v>63</v>
      </c>
      <c r="K61">
        <v>65</v>
      </c>
      <c r="L61" t="s">
        <v>268</v>
      </c>
      <c r="M61">
        <v>313</v>
      </c>
      <c r="P61" s="2">
        <v>45729</v>
      </c>
      <c r="R61">
        <v>8</v>
      </c>
      <c r="S61" s="4">
        <v>2504</v>
      </c>
      <c r="T61" t="s">
        <v>65</v>
      </c>
      <c r="U61" t="s">
        <v>3241</v>
      </c>
      <c r="V61">
        <v>0</v>
      </c>
      <c r="W61" s="4">
        <v>2500</v>
      </c>
      <c r="X61">
        <v>4</v>
      </c>
      <c r="Y61">
        <v>0</v>
      </c>
      <c r="Z61">
        <v>0</v>
      </c>
      <c r="AA61">
        <v>0</v>
      </c>
      <c r="AD61">
        <v>0</v>
      </c>
      <c r="AM61" t="s">
        <v>3242</v>
      </c>
      <c r="AN61" t="s">
        <v>508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3243</v>
      </c>
      <c r="BA61">
        <v>0</v>
      </c>
      <c r="BC61" t="s">
        <v>508</v>
      </c>
      <c r="BF61" t="s">
        <v>2990</v>
      </c>
    </row>
    <row r="62" spans="1:58" x14ac:dyDescent="0.35">
      <c r="A62" t="s">
        <v>3244</v>
      </c>
      <c r="B62">
        <v>10000</v>
      </c>
      <c r="C62">
        <v>10000</v>
      </c>
      <c r="D62" s="2">
        <v>45729</v>
      </c>
      <c r="E62" t="s">
        <v>61</v>
      </c>
      <c r="F62" t="s">
        <v>3159</v>
      </c>
      <c r="G62" t="s">
        <v>2986</v>
      </c>
      <c r="I62">
        <v>1</v>
      </c>
      <c r="J62" t="s">
        <v>63</v>
      </c>
      <c r="K62">
        <v>65</v>
      </c>
      <c r="L62" t="s">
        <v>268</v>
      </c>
      <c r="M62">
        <v>313</v>
      </c>
      <c r="P62" s="2">
        <v>45729</v>
      </c>
      <c r="R62">
        <v>16</v>
      </c>
      <c r="S62" s="4">
        <v>5008</v>
      </c>
      <c r="T62" t="s">
        <v>65</v>
      </c>
      <c r="U62" t="s">
        <v>3245</v>
      </c>
      <c r="V62">
        <v>0</v>
      </c>
      <c r="W62" s="4">
        <v>5000</v>
      </c>
      <c r="X62">
        <v>8</v>
      </c>
      <c r="Y62">
        <v>0</v>
      </c>
      <c r="Z62">
        <v>0</v>
      </c>
      <c r="AA62">
        <v>0</v>
      </c>
      <c r="AD62">
        <v>0</v>
      </c>
      <c r="AM62" t="s">
        <v>3246</v>
      </c>
      <c r="AN62" t="s">
        <v>508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3247</v>
      </c>
      <c r="BA62">
        <v>0</v>
      </c>
      <c r="BC62" t="s">
        <v>508</v>
      </c>
      <c r="BF62" t="s">
        <v>2990</v>
      </c>
    </row>
    <row r="63" spans="1:58" x14ac:dyDescent="0.35">
      <c r="A63" t="s">
        <v>3248</v>
      </c>
      <c r="B63">
        <v>10000</v>
      </c>
      <c r="C63">
        <v>10000</v>
      </c>
      <c r="D63" s="2">
        <v>45730</v>
      </c>
      <c r="E63" t="s">
        <v>61</v>
      </c>
      <c r="F63" t="s">
        <v>3249</v>
      </c>
      <c r="G63" t="s">
        <v>3250</v>
      </c>
      <c r="I63">
        <v>1</v>
      </c>
      <c r="J63" t="s">
        <v>63</v>
      </c>
      <c r="K63" t="s">
        <v>1744</v>
      </c>
      <c r="L63" t="s">
        <v>630</v>
      </c>
      <c r="M63" s="4">
        <v>1000</v>
      </c>
      <c r="P63" s="2">
        <v>45729</v>
      </c>
      <c r="R63">
        <v>1</v>
      </c>
      <c r="S63" s="4">
        <v>1000</v>
      </c>
      <c r="T63" t="s">
        <v>65</v>
      </c>
      <c r="U63" t="s">
        <v>3251</v>
      </c>
      <c r="V63">
        <v>0</v>
      </c>
      <c r="W63" s="4">
        <v>1000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3252</v>
      </c>
      <c r="AN63" t="s">
        <v>508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3253</v>
      </c>
      <c r="BA63">
        <v>0</v>
      </c>
      <c r="BC63" t="s">
        <v>508</v>
      </c>
      <c r="BF63" t="s">
        <v>2990</v>
      </c>
    </row>
    <row r="64" spans="1:58" x14ac:dyDescent="0.35">
      <c r="A64" t="s">
        <v>3254</v>
      </c>
      <c r="B64">
        <v>10000</v>
      </c>
      <c r="C64">
        <v>10000</v>
      </c>
      <c r="D64" s="2">
        <v>45730</v>
      </c>
      <c r="E64" t="s">
        <v>61</v>
      </c>
      <c r="F64" t="s">
        <v>3255</v>
      </c>
      <c r="G64" t="s">
        <v>3256</v>
      </c>
      <c r="I64">
        <v>1</v>
      </c>
      <c r="J64" t="s">
        <v>63</v>
      </c>
      <c r="K64" t="s">
        <v>3257</v>
      </c>
      <c r="L64" t="s">
        <v>630</v>
      </c>
      <c r="M64" s="4">
        <v>1000</v>
      </c>
      <c r="P64" s="2">
        <v>45729</v>
      </c>
      <c r="R64">
        <v>1</v>
      </c>
      <c r="S64" s="4">
        <v>1000</v>
      </c>
      <c r="T64" t="s">
        <v>65</v>
      </c>
      <c r="U64" t="s">
        <v>3258</v>
      </c>
      <c r="V64">
        <v>0</v>
      </c>
      <c r="W64" s="4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3259</v>
      </c>
      <c r="AN64" t="s">
        <v>508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3260</v>
      </c>
      <c r="BA64">
        <v>0</v>
      </c>
      <c r="BC64" t="s">
        <v>508</v>
      </c>
      <c r="BF64" t="s">
        <v>2990</v>
      </c>
    </row>
    <row r="65" spans="1:58" x14ac:dyDescent="0.35">
      <c r="A65" t="s">
        <v>3261</v>
      </c>
      <c r="B65">
        <v>10000</v>
      </c>
      <c r="C65">
        <v>10000</v>
      </c>
      <c r="D65" s="2">
        <v>45729</v>
      </c>
      <c r="E65" t="s">
        <v>61</v>
      </c>
      <c r="F65" t="s">
        <v>3227</v>
      </c>
      <c r="G65" t="s">
        <v>2344</v>
      </c>
      <c r="I65">
        <v>1</v>
      </c>
      <c r="J65" t="s">
        <v>63</v>
      </c>
      <c r="K65">
        <v>65</v>
      </c>
      <c r="L65" t="s">
        <v>268</v>
      </c>
      <c r="M65">
        <v>110</v>
      </c>
      <c r="P65" s="2">
        <v>45729</v>
      </c>
      <c r="R65">
        <v>26</v>
      </c>
      <c r="S65" s="4">
        <v>2860</v>
      </c>
      <c r="T65" t="s">
        <v>65</v>
      </c>
      <c r="U65" t="s">
        <v>3228</v>
      </c>
      <c r="V65">
        <v>0</v>
      </c>
      <c r="W65" s="4">
        <v>2840</v>
      </c>
      <c r="X65">
        <v>20</v>
      </c>
      <c r="Y65">
        <v>0</v>
      </c>
      <c r="Z65">
        <v>0</v>
      </c>
      <c r="AA65">
        <v>0</v>
      </c>
      <c r="AD65">
        <v>0</v>
      </c>
      <c r="AM65" t="s">
        <v>3229</v>
      </c>
      <c r="AN65" t="s">
        <v>508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3262</v>
      </c>
      <c r="BA65">
        <v>0</v>
      </c>
      <c r="BC65" t="s">
        <v>508</v>
      </c>
      <c r="BF65" t="s">
        <v>2993</v>
      </c>
    </row>
    <row r="66" spans="1:58" x14ac:dyDescent="0.35">
      <c r="A66" t="s">
        <v>3263</v>
      </c>
      <c r="B66">
        <v>10000</v>
      </c>
      <c r="C66">
        <v>10000</v>
      </c>
      <c r="D66" s="2">
        <v>45729</v>
      </c>
      <c r="E66" t="s">
        <v>61</v>
      </c>
      <c r="F66" t="s">
        <v>3232</v>
      </c>
      <c r="G66" t="s">
        <v>2986</v>
      </c>
      <c r="I66">
        <v>1</v>
      </c>
      <c r="J66" t="s">
        <v>63</v>
      </c>
      <c r="K66">
        <v>65</v>
      </c>
      <c r="L66" t="s">
        <v>268</v>
      </c>
      <c r="M66">
        <v>924</v>
      </c>
      <c r="P66" s="2">
        <v>45729</v>
      </c>
      <c r="R66">
        <v>13</v>
      </c>
      <c r="S66" s="4">
        <v>12012</v>
      </c>
      <c r="T66" t="s">
        <v>65</v>
      </c>
      <c r="U66" t="s">
        <v>1042</v>
      </c>
      <c r="V66">
        <v>0</v>
      </c>
      <c r="W66" s="4">
        <v>12000</v>
      </c>
      <c r="X66">
        <v>12</v>
      </c>
      <c r="Y66">
        <v>0</v>
      </c>
      <c r="Z66">
        <v>0</v>
      </c>
      <c r="AA66">
        <v>0</v>
      </c>
      <c r="AD66">
        <v>0</v>
      </c>
      <c r="AM66" t="s">
        <v>1043</v>
      </c>
      <c r="AN66" t="s">
        <v>508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3264</v>
      </c>
      <c r="BA66">
        <v>0</v>
      </c>
      <c r="BC66" t="s">
        <v>508</v>
      </c>
      <c r="BF66" t="s">
        <v>2993</v>
      </c>
    </row>
    <row r="67" spans="1:58" x14ac:dyDescent="0.35">
      <c r="A67" t="s">
        <v>3265</v>
      </c>
      <c r="B67">
        <v>10000</v>
      </c>
      <c r="C67">
        <v>10000</v>
      </c>
      <c r="D67" s="2">
        <v>45729</v>
      </c>
      <c r="E67" t="s">
        <v>61</v>
      </c>
      <c r="F67" t="s">
        <v>3240</v>
      </c>
      <c r="G67" t="s">
        <v>2344</v>
      </c>
      <c r="I67">
        <v>1</v>
      </c>
      <c r="J67" t="s">
        <v>63</v>
      </c>
      <c r="K67">
        <v>65</v>
      </c>
      <c r="L67" t="s">
        <v>268</v>
      </c>
      <c r="M67">
        <v>625</v>
      </c>
      <c r="P67" s="2">
        <v>45729</v>
      </c>
      <c r="R67">
        <v>8</v>
      </c>
      <c r="S67" s="4">
        <v>5000</v>
      </c>
      <c r="T67" t="s">
        <v>65</v>
      </c>
      <c r="U67" t="s">
        <v>3241</v>
      </c>
      <c r="V67">
        <v>0</v>
      </c>
      <c r="W67" s="4">
        <v>5000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3242</v>
      </c>
      <c r="AN67" t="s">
        <v>508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3266</v>
      </c>
      <c r="BA67">
        <v>0</v>
      </c>
      <c r="BC67" t="s">
        <v>508</v>
      </c>
      <c r="BF67" t="s">
        <v>2993</v>
      </c>
    </row>
    <row r="68" spans="1:58" x14ac:dyDescent="0.35">
      <c r="A68" t="s">
        <v>3267</v>
      </c>
      <c r="B68">
        <v>10000</v>
      </c>
      <c r="C68">
        <v>10000</v>
      </c>
      <c r="D68" s="2">
        <v>45729</v>
      </c>
      <c r="E68" t="s">
        <v>61</v>
      </c>
      <c r="F68" t="s">
        <v>3159</v>
      </c>
      <c r="G68" t="s">
        <v>2986</v>
      </c>
      <c r="I68">
        <v>1</v>
      </c>
      <c r="J68" t="s">
        <v>63</v>
      </c>
      <c r="K68">
        <v>65</v>
      </c>
      <c r="L68" t="s">
        <v>268</v>
      </c>
      <c r="M68">
        <v>313</v>
      </c>
      <c r="P68" s="2">
        <v>45729</v>
      </c>
      <c r="R68">
        <v>16</v>
      </c>
      <c r="S68" s="4">
        <v>5008</v>
      </c>
      <c r="T68" t="s">
        <v>65</v>
      </c>
      <c r="U68" t="s">
        <v>3245</v>
      </c>
      <c r="V68">
        <v>0</v>
      </c>
      <c r="W68" s="4">
        <v>5000</v>
      </c>
      <c r="X68">
        <v>8</v>
      </c>
      <c r="Y68">
        <v>0</v>
      </c>
      <c r="Z68">
        <v>0</v>
      </c>
      <c r="AA68">
        <v>0</v>
      </c>
      <c r="AD68">
        <v>0</v>
      </c>
      <c r="AM68" t="s">
        <v>3246</v>
      </c>
      <c r="AN68" t="s">
        <v>508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3268</v>
      </c>
      <c r="BA68">
        <v>0</v>
      </c>
      <c r="BC68" t="s">
        <v>508</v>
      </c>
      <c r="BF68" t="s">
        <v>2993</v>
      </c>
    </row>
    <row r="69" spans="1:58" x14ac:dyDescent="0.35">
      <c r="A69" t="s">
        <v>2994</v>
      </c>
      <c r="B69">
        <v>10000</v>
      </c>
      <c r="C69">
        <v>20000</v>
      </c>
      <c r="D69" s="2">
        <v>45729</v>
      </c>
      <c r="E69" t="s">
        <v>61</v>
      </c>
      <c r="F69" t="s">
        <v>2995</v>
      </c>
      <c r="G69" t="s">
        <v>1293</v>
      </c>
      <c r="I69">
        <v>2</v>
      </c>
      <c r="J69" t="s">
        <v>63</v>
      </c>
      <c r="K69">
        <v>82</v>
      </c>
      <c r="L69" t="s">
        <v>341</v>
      </c>
      <c r="M69">
        <v>467</v>
      </c>
      <c r="P69" s="2">
        <v>45729</v>
      </c>
      <c r="R69">
        <v>15</v>
      </c>
      <c r="S69" s="4">
        <v>7005</v>
      </c>
      <c r="T69" t="s">
        <v>65</v>
      </c>
      <c r="U69" t="s">
        <v>2996</v>
      </c>
      <c r="V69">
        <v>0</v>
      </c>
      <c r="W69" s="4">
        <v>5000</v>
      </c>
      <c r="X69" s="4">
        <v>2005</v>
      </c>
      <c r="Y69">
        <v>0</v>
      </c>
      <c r="Z69">
        <v>0</v>
      </c>
      <c r="AA69">
        <v>0</v>
      </c>
      <c r="AD69">
        <v>0</v>
      </c>
      <c r="AM69" t="s">
        <v>2997</v>
      </c>
      <c r="AN69" t="s">
        <v>909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2998</v>
      </c>
      <c r="BA69">
        <v>0</v>
      </c>
      <c r="BC69" t="s">
        <v>909</v>
      </c>
      <c r="BF69" t="s">
        <v>2999</v>
      </c>
    </row>
    <row r="70" spans="1:58" x14ac:dyDescent="0.35">
      <c r="A70" t="s">
        <v>3269</v>
      </c>
      <c r="B70">
        <v>10000</v>
      </c>
      <c r="C70">
        <v>10000</v>
      </c>
      <c r="D70" s="2">
        <v>45729</v>
      </c>
      <c r="E70" t="s">
        <v>61</v>
      </c>
      <c r="F70" t="s">
        <v>3270</v>
      </c>
      <c r="G70" t="s">
        <v>3160</v>
      </c>
      <c r="I70">
        <v>1</v>
      </c>
      <c r="J70" t="s">
        <v>63</v>
      </c>
      <c r="K70">
        <v>46</v>
      </c>
      <c r="L70" t="s">
        <v>113</v>
      </c>
      <c r="M70" s="4">
        <v>2000</v>
      </c>
      <c r="P70" s="2">
        <v>45729</v>
      </c>
      <c r="R70">
        <v>1</v>
      </c>
      <c r="S70" s="4">
        <v>2000</v>
      </c>
      <c r="T70" t="s">
        <v>65</v>
      </c>
      <c r="U70" t="s">
        <v>3271</v>
      </c>
      <c r="V70">
        <v>0</v>
      </c>
      <c r="W70" s="4">
        <v>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3272</v>
      </c>
      <c r="AN70" t="s">
        <v>116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3273</v>
      </c>
      <c r="BA70">
        <v>0</v>
      </c>
      <c r="BC70" t="s">
        <v>116</v>
      </c>
      <c r="BF70" t="s">
        <v>3274</v>
      </c>
    </row>
    <row r="71" spans="1:58" x14ac:dyDescent="0.35">
      <c r="A71" t="s">
        <v>3275</v>
      </c>
      <c r="B71">
        <v>10000</v>
      </c>
      <c r="C71">
        <v>10000</v>
      </c>
      <c r="D71" s="2">
        <v>45730</v>
      </c>
      <c r="E71" t="s">
        <v>61</v>
      </c>
      <c r="F71" t="s">
        <v>3276</v>
      </c>
      <c r="G71" t="s">
        <v>3277</v>
      </c>
      <c r="I71">
        <v>1</v>
      </c>
      <c r="J71" t="s">
        <v>63</v>
      </c>
      <c r="K71">
        <v>46</v>
      </c>
      <c r="L71" t="s">
        <v>113</v>
      </c>
      <c r="M71" s="4">
        <v>10000</v>
      </c>
      <c r="P71" s="2">
        <v>45729</v>
      </c>
      <c r="R71">
        <v>1</v>
      </c>
      <c r="S71" s="4">
        <v>10000</v>
      </c>
      <c r="T71" t="s">
        <v>65</v>
      </c>
      <c r="U71" t="s">
        <v>3278</v>
      </c>
      <c r="V71">
        <v>0</v>
      </c>
      <c r="W71" s="4">
        <v>10000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3279</v>
      </c>
      <c r="AN71" t="s">
        <v>116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3280</v>
      </c>
      <c r="BA71">
        <v>0</v>
      </c>
      <c r="BC71" t="s">
        <v>116</v>
      </c>
      <c r="BF71" t="s">
        <v>3281</v>
      </c>
    </row>
    <row r="72" spans="1:58" x14ac:dyDescent="0.35">
      <c r="A72" t="s">
        <v>3012</v>
      </c>
      <c r="B72">
        <v>10000</v>
      </c>
      <c r="C72">
        <v>20000</v>
      </c>
      <c r="D72" s="2">
        <v>45729</v>
      </c>
      <c r="E72" t="s">
        <v>61</v>
      </c>
      <c r="F72" s="3">
        <v>0.44581018518518517</v>
      </c>
      <c r="G72" t="s">
        <v>3013</v>
      </c>
      <c r="I72">
        <v>2</v>
      </c>
      <c r="J72" t="s">
        <v>63</v>
      </c>
      <c r="K72">
        <v>86</v>
      </c>
      <c r="L72" t="s">
        <v>64</v>
      </c>
      <c r="M72" s="4">
        <v>1994</v>
      </c>
      <c r="P72" s="2">
        <v>45729</v>
      </c>
      <c r="R72">
        <v>60</v>
      </c>
      <c r="S72" s="4">
        <v>119640</v>
      </c>
      <c r="T72" t="s">
        <v>65</v>
      </c>
      <c r="U72">
        <v>111818390001</v>
      </c>
      <c r="V72">
        <v>0</v>
      </c>
      <c r="W72" s="4">
        <v>39870</v>
      </c>
      <c r="X72" s="4">
        <v>79770</v>
      </c>
      <c r="Y72">
        <v>0</v>
      </c>
      <c r="Z72">
        <v>0</v>
      </c>
      <c r="AA72">
        <v>0</v>
      </c>
      <c r="AD72">
        <v>0</v>
      </c>
      <c r="AM72">
        <v>11181839</v>
      </c>
      <c r="AN72" t="s">
        <v>182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3014</v>
      </c>
      <c r="BA72">
        <v>0</v>
      </c>
      <c r="BC72" t="s">
        <v>182</v>
      </c>
      <c r="BF72" t="s">
        <v>3015</v>
      </c>
    </row>
    <row r="73" spans="1:58" x14ac:dyDescent="0.35">
      <c r="A73" t="s">
        <v>3022</v>
      </c>
      <c r="B73">
        <v>10000</v>
      </c>
      <c r="C73">
        <v>20000</v>
      </c>
      <c r="D73" s="2">
        <v>45730</v>
      </c>
      <c r="E73" t="s">
        <v>61</v>
      </c>
      <c r="F73" t="s">
        <v>3023</v>
      </c>
      <c r="G73" t="s">
        <v>3024</v>
      </c>
      <c r="I73">
        <v>2</v>
      </c>
      <c r="J73" t="s">
        <v>63</v>
      </c>
      <c r="K73">
        <v>100</v>
      </c>
      <c r="L73" t="s">
        <v>424</v>
      </c>
      <c r="M73">
        <v>800</v>
      </c>
      <c r="P73" s="2">
        <v>45729</v>
      </c>
      <c r="R73">
        <v>2</v>
      </c>
      <c r="S73" s="4">
        <v>1600</v>
      </c>
      <c r="T73" t="s">
        <v>65</v>
      </c>
      <c r="U73">
        <v>107343410001</v>
      </c>
      <c r="V73">
        <v>0</v>
      </c>
      <c r="W73">
        <v>700</v>
      </c>
      <c r="X73">
        <v>900</v>
      </c>
      <c r="Y73">
        <v>0</v>
      </c>
      <c r="Z73">
        <v>0</v>
      </c>
      <c r="AA73">
        <v>0</v>
      </c>
      <c r="AD73">
        <v>0</v>
      </c>
      <c r="AM73">
        <v>10734341</v>
      </c>
      <c r="AN73" t="s">
        <v>487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3025</v>
      </c>
      <c r="BA73">
        <v>0</v>
      </c>
      <c r="BC73" t="s">
        <v>487</v>
      </c>
      <c r="BF73" t="s">
        <v>3026</v>
      </c>
    </row>
    <row r="74" spans="1:58" x14ac:dyDescent="0.35">
      <c r="A74" t="s">
        <v>3282</v>
      </c>
      <c r="B74">
        <v>10000</v>
      </c>
      <c r="C74">
        <v>10000</v>
      </c>
      <c r="D74" s="2">
        <v>45730</v>
      </c>
      <c r="E74" t="s">
        <v>61</v>
      </c>
      <c r="F74" t="s">
        <v>3283</v>
      </c>
      <c r="G74" t="s">
        <v>3284</v>
      </c>
      <c r="I74">
        <v>1</v>
      </c>
      <c r="J74" t="s">
        <v>63</v>
      </c>
      <c r="K74">
        <v>88</v>
      </c>
      <c r="L74" t="s">
        <v>630</v>
      </c>
      <c r="M74">
        <v>800</v>
      </c>
      <c r="P74" s="2">
        <v>45729</v>
      </c>
      <c r="R74">
        <v>1</v>
      </c>
      <c r="S74">
        <v>800</v>
      </c>
      <c r="T74" t="s">
        <v>65</v>
      </c>
      <c r="U74" t="s">
        <v>3285</v>
      </c>
      <c r="V74">
        <v>0</v>
      </c>
      <c r="W74">
        <v>500</v>
      </c>
      <c r="X74">
        <v>300</v>
      </c>
      <c r="Y74">
        <v>0</v>
      </c>
      <c r="Z74">
        <v>0</v>
      </c>
      <c r="AA74">
        <v>0</v>
      </c>
      <c r="AD74">
        <v>0</v>
      </c>
      <c r="AM74" t="s">
        <v>3286</v>
      </c>
      <c r="AN74" t="s">
        <v>3287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3288</v>
      </c>
      <c r="BA74">
        <v>0</v>
      </c>
      <c r="BC74" t="s">
        <v>3287</v>
      </c>
      <c r="BF74" t="s">
        <v>3289</v>
      </c>
    </row>
    <row r="75" spans="1:58" x14ac:dyDescent="0.35">
      <c r="A75" t="s">
        <v>3290</v>
      </c>
      <c r="B75">
        <v>10000</v>
      </c>
      <c r="C75">
        <v>10000</v>
      </c>
      <c r="D75" s="2">
        <v>45737</v>
      </c>
      <c r="E75" t="s">
        <v>61</v>
      </c>
      <c r="F75" t="s">
        <v>3291</v>
      </c>
      <c r="G75" t="s">
        <v>3292</v>
      </c>
      <c r="I75">
        <v>1</v>
      </c>
      <c r="J75" t="s">
        <v>63</v>
      </c>
      <c r="K75" t="s">
        <v>1744</v>
      </c>
      <c r="L75" t="s">
        <v>630</v>
      </c>
      <c r="M75" s="4">
        <v>3024</v>
      </c>
      <c r="P75" s="2">
        <v>45729</v>
      </c>
      <c r="R75">
        <v>1</v>
      </c>
      <c r="S75" s="4">
        <v>3024</v>
      </c>
      <c r="T75" t="s">
        <v>65</v>
      </c>
      <c r="U75" t="s">
        <v>3293</v>
      </c>
      <c r="V75">
        <v>0</v>
      </c>
      <c r="W75" s="4">
        <v>3024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3294</v>
      </c>
      <c r="AN75" t="s">
        <v>3295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3296</v>
      </c>
      <c r="BA75">
        <v>0</v>
      </c>
      <c r="BC75" t="s">
        <v>3295</v>
      </c>
      <c r="BF75" t="s">
        <v>3297</v>
      </c>
    </row>
    <row r="76" spans="1:58" x14ac:dyDescent="0.35">
      <c r="A76" t="s">
        <v>3298</v>
      </c>
      <c r="B76">
        <v>10000</v>
      </c>
      <c r="C76">
        <v>10000</v>
      </c>
      <c r="D76" s="2">
        <v>45730</v>
      </c>
      <c r="E76" t="s">
        <v>61</v>
      </c>
      <c r="F76" t="s">
        <v>3172</v>
      </c>
      <c r="G76" t="s">
        <v>3299</v>
      </c>
      <c r="I76">
        <v>1</v>
      </c>
      <c r="J76" t="s">
        <v>63</v>
      </c>
      <c r="K76">
        <v>60</v>
      </c>
      <c r="L76" t="s">
        <v>277</v>
      </c>
      <c r="M76" s="4">
        <v>8334</v>
      </c>
      <c r="P76" s="2">
        <v>45729</v>
      </c>
      <c r="R76">
        <v>6</v>
      </c>
      <c r="S76" s="4">
        <v>50004</v>
      </c>
      <c r="T76" t="s">
        <v>65</v>
      </c>
      <c r="U76" t="s">
        <v>3300</v>
      </c>
      <c r="V76">
        <v>0</v>
      </c>
      <c r="W76" s="4">
        <v>50000</v>
      </c>
      <c r="X76">
        <v>4</v>
      </c>
      <c r="Y76">
        <v>0</v>
      </c>
      <c r="Z76">
        <v>0</v>
      </c>
      <c r="AA76">
        <v>0</v>
      </c>
      <c r="AD76">
        <v>0</v>
      </c>
      <c r="AM76" t="s">
        <v>3301</v>
      </c>
      <c r="AN76" t="s">
        <v>3176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3302</v>
      </c>
      <c r="BA76">
        <v>0</v>
      </c>
      <c r="BC76" t="s">
        <v>3176</v>
      </c>
      <c r="BF76" t="s">
        <v>3303</v>
      </c>
    </row>
    <row r="77" spans="1:58" x14ac:dyDescent="0.35">
      <c r="A77" t="s">
        <v>3304</v>
      </c>
      <c r="B77">
        <v>10000</v>
      </c>
      <c r="C77">
        <v>10000</v>
      </c>
      <c r="D77" s="2">
        <v>45735</v>
      </c>
      <c r="E77" t="s">
        <v>61</v>
      </c>
      <c r="F77" t="s">
        <v>3305</v>
      </c>
      <c r="G77" t="s">
        <v>1480</v>
      </c>
      <c r="I77">
        <v>1</v>
      </c>
      <c r="J77" t="s">
        <v>63</v>
      </c>
      <c r="K77">
        <v>88</v>
      </c>
      <c r="L77" t="s">
        <v>630</v>
      </c>
      <c r="M77" s="4">
        <v>1000</v>
      </c>
      <c r="P77" s="2">
        <v>45729</v>
      </c>
      <c r="R77">
        <v>1</v>
      </c>
      <c r="S77" s="4">
        <v>1000</v>
      </c>
      <c r="T77" t="s">
        <v>65</v>
      </c>
      <c r="U77">
        <v>190031810001</v>
      </c>
      <c r="V77">
        <v>0</v>
      </c>
      <c r="W77" s="4">
        <v>1000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19003181</v>
      </c>
      <c r="AN77" t="s">
        <v>487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3306</v>
      </c>
      <c r="BA77">
        <v>0</v>
      </c>
      <c r="BC77" t="s">
        <v>487</v>
      </c>
      <c r="BF77" t="s">
        <v>3307</v>
      </c>
    </row>
    <row r="78" spans="1:58" x14ac:dyDescent="0.35">
      <c r="A78" t="s">
        <v>3304</v>
      </c>
      <c r="B78">
        <v>10000</v>
      </c>
      <c r="C78">
        <v>20000</v>
      </c>
      <c r="D78" s="2">
        <v>45735</v>
      </c>
      <c r="E78" t="s">
        <v>61</v>
      </c>
      <c r="F78" t="s">
        <v>3305</v>
      </c>
      <c r="G78" t="s">
        <v>1480</v>
      </c>
      <c r="I78">
        <v>2</v>
      </c>
      <c r="J78" t="s">
        <v>63</v>
      </c>
      <c r="K78">
        <v>100</v>
      </c>
      <c r="L78" t="s">
        <v>424</v>
      </c>
      <c r="M78" s="4">
        <v>1000</v>
      </c>
      <c r="P78" s="2">
        <v>45729</v>
      </c>
      <c r="R78">
        <v>1</v>
      </c>
      <c r="S78" s="4">
        <v>1000</v>
      </c>
      <c r="T78" t="s">
        <v>65</v>
      </c>
      <c r="U78">
        <v>190031810001</v>
      </c>
      <c r="V78">
        <v>0</v>
      </c>
      <c r="W78" s="4">
        <v>1000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19003181</v>
      </c>
      <c r="AN78" t="s">
        <v>487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3306</v>
      </c>
      <c r="BA78">
        <v>0</v>
      </c>
      <c r="BC78" t="s">
        <v>487</v>
      </c>
      <c r="BF78" t="s">
        <v>3307</v>
      </c>
    </row>
    <row r="79" spans="1:58" x14ac:dyDescent="0.35">
      <c r="A79" t="s">
        <v>3050</v>
      </c>
      <c r="B79">
        <v>10000</v>
      </c>
      <c r="C79">
        <v>20000</v>
      </c>
      <c r="D79" s="2">
        <v>45730</v>
      </c>
      <c r="E79" t="s">
        <v>61</v>
      </c>
      <c r="F79" t="s">
        <v>3051</v>
      </c>
      <c r="G79" t="s">
        <v>3052</v>
      </c>
      <c r="I79">
        <v>2</v>
      </c>
      <c r="J79" t="s">
        <v>63</v>
      </c>
      <c r="K79">
        <v>92</v>
      </c>
      <c r="L79" t="s">
        <v>424</v>
      </c>
      <c r="M79" s="4">
        <v>2400</v>
      </c>
      <c r="P79" s="2">
        <v>45729</v>
      </c>
      <c r="R79">
        <v>1</v>
      </c>
      <c r="S79" s="4">
        <v>2400</v>
      </c>
      <c r="T79" t="s">
        <v>65</v>
      </c>
      <c r="U79" t="s">
        <v>3053</v>
      </c>
      <c r="V79">
        <v>0</v>
      </c>
      <c r="W79" s="4">
        <v>2000</v>
      </c>
      <c r="X79">
        <v>400</v>
      </c>
      <c r="Y79">
        <v>0</v>
      </c>
      <c r="Z79">
        <v>0</v>
      </c>
      <c r="AA79">
        <v>0</v>
      </c>
      <c r="AD79">
        <v>0</v>
      </c>
      <c r="AM79" t="s">
        <v>3054</v>
      </c>
      <c r="AN79" t="s">
        <v>3055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3056</v>
      </c>
      <c r="BA79">
        <v>0</v>
      </c>
      <c r="BC79" t="s">
        <v>3055</v>
      </c>
      <c r="BF79" t="s">
        <v>3057</v>
      </c>
    </row>
    <row r="80" spans="1:58" x14ac:dyDescent="0.35">
      <c r="A80" t="s">
        <v>3308</v>
      </c>
      <c r="B80">
        <v>10000</v>
      </c>
      <c r="C80">
        <v>10000</v>
      </c>
      <c r="D80" s="2">
        <v>45730</v>
      </c>
      <c r="E80" t="s">
        <v>61</v>
      </c>
      <c r="F80" t="s">
        <v>3134</v>
      </c>
      <c r="G80" t="s">
        <v>3309</v>
      </c>
      <c r="I80">
        <v>1</v>
      </c>
      <c r="J80" t="s">
        <v>63</v>
      </c>
      <c r="K80">
        <v>12</v>
      </c>
      <c r="L80" t="s">
        <v>478</v>
      </c>
      <c r="M80" s="4">
        <v>7000</v>
      </c>
      <c r="P80" s="2">
        <v>45729</v>
      </c>
      <c r="R80">
        <v>1</v>
      </c>
      <c r="S80" s="4">
        <v>7000</v>
      </c>
      <c r="T80" t="s">
        <v>65</v>
      </c>
      <c r="U80" t="s">
        <v>3310</v>
      </c>
      <c r="V80">
        <v>0</v>
      </c>
      <c r="W80" s="4">
        <v>7000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3311</v>
      </c>
      <c r="AN80" t="s">
        <v>116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3312</v>
      </c>
      <c r="BA80">
        <v>0</v>
      </c>
      <c r="BC80" t="s">
        <v>116</v>
      </c>
      <c r="BF80" t="s">
        <v>3313</v>
      </c>
    </row>
    <row r="81" spans="1:58" x14ac:dyDescent="0.35">
      <c r="A81" t="s">
        <v>3314</v>
      </c>
      <c r="B81">
        <v>10000</v>
      </c>
      <c r="C81">
        <v>10000</v>
      </c>
      <c r="D81" s="2">
        <v>45733</v>
      </c>
      <c r="E81" t="s">
        <v>61</v>
      </c>
      <c r="F81" t="s">
        <v>3315</v>
      </c>
      <c r="G81" t="s">
        <v>3316</v>
      </c>
      <c r="I81">
        <v>1</v>
      </c>
      <c r="J81" t="s">
        <v>63</v>
      </c>
      <c r="K81">
        <v>22</v>
      </c>
      <c r="L81" t="s">
        <v>466</v>
      </c>
      <c r="M81" s="4">
        <v>20000</v>
      </c>
      <c r="P81" s="2">
        <v>45729</v>
      </c>
      <c r="R81">
        <v>2</v>
      </c>
      <c r="S81" s="4">
        <v>40000</v>
      </c>
      <c r="T81" t="s">
        <v>65</v>
      </c>
      <c r="U81" t="s">
        <v>2902</v>
      </c>
      <c r="V81">
        <v>0</v>
      </c>
      <c r="W81" s="4">
        <v>40000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2903</v>
      </c>
      <c r="AN81" t="s">
        <v>116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3317</v>
      </c>
      <c r="BA81">
        <v>0</v>
      </c>
      <c r="BC81" t="s">
        <v>116</v>
      </c>
      <c r="BF81" t="s">
        <v>3073</v>
      </c>
    </row>
    <row r="82" spans="1:58" x14ac:dyDescent="0.35">
      <c r="A82" t="s">
        <v>3318</v>
      </c>
      <c r="B82">
        <v>10000</v>
      </c>
      <c r="C82">
        <v>10000</v>
      </c>
      <c r="D82" s="2">
        <v>45729</v>
      </c>
      <c r="E82" t="s">
        <v>61</v>
      </c>
      <c r="F82" t="s">
        <v>3159</v>
      </c>
      <c r="G82" t="s">
        <v>2123</v>
      </c>
      <c r="I82">
        <v>1</v>
      </c>
      <c r="J82" t="s">
        <v>63</v>
      </c>
      <c r="K82">
        <v>61</v>
      </c>
      <c r="L82" t="s">
        <v>197</v>
      </c>
      <c r="M82" s="4">
        <v>6667</v>
      </c>
      <c r="P82" s="2">
        <v>45729</v>
      </c>
      <c r="R82">
        <v>6</v>
      </c>
      <c r="S82" s="4">
        <v>40002</v>
      </c>
      <c r="T82" t="s">
        <v>65</v>
      </c>
      <c r="U82" t="s">
        <v>198</v>
      </c>
      <c r="V82">
        <v>0</v>
      </c>
      <c r="W82" s="4">
        <v>40000</v>
      </c>
      <c r="X82">
        <v>2</v>
      </c>
      <c r="Y82">
        <v>0</v>
      </c>
      <c r="Z82">
        <v>0</v>
      </c>
      <c r="AA82">
        <v>0</v>
      </c>
      <c r="AD82">
        <v>0</v>
      </c>
      <c r="AM82" t="s">
        <v>199</v>
      </c>
      <c r="AN82" t="s">
        <v>116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3319</v>
      </c>
      <c r="BA82">
        <v>0</v>
      </c>
      <c r="BC82" t="s">
        <v>116</v>
      </c>
      <c r="BF82" t="s">
        <v>3320</v>
      </c>
    </row>
    <row r="83" spans="1:58" x14ac:dyDescent="0.35">
      <c r="A83" t="s">
        <v>3321</v>
      </c>
      <c r="B83">
        <v>10000</v>
      </c>
      <c r="C83">
        <v>10000</v>
      </c>
      <c r="D83" s="2">
        <v>45730</v>
      </c>
      <c r="E83" t="s">
        <v>61</v>
      </c>
      <c r="F83" t="s">
        <v>3134</v>
      </c>
      <c r="G83" t="s">
        <v>3316</v>
      </c>
      <c r="I83">
        <v>1</v>
      </c>
      <c r="J83" t="s">
        <v>63</v>
      </c>
      <c r="K83">
        <v>61</v>
      </c>
      <c r="L83" t="s">
        <v>197</v>
      </c>
      <c r="M83" s="4">
        <v>6667</v>
      </c>
      <c r="P83" s="2">
        <v>45729</v>
      </c>
      <c r="R83">
        <v>6</v>
      </c>
      <c r="S83" s="4">
        <v>40002</v>
      </c>
      <c r="T83" t="s">
        <v>65</v>
      </c>
      <c r="U83" t="s">
        <v>198</v>
      </c>
      <c r="V83">
        <v>0</v>
      </c>
      <c r="W83" s="4">
        <v>40000</v>
      </c>
      <c r="X83">
        <v>2</v>
      </c>
      <c r="Y83">
        <v>0</v>
      </c>
      <c r="Z83">
        <v>0</v>
      </c>
      <c r="AA83">
        <v>0</v>
      </c>
      <c r="AD83">
        <v>0</v>
      </c>
      <c r="AM83" t="s">
        <v>199</v>
      </c>
      <c r="AN83" t="s">
        <v>116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3322</v>
      </c>
      <c r="BA83">
        <v>0</v>
      </c>
      <c r="BC83" t="s">
        <v>116</v>
      </c>
      <c r="BF83" t="s">
        <v>3323</v>
      </c>
    </row>
    <row r="84" spans="1:58" x14ac:dyDescent="0.35">
      <c r="A84" t="s">
        <v>3324</v>
      </c>
      <c r="B84">
        <v>10000</v>
      </c>
      <c r="C84">
        <v>10000</v>
      </c>
      <c r="D84" s="2">
        <v>45730</v>
      </c>
      <c r="E84" t="s">
        <v>61</v>
      </c>
      <c r="F84" t="s">
        <v>3325</v>
      </c>
      <c r="G84" t="s">
        <v>3316</v>
      </c>
      <c r="I84">
        <v>1</v>
      </c>
      <c r="J84" t="s">
        <v>63</v>
      </c>
      <c r="K84">
        <v>61</v>
      </c>
      <c r="L84" t="s">
        <v>197</v>
      </c>
      <c r="M84" s="4">
        <v>6667</v>
      </c>
      <c r="P84" s="2">
        <v>45729</v>
      </c>
      <c r="R84">
        <v>6</v>
      </c>
      <c r="S84" s="4">
        <v>40002</v>
      </c>
      <c r="T84" t="s">
        <v>65</v>
      </c>
      <c r="U84" t="s">
        <v>198</v>
      </c>
      <c r="V84">
        <v>0</v>
      </c>
      <c r="W84" s="4">
        <v>40000</v>
      </c>
      <c r="X84">
        <v>2</v>
      </c>
      <c r="Y84">
        <v>0</v>
      </c>
      <c r="Z84">
        <v>0</v>
      </c>
      <c r="AA84">
        <v>0</v>
      </c>
      <c r="AD84">
        <v>0</v>
      </c>
      <c r="AM84" t="s">
        <v>199</v>
      </c>
      <c r="AN84" t="s">
        <v>116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3326</v>
      </c>
      <c r="BA84">
        <v>0</v>
      </c>
      <c r="BC84" t="s">
        <v>116</v>
      </c>
      <c r="BF84" t="s">
        <v>3327</v>
      </c>
    </row>
    <row r="85" spans="1:58" x14ac:dyDescent="0.35">
      <c r="A85" t="s">
        <v>3328</v>
      </c>
      <c r="B85">
        <v>10000</v>
      </c>
      <c r="C85">
        <v>10000</v>
      </c>
      <c r="D85" s="2">
        <v>45734</v>
      </c>
      <c r="E85" t="s">
        <v>61</v>
      </c>
      <c r="F85" t="s">
        <v>3329</v>
      </c>
      <c r="G85" t="s">
        <v>3330</v>
      </c>
      <c r="I85">
        <v>1</v>
      </c>
      <c r="J85" t="s">
        <v>63</v>
      </c>
      <c r="K85">
        <v>79</v>
      </c>
      <c r="L85" t="s">
        <v>573</v>
      </c>
      <c r="M85">
        <v>50</v>
      </c>
      <c r="P85" s="2">
        <v>45729</v>
      </c>
      <c r="R85">
        <v>6</v>
      </c>
      <c r="S85">
        <v>300</v>
      </c>
      <c r="T85" t="s">
        <v>65</v>
      </c>
      <c r="U85" t="s">
        <v>3331</v>
      </c>
      <c r="V85">
        <v>0</v>
      </c>
      <c r="W85">
        <v>100</v>
      </c>
      <c r="X85">
        <v>200</v>
      </c>
      <c r="Y85">
        <v>0</v>
      </c>
      <c r="Z85">
        <v>0</v>
      </c>
      <c r="AA85">
        <v>0</v>
      </c>
      <c r="AD85">
        <v>0</v>
      </c>
      <c r="AM85" t="s">
        <v>3332</v>
      </c>
      <c r="AN85" t="s">
        <v>206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3333</v>
      </c>
      <c r="BA85">
        <v>0</v>
      </c>
      <c r="BC85" t="s">
        <v>206</v>
      </c>
      <c r="BF85" t="s">
        <v>3334</v>
      </c>
    </row>
    <row r="86" spans="1:58" x14ac:dyDescent="0.35">
      <c r="A86" t="s">
        <v>3335</v>
      </c>
      <c r="B86">
        <v>10000</v>
      </c>
      <c r="C86">
        <v>10000</v>
      </c>
      <c r="D86" s="2">
        <v>45733</v>
      </c>
      <c r="E86" t="s">
        <v>61</v>
      </c>
      <c r="F86" s="3">
        <v>0.54084490740740743</v>
      </c>
      <c r="G86" t="s">
        <v>3336</v>
      </c>
      <c r="I86">
        <v>1</v>
      </c>
      <c r="J86" t="s">
        <v>63</v>
      </c>
      <c r="K86">
        <v>82</v>
      </c>
      <c r="L86" t="s">
        <v>341</v>
      </c>
      <c r="M86" s="4">
        <v>1667</v>
      </c>
      <c r="P86" s="2">
        <v>45729</v>
      </c>
      <c r="R86">
        <v>60</v>
      </c>
      <c r="S86" s="4">
        <v>100020</v>
      </c>
      <c r="T86" t="s">
        <v>65</v>
      </c>
      <c r="U86" t="s">
        <v>3337</v>
      </c>
      <c r="V86">
        <v>0</v>
      </c>
      <c r="W86" s="4">
        <v>100000</v>
      </c>
      <c r="X86">
        <v>20</v>
      </c>
      <c r="Y86">
        <v>0</v>
      </c>
      <c r="Z86">
        <v>0</v>
      </c>
      <c r="AA86">
        <v>0</v>
      </c>
      <c r="AD86">
        <v>0</v>
      </c>
      <c r="AM86" t="s">
        <v>3338</v>
      </c>
      <c r="AN86" t="s">
        <v>107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3339</v>
      </c>
      <c r="BA86">
        <v>0</v>
      </c>
      <c r="BC86" t="s">
        <v>107</v>
      </c>
      <c r="BF86" t="s">
        <v>3340</v>
      </c>
    </row>
    <row r="87" spans="1:58" x14ac:dyDescent="0.35">
      <c r="A87" t="s">
        <v>3341</v>
      </c>
      <c r="B87">
        <v>10000</v>
      </c>
      <c r="C87">
        <v>10000</v>
      </c>
      <c r="D87" s="2">
        <v>45735</v>
      </c>
      <c r="E87" t="s">
        <v>61</v>
      </c>
      <c r="F87" t="s">
        <v>3342</v>
      </c>
      <c r="G87" t="s">
        <v>1725</v>
      </c>
      <c r="I87">
        <v>1</v>
      </c>
      <c r="J87" t="s">
        <v>63</v>
      </c>
      <c r="K87">
        <v>72</v>
      </c>
      <c r="L87" t="s">
        <v>163</v>
      </c>
      <c r="M87" s="4">
        <v>2000</v>
      </c>
      <c r="P87" s="2">
        <v>45729</v>
      </c>
      <c r="R87">
        <v>3</v>
      </c>
      <c r="S87" s="4">
        <v>6001</v>
      </c>
      <c r="T87" t="s">
        <v>65</v>
      </c>
      <c r="U87" t="s">
        <v>1726</v>
      </c>
      <c r="V87">
        <v>0</v>
      </c>
      <c r="W87" s="4">
        <v>3000</v>
      </c>
      <c r="X87" s="4">
        <v>3001</v>
      </c>
      <c r="Y87">
        <v>0</v>
      </c>
      <c r="Z87">
        <v>0</v>
      </c>
      <c r="AA87">
        <v>0</v>
      </c>
      <c r="AD87">
        <v>0</v>
      </c>
      <c r="AM87" t="s">
        <v>1727</v>
      </c>
      <c r="AN87" t="s">
        <v>1728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3343</v>
      </c>
      <c r="BA87">
        <v>0</v>
      </c>
      <c r="BC87" t="s">
        <v>1728</v>
      </c>
      <c r="BF87" t="s">
        <v>3344</v>
      </c>
    </row>
    <row r="88" spans="1:58" x14ac:dyDescent="0.35">
      <c r="A88" t="s">
        <v>3341</v>
      </c>
      <c r="B88">
        <v>20000</v>
      </c>
      <c r="C88">
        <v>10000</v>
      </c>
      <c r="D88" s="2">
        <v>45735</v>
      </c>
      <c r="E88" t="s">
        <v>61</v>
      </c>
      <c r="F88" t="s">
        <v>3342</v>
      </c>
      <c r="G88" t="s">
        <v>1725</v>
      </c>
      <c r="I88">
        <v>1</v>
      </c>
      <c r="J88" t="s">
        <v>63</v>
      </c>
      <c r="K88">
        <v>72</v>
      </c>
      <c r="L88" t="s">
        <v>163</v>
      </c>
      <c r="M88">
        <v>867</v>
      </c>
      <c r="P88" s="2">
        <v>45729</v>
      </c>
      <c r="R88">
        <v>3</v>
      </c>
      <c r="S88" s="4">
        <v>2600</v>
      </c>
      <c r="T88" t="s">
        <v>65</v>
      </c>
      <c r="U88" t="s">
        <v>1726</v>
      </c>
      <c r="V88">
        <v>0</v>
      </c>
      <c r="W88" s="4">
        <v>2600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1727</v>
      </c>
      <c r="AN88" t="s">
        <v>1728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3343</v>
      </c>
      <c r="BA88">
        <v>0</v>
      </c>
      <c r="BC88" t="s">
        <v>1728</v>
      </c>
      <c r="BF88" t="s">
        <v>3344</v>
      </c>
    </row>
    <row r="89" spans="1:58" x14ac:dyDescent="0.35">
      <c r="A89" t="s">
        <v>3345</v>
      </c>
      <c r="B89">
        <v>10000</v>
      </c>
      <c r="C89">
        <v>10000</v>
      </c>
      <c r="D89" s="2">
        <v>45730</v>
      </c>
      <c r="E89" t="s">
        <v>61</v>
      </c>
      <c r="F89" t="s">
        <v>3346</v>
      </c>
      <c r="G89" t="s">
        <v>559</v>
      </c>
      <c r="I89">
        <v>1</v>
      </c>
      <c r="J89" t="s">
        <v>63</v>
      </c>
      <c r="K89">
        <v>79</v>
      </c>
      <c r="L89" t="s">
        <v>573</v>
      </c>
      <c r="M89" s="4">
        <v>2000</v>
      </c>
      <c r="P89" s="2">
        <v>45729</v>
      </c>
      <c r="R89">
        <v>6</v>
      </c>
      <c r="S89" s="4">
        <v>12000</v>
      </c>
      <c r="T89" t="s">
        <v>65</v>
      </c>
      <c r="U89" t="s">
        <v>3347</v>
      </c>
      <c r="V89">
        <v>0</v>
      </c>
      <c r="W89" s="4">
        <v>10000</v>
      </c>
      <c r="X89" s="4">
        <v>2000</v>
      </c>
      <c r="Y89">
        <v>0</v>
      </c>
      <c r="Z89">
        <v>0</v>
      </c>
      <c r="AA89">
        <v>0</v>
      </c>
      <c r="AD89">
        <v>0</v>
      </c>
      <c r="AM89" t="s">
        <v>3348</v>
      </c>
      <c r="AN89" t="s">
        <v>562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3349</v>
      </c>
      <c r="BA89">
        <v>0</v>
      </c>
      <c r="BC89" t="s">
        <v>562</v>
      </c>
      <c r="BF89" t="s">
        <v>3350</v>
      </c>
    </row>
    <row r="90" spans="1:58" x14ac:dyDescent="0.35">
      <c r="A90" t="s">
        <v>3351</v>
      </c>
      <c r="B90">
        <v>10000</v>
      </c>
      <c r="C90">
        <v>10000</v>
      </c>
      <c r="D90" s="2">
        <v>45729</v>
      </c>
      <c r="E90" t="s">
        <v>61</v>
      </c>
      <c r="F90" t="s">
        <v>3352</v>
      </c>
      <c r="G90" t="s">
        <v>3353</v>
      </c>
      <c r="I90">
        <v>1</v>
      </c>
      <c r="J90" t="s">
        <v>63</v>
      </c>
      <c r="K90">
        <v>82</v>
      </c>
      <c r="L90" t="s">
        <v>341</v>
      </c>
      <c r="M90">
        <v>334</v>
      </c>
      <c r="P90" s="2">
        <v>45729</v>
      </c>
      <c r="R90">
        <v>6</v>
      </c>
      <c r="S90" s="4">
        <v>2004</v>
      </c>
      <c r="T90" t="s">
        <v>65</v>
      </c>
      <c r="U90">
        <v>200467500001</v>
      </c>
      <c r="V90">
        <v>0</v>
      </c>
      <c r="W90" s="4">
        <v>2000</v>
      </c>
      <c r="X90">
        <v>4</v>
      </c>
      <c r="Y90">
        <v>0</v>
      </c>
      <c r="Z90">
        <v>0</v>
      </c>
      <c r="AA90">
        <v>0</v>
      </c>
      <c r="AD90">
        <v>0</v>
      </c>
      <c r="AM90">
        <v>20046750</v>
      </c>
      <c r="AN90" t="s">
        <v>182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3354</v>
      </c>
      <c r="BA90">
        <v>0</v>
      </c>
      <c r="BC90" t="s">
        <v>182</v>
      </c>
      <c r="BF90" t="s">
        <v>3355</v>
      </c>
    </row>
    <row r="91" spans="1:58" x14ac:dyDescent="0.35">
      <c r="A91" t="s">
        <v>3356</v>
      </c>
      <c r="B91">
        <v>10000</v>
      </c>
      <c r="C91">
        <v>10000</v>
      </c>
      <c r="D91" s="2">
        <v>45729</v>
      </c>
      <c r="E91" t="s">
        <v>61</v>
      </c>
      <c r="F91" t="s">
        <v>3352</v>
      </c>
      <c r="G91" t="s">
        <v>3353</v>
      </c>
      <c r="I91">
        <v>1</v>
      </c>
      <c r="J91" t="s">
        <v>63</v>
      </c>
      <c r="K91">
        <v>82</v>
      </c>
      <c r="L91" t="s">
        <v>341</v>
      </c>
      <c r="M91">
        <v>334</v>
      </c>
      <c r="P91" s="2">
        <v>45729</v>
      </c>
      <c r="R91">
        <v>6</v>
      </c>
      <c r="S91" s="4">
        <v>2002</v>
      </c>
      <c r="T91" t="s">
        <v>65</v>
      </c>
      <c r="U91">
        <v>200467500001</v>
      </c>
      <c r="V91">
        <v>0</v>
      </c>
      <c r="W91" s="4">
        <v>2000</v>
      </c>
      <c r="X91">
        <v>2</v>
      </c>
      <c r="Y91">
        <v>0</v>
      </c>
      <c r="Z91">
        <v>0</v>
      </c>
      <c r="AA91">
        <v>0</v>
      </c>
      <c r="AD91">
        <v>0</v>
      </c>
      <c r="AM91">
        <v>20046750</v>
      </c>
      <c r="AN91" t="s">
        <v>182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3357</v>
      </c>
      <c r="BA91">
        <v>0</v>
      </c>
      <c r="BC91" t="s">
        <v>182</v>
      </c>
      <c r="BF91" t="s">
        <v>3358</v>
      </c>
    </row>
    <row r="92" spans="1:58" x14ac:dyDescent="0.35">
      <c r="A92" t="s">
        <v>3356</v>
      </c>
      <c r="B92">
        <v>20000</v>
      </c>
      <c r="C92">
        <v>10000</v>
      </c>
      <c r="D92" s="2">
        <v>45729</v>
      </c>
      <c r="E92" t="s">
        <v>61</v>
      </c>
      <c r="F92" t="s">
        <v>3352</v>
      </c>
      <c r="G92" t="s">
        <v>3353</v>
      </c>
      <c r="I92">
        <v>1</v>
      </c>
      <c r="J92" t="s">
        <v>63</v>
      </c>
      <c r="K92">
        <v>82</v>
      </c>
      <c r="L92" t="s">
        <v>341</v>
      </c>
      <c r="M92">
        <v>333</v>
      </c>
      <c r="P92" s="2">
        <v>45729</v>
      </c>
      <c r="R92">
        <v>6</v>
      </c>
      <c r="S92" s="4">
        <v>2000</v>
      </c>
      <c r="T92" t="s">
        <v>65</v>
      </c>
      <c r="U92">
        <v>200467500001</v>
      </c>
      <c r="V92">
        <v>0</v>
      </c>
      <c r="W92" s="4">
        <v>2000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20046750</v>
      </c>
      <c r="AN92" t="s">
        <v>182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3357</v>
      </c>
      <c r="BA92">
        <v>0</v>
      </c>
      <c r="BC92" t="s">
        <v>182</v>
      </c>
      <c r="BF92" t="s">
        <v>3358</v>
      </c>
    </row>
    <row r="93" spans="1:58" x14ac:dyDescent="0.35">
      <c r="A93" t="s">
        <v>3359</v>
      </c>
      <c r="B93">
        <v>10000</v>
      </c>
      <c r="C93">
        <v>10000</v>
      </c>
      <c r="D93" s="2">
        <v>45730</v>
      </c>
      <c r="E93" t="s">
        <v>61</v>
      </c>
      <c r="F93" t="s">
        <v>782</v>
      </c>
      <c r="G93" t="s">
        <v>699</v>
      </c>
      <c r="I93">
        <v>1</v>
      </c>
      <c r="J93" t="s">
        <v>63</v>
      </c>
      <c r="K93">
        <v>82</v>
      </c>
      <c r="L93" t="s">
        <v>341</v>
      </c>
      <c r="M93">
        <v>703</v>
      </c>
      <c r="P93" s="2">
        <v>45729</v>
      </c>
      <c r="R93">
        <v>75</v>
      </c>
      <c r="S93" s="4">
        <v>52725</v>
      </c>
      <c r="T93" t="s">
        <v>65</v>
      </c>
      <c r="U93">
        <v>200302690001</v>
      </c>
      <c r="V93">
        <v>0</v>
      </c>
      <c r="W93" s="4">
        <v>52700</v>
      </c>
      <c r="X93">
        <v>25</v>
      </c>
      <c r="Y93">
        <v>0</v>
      </c>
      <c r="Z93">
        <v>0</v>
      </c>
      <c r="AA93">
        <v>0</v>
      </c>
      <c r="AD93">
        <v>0</v>
      </c>
      <c r="AM93">
        <v>20030269</v>
      </c>
      <c r="AN93" t="s">
        <v>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3360</v>
      </c>
      <c r="BA93">
        <v>0</v>
      </c>
      <c r="BC93" t="s">
        <v>182</v>
      </c>
      <c r="BF93" t="s">
        <v>3361</v>
      </c>
    </row>
    <row r="100" spans="1:2" x14ac:dyDescent="0.35">
      <c r="A100">
        <f>COUNTA(A5:A99)</f>
        <v>89</v>
      </c>
      <c r="B100">
        <f>'12-Mar'!B110+'13-Mar'!A100</f>
        <v>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EFA9-0503-4849-B5B5-33BA4A771A99}">
  <dimension ref="A1:BF100"/>
  <sheetViews>
    <sheetView topLeftCell="A86" workbookViewId="0">
      <selection activeCell="A4" sqref="A4:XFD8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3362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3363</v>
      </c>
      <c r="B5">
        <v>10000</v>
      </c>
      <c r="C5">
        <v>10000</v>
      </c>
      <c r="D5" s="2">
        <v>45733</v>
      </c>
      <c r="E5" t="s">
        <v>61</v>
      </c>
      <c r="F5" t="s">
        <v>3364</v>
      </c>
      <c r="G5" t="s">
        <v>2271</v>
      </c>
      <c r="H5" t="s">
        <v>3365</v>
      </c>
      <c r="I5">
        <v>1</v>
      </c>
      <c r="J5" t="s">
        <v>69</v>
      </c>
      <c r="K5">
        <v>94</v>
      </c>
      <c r="L5" t="s">
        <v>181</v>
      </c>
      <c r="M5" s="4">
        <v>9000</v>
      </c>
      <c r="P5" s="2">
        <v>45730</v>
      </c>
      <c r="R5">
        <v>4</v>
      </c>
      <c r="S5" s="4">
        <v>36000</v>
      </c>
      <c r="T5" t="s">
        <v>65</v>
      </c>
      <c r="U5" t="s">
        <v>3135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3136</v>
      </c>
      <c r="AN5" t="s">
        <v>364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364</v>
      </c>
      <c r="BF5" t="s">
        <v>3366</v>
      </c>
    </row>
    <row r="6" spans="1:58" x14ac:dyDescent="0.35">
      <c r="A6" t="s">
        <v>2517</v>
      </c>
      <c r="B6">
        <v>10000</v>
      </c>
      <c r="C6">
        <v>30000</v>
      </c>
      <c r="D6" s="2">
        <v>45756</v>
      </c>
      <c r="E6" t="s">
        <v>61</v>
      </c>
      <c r="F6" t="s">
        <v>2518</v>
      </c>
      <c r="G6">
        <v>860909190840</v>
      </c>
      <c r="H6" t="s">
        <v>2519</v>
      </c>
      <c r="I6">
        <v>3</v>
      </c>
      <c r="J6" t="s">
        <v>69</v>
      </c>
      <c r="K6">
        <v>73</v>
      </c>
      <c r="L6" t="s">
        <v>90</v>
      </c>
      <c r="M6" s="4">
        <v>6000</v>
      </c>
      <c r="P6" s="2">
        <v>45730</v>
      </c>
      <c r="R6">
        <v>1</v>
      </c>
      <c r="S6" s="4">
        <v>6000</v>
      </c>
      <c r="T6" t="s">
        <v>65</v>
      </c>
      <c r="U6">
        <v>200699050001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>
        <v>20069905</v>
      </c>
      <c r="AN6" t="s">
        <v>182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182</v>
      </c>
      <c r="BF6" t="s">
        <v>2520</v>
      </c>
    </row>
    <row r="7" spans="1:58" x14ac:dyDescent="0.35">
      <c r="A7" t="s">
        <v>2521</v>
      </c>
      <c r="B7">
        <v>10000</v>
      </c>
      <c r="C7">
        <v>30000</v>
      </c>
      <c r="D7" s="2">
        <v>45742</v>
      </c>
      <c r="E7" t="s">
        <v>61</v>
      </c>
      <c r="F7" t="s">
        <v>2522</v>
      </c>
      <c r="G7">
        <v>860909190840</v>
      </c>
      <c r="H7" t="s">
        <v>2519</v>
      </c>
      <c r="I7">
        <v>3</v>
      </c>
      <c r="J7" t="s">
        <v>69</v>
      </c>
      <c r="K7">
        <v>73</v>
      </c>
      <c r="L7" t="s">
        <v>90</v>
      </c>
      <c r="M7" s="4">
        <v>18000</v>
      </c>
      <c r="P7" s="2">
        <v>45730</v>
      </c>
      <c r="R7">
        <v>1</v>
      </c>
      <c r="S7" s="4">
        <v>18000</v>
      </c>
      <c r="T7" t="s">
        <v>65</v>
      </c>
      <c r="U7">
        <v>200717160001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>
        <v>20071716</v>
      </c>
      <c r="AN7" t="s">
        <v>182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182</v>
      </c>
      <c r="BF7" t="s">
        <v>2523</v>
      </c>
    </row>
    <row r="8" spans="1:58" x14ac:dyDescent="0.35">
      <c r="A8" t="s">
        <v>2788</v>
      </c>
      <c r="B8">
        <v>10000</v>
      </c>
      <c r="C8">
        <v>20000</v>
      </c>
      <c r="D8" s="2">
        <v>45748</v>
      </c>
      <c r="E8" t="s">
        <v>61</v>
      </c>
      <c r="F8" t="s">
        <v>2789</v>
      </c>
      <c r="G8" t="s">
        <v>2790</v>
      </c>
      <c r="H8" t="s">
        <v>2791</v>
      </c>
      <c r="I8">
        <v>2</v>
      </c>
      <c r="J8" t="s">
        <v>69</v>
      </c>
      <c r="K8">
        <v>77</v>
      </c>
      <c r="L8" t="s">
        <v>127</v>
      </c>
      <c r="M8" s="4">
        <v>3705</v>
      </c>
      <c r="P8" s="2">
        <v>45730</v>
      </c>
      <c r="R8">
        <v>88</v>
      </c>
      <c r="S8" s="4">
        <v>326040</v>
      </c>
      <c r="T8" t="s">
        <v>65</v>
      </c>
      <c r="U8" t="s">
        <v>328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329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107</v>
      </c>
      <c r="BF8" t="s">
        <v>2792</v>
      </c>
    </row>
    <row r="9" spans="1:58" x14ac:dyDescent="0.35">
      <c r="A9" t="s">
        <v>3367</v>
      </c>
      <c r="B9">
        <v>10000</v>
      </c>
      <c r="C9">
        <v>10000</v>
      </c>
      <c r="D9" s="2">
        <v>45735</v>
      </c>
      <c r="E9" t="s">
        <v>61</v>
      </c>
      <c r="F9" t="s">
        <v>3368</v>
      </c>
      <c r="G9">
        <v>10639931025</v>
      </c>
      <c r="H9" t="s">
        <v>3369</v>
      </c>
      <c r="I9">
        <v>1</v>
      </c>
      <c r="J9" t="s">
        <v>69</v>
      </c>
      <c r="K9">
        <v>79</v>
      </c>
      <c r="L9" t="s">
        <v>573</v>
      </c>
      <c r="M9">
        <v>278</v>
      </c>
      <c r="P9" s="2">
        <v>45730</v>
      </c>
      <c r="R9">
        <v>36</v>
      </c>
      <c r="S9" s="4">
        <v>10008</v>
      </c>
      <c r="T9" t="s">
        <v>65</v>
      </c>
      <c r="U9" t="s">
        <v>3370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3371</v>
      </c>
      <c r="AN9" t="s">
        <v>68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68</v>
      </c>
      <c r="BF9" t="s">
        <v>3372</v>
      </c>
    </row>
    <row r="10" spans="1:58" x14ac:dyDescent="0.35">
      <c r="A10" t="s">
        <v>3373</v>
      </c>
      <c r="B10">
        <v>10000</v>
      </c>
      <c r="C10">
        <v>40000</v>
      </c>
      <c r="D10" s="2">
        <v>45733</v>
      </c>
      <c r="E10" t="s">
        <v>61</v>
      </c>
      <c r="F10" t="s">
        <v>3374</v>
      </c>
      <c r="G10">
        <v>10639931088</v>
      </c>
      <c r="I10">
        <v>2</v>
      </c>
      <c r="J10" t="s">
        <v>63</v>
      </c>
      <c r="K10">
        <v>77</v>
      </c>
      <c r="L10" t="s">
        <v>127</v>
      </c>
      <c r="M10" s="4">
        <v>14862</v>
      </c>
      <c r="P10" s="2">
        <v>45730</v>
      </c>
      <c r="R10">
        <v>36</v>
      </c>
      <c r="S10" s="4">
        <v>535032</v>
      </c>
      <c r="T10" t="s">
        <v>65</v>
      </c>
      <c r="U10" t="s">
        <v>66</v>
      </c>
      <c r="V10">
        <v>0</v>
      </c>
      <c r="W10" s="4">
        <v>500000</v>
      </c>
      <c r="X10" s="4">
        <v>35032</v>
      </c>
      <c r="Y10">
        <v>0</v>
      </c>
      <c r="Z10">
        <v>0</v>
      </c>
      <c r="AA10">
        <v>0</v>
      </c>
      <c r="AD10">
        <v>0</v>
      </c>
      <c r="AM10" t="s">
        <v>67</v>
      </c>
      <c r="AN10" t="s">
        <v>68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3375</v>
      </c>
      <c r="BA10">
        <v>0</v>
      </c>
      <c r="BC10" t="s">
        <v>68</v>
      </c>
      <c r="BF10" t="s">
        <v>3376</v>
      </c>
    </row>
    <row r="11" spans="1:58" x14ac:dyDescent="0.35">
      <c r="A11" t="s">
        <v>3377</v>
      </c>
      <c r="B11">
        <v>10000</v>
      </c>
      <c r="C11">
        <v>10000</v>
      </c>
      <c r="D11" s="2">
        <v>45734</v>
      </c>
      <c r="E11" t="s">
        <v>61</v>
      </c>
      <c r="F11" t="s">
        <v>3378</v>
      </c>
      <c r="G11" t="s">
        <v>3379</v>
      </c>
      <c r="I11">
        <v>1</v>
      </c>
      <c r="J11" t="s">
        <v>63</v>
      </c>
      <c r="K11">
        <v>111</v>
      </c>
      <c r="L11" t="s">
        <v>286</v>
      </c>
      <c r="M11" s="4">
        <v>60000</v>
      </c>
      <c r="P11" s="2">
        <v>45730</v>
      </c>
      <c r="R11">
        <v>10</v>
      </c>
      <c r="S11" s="4">
        <v>600000</v>
      </c>
      <c r="T11" t="s">
        <v>65</v>
      </c>
      <c r="U11" t="s">
        <v>287</v>
      </c>
      <c r="V11">
        <v>0</v>
      </c>
      <c r="W11" s="4">
        <v>600000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288</v>
      </c>
      <c r="AN11" t="s">
        <v>289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3380</v>
      </c>
      <c r="BA11">
        <v>0</v>
      </c>
      <c r="BC11" t="s">
        <v>289</v>
      </c>
      <c r="BF11" t="s">
        <v>3381</v>
      </c>
    </row>
    <row r="12" spans="1:58" x14ac:dyDescent="0.35">
      <c r="A12" t="s">
        <v>3382</v>
      </c>
      <c r="B12">
        <v>10000</v>
      </c>
      <c r="C12">
        <v>10000</v>
      </c>
      <c r="D12" s="2">
        <v>45733</v>
      </c>
      <c r="E12" t="s">
        <v>61</v>
      </c>
      <c r="F12" t="s">
        <v>3383</v>
      </c>
      <c r="G12" t="s">
        <v>3384</v>
      </c>
      <c r="I12">
        <v>1</v>
      </c>
      <c r="J12" t="s">
        <v>63</v>
      </c>
      <c r="K12">
        <v>60</v>
      </c>
      <c r="L12" t="s">
        <v>277</v>
      </c>
      <c r="M12" s="4">
        <v>3340</v>
      </c>
      <c r="P12" s="2">
        <v>45730</v>
      </c>
      <c r="R12">
        <v>6</v>
      </c>
      <c r="S12" s="4">
        <v>20040</v>
      </c>
      <c r="T12" t="s">
        <v>65</v>
      </c>
      <c r="U12" t="s">
        <v>3385</v>
      </c>
      <c r="V12">
        <v>0</v>
      </c>
      <c r="W12" s="4">
        <v>20040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3386</v>
      </c>
      <c r="AN12" t="s">
        <v>321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3387</v>
      </c>
      <c r="BA12">
        <v>0</v>
      </c>
      <c r="BC12" t="s">
        <v>321</v>
      </c>
      <c r="BF12" t="s">
        <v>3388</v>
      </c>
    </row>
    <row r="13" spans="1:58" x14ac:dyDescent="0.35">
      <c r="A13" t="s">
        <v>3389</v>
      </c>
      <c r="B13">
        <v>10000</v>
      </c>
      <c r="C13">
        <v>10000</v>
      </c>
      <c r="D13" s="2">
        <v>45733</v>
      </c>
      <c r="E13" t="s">
        <v>61</v>
      </c>
      <c r="F13" t="s">
        <v>3390</v>
      </c>
      <c r="G13" t="s">
        <v>89</v>
      </c>
      <c r="I13">
        <v>1</v>
      </c>
      <c r="J13" t="s">
        <v>63</v>
      </c>
      <c r="K13" t="s">
        <v>97</v>
      </c>
      <c r="L13" t="s">
        <v>98</v>
      </c>
      <c r="M13" s="4">
        <v>12000</v>
      </c>
      <c r="P13" s="2">
        <v>45730</v>
      </c>
      <c r="R13">
        <v>12</v>
      </c>
      <c r="S13" s="4">
        <v>144000</v>
      </c>
      <c r="T13" t="s">
        <v>65</v>
      </c>
      <c r="U13">
        <v>80256250001</v>
      </c>
      <c r="V13">
        <v>0</v>
      </c>
      <c r="W13" s="4">
        <v>144000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8025625</v>
      </c>
      <c r="AN13" t="s">
        <v>91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3391</v>
      </c>
      <c r="BA13">
        <v>0</v>
      </c>
      <c r="BC13" t="s">
        <v>91</v>
      </c>
      <c r="BF13" t="s">
        <v>3392</v>
      </c>
    </row>
    <row r="14" spans="1:58" x14ac:dyDescent="0.35">
      <c r="A14" t="s">
        <v>3393</v>
      </c>
      <c r="B14">
        <v>10000</v>
      </c>
      <c r="C14">
        <v>10000</v>
      </c>
      <c r="D14" s="2">
        <v>45730</v>
      </c>
      <c r="E14" t="s">
        <v>61</v>
      </c>
      <c r="F14" t="s">
        <v>3006</v>
      </c>
      <c r="G14" t="s">
        <v>2271</v>
      </c>
      <c r="I14">
        <v>1</v>
      </c>
      <c r="J14" t="s">
        <v>63</v>
      </c>
      <c r="K14">
        <v>94</v>
      </c>
      <c r="L14" t="s">
        <v>181</v>
      </c>
      <c r="M14" s="4">
        <v>9000</v>
      </c>
      <c r="P14" s="2">
        <v>45730</v>
      </c>
      <c r="R14">
        <v>4</v>
      </c>
      <c r="S14" s="4">
        <v>36000</v>
      </c>
      <c r="T14" t="s">
        <v>65</v>
      </c>
      <c r="U14" t="s">
        <v>3135</v>
      </c>
      <c r="V14">
        <v>0</v>
      </c>
      <c r="W14" s="4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3136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3394</v>
      </c>
      <c r="BA14">
        <v>0</v>
      </c>
      <c r="BC14" t="s">
        <v>364</v>
      </c>
      <c r="BF14" t="s">
        <v>3395</v>
      </c>
    </row>
    <row r="15" spans="1:58" x14ac:dyDescent="0.35">
      <c r="A15" t="s">
        <v>3396</v>
      </c>
      <c r="B15">
        <v>10000</v>
      </c>
      <c r="C15">
        <v>20000</v>
      </c>
      <c r="D15" s="2">
        <v>45730</v>
      </c>
      <c r="E15" t="s">
        <v>61</v>
      </c>
      <c r="F15" t="s">
        <v>3397</v>
      </c>
      <c r="G15" t="s">
        <v>3398</v>
      </c>
      <c r="I15">
        <v>1</v>
      </c>
      <c r="J15" t="s">
        <v>63</v>
      </c>
      <c r="K15">
        <v>90</v>
      </c>
      <c r="L15" t="s">
        <v>459</v>
      </c>
      <c r="M15">
        <v>242</v>
      </c>
      <c r="P15" s="2">
        <v>45730</v>
      </c>
      <c r="R15">
        <v>124</v>
      </c>
      <c r="S15" s="4">
        <v>30008</v>
      </c>
      <c r="T15" t="s">
        <v>65</v>
      </c>
      <c r="U15" t="s">
        <v>3399</v>
      </c>
      <c r="V15">
        <v>0</v>
      </c>
      <c r="W15" s="4">
        <v>30000</v>
      </c>
      <c r="X15">
        <v>8</v>
      </c>
      <c r="Y15">
        <v>0</v>
      </c>
      <c r="Z15">
        <v>0</v>
      </c>
      <c r="AA15">
        <v>0</v>
      </c>
      <c r="AD15">
        <v>0</v>
      </c>
      <c r="AM15" t="s">
        <v>3400</v>
      </c>
      <c r="AN15" t="s">
        <v>829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3401</v>
      </c>
      <c r="BA15">
        <v>0</v>
      </c>
      <c r="BC15" t="s">
        <v>829</v>
      </c>
      <c r="BF15" t="s">
        <v>3402</v>
      </c>
    </row>
    <row r="16" spans="1:58" x14ac:dyDescent="0.35">
      <c r="A16" t="s">
        <v>3403</v>
      </c>
      <c r="B16">
        <v>10000</v>
      </c>
      <c r="C16">
        <v>10000</v>
      </c>
      <c r="D16" s="2">
        <v>45730</v>
      </c>
      <c r="E16" t="s">
        <v>61</v>
      </c>
      <c r="F16" t="s">
        <v>3116</v>
      </c>
      <c r="G16" t="s">
        <v>3117</v>
      </c>
      <c r="I16">
        <v>1</v>
      </c>
      <c r="J16" t="s">
        <v>63</v>
      </c>
      <c r="K16">
        <v>86</v>
      </c>
      <c r="L16" t="s">
        <v>64</v>
      </c>
      <c r="M16" s="4">
        <v>2500</v>
      </c>
      <c r="P16" s="2">
        <v>45730</v>
      </c>
      <c r="R16">
        <v>4</v>
      </c>
      <c r="S16" s="4">
        <v>10000</v>
      </c>
      <c r="T16" t="s">
        <v>65</v>
      </c>
      <c r="U16" t="s">
        <v>3118</v>
      </c>
      <c r="V16">
        <v>0</v>
      </c>
      <c r="W16" s="4">
        <v>10000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3119</v>
      </c>
      <c r="AN16" t="s">
        <v>3404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3405</v>
      </c>
      <c r="BA16">
        <v>0</v>
      </c>
      <c r="BC16" t="s">
        <v>3404</v>
      </c>
      <c r="BF16" t="s">
        <v>3406</v>
      </c>
    </row>
    <row r="17" spans="1:58" x14ac:dyDescent="0.35">
      <c r="A17" t="s">
        <v>2863</v>
      </c>
      <c r="B17">
        <v>10000</v>
      </c>
      <c r="C17">
        <v>20000</v>
      </c>
      <c r="D17" s="2">
        <v>45733</v>
      </c>
      <c r="E17" t="s">
        <v>61</v>
      </c>
      <c r="F17" t="s">
        <v>2320</v>
      </c>
      <c r="G17" t="s">
        <v>2289</v>
      </c>
      <c r="I17">
        <v>2</v>
      </c>
      <c r="J17" t="s">
        <v>63</v>
      </c>
      <c r="K17">
        <v>63</v>
      </c>
      <c r="L17" t="s">
        <v>519</v>
      </c>
      <c r="M17" s="4">
        <v>7500</v>
      </c>
      <c r="P17" s="2">
        <v>45730</v>
      </c>
      <c r="R17">
        <v>16</v>
      </c>
      <c r="S17" s="4">
        <v>120000</v>
      </c>
      <c r="T17" t="s">
        <v>65</v>
      </c>
      <c r="U17" t="s">
        <v>2865</v>
      </c>
      <c r="V17">
        <v>0</v>
      </c>
      <c r="W17" s="4">
        <v>120000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2866</v>
      </c>
      <c r="AN17" t="s">
        <v>175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2867</v>
      </c>
      <c r="BA17">
        <v>0</v>
      </c>
      <c r="BC17" t="s">
        <v>175</v>
      </c>
      <c r="BF17" t="s">
        <v>2868</v>
      </c>
    </row>
    <row r="18" spans="1:58" x14ac:dyDescent="0.35">
      <c r="A18" t="s">
        <v>2869</v>
      </c>
      <c r="B18">
        <v>10000</v>
      </c>
      <c r="C18">
        <v>20000</v>
      </c>
      <c r="D18" s="2">
        <v>45733</v>
      </c>
      <c r="E18" t="s">
        <v>61</v>
      </c>
      <c r="F18" t="s">
        <v>2320</v>
      </c>
      <c r="G18" t="s">
        <v>2289</v>
      </c>
      <c r="I18">
        <v>2</v>
      </c>
      <c r="J18" t="s">
        <v>63</v>
      </c>
      <c r="K18">
        <v>63</v>
      </c>
      <c r="L18" t="s">
        <v>519</v>
      </c>
      <c r="M18" s="4">
        <v>7500</v>
      </c>
      <c r="P18" s="2">
        <v>45730</v>
      </c>
      <c r="R18">
        <v>16</v>
      </c>
      <c r="S18" s="4">
        <v>120000</v>
      </c>
      <c r="T18" t="s">
        <v>65</v>
      </c>
      <c r="U18" t="s">
        <v>2865</v>
      </c>
      <c r="V18">
        <v>0</v>
      </c>
      <c r="W18" s="4">
        <v>120000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2866</v>
      </c>
      <c r="AN18" t="s">
        <v>175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2870</v>
      </c>
      <c r="BA18">
        <v>0</v>
      </c>
      <c r="BC18" t="s">
        <v>175</v>
      </c>
      <c r="BF18" t="s">
        <v>2871</v>
      </c>
    </row>
    <row r="19" spans="1:58" x14ac:dyDescent="0.35">
      <c r="A19" t="s">
        <v>3407</v>
      </c>
      <c r="B19">
        <v>10000</v>
      </c>
      <c r="C19">
        <v>10000</v>
      </c>
      <c r="D19" s="2">
        <v>45733</v>
      </c>
      <c r="E19" t="s">
        <v>61</v>
      </c>
      <c r="F19" t="s">
        <v>3408</v>
      </c>
      <c r="G19" t="s">
        <v>3029</v>
      </c>
      <c r="I19">
        <v>1</v>
      </c>
      <c r="J19" t="s">
        <v>63</v>
      </c>
      <c r="K19">
        <v>86</v>
      </c>
      <c r="L19" t="s">
        <v>64</v>
      </c>
      <c r="M19" s="4">
        <v>27500</v>
      </c>
      <c r="P19" s="2">
        <v>45730</v>
      </c>
      <c r="R19">
        <v>2</v>
      </c>
      <c r="S19" s="4">
        <v>55000</v>
      </c>
      <c r="T19" t="s">
        <v>65</v>
      </c>
      <c r="U19" t="s">
        <v>3409</v>
      </c>
      <c r="V19">
        <v>0</v>
      </c>
      <c r="W19" s="4">
        <v>55000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3410</v>
      </c>
      <c r="AN19" t="s">
        <v>1855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3411</v>
      </c>
      <c r="BA19">
        <v>0</v>
      </c>
      <c r="BC19" t="s">
        <v>1855</v>
      </c>
      <c r="BF19" t="s">
        <v>3412</v>
      </c>
    </row>
    <row r="20" spans="1:58" x14ac:dyDescent="0.35">
      <c r="A20" t="s">
        <v>3164</v>
      </c>
      <c r="B20">
        <v>10000</v>
      </c>
      <c r="C20">
        <v>20000</v>
      </c>
      <c r="D20" s="2">
        <v>45730</v>
      </c>
      <c r="E20" t="s">
        <v>61</v>
      </c>
      <c r="F20" t="s">
        <v>3165</v>
      </c>
      <c r="G20">
        <v>860908144578</v>
      </c>
      <c r="I20">
        <v>2</v>
      </c>
      <c r="J20" t="s">
        <v>63</v>
      </c>
      <c r="K20">
        <v>105</v>
      </c>
      <c r="L20" t="s">
        <v>64</v>
      </c>
      <c r="M20" s="4">
        <v>4400</v>
      </c>
      <c r="P20" s="2">
        <v>45730</v>
      </c>
      <c r="R20">
        <v>1</v>
      </c>
      <c r="S20" s="4">
        <v>4400</v>
      </c>
      <c r="T20" t="s">
        <v>65</v>
      </c>
      <c r="U20" t="s">
        <v>3166</v>
      </c>
      <c r="V20">
        <v>0</v>
      </c>
      <c r="W20" s="4">
        <v>3568</v>
      </c>
      <c r="X20">
        <v>832</v>
      </c>
      <c r="Y20">
        <v>0</v>
      </c>
      <c r="Z20">
        <v>0</v>
      </c>
      <c r="AA20">
        <v>0</v>
      </c>
      <c r="AD20">
        <v>0</v>
      </c>
      <c r="AM20" t="s">
        <v>3167</v>
      </c>
      <c r="AN20" t="s">
        <v>3168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3169</v>
      </c>
      <c r="BA20">
        <v>0</v>
      </c>
      <c r="BC20" t="s">
        <v>3168</v>
      </c>
      <c r="BF20" t="s">
        <v>3170</v>
      </c>
    </row>
    <row r="21" spans="1:58" x14ac:dyDescent="0.35">
      <c r="A21" t="s">
        <v>3164</v>
      </c>
      <c r="B21">
        <v>10000</v>
      </c>
      <c r="C21">
        <v>30000</v>
      </c>
      <c r="D21" s="2">
        <v>45730</v>
      </c>
      <c r="E21" t="s">
        <v>61</v>
      </c>
      <c r="F21" t="s">
        <v>3165</v>
      </c>
      <c r="G21">
        <v>860908144578</v>
      </c>
      <c r="I21">
        <v>3</v>
      </c>
      <c r="J21" t="s">
        <v>63</v>
      </c>
      <c r="K21">
        <v>86</v>
      </c>
      <c r="L21" t="s">
        <v>424</v>
      </c>
      <c r="M21" s="4">
        <v>2000</v>
      </c>
      <c r="P21" s="2">
        <v>45730</v>
      </c>
      <c r="R21">
        <v>2</v>
      </c>
      <c r="S21" s="4">
        <v>4000</v>
      </c>
      <c r="T21" t="s">
        <v>65</v>
      </c>
      <c r="U21" t="s">
        <v>3166</v>
      </c>
      <c r="V21">
        <v>0</v>
      </c>
      <c r="W21" s="4">
        <v>6000</v>
      </c>
      <c r="X21" s="4">
        <v>-2000</v>
      </c>
      <c r="Y21">
        <v>0</v>
      </c>
      <c r="Z21">
        <v>0</v>
      </c>
      <c r="AA21">
        <v>0</v>
      </c>
      <c r="AD21">
        <v>0</v>
      </c>
      <c r="AM21" t="s">
        <v>3167</v>
      </c>
      <c r="AN21" t="s">
        <v>3168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3169</v>
      </c>
      <c r="BA21">
        <v>0</v>
      </c>
      <c r="BC21" t="s">
        <v>3168</v>
      </c>
      <c r="BF21" t="s">
        <v>3170</v>
      </c>
    </row>
    <row r="22" spans="1:58" x14ac:dyDescent="0.35">
      <c r="A22" t="s">
        <v>3413</v>
      </c>
      <c r="B22">
        <v>10000</v>
      </c>
      <c r="C22">
        <v>10000</v>
      </c>
      <c r="D22" s="2">
        <v>45730</v>
      </c>
      <c r="E22" t="s">
        <v>61</v>
      </c>
      <c r="F22" t="s">
        <v>3414</v>
      </c>
      <c r="G22" t="s">
        <v>3415</v>
      </c>
      <c r="I22">
        <v>1</v>
      </c>
      <c r="J22" t="s">
        <v>63</v>
      </c>
      <c r="K22">
        <v>65</v>
      </c>
      <c r="L22" t="s">
        <v>268</v>
      </c>
      <c r="M22" s="4">
        <v>1000</v>
      </c>
      <c r="P22" s="2">
        <v>45730</v>
      </c>
      <c r="R22">
        <v>2</v>
      </c>
      <c r="S22" s="4">
        <v>2000</v>
      </c>
      <c r="T22" t="s">
        <v>65</v>
      </c>
      <c r="U22" t="s">
        <v>3416</v>
      </c>
      <c r="V22">
        <v>0</v>
      </c>
      <c r="W22" s="4">
        <v>2000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3417</v>
      </c>
      <c r="AN22" t="s">
        <v>116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3418</v>
      </c>
      <c r="BA22">
        <v>0</v>
      </c>
      <c r="BC22" t="s">
        <v>116</v>
      </c>
      <c r="BF22" t="s">
        <v>3098</v>
      </c>
    </row>
    <row r="23" spans="1:58" x14ac:dyDescent="0.35">
      <c r="A23" t="s">
        <v>3419</v>
      </c>
      <c r="B23">
        <v>10000</v>
      </c>
      <c r="C23">
        <v>10000</v>
      </c>
      <c r="D23" s="2">
        <v>45730</v>
      </c>
      <c r="E23" t="s">
        <v>61</v>
      </c>
      <c r="F23" t="s">
        <v>3420</v>
      </c>
      <c r="G23" t="s">
        <v>3421</v>
      </c>
      <c r="I23">
        <v>1</v>
      </c>
      <c r="J23" t="s">
        <v>63</v>
      </c>
      <c r="K23">
        <v>60</v>
      </c>
      <c r="L23" t="s">
        <v>277</v>
      </c>
      <c r="M23" s="4">
        <v>1000</v>
      </c>
      <c r="P23" s="2">
        <v>45730</v>
      </c>
      <c r="R23">
        <v>1</v>
      </c>
      <c r="S23" s="4">
        <v>1000</v>
      </c>
      <c r="T23" t="s">
        <v>65</v>
      </c>
      <c r="U23" t="s">
        <v>3422</v>
      </c>
      <c r="V23">
        <v>0</v>
      </c>
      <c r="W23" s="4">
        <v>1000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3423</v>
      </c>
      <c r="AN23" t="s">
        <v>3424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3425</v>
      </c>
      <c r="BA23">
        <v>0</v>
      </c>
      <c r="BC23" t="s">
        <v>3424</v>
      </c>
      <c r="BF23" t="s">
        <v>3426</v>
      </c>
    </row>
    <row r="24" spans="1:58" x14ac:dyDescent="0.35">
      <c r="A24" t="s">
        <v>3427</v>
      </c>
      <c r="B24">
        <v>10000</v>
      </c>
      <c r="C24">
        <v>10000</v>
      </c>
      <c r="D24" s="2">
        <v>45730</v>
      </c>
      <c r="E24" t="s">
        <v>61</v>
      </c>
      <c r="F24" t="s">
        <v>3414</v>
      </c>
      <c r="G24" t="s">
        <v>3415</v>
      </c>
      <c r="I24">
        <v>1</v>
      </c>
      <c r="J24" t="s">
        <v>63</v>
      </c>
      <c r="K24">
        <v>65</v>
      </c>
      <c r="L24" t="s">
        <v>268</v>
      </c>
      <c r="M24" s="4">
        <v>1500</v>
      </c>
      <c r="P24" s="2">
        <v>45730</v>
      </c>
      <c r="R24">
        <v>2</v>
      </c>
      <c r="S24" s="4">
        <v>3000</v>
      </c>
      <c r="T24" t="s">
        <v>65</v>
      </c>
      <c r="U24" t="s">
        <v>3416</v>
      </c>
      <c r="V24">
        <v>0</v>
      </c>
      <c r="W24" s="4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3417</v>
      </c>
      <c r="AN24" t="s">
        <v>116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3428</v>
      </c>
      <c r="BA24">
        <v>0</v>
      </c>
      <c r="BC24" t="s">
        <v>116</v>
      </c>
      <c r="BF24" t="s">
        <v>3101</v>
      </c>
    </row>
    <row r="25" spans="1:58" x14ac:dyDescent="0.35">
      <c r="A25" t="s">
        <v>3429</v>
      </c>
      <c r="B25">
        <v>10000</v>
      </c>
      <c r="C25">
        <v>10000</v>
      </c>
      <c r="D25" s="2">
        <v>45730</v>
      </c>
      <c r="E25" t="s">
        <v>61</v>
      </c>
      <c r="F25" s="3">
        <v>0.4798263888888889</v>
      </c>
      <c r="G25" t="s">
        <v>3430</v>
      </c>
      <c r="I25">
        <v>1</v>
      </c>
      <c r="J25" t="s">
        <v>63</v>
      </c>
      <c r="K25">
        <v>61</v>
      </c>
      <c r="L25" t="s">
        <v>216</v>
      </c>
      <c r="M25">
        <v>535</v>
      </c>
      <c r="P25" s="2">
        <v>45730</v>
      </c>
      <c r="R25">
        <v>2</v>
      </c>
      <c r="S25" s="4">
        <v>1070</v>
      </c>
      <c r="T25" t="s">
        <v>65</v>
      </c>
      <c r="U25" t="s">
        <v>3431</v>
      </c>
      <c r="V25">
        <v>0</v>
      </c>
      <c r="W25" s="4">
        <v>1070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3432</v>
      </c>
      <c r="AN25" t="s">
        <v>206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3433</v>
      </c>
      <c r="BA25">
        <v>0</v>
      </c>
      <c r="BC25" t="s">
        <v>206</v>
      </c>
      <c r="BF25" t="s">
        <v>3434</v>
      </c>
    </row>
    <row r="26" spans="1:58" x14ac:dyDescent="0.35">
      <c r="A26" t="s">
        <v>3435</v>
      </c>
      <c r="B26">
        <v>10000</v>
      </c>
      <c r="C26">
        <v>10000</v>
      </c>
      <c r="D26" s="2">
        <v>45730</v>
      </c>
      <c r="E26" t="s">
        <v>61</v>
      </c>
      <c r="F26" t="s">
        <v>3420</v>
      </c>
      <c r="G26">
        <v>404051726</v>
      </c>
      <c r="I26">
        <v>1</v>
      </c>
      <c r="J26" t="s">
        <v>63</v>
      </c>
      <c r="K26">
        <v>60</v>
      </c>
      <c r="L26" t="s">
        <v>277</v>
      </c>
      <c r="M26">
        <v>500</v>
      </c>
      <c r="P26" s="2">
        <v>45730</v>
      </c>
      <c r="R26">
        <v>2</v>
      </c>
      <c r="S26" s="4">
        <v>1000</v>
      </c>
      <c r="T26" t="s">
        <v>65</v>
      </c>
      <c r="U26">
        <v>961830001</v>
      </c>
      <c r="V26">
        <v>0</v>
      </c>
      <c r="W26" s="4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96183</v>
      </c>
      <c r="AN26" t="s">
        <v>2549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3436</v>
      </c>
      <c r="BA26">
        <v>0</v>
      </c>
      <c r="BC26" t="s">
        <v>2549</v>
      </c>
      <c r="BF26" t="s">
        <v>3437</v>
      </c>
    </row>
    <row r="27" spans="1:58" x14ac:dyDescent="0.35">
      <c r="A27" t="s">
        <v>3438</v>
      </c>
      <c r="B27">
        <v>10000</v>
      </c>
      <c r="C27">
        <v>10000</v>
      </c>
      <c r="D27" s="2">
        <v>45733</v>
      </c>
      <c r="E27" t="s">
        <v>61</v>
      </c>
      <c r="F27" t="s">
        <v>3439</v>
      </c>
      <c r="G27" t="s">
        <v>3440</v>
      </c>
      <c r="I27">
        <v>1</v>
      </c>
      <c r="J27" t="s">
        <v>63</v>
      </c>
      <c r="K27">
        <v>90</v>
      </c>
      <c r="L27" t="s">
        <v>405</v>
      </c>
      <c r="M27">
        <v>100</v>
      </c>
      <c r="P27" s="2">
        <v>45730</v>
      </c>
      <c r="R27">
        <v>2</v>
      </c>
      <c r="S27">
        <v>200</v>
      </c>
      <c r="T27" t="s">
        <v>65</v>
      </c>
      <c r="U27" t="s">
        <v>155</v>
      </c>
      <c r="V27">
        <v>0</v>
      </c>
      <c r="W27">
        <v>200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156</v>
      </c>
      <c r="AN27" t="s">
        <v>661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3441</v>
      </c>
      <c r="BA27">
        <v>0</v>
      </c>
      <c r="BC27" t="s">
        <v>661</v>
      </c>
      <c r="BF27" t="s">
        <v>3442</v>
      </c>
    </row>
    <row r="28" spans="1:58" x14ac:dyDescent="0.35">
      <c r="A28" t="s">
        <v>3443</v>
      </c>
      <c r="B28">
        <v>10000</v>
      </c>
      <c r="C28">
        <v>10000</v>
      </c>
      <c r="D28" s="2">
        <v>45735</v>
      </c>
      <c r="E28" t="s">
        <v>61</v>
      </c>
      <c r="F28" t="s">
        <v>3444</v>
      </c>
      <c r="G28" t="s">
        <v>3445</v>
      </c>
      <c r="I28">
        <v>1</v>
      </c>
      <c r="J28" t="s">
        <v>63</v>
      </c>
      <c r="K28">
        <v>88</v>
      </c>
      <c r="L28" t="s">
        <v>630</v>
      </c>
      <c r="M28">
        <v>500</v>
      </c>
      <c r="P28" s="2">
        <v>45730</v>
      </c>
      <c r="R28">
        <v>1</v>
      </c>
      <c r="S28">
        <v>500</v>
      </c>
      <c r="T28" t="s">
        <v>65</v>
      </c>
      <c r="U28" t="s">
        <v>3446</v>
      </c>
      <c r="V28">
        <v>0</v>
      </c>
      <c r="W28">
        <v>500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3447</v>
      </c>
      <c r="AN28" t="s">
        <v>487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3448</v>
      </c>
      <c r="BA28">
        <v>0</v>
      </c>
      <c r="BC28" t="s">
        <v>487</v>
      </c>
      <c r="BF28" t="s">
        <v>3449</v>
      </c>
    </row>
    <row r="29" spans="1:58" x14ac:dyDescent="0.35">
      <c r="A29" t="s">
        <v>3450</v>
      </c>
      <c r="B29">
        <v>10000</v>
      </c>
      <c r="C29">
        <v>10000</v>
      </c>
      <c r="D29" s="2">
        <v>45735</v>
      </c>
      <c r="E29" t="s">
        <v>61</v>
      </c>
      <c r="F29" t="s">
        <v>3451</v>
      </c>
      <c r="G29" t="s">
        <v>3445</v>
      </c>
      <c r="I29">
        <v>1</v>
      </c>
      <c r="J29" t="s">
        <v>63</v>
      </c>
      <c r="K29">
        <v>88</v>
      </c>
      <c r="L29" t="s">
        <v>630</v>
      </c>
      <c r="M29" s="4">
        <v>2400</v>
      </c>
      <c r="P29" s="2">
        <v>45730</v>
      </c>
      <c r="R29">
        <v>1</v>
      </c>
      <c r="S29" s="4">
        <v>2400</v>
      </c>
      <c r="T29" t="s">
        <v>65</v>
      </c>
      <c r="U29" t="s">
        <v>3452</v>
      </c>
      <c r="V29">
        <v>0</v>
      </c>
      <c r="W29" s="4">
        <v>2400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3453</v>
      </c>
      <c r="AN29" t="s">
        <v>487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3454</v>
      </c>
      <c r="BA29">
        <v>0</v>
      </c>
      <c r="BC29" t="s">
        <v>487</v>
      </c>
      <c r="BF29" t="s">
        <v>3449</v>
      </c>
    </row>
    <row r="30" spans="1:58" x14ac:dyDescent="0.35">
      <c r="A30" t="s">
        <v>3205</v>
      </c>
      <c r="B30">
        <v>10000</v>
      </c>
      <c r="C30">
        <v>20000</v>
      </c>
      <c r="D30" s="2">
        <v>45733</v>
      </c>
      <c r="E30" t="s">
        <v>61</v>
      </c>
      <c r="F30" t="s">
        <v>2326</v>
      </c>
      <c r="G30" t="s">
        <v>2289</v>
      </c>
      <c r="I30">
        <v>2</v>
      </c>
      <c r="J30" t="s">
        <v>63</v>
      </c>
      <c r="K30">
        <v>63</v>
      </c>
      <c r="L30" t="s">
        <v>519</v>
      </c>
      <c r="M30" s="4">
        <v>2500</v>
      </c>
      <c r="P30" s="2">
        <v>45730</v>
      </c>
      <c r="R30">
        <v>16</v>
      </c>
      <c r="S30" s="4">
        <v>40000</v>
      </c>
      <c r="T30" t="s">
        <v>65</v>
      </c>
      <c r="U30" t="s">
        <v>2865</v>
      </c>
      <c r="V30">
        <v>0</v>
      </c>
      <c r="W30" s="4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2866</v>
      </c>
      <c r="AN30" t="s">
        <v>157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3206</v>
      </c>
      <c r="BA30">
        <v>0</v>
      </c>
      <c r="BC30" t="s">
        <v>157</v>
      </c>
      <c r="BF30" t="s">
        <v>3207</v>
      </c>
    </row>
    <row r="31" spans="1:58" x14ac:dyDescent="0.35">
      <c r="A31" t="s">
        <v>2680</v>
      </c>
      <c r="B31">
        <v>10000</v>
      </c>
      <c r="C31">
        <v>20000</v>
      </c>
      <c r="D31" s="2">
        <v>45733</v>
      </c>
      <c r="E31" t="s">
        <v>61</v>
      </c>
      <c r="F31" t="s">
        <v>2326</v>
      </c>
      <c r="G31" t="s">
        <v>2289</v>
      </c>
      <c r="I31">
        <v>2</v>
      </c>
      <c r="J31" t="s">
        <v>63</v>
      </c>
      <c r="K31">
        <v>63</v>
      </c>
      <c r="L31" t="s">
        <v>519</v>
      </c>
      <c r="M31" s="4">
        <v>5000</v>
      </c>
      <c r="P31" s="2">
        <v>45730</v>
      </c>
      <c r="R31">
        <v>16</v>
      </c>
      <c r="S31" s="4">
        <v>80000</v>
      </c>
      <c r="T31" t="s">
        <v>65</v>
      </c>
      <c r="U31" t="s">
        <v>2290</v>
      </c>
      <c r="V31">
        <v>0</v>
      </c>
      <c r="W31" s="4">
        <v>80000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2291</v>
      </c>
      <c r="AN31" t="s">
        <v>157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2681</v>
      </c>
      <c r="BA31">
        <v>0</v>
      </c>
      <c r="BC31" t="s">
        <v>157</v>
      </c>
      <c r="BF31" t="s">
        <v>2682</v>
      </c>
    </row>
    <row r="32" spans="1:58" x14ac:dyDescent="0.35">
      <c r="A32" t="s">
        <v>3455</v>
      </c>
      <c r="B32">
        <v>10000</v>
      </c>
      <c r="C32">
        <v>20000</v>
      </c>
      <c r="D32" s="2">
        <v>45736</v>
      </c>
      <c r="E32" t="s">
        <v>61</v>
      </c>
      <c r="F32" t="s">
        <v>3456</v>
      </c>
      <c r="G32" t="s">
        <v>3457</v>
      </c>
      <c r="I32">
        <v>1</v>
      </c>
      <c r="J32" t="s">
        <v>63</v>
      </c>
      <c r="K32" t="s">
        <v>770</v>
      </c>
      <c r="L32" t="s">
        <v>154</v>
      </c>
      <c r="M32" s="4">
        <v>54000</v>
      </c>
      <c r="P32" s="2">
        <v>45730</v>
      </c>
      <c r="R32">
        <v>2</v>
      </c>
      <c r="S32" s="4">
        <v>108000</v>
      </c>
      <c r="T32" t="s">
        <v>65</v>
      </c>
      <c r="U32" t="s">
        <v>155</v>
      </c>
      <c r="V32">
        <v>0</v>
      </c>
      <c r="W32" s="4">
        <v>108000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156</v>
      </c>
      <c r="AN32" t="s">
        <v>157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3458</v>
      </c>
      <c r="BA32">
        <v>0</v>
      </c>
      <c r="BC32" t="s">
        <v>157</v>
      </c>
      <c r="BF32" t="s">
        <v>3459</v>
      </c>
    </row>
    <row r="33" spans="1:58" x14ac:dyDescent="0.35">
      <c r="A33" t="s">
        <v>3460</v>
      </c>
      <c r="B33">
        <v>10000</v>
      </c>
      <c r="C33">
        <v>10000</v>
      </c>
      <c r="D33" s="2">
        <v>45734</v>
      </c>
      <c r="E33" t="s">
        <v>61</v>
      </c>
      <c r="F33" t="s">
        <v>3461</v>
      </c>
      <c r="G33" t="s">
        <v>3462</v>
      </c>
      <c r="I33">
        <v>1</v>
      </c>
      <c r="J33" t="s">
        <v>63</v>
      </c>
      <c r="K33">
        <v>62</v>
      </c>
      <c r="L33" t="s">
        <v>385</v>
      </c>
      <c r="M33" s="4">
        <v>20000</v>
      </c>
      <c r="P33" s="2">
        <v>45730</v>
      </c>
      <c r="R33">
        <v>1</v>
      </c>
      <c r="S33" s="4">
        <v>20000</v>
      </c>
      <c r="T33" t="s">
        <v>65</v>
      </c>
      <c r="U33" t="s">
        <v>2488</v>
      </c>
      <c r="V33">
        <v>0</v>
      </c>
      <c r="W33" s="4">
        <v>20000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2489</v>
      </c>
      <c r="AN33" t="s">
        <v>157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3463</v>
      </c>
      <c r="BA33">
        <v>0</v>
      </c>
      <c r="BC33" t="s">
        <v>157</v>
      </c>
      <c r="BF33" t="s">
        <v>3464</v>
      </c>
    </row>
    <row r="34" spans="1:58" x14ac:dyDescent="0.35">
      <c r="A34" t="s">
        <v>3460</v>
      </c>
      <c r="B34">
        <v>10000</v>
      </c>
      <c r="C34">
        <v>20000</v>
      </c>
      <c r="D34" s="2">
        <v>45734</v>
      </c>
      <c r="E34" t="s">
        <v>61</v>
      </c>
      <c r="F34" t="s">
        <v>3461</v>
      </c>
      <c r="G34" t="s">
        <v>3462</v>
      </c>
      <c r="I34">
        <v>1</v>
      </c>
      <c r="J34" t="s">
        <v>63</v>
      </c>
      <c r="K34" t="s">
        <v>3225</v>
      </c>
      <c r="L34" t="s">
        <v>380</v>
      </c>
      <c r="M34" s="4">
        <v>40000</v>
      </c>
      <c r="P34" s="2">
        <v>45730</v>
      </c>
      <c r="R34">
        <v>1</v>
      </c>
      <c r="S34" s="4">
        <v>40000</v>
      </c>
      <c r="T34" t="s">
        <v>65</v>
      </c>
      <c r="U34" t="s">
        <v>2488</v>
      </c>
      <c r="V34">
        <v>0</v>
      </c>
      <c r="W34" s="4">
        <v>40000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2489</v>
      </c>
      <c r="AN34" t="s">
        <v>157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3463</v>
      </c>
      <c r="BA34">
        <v>0</v>
      </c>
      <c r="BC34" t="s">
        <v>157</v>
      </c>
      <c r="BF34" t="s">
        <v>3464</v>
      </c>
    </row>
    <row r="35" spans="1:58" x14ac:dyDescent="0.35">
      <c r="A35" t="s">
        <v>3465</v>
      </c>
      <c r="B35">
        <v>10000</v>
      </c>
      <c r="C35">
        <v>10000</v>
      </c>
      <c r="D35" s="2">
        <v>45733</v>
      </c>
      <c r="E35" t="s">
        <v>61</v>
      </c>
      <c r="F35" t="s">
        <v>2326</v>
      </c>
      <c r="G35" t="s">
        <v>2289</v>
      </c>
      <c r="I35">
        <v>1</v>
      </c>
      <c r="J35" t="s">
        <v>63</v>
      </c>
      <c r="K35">
        <v>78</v>
      </c>
      <c r="L35" t="s">
        <v>188</v>
      </c>
      <c r="M35" s="4">
        <v>1500</v>
      </c>
      <c r="P35" s="2">
        <v>45730</v>
      </c>
      <c r="R35">
        <v>16</v>
      </c>
      <c r="S35" s="4">
        <v>24000</v>
      </c>
      <c r="T35" t="s">
        <v>65</v>
      </c>
      <c r="U35" t="s">
        <v>1864</v>
      </c>
      <c r="V35">
        <v>0</v>
      </c>
      <c r="W35" s="4">
        <v>20000</v>
      </c>
      <c r="X35" s="4">
        <v>4000</v>
      </c>
      <c r="Y35">
        <v>0</v>
      </c>
      <c r="Z35">
        <v>0</v>
      </c>
      <c r="AA35">
        <v>0</v>
      </c>
      <c r="AD35">
        <v>0</v>
      </c>
      <c r="AM35" t="s">
        <v>1865</v>
      </c>
      <c r="AN35" t="s">
        <v>175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3466</v>
      </c>
      <c r="BA35">
        <v>0</v>
      </c>
      <c r="BC35" t="s">
        <v>175</v>
      </c>
      <c r="BF35" t="s">
        <v>3467</v>
      </c>
    </row>
    <row r="36" spans="1:58" x14ac:dyDescent="0.35">
      <c r="A36" t="s">
        <v>3465</v>
      </c>
      <c r="B36">
        <v>10000</v>
      </c>
      <c r="C36">
        <v>20000</v>
      </c>
      <c r="D36" s="2">
        <v>45733</v>
      </c>
      <c r="E36" t="s">
        <v>61</v>
      </c>
      <c r="F36" t="s">
        <v>2326</v>
      </c>
      <c r="G36" t="s">
        <v>2289</v>
      </c>
      <c r="I36">
        <v>2</v>
      </c>
      <c r="J36" t="s">
        <v>63</v>
      </c>
      <c r="K36">
        <v>63</v>
      </c>
      <c r="L36" t="s">
        <v>519</v>
      </c>
      <c r="M36" s="4">
        <v>1250</v>
      </c>
      <c r="P36" s="2">
        <v>45730</v>
      </c>
      <c r="R36">
        <v>16</v>
      </c>
      <c r="S36" s="4">
        <v>20000</v>
      </c>
      <c r="T36" t="s">
        <v>65</v>
      </c>
      <c r="U36" t="s">
        <v>1864</v>
      </c>
      <c r="V36">
        <v>0</v>
      </c>
      <c r="W36" s="4">
        <v>20000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1865</v>
      </c>
      <c r="AN36" t="s">
        <v>175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3466</v>
      </c>
      <c r="BA36">
        <v>0</v>
      </c>
      <c r="BC36" t="s">
        <v>175</v>
      </c>
      <c r="BF36" t="s">
        <v>3467</v>
      </c>
    </row>
    <row r="37" spans="1:58" x14ac:dyDescent="0.35">
      <c r="A37" t="s">
        <v>3468</v>
      </c>
      <c r="B37">
        <v>10000</v>
      </c>
      <c r="C37">
        <v>10000</v>
      </c>
      <c r="D37" s="2">
        <v>45733</v>
      </c>
      <c r="E37" t="s">
        <v>61</v>
      </c>
      <c r="F37" t="s">
        <v>3469</v>
      </c>
      <c r="G37" t="s">
        <v>387</v>
      </c>
      <c r="I37">
        <v>1</v>
      </c>
      <c r="J37" t="s">
        <v>63</v>
      </c>
      <c r="K37">
        <v>78</v>
      </c>
      <c r="L37" t="s">
        <v>188</v>
      </c>
      <c r="M37" s="4">
        <v>4000</v>
      </c>
      <c r="P37" s="2">
        <v>45730</v>
      </c>
      <c r="R37">
        <v>1</v>
      </c>
      <c r="S37" s="4">
        <v>4000</v>
      </c>
      <c r="T37" t="s">
        <v>65</v>
      </c>
      <c r="U37">
        <v>1342670001</v>
      </c>
      <c r="V37">
        <v>0</v>
      </c>
      <c r="W37" s="4">
        <v>2000</v>
      </c>
      <c r="X37" s="4">
        <v>2000</v>
      </c>
      <c r="Y37">
        <v>0</v>
      </c>
      <c r="Z37">
        <v>0</v>
      </c>
      <c r="AA37">
        <v>0</v>
      </c>
      <c r="AD37">
        <v>0</v>
      </c>
      <c r="AM37">
        <v>134267</v>
      </c>
      <c r="AN37" t="s">
        <v>1139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3470</v>
      </c>
      <c r="BA37">
        <v>0</v>
      </c>
      <c r="BC37" t="s">
        <v>1139</v>
      </c>
      <c r="BF37" t="s">
        <v>3471</v>
      </c>
    </row>
    <row r="38" spans="1:58" x14ac:dyDescent="0.35">
      <c r="A38" t="s">
        <v>3472</v>
      </c>
      <c r="B38">
        <v>10000</v>
      </c>
      <c r="C38">
        <v>10000</v>
      </c>
      <c r="D38" s="2">
        <v>45733</v>
      </c>
      <c r="E38" t="s">
        <v>61</v>
      </c>
      <c r="F38" t="s">
        <v>3439</v>
      </c>
      <c r="G38" t="s">
        <v>3473</v>
      </c>
      <c r="I38">
        <v>1</v>
      </c>
      <c r="J38" t="s">
        <v>63</v>
      </c>
      <c r="K38">
        <v>90</v>
      </c>
      <c r="L38" t="s">
        <v>405</v>
      </c>
      <c r="M38">
        <v>500</v>
      </c>
      <c r="P38" s="2">
        <v>45730</v>
      </c>
      <c r="R38">
        <v>2</v>
      </c>
      <c r="S38" s="4">
        <v>1000</v>
      </c>
      <c r="T38" t="s">
        <v>65</v>
      </c>
      <c r="U38" t="s">
        <v>155</v>
      </c>
      <c r="V38">
        <v>0</v>
      </c>
      <c r="W38" s="4">
        <v>1000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156</v>
      </c>
      <c r="AN38" t="s">
        <v>157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3474</v>
      </c>
      <c r="BA38">
        <v>0</v>
      </c>
      <c r="BC38" t="s">
        <v>157</v>
      </c>
      <c r="BF38" t="s">
        <v>3475</v>
      </c>
    </row>
    <row r="39" spans="1:58" x14ac:dyDescent="0.35">
      <c r="A39" t="s">
        <v>3476</v>
      </c>
      <c r="B39">
        <v>10000</v>
      </c>
      <c r="C39">
        <v>30000</v>
      </c>
      <c r="D39" s="2">
        <v>45733</v>
      </c>
      <c r="E39" t="s">
        <v>61</v>
      </c>
      <c r="F39" s="3">
        <v>0.4548611111111111</v>
      </c>
      <c r="G39" t="s">
        <v>3473</v>
      </c>
      <c r="I39">
        <v>1</v>
      </c>
      <c r="J39" t="s">
        <v>63</v>
      </c>
      <c r="K39">
        <v>90</v>
      </c>
      <c r="L39" t="s">
        <v>405</v>
      </c>
      <c r="M39">
        <v>500</v>
      </c>
      <c r="P39" s="2">
        <v>45730</v>
      </c>
      <c r="R39">
        <v>2</v>
      </c>
      <c r="S39" s="4">
        <v>1000</v>
      </c>
      <c r="T39" t="s">
        <v>65</v>
      </c>
      <c r="U39" t="s">
        <v>155</v>
      </c>
      <c r="V39">
        <v>0</v>
      </c>
      <c r="W39" s="4">
        <v>1000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156</v>
      </c>
      <c r="AN39" t="s">
        <v>175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3477</v>
      </c>
      <c r="BA39">
        <v>0</v>
      </c>
      <c r="BC39" t="s">
        <v>175</v>
      </c>
      <c r="BF39" t="s">
        <v>3478</v>
      </c>
    </row>
    <row r="40" spans="1:58" x14ac:dyDescent="0.35">
      <c r="A40" t="s">
        <v>3479</v>
      </c>
      <c r="B40">
        <v>10000</v>
      </c>
      <c r="C40">
        <v>10000</v>
      </c>
      <c r="D40" s="2">
        <v>45733</v>
      </c>
      <c r="E40" t="s">
        <v>61</v>
      </c>
      <c r="F40" t="s">
        <v>3364</v>
      </c>
      <c r="G40" t="s">
        <v>3480</v>
      </c>
      <c r="I40">
        <v>1</v>
      </c>
      <c r="J40" t="s">
        <v>63</v>
      </c>
      <c r="K40">
        <v>61</v>
      </c>
      <c r="L40" t="s">
        <v>216</v>
      </c>
      <c r="M40" s="4">
        <v>3000</v>
      </c>
      <c r="P40" s="2">
        <v>45730</v>
      </c>
      <c r="R40">
        <v>3</v>
      </c>
      <c r="S40" s="4">
        <v>9000</v>
      </c>
      <c r="T40" t="s">
        <v>65</v>
      </c>
      <c r="U40" t="s">
        <v>3481</v>
      </c>
      <c r="V40">
        <v>0</v>
      </c>
      <c r="W40" s="4">
        <v>9000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3482</v>
      </c>
      <c r="AN40" t="s">
        <v>3483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3484</v>
      </c>
      <c r="BA40">
        <v>0</v>
      </c>
      <c r="BC40" t="s">
        <v>3483</v>
      </c>
      <c r="BF40" t="s">
        <v>3485</v>
      </c>
    </row>
    <row r="41" spans="1:58" x14ac:dyDescent="0.35">
      <c r="A41" t="s">
        <v>3486</v>
      </c>
      <c r="B41">
        <v>10000</v>
      </c>
      <c r="C41">
        <v>10000</v>
      </c>
      <c r="D41" s="2">
        <v>45733</v>
      </c>
      <c r="E41" t="s">
        <v>61</v>
      </c>
      <c r="F41" t="s">
        <v>3408</v>
      </c>
      <c r="G41" t="s">
        <v>3487</v>
      </c>
      <c r="I41">
        <v>1</v>
      </c>
      <c r="J41" t="s">
        <v>63</v>
      </c>
      <c r="K41">
        <v>31</v>
      </c>
      <c r="L41" t="s">
        <v>1311</v>
      </c>
      <c r="M41">
        <v>500</v>
      </c>
      <c r="P41" s="2">
        <v>45730</v>
      </c>
      <c r="R41">
        <v>1</v>
      </c>
      <c r="S41">
        <v>500</v>
      </c>
      <c r="T41" t="s">
        <v>65</v>
      </c>
      <c r="U41" t="s">
        <v>1312</v>
      </c>
      <c r="V41">
        <v>0</v>
      </c>
      <c r="W41">
        <v>500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1313</v>
      </c>
      <c r="AN41" t="s">
        <v>1314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3488</v>
      </c>
      <c r="BA41">
        <v>0</v>
      </c>
      <c r="BC41" t="s">
        <v>1314</v>
      </c>
      <c r="BF41" t="s">
        <v>3489</v>
      </c>
    </row>
    <row r="42" spans="1:58" x14ac:dyDescent="0.35">
      <c r="A42" t="s">
        <v>3490</v>
      </c>
      <c r="B42">
        <v>10000</v>
      </c>
      <c r="C42">
        <v>10000</v>
      </c>
      <c r="D42" s="2">
        <v>45730</v>
      </c>
      <c r="E42" t="s">
        <v>61</v>
      </c>
      <c r="F42" s="3">
        <v>0.48047453703703702</v>
      </c>
      <c r="G42" t="s">
        <v>3491</v>
      </c>
      <c r="I42">
        <v>1</v>
      </c>
      <c r="J42" t="s">
        <v>63</v>
      </c>
      <c r="K42">
        <v>61</v>
      </c>
      <c r="L42" t="s">
        <v>216</v>
      </c>
      <c r="M42">
        <v>500</v>
      </c>
      <c r="P42" s="2">
        <v>45730</v>
      </c>
      <c r="R42">
        <v>6</v>
      </c>
      <c r="S42" s="4">
        <v>3000</v>
      </c>
      <c r="T42" t="s">
        <v>65</v>
      </c>
      <c r="U42" t="s">
        <v>3492</v>
      </c>
      <c r="V42">
        <v>0</v>
      </c>
      <c r="W42" s="4">
        <v>3000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3493</v>
      </c>
      <c r="AN42" t="s">
        <v>508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3494</v>
      </c>
      <c r="BA42">
        <v>0</v>
      </c>
      <c r="BC42" t="s">
        <v>508</v>
      </c>
      <c r="BF42" t="s">
        <v>2990</v>
      </c>
    </row>
    <row r="43" spans="1:58" x14ac:dyDescent="0.35">
      <c r="A43" t="s">
        <v>3248</v>
      </c>
      <c r="B43">
        <v>10000</v>
      </c>
      <c r="C43">
        <v>20000</v>
      </c>
      <c r="D43" s="2">
        <v>45730</v>
      </c>
      <c r="E43" t="s">
        <v>61</v>
      </c>
      <c r="F43" t="s">
        <v>3249</v>
      </c>
      <c r="G43" t="s">
        <v>3250</v>
      </c>
      <c r="I43">
        <v>2</v>
      </c>
      <c r="J43" t="s">
        <v>63</v>
      </c>
      <c r="K43">
        <v>92</v>
      </c>
      <c r="L43" t="s">
        <v>424</v>
      </c>
      <c r="M43" s="4">
        <v>1000</v>
      </c>
      <c r="P43" s="2">
        <v>45730</v>
      </c>
      <c r="R43">
        <v>1</v>
      </c>
      <c r="S43" s="4">
        <v>1000</v>
      </c>
      <c r="T43" t="s">
        <v>65</v>
      </c>
      <c r="U43" t="s">
        <v>3251</v>
      </c>
      <c r="V43">
        <v>0</v>
      </c>
      <c r="W43" s="4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3252</v>
      </c>
      <c r="AN43" t="s">
        <v>508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3253</v>
      </c>
      <c r="BA43">
        <v>0</v>
      </c>
      <c r="BC43" t="s">
        <v>508</v>
      </c>
      <c r="BF43" t="s">
        <v>2990</v>
      </c>
    </row>
    <row r="44" spans="1:58" x14ac:dyDescent="0.35">
      <c r="A44" t="s">
        <v>3254</v>
      </c>
      <c r="B44">
        <v>10000</v>
      </c>
      <c r="C44">
        <v>20000</v>
      </c>
      <c r="D44" s="2">
        <v>45730</v>
      </c>
      <c r="E44" t="s">
        <v>61</v>
      </c>
      <c r="F44" t="s">
        <v>3255</v>
      </c>
      <c r="G44" t="s">
        <v>3256</v>
      </c>
      <c r="I44">
        <v>2</v>
      </c>
      <c r="J44" t="s">
        <v>63</v>
      </c>
      <c r="K44">
        <v>92</v>
      </c>
      <c r="L44" t="s">
        <v>424</v>
      </c>
      <c r="M44" s="4">
        <v>1000</v>
      </c>
      <c r="P44" s="2">
        <v>45730</v>
      </c>
      <c r="R44">
        <v>1</v>
      </c>
      <c r="S44" s="4">
        <v>1000</v>
      </c>
      <c r="T44" t="s">
        <v>65</v>
      </c>
      <c r="U44" t="s">
        <v>3258</v>
      </c>
      <c r="V44">
        <v>0</v>
      </c>
      <c r="W44" s="4">
        <v>1000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3259</v>
      </c>
      <c r="AN44" t="s">
        <v>508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3260</v>
      </c>
      <c r="BA44">
        <v>0</v>
      </c>
      <c r="BC44" t="s">
        <v>508</v>
      </c>
      <c r="BF44" t="s">
        <v>2990</v>
      </c>
    </row>
    <row r="45" spans="1:58" x14ac:dyDescent="0.35">
      <c r="A45" t="s">
        <v>3495</v>
      </c>
      <c r="B45">
        <v>10000</v>
      </c>
      <c r="C45">
        <v>10000</v>
      </c>
      <c r="D45" s="2">
        <v>45730</v>
      </c>
      <c r="E45" t="s">
        <v>61</v>
      </c>
      <c r="F45" s="3">
        <v>0.48047453703703702</v>
      </c>
      <c r="G45" t="s">
        <v>3491</v>
      </c>
      <c r="I45">
        <v>1</v>
      </c>
      <c r="J45" t="s">
        <v>63</v>
      </c>
      <c r="K45">
        <v>61</v>
      </c>
      <c r="L45" t="s">
        <v>216</v>
      </c>
      <c r="M45">
        <v>500</v>
      </c>
      <c r="P45" s="2">
        <v>45730</v>
      </c>
      <c r="R45">
        <v>6</v>
      </c>
      <c r="S45" s="4">
        <v>3000</v>
      </c>
      <c r="T45" t="s">
        <v>65</v>
      </c>
      <c r="U45" t="s">
        <v>3492</v>
      </c>
      <c r="V45">
        <v>0</v>
      </c>
      <c r="W45" s="4">
        <v>3000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3493</v>
      </c>
      <c r="AN45" t="s">
        <v>508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3496</v>
      </c>
      <c r="BA45">
        <v>0</v>
      </c>
      <c r="BC45" t="s">
        <v>508</v>
      </c>
      <c r="BF45" t="s">
        <v>2993</v>
      </c>
    </row>
    <row r="46" spans="1:58" x14ac:dyDescent="0.35">
      <c r="A46" t="s">
        <v>3497</v>
      </c>
      <c r="B46">
        <v>10000</v>
      </c>
      <c r="C46">
        <v>10000</v>
      </c>
      <c r="D46" s="2">
        <v>45730</v>
      </c>
      <c r="E46" t="s">
        <v>61</v>
      </c>
      <c r="F46" t="s">
        <v>3235</v>
      </c>
      <c r="G46" t="s">
        <v>1387</v>
      </c>
      <c r="I46">
        <v>1</v>
      </c>
      <c r="J46" t="s">
        <v>63</v>
      </c>
      <c r="K46">
        <v>65</v>
      </c>
      <c r="L46" t="s">
        <v>268</v>
      </c>
      <c r="M46" s="4">
        <v>1308</v>
      </c>
      <c r="P46" s="2">
        <v>45730</v>
      </c>
      <c r="R46">
        <v>26</v>
      </c>
      <c r="S46" s="4">
        <v>34008</v>
      </c>
      <c r="T46" t="s">
        <v>65</v>
      </c>
      <c r="U46" t="s">
        <v>3236</v>
      </c>
      <c r="V46">
        <v>0</v>
      </c>
      <c r="W46" s="4">
        <v>34000</v>
      </c>
      <c r="X46">
        <v>8</v>
      </c>
      <c r="Y46">
        <v>0</v>
      </c>
      <c r="Z46">
        <v>0</v>
      </c>
      <c r="AA46">
        <v>0</v>
      </c>
      <c r="AD46">
        <v>0</v>
      </c>
      <c r="AM46" t="s">
        <v>3237</v>
      </c>
      <c r="AN46" t="s">
        <v>508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3498</v>
      </c>
      <c r="BA46">
        <v>0</v>
      </c>
      <c r="BC46" t="s">
        <v>508</v>
      </c>
      <c r="BF46" t="s">
        <v>2993</v>
      </c>
    </row>
    <row r="47" spans="1:58" x14ac:dyDescent="0.35">
      <c r="A47" t="s">
        <v>3499</v>
      </c>
      <c r="B47">
        <v>10000</v>
      </c>
      <c r="C47">
        <v>10000</v>
      </c>
      <c r="D47" s="2">
        <v>45733</v>
      </c>
      <c r="E47" t="s">
        <v>61</v>
      </c>
      <c r="F47" t="s">
        <v>3315</v>
      </c>
      <c r="G47" t="s">
        <v>3277</v>
      </c>
      <c r="I47">
        <v>1</v>
      </c>
      <c r="J47" t="s">
        <v>63</v>
      </c>
      <c r="K47">
        <v>46</v>
      </c>
      <c r="L47" t="s">
        <v>113</v>
      </c>
      <c r="M47" s="4">
        <v>7000</v>
      </c>
      <c r="P47" s="2">
        <v>45730</v>
      </c>
      <c r="R47">
        <v>1</v>
      </c>
      <c r="S47" s="4">
        <v>7000</v>
      </c>
      <c r="T47" t="s">
        <v>65</v>
      </c>
      <c r="U47" t="s">
        <v>3278</v>
      </c>
      <c r="V47">
        <v>0</v>
      </c>
      <c r="W47" s="4">
        <v>7000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3279</v>
      </c>
      <c r="AN47" t="s">
        <v>116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3500</v>
      </c>
      <c r="BA47">
        <v>0</v>
      </c>
      <c r="BC47" t="s">
        <v>116</v>
      </c>
      <c r="BF47" t="s">
        <v>3004</v>
      </c>
    </row>
    <row r="48" spans="1:58" x14ac:dyDescent="0.35">
      <c r="A48" t="s">
        <v>3501</v>
      </c>
      <c r="B48">
        <v>10000</v>
      </c>
      <c r="C48">
        <v>10000</v>
      </c>
      <c r="D48" s="2">
        <v>45730</v>
      </c>
      <c r="E48" t="s">
        <v>61</v>
      </c>
      <c r="F48" t="s">
        <v>3502</v>
      </c>
      <c r="G48" t="s">
        <v>3415</v>
      </c>
      <c r="I48">
        <v>1</v>
      </c>
      <c r="J48" t="s">
        <v>63</v>
      </c>
      <c r="K48">
        <v>65</v>
      </c>
      <c r="L48" t="s">
        <v>268</v>
      </c>
      <c r="M48">
        <v>500</v>
      </c>
      <c r="P48" s="2">
        <v>45730</v>
      </c>
      <c r="R48">
        <v>16</v>
      </c>
      <c r="S48" s="4">
        <v>8000</v>
      </c>
      <c r="T48" t="s">
        <v>65</v>
      </c>
      <c r="U48" t="s">
        <v>3503</v>
      </c>
      <c r="V48">
        <v>0</v>
      </c>
      <c r="W48" s="4">
        <v>8000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3504</v>
      </c>
      <c r="AN48" t="s">
        <v>116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3505</v>
      </c>
      <c r="BA48">
        <v>0</v>
      </c>
      <c r="BC48" t="s">
        <v>116</v>
      </c>
      <c r="BF48" t="s">
        <v>3506</v>
      </c>
    </row>
    <row r="49" spans="1:58" x14ac:dyDescent="0.35">
      <c r="A49" t="s">
        <v>3507</v>
      </c>
      <c r="B49">
        <v>10000</v>
      </c>
      <c r="C49">
        <v>10000</v>
      </c>
      <c r="D49" s="2">
        <v>45730</v>
      </c>
      <c r="E49" t="s">
        <v>61</v>
      </c>
      <c r="F49" t="s">
        <v>3502</v>
      </c>
      <c r="G49" t="s">
        <v>3415</v>
      </c>
      <c r="I49">
        <v>1</v>
      </c>
      <c r="J49" t="s">
        <v>63</v>
      </c>
      <c r="K49">
        <v>65</v>
      </c>
      <c r="L49" t="s">
        <v>268</v>
      </c>
      <c r="M49">
        <v>500</v>
      </c>
      <c r="P49" s="2">
        <v>45730</v>
      </c>
      <c r="R49">
        <v>16</v>
      </c>
      <c r="S49" s="4">
        <v>8000</v>
      </c>
      <c r="T49" t="s">
        <v>65</v>
      </c>
      <c r="U49" t="s">
        <v>3503</v>
      </c>
      <c r="V49">
        <v>0</v>
      </c>
      <c r="W49" s="4">
        <v>8000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3504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3508</v>
      </c>
      <c r="BA49">
        <v>0</v>
      </c>
      <c r="BC49" t="s">
        <v>116</v>
      </c>
      <c r="BF49" t="s">
        <v>3509</v>
      </c>
    </row>
    <row r="50" spans="1:58" x14ac:dyDescent="0.35">
      <c r="A50" t="s">
        <v>3510</v>
      </c>
      <c r="B50">
        <v>10000</v>
      </c>
      <c r="C50">
        <v>10000</v>
      </c>
      <c r="D50" s="2">
        <v>45730</v>
      </c>
      <c r="E50" t="s">
        <v>61</v>
      </c>
      <c r="F50" s="3">
        <v>0.4425</v>
      </c>
      <c r="G50" t="s">
        <v>1387</v>
      </c>
      <c r="I50">
        <v>1</v>
      </c>
      <c r="J50" t="s">
        <v>63</v>
      </c>
      <c r="K50">
        <v>65</v>
      </c>
      <c r="L50" t="s">
        <v>268</v>
      </c>
      <c r="M50">
        <v>352</v>
      </c>
      <c r="P50" s="2">
        <v>45730</v>
      </c>
      <c r="R50">
        <v>30</v>
      </c>
      <c r="S50" s="4">
        <v>10560</v>
      </c>
      <c r="T50" t="s">
        <v>65</v>
      </c>
      <c r="U50">
        <v>200814300001</v>
      </c>
      <c r="V50">
        <v>0</v>
      </c>
      <c r="W50" s="4">
        <v>10540</v>
      </c>
      <c r="X50">
        <v>20</v>
      </c>
      <c r="Y50">
        <v>0</v>
      </c>
      <c r="Z50">
        <v>0</v>
      </c>
      <c r="AA50">
        <v>0</v>
      </c>
      <c r="AD50">
        <v>0</v>
      </c>
      <c r="AM50">
        <v>20081430</v>
      </c>
      <c r="AN50" t="s">
        <v>182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3511</v>
      </c>
      <c r="BA50">
        <v>0</v>
      </c>
      <c r="BC50" t="s">
        <v>182</v>
      </c>
      <c r="BF50" t="s">
        <v>3512</v>
      </c>
    </row>
    <row r="51" spans="1:58" x14ac:dyDescent="0.35">
      <c r="A51" t="s">
        <v>3282</v>
      </c>
      <c r="B51">
        <v>10000</v>
      </c>
      <c r="C51">
        <v>20000</v>
      </c>
      <c r="D51" s="2">
        <v>45730</v>
      </c>
      <c r="E51" t="s">
        <v>61</v>
      </c>
      <c r="F51" t="s">
        <v>3283</v>
      </c>
      <c r="G51" t="s">
        <v>3284</v>
      </c>
      <c r="I51">
        <v>2</v>
      </c>
      <c r="J51" t="s">
        <v>63</v>
      </c>
      <c r="K51">
        <v>92</v>
      </c>
      <c r="L51" t="s">
        <v>424</v>
      </c>
      <c r="M51">
        <v>600</v>
      </c>
      <c r="P51" s="2">
        <v>45730</v>
      </c>
      <c r="R51">
        <v>1</v>
      </c>
      <c r="S51">
        <v>600</v>
      </c>
      <c r="T51" t="s">
        <v>65</v>
      </c>
      <c r="U51" t="s">
        <v>3285</v>
      </c>
      <c r="V51">
        <v>0</v>
      </c>
      <c r="W51">
        <v>500</v>
      </c>
      <c r="X51">
        <v>100</v>
      </c>
      <c r="Y51">
        <v>0</v>
      </c>
      <c r="Z51">
        <v>0</v>
      </c>
      <c r="AA51">
        <v>0</v>
      </c>
      <c r="AD51">
        <v>0</v>
      </c>
      <c r="AM51" t="s">
        <v>3286</v>
      </c>
      <c r="AN51" t="s">
        <v>3287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3288</v>
      </c>
      <c r="BA51">
        <v>0</v>
      </c>
      <c r="BC51" t="s">
        <v>3287</v>
      </c>
      <c r="BF51" t="s">
        <v>3289</v>
      </c>
    </row>
    <row r="52" spans="1:58" x14ac:dyDescent="0.35">
      <c r="A52" t="s">
        <v>3034</v>
      </c>
      <c r="B52">
        <v>10000</v>
      </c>
      <c r="C52">
        <v>20000</v>
      </c>
      <c r="D52" s="2">
        <v>45730</v>
      </c>
      <c r="E52" t="s">
        <v>61</v>
      </c>
      <c r="F52" s="3">
        <v>0.53435185185185186</v>
      </c>
      <c r="G52" t="s">
        <v>899</v>
      </c>
      <c r="I52">
        <v>2</v>
      </c>
      <c r="J52" t="s">
        <v>63</v>
      </c>
      <c r="K52">
        <v>71</v>
      </c>
      <c r="L52" t="s">
        <v>135</v>
      </c>
      <c r="M52" s="4">
        <v>1334</v>
      </c>
      <c r="P52" s="2">
        <v>45730</v>
      </c>
      <c r="R52">
        <v>90</v>
      </c>
      <c r="S52" s="4">
        <v>120060</v>
      </c>
      <c r="T52" t="s">
        <v>65</v>
      </c>
      <c r="U52" t="s">
        <v>901</v>
      </c>
      <c r="V52">
        <v>0</v>
      </c>
      <c r="W52" s="4">
        <v>120000</v>
      </c>
      <c r="X52">
        <v>60</v>
      </c>
      <c r="Y52">
        <v>0</v>
      </c>
      <c r="Z52">
        <v>0</v>
      </c>
      <c r="AA52">
        <v>0</v>
      </c>
      <c r="AD52">
        <v>0</v>
      </c>
      <c r="AM52" t="s">
        <v>902</v>
      </c>
      <c r="AN52" t="s">
        <v>903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3035</v>
      </c>
      <c r="BA52">
        <v>0</v>
      </c>
      <c r="BC52" t="s">
        <v>903</v>
      </c>
      <c r="BF52" t="s">
        <v>3036</v>
      </c>
    </row>
    <row r="53" spans="1:58" x14ac:dyDescent="0.35">
      <c r="A53" t="s">
        <v>3513</v>
      </c>
      <c r="B53">
        <v>10000</v>
      </c>
      <c r="C53">
        <v>10000</v>
      </c>
      <c r="D53" s="2">
        <v>45730</v>
      </c>
      <c r="E53" t="s">
        <v>61</v>
      </c>
      <c r="F53" t="s">
        <v>3514</v>
      </c>
      <c r="G53">
        <v>310180293</v>
      </c>
      <c r="I53">
        <v>1</v>
      </c>
      <c r="J53" t="s">
        <v>63</v>
      </c>
      <c r="K53">
        <v>88</v>
      </c>
      <c r="L53" t="s">
        <v>630</v>
      </c>
      <c r="M53">
        <v>50</v>
      </c>
      <c r="P53" s="2">
        <v>45730</v>
      </c>
      <c r="R53">
        <v>1</v>
      </c>
      <c r="S53">
        <v>50</v>
      </c>
      <c r="T53" t="s">
        <v>65</v>
      </c>
      <c r="U53" t="s">
        <v>3515</v>
      </c>
      <c r="V53">
        <v>0</v>
      </c>
      <c r="W53">
        <v>7</v>
      </c>
      <c r="X53">
        <v>43</v>
      </c>
      <c r="Y53">
        <v>0</v>
      </c>
      <c r="Z53">
        <v>0</v>
      </c>
      <c r="AA53">
        <v>0</v>
      </c>
      <c r="AD53">
        <v>0</v>
      </c>
      <c r="AM53" t="s">
        <v>3516</v>
      </c>
      <c r="AN53" t="s">
        <v>3041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3517</v>
      </c>
      <c r="BA53">
        <v>0</v>
      </c>
      <c r="BC53" t="s">
        <v>3041</v>
      </c>
      <c r="BF53" t="s">
        <v>3518</v>
      </c>
    </row>
    <row r="54" spans="1:58" x14ac:dyDescent="0.35">
      <c r="A54" t="s">
        <v>3513</v>
      </c>
      <c r="B54">
        <v>10000</v>
      </c>
      <c r="C54">
        <v>20000</v>
      </c>
      <c r="D54" s="2">
        <v>45730</v>
      </c>
      <c r="E54" t="s">
        <v>61</v>
      </c>
      <c r="F54" t="s">
        <v>3514</v>
      </c>
      <c r="G54">
        <v>310180293</v>
      </c>
      <c r="I54">
        <v>2</v>
      </c>
      <c r="J54" t="s">
        <v>63</v>
      </c>
      <c r="K54">
        <v>92</v>
      </c>
      <c r="L54" t="s">
        <v>424</v>
      </c>
      <c r="M54">
        <v>6</v>
      </c>
      <c r="P54" s="2">
        <v>45730</v>
      </c>
      <c r="R54">
        <v>5</v>
      </c>
      <c r="S54">
        <v>30</v>
      </c>
      <c r="T54" t="s">
        <v>65</v>
      </c>
      <c r="U54" t="s">
        <v>3515</v>
      </c>
      <c r="V54">
        <v>0</v>
      </c>
      <c r="W54">
        <v>7</v>
      </c>
      <c r="X54">
        <v>23</v>
      </c>
      <c r="Y54">
        <v>0</v>
      </c>
      <c r="Z54">
        <v>0</v>
      </c>
      <c r="AA54">
        <v>0</v>
      </c>
      <c r="AD54">
        <v>0</v>
      </c>
      <c r="AM54" t="s">
        <v>3516</v>
      </c>
      <c r="AN54" t="s">
        <v>3041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3517</v>
      </c>
      <c r="BA54">
        <v>0</v>
      </c>
      <c r="BC54" t="s">
        <v>3041</v>
      </c>
      <c r="BF54" t="s">
        <v>3518</v>
      </c>
    </row>
    <row r="55" spans="1:58" x14ac:dyDescent="0.35">
      <c r="A55" t="s">
        <v>3519</v>
      </c>
      <c r="B55">
        <v>10000</v>
      </c>
      <c r="C55">
        <v>10000</v>
      </c>
      <c r="D55" s="2">
        <v>45730</v>
      </c>
      <c r="E55" t="s">
        <v>61</v>
      </c>
      <c r="F55" t="s">
        <v>3514</v>
      </c>
      <c r="G55" t="s">
        <v>3038</v>
      </c>
      <c r="I55">
        <v>1</v>
      </c>
      <c r="J55" t="s">
        <v>63</v>
      </c>
      <c r="K55">
        <v>88</v>
      </c>
      <c r="L55" t="s">
        <v>630</v>
      </c>
      <c r="M55">
        <v>150</v>
      </c>
      <c r="P55" s="2">
        <v>45730</v>
      </c>
      <c r="R55">
        <v>1</v>
      </c>
      <c r="S55">
        <v>150</v>
      </c>
      <c r="T55" t="s">
        <v>65</v>
      </c>
      <c r="U55" t="s">
        <v>3520</v>
      </c>
      <c r="V55">
        <v>0</v>
      </c>
      <c r="W55">
        <v>50</v>
      </c>
      <c r="X55">
        <v>100</v>
      </c>
      <c r="Y55">
        <v>0</v>
      </c>
      <c r="Z55">
        <v>0</v>
      </c>
      <c r="AA55">
        <v>0</v>
      </c>
      <c r="AD55">
        <v>0</v>
      </c>
      <c r="AM55" t="s">
        <v>3521</v>
      </c>
      <c r="AN55" t="s">
        <v>3041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3522</v>
      </c>
      <c r="BA55">
        <v>0</v>
      </c>
      <c r="BC55" t="s">
        <v>3041</v>
      </c>
      <c r="BF55" t="s">
        <v>3518</v>
      </c>
    </row>
    <row r="56" spans="1:58" x14ac:dyDescent="0.35">
      <c r="A56" t="s">
        <v>3519</v>
      </c>
      <c r="B56">
        <v>10000</v>
      </c>
      <c r="C56">
        <v>20000</v>
      </c>
      <c r="D56" s="2">
        <v>45730</v>
      </c>
      <c r="E56" t="s">
        <v>61</v>
      </c>
      <c r="F56" t="s">
        <v>3514</v>
      </c>
      <c r="G56" t="s">
        <v>3038</v>
      </c>
      <c r="I56">
        <v>2</v>
      </c>
      <c r="J56" t="s">
        <v>63</v>
      </c>
      <c r="K56">
        <v>92</v>
      </c>
      <c r="L56" t="s">
        <v>424</v>
      </c>
      <c r="M56">
        <v>20</v>
      </c>
      <c r="P56" s="2">
        <v>45730</v>
      </c>
      <c r="R56">
        <v>3</v>
      </c>
      <c r="S56">
        <v>60</v>
      </c>
      <c r="T56" t="s">
        <v>65</v>
      </c>
      <c r="U56" t="s">
        <v>3520</v>
      </c>
      <c r="V56">
        <v>0</v>
      </c>
      <c r="W56">
        <v>50</v>
      </c>
      <c r="X56">
        <v>10</v>
      </c>
      <c r="Y56">
        <v>0</v>
      </c>
      <c r="Z56">
        <v>0</v>
      </c>
      <c r="AA56">
        <v>0</v>
      </c>
      <c r="AD56">
        <v>0</v>
      </c>
      <c r="AM56" t="s">
        <v>3521</v>
      </c>
      <c r="AN56" t="s">
        <v>3041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3522</v>
      </c>
      <c r="BA56">
        <v>0</v>
      </c>
      <c r="BC56" t="s">
        <v>3041</v>
      </c>
      <c r="BF56" t="s">
        <v>3518</v>
      </c>
    </row>
    <row r="57" spans="1:58" x14ac:dyDescent="0.35">
      <c r="A57" t="s">
        <v>3523</v>
      </c>
      <c r="B57">
        <v>10000</v>
      </c>
      <c r="C57">
        <v>10000</v>
      </c>
      <c r="D57" s="2">
        <v>45730</v>
      </c>
      <c r="E57" t="s">
        <v>61</v>
      </c>
      <c r="F57" s="3">
        <v>0.53350694444444446</v>
      </c>
      <c r="G57" t="s">
        <v>1773</v>
      </c>
      <c r="I57">
        <v>1</v>
      </c>
      <c r="J57" t="s">
        <v>63</v>
      </c>
      <c r="K57">
        <v>32</v>
      </c>
      <c r="L57" t="s">
        <v>3524</v>
      </c>
      <c r="M57" s="4">
        <v>5860</v>
      </c>
      <c r="P57" s="2">
        <v>45730</v>
      </c>
      <c r="R57">
        <v>1</v>
      </c>
      <c r="S57" s="4">
        <v>5860</v>
      </c>
      <c r="T57" t="s">
        <v>65</v>
      </c>
      <c r="U57" t="s">
        <v>1774</v>
      </c>
      <c r="V57">
        <v>0</v>
      </c>
      <c r="W57" s="4">
        <v>5360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1775</v>
      </c>
      <c r="AN57" t="s">
        <v>116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3525</v>
      </c>
      <c r="BA57">
        <v>0</v>
      </c>
      <c r="BC57" t="s">
        <v>116</v>
      </c>
      <c r="BF57" t="s">
        <v>2762</v>
      </c>
    </row>
    <row r="58" spans="1:58" x14ac:dyDescent="0.35">
      <c r="A58" t="s">
        <v>3526</v>
      </c>
      <c r="B58">
        <v>10000</v>
      </c>
      <c r="C58">
        <v>10000</v>
      </c>
      <c r="D58" s="2">
        <v>45730</v>
      </c>
      <c r="E58" t="s">
        <v>61</v>
      </c>
      <c r="F58" s="3">
        <v>0.45489583333333333</v>
      </c>
      <c r="G58" t="s">
        <v>3316</v>
      </c>
      <c r="I58">
        <v>1</v>
      </c>
      <c r="J58" t="s">
        <v>63</v>
      </c>
      <c r="K58">
        <v>12</v>
      </c>
      <c r="L58" t="s">
        <v>478</v>
      </c>
      <c r="M58" s="4">
        <v>3000</v>
      </c>
      <c r="P58" s="2">
        <v>45730</v>
      </c>
      <c r="R58">
        <v>2</v>
      </c>
      <c r="S58" s="4">
        <v>6000</v>
      </c>
      <c r="T58" t="s">
        <v>65</v>
      </c>
      <c r="U58" t="s">
        <v>3527</v>
      </c>
      <c r="V58">
        <v>0</v>
      </c>
      <c r="W58" s="4">
        <v>6000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3528</v>
      </c>
      <c r="AN58" t="s">
        <v>116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3529</v>
      </c>
      <c r="BA58">
        <v>0</v>
      </c>
      <c r="BC58" t="s">
        <v>116</v>
      </c>
      <c r="BF58" t="s">
        <v>3313</v>
      </c>
    </row>
    <row r="59" spans="1:58" x14ac:dyDescent="0.35">
      <c r="A59" t="s">
        <v>3530</v>
      </c>
      <c r="B59">
        <v>10000</v>
      </c>
      <c r="C59">
        <v>10000</v>
      </c>
      <c r="D59" s="2">
        <v>45730</v>
      </c>
      <c r="E59" t="s">
        <v>61</v>
      </c>
      <c r="F59" t="s">
        <v>3249</v>
      </c>
      <c r="G59" t="s">
        <v>2613</v>
      </c>
      <c r="I59">
        <v>1</v>
      </c>
      <c r="J59" t="s">
        <v>63</v>
      </c>
      <c r="K59">
        <v>61</v>
      </c>
      <c r="L59" t="s">
        <v>197</v>
      </c>
      <c r="M59" s="4">
        <v>8334</v>
      </c>
      <c r="P59" s="2">
        <v>45730</v>
      </c>
      <c r="R59">
        <v>6</v>
      </c>
      <c r="S59" s="4">
        <v>50004</v>
      </c>
      <c r="T59" t="s">
        <v>65</v>
      </c>
      <c r="U59" t="s">
        <v>198</v>
      </c>
      <c r="V59">
        <v>0</v>
      </c>
      <c r="W59" s="4">
        <v>50000</v>
      </c>
      <c r="X59">
        <v>4</v>
      </c>
      <c r="Y59">
        <v>0</v>
      </c>
      <c r="Z59">
        <v>0</v>
      </c>
      <c r="AA59">
        <v>0</v>
      </c>
      <c r="AD59">
        <v>0</v>
      </c>
      <c r="AM59" t="s">
        <v>199</v>
      </c>
      <c r="AN59" t="s">
        <v>116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3531</v>
      </c>
      <c r="BA59">
        <v>0</v>
      </c>
      <c r="BC59" t="s">
        <v>116</v>
      </c>
      <c r="BF59" t="s">
        <v>3532</v>
      </c>
    </row>
    <row r="60" spans="1:58" x14ac:dyDescent="0.35">
      <c r="A60" t="s">
        <v>3335</v>
      </c>
      <c r="B60">
        <v>10000</v>
      </c>
      <c r="C60">
        <v>20000</v>
      </c>
      <c r="D60" s="2">
        <v>45733</v>
      </c>
      <c r="E60" t="s">
        <v>61</v>
      </c>
      <c r="F60" s="3">
        <v>0.54084490740740743</v>
      </c>
      <c r="G60" t="s">
        <v>3336</v>
      </c>
      <c r="I60">
        <v>2</v>
      </c>
      <c r="J60" t="s">
        <v>63</v>
      </c>
      <c r="K60">
        <v>101</v>
      </c>
      <c r="L60" t="s">
        <v>75</v>
      </c>
      <c r="M60" s="4">
        <v>10000</v>
      </c>
      <c r="P60" s="2">
        <v>45730</v>
      </c>
      <c r="R60">
        <v>10</v>
      </c>
      <c r="S60" s="4">
        <v>100000</v>
      </c>
      <c r="T60" t="s">
        <v>65</v>
      </c>
      <c r="U60" t="s">
        <v>3337</v>
      </c>
      <c r="V60">
        <v>0</v>
      </c>
      <c r="W60" s="4">
        <v>100000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3338</v>
      </c>
      <c r="AN60" t="s">
        <v>107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3339</v>
      </c>
      <c r="BA60">
        <v>0</v>
      </c>
      <c r="BC60" t="s">
        <v>107</v>
      </c>
      <c r="BF60" t="s">
        <v>3340</v>
      </c>
    </row>
    <row r="61" spans="1:58" x14ac:dyDescent="0.35">
      <c r="A61" t="s">
        <v>3533</v>
      </c>
      <c r="B61">
        <v>10000</v>
      </c>
      <c r="C61">
        <v>10000</v>
      </c>
      <c r="D61" s="2">
        <v>45748</v>
      </c>
      <c r="E61" t="s">
        <v>61</v>
      </c>
      <c r="F61" t="s">
        <v>3534</v>
      </c>
      <c r="G61">
        <v>10639931114</v>
      </c>
      <c r="I61">
        <v>1</v>
      </c>
      <c r="J61" t="s">
        <v>63</v>
      </c>
      <c r="K61">
        <v>79</v>
      </c>
      <c r="L61" t="s">
        <v>573</v>
      </c>
      <c r="M61" s="4">
        <v>1418</v>
      </c>
      <c r="P61" s="2">
        <v>45730</v>
      </c>
      <c r="R61">
        <v>176</v>
      </c>
      <c r="S61" s="4">
        <v>249568</v>
      </c>
      <c r="T61" t="s">
        <v>65</v>
      </c>
      <c r="U61" t="s">
        <v>611</v>
      </c>
      <c r="V61">
        <v>0</v>
      </c>
      <c r="W61" s="4">
        <v>215000</v>
      </c>
      <c r="X61" s="4">
        <v>34568</v>
      </c>
      <c r="Y61">
        <v>0</v>
      </c>
      <c r="Z61">
        <v>0</v>
      </c>
      <c r="AA61">
        <v>0</v>
      </c>
      <c r="AD61">
        <v>0</v>
      </c>
      <c r="AM61" t="s">
        <v>612</v>
      </c>
      <c r="AN61" t="s">
        <v>107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3535</v>
      </c>
      <c r="BA61">
        <v>0</v>
      </c>
      <c r="BC61" t="s">
        <v>107</v>
      </c>
      <c r="BF61" t="s">
        <v>3536</v>
      </c>
    </row>
    <row r="62" spans="1:58" x14ac:dyDescent="0.35">
      <c r="A62" t="s">
        <v>3537</v>
      </c>
      <c r="B62">
        <v>10000</v>
      </c>
      <c r="C62">
        <v>10000</v>
      </c>
      <c r="D62" s="2">
        <v>45743</v>
      </c>
      <c r="E62" t="s">
        <v>61</v>
      </c>
      <c r="F62" t="s">
        <v>3538</v>
      </c>
      <c r="G62">
        <v>10639931025</v>
      </c>
      <c r="I62">
        <v>1</v>
      </c>
      <c r="J62" t="s">
        <v>63</v>
      </c>
      <c r="K62">
        <v>79</v>
      </c>
      <c r="L62" t="s">
        <v>573</v>
      </c>
      <c r="M62">
        <v>879</v>
      </c>
      <c r="P62" s="2">
        <v>45730</v>
      </c>
      <c r="R62">
        <v>264</v>
      </c>
      <c r="S62" s="4">
        <v>232056</v>
      </c>
      <c r="T62" t="s">
        <v>65</v>
      </c>
      <c r="U62" t="s">
        <v>3539</v>
      </c>
      <c r="V62">
        <v>0</v>
      </c>
      <c r="W62" s="4">
        <v>200000</v>
      </c>
      <c r="X62" s="4">
        <v>32056</v>
      </c>
      <c r="Y62">
        <v>0</v>
      </c>
      <c r="Z62">
        <v>0</v>
      </c>
      <c r="AA62">
        <v>0</v>
      </c>
      <c r="AD62">
        <v>0</v>
      </c>
      <c r="AM62" t="s">
        <v>3540</v>
      </c>
      <c r="AN62" t="s">
        <v>107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3541</v>
      </c>
      <c r="BA62">
        <v>0</v>
      </c>
      <c r="BC62" t="s">
        <v>107</v>
      </c>
      <c r="BF62" t="s">
        <v>3542</v>
      </c>
    </row>
    <row r="63" spans="1:58" x14ac:dyDescent="0.35">
      <c r="A63" t="s">
        <v>3543</v>
      </c>
      <c r="B63">
        <v>10000</v>
      </c>
      <c r="C63">
        <v>10000</v>
      </c>
      <c r="D63" s="2">
        <v>45730</v>
      </c>
      <c r="E63" t="s">
        <v>61</v>
      </c>
      <c r="F63" t="s">
        <v>3544</v>
      </c>
      <c r="G63" t="s">
        <v>180</v>
      </c>
      <c r="I63">
        <v>1</v>
      </c>
      <c r="J63" t="s">
        <v>63</v>
      </c>
      <c r="K63">
        <v>59</v>
      </c>
      <c r="L63" t="s">
        <v>745</v>
      </c>
      <c r="M63">
        <v>258</v>
      </c>
      <c r="P63" s="2">
        <v>45730</v>
      </c>
      <c r="R63">
        <v>4</v>
      </c>
      <c r="S63" s="4">
        <v>1032</v>
      </c>
      <c r="T63" t="s">
        <v>65</v>
      </c>
      <c r="U63">
        <v>112887750001</v>
      </c>
      <c r="V63">
        <v>0</v>
      </c>
      <c r="W63" s="4">
        <v>1030</v>
      </c>
      <c r="X63">
        <v>2</v>
      </c>
      <c r="Y63">
        <v>0</v>
      </c>
      <c r="Z63">
        <v>0</v>
      </c>
      <c r="AA63">
        <v>0</v>
      </c>
      <c r="AD63">
        <v>0</v>
      </c>
      <c r="AM63">
        <v>11288775</v>
      </c>
      <c r="AN63" t="s">
        <v>182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3545</v>
      </c>
      <c r="BA63">
        <v>0</v>
      </c>
      <c r="BC63" t="s">
        <v>182</v>
      </c>
      <c r="BF63" t="s">
        <v>3546</v>
      </c>
    </row>
    <row r="64" spans="1:58" x14ac:dyDescent="0.35">
      <c r="A64" t="s">
        <v>3547</v>
      </c>
      <c r="B64">
        <v>10000</v>
      </c>
      <c r="C64">
        <v>10000</v>
      </c>
      <c r="D64" s="2">
        <v>45730</v>
      </c>
      <c r="E64" t="s">
        <v>61</v>
      </c>
      <c r="F64" t="s">
        <v>3544</v>
      </c>
      <c r="G64" t="s">
        <v>180</v>
      </c>
      <c r="I64">
        <v>1</v>
      </c>
      <c r="J64" t="s">
        <v>63</v>
      </c>
      <c r="K64">
        <v>59</v>
      </c>
      <c r="L64" t="s">
        <v>745</v>
      </c>
      <c r="M64">
        <v>258</v>
      </c>
      <c r="P64" s="2">
        <v>45730</v>
      </c>
      <c r="R64">
        <v>4</v>
      </c>
      <c r="S64" s="4">
        <v>1032</v>
      </c>
      <c r="T64" t="s">
        <v>65</v>
      </c>
      <c r="U64">
        <v>112887750001</v>
      </c>
      <c r="V64">
        <v>0</v>
      </c>
      <c r="W64" s="4">
        <v>1030</v>
      </c>
      <c r="X64">
        <v>2</v>
      </c>
      <c r="Y64">
        <v>0</v>
      </c>
      <c r="Z64">
        <v>0</v>
      </c>
      <c r="AA64">
        <v>0</v>
      </c>
      <c r="AD64">
        <v>0</v>
      </c>
      <c r="AM64">
        <v>11288775</v>
      </c>
      <c r="AN64" t="s">
        <v>182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3548</v>
      </c>
      <c r="BA64">
        <v>0</v>
      </c>
      <c r="BC64" t="s">
        <v>182</v>
      </c>
      <c r="BF64" t="s">
        <v>3549</v>
      </c>
    </row>
    <row r="65" spans="1:58" x14ac:dyDescent="0.35">
      <c r="A65" t="s">
        <v>3550</v>
      </c>
      <c r="B65">
        <v>10000</v>
      </c>
      <c r="C65">
        <v>10000</v>
      </c>
      <c r="D65" s="2">
        <v>45736</v>
      </c>
      <c r="E65" t="s">
        <v>61</v>
      </c>
      <c r="F65" t="s">
        <v>3551</v>
      </c>
      <c r="G65" t="s">
        <v>387</v>
      </c>
      <c r="I65">
        <v>1</v>
      </c>
      <c r="J65" t="s">
        <v>63</v>
      </c>
      <c r="K65">
        <v>88</v>
      </c>
      <c r="L65" t="s">
        <v>630</v>
      </c>
      <c r="M65">
        <v>300</v>
      </c>
      <c r="P65" s="2">
        <v>45730</v>
      </c>
      <c r="R65">
        <v>3</v>
      </c>
      <c r="S65">
        <v>900</v>
      </c>
      <c r="T65" t="s">
        <v>65</v>
      </c>
      <c r="U65" t="s">
        <v>3552</v>
      </c>
      <c r="V65">
        <v>0</v>
      </c>
      <c r="W65">
        <v>600</v>
      </c>
      <c r="X65">
        <v>300</v>
      </c>
      <c r="Y65">
        <v>0</v>
      </c>
      <c r="Z65">
        <v>0</v>
      </c>
      <c r="AA65">
        <v>0</v>
      </c>
      <c r="AD65">
        <v>0</v>
      </c>
      <c r="AM65" t="s">
        <v>3553</v>
      </c>
      <c r="AN65" t="s">
        <v>1241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3554</v>
      </c>
      <c r="BA65">
        <v>0</v>
      </c>
      <c r="BC65" t="s">
        <v>1241</v>
      </c>
      <c r="BF65" t="s">
        <v>3555</v>
      </c>
    </row>
    <row r="66" spans="1:58" x14ac:dyDescent="0.35">
      <c r="A66" t="s">
        <v>3556</v>
      </c>
      <c r="B66">
        <v>10000</v>
      </c>
      <c r="C66">
        <v>10000</v>
      </c>
      <c r="D66" s="2">
        <v>45736</v>
      </c>
      <c r="E66" t="s">
        <v>61</v>
      </c>
      <c r="F66" t="s">
        <v>3551</v>
      </c>
      <c r="G66" t="s">
        <v>1238</v>
      </c>
      <c r="I66">
        <v>1</v>
      </c>
      <c r="J66" t="s">
        <v>63</v>
      </c>
      <c r="K66">
        <v>88</v>
      </c>
      <c r="L66" t="s">
        <v>630</v>
      </c>
      <c r="M66">
        <v>800</v>
      </c>
      <c r="P66" s="2">
        <v>45730</v>
      </c>
      <c r="R66">
        <v>1</v>
      </c>
      <c r="S66">
        <v>800</v>
      </c>
      <c r="T66" t="s">
        <v>65</v>
      </c>
      <c r="U66" t="s">
        <v>1239</v>
      </c>
      <c r="V66">
        <v>0</v>
      </c>
      <c r="W66">
        <v>500</v>
      </c>
      <c r="X66">
        <v>300</v>
      </c>
      <c r="Y66">
        <v>0</v>
      </c>
      <c r="Z66">
        <v>0</v>
      </c>
      <c r="AA66">
        <v>0</v>
      </c>
      <c r="AD66">
        <v>0</v>
      </c>
      <c r="AM66" t="s">
        <v>1240</v>
      </c>
      <c r="AN66" t="s">
        <v>1241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3557</v>
      </c>
      <c r="BA66">
        <v>0</v>
      </c>
      <c r="BC66" t="s">
        <v>1241</v>
      </c>
      <c r="BF66" t="s">
        <v>3555</v>
      </c>
    </row>
    <row r="67" spans="1:58" x14ac:dyDescent="0.35">
      <c r="A67" t="s">
        <v>3558</v>
      </c>
      <c r="B67">
        <v>10000</v>
      </c>
      <c r="C67">
        <v>10000</v>
      </c>
      <c r="D67" s="2">
        <v>45744</v>
      </c>
      <c r="E67" t="s">
        <v>61</v>
      </c>
      <c r="F67" t="s">
        <v>3559</v>
      </c>
      <c r="G67">
        <v>10639931114</v>
      </c>
      <c r="I67">
        <v>1</v>
      </c>
      <c r="J67" t="s">
        <v>63</v>
      </c>
      <c r="K67">
        <v>79</v>
      </c>
      <c r="L67" t="s">
        <v>573</v>
      </c>
      <c r="M67">
        <v>535</v>
      </c>
      <c r="P67" s="2">
        <v>45730</v>
      </c>
      <c r="R67">
        <v>176</v>
      </c>
      <c r="S67" s="4">
        <v>94160</v>
      </c>
      <c r="T67" t="s">
        <v>65</v>
      </c>
      <c r="U67" t="s">
        <v>3560</v>
      </c>
      <c r="V67">
        <v>0</v>
      </c>
      <c r="W67" s="4">
        <v>80000</v>
      </c>
      <c r="X67" s="4">
        <v>14160</v>
      </c>
      <c r="Y67">
        <v>0</v>
      </c>
      <c r="Z67">
        <v>0</v>
      </c>
      <c r="AA67">
        <v>0</v>
      </c>
      <c r="AD67">
        <v>0</v>
      </c>
      <c r="AM67" t="s">
        <v>3561</v>
      </c>
      <c r="AN67" t="s">
        <v>107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3562</v>
      </c>
      <c r="BA67">
        <v>0</v>
      </c>
      <c r="BC67" t="s">
        <v>107</v>
      </c>
      <c r="BF67" t="s">
        <v>3563</v>
      </c>
    </row>
    <row r="68" spans="1:58" x14ac:dyDescent="0.35">
      <c r="A68" t="s">
        <v>3564</v>
      </c>
      <c r="B68">
        <v>10000</v>
      </c>
      <c r="C68">
        <v>10000</v>
      </c>
      <c r="D68" s="2">
        <v>45730</v>
      </c>
      <c r="E68" t="s">
        <v>61</v>
      </c>
      <c r="F68" t="s">
        <v>3123</v>
      </c>
      <c r="G68" t="s">
        <v>3487</v>
      </c>
      <c r="I68">
        <v>1</v>
      </c>
      <c r="J68" t="s">
        <v>63</v>
      </c>
      <c r="K68">
        <v>31</v>
      </c>
      <c r="L68" t="s">
        <v>1311</v>
      </c>
      <c r="M68">
        <v>500</v>
      </c>
      <c r="P68" s="2">
        <v>45730</v>
      </c>
      <c r="R68">
        <v>1</v>
      </c>
      <c r="S68">
        <v>500</v>
      </c>
      <c r="T68" t="s">
        <v>65</v>
      </c>
      <c r="U68" t="s">
        <v>1324</v>
      </c>
      <c r="V68">
        <v>0</v>
      </c>
      <c r="W68">
        <v>500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1325</v>
      </c>
      <c r="AN68" t="s">
        <v>1314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3565</v>
      </c>
      <c r="BA68">
        <v>0</v>
      </c>
      <c r="BC68" t="s">
        <v>1314</v>
      </c>
      <c r="BF68" t="s">
        <v>3566</v>
      </c>
    </row>
    <row r="69" spans="1:58" x14ac:dyDescent="0.35">
      <c r="A69" t="s">
        <v>3345</v>
      </c>
      <c r="B69">
        <v>10000</v>
      </c>
      <c r="C69">
        <v>20000</v>
      </c>
      <c r="D69" s="2">
        <v>45730</v>
      </c>
      <c r="E69" t="s">
        <v>61</v>
      </c>
      <c r="F69" t="s">
        <v>3346</v>
      </c>
      <c r="G69" t="s">
        <v>559</v>
      </c>
      <c r="I69">
        <v>2</v>
      </c>
      <c r="J69" t="s">
        <v>63</v>
      </c>
      <c r="K69">
        <v>71</v>
      </c>
      <c r="L69" t="s">
        <v>135</v>
      </c>
      <c r="M69" s="4">
        <v>5000</v>
      </c>
      <c r="P69" s="2">
        <v>45730</v>
      </c>
      <c r="R69">
        <v>2</v>
      </c>
      <c r="S69" s="4">
        <v>10000</v>
      </c>
      <c r="T69" t="s">
        <v>65</v>
      </c>
      <c r="U69" t="s">
        <v>3347</v>
      </c>
      <c r="V69">
        <v>0</v>
      </c>
      <c r="W69" s="4">
        <v>10000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3348</v>
      </c>
      <c r="AN69" t="s">
        <v>562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3349</v>
      </c>
      <c r="BA69">
        <v>0</v>
      </c>
      <c r="BC69" t="s">
        <v>562</v>
      </c>
      <c r="BF69" t="s">
        <v>3350</v>
      </c>
    </row>
    <row r="70" spans="1:58" x14ac:dyDescent="0.35">
      <c r="A70" t="s">
        <v>3567</v>
      </c>
      <c r="B70">
        <v>10000</v>
      </c>
      <c r="C70">
        <v>10000</v>
      </c>
      <c r="D70" s="2">
        <v>45733</v>
      </c>
      <c r="E70" t="s">
        <v>61</v>
      </c>
      <c r="F70" t="s">
        <v>2707</v>
      </c>
      <c r="G70" t="s">
        <v>3568</v>
      </c>
      <c r="I70">
        <v>1</v>
      </c>
      <c r="J70" t="s">
        <v>63</v>
      </c>
      <c r="K70">
        <v>75</v>
      </c>
      <c r="L70" t="s">
        <v>459</v>
      </c>
      <c r="M70">
        <v>308</v>
      </c>
      <c r="P70" s="2">
        <v>45730</v>
      </c>
      <c r="R70">
        <v>13</v>
      </c>
      <c r="S70" s="4">
        <v>4004</v>
      </c>
      <c r="T70" t="s">
        <v>65</v>
      </c>
      <c r="U70" t="s">
        <v>3569</v>
      </c>
      <c r="V70">
        <v>0</v>
      </c>
      <c r="W70" s="4">
        <v>4000</v>
      </c>
      <c r="X70">
        <v>4</v>
      </c>
      <c r="Y70">
        <v>0</v>
      </c>
      <c r="Z70">
        <v>0</v>
      </c>
      <c r="AA70">
        <v>0</v>
      </c>
      <c r="AD70">
        <v>0</v>
      </c>
      <c r="AM70" t="s">
        <v>3570</v>
      </c>
      <c r="AN70" t="s">
        <v>175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3571</v>
      </c>
      <c r="BA70">
        <v>0</v>
      </c>
      <c r="BC70" t="s">
        <v>175</v>
      </c>
      <c r="BF70" t="s">
        <v>3572</v>
      </c>
    </row>
    <row r="71" spans="1:58" x14ac:dyDescent="0.35">
      <c r="A71" t="s">
        <v>3573</v>
      </c>
      <c r="B71">
        <v>10000</v>
      </c>
      <c r="C71">
        <v>10000</v>
      </c>
      <c r="D71" s="2">
        <v>45734</v>
      </c>
      <c r="E71" t="s">
        <v>61</v>
      </c>
      <c r="F71" t="s">
        <v>3574</v>
      </c>
      <c r="G71" t="s">
        <v>134</v>
      </c>
      <c r="I71">
        <v>1</v>
      </c>
      <c r="J71" t="s">
        <v>63</v>
      </c>
      <c r="K71">
        <v>72</v>
      </c>
      <c r="L71" t="s">
        <v>163</v>
      </c>
      <c r="M71" s="4">
        <v>1750</v>
      </c>
      <c r="P71" s="2">
        <v>45730</v>
      </c>
      <c r="R71">
        <v>4</v>
      </c>
      <c r="S71" s="4">
        <v>7000</v>
      </c>
      <c r="T71" t="s">
        <v>65</v>
      </c>
      <c r="U71">
        <v>83614970001</v>
      </c>
      <c r="V71">
        <v>0</v>
      </c>
      <c r="W71" s="4">
        <v>5000</v>
      </c>
      <c r="X71" s="4">
        <v>2000</v>
      </c>
      <c r="Y71">
        <v>0</v>
      </c>
      <c r="Z71">
        <v>0</v>
      </c>
      <c r="AA71">
        <v>0</v>
      </c>
      <c r="AD71">
        <v>0</v>
      </c>
      <c r="AM71">
        <v>8361497</v>
      </c>
      <c r="AN71" t="s">
        <v>91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3575</v>
      </c>
      <c r="BA71">
        <v>0</v>
      </c>
      <c r="BC71" t="s">
        <v>91</v>
      </c>
      <c r="BF71" t="s">
        <v>3576</v>
      </c>
    </row>
    <row r="72" spans="1:58" x14ac:dyDescent="0.35">
      <c r="A72" t="s">
        <v>3577</v>
      </c>
      <c r="B72">
        <v>10000</v>
      </c>
      <c r="C72">
        <v>10000</v>
      </c>
      <c r="D72" s="2">
        <v>45734</v>
      </c>
      <c r="E72" t="s">
        <v>61</v>
      </c>
      <c r="F72" t="s">
        <v>3578</v>
      </c>
      <c r="G72" t="s">
        <v>134</v>
      </c>
      <c r="I72">
        <v>1</v>
      </c>
      <c r="J72" t="s">
        <v>63</v>
      </c>
      <c r="K72">
        <v>72</v>
      </c>
      <c r="L72" t="s">
        <v>163</v>
      </c>
      <c r="M72" s="4">
        <v>1750</v>
      </c>
      <c r="P72" s="2">
        <v>45730</v>
      </c>
      <c r="R72">
        <v>4</v>
      </c>
      <c r="S72" s="4">
        <v>7000</v>
      </c>
      <c r="T72" t="s">
        <v>65</v>
      </c>
      <c r="U72">
        <v>83615030001</v>
      </c>
      <c r="V72">
        <v>0</v>
      </c>
      <c r="W72" s="4">
        <v>5000</v>
      </c>
      <c r="X72" s="4">
        <v>2000</v>
      </c>
      <c r="Y72">
        <v>0</v>
      </c>
      <c r="Z72">
        <v>0</v>
      </c>
      <c r="AA72">
        <v>0</v>
      </c>
      <c r="AD72">
        <v>0</v>
      </c>
      <c r="AM72">
        <v>8361503</v>
      </c>
      <c r="AN72" t="s">
        <v>91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3579</v>
      </c>
      <c r="BA72">
        <v>0</v>
      </c>
      <c r="BC72" t="s">
        <v>91</v>
      </c>
      <c r="BF72" t="s">
        <v>3576</v>
      </c>
    </row>
    <row r="73" spans="1:58" x14ac:dyDescent="0.35">
      <c r="A73" t="s">
        <v>3580</v>
      </c>
      <c r="B73">
        <v>10000</v>
      </c>
      <c r="C73">
        <v>10000</v>
      </c>
      <c r="D73" s="2">
        <v>45734</v>
      </c>
      <c r="E73" t="s">
        <v>61</v>
      </c>
      <c r="F73" t="s">
        <v>3581</v>
      </c>
      <c r="G73" t="s">
        <v>134</v>
      </c>
      <c r="I73">
        <v>1</v>
      </c>
      <c r="J73" t="s">
        <v>63</v>
      </c>
      <c r="K73">
        <v>72</v>
      </c>
      <c r="L73" t="s">
        <v>163</v>
      </c>
      <c r="M73" s="4">
        <v>1750</v>
      </c>
      <c r="P73" s="2">
        <v>45730</v>
      </c>
      <c r="R73">
        <v>4</v>
      </c>
      <c r="S73" s="4">
        <v>7000</v>
      </c>
      <c r="T73" t="s">
        <v>65</v>
      </c>
      <c r="U73">
        <v>83615120001</v>
      </c>
      <c r="V73">
        <v>0</v>
      </c>
      <c r="W73" s="4">
        <v>5000</v>
      </c>
      <c r="X73" s="4">
        <v>2000</v>
      </c>
      <c r="Y73">
        <v>0</v>
      </c>
      <c r="Z73">
        <v>0</v>
      </c>
      <c r="AA73">
        <v>0</v>
      </c>
      <c r="AD73">
        <v>0</v>
      </c>
      <c r="AM73">
        <v>8361512</v>
      </c>
      <c r="AN73" t="s">
        <v>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3582</v>
      </c>
      <c r="BA73">
        <v>0</v>
      </c>
      <c r="BC73" t="s">
        <v>91</v>
      </c>
      <c r="BF73" t="s">
        <v>3576</v>
      </c>
    </row>
    <row r="74" spans="1:58" x14ac:dyDescent="0.35">
      <c r="A74" t="s">
        <v>3583</v>
      </c>
      <c r="B74">
        <v>10000</v>
      </c>
      <c r="C74">
        <v>10000</v>
      </c>
      <c r="D74" s="2">
        <v>45734</v>
      </c>
      <c r="E74" t="s">
        <v>61</v>
      </c>
      <c r="F74" t="s">
        <v>3584</v>
      </c>
      <c r="G74" t="s">
        <v>134</v>
      </c>
      <c r="I74">
        <v>1</v>
      </c>
      <c r="J74" t="s">
        <v>63</v>
      </c>
      <c r="K74">
        <v>72</v>
      </c>
      <c r="L74" t="s">
        <v>163</v>
      </c>
      <c r="M74" s="4">
        <v>1750</v>
      </c>
      <c r="P74" s="2">
        <v>45730</v>
      </c>
      <c r="R74">
        <v>4</v>
      </c>
      <c r="S74" s="4">
        <v>7000</v>
      </c>
      <c r="T74" t="s">
        <v>65</v>
      </c>
      <c r="U74">
        <v>5000514780001</v>
      </c>
      <c r="V74">
        <v>0</v>
      </c>
      <c r="W74" s="4">
        <v>5000</v>
      </c>
      <c r="X74" s="4">
        <v>2000</v>
      </c>
      <c r="Y74">
        <v>0</v>
      </c>
      <c r="Z74">
        <v>0</v>
      </c>
      <c r="AA74">
        <v>0</v>
      </c>
      <c r="AD74">
        <v>0</v>
      </c>
      <c r="AM74">
        <v>500051478</v>
      </c>
      <c r="AN74" t="s">
        <v>91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3585</v>
      </c>
      <c r="BA74">
        <v>0</v>
      </c>
      <c r="BC74" t="s">
        <v>91</v>
      </c>
      <c r="BF74" t="s">
        <v>3576</v>
      </c>
    </row>
    <row r="75" spans="1:58" x14ac:dyDescent="0.35">
      <c r="A75" t="s">
        <v>3586</v>
      </c>
      <c r="B75">
        <v>10000</v>
      </c>
      <c r="C75">
        <v>10000</v>
      </c>
      <c r="D75" s="2">
        <v>45734</v>
      </c>
      <c r="E75" t="s">
        <v>61</v>
      </c>
      <c r="F75" t="s">
        <v>3587</v>
      </c>
      <c r="G75" t="s">
        <v>134</v>
      </c>
      <c r="I75">
        <v>1</v>
      </c>
      <c r="J75" t="s">
        <v>63</v>
      </c>
      <c r="K75">
        <v>72</v>
      </c>
      <c r="L75" t="s">
        <v>163</v>
      </c>
      <c r="M75" s="4">
        <v>2750</v>
      </c>
      <c r="P75" s="2">
        <v>45730</v>
      </c>
      <c r="R75">
        <v>4</v>
      </c>
      <c r="S75" s="4">
        <v>11000</v>
      </c>
      <c r="T75" t="s">
        <v>65</v>
      </c>
      <c r="U75">
        <v>83615120001</v>
      </c>
      <c r="V75">
        <v>0</v>
      </c>
      <c r="W75" s="4">
        <v>10000</v>
      </c>
      <c r="X75" s="4">
        <v>1000</v>
      </c>
      <c r="Y75">
        <v>0</v>
      </c>
      <c r="Z75">
        <v>0</v>
      </c>
      <c r="AA75">
        <v>0</v>
      </c>
      <c r="AD75">
        <v>0</v>
      </c>
      <c r="AM75">
        <v>8361512</v>
      </c>
      <c r="AN75" t="s">
        <v>91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3588</v>
      </c>
      <c r="BA75">
        <v>0</v>
      </c>
      <c r="BC75" t="s">
        <v>91</v>
      </c>
      <c r="BF75" t="s">
        <v>3589</v>
      </c>
    </row>
    <row r="76" spans="1:58" x14ac:dyDescent="0.35">
      <c r="A76" t="s">
        <v>3590</v>
      </c>
      <c r="B76">
        <v>10000</v>
      </c>
      <c r="C76">
        <v>10000</v>
      </c>
      <c r="D76" s="2">
        <v>45735</v>
      </c>
      <c r="E76" t="s">
        <v>61</v>
      </c>
      <c r="F76" t="s">
        <v>3591</v>
      </c>
      <c r="G76" t="s">
        <v>134</v>
      </c>
      <c r="I76">
        <v>1</v>
      </c>
      <c r="J76" t="s">
        <v>63</v>
      </c>
      <c r="K76">
        <v>72</v>
      </c>
      <c r="L76" t="s">
        <v>163</v>
      </c>
      <c r="M76" s="4">
        <v>1750</v>
      </c>
      <c r="P76" s="2">
        <v>45730</v>
      </c>
      <c r="R76">
        <v>4</v>
      </c>
      <c r="S76" s="4">
        <v>7000</v>
      </c>
      <c r="T76" t="s">
        <v>65</v>
      </c>
      <c r="U76">
        <v>5000514710001</v>
      </c>
      <c r="V76">
        <v>0</v>
      </c>
      <c r="W76" s="4">
        <v>5000</v>
      </c>
      <c r="X76" s="4">
        <v>2000</v>
      </c>
      <c r="Y76">
        <v>0</v>
      </c>
      <c r="Z76">
        <v>0</v>
      </c>
      <c r="AA76">
        <v>0</v>
      </c>
      <c r="AD76">
        <v>0</v>
      </c>
      <c r="AM76">
        <v>500051471</v>
      </c>
      <c r="AN76" t="s">
        <v>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3592</v>
      </c>
      <c r="BA76">
        <v>0</v>
      </c>
      <c r="BC76" t="s">
        <v>91</v>
      </c>
      <c r="BF76" t="s">
        <v>3593</v>
      </c>
    </row>
    <row r="77" spans="1:58" x14ac:dyDescent="0.35">
      <c r="A77" t="s">
        <v>3594</v>
      </c>
      <c r="B77">
        <v>10000</v>
      </c>
      <c r="C77">
        <v>10000</v>
      </c>
      <c r="D77" s="2">
        <v>45730</v>
      </c>
      <c r="E77" t="s">
        <v>61</v>
      </c>
      <c r="F77" s="3">
        <v>0.53350694444444446</v>
      </c>
      <c r="G77" t="s">
        <v>3595</v>
      </c>
      <c r="I77">
        <v>1</v>
      </c>
      <c r="J77" t="s">
        <v>63</v>
      </c>
      <c r="K77">
        <v>29</v>
      </c>
      <c r="L77" t="s">
        <v>249</v>
      </c>
      <c r="M77" s="4">
        <v>1500</v>
      </c>
      <c r="P77" s="2">
        <v>45730</v>
      </c>
      <c r="R77">
        <v>2</v>
      </c>
      <c r="S77" s="4">
        <v>3000</v>
      </c>
      <c r="T77" t="s">
        <v>65</v>
      </c>
      <c r="U77" t="s">
        <v>3596</v>
      </c>
      <c r="V77">
        <v>0</v>
      </c>
      <c r="W77" s="4">
        <v>3000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3597</v>
      </c>
      <c r="AN77" t="s">
        <v>157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3598</v>
      </c>
      <c r="BA77">
        <v>0</v>
      </c>
      <c r="BC77" t="s">
        <v>157</v>
      </c>
      <c r="BF77" t="s">
        <v>3599</v>
      </c>
    </row>
    <row r="78" spans="1:58" x14ac:dyDescent="0.35">
      <c r="A78" t="s">
        <v>3600</v>
      </c>
      <c r="B78">
        <v>10000</v>
      </c>
      <c r="C78">
        <v>10000</v>
      </c>
      <c r="D78" s="2">
        <v>45733</v>
      </c>
      <c r="E78" t="s">
        <v>61</v>
      </c>
      <c r="F78" t="s">
        <v>2326</v>
      </c>
      <c r="G78" t="s">
        <v>2289</v>
      </c>
      <c r="I78">
        <v>1</v>
      </c>
      <c r="J78" t="s">
        <v>63</v>
      </c>
      <c r="K78">
        <v>78</v>
      </c>
      <c r="L78" t="s">
        <v>188</v>
      </c>
      <c r="M78" s="4">
        <v>2750</v>
      </c>
      <c r="P78" s="2">
        <v>45730</v>
      </c>
      <c r="R78">
        <v>16</v>
      </c>
      <c r="S78" s="4">
        <v>44000</v>
      </c>
      <c r="T78" t="s">
        <v>65</v>
      </c>
      <c r="U78" t="s">
        <v>1734</v>
      </c>
      <c r="V78">
        <v>0</v>
      </c>
      <c r="W78" s="4">
        <v>40000</v>
      </c>
      <c r="X78" s="4">
        <v>4000</v>
      </c>
      <c r="Y78">
        <v>0</v>
      </c>
      <c r="Z78">
        <v>0</v>
      </c>
      <c r="AA78">
        <v>0</v>
      </c>
      <c r="AD78">
        <v>0</v>
      </c>
      <c r="AM78" t="s">
        <v>1735</v>
      </c>
      <c r="AN78" t="s">
        <v>175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3601</v>
      </c>
      <c r="BA78">
        <v>0</v>
      </c>
      <c r="BC78" t="s">
        <v>175</v>
      </c>
      <c r="BF78" t="s">
        <v>3602</v>
      </c>
    </row>
    <row r="79" spans="1:58" x14ac:dyDescent="0.35">
      <c r="A79" t="s">
        <v>3600</v>
      </c>
      <c r="B79">
        <v>10000</v>
      </c>
      <c r="C79">
        <v>20000</v>
      </c>
      <c r="D79" s="2">
        <v>45733</v>
      </c>
      <c r="E79" t="s">
        <v>61</v>
      </c>
      <c r="F79" t="s">
        <v>2326</v>
      </c>
      <c r="G79" t="s">
        <v>2289</v>
      </c>
      <c r="I79">
        <v>2</v>
      </c>
      <c r="J79" t="s">
        <v>63</v>
      </c>
      <c r="K79">
        <v>63</v>
      </c>
      <c r="L79" t="s">
        <v>519</v>
      </c>
      <c r="M79" s="4">
        <v>2500</v>
      </c>
      <c r="P79" s="2">
        <v>45730</v>
      </c>
      <c r="R79">
        <v>16</v>
      </c>
      <c r="S79" s="4">
        <v>40000</v>
      </c>
      <c r="T79" t="s">
        <v>65</v>
      </c>
      <c r="U79" t="s">
        <v>1734</v>
      </c>
      <c r="V79">
        <v>0</v>
      </c>
      <c r="W79" s="4">
        <v>40000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1735</v>
      </c>
      <c r="AN79" t="s">
        <v>175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3601</v>
      </c>
      <c r="BA79">
        <v>0</v>
      </c>
      <c r="BC79" t="s">
        <v>175</v>
      </c>
      <c r="BF79" t="s">
        <v>3602</v>
      </c>
    </row>
    <row r="80" spans="1:58" x14ac:dyDescent="0.35">
      <c r="A80" t="s">
        <v>3603</v>
      </c>
      <c r="B80">
        <v>10000</v>
      </c>
      <c r="C80">
        <v>10000</v>
      </c>
      <c r="D80" s="2">
        <v>45734</v>
      </c>
      <c r="E80" t="s">
        <v>61</v>
      </c>
      <c r="F80" t="s">
        <v>3604</v>
      </c>
      <c r="G80" t="s">
        <v>1293</v>
      </c>
      <c r="I80">
        <v>1</v>
      </c>
      <c r="J80" t="s">
        <v>63</v>
      </c>
      <c r="K80">
        <v>72</v>
      </c>
      <c r="L80" t="s">
        <v>163</v>
      </c>
      <c r="M80" s="4">
        <v>4000</v>
      </c>
      <c r="P80" s="2">
        <v>45730</v>
      </c>
      <c r="R80">
        <v>4</v>
      </c>
      <c r="S80" s="4">
        <v>16000</v>
      </c>
      <c r="T80" t="s">
        <v>65</v>
      </c>
      <c r="U80">
        <v>566860001</v>
      </c>
      <c r="V80">
        <v>0</v>
      </c>
      <c r="W80" s="4">
        <v>10000</v>
      </c>
      <c r="X80" s="4">
        <v>6000</v>
      </c>
      <c r="Y80">
        <v>0</v>
      </c>
      <c r="Z80">
        <v>0</v>
      </c>
      <c r="AA80">
        <v>0</v>
      </c>
      <c r="AD80">
        <v>0</v>
      </c>
      <c r="AM80">
        <v>56686</v>
      </c>
      <c r="AN80" t="s">
        <v>3605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3606</v>
      </c>
      <c r="BA80">
        <v>0</v>
      </c>
      <c r="BC80" t="s">
        <v>3605</v>
      </c>
      <c r="BF80" t="s">
        <v>3607</v>
      </c>
    </row>
    <row r="81" spans="1:58" x14ac:dyDescent="0.35">
      <c r="A81" t="s">
        <v>3608</v>
      </c>
      <c r="B81">
        <v>10000</v>
      </c>
      <c r="C81">
        <v>10000</v>
      </c>
      <c r="D81" s="2">
        <v>45730</v>
      </c>
      <c r="E81" t="s">
        <v>61</v>
      </c>
      <c r="F81" s="3">
        <v>0.53472222222222221</v>
      </c>
      <c r="G81" t="s">
        <v>3609</v>
      </c>
      <c r="I81">
        <v>1</v>
      </c>
      <c r="J81" t="s">
        <v>63</v>
      </c>
      <c r="K81">
        <v>65</v>
      </c>
      <c r="L81" t="s">
        <v>268</v>
      </c>
      <c r="M81" s="4">
        <v>1112</v>
      </c>
      <c r="P81" s="2">
        <v>45730</v>
      </c>
      <c r="R81">
        <v>45</v>
      </c>
      <c r="S81" s="4">
        <v>50040</v>
      </c>
      <c r="T81" t="s">
        <v>65</v>
      </c>
      <c r="U81" t="s">
        <v>3610</v>
      </c>
      <c r="V81">
        <v>0</v>
      </c>
      <c r="W81" s="4">
        <v>50000</v>
      </c>
      <c r="X81">
        <v>40</v>
      </c>
      <c r="Y81">
        <v>0</v>
      </c>
      <c r="Z81">
        <v>0</v>
      </c>
      <c r="AA81">
        <v>0</v>
      </c>
      <c r="AD81">
        <v>0</v>
      </c>
      <c r="AM81" t="s">
        <v>3611</v>
      </c>
      <c r="AN81" t="s">
        <v>107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3612</v>
      </c>
      <c r="BA81">
        <v>0</v>
      </c>
      <c r="BC81" t="s">
        <v>107</v>
      </c>
      <c r="BF81" t="s">
        <v>3613</v>
      </c>
    </row>
    <row r="82" spans="1:58" x14ac:dyDescent="0.35">
      <c r="A82" t="s">
        <v>3614</v>
      </c>
      <c r="B82">
        <v>10000</v>
      </c>
      <c r="C82">
        <v>10000</v>
      </c>
      <c r="D82" s="2">
        <v>45733</v>
      </c>
      <c r="E82" t="s">
        <v>61</v>
      </c>
      <c r="F82" t="s">
        <v>3364</v>
      </c>
      <c r="G82" t="s">
        <v>2271</v>
      </c>
      <c r="I82">
        <v>1</v>
      </c>
      <c r="J82" t="s">
        <v>63</v>
      </c>
      <c r="K82">
        <v>94</v>
      </c>
      <c r="L82" t="s">
        <v>181</v>
      </c>
      <c r="M82">
        <v>250</v>
      </c>
      <c r="P82" s="2">
        <v>45730</v>
      </c>
      <c r="R82">
        <v>4</v>
      </c>
      <c r="S82" s="4">
        <v>1000</v>
      </c>
      <c r="T82" t="s">
        <v>65</v>
      </c>
      <c r="U82" t="s">
        <v>3135</v>
      </c>
      <c r="V82">
        <v>0</v>
      </c>
      <c r="W82" s="4">
        <v>1000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3136</v>
      </c>
      <c r="AN82" t="s">
        <v>3615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3616</v>
      </c>
      <c r="BA82">
        <v>0</v>
      </c>
      <c r="BC82" t="s">
        <v>3615</v>
      </c>
      <c r="BF82" t="s">
        <v>3617</v>
      </c>
    </row>
    <row r="83" spans="1:58" x14ac:dyDescent="0.35">
      <c r="A83" t="s">
        <v>3618</v>
      </c>
      <c r="B83">
        <v>10000</v>
      </c>
      <c r="C83">
        <v>10000</v>
      </c>
      <c r="D83" s="2">
        <v>45735</v>
      </c>
      <c r="E83" t="s">
        <v>61</v>
      </c>
      <c r="F83" t="s">
        <v>3619</v>
      </c>
      <c r="G83">
        <v>10639931025</v>
      </c>
      <c r="I83">
        <v>1</v>
      </c>
      <c r="J83" t="s">
        <v>63</v>
      </c>
      <c r="K83">
        <v>79</v>
      </c>
      <c r="L83" t="s">
        <v>573</v>
      </c>
      <c r="M83">
        <v>246</v>
      </c>
      <c r="P83" s="2">
        <v>45730</v>
      </c>
      <c r="R83">
        <v>102</v>
      </c>
      <c r="S83" s="4">
        <v>25092</v>
      </c>
      <c r="T83" t="s">
        <v>65</v>
      </c>
      <c r="U83" t="s">
        <v>3620</v>
      </c>
      <c r="V83">
        <v>0</v>
      </c>
      <c r="W83" s="4">
        <v>15000</v>
      </c>
      <c r="X83" s="4">
        <v>10092</v>
      </c>
      <c r="Y83">
        <v>0</v>
      </c>
      <c r="Z83">
        <v>0</v>
      </c>
      <c r="AA83">
        <v>0</v>
      </c>
      <c r="AD83">
        <v>0</v>
      </c>
      <c r="AM83" t="s">
        <v>3621</v>
      </c>
      <c r="AN83" t="s">
        <v>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3622</v>
      </c>
      <c r="BA83">
        <v>0</v>
      </c>
      <c r="BC83" t="s">
        <v>68</v>
      </c>
      <c r="BF83" t="s">
        <v>3623</v>
      </c>
    </row>
    <row r="100" spans="1:2" x14ac:dyDescent="0.35">
      <c r="A100">
        <f>COUNTA(A5:A99)</f>
        <v>79</v>
      </c>
      <c r="B100">
        <f>'13-Mar'!B100+'14-Mar'!A100</f>
        <v>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A8E3-4E30-458E-989A-13B3DEB33D8F}">
  <dimension ref="A1:BF50"/>
  <sheetViews>
    <sheetView topLeftCell="A35" workbookViewId="0">
      <selection activeCell="A4" sqref="A4:XFD3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3624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3102</v>
      </c>
      <c r="B5">
        <v>10000</v>
      </c>
      <c r="C5">
        <v>60000</v>
      </c>
      <c r="D5" s="2">
        <v>45733</v>
      </c>
      <c r="E5" t="s">
        <v>61</v>
      </c>
      <c r="F5" t="s">
        <v>1180</v>
      </c>
      <c r="G5" t="s">
        <v>3103</v>
      </c>
      <c r="I5">
        <v>3</v>
      </c>
      <c r="J5" t="s">
        <v>63</v>
      </c>
      <c r="K5">
        <v>91</v>
      </c>
      <c r="L5" t="s">
        <v>104</v>
      </c>
      <c r="M5" s="4">
        <v>56000</v>
      </c>
      <c r="P5" s="2">
        <v>45731</v>
      </c>
      <c r="R5">
        <v>9</v>
      </c>
      <c r="S5" s="4">
        <v>504000</v>
      </c>
      <c r="T5" t="s">
        <v>65</v>
      </c>
      <c r="U5" t="s">
        <v>66</v>
      </c>
      <c r="V5">
        <v>0</v>
      </c>
      <c r="W5" s="4">
        <v>500000</v>
      </c>
      <c r="X5" s="4">
        <v>4000</v>
      </c>
      <c r="Y5">
        <v>0</v>
      </c>
      <c r="Z5">
        <v>0</v>
      </c>
      <c r="AA5">
        <v>0</v>
      </c>
      <c r="AD5">
        <v>0</v>
      </c>
      <c r="AM5" t="s">
        <v>67</v>
      </c>
      <c r="AN5" t="s">
        <v>68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3104</v>
      </c>
      <c r="BA5">
        <v>0</v>
      </c>
      <c r="BC5" t="s">
        <v>68</v>
      </c>
      <c r="BF5" t="s">
        <v>3105</v>
      </c>
    </row>
    <row r="6" spans="1:58" x14ac:dyDescent="0.35">
      <c r="A6" t="s">
        <v>3625</v>
      </c>
      <c r="B6">
        <v>10000</v>
      </c>
      <c r="C6">
        <v>10000</v>
      </c>
      <c r="D6" s="2">
        <v>45733</v>
      </c>
      <c r="E6" t="s">
        <v>61</v>
      </c>
      <c r="F6" t="s">
        <v>2765</v>
      </c>
      <c r="G6" t="s">
        <v>3626</v>
      </c>
      <c r="I6">
        <v>1</v>
      </c>
      <c r="J6" t="s">
        <v>63</v>
      </c>
      <c r="K6">
        <v>61</v>
      </c>
      <c r="L6" t="s">
        <v>361</v>
      </c>
      <c r="M6">
        <v>223</v>
      </c>
      <c r="P6" s="2">
        <v>45731</v>
      </c>
      <c r="R6">
        <v>9</v>
      </c>
      <c r="S6" s="4">
        <v>2007</v>
      </c>
      <c r="T6" t="s">
        <v>65</v>
      </c>
      <c r="U6">
        <v>4.030150000274E+17</v>
      </c>
      <c r="V6">
        <v>0</v>
      </c>
      <c r="W6" s="4">
        <v>2000</v>
      </c>
      <c r="X6">
        <v>7</v>
      </c>
      <c r="Y6">
        <v>0</v>
      </c>
      <c r="Z6">
        <v>0</v>
      </c>
      <c r="AA6">
        <v>0</v>
      </c>
      <c r="AD6">
        <v>0</v>
      </c>
      <c r="AM6">
        <v>40301500002740</v>
      </c>
      <c r="AN6" t="s">
        <v>2347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AZ6" t="s">
        <v>3627</v>
      </c>
      <c r="BA6">
        <v>0</v>
      </c>
      <c r="BC6" t="s">
        <v>2347</v>
      </c>
      <c r="BF6" t="s">
        <v>3628</v>
      </c>
    </row>
    <row r="7" spans="1:58" x14ac:dyDescent="0.35">
      <c r="A7" t="s">
        <v>3629</v>
      </c>
      <c r="B7">
        <v>10000</v>
      </c>
      <c r="C7">
        <v>10000</v>
      </c>
      <c r="D7" s="2">
        <v>45733</v>
      </c>
      <c r="E7" t="s">
        <v>61</v>
      </c>
      <c r="F7" t="s">
        <v>3408</v>
      </c>
      <c r="G7" t="s">
        <v>89</v>
      </c>
      <c r="I7">
        <v>1</v>
      </c>
      <c r="J7" t="s">
        <v>63</v>
      </c>
      <c r="K7">
        <v>73</v>
      </c>
      <c r="L7" t="s">
        <v>90</v>
      </c>
      <c r="M7" s="4">
        <v>36000</v>
      </c>
      <c r="P7" s="2">
        <v>45731</v>
      </c>
      <c r="R7">
        <v>12</v>
      </c>
      <c r="S7" s="4">
        <v>432000</v>
      </c>
      <c r="T7" t="s">
        <v>65</v>
      </c>
      <c r="U7">
        <v>80256220001</v>
      </c>
      <c r="V7">
        <v>0</v>
      </c>
      <c r="W7" s="4">
        <v>432000</v>
      </c>
      <c r="X7">
        <v>0</v>
      </c>
      <c r="Y7">
        <v>0</v>
      </c>
      <c r="Z7">
        <v>0</v>
      </c>
      <c r="AA7">
        <v>0</v>
      </c>
      <c r="AD7">
        <v>0</v>
      </c>
      <c r="AM7">
        <v>8025622</v>
      </c>
      <c r="AN7" t="s">
        <v>91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3630</v>
      </c>
      <c r="BA7">
        <v>0</v>
      </c>
      <c r="BC7" t="s">
        <v>91</v>
      </c>
      <c r="BF7" t="s">
        <v>3631</v>
      </c>
    </row>
    <row r="8" spans="1:58" x14ac:dyDescent="0.35">
      <c r="A8" t="s">
        <v>3632</v>
      </c>
      <c r="B8">
        <v>10000</v>
      </c>
      <c r="C8">
        <v>10000</v>
      </c>
      <c r="D8" s="2">
        <v>45733</v>
      </c>
      <c r="E8" t="s">
        <v>61</v>
      </c>
      <c r="F8" t="s">
        <v>2765</v>
      </c>
      <c r="G8" t="s">
        <v>3633</v>
      </c>
      <c r="I8">
        <v>1</v>
      </c>
      <c r="J8" t="s">
        <v>63</v>
      </c>
      <c r="K8">
        <v>78</v>
      </c>
      <c r="L8" t="s">
        <v>188</v>
      </c>
      <c r="M8" s="4">
        <v>1000</v>
      </c>
      <c r="P8" s="2">
        <v>45731</v>
      </c>
      <c r="R8">
        <v>1</v>
      </c>
      <c r="S8" s="4">
        <v>1000</v>
      </c>
      <c r="T8" t="s">
        <v>65</v>
      </c>
      <c r="U8">
        <v>4.40170086001E+17</v>
      </c>
      <c r="V8">
        <v>0</v>
      </c>
      <c r="W8" s="4">
        <v>1000</v>
      </c>
      <c r="X8">
        <v>0</v>
      </c>
      <c r="Y8">
        <v>0</v>
      </c>
      <c r="Z8">
        <v>0</v>
      </c>
      <c r="AA8">
        <v>0</v>
      </c>
      <c r="AD8">
        <v>0</v>
      </c>
      <c r="AM8">
        <v>44017008600100</v>
      </c>
      <c r="AN8" t="s">
        <v>2347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3634</v>
      </c>
      <c r="BA8">
        <v>0</v>
      </c>
      <c r="BC8" t="s">
        <v>2347</v>
      </c>
      <c r="BF8" t="s">
        <v>3635</v>
      </c>
    </row>
    <row r="9" spans="1:58" x14ac:dyDescent="0.35">
      <c r="A9" t="s">
        <v>3636</v>
      </c>
      <c r="B9">
        <v>10000</v>
      </c>
      <c r="C9">
        <v>10000</v>
      </c>
      <c r="D9" s="2">
        <v>45733</v>
      </c>
      <c r="E9" t="s">
        <v>61</v>
      </c>
      <c r="F9" t="s">
        <v>2765</v>
      </c>
      <c r="G9" t="s">
        <v>3637</v>
      </c>
      <c r="I9">
        <v>1</v>
      </c>
      <c r="J9" t="s">
        <v>63</v>
      </c>
      <c r="K9">
        <v>61</v>
      </c>
      <c r="L9" t="s">
        <v>361</v>
      </c>
      <c r="M9" s="4">
        <v>1000</v>
      </c>
      <c r="P9" s="2">
        <v>45731</v>
      </c>
      <c r="R9">
        <v>2</v>
      </c>
      <c r="S9" s="4">
        <v>2000</v>
      </c>
      <c r="T9" t="s">
        <v>65</v>
      </c>
      <c r="U9">
        <v>701527380001</v>
      </c>
      <c r="V9">
        <v>0</v>
      </c>
      <c r="W9" s="4">
        <v>2000</v>
      </c>
      <c r="X9">
        <v>0</v>
      </c>
      <c r="Y9">
        <v>0</v>
      </c>
      <c r="Z9">
        <v>0</v>
      </c>
      <c r="AA9">
        <v>0</v>
      </c>
      <c r="AD9">
        <v>0</v>
      </c>
      <c r="AM9">
        <v>70152738</v>
      </c>
      <c r="AN9" t="s">
        <v>1139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3638</v>
      </c>
      <c r="BA9">
        <v>0</v>
      </c>
      <c r="BC9" t="s">
        <v>1139</v>
      </c>
      <c r="BF9" t="s">
        <v>3639</v>
      </c>
    </row>
    <row r="10" spans="1:58" x14ac:dyDescent="0.35">
      <c r="A10" t="s">
        <v>3640</v>
      </c>
      <c r="B10">
        <v>10000</v>
      </c>
      <c r="C10">
        <v>10000</v>
      </c>
      <c r="D10" s="2">
        <v>45733</v>
      </c>
      <c r="E10" t="s">
        <v>61</v>
      </c>
      <c r="F10" t="s">
        <v>3641</v>
      </c>
      <c r="G10" t="s">
        <v>180</v>
      </c>
      <c r="I10">
        <v>1</v>
      </c>
      <c r="J10" t="s">
        <v>63</v>
      </c>
      <c r="K10">
        <v>59</v>
      </c>
      <c r="L10" t="s">
        <v>745</v>
      </c>
      <c r="M10">
        <v>830</v>
      </c>
      <c r="P10" s="2">
        <v>45731</v>
      </c>
      <c r="R10">
        <v>2</v>
      </c>
      <c r="S10" s="4">
        <v>1660</v>
      </c>
      <c r="T10" t="s">
        <v>65</v>
      </c>
      <c r="U10">
        <v>112886950001</v>
      </c>
      <c r="V10">
        <v>0</v>
      </c>
      <c r="W10" s="4">
        <v>1660</v>
      </c>
      <c r="X10">
        <v>0</v>
      </c>
      <c r="Y10">
        <v>0</v>
      </c>
      <c r="Z10">
        <v>0</v>
      </c>
      <c r="AA10">
        <v>0</v>
      </c>
      <c r="AD10">
        <v>0</v>
      </c>
      <c r="AM10">
        <v>11288695</v>
      </c>
      <c r="AN10" t="s">
        <v>182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3642</v>
      </c>
      <c r="BA10">
        <v>0</v>
      </c>
      <c r="BC10" t="s">
        <v>182</v>
      </c>
      <c r="BF10" t="s">
        <v>3643</v>
      </c>
    </row>
    <row r="11" spans="1:58" x14ac:dyDescent="0.35">
      <c r="A11" t="s">
        <v>3644</v>
      </c>
      <c r="B11">
        <v>10000</v>
      </c>
      <c r="C11">
        <v>10000</v>
      </c>
      <c r="D11" s="2">
        <v>45733</v>
      </c>
      <c r="E11" t="s">
        <v>61</v>
      </c>
      <c r="F11" t="s">
        <v>3645</v>
      </c>
      <c r="G11" t="s">
        <v>180</v>
      </c>
      <c r="I11">
        <v>1</v>
      </c>
      <c r="J11" t="s">
        <v>63</v>
      </c>
      <c r="K11">
        <v>59</v>
      </c>
      <c r="L11" t="s">
        <v>745</v>
      </c>
      <c r="M11" s="4">
        <v>2905</v>
      </c>
      <c r="P11" s="2">
        <v>45731</v>
      </c>
      <c r="R11">
        <v>2</v>
      </c>
      <c r="S11" s="4">
        <v>5810</v>
      </c>
      <c r="T11" t="s">
        <v>65</v>
      </c>
      <c r="U11">
        <v>112887160001</v>
      </c>
      <c r="V11">
        <v>0</v>
      </c>
      <c r="W11" s="4">
        <v>5810</v>
      </c>
      <c r="X11">
        <v>0</v>
      </c>
      <c r="Y11">
        <v>0</v>
      </c>
      <c r="Z11">
        <v>0</v>
      </c>
      <c r="AA11">
        <v>0</v>
      </c>
      <c r="AD11">
        <v>0</v>
      </c>
      <c r="AM11">
        <v>11288716</v>
      </c>
      <c r="AN11" t="s">
        <v>182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3646</v>
      </c>
      <c r="BA11">
        <v>0</v>
      </c>
      <c r="BC11" t="s">
        <v>182</v>
      </c>
      <c r="BF11" t="s">
        <v>3647</v>
      </c>
    </row>
    <row r="12" spans="1:58" x14ac:dyDescent="0.35">
      <c r="A12" t="s">
        <v>3644</v>
      </c>
      <c r="B12">
        <v>20000</v>
      </c>
      <c r="C12">
        <v>10000</v>
      </c>
      <c r="D12" s="2">
        <v>45733</v>
      </c>
      <c r="E12" t="s">
        <v>61</v>
      </c>
      <c r="F12" t="s">
        <v>3645</v>
      </c>
      <c r="G12" t="s">
        <v>180</v>
      </c>
      <c r="I12">
        <v>1</v>
      </c>
      <c r="J12" t="s">
        <v>63</v>
      </c>
      <c r="K12">
        <v>59</v>
      </c>
      <c r="L12" t="s">
        <v>745</v>
      </c>
      <c r="M12" s="4">
        <v>2905</v>
      </c>
      <c r="P12" s="2">
        <v>45731</v>
      </c>
      <c r="R12">
        <v>2</v>
      </c>
      <c r="S12" s="4">
        <v>5810</v>
      </c>
      <c r="T12" t="s">
        <v>65</v>
      </c>
      <c r="U12">
        <v>112887160001</v>
      </c>
      <c r="V12">
        <v>0</v>
      </c>
      <c r="W12" s="4">
        <v>5810</v>
      </c>
      <c r="X12">
        <v>0</v>
      </c>
      <c r="Y12">
        <v>0</v>
      </c>
      <c r="Z12">
        <v>0</v>
      </c>
      <c r="AA12">
        <v>0</v>
      </c>
      <c r="AD12">
        <v>0</v>
      </c>
      <c r="AM12">
        <v>11288716</v>
      </c>
      <c r="AN12" t="s">
        <v>182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3646</v>
      </c>
      <c r="BA12">
        <v>0</v>
      </c>
      <c r="BC12" t="s">
        <v>182</v>
      </c>
      <c r="BF12" t="s">
        <v>3647</v>
      </c>
    </row>
    <row r="13" spans="1:58" x14ac:dyDescent="0.35">
      <c r="A13" t="s">
        <v>3644</v>
      </c>
      <c r="B13">
        <v>30000</v>
      </c>
      <c r="C13">
        <v>10000</v>
      </c>
      <c r="D13" s="2">
        <v>45733</v>
      </c>
      <c r="E13" t="s">
        <v>61</v>
      </c>
      <c r="F13" t="s">
        <v>3645</v>
      </c>
      <c r="G13" t="s">
        <v>180</v>
      </c>
      <c r="I13">
        <v>1</v>
      </c>
      <c r="J13" t="s">
        <v>63</v>
      </c>
      <c r="K13">
        <v>59</v>
      </c>
      <c r="L13" t="s">
        <v>745</v>
      </c>
      <c r="M13">
        <v>830</v>
      </c>
      <c r="P13" s="2">
        <v>45731</v>
      </c>
      <c r="R13">
        <v>2</v>
      </c>
      <c r="S13" s="4">
        <v>1660</v>
      </c>
      <c r="T13" t="s">
        <v>65</v>
      </c>
      <c r="U13">
        <v>112887160001</v>
      </c>
      <c r="V13">
        <v>0</v>
      </c>
      <c r="W13" s="4">
        <v>1660</v>
      </c>
      <c r="X13">
        <v>0</v>
      </c>
      <c r="Y13">
        <v>0</v>
      </c>
      <c r="Z13">
        <v>0</v>
      </c>
      <c r="AA13">
        <v>0</v>
      </c>
      <c r="AD13">
        <v>0</v>
      </c>
      <c r="AM13">
        <v>11288716</v>
      </c>
      <c r="AN13" t="s">
        <v>182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3646</v>
      </c>
      <c r="BA13">
        <v>0</v>
      </c>
      <c r="BC13" t="s">
        <v>182</v>
      </c>
      <c r="BF13" t="s">
        <v>3647</v>
      </c>
    </row>
    <row r="14" spans="1:58" x14ac:dyDescent="0.35">
      <c r="A14" t="s">
        <v>3648</v>
      </c>
      <c r="B14">
        <v>10000</v>
      </c>
      <c r="C14">
        <v>20000</v>
      </c>
      <c r="D14" s="2">
        <v>45733</v>
      </c>
      <c r="E14" t="s">
        <v>61</v>
      </c>
      <c r="F14" t="s">
        <v>3649</v>
      </c>
      <c r="G14" t="s">
        <v>3650</v>
      </c>
      <c r="I14">
        <v>2</v>
      </c>
      <c r="J14" t="s">
        <v>63</v>
      </c>
      <c r="K14">
        <v>60</v>
      </c>
      <c r="L14" t="s">
        <v>277</v>
      </c>
      <c r="M14" s="4">
        <v>14000</v>
      </c>
      <c r="P14" s="2">
        <v>45731</v>
      </c>
      <c r="R14">
        <v>1</v>
      </c>
      <c r="S14" s="4">
        <v>14000</v>
      </c>
      <c r="T14" t="s">
        <v>65</v>
      </c>
      <c r="U14" t="s">
        <v>3651</v>
      </c>
      <c r="V14">
        <v>0</v>
      </c>
      <c r="W14" s="4">
        <v>14000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3652</v>
      </c>
      <c r="AN14" t="s">
        <v>3653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3654</v>
      </c>
      <c r="BA14">
        <v>0</v>
      </c>
      <c r="BC14" t="s">
        <v>3653</v>
      </c>
      <c r="BF14" t="s">
        <v>3655</v>
      </c>
    </row>
    <row r="15" spans="1:58" x14ac:dyDescent="0.35">
      <c r="A15" t="s">
        <v>3656</v>
      </c>
      <c r="B15">
        <v>10000</v>
      </c>
      <c r="C15">
        <v>30000</v>
      </c>
      <c r="D15" s="2">
        <v>45733</v>
      </c>
      <c r="E15" t="s">
        <v>61</v>
      </c>
      <c r="F15" t="s">
        <v>3657</v>
      </c>
      <c r="G15" t="s">
        <v>2069</v>
      </c>
      <c r="I15">
        <v>1</v>
      </c>
      <c r="J15" t="s">
        <v>63</v>
      </c>
      <c r="K15">
        <v>94</v>
      </c>
      <c r="L15" t="s">
        <v>181</v>
      </c>
      <c r="M15" s="4">
        <v>5000</v>
      </c>
      <c r="P15" s="2">
        <v>45731</v>
      </c>
      <c r="R15">
        <v>4</v>
      </c>
      <c r="S15" s="4">
        <v>20000</v>
      </c>
      <c r="T15" t="s">
        <v>65</v>
      </c>
      <c r="U15" t="s">
        <v>3658</v>
      </c>
      <c r="V15">
        <v>0</v>
      </c>
      <c r="W15" s="4">
        <v>20000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3659</v>
      </c>
      <c r="AN15" t="s">
        <v>364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3660</v>
      </c>
      <c r="BA15">
        <v>0</v>
      </c>
      <c r="BC15" t="s">
        <v>364</v>
      </c>
      <c r="BF15" t="s">
        <v>3661</v>
      </c>
    </row>
    <row r="16" spans="1:58" x14ac:dyDescent="0.35">
      <c r="A16" t="s">
        <v>3662</v>
      </c>
      <c r="B16">
        <v>10000</v>
      </c>
      <c r="C16">
        <v>10000</v>
      </c>
      <c r="D16" s="2">
        <v>45733</v>
      </c>
      <c r="E16" t="s">
        <v>61</v>
      </c>
      <c r="F16" t="s">
        <v>3641</v>
      </c>
      <c r="G16" t="s">
        <v>418</v>
      </c>
      <c r="I16">
        <v>1</v>
      </c>
      <c r="J16" t="s">
        <v>63</v>
      </c>
      <c r="K16">
        <v>59</v>
      </c>
      <c r="L16" t="s">
        <v>745</v>
      </c>
      <c r="M16">
        <v>100</v>
      </c>
      <c r="P16" s="2">
        <v>45731</v>
      </c>
      <c r="R16">
        <v>10</v>
      </c>
      <c r="S16" s="4">
        <v>1000</v>
      </c>
      <c r="T16" t="s">
        <v>65</v>
      </c>
      <c r="U16">
        <v>112024680001</v>
      </c>
      <c r="V16">
        <v>0</v>
      </c>
      <c r="W16" s="4">
        <v>1000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11202468</v>
      </c>
      <c r="AN16" t="s">
        <v>182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3663</v>
      </c>
      <c r="BA16">
        <v>0</v>
      </c>
      <c r="BC16" t="s">
        <v>182</v>
      </c>
      <c r="BF16" t="s">
        <v>3664</v>
      </c>
    </row>
    <row r="17" spans="1:58" x14ac:dyDescent="0.35">
      <c r="A17" t="s">
        <v>3662</v>
      </c>
      <c r="B17">
        <v>20000</v>
      </c>
      <c r="C17">
        <v>10000</v>
      </c>
      <c r="D17" s="2">
        <v>45733</v>
      </c>
      <c r="E17" t="s">
        <v>61</v>
      </c>
      <c r="F17" t="s">
        <v>3641</v>
      </c>
      <c r="G17" t="s">
        <v>418</v>
      </c>
      <c r="I17">
        <v>1</v>
      </c>
      <c r="J17" t="s">
        <v>63</v>
      </c>
      <c r="K17">
        <v>59</v>
      </c>
      <c r="L17" t="s">
        <v>745</v>
      </c>
      <c r="M17">
        <v>100</v>
      </c>
      <c r="P17" s="2">
        <v>45731</v>
      </c>
      <c r="R17">
        <v>10</v>
      </c>
      <c r="S17" s="4">
        <v>1000</v>
      </c>
      <c r="T17" t="s">
        <v>65</v>
      </c>
      <c r="U17">
        <v>112024680001</v>
      </c>
      <c r="V17">
        <v>0</v>
      </c>
      <c r="W17" s="4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11202468</v>
      </c>
      <c r="AN17" t="s">
        <v>182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3663</v>
      </c>
      <c r="BA17">
        <v>0</v>
      </c>
      <c r="BC17" t="s">
        <v>182</v>
      </c>
      <c r="BF17" t="s">
        <v>3664</v>
      </c>
    </row>
    <row r="18" spans="1:58" x14ac:dyDescent="0.35">
      <c r="A18" t="s">
        <v>3665</v>
      </c>
      <c r="B18">
        <v>10000</v>
      </c>
      <c r="C18">
        <v>10000</v>
      </c>
      <c r="D18" s="2">
        <v>45733</v>
      </c>
      <c r="E18" t="s">
        <v>61</v>
      </c>
      <c r="F18" t="s">
        <v>3641</v>
      </c>
      <c r="G18" t="s">
        <v>418</v>
      </c>
      <c r="I18">
        <v>1</v>
      </c>
      <c r="J18" t="s">
        <v>63</v>
      </c>
      <c r="K18">
        <v>59</v>
      </c>
      <c r="L18" t="s">
        <v>745</v>
      </c>
      <c r="M18">
        <v>400</v>
      </c>
      <c r="P18" s="2">
        <v>45731</v>
      </c>
      <c r="R18">
        <v>10</v>
      </c>
      <c r="S18" s="4">
        <v>4000</v>
      </c>
      <c r="T18" t="s">
        <v>65</v>
      </c>
      <c r="U18">
        <v>112024250001</v>
      </c>
      <c r="V18">
        <v>0</v>
      </c>
      <c r="W18" s="4">
        <v>4000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11202425</v>
      </c>
      <c r="AN18" t="s">
        <v>182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3666</v>
      </c>
      <c r="BA18">
        <v>0</v>
      </c>
      <c r="BC18" t="s">
        <v>182</v>
      </c>
      <c r="BF18" t="s">
        <v>3667</v>
      </c>
    </row>
    <row r="19" spans="1:58" x14ac:dyDescent="0.35">
      <c r="A19" t="s">
        <v>3665</v>
      </c>
      <c r="B19">
        <v>20000</v>
      </c>
      <c r="C19">
        <v>10000</v>
      </c>
      <c r="D19" s="2">
        <v>45733</v>
      </c>
      <c r="E19" t="s">
        <v>61</v>
      </c>
      <c r="F19" t="s">
        <v>3641</v>
      </c>
      <c r="G19" t="s">
        <v>418</v>
      </c>
      <c r="I19">
        <v>1</v>
      </c>
      <c r="J19" t="s">
        <v>63</v>
      </c>
      <c r="K19">
        <v>59</v>
      </c>
      <c r="L19" t="s">
        <v>745</v>
      </c>
      <c r="M19">
        <v>400</v>
      </c>
      <c r="P19" s="2">
        <v>45731</v>
      </c>
      <c r="R19">
        <v>10</v>
      </c>
      <c r="S19" s="4">
        <v>4000</v>
      </c>
      <c r="T19" t="s">
        <v>65</v>
      </c>
      <c r="U19">
        <v>112024250001</v>
      </c>
      <c r="V19">
        <v>0</v>
      </c>
      <c r="W19" s="4">
        <v>4000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11202425</v>
      </c>
      <c r="AN19" t="s">
        <v>182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3666</v>
      </c>
      <c r="BA19">
        <v>0</v>
      </c>
      <c r="BC19" t="s">
        <v>182</v>
      </c>
      <c r="BF19" t="s">
        <v>3667</v>
      </c>
    </row>
    <row r="20" spans="1:58" x14ac:dyDescent="0.35">
      <c r="A20" t="s">
        <v>3665</v>
      </c>
      <c r="B20">
        <v>30000</v>
      </c>
      <c r="C20">
        <v>10000</v>
      </c>
      <c r="D20" s="2">
        <v>45733</v>
      </c>
      <c r="E20" t="s">
        <v>61</v>
      </c>
      <c r="F20" t="s">
        <v>3641</v>
      </c>
      <c r="G20" t="s">
        <v>418</v>
      </c>
      <c r="I20">
        <v>1</v>
      </c>
      <c r="J20" t="s">
        <v>63</v>
      </c>
      <c r="K20">
        <v>59</v>
      </c>
      <c r="L20" t="s">
        <v>745</v>
      </c>
      <c r="M20">
        <v>400</v>
      </c>
      <c r="P20" s="2">
        <v>45731</v>
      </c>
      <c r="R20">
        <v>10</v>
      </c>
      <c r="S20" s="4">
        <v>4000</v>
      </c>
      <c r="T20" t="s">
        <v>65</v>
      </c>
      <c r="U20">
        <v>112024250001</v>
      </c>
      <c r="V20">
        <v>0</v>
      </c>
      <c r="W20" s="4">
        <v>4000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11202425</v>
      </c>
      <c r="AN20" t="s">
        <v>182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3666</v>
      </c>
      <c r="BA20">
        <v>0</v>
      </c>
      <c r="BC20" t="s">
        <v>182</v>
      </c>
      <c r="BF20" t="s">
        <v>3667</v>
      </c>
    </row>
    <row r="21" spans="1:58" x14ac:dyDescent="0.35">
      <c r="A21" t="s">
        <v>3668</v>
      </c>
      <c r="B21">
        <v>10000</v>
      </c>
      <c r="C21">
        <v>10000</v>
      </c>
      <c r="D21" s="2">
        <v>45733</v>
      </c>
      <c r="E21" t="s">
        <v>61</v>
      </c>
      <c r="F21" t="s">
        <v>3645</v>
      </c>
      <c r="G21" t="s">
        <v>3669</v>
      </c>
      <c r="I21">
        <v>1</v>
      </c>
      <c r="J21" t="s">
        <v>63</v>
      </c>
      <c r="K21">
        <v>78</v>
      </c>
      <c r="L21" t="s">
        <v>188</v>
      </c>
      <c r="M21" s="4">
        <v>5000</v>
      </c>
      <c r="P21" s="2">
        <v>45731</v>
      </c>
      <c r="R21">
        <v>4</v>
      </c>
      <c r="S21" s="4">
        <v>20000</v>
      </c>
      <c r="T21" t="s">
        <v>65</v>
      </c>
      <c r="U21" t="s">
        <v>3670</v>
      </c>
      <c r="V21">
        <v>0</v>
      </c>
      <c r="W21" s="4">
        <v>20000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3671</v>
      </c>
      <c r="AN21" t="s">
        <v>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3672</v>
      </c>
      <c r="BA21">
        <v>0</v>
      </c>
      <c r="BC21" t="s">
        <v>68</v>
      </c>
      <c r="BF21" t="s">
        <v>3673</v>
      </c>
    </row>
    <row r="22" spans="1:58" x14ac:dyDescent="0.35">
      <c r="A22" t="s">
        <v>1792</v>
      </c>
      <c r="B22">
        <v>10000</v>
      </c>
      <c r="C22">
        <v>40000</v>
      </c>
      <c r="D22" s="2">
        <v>45740</v>
      </c>
      <c r="E22" t="s">
        <v>61</v>
      </c>
      <c r="F22" t="s">
        <v>1793</v>
      </c>
      <c r="G22">
        <v>10567308038</v>
      </c>
      <c r="I22">
        <v>3</v>
      </c>
      <c r="J22" t="s">
        <v>63</v>
      </c>
      <c r="K22">
        <v>85</v>
      </c>
      <c r="L22" t="s">
        <v>327</v>
      </c>
      <c r="M22" s="4">
        <v>10000</v>
      </c>
      <c r="P22" s="2">
        <v>45731</v>
      </c>
      <c r="R22">
        <v>11</v>
      </c>
      <c r="S22" s="4">
        <v>110000</v>
      </c>
      <c r="T22" t="s">
        <v>65</v>
      </c>
      <c r="U22" t="s">
        <v>433</v>
      </c>
      <c r="V22">
        <v>0</v>
      </c>
      <c r="W22" s="4">
        <v>100000</v>
      </c>
      <c r="X22" s="4">
        <v>10000</v>
      </c>
      <c r="Y22">
        <v>0</v>
      </c>
      <c r="Z22">
        <v>0</v>
      </c>
      <c r="AA22">
        <v>0</v>
      </c>
      <c r="AD22">
        <v>0</v>
      </c>
      <c r="AM22" t="s">
        <v>434</v>
      </c>
      <c r="AN22" t="s">
        <v>107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1794</v>
      </c>
      <c r="BA22">
        <v>0</v>
      </c>
      <c r="BC22" t="s">
        <v>107</v>
      </c>
      <c r="BF22" t="s">
        <v>1795</v>
      </c>
    </row>
    <row r="23" spans="1:58" x14ac:dyDescent="0.35">
      <c r="A23" t="s">
        <v>961</v>
      </c>
      <c r="B23">
        <v>10000</v>
      </c>
      <c r="C23">
        <v>30000</v>
      </c>
      <c r="D23" s="2">
        <v>45733</v>
      </c>
      <c r="E23" t="s">
        <v>61</v>
      </c>
      <c r="F23" t="s">
        <v>962</v>
      </c>
      <c r="G23" t="s">
        <v>963</v>
      </c>
      <c r="I23">
        <v>3</v>
      </c>
      <c r="J23" t="s">
        <v>63</v>
      </c>
      <c r="K23">
        <v>85</v>
      </c>
      <c r="L23" t="s">
        <v>327</v>
      </c>
      <c r="M23" s="4">
        <v>8000</v>
      </c>
      <c r="P23" s="2">
        <v>45731</v>
      </c>
      <c r="R23">
        <v>11</v>
      </c>
      <c r="S23" s="4">
        <v>88000</v>
      </c>
      <c r="T23" t="s">
        <v>65</v>
      </c>
      <c r="U23" t="s">
        <v>964</v>
      </c>
      <c r="V23">
        <v>0</v>
      </c>
      <c r="W23" s="4">
        <v>80000</v>
      </c>
      <c r="X23" s="4">
        <v>8000</v>
      </c>
      <c r="Y23">
        <v>0</v>
      </c>
      <c r="Z23">
        <v>0</v>
      </c>
      <c r="AA23">
        <v>0</v>
      </c>
      <c r="AD23">
        <v>0</v>
      </c>
      <c r="AM23" t="s">
        <v>965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966</v>
      </c>
      <c r="BA23">
        <v>0</v>
      </c>
      <c r="BC23" t="s">
        <v>107</v>
      </c>
      <c r="BF23" t="s">
        <v>967</v>
      </c>
    </row>
    <row r="24" spans="1:58" x14ac:dyDescent="0.35">
      <c r="A24" t="s">
        <v>3674</v>
      </c>
      <c r="B24">
        <v>10000</v>
      </c>
      <c r="C24">
        <v>10000</v>
      </c>
      <c r="D24" s="2">
        <v>45733</v>
      </c>
      <c r="E24" t="s">
        <v>61</v>
      </c>
      <c r="F24" t="s">
        <v>833</v>
      </c>
      <c r="G24" t="s">
        <v>3675</v>
      </c>
      <c r="I24">
        <v>1</v>
      </c>
      <c r="J24" t="s">
        <v>63</v>
      </c>
      <c r="K24">
        <v>71</v>
      </c>
      <c r="L24" t="s">
        <v>135</v>
      </c>
      <c r="M24" s="4">
        <v>33334</v>
      </c>
      <c r="P24" s="2">
        <v>45731</v>
      </c>
      <c r="R24">
        <v>15</v>
      </c>
      <c r="S24" s="4">
        <v>500010</v>
      </c>
      <c r="T24" t="s">
        <v>65</v>
      </c>
      <c r="U24" t="s">
        <v>3676</v>
      </c>
      <c r="V24">
        <v>0</v>
      </c>
      <c r="W24" s="4">
        <v>500000</v>
      </c>
      <c r="X24">
        <v>10</v>
      </c>
      <c r="Y24">
        <v>0</v>
      </c>
      <c r="Z24">
        <v>0</v>
      </c>
      <c r="AA24">
        <v>0</v>
      </c>
      <c r="AD24">
        <v>0</v>
      </c>
      <c r="AM24" t="s">
        <v>3677</v>
      </c>
      <c r="AN24" t="s">
        <v>271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3678</v>
      </c>
      <c r="BA24">
        <v>0</v>
      </c>
      <c r="BC24" t="s">
        <v>271</v>
      </c>
      <c r="BF24" t="s">
        <v>3679</v>
      </c>
    </row>
    <row r="25" spans="1:58" x14ac:dyDescent="0.35">
      <c r="A25" t="s">
        <v>1943</v>
      </c>
      <c r="B25">
        <v>10000</v>
      </c>
      <c r="C25">
        <v>30000</v>
      </c>
      <c r="D25" s="2">
        <v>45733</v>
      </c>
      <c r="E25" t="s">
        <v>61</v>
      </c>
      <c r="F25" t="s">
        <v>1944</v>
      </c>
      <c r="G25">
        <v>10620258028</v>
      </c>
      <c r="I25">
        <v>3</v>
      </c>
      <c r="J25" t="s">
        <v>63</v>
      </c>
      <c r="K25">
        <v>85</v>
      </c>
      <c r="L25" t="s">
        <v>327</v>
      </c>
      <c r="M25" s="4">
        <v>10000</v>
      </c>
      <c r="P25" s="2">
        <v>45731</v>
      </c>
      <c r="R25">
        <v>11</v>
      </c>
      <c r="S25" s="4">
        <v>110000</v>
      </c>
      <c r="T25" t="s">
        <v>65</v>
      </c>
      <c r="U25" t="s">
        <v>1945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1946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1947</v>
      </c>
      <c r="BA25">
        <v>0</v>
      </c>
      <c r="BC25" t="s">
        <v>107</v>
      </c>
      <c r="BF25" t="s">
        <v>1948</v>
      </c>
    </row>
    <row r="26" spans="1:58" x14ac:dyDescent="0.35">
      <c r="A26" t="s">
        <v>1949</v>
      </c>
      <c r="B26">
        <v>10000</v>
      </c>
      <c r="C26">
        <v>30000</v>
      </c>
      <c r="D26" s="2">
        <v>45733</v>
      </c>
      <c r="E26" t="s">
        <v>61</v>
      </c>
      <c r="F26" t="s">
        <v>1950</v>
      </c>
      <c r="G26">
        <v>10639931107</v>
      </c>
      <c r="I26">
        <v>3</v>
      </c>
      <c r="J26" t="s">
        <v>63</v>
      </c>
      <c r="K26">
        <v>85</v>
      </c>
      <c r="L26" t="s">
        <v>327</v>
      </c>
      <c r="M26" s="4">
        <v>8000</v>
      </c>
      <c r="P26" s="2">
        <v>45731</v>
      </c>
      <c r="R26">
        <v>11</v>
      </c>
      <c r="S26" s="4">
        <v>88000</v>
      </c>
      <c r="T26" t="s">
        <v>65</v>
      </c>
      <c r="U26" t="s">
        <v>1951</v>
      </c>
      <c r="V26">
        <v>0</v>
      </c>
      <c r="W26" s="4">
        <v>80000</v>
      </c>
      <c r="X26" s="4">
        <v>8000</v>
      </c>
      <c r="Y26">
        <v>0</v>
      </c>
      <c r="Z26">
        <v>0</v>
      </c>
      <c r="AA26">
        <v>0</v>
      </c>
      <c r="AD26">
        <v>0</v>
      </c>
      <c r="AM26" t="s">
        <v>1952</v>
      </c>
      <c r="AN26" t="s">
        <v>107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1953</v>
      </c>
      <c r="BA26">
        <v>0</v>
      </c>
      <c r="BC26" t="s">
        <v>107</v>
      </c>
      <c r="BF26" t="s">
        <v>1954</v>
      </c>
    </row>
    <row r="27" spans="1:58" x14ac:dyDescent="0.35">
      <c r="A27" t="s">
        <v>3479</v>
      </c>
      <c r="B27">
        <v>10000</v>
      </c>
      <c r="C27">
        <v>20000</v>
      </c>
      <c r="D27" s="2">
        <v>45733</v>
      </c>
      <c r="E27" t="s">
        <v>61</v>
      </c>
      <c r="F27" t="s">
        <v>3364</v>
      </c>
      <c r="G27" t="s">
        <v>3480</v>
      </c>
      <c r="I27">
        <v>1</v>
      </c>
      <c r="J27" t="s">
        <v>63</v>
      </c>
      <c r="K27">
        <v>61</v>
      </c>
      <c r="L27" t="s">
        <v>361</v>
      </c>
      <c r="M27" s="4">
        <v>2000</v>
      </c>
      <c r="P27" s="2">
        <v>45731</v>
      </c>
      <c r="R27">
        <v>3</v>
      </c>
      <c r="S27" s="4">
        <v>6000</v>
      </c>
      <c r="T27" t="s">
        <v>65</v>
      </c>
      <c r="U27" t="s">
        <v>3481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3482</v>
      </c>
      <c r="AN27" t="s">
        <v>3483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3484</v>
      </c>
      <c r="BA27">
        <v>0</v>
      </c>
      <c r="BC27" t="s">
        <v>3483</v>
      </c>
      <c r="BF27" t="s">
        <v>3485</v>
      </c>
    </row>
    <row r="28" spans="1:58" x14ac:dyDescent="0.35">
      <c r="A28" t="s">
        <v>3680</v>
      </c>
      <c r="B28">
        <v>10000</v>
      </c>
      <c r="C28">
        <v>10000</v>
      </c>
      <c r="D28" s="2">
        <v>45733</v>
      </c>
      <c r="E28" t="s">
        <v>61</v>
      </c>
      <c r="F28" t="s">
        <v>3383</v>
      </c>
      <c r="G28" t="s">
        <v>3160</v>
      </c>
      <c r="I28">
        <v>1</v>
      </c>
      <c r="J28" t="s">
        <v>63</v>
      </c>
      <c r="K28">
        <v>46</v>
      </c>
      <c r="L28" t="s">
        <v>113</v>
      </c>
      <c r="M28" s="4">
        <v>2000</v>
      </c>
      <c r="P28" s="2">
        <v>45731</v>
      </c>
      <c r="R28">
        <v>1</v>
      </c>
      <c r="S28" s="4">
        <v>2000</v>
      </c>
      <c r="T28" t="s">
        <v>65</v>
      </c>
      <c r="U28" t="s">
        <v>3681</v>
      </c>
      <c r="V28">
        <v>0</v>
      </c>
      <c r="W28" s="4">
        <v>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3682</v>
      </c>
      <c r="AN28" t="s">
        <v>116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3683</v>
      </c>
      <c r="BA28">
        <v>0</v>
      </c>
      <c r="BC28" t="s">
        <v>116</v>
      </c>
      <c r="BF28" t="s">
        <v>3281</v>
      </c>
    </row>
    <row r="29" spans="1:58" x14ac:dyDescent="0.35">
      <c r="A29" t="s">
        <v>3684</v>
      </c>
      <c r="B29">
        <v>10000</v>
      </c>
      <c r="C29">
        <v>10000</v>
      </c>
      <c r="D29" s="2">
        <v>45733</v>
      </c>
      <c r="E29" t="s">
        <v>61</v>
      </c>
      <c r="F29" t="s">
        <v>3315</v>
      </c>
      <c r="G29" t="s">
        <v>3160</v>
      </c>
      <c r="I29">
        <v>1</v>
      </c>
      <c r="J29" t="s">
        <v>63</v>
      </c>
      <c r="K29">
        <v>46</v>
      </c>
      <c r="L29" t="s">
        <v>113</v>
      </c>
      <c r="M29" s="4">
        <v>6000</v>
      </c>
      <c r="P29" s="2">
        <v>45731</v>
      </c>
      <c r="R29">
        <v>1</v>
      </c>
      <c r="S29" s="4">
        <v>6000</v>
      </c>
      <c r="T29" t="s">
        <v>65</v>
      </c>
      <c r="U29" t="s">
        <v>3685</v>
      </c>
      <c r="V29">
        <v>0</v>
      </c>
      <c r="W29" s="4">
        <v>6000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3686</v>
      </c>
      <c r="AN29" t="s">
        <v>116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3687</v>
      </c>
      <c r="BA29">
        <v>0</v>
      </c>
      <c r="BC29" t="s">
        <v>116</v>
      </c>
      <c r="BF29" t="s">
        <v>3281</v>
      </c>
    </row>
    <row r="30" spans="1:58" x14ac:dyDescent="0.35">
      <c r="A30" t="s">
        <v>3688</v>
      </c>
      <c r="B30">
        <v>10000</v>
      </c>
      <c r="C30">
        <v>10000</v>
      </c>
      <c r="D30" s="2">
        <v>45733</v>
      </c>
      <c r="E30" t="s">
        <v>61</v>
      </c>
      <c r="F30" t="s">
        <v>3383</v>
      </c>
      <c r="G30" t="s">
        <v>3316</v>
      </c>
      <c r="I30">
        <v>1</v>
      </c>
      <c r="J30" t="s">
        <v>63</v>
      </c>
      <c r="K30">
        <v>12</v>
      </c>
      <c r="L30" t="s">
        <v>478</v>
      </c>
      <c r="M30" s="4">
        <v>20000</v>
      </c>
      <c r="P30" s="2">
        <v>45731</v>
      </c>
      <c r="R30">
        <v>2</v>
      </c>
      <c r="S30" s="4">
        <v>40000</v>
      </c>
      <c r="T30" t="s">
        <v>65</v>
      </c>
      <c r="U30" t="s">
        <v>3689</v>
      </c>
      <c r="V30">
        <v>0</v>
      </c>
      <c r="W30" s="4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3690</v>
      </c>
      <c r="AN30" t="s">
        <v>116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3691</v>
      </c>
      <c r="BA30">
        <v>0</v>
      </c>
      <c r="BC30" t="s">
        <v>116</v>
      </c>
      <c r="BF30" t="s">
        <v>3313</v>
      </c>
    </row>
    <row r="31" spans="1:58" x14ac:dyDescent="0.35">
      <c r="A31" t="s">
        <v>3692</v>
      </c>
      <c r="B31">
        <v>10000</v>
      </c>
      <c r="C31">
        <v>10000</v>
      </c>
      <c r="D31" s="2">
        <v>45733</v>
      </c>
      <c r="E31" t="s">
        <v>61</v>
      </c>
      <c r="F31" t="s">
        <v>833</v>
      </c>
      <c r="G31" t="s">
        <v>3693</v>
      </c>
      <c r="I31">
        <v>1</v>
      </c>
      <c r="J31" t="s">
        <v>63</v>
      </c>
      <c r="K31">
        <v>22</v>
      </c>
      <c r="L31" t="s">
        <v>466</v>
      </c>
      <c r="M31" s="4">
        <v>17500</v>
      </c>
      <c r="P31" s="2">
        <v>45731</v>
      </c>
      <c r="R31">
        <v>2</v>
      </c>
      <c r="S31" s="4">
        <v>35000</v>
      </c>
      <c r="T31" t="s">
        <v>65</v>
      </c>
      <c r="U31" t="s">
        <v>2902</v>
      </c>
      <c r="V31">
        <v>0</v>
      </c>
      <c r="W31" s="4">
        <v>35000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2903</v>
      </c>
      <c r="AN31" t="s">
        <v>116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3694</v>
      </c>
      <c r="BA31">
        <v>0</v>
      </c>
      <c r="BC31" t="s">
        <v>116</v>
      </c>
      <c r="BF31" t="s">
        <v>3320</v>
      </c>
    </row>
    <row r="32" spans="1:58" x14ac:dyDescent="0.35">
      <c r="A32" t="s">
        <v>3537</v>
      </c>
      <c r="B32">
        <v>10000</v>
      </c>
      <c r="C32">
        <v>20000</v>
      </c>
      <c r="D32" s="2">
        <v>45743</v>
      </c>
      <c r="E32" t="s">
        <v>61</v>
      </c>
      <c r="F32" t="s">
        <v>3538</v>
      </c>
      <c r="G32">
        <v>10639931025</v>
      </c>
      <c r="I32">
        <v>2</v>
      </c>
      <c r="J32" t="s">
        <v>63</v>
      </c>
      <c r="K32">
        <v>77</v>
      </c>
      <c r="L32" t="s">
        <v>127</v>
      </c>
      <c r="M32" s="4">
        <v>2884</v>
      </c>
      <c r="P32" s="2">
        <v>45731</v>
      </c>
      <c r="R32">
        <v>77</v>
      </c>
      <c r="S32" s="4">
        <v>222068</v>
      </c>
      <c r="T32" t="s">
        <v>65</v>
      </c>
      <c r="U32" t="s">
        <v>3539</v>
      </c>
      <c r="V32">
        <v>0</v>
      </c>
      <c r="W32" s="4">
        <v>200000</v>
      </c>
      <c r="X32" s="4">
        <v>22068</v>
      </c>
      <c r="Y32">
        <v>0</v>
      </c>
      <c r="Z32">
        <v>0</v>
      </c>
      <c r="AA32">
        <v>0</v>
      </c>
      <c r="AD32">
        <v>0</v>
      </c>
      <c r="AM32" t="s">
        <v>3540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3541</v>
      </c>
      <c r="BA32">
        <v>0</v>
      </c>
      <c r="BC32" t="s">
        <v>107</v>
      </c>
      <c r="BF32" t="s">
        <v>3542</v>
      </c>
    </row>
    <row r="33" spans="1:58" x14ac:dyDescent="0.35">
      <c r="A33" t="s">
        <v>3695</v>
      </c>
      <c r="B33">
        <v>10000</v>
      </c>
      <c r="C33">
        <v>10000</v>
      </c>
      <c r="D33" s="2">
        <v>45733</v>
      </c>
      <c r="E33" t="s">
        <v>61</v>
      </c>
      <c r="F33" t="s">
        <v>3641</v>
      </c>
      <c r="G33" t="s">
        <v>418</v>
      </c>
      <c r="I33">
        <v>1</v>
      </c>
      <c r="J33" t="s">
        <v>63</v>
      </c>
      <c r="K33">
        <v>59</v>
      </c>
      <c r="L33" t="s">
        <v>745</v>
      </c>
      <c r="M33">
        <v>100</v>
      </c>
      <c r="P33" s="2">
        <v>45731</v>
      </c>
      <c r="R33">
        <v>10</v>
      </c>
      <c r="S33" s="4">
        <v>1000</v>
      </c>
      <c r="T33" t="s">
        <v>65</v>
      </c>
      <c r="U33">
        <v>112024680001</v>
      </c>
      <c r="V33">
        <v>0</v>
      </c>
      <c r="W33" s="4">
        <v>1000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11202468</v>
      </c>
      <c r="AN33" t="s">
        <v>182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3696</v>
      </c>
      <c r="BA33">
        <v>0</v>
      </c>
      <c r="BC33" t="s">
        <v>182</v>
      </c>
      <c r="BF33" t="s">
        <v>3697</v>
      </c>
    </row>
    <row r="34" spans="1:58" x14ac:dyDescent="0.35">
      <c r="A34" t="s">
        <v>3695</v>
      </c>
      <c r="B34">
        <v>20000</v>
      </c>
      <c r="C34">
        <v>10000</v>
      </c>
      <c r="D34" s="2">
        <v>45733</v>
      </c>
      <c r="E34" t="s">
        <v>61</v>
      </c>
      <c r="F34" t="s">
        <v>3641</v>
      </c>
      <c r="G34" t="s">
        <v>418</v>
      </c>
      <c r="I34">
        <v>1</v>
      </c>
      <c r="J34" t="s">
        <v>63</v>
      </c>
      <c r="K34">
        <v>59</v>
      </c>
      <c r="L34" t="s">
        <v>745</v>
      </c>
      <c r="M34">
        <v>100</v>
      </c>
      <c r="P34" s="2">
        <v>45731</v>
      </c>
      <c r="R34">
        <v>10</v>
      </c>
      <c r="S34" s="4">
        <v>1000</v>
      </c>
      <c r="T34" t="s">
        <v>65</v>
      </c>
      <c r="U34">
        <v>112024680001</v>
      </c>
      <c r="V34">
        <v>0</v>
      </c>
      <c r="W34" s="4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11202468</v>
      </c>
      <c r="AN34" t="s">
        <v>182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3696</v>
      </c>
      <c r="BA34">
        <v>0</v>
      </c>
      <c r="BC34" t="s">
        <v>182</v>
      </c>
      <c r="BF34" t="s">
        <v>3697</v>
      </c>
    </row>
    <row r="35" spans="1:58" x14ac:dyDescent="0.35">
      <c r="A35" t="s">
        <v>3698</v>
      </c>
      <c r="B35">
        <v>10000</v>
      </c>
      <c r="C35">
        <v>10000</v>
      </c>
      <c r="D35" s="2">
        <v>45735</v>
      </c>
      <c r="E35" t="s">
        <v>95</v>
      </c>
      <c r="F35" t="s">
        <v>1363</v>
      </c>
      <c r="G35" t="s">
        <v>89</v>
      </c>
      <c r="I35">
        <v>1</v>
      </c>
      <c r="J35" t="s">
        <v>63</v>
      </c>
      <c r="K35" t="s">
        <v>97</v>
      </c>
      <c r="L35" t="s">
        <v>98</v>
      </c>
      <c r="M35" s="4">
        <v>60000</v>
      </c>
      <c r="P35" s="2">
        <v>45731</v>
      </c>
      <c r="R35">
        <v>12</v>
      </c>
      <c r="S35" s="4">
        <v>720000</v>
      </c>
      <c r="T35" t="s">
        <v>65</v>
      </c>
      <c r="U35">
        <v>80256230001</v>
      </c>
      <c r="V35">
        <v>0</v>
      </c>
      <c r="W35" s="4">
        <v>720000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8025623</v>
      </c>
      <c r="AN35" t="s">
        <v>91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3699</v>
      </c>
      <c r="BA35">
        <v>0</v>
      </c>
      <c r="BC35" t="s">
        <v>91</v>
      </c>
      <c r="BF35" t="s">
        <v>3700</v>
      </c>
    </row>
    <row r="50" spans="1:2" x14ac:dyDescent="0.35">
      <c r="A50">
        <f>COUNTA(A5:A49)</f>
        <v>31</v>
      </c>
      <c r="B50">
        <f>'14-Mar'!B100+'15-Mar'!A50</f>
        <v>1006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8828-F7B7-4BD1-B205-7E346D678121}">
  <dimension ref="A1:BF20"/>
  <sheetViews>
    <sheetView workbookViewId="0">
      <selection activeCell="A4" sqref="A4:XFD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3701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3702</v>
      </c>
      <c r="B5">
        <v>10000</v>
      </c>
      <c r="C5">
        <v>20000</v>
      </c>
      <c r="D5" s="2">
        <v>45734</v>
      </c>
      <c r="E5" t="s">
        <v>61</v>
      </c>
      <c r="F5" t="s">
        <v>3703</v>
      </c>
      <c r="G5" t="s">
        <v>3704</v>
      </c>
      <c r="I5">
        <v>2</v>
      </c>
      <c r="J5" t="s">
        <v>63</v>
      </c>
      <c r="K5">
        <v>77</v>
      </c>
      <c r="L5" t="s">
        <v>127</v>
      </c>
      <c r="M5" s="4">
        <v>32000</v>
      </c>
      <c r="P5" s="2">
        <v>45732</v>
      </c>
      <c r="R5">
        <v>10</v>
      </c>
      <c r="S5" s="4">
        <v>320000</v>
      </c>
      <c r="T5" t="s">
        <v>65</v>
      </c>
      <c r="U5" t="s">
        <v>3705</v>
      </c>
      <c r="V5">
        <v>0</v>
      </c>
      <c r="W5" s="4">
        <v>300000</v>
      </c>
      <c r="X5" s="4">
        <v>20000</v>
      </c>
      <c r="Y5">
        <v>0</v>
      </c>
      <c r="Z5">
        <v>0</v>
      </c>
      <c r="AA5">
        <v>0</v>
      </c>
      <c r="AD5">
        <v>0</v>
      </c>
      <c r="AM5" t="s">
        <v>3706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AZ5" t="s">
        <v>3707</v>
      </c>
      <c r="BA5">
        <v>0</v>
      </c>
      <c r="BC5" t="s">
        <v>107</v>
      </c>
      <c r="BF5" t="s">
        <v>3708</v>
      </c>
    </row>
    <row r="20" spans="1:2" x14ac:dyDescent="0.35">
      <c r="A20">
        <f>COUNTA(A5:A19)</f>
        <v>1</v>
      </c>
      <c r="B20">
        <f>'15-Mar'!B50+'16-Mar'!A20</f>
        <v>1007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ED92-9330-41D9-94C5-49D7F63E5601}">
  <dimension ref="A1:BF80"/>
  <sheetViews>
    <sheetView topLeftCell="A60" workbookViewId="0">
      <selection activeCell="A4" sqref="A4:XFD7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3709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3710</v>
      </c>
      <c r="B5">
        <v>10000</v>
      </c>
      <c r="C5">
        <v>10000</v>
      </c>
      <c r="D5" s="2">
        <v>45737</v>
      </c>
      <c r="E5" t="s">
        <v>61</v>
      </c>
      <c r="F5" t="s">
        <v>3711</v>
      </c>
      <c r="G5" t="s">
        <v>3462</v>
      </c>
      <c r="H5" t="s">
        <v>3712</v>
      </c>
      <c r="I5">
        <v>1</v>
      </c>
      <c r="J5" t="s">
        <v>69</v>
      </c>
      <c r="K5">
        <v>62</v>
      </c>
      <c r="L5" t="s">
        <v>385</v>
      </c>
      <c r="M5" s="4">
        <v>105000</v>
      </c>
      <c r="P5" s="2">
        <v>45733</v>
      </c>
      <c r="R5">
        <v>1</v>
      </c>
      <c r="S5" s="4">
        <v>105000</v>
      </c>
      <c r="T5" t="s">
        <v>65</v>
      </c>
      <c r="U5" t="s">
        <v>2488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2489</v>
      </c>
      <c r="AN5" t="s">
        <v>175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175</v>
      </c>
      <c r="BF5" t="s">
        <v>3713</v>
      </c>
    </row>
    <row r="6" spans="1:58" x14ac:dyDescent="0.35">
      <c r="A6" t="s">
        <v>3710</v>
      </c>
      <c r="B6">
        <v>10000</v>
      </c>
      <c r="C6">
        <v>20000</v>
      </c>
      <c r="D6" s="2">
        <v>45737</v>
      </c>
      <c r="E6" t="s">
        <v>61</v>
      </c>
      <c r="F6" t="s">
        <v>3711</v>
      </c>
      <c r="G6" t="s">
        <v>3462</v>
      </c>
      <c r="H6" t="s">
        <v>3712</v>
      </c>
      <c r="I6">
        <v>1</v>
      </c>
      <c r="J6" t="s">
        <v>69</v>
      </c>
      <c r="K6" t="s">
        <v>3225</v>
      </c>
      <c r="L6" t="s">
        <v>380</v>
      </c>
      <c r="M6" s="4">
        <v>135000</v>
      </c>
      <c r="P6" s="2">
        <v>45733</v>
      </c>
      <c r="R6">
        <v>1</v>
      </c>
      <c r="S6" s="4">
        <v>135000</v>
      </c>
      <c r="T6" t="s">
        <v>65</v>
      </c>
      <c r="U6" t="s">
        <v>2488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2489</v>
      </c>
      <c r="AN6" t="s">
        <v>175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175</v>
      </c>
      <c r="BF6" t="s">
        <v>3713</v>
      </c>
    </row>
    <row r="7" spans="1:58" x14ac:dyDescent="0.35">
      <c r="A7" t="s">
        <v>3373</v>
      </c>
      <c r="B7">
        <v>10000</v>
      </c>
      <c r="C7">
        <v>50000</v>
      </c>
      <c r="D7" s="2">
        <v>45733</v>
      </c>
      <c r="E7" t="s">
        <v>61</v>
      </c>
      <c r="F7" t="s">
        <v>3374</v>
      </c>
      <c r="G7">
        <v>10639931088</v>
      </c>
      <c r="I7">
        <v>3</v>
      </c>
      <c r="J7" t="s">
        <v>63</v>
      </c>
      <c r="K7">
        <v>91</v>
      </c>
      <c r="L7" t="s">
        <v>104</v>
      </c>
      <c r="M7" s="4">
        <v>56000</v>
      </c>
      <c r="P7" s="2">
        <v>45733</v>
      </c>
      <c r="R7">
        <v>9</v>
      </c>
      <c r="S7" s="4">
        <v>504000</v>
      </c>
      <c r="T7" t="s">
        <v>65</v>
      </c>
      <c r="U7" t="s">
        <v>66</v>
      </c>
      <c r="V7">
        <v>0</v>
      </c>
      <c r="W7" s="4">
        <v>500000</v>
      </c>
      <c r="X7" s="4">
        <v>4000</v>
      </c>
      <c r="Y7">
        <v>0</v>
      </c>
      <c r="Z7">
        <v>0</v>
      </c>
      <c r="AA7">
        <v>0</v>
      </c>
      <c r="AD7">
        <v>0</v>
      </c>
      <c r="AM7" t="s">
        <v>67</v>
      </c>
      <c r="AN7" t="s">
        <v>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3375</v>
      </c>
      <c r="BA7">
        <v>0</v>
      </c>
      <c r="BC7" t="s">
        <v>68</v>
      </c>
      <c r="BF7" t="s">
        <v>3376</v>
      </c>
    </row>
    <row r="8" spans="1:58" x14ac:dyDescent="0.35">
      <c r="A8" t="s">
        <v>3714</v>
      </c>
      <c r="B8">
        <v>10000</v>
      </c>
      <c r="C8">
        <v>30000</v>
      </c>
      <c r="D8" s="2">
        <v>45740</v>
      </c>
      <c r="E8" t="s">
        <v>61</v>
      </c>
      <c r="F8" t="s">
        <v>3715</v>
      </c>
      <c r="G8" t="s">
        <v>3716</v>
      </c>
      <c r="I8">
        <v>2</v>
      </c>
      <c r="J8" t="s">
        <v>63</v>
      </c>
      <c r="K8">
        <v>77</v>
      </c>
      <c r="L8" t="s">
        <v>127</v>
      </c>
      <c r="M8" s="4">
        <v>29723</v>
      </c>
      <c r="P8" s="2">
        <v>45733</v>
      </c>
      <c r="R8">
        <v>36</v>
      </c>
      <c r="S8" s="4">
        <v>1070028</v>
      </c>
      <c r="T8" t="s">
        <v>65</v>
      </c>
      <c r="U8" t="s">
        <v>76</v>
      </c>
      <c r="V8">
        <v>0</v>
      </c>
      <c r="W8" s="4">
        <v>1000000</v>
      </c>
      <c r="X8" s="4">
        <v>70028</v>
      </c>
      <c r="Y8">
        <v>0</v>
      </c>
      <c r="Z8">
        <v>0</v>
      </c>
      <c r="AA8">
        <v>0</v>
      </c>
      <c r="AD8">
        <v>0</v>
      </c>
      <c r="AM8" t="s">
        <v>77</v>
      </c>
      <c r="AN8" t="s">
        <v>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3717</v>
      </c>
      <c r="BA8">
        <v>0</v>
      </c>
      <c r="BC8" t="s">
        <v>68</v>
      </c>
      <c r="BF8" t="s">
        <v>3718</v>
      </c>
    </row>
    <row r="9" spans="1:58" x14ac:dyDescent="0.35">
      <c r="A9" t="s">
        <v>3719</v>
      </c>
      <c r="B9">
        <v>10000</v>
      </c>
      <c r="C9">
        <v>10000</v>
      </c>
      <c r="D9" s="2">
        <v>45734</v>
      </c>
      <c r="E9" t="s">
        <v>61</v>
      </c>
      <c r="F9" t="s">
        <v>3720</v>
      </c>
      <c r="G9" t="s">
        <v>89</v>
      </c>
      <c r="I9">
        <v>1</v>
      </c>
      <c r="J9" t="s">
        <v>63</v>
      </c>
      <c r="K9">
        <v>73</v>
      </c>
      <c r="L9" t="s">
        <v>90</v>
      </c>
      <c r="M9" s="4">
        <v>12000</v>
      </c>
      <c r="P9" s="2">
        <v>45733</v>
      </c>
      <c r="R9">
        <v>12</v>
      </c>
      <c r="S9" s="4">
        <v>144000</v>
      </c>
      <c r="T9" t="s">
        <v>65</v>
      </c>
      <c r="U9">
        <v>80256240001</v>
      </c>
      <c r="V9">
        <v>0</v>
      </c>
      <c r="W9" s="4">
        <v>144000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8025624</v>
      </c>
      <c r="AN9" t="s">
        <v>91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3721</v>
      </c>
      <c r="BA9">
        <v>0</v>
      </c>
      <c r="BC9" t="s">
        <v>91</v>
      </c>
      <c r="BF9" t="s">
        <v>3722</v>
      </c>
    </row>
    <row r="10" spans="1:58" x14ac:dyDescent="0.35">
      <c r="A10" t="s">
        <v>3719</v>
      </c>
      <c r="B10">
        <v>10000</v>
      </c>
      <c r="C10">
        <v>20000</v>
      </c>
      <c r="D10" s="2">
        <v>45734</v>
      </c>
      <c r="E10" t="s">
        <v>61</v>
      </c>
      <c r="F10" t="s">
        <v>3720</v>
      </c>
      <c r="G10" t="s">
        <v>89</v>
      </c>
      <c r="I10">
        <v>1</v>
      </c>
      <c r="J10" t="s">
        <v>63</v>
      </c>
      <c r="K10" t="s">
        <v>3723</v>
      </c>
      <c r="L10" t="s">
        <v>98</v>
      </c>
      <c r="M10" s="4">
        <v>12000</v>
      </c>
      <c r="P10" s="2">
        <v>45733</v>
      </c>
      <c r="R10">
        <v>12</v>
      </c>
      <c r="S10" s="4">
        <v>144000</v>
      </c>
      <c r="T10" t="s">
        <v>65</v>
      </c>
      <c r="U10">
        <v>80256240001</v>
      </c>
      <c r="V10">
        <v>0</v>
      </c>
      <c r="W10" s="4">
        <v>144000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8025624</v>
      </c>
      <c r="AN10" t="s">
        <v>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3721</v>
      </c>
      <c r="BA10">
        <v>0</v>
      </c>
      <c r="BC10" t="s">
        <v>91</v>
      </c>
      <c r="BF10" t="s">
        <v>3722</v>
      </c>
    </row>
    <row r="11" spans="1:58" x14ac:dyDescent="0.35">
      <c r="A11" t="s">
        <v>3389</v>
      </c>
      <c r="B11">
        <v>10000</v>
      </c>
      <c r="C11">
        <v>20000</v>
      </c>
      <c r="D11" s="2">
        <v>45733</v>
      </c>
      <c r="E11" t="s">
        <v>61</v>
      </c>
      <c r="F11" t="s">
        <v>3390</v>
      </c>
      <c r="G11" t="s">
        <v>89</v>
      </c>
      <c r="I11">
        <v>1</v>
      </c>
      <c r="J11" t="s">
        <v>63</v>
      </c>
      <c r="K11">
        <v>73</v>
      </c>
      <c r="L11" t="s">
        <v>90</v>
      </c>
      <c r="M11" s="4">
        <v>12000</v>
      </c>
      <c r="P11" s="2">
        <v>45733</v>
      </c>
      <c r="R11">
        <v>12</v>
      </c>
      <c r="S11" s="4">
        <v>144000</v>
      </c>
      <c r="T11" t="s">
        <v>65</v>
      </c>
      <c r="U11">
        <v>80256250001</v>
      </c>
      <c r="V11">
        <v>0</v>
      </c>
      <c r="W11" s="4">
        <v>144000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8025625</v>
      </c>
      <c r="AN11" t="s">
        <v>91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3391</v>
      </c>
      <c r="BA11">
        <v>0</v>
      </c>
      <c r="BC11" t="s">
        <v>91</v>
      </c>
      <c r="BF11" t="s">
        <v>3392</v>
      </c>
    </row>
    <row r="12" spans="1:58" x14ac:dyDescent="0.35">
      <c r="A12" t="s">
        <v>3724</v>
      </c>
      <c r="B12">
        <v>10000</v>
      </c>
      <c r="C12">
        <v>10000</v>
      </c>
      <c r="D12" s="2">
        <v>45734</v>
      </c>
      <c r="E12" t="s">
        <v>61</v>
      </c>
      <c r="F12" t="s">
        <v>3725</v>
      </c>
      <c r="G12" t="s">
        <v>89</v>
      </c>
      <c r="I12">
        <v>1</v>
      </c>
      <c r="J12" t="s">
        <v>63</v>
      </c>
      <c r="K12">
        <v>73</v>
      </c>
      <c r="L12" t="s">
        <v>90</v>
      </c>
      <c r="M12" s="4">
        <v>24000</v>
      </c>
      <c r="P12" s="2">
        <v>45733</v>
      </c>
      <c r="R12">
        <v>12</v>
      </c>
      <c r="S12" s="4">
        <v>288000</v>
      </c>
      <c r="T12" t="s">
        <v>65</v>
      </c>
      <c r="U12">
        <v>80256250001</v>
      </c>
      <c r="V12">
        <v>0</v>
      </c>
      <c r="W12" s="4">
        <v>288000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8025625</v>
      </c>
      <c r="AN12" t="s">
        <v>91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3726</v>
      </c>
      <c r="BA12">
        <v>0</v>
      </c>
      <c r="BC12" t="s">
        <v>91</v>
      </c>
      <c r="BF12" t="s">
        <v>3727</v>
      </c>
    </row>
    <row r="13" spans="1:58" x14ac:dyDescent="0.35">
      <c r="A13" t="s">
        <v>3728</v>
      </c>
      <c r="B13">
        <v>10000</v>
      </c>
      <c r="C13">
        <v>20000</v>
      </c>
      <c r="D13" s="2">
        <v>45733</v>
      </c>
      <c r="E13" t="s">
        <v>61</v>
      </c>
      <c r="F13" t="s">
        <v>3729</v>
      </c>
      <c r="G13" t="s">
        <v>2069</v>
      </c>
      <c r="I13">
        <v>1</v>
      </c>
      <c r="J13" t="s">
        <v>63</v>
      </c>
      <c r="K13">
        <v>94</v>
      </c>
      <c r="L13" t="s">
        <v>181</v>
      </c>
      <c r="M13">
        <v>50</v>
      </c>
      <c r="P13" s="2">
        <v>45733</v>
      </c>
      <c r="R13">
        <v>4</v>
      </c>
      <c r="S13">
        <v>200</v>
      </c>
      <c r="T13" t="s">
        <v>65</v>
      </c>
      <c r="U13" t="s">
        <v>3658</v>
      </c>
      <c r="V13">
        <v>0</v>
      </c>
      <c r="W13">
        <v>200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3659</v>
      </c>
      <c r="AN13" t="s">
        <v>364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3730</v>
      </c>
      <c r="BA13">
        <v>0</v>
      </c>
      <c r="BC13" t="s">
        <v>364</v>
      </c>
      <c r="BF13" t="s">
        <v>3731</v>
      </c>
    </row>
    <row r="14" spans="1:58" x14ac:dyDescent="0.35">
      <c r="A14" t="s">
        <v>1344</v>
      </c>
      <c r="B14">
        <v>10000</v>
      </c>
      <c r="C14">
        <v>30000</v>
      </c>
      <c r="D14" s="2">
        <v>45734</v>
      </c>
      <c r="E14" t="s">
        <v>61</v>
      </c>
      <c r="F14" t="s">
        <v>1345</v>
      </c>
      <c r="G14" t="s">
        <v>1346</v>
      </c>
      <c r="I14">
        <v>3</v>
      </c>
      <c r="J14" t="s">
        <v>63</v>
      </c>
      <c r="K14">
        <v>85</v>
      </c>
      <c r="L14" t="s">
        <v>327</v>
      </c>
      <c r="M14" s="4">
        <v>20000</v>
      </c>
      <c r="P14" s="2">
        <v>45733</v>
      </c>
      <c r="R14">
        <v>11</v>
      </c>
      <c r="S14" s="4">
        <v>220000</v>
      </c>
      <c r="T14" t="s">
        <v>65</v>
      </c>
      <c r="U14" t="s">
        <v>1347</v>
      </c>
      <c r="V14">
        <v>0</v>
      </c>
      <c r="W14" s="4">
        <v>200000</v>
      </c>
      <c r="X14" s="4">
        <v>20000</v>
      </c>
      <c r="Y14">
        <v>0</v>
      </c>
      <c r="Z14">
        <v>0</v>
      </c>
      <c r="AA14">
        <v>0</v>
      </c>
      <c r="AD14">
        <v>0</v>
      </c>
      <c r="AM14" t="s">
        <v>1348</v>
      </c>
      <c r="AN14" t="s">
        <v>107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1349</v>
      </c>
      <c r="BA14">
        <v>0</v>
      </c>
      <c r="BC14" t="s">
        <v>107</v>
      </c>
      <c r="BF14" t="s">
        <v>1350</v>
      </c>
    </row>
    <row r="15" spans="1:58" x14ac:dyDescent="0.35">
      <c r="A15" t="s">
        <v>1373</v>
      </c>
      <c r="B15">
        <v>10000</v>
      </c>
      <c r="C15">
        <v>30000</v>
      </c>
      <c r="D15" s="2">
        <v>45734</v>
      </c>
      <c r="E15" t="s">
        <v>61</v>
      </c>
      <c r="F15" t="s">
        <v>1374</v>
      </c>
      <c r="G15" t="s">
        <v>1346</v>
      </c>
      <c r="I15">
        <v>3</v>
      </c>
      <c r="J15" t="s">
        <v>63</v>
      </c>
      <c r="K15">
        <v>85</v>
      </c>
      <c r="L15" t="s">
        <v>327</v>
      </c>
      <c r="M15" s="4">
        <v>20000</v>
      </c>
      <c r="P15" s="2">
        <v>45733</v>
      </c>
      <c r="R15">
        <v>11</v>
      </c>
      <c r="S15" s="4">
        <v>220000</v>
      </c>
      <c r="T15" t="s">
        <v>65</v>
      </c>
      <c r="U15" t="s">
        <v>1375</v>
      </c>
      <c r="V15">
        <v>0</v>
      </c>
      <c r="W15" s="4">
        <v>200000</v>
      </c>
      <c r="X15" s="4">
        <v>20000</v>
      </c>
      <c r="Y15">
        <v>0</v>
      </c>
      <c r="Z15">
        <v>0</v>
      </c>
      <c r="AA15">
        <v>0</v>
      </c>
      <c r="AD15">
        <v>0</v>
      </c>
      <c r="AM15" t="s">
        <v>1376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1377</v>
      </c>
      <c r="BA15">
        <v>0</v>
      </c>
      <c r="BC15" t="s">
        <v>107</v>
      </c>
      <c r="BF15" t="s">
        <v>1378</v>
      </c>
    </row>
    <row r="16" spans="1:58" x14ac:dyDescent="0.35">
      <c r="A16" t="s">
        <v>1379</v>
      </c>
      <c r="B16">
        <v>10000</v>
      </c>
      <c r="C16">
        <v>30000</v>
      </c>
      <c r="D16" s="2">
        <v>45734</v>
      </c>
      <c r="E16" t="s">
        <v>61</v>
      </c>
      <c r="F16" t="s">
        <v>1380</v>
      </c>
      <c r="G16" t="s">
        <v>1346</v>
      </c>
      <c r="I16">
        <v>3</v>
      </c>
      <c r="J16" t="s">
        <v>63</v>
      </c>
      <c r="K16">
        <v>85</v>
      </c>
      <c r="L16" t="s">
        <v>327</v>
      </c>
      <c r="M16" s="4">
        <v>20000</v>
      </c>
      <c r="P16" s="2">
        <v>45733</v>
      </c>
      <c r="R16">
        <v>11</v>
      </c>
      <c r="S16" s="4">
        <v>220000</v>
      </c>
      <c r="T16" t="s">
        <v>65</v>
      </c>
      <c r="U16" t="s">
        <v>1381</v>
      </c>
      <c r="V16">
        <v>0</v>
      </c>
      <c r="W16" s="4">
        <v>200000</v>
      </c>
      <c r="X16" s="4">
        <v>20000</v>
      </c>
      <c r="Y16">
        <v>0</v>
      </c>
      <c r="Z16">
        <v>0</v>
      </c>
      <c r="AA16">
        <v>0</v>
      </c>
      <c r="AD16">
        <v>0</v>
      </c>
      <c r="AM16" t="s">
        <v>1382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1383</v>
      </c>
      <c r="BA16">
        <v>0</v>
      </c>
      <c r="BC16" t="s">
        <v>107</v>
      </c>
      <c r="BF16" t="s">
        <v>1384</v>
      </c>
    </row>
    <row r="17" spans="1:58" x14ac:dyDescent="0.35">
      <c r="A17" t="s">
        <v>1392</v>
      </c>
      <c r="B17">
        <v>10000</v>
      </c>
      <c r="C17">
        <v>30000</v>
      </c>
      <c r="D17" s="2">
        <v>45740</v>
      </c>
      <c r="E17" t="s">
        <v>61</v>
      </c>
      <c r="F17" s="3">
        <v>0.44521990740740741</v>
      </c>
      <c r="G17" t="s">
        <v>1346</v>
      </c>
      <c r="I17">
        <v>3</v>
      </c>
      <c r="J17" t="s">
        <v>63</v>
      </c>
      <c r="K17">
        <v>85</v>
      </c>
      <c r="L17" t="s">
        <v>327</v>
      </c>
      <c r="M17" s="4">
        <v>10000</v>
      </c>
      <c r="P17" s="2">
        <v>45733</v>
      </c>
      <c r="R17">
        <v>11</v>
      </c>
      <c r="S17" s="4">
        <v>110000</v>
      </c>
      <c r="T17" t="s">
        <v>65</v>
      </c>
      <c r="U17" t="s">
        <v>1393</v>
      </c>
      <c r="V17">
        <v>0</v>
      </c>
      <c r="W17" s="4">
        <v>100000</v>
      </c>
      <c r="X17" s="4">
        <v>10000</v>
      </c>
      <c r="Y17">
        <v>0</v>
      </c>
      <c r="Z17">
        <v>0</v>
      </c>
      <c r="AA17">
        <v>0</v>
      </c>
      <c r="AD17">
        <v>0</v>
      </c>
      <c r="AM17" t="s">
        <v>1394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1395</v>
      </c>
      <c r="BA17">
        <v>0</v>
      </c>
      <c r="BC17" t="s">
        <v>107</v>
      </c>
      <c r="BF17" t="s">
        <v>1396</v>
      </c>
    </row>
    <row r="18" spans="1:58" x14ac:dyDescent="0.35">
      <c r="A18" t="s">
        <v>1397</v>
      </c>
      <c r="B18">
        <v>10000</v>
      </c>
      <c r="C18">
        <v>30000</v>
      </c>
      <c r="D18" s="2">
        <v>45740</v>
      </c>
      <c r="E18" t="s">
        <v>61</v>
      </c>
      <c r="F18" t="s">
        <v>2204</v>
      </c>
      <c r="G18" t="s">
        <v>1346</v>
      </c>
      <c r="I18">
        <v>3</v>
      </c>
      <c r="J18" t="s">
        <v>63</v>
      </c>
      <c r="K18">
        <v>85</v>
      </c>
      <c r="L18" t="s">
        <v>327</v>
      </c>
      <c r="M18" s="4">
        <v>10000</v>
      </c>
      <c r="P18" s="2">
        <v>45733</v>
      </c>
      <c r="R18">
        <v>11</v>
      </c>
      <c r="S18" s="4">
        <v>110000</v>
      </c>
      <c r="T18" t="s">
        <v>65</v>
      </c>
      <c r="U18" t="s">
        <v>1206</v>
      </c>
      <c r="V18">
        <v>0</v>
      </c>
      <c r="W18" s="4">
        <v>100000</v>
      </c>
      <c r="X18" s="4">
        <v>10000</v>
      </c>
      <c r="Y18">
        <v>0</v>
      </c>
      <c r="Z18">
        <v>0</v>
      </c>
      <c r="AA18">
        <v>0</v>
      </c>
      <c r="AD18">
        <v>0</v>
      </c>
      <c r="AM18" t="s">
        <v>1207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1398</v>
      </c>
      <c r="BA18">
        <v>0</v>
      </c>
      <c r="BC18" t="s">
        <v>107</v>
      </c>
      <c r="BF18" t="s">
        <v>1399</v>
      </c>
    </row>
    <row r="19" spans="1:58" x14ac:dyDescent="0.35">
      <c r="A19" t="s">
        <v>1400</v>
      </c>
      <c r="B19">
        <v>10000</v>
      </c>
      <c r="C19">
        <v>30000</v>
      </c>
      <c r="D19" s="2">
        <v>45734</v>
      </c>
      <c r="E19" t="s">
        <v>61</v>
      </c>
      <c r="F19" t="s">
        <v>1187</v>
      </c>
      <c r="G19" t="s">
        <v>1346</v>
      </c>
      <c r="I19">
        <v>3</v>
      </c>
      <c r="J19" t="s">
        <v>63</v>
      </c>
      <c r="K19">
        <v>85</v>
      </c>
      <c r="L19" t="s">
        <v>327</v>
      </c>
      <c r="M19" s="4">
        <v>10000</v>
      </c>
      <c r="P19" s="2">
        <v>45733</v>
      </c>
      <c r="R19">
        <v>11</v>
      </c>
      <c r="S19" s="4">
        <v>110000</v>
      </c>
      <c r="T19" t="s">
        <v>65</v>
      </c>
      <c r="U19" t="s">
        <v>1218</v>
      </c>
      <c r="V19">
        <v>0</v>
      </c>
      <c r="W19" s="4">
        <v>100000</v>
      </c>
      <c r="X19" s="4">
        <v>10000</v>
      </c>
      <c r="Y19">
        <v>0</v>
      </c>
      <c r="Z19">
        <v>0</v>
      </c>
      <c r="AA19">
        <v>0</v>
      </c>
      <c r="AD19">
        <v>0</v>
      </c>
      <c r="AM19" t="s">
        <v>1219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1401</v>
      </c>
      <c r="BA19">
        <v>0</v>
      </c>
      <c r="BC19" t="s">
        <v>107</v>
      </c>
      <c r="BF19" t="s">
        <v>1402</v>
      </c>
    </row>
    <row r="20" spans="1:58" x14ac:dyDescent="0.35">
      <c r="A20" t="s">
        <v>3732</v>
      </c>
      <c r="B20">
        <v>10000</v>
      </c>
      <c r="C20">
        <v>10000</v>
      </c>
      <c r="D20" s="2">
        <v>45733</v>
      </c>
      <c r="E20" t="s">
        <v>61</v>
      </c>
      <c r="F20" t="s">
        <v>3733</v>
      </c>
      <c r="G20" t="s">
        <v>3734</v>
      </c>
      <c r="I20">
        <v>1</v>
      </c>
      <c r="J20" t="s">
        <v>63</v>
      </c>
      <c r="K20">
        <v>78</v>
      </c>
      <c r="L20" t="s">
        <v>188</v>
      </c>
      <c r="M20">
        <v>877</v>
      </c>
      <c r="P20" s="2">
        <v>45733</v>
      </c>
      <c r="R20">
        <v>1</v>
      </c>
      <c r="S20">
        <v>877</v>
      </c>
      <c r="T20" t="s">
        <v>65</v>
      </c>
      <c r="U20" t="s">
        <v>3735</v>
      </c>
      <c r="V20">
        <v>0</v>
      </c>
      <c r="W20">
        <v>877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3736</v>
      </c>
      <c r="AN20" t="s">
        <v>3737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3738</v>
      </c>
      <c r="BA20">
        <v>0</v>
      </c>
      <c r="BC20" t="s">
        <v>3737</v>
      </c>
      <c r="BF20" t="s">
        <v>3739</v>
      </c>
    </row>
    <row r="21" spans="1:58" x14ac:dyDescent="0.35">
      <c r="A21" t="s">
        <v>3740</v>
      </c>
      <c r="B21">
        <v>10000</v>
      </c>
      <c r="C21">
        <v>10000</v>
      </c>
      <c r="D21" s="2">
        <v>45733</v>
      </c>
      <c r="E21" t="s">
        <v>61</v>
      </c>
      <c r="F21" t="s">
        <v>3733</v>
      </c>
      <c r="G21" t="s">
        <v>3734</v>
      </c>
      <c r="I21">
        <v>1</v>
      </c>
      <c r="J21" t="s">
        <v>63</v>
      </c>
      <c r="K21">
        <v>78</v>
      </c>
      <c r="L21" t="s">
        <v>188</v>
      </c>
      <c r="M21">
        <v>877</v>
      </c>
      <c r="P21" s="2">
        <v>45733</v>
      </c>
      <c r="R21">
        <v>1</v>
      </c>
      <c r="S21">
        <v>877</v>
      </c>
      <c r="T21" t="s">
        <v>65</v>
      </c>
      <c r="U21" t="s">
        <v>3741</v>
      </c>
      <c r="V21">
        <v>0</v>
      </c>
      <c r="W21">
        <v>877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3742</v>
      </c>
      <c r="AN21" t="s">
        <v>3737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3743</v>
      </c>
      <c r="BA21">
        <v>0</v>
      </c>
      <c r="BC21" t="s">
        <v>3737</v>
      </c>
      <c r="BF21" t="s">
        <v>3744</v>
      </c>
    </row>
    <row r="22" spans="1:58" x14ac:dyDescent="0.35">
      <c r="A22" t="s">
        <v>3745</v>
      </c>
      <c r="B22">
        <v>10000</v>
      </c>
      <c r="C22">
        <v>10000</v>
      </c>
      <c r="D22" s="2">
        <v>45735</v>
      </c>
      <c r="E22" t="s">
        <v>61</v>
      </c>
      <c r="F22" s="3">
        <v>0.48032407407407407</v>
      </c>
      <c r="G22">
        <v>502200327</v>
      </c>
      <c r="I22">
        <v>1</v>
      </c>
      <c r="J22" t="s">
        <v>63</v>
      </c>
      <c r="K22">
        <v>59</v>
      </c>
      <c r="L22" t="s">
        <v>745</v>
      </c>
      <c r="M22" s="4">
        <v>28000</v>
      </c>
      <c r="P22" s="2">
        <v>45733</v>
      </c>
      <c r="R22">
        <v>12</v>
      </c>
      <c r="S22" s="4">
        <v>336000</v>
      </c>
      <c r="T22" t="s">
        <v>65</v>
      </c>
      <c r="U22">
        <v>7062410001</v>
      </c>
      <c r="V22">
        <v>0</v>
      </c>
      <c r="W22" s="4">
        <v>322000</v>
      </c>
      <c r="X22" s="4">
        <v>14000</v>
      </c>
      <c r="Y22">
        <v>0</v>
      </c>
      <c r="Z22">
        <v>0</v>
      </c>
      <c r="AA22">
        <v>0</v>
      </c>
      <c r="AD22">
        <v>0</v>
      </c>
      <c r="AM22" t="s">
        <v>3746</v>
      </c>
      <c r="AN22" t="s">
        <v>481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3747</v>
      </c>
      <c r="BA22">
        <v>0</v>
      </c>
      <c r="BC22" t="s">
        <v>481</v>
      </c>
      <c r="BF22" t="s">
        <v>3748</v>
      </c>
    </row>
    <row r="23" spans="1:58" x14ac:dyDescent="0.35">
      <c r="A23" t="s">
        <v>1882</v>
      </c>
      <c r="B23">
        <v>10000</v>
      </c>
      <c r="C23">
        <v>20000</v>
      </c>
      <c r="D23" s="2">
        <v>45734</v>
      </c>
      <c r="E23" t="s">
        <v>61</v>
      </c>
      <c r="F23" t="s">
        <v>1883</v>
      </c>
      <c r="G23" t="s">
        <v>1884</v>
      </c>
      <c r="I23">
        <v>2</v>
      </c>
      <c r="J23" t="s">
        <v>63</v>
      </c>
      <c r="K23">
        <v>105</v>
      </c>
      <c r="L23" t="s">
        <v>424</v>
      </c>
      <c r="M23" s="4">
        <v>2200</v>
      </c>
      <c r="P23" s="2">
        <v>45733</v>
      </c>
      <c r="R23">
        <v>1</v>
      </c>
      <c r="S23" s="4">
        <v>2200</v>
      </c>
      <c r="T23" t="s">
        <v>65</v>
      </c>
      <c r="U23" t="s">
        <v>1885</v>
      </c>
      <c r="V23">
        <v>0</v>
      </c>
      <c r="W23" s="4">
        <v>1594</v>
      </c>
      <c r="X23">
        <v>606</v>
      </c>
      <c r="Y23">
        <v>0</v>
      </c>
      <c r="Z23">
        <v>0</v>
      </c>
      <c r="AA23">
        <v>0</v>
      </c>
      <c r="AD23">
        <v>0</v>
      </c>
      <c r="AM23" t="s">
        <v>1886</v>
      </c>
      <c r="AN23" t="s">
        <v>1879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1887</v>
      </c>
      <c r="BA23">
        <v>0</v>
      </c>
      <c r="BC23" t="s">
        <v>1879</v>
      </c>
      <c r="BF23" t="s">
        <v>1881</v>
      </c>
    </row>
    <row r="24" spans="1:58" x14ac:dyDescent="0.35">
      <c r="A24" t="s">
        <v>1511</v>
      </c>
      <c r="B24">
        <v>10000</v>
      </c>
      <c r="C24">
        <v>30000</v>
      </c>
      <c r="D24" s="2">
        <v>45734</v>
      </c>
      <c r="E24" t="s">
        <v>61</v>
      </c>
      <c r="F24" t="s">
        <v>310</v>
      </c>
      <c r="G24" t="s">
        <v>1346</v>
      </c>
      <c r="I24">
        <v>3</v>
      </c>
      <c r="J24" t="s">
        <v>63</v>
      </c>
      <c r="K24">
        <v>85</v>
      </c>
      <c r="L24" t="s">
        <v>327</v>
      </c>
      <c r="M24" s="4">
        <v>20000</v>
      </c>
      <c r="P24" s="2">
        <v>45733</v>
      </c>
      <c r="R24">
        <v>11</v>
      </c>
      <c r="S24" s="4">
        <v>220000</v>
      </c>
      <c r="T24" t="s">
        <v>65</v>
      </c>
      <c r="U24" t="s">
        <v>1512</v>
      </c>
      <c r="V24">
        <v>0</v>
      </c>
      <c r="W24" s="4">
        <v>200000</v>
      </c>
      <c r="X24" s="4">
        <v>20000</v>
      </c>
      <c r="Y24">
        <v>0</v>
      </c>
      <c r="Z24">
        <v>0</v>
      </c>
      <c r="AA24">
        <v>0</v>
      </c>
      <c r="AD24">
        <v>0</v>
      </c>
      <c r="AM24" t="s">
        <v>1513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1514</v>
      </c>
      <c r="BA24">
        <v>0</v>
      </c>
      <c r="BC24" t="s">
        <v>107</v>
      </c>
      <c r="BF24" t="s">
        <v>1515</v>
      </c>
    </row>
    <row r="25" spans="1:58" x14ac:dyDescent="0.35">
      <c r="A25" t="s">
        <v>2632</v>
      </c>
      <c r="B25">
        <v>10000</v>
      </c>
      <c r="C25">
        <v>20000</v>
      </c>
      <c r="D25" s="2">
        <v>45733</v>
      </c>
      <c r="E25" t="s">
        <v>61</v>
      </c>
      <c r="F25" t="s">
        <v>3749</v>
      </c>
      <c r="G25" t="s">
        <v>2634</v>
      </c>
      <c r="I25">
        <v>1</v>
      </c>
      <c r="J25" t="s">
        <v>63</v>
      </c>
      <c r="K25">
        <v>31</v>
      </c>
      <c r="L25" t="s">
        <v>1311</v>
      </c>
      <c r="M25" s="4">
        <v>1000</v>
      </c>
      <c r="P25" s="2">
        <v>45733</v>
      </c>
      <c r="R25">
        <v>6</v>
      </c>
      <c r="S25" s="4">
        <v>6000</v>
      </c>
      <c r="T25" t="s">
        <v>65</v>
      </c>
      <c r="U25" t="s">
        <v>2635</v>
      </c>
      <c r="V25">
        <v>0</v>
      </c>
      <c r="W25" s="4">
        <v>5000</v>
      </c>
      <c r="X25" s="4">
        <v>1000</v>
      </c>
      <c r="Y25">
        <v>0</v>
      </c>
      <c r="Z25">
        <v>0</v>
      </c>
      <c r="AA25">
        <v>0</v>
      </c>
      <c r="AD25">
        <v>0</v>
      </c>
      <c r="AM25" t="s">
        <v>2636</v>
      </c>
      <c r="AN25" t="s">
        <v>2637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2638</v>
      </c>
      <c r="BA25">
        <v>0</v>
      </c>
      <c r="BC25" t="s">
        <v>2637</v>
      </c>
      <c r="BF25" t="s">
        <v>2639</v>
      </c>
    </row>
    <row r="26" spans="1:58" x14ac:dyDescent="0.35">
      <c r="A26" t="s">
        <v>3443</v>
      </c>
      <c r="B26">
        <v>10000</v>
      </c>
      <c r="C26">
        <v>20000</v>
      </c>
      <c r="D26" s="2">
        <v>45735</v>
      </c>
      <c r="E26" t="s">
        <v>61</v>
      </c>
      <c r="F26" t="s">
        <v>3444</v>
      </c>
      <c r="G26" t="s">
        <v>3445</v>
      </c>
      <c r="I26">
        <v>2</v>
      </c>
      <c r="J26" t="s">
        <v>63</v>
      </c>
      <c r="K26">
        <v>100</v>
      </c>
      <c r="L26" t="s">
        <v>424</v>
      </c>
      <c r="M26">
        <v>500</v>
      </c>
      <c r="P26" s="2">
        <v>45733</v>
      </c>
      <c r="R26">
        <v>1</v>
      </c>
      <c r="S26">
        <v>500</v>
      </c>
      <c r="T26" t="s">
        <v>65</v>
      </c>
      <c r="U26" t="s">
        <v>3446</v>
      </c>
      <c r="V26">
        <v>0</v>
      </c>
      <c r="W26">
        <v>500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3447</v>
      </c>
      <c r="AN26" t="s">
        <v>487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3448</v>
      </c>
      <c r="BA26">
        <v>0</v>
      </c>
      <c r="BC26" t="s">
        <v>487</v>
      </c>
      <c r="BF26" t="s">
        <v>3449</v>
      </c>
    </row>
    <row r="27" spans="1:58" x14ac:dyDescent="0.35">
      <c r="A27" t="s">
        <v>3450</v>
      </c>
      <c r="B27">
        <v>10000</v>
      </c>
      <c r="C27">
        <v>20000</v>
      </c>
      <c r="D27" s="2">
        <v>45735</v>
      </c>
      <c r="E27" t="s">
        <v>61</v>
      </c>
      <c r="F27" t="s">
        <v>3451</v>
      </c>
      <c r="G27" t="s">
        <v>3445</v>
      </c>
      <c r="I27">
        <v>2</v>
      </c>
      <c r="J27" t="s">
        <v>63</v>
      </c>
      <c r="K27">
        <v>100</v>
      </c>
      <c r="L27" t="s">
        <v>424</v>
      </c>
      <c r="M27" s="4">
        <v>2400</v>
      </c>
      <c r="P27" s="2">
        <v>45733</v>
      </c>
      <c r="R27">
        <v>1</v>
      </c>
      <c r="S27" s="4">
        <v>2400</v>
      </c>
      <c r="T27" t="s">
        <v>65</v>
      </c>
      <c r="U27" t="s">
        <v>3452</v>
      </c>
      <c r="V27">
        <v>0</v>
      </c>
      <c r="W27" s="4">
        <v>2400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3453</v>
      </c>
      <c r="AN27" t="s">
        <v>487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3454</v>
      </c>
      <c r="BA27">
        <v>0</v>
      </c>
      <c r="BC27" t="s">
        <v>487</v>
      </c>
      <c r="BF27" t="s">
        <v>3449</v>
      </c>
    </row>
    <row r="28" spans="1:58" x14ac:dyDescent="0.35">
      <c r="A28" t="s">
        <v>3750</v>
      </c>
      <c r="B28">
        <v>10000</v>
      </c>
      <c r="C28">
        <v>10000</v>
      </c>
      <c r="D28" s="2">
        <v>45734</v>
      </c>
      <c r="E28" t="s">
        <v>61</v>
      </c>
      <c r="F28" t="s">
        <v>3751</v>
      </c>
      <c r="G28" t="s">
        <v>3752</v>
      </c>
      <c r="I28">
        <v>1</v>
      </c>
      <c r="J28" t="s">
        <v>63</v>
      </c>
      <c r="K28">
        <v>63</v>
      </c>
      <c r="L28" t="s">
        <v>519</v>
      </c>
      <c r="M28" s="4">
        <v>4000</v>
      </c>
      <c r="P28" s="2">
        <v>45733</v>
      </c>
      <c r="R28">
        <v>20</v>
      </c>
      <c r="S28" s="4">
        <v>80000</v>
      </c>
      <c r="T28" t="s">
        <v>65</v>
      </c>
      <c r="U28" t="s">
        <v>3753</v>
      </c>
      <c r="V28">
        <v>0</v>
      </c>
      <c r="W28" s="4">
        <v>80000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3754</v>
      </c>
      <c r="AN28" t="s">
        <v>157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3755</v>
      </c>
      <c r="BA28">
        <v>0</v>
      </c>
      <c r="BC28" t="s">
        <v>157</v>
      </c>
      <c r="BF28" t="s">
        <v>3756</v>
      </c>
    </row>
    <row r="29" spans="1:58" x14ac:dyDescent="0.35">
      <c r="A29" t="s">
        <v>2932</v>
      </c>
      <c r="B29">
        <v>10000</v>
      </c>
      <c r="C29">
        <v>20000</v>
      </c>
      <c r="D29" s="2">
        <v>45734</v>
      </c>
      <c r="E29" t="s">
        <v>61</v>
      </c>
      <c r="F29" t="s">
        <v>133</v>
      </c>
      <c r="G29" t="s">
        <v>2289</v>
      </c>
      <c r="I29">
        <v>2</v>
      </c>
      <c r="J29" t="s">
        <v>63</v>
      </c>
      <c r="K29">
        <v>63</v>
      </c>
      <c r="L29" t="s">
        <v>519</v>
      </c>
      <c r="M29" s="4">
        <v>2500</v>
      </c>
      <c r="P29" s="2">
        <v>45733</v>
      </c>
      <c r="R29">
        <v>16</v>
      </c>
      <c r="S29" s="4">
        <v>40000</v>
      </c>
      <c r="T29" t="s">
        <v>65</v>
      </c>
      <c r="U29" t="s">
        <v>2865</v>
      </c>
      <c r="V29">
        <v>0</v>
      </c>
      <c r="W29" s="4">
        <v>40000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2866</v>
      </c>
      <c r="AN29" t="s">
        <v>157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2933</v>
      </c>
      <c r="BA29">
        <v>0</v>
      </c>
      <c r="BC29" t="s">
        <v>157</v>
      </c>
      <c r="BF29" t="s">
        <v>2934</v>
      </c>
    </row>
    <row r="30" spans="1:58" x14ac:dyDescent="0.35">
      <c r="A30" t="s">
        <v>3757</v>
      </c>
      <c r="B30">
        <v>10000</v>
      </c>
      <c r="C30">
        <v>10000</v>
      </c>
      <c r="D30" s="2">
        <v>45734</v>
      </c>
      <c r="E30" t="s">
        <v>61</v>
      </c>
      <c r="F30" t="s">
        <v>3751</v>
      </c>
      <c r="G30" t="s">
        <v>3752</v>
      </c>
      <c r="I30">
        <v>1</v>
      </c>
      <c r="J30" t="s">
        <v>63</v>
      </c>
      <c r="K30">
        <v>63</v>
      </c>
      <c r="L30" t="s">
        <v>519</v>
      </c>
      <c r="M30" s="4">
        <v>4000</v>
      </c>
      <c r="P30" s="2">
        <v>45733</v>
      </c>
      <c r="R30">
        <v>20</v>
      </c>
      <c r="S30" s="4">
        <v>80000</v>
      </c>
      <c r="T30" t="s">
        <v>65</v>
      </c>
      <c r="U30" t="s">
        <v>3753</v>
      </c>
      <c r="V30">
        <v>0</v>
      </c>
      <c r="W30" s="4">
        <v>80000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3754</v>
      </c>
      <c r="AN30" t="s">
        <v>175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3758</v>
      </c>
      <c r="BA30">
        <v>0</v>
      </c>
      <c r="BC30" t="s">
        <v>175</v>
      </c>
      <c r="BF30" t="s">
        <v>3759</v>
      </c>
    </row>
    <row r="31" spans="1:58" x14ac:dyDescent="0.35">
      <c r="A31" t="s">
        <v>3208</v>
      </c>
      <c r="B31">
        <v>10000</v>
      </c>
      <c r="C31">
        <v>20000</v>
      </c>
      <c r="D31" s="2">
        <v>45734</v>
      </c>
      <c r="E31" t="s">
        <v>61</v>
      </c>
      <c r="F31" t="s">
        <v>3209</v>
      </c>
      <c r="G31" t="s">
        <v>2289</v>
      </c>
      <c r="I31">
        <v>2</v>
      </c>
      <c r="J31" t="s">
        <v>63</v>
      </c>
      <c r="K31">
        <v>63</v>
      </c>
      <c r="L31" t="s">
        <v>519</v>
      </c>
      <c r="M31" s="4">
        <v>7500</v>
      </c>
      <c r="P31" s="2">
        <v>45733</v>
      </c>
      <c r="R31">
        <v>16</v>
      </c>
      <c r="S31" s="4">
        <v>120000</v>
      </c>
      <c r="T31" t="s">
        <v>65</v>
      </c>
      <c r="U31" t="s">
        <v>2865</v>
      </c>
      <c r="V31">
        <v>0</v>
      </c>
      <c r="W31" s="4">
        <v>120000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2866</v>
      </c>
      <c r="AN31" t="s">
        <v>175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3210</v>
      </c>
      <c r="BA31">
        <v>0</v>
      </c>
      <c r="BC31" t="s">
        <v>175</v>
      </c>
      <c r="BF31" t="s">
        <v>3211</v>
      </c>
    </row>
    <row r="32" spans="1:58" x14ac:dyDescent="0.35">
      <c r="A32" t="s">
        <v>3212</v>
      </c>
      <c r="B32">
        <v>10000</v>
      </c>
      <c r="C32">
        <v>20000</v>
      </c>
      <c r="D32" s="2">
        <v>45734</v>
      </c>
      <c r="E32" t="s">
        <v>61</v>
      </c>
      <c r="F32" t="s">
        <v>3213</v>
      </c>
      <c r="G32" t="s">
        <v>2289</v>
      </c>
      <c r="I32">
        <v>2</v>
      </c>
      <c r="J32" t="s">
        <v>63</v>
      </c>
      <c r="K32">
        <v>63</v>
      </c>
      <c r="L32" t="s">
        <v>519</v>
      </c>
      <c r="M32" s="4">
        <v>7500</v>
      </c>
      <c r="P32" s="2">
        <v>45733</v>
      </c>
      <c r="R32">
        <v>16</v>
      </c>
      <c r="S32" s="4">
        <v>120000</v>
      </c>
      <c r="T32" t="s">
        <v>65</v>
      </c>
      <c r="U32" t="s">
        <v>2865</v>
      </c>
      <c r="V32">
        <v>0</v>
      </c>
      <c r="W32" s="4">
        <v>120000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2866</v>
      </c>
      <c r="AN32" t="s">
        <v>175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3214</v>
      </c>
      <c r="BA32">
        <v>0</v>
      </c>
      <c r="BC32" t="s">
        <v>175</v>
      </c>
      <c r="BF32" t="s">
        <v>3215</v>
      </c>
    </row>
    <row r="33" spans="1:58" x14ac:dyDescent="0.35">
      <c r="A33" t="s">
        <v>3468</v>
      </c>
      <c r="B33">
        <v>10000</v>
      </c>
      <c r="C33">
        <v>20000</v>
      </c>
      <c r="D33" s="2">
        <v>45733</v>
      </c>
      <c r="E33" t="s">
        <v>61</v>
      </c>
      <c r="F33" t="s">
        <v>3469</v>
      </c>
      <c r="G33" t="s">
        <v>387</v>
      </c>
      <c r="I33">
        <v>2</v>
      </c>
      <c r="J33" t="s">
        <v>63</v>
      </c>
      <c r="K33">
        <v>65</v>
      </c>
      <c r="L33" t="s">
        <v>268</v>
      </c>
      <c r="M33" s="4">
        <v>4000</v>
      </c>
      <c r="P33" s="2">
        <v>45733</v>
      </c>
      <c r="R33">
        <v>1</v>
      </c>
      <c r="S33" s="4">
        <v>4000</v>
      </c>
      <c r="T33" t="s">
        <v>65</v>
      </c>
      <c r="U33">
        <v>1342670001</v>
      </c>
      <c r="V33">
        <v>0</v>
      </c>
      <c r="W33" s="4">
        <v>2000</v>
      </c>
      <c r="X33" s="4">
        <v>2000</v>
      </c>
      <c r="Y33">
        <v>0</v>
      </c>
      <c r="Z33">
        <v>0</v>
      </c>
      <c r="AA33">
        <v>0</v>
      </c>
      <c r="AD33">
        <v>0</v>
      </c>
      <c r="AM33">
        <v>134267</v>
      </c>
      <c r="AN33" t="s">
        <v>1139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3470</v>
      </c>
      <c r="BA33">
        <v>0</v>
      </c>
      <c r="BC33" t="s">
        <v>1139</v>
      </c>
      <c r="BF33" t="s">
        <v>3471</v>
      </c>
    </row>
    <row r="34" spans="1:58" x14ac:dyDescent="0.35">
      <c r="A34" t="s">
        <v>3468</v>
      </c>
      <c r="B34">
        <v>10000</v>
      </c>
      <c r="C34">
        <v>30000</v>
      </c>
      <c r="D34" s="2">
        <v>45733</v>
      </c>
      <c r="E34" t="s">
        <v>61</v>
      </c>
      <c r="F34" t="s">
        <v>3469</v>
      </c>
      <c r="G34" t="s">
        <v>387</v>
      </c>
      <c r="I34">
        <v>3</v>
      </c>
      <c r="J34" t="s">
        <v>63</v>
      </c>
      <c r="K34">
        <v>60</v>
      </c>
      <c r="L34" t="s">
        <v>277</v>
      </c>
      <c r="M34" s="4">
        <v>4000</v>
      </c>
      <c r="P34" s="2">
        <v>45733</v>
      </c>
      <c r="R34">
        <v>1</v>
      </c>
      <c r="S34" s="4">
        <v>4000</v>
      </c>
      <c r="T34" t="s">
        <v>65</v>
      </c>
      <c r="U34">
        <v>1342670001</v>
      </c>
      <c r="V34">
        <v>0</v>
      </c>
      <c r="W34" s="4">
        <v>2000</v>
      </c>
      <c r="X34" s="4">
        <v>2000</v>
      </c>
      <c r="Y34">
        <v>0</v>
      </c>
      <c r="Z34">
        <v>0</v>
      </c>
      <c r="AA34">
        <v>0</v>
      </c>
      <c r="AD34">
        <v>0</v>
      </c>
      <c r="AM34">
        <v>134267</v>
      </c>
      <c r="AN34" t="s">
        <v>1139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3470</v>
      </c>
      <c r="BA34">
        <v>0</v>
      </c>
      <c r="BC34" t="s">
        <v>1139</v>
      </c>
      <c r="BF34" t="s">
        <v>3471</v>
      </c>
    </row>
    <row r="35" spans="1:58" x14ac:dyDescent="0.35">
      <c r="A35" t="s">
        <v>3760</v>
      </c>
      <c r="B35">
        <v>10000</v>
      </c>
      <c r="C35">
        <v>10000</v>
      </c>
      <c r="D35" s="2">
        <v>45733</v>
      </c>
      <c r="E35" t="s">
        <v>61</v>
      </c>
      <c r="F35" t="s">
        <v>3390</v>
      </c>
      <c r="G35" t="s">
        <v>3761</v>
      </c>
      <c r="I35">
        <v>1</v>
      </c>
      <c r="J35" t="s">
        <v>63</v>
      </c>
      <c r="K35">
        <v>78</v>
      </c>
      <c r="L35" t="s">
        <v>188</v>
      </c>
      <c r="M35">
        <v>200</v>
      </c>
      <c r="P35" s="2">
        <v>45733</v>
      </c>
      <c r="R35">
        <v>1</v>
      </c>
      <c r="S35">
        <v>200</v>
      </c>
      <c r="T35" t="s">
        <v>65</v>
      </c>
      <c r="U35" t="s">
        <v>3762</v>
      </c>
      <c r="V35">
        <v>0</v>
      </c>
      <c r="W35">
        <v>200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3763</v>
      </c>
      <c r="AN35" t="s">
        <v>508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3764</v>
      </c>
      <c r="BA35">
        <v>0</v>
      </c>
      <c r="BC35" t="s">
        <v>508</v>
      </c>
      <c r="BF35" t="s">
        <v>2990</v>
      </c>
    </row>
    <row r="36" spans="1:58" x14ac:dyDescent="0.35">
      <c r="A36" t="s">
        <v>3765</v>
      </c>
      <c r="B36">
        <v>10000</v>
      </c>
      <c r="C36">
        <v>10000</v>
      </c>
      <c r="D36" s="2">
        <v>45734</v>
      </c>
      <c r="E36" t="s">
        <v>61</v>
      </c>
      <c r="F36" t="s">
        <v>3766</v>
      </c>
      <c r="G36" t="s">
        <v>3767</v>
      </c>
      <c r="I36">
        <v>1</v>
      </c>
      <c r="J36" t="s">
        <v>63</v>
      </c>
      <c r="K36">
        <v>61</v>
      </c>
      <c r="L36" t="s">
        <v>216</v>
      </c>
      <c r="M36" s="4">
        <v>6000</v>
      </c>
      <c r="P36" s="2">
        <v>45733</v>
      </c>
      <c r="R36">
        <v>1</v>
      </c>
      <c r="S36" s="4">
        <v>6000</v>
      </c>
      <c r="T36" t="s">
        <v>65</v>
      </c>
      <c r="U36" t="s">
        <v>3768</v>
      </c>
      <c r="V36">
        <v>0</v>
      </c>
      <c r="W36" s="4">
        <v>6000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3769</v>
      </c>
      <c r="AN36" t="s">
        <v>116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3770</v>
      </c>
      <c r="BA36">
        <v>0</v>
      </c>
      <c r="BC36" t="s">
        <v>116</v>
      </c>
      <c r="BF36" t="s">
        <v>3281</v>
      </c>
    </row>
    <row r="37" spans="1:58" x14ac:dyDescent="0.35">
      <c r="A37" t="s">
        <v>3771</v>
      </c>
      <c r="B37">
        <v>10000</v>
      </c>
      <c r="C37">
        <v>10000</v>
      </c>
      <c r="D37" s="2">
        <v>45734</v>
      </c>
      <c r="E37" t="s">
        <v>61</v>
      </c>
      <c r="F37" s="3">
        <v>0.47491898148148148</v>
      </c>
      <c r="G37" t="s">
        <v>3277</v>
      </c>
      <c r="I37">
        <v>1</v>
      </c>
      <c r="J37" t="s">
        <v>63</v>
      </c>
      <c r="K37">
        <v>46</v>
      </c>
      <c r="L37" t="s">
        <v>113</v>
      </c>
      <c r="M37" s="4">
        <v>15000</v>
      </c>
      <c r="P37" s="2">
        <v>45733</v>
      </c>
      <c r="R37">
        <v>1</v>
      </c>
      <c r="S37" s="4">
        <v>15000</v>
      </c>
      <c r="T37" t="s">
        <v>65</v>
      </c>
      <c r="U37" t="s">
        <v>3772</v>
      </c>
      <c r="V37">
        <v>0</v>
      </c>
      <c r="W37" s="4">
        <v>15000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3773</v>
      </c>
      <c r="AN37" t="s">
        <v>116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3774</v>
      </c>
      <c r="BA37">
        <v>0</v>
      </c>
      <c r="BC37" t="s">
        <v>116</v>
      </c>
      <c r="BF37" t="s">
        <v>3281</v>
      </c>
    </row>
    <row r="38" spans="1:58" x14ac:dyDescent="0.35">
      <c r="A38" t="s">
        <v>3775</v>
      </c>
      <c r="B38">
        <v>10000</v>
      </c>
      <c r="C38">
        <v>10000</v>
      </c>
      <c r="D38" s="2">
        <v>45734</v>
      </c>
      <c r="E38" t="s">
        <v>61</v>
      </c>
      <c r="F38" s="3">
        <v>0.47491898148148148</v>
      </c>
      <c r="G38" t="s">
        <v>3776</v>
      </c>
      <c r="I38">
        <v>1</v>
      </c>
      <c r="J38" t="s">
        <v>63</v>
      </c>
      <c r="K38">
        <v>71</v>
      </c>
      <c r="L38" t="s">
        <v>135</v>
      </c>
      <c r="M38" s="4">
        <v>6250</v>
      </c>
      <c r="P38" s="2">
        <v>45733</v>
      </c>
      <c r="R38">
        <v>4</v>
      </c>
      <c r="S38" s="4">
        <v>25000</v>
      </c>
      <c r="T38" t="s">
        <v>65</v>
      </c>
      <c r="U38" t="s">
        <v>3777</v>
      </c>
      <c r="V38">
        <v>0</v>
      </c>
      <c r="W38" s="4">
        <v>25000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3778</v>
      </c>
      <c r="AN38" t="s">
        <v>3779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3780</v>
      </c>
      <c r="BA38">
        <v>0</v>
      </c>
      <c r="BC38" t="s">
        <v>3779</v>
      </c>
      <c r="BF38" t="s">
        <v>3781</v>
      </c>
    </row>
    <row r="39" spans="1:58" x14ac:dyDescent="0.35">
      <c r="A39" t="s">
        <v>3782</v>
      </c>
      <c r="B39">
        <v>10000</v>
      </c>
      <c r="C39">
        <v>10000</v>
      </c>
      <c r="D39" s="2">
        <v>45733</v>
      </c>
      <c r="E39" t="s">
        <v>61</v>
      </c>
      <c r="F39" t="s">
        <v>3783</v>
      </c>
      <c r="G39" t="s">
        <v>418</v>
      </c>
      <c r="I39">
        <v>1</v>
      </c>
      <c r="J39" t="s">
        <v>63</v>
      </c>
      <c r="K39">
        <v>59</v>
      </c>
      <c r="L39" t="s">
        <v>745</v>
      </c>
      <c r="M39" s="4">
        <v>1000</v>
      </c>
      <c r="P39" s="2">
        <v>45733</v>
      </c>
      <c r="R39">
        <v>10</v>
      </c>
      <c r="S39" s="4">
        <v>10000</v>
      </c>
      <c r="T39" t="s">
        <v>65</v>
      </c>
      <c r="U39">
        <v>112024330001</v>
      </c>
      <c r="V39">
        <v>0</v>
      </c>
      <c r="W39" s="4">
        <v>10000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11202433</v>
      </c>
      <c r="AN39" t="s">
        <v>182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3784</v>
      </c>
      <c r="BA39">
        <v>0</v>
      </c>
      <c r="BC39" t="s">
        <v>182</v>
      </c>
      <c r="BF39" t="s">
        <v>3785</v>
      </c>
    </row>
    <row r="40" spans="1:58" x14ac:dyDescent="0.35">
      <c r="A40" t="s">
        <v>3782</v>
      </c>
      <c r="B40">
        <v>20000</v>
      </c>
      <c r="C40">
        <v>10000</v>
      </c>
      <c r="D40" s="2">
        <v>45733</v>
      </c>
      <c r="E40" t="s">
        <v>61</v>
      </c>
      <c r="F40" t="s">
        <v>3783</v>
      </c>
      <c r="G40" t="s">
        <v>418</v>
      </c>
      <c r="I40">
        <v>1</v>
      </c>
      <c r="J40" t="s">
        <v>63</v>
      </c>
      <c r="K40">
        <v>59</v>
      </c>
      <c r="L40" t="s">
        <v>745</v>
      </c>
      <c r="M40" s="4">
        <v>1000</v>
      </c>
      <c r="P40" s="2">
        <v>45733</v>
      </c>
      <c r="R40">
        <v>10</v>
      </c>
      <c r="S40" s="4">
        <v>10000</v>
      </c>
      <c r="T40" t="s">
        <v>65</v>
      </c>
      <c r="U40">
        <v>112024330001</v>
      </c>
      <c r="V40">
        <v>0</v>
      </c>
      <c r="W40" s="4">
        <v>10000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11202433</v>
      </c>
      <c r="AN40" t="s">
        <v>182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3784</v>
      </c>
      <c r="BA40">
        <v>0</v>
      </c>
      <c r="BC40" t="s">
        <v>182</v>
      </c>
      <c r="BF40" t="s">
        <v>3785</v>
      </c>
    </row>
    <row r="41" spans="1:58" x14ac:dyDescent="0.35">
      <c r="A41" t="s">
        <v>3786</v>
      </c>
      <c r="B41">
        <v>10000</v>
      </c>
      <c r="C41">
        <v>10000</v>
      </c>
      <c r="D41" s="2">
        <v>45733</v>
      </c>
      <c r="E41" t="s">
        <v>61</v>
      </c>
      <c r="F41" t="s">
        <v>3783</v>
      </c>
      <c r="G41" t="s">
        <v>418</v>
      </c>
      <c r="I41">
        <v>1</v>
      </c>
      <c r="J41" t="s">
        <v>63</v>
      </c>
      <c r="K41">
        <v>59</v>
      </c>
      <c r="L41" t="s">
        <v>745</v>
      </c>
      <c r="M41" s="4">
        <v>1000</v>
      </c>
      <c r="P41" s="2">
        <v>45733</v>
      </c>
      <c r="R41">
        <v>10</v>
      </c>
      <c r="S41" s="4">
        <v>10000</v>
      </c>
      <c r="T41" t="s">
        <v>65</v>
      </c>
      <c r="U41">
        <v>112024330001</v>
      </c>
      <c r="V41">
        <v>0</v>
      </c>
      <c r="W41" s="4">
        <v>10000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11202433</v>
      </c>
      <c r="AN41" t="s">
        <v>182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3787</v>
      </c>
      <c r="BA41">
        <v>0</v>
      </c>
      <c r="BC41" t="s">
        <v>182</v>
      </c>
      <c r="BF41" t="s">
        <v>3788</v>
      </c>
    </row>
    <row r="42" spans="1:58" x14ac:dyDescent="0.35">
      <c r="A42" t="s">
        <v>3789</v>
      </c>
      <c r="B42">
        <v>10000</v>
      </c>
      <c r="C42">
        <v>10000</v>
      </c>
      <c r="D42" s="2">
        <v>45734</v>
      </c>
      <c r="E42" t="s">
        <v>61</v>
      </c>
      <c r="F42" s="3">
        <v>0.47491898148148148</v>
      </c>
      <c r="G42" t="s">
        <v>2634</v>
      </c>
      <c r="I42">
        <v>1</v>
      </c>
      <c r="J42" t="s">
        <v>63</v>
      </c>
      <c r="K42">
        <v>31</v>
      </c>
      <c r="L42" t="s">
        <v>1311</v>
      </c>
      <c r="M42" s="4">
        <v>3000</v>
      </c>
      <c r="P42" s="2">
        <v>45733</v>
      </c>
      <c r="R42">
        <v>1</v>
      </c>
      <c r="S42" s="4">
        <v>3000</v>
      </c>
      <c r="T42" t="s">
        <v>65</v>
      </c>
      <c r="U42">
        <v>30010005</v>
      </c>
      <c r="V42">
        <v>0</v>
      </c>
      <c r="W42" s="4">
        <v>3000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3001</v>
      </c>
      <c r="AN42" t="s">
        <v>3790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3791</v>
      </c>
      <c r="BA42">
        <v>0</v>
      </c>
      <c r="BC42" t="s">
        <v>3790</v>
      </c>
      <c r="BF42" t="s">
        <v>3792</v>
      </c>
    </row>
    <row r="43" spans="1:58" x14ac:dyDescent="0.35">
      <c r="A43" t="s">
        <v>3793</v>
      </c>
      <c r="B43">
        <v>10000</v>
      </c>
      <c r="C43">
        <v>10000</v>
      </c>
      <c r="D43" s="2">
        <v>45733</v>
      </c>
      <c r="E43" t="s">
        <v>61</v>
      </c>
      <c r="F43" t="s">
        <v>3794</v>
      </c>
      <c r="G43" t="s">
        <v>3795</v>
      </c>
      <c r="I43">
        <v>1</v>
      </c>
      <c r="J43" t="s">
        <v>63</v>
      </c>
      <c r="K43">
        <v>61</v>
      </c>
      <c r="L43" t="s">
        <v>216</v>
      </c>
      <c r="M43">
        <v>100</v>
      </c>
      <c r="P43" s="2">
        <v>45733</v>
      </c>
      <c r="R43">
        <v>1</v>
      </c>
      <c r="S43">
        <v>100</v>
      </c>
      <c r="T43" t="s">
        <v>65</v>
      </c>
      <c r="U43" t="s">
        <v>3796</v>
      </c>
      <c r="V43">
        <v>0</v>
      </c>
      <c r="W43">
        <v>100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3797</v>
      </c>
      <c r="AN43" t="s">
        <v>206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3798</v>
      </c>
      <c r="BA43">
        <v>0</v>
      </c>
      <c r="BC43" t="s">
        <v>206</v>
      </c>
      <c r="BF43" t="s">
        <v>3799</v>
      </c>
    </row>
    <row r="44" spans="1:58" x14ac:dyDescent="0.35">
      <c r="A44" t="s">
        <v>3800</v>
      </c>
      <c r="B44">
        <v>10000</v>
      </c>
      <c r="C44">
        <v>10000</v>
      </c>
      <c r="D44" s="2">
        <v>45733</v>
      </c>
      <c r="E44" t="s">
        <v>61</v>
      </c>
      <c r="F44" s="3">
        <v>0.54084490740740743</v>
      </c>
      <c r="G44" t="s">
        <v>3795</v>
      </c>
      <c r="I44">
        <v>1</v>
      </c>
      <c r="J44" t="s">
        <v>63</v>
      </c>
      <c r="K44">
        <v>61</v>
      </c>
      <c r="L44" t="s">
        <v>216</v>
      </c>
      <c r="M44">
        <v>100</v>
      </c>
      <c r="P44" s="2">
        <v>45733</v>
      </c>
      <c r="R44">
        <v>1</v>
      </c>
      <c r="S44">
        <v>100</v>
      </c>
      <c r="T44" t="s">
        <v>65</v>
      </c>
      <c r="U44" t="s">
        <v>3801</v>
      </c>
      <c r="V44">
        <v>0</v>
      </c>
      <c r="W44">
        <v>100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3802</v>
      </c>
      <c r="AN44" t="s">
        <v>206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3803</v>
      </c>
      <c r="BA44">
        <v>0</v>
      </c>
      <c r="BC44" t="s">
        <v>206</v>
      </c>
      <c r="BF44" t="s">
        <v>3799</v>
      </c>
    </row>
    <row r="45" spans="1:58" x14ac:dyDescent="0.35">
      <c r="A45" t="s">
        <v>3804</v>
      </c>
      <c r="B45">
        <v>10000</v>
      </c>
      <c r="C45">
        <v>10000</v>
      </c>
      <c r="D45" s="2">
        <v>45733</v>
      </c>
      <c r="E45" t="s">
        <v>61</v>
      </c>
      <c r="F45" t="s">
        <v>833</v>
      </c>
      <c r="G45" t="s">
        <v>498</v>
      </c>
      <c r="I45">
        <v>1</v>
      </c>
      <c r="J45" t="s">
        <v>63</v>
      </c>
      <c r="K45">
        <v>61</v>
      </c>
      <c r="L45" t="s">
        <v>216</v>
      </c>
      <c r="M45">
        <v>250</v>
      </c>
      <c r="P45" s="2">
        <v>45733</v>
      </c>
      <c r="R45">
        <v>2</v>
      </c>
      <c r="S45">
        <v>500</v>
      </c>
      <c r="T45" t="s">
        <v>65</v>
      </c>
      <c r="U45">
        <v>107118930001</v>
      </c>
      <c r="V45">
        <v>0</v>
      </c>
      <c r="W45">
        <v>500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10711893</v>
      </c>
      <c r="AN45" t="s">
        <v>487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3805</v>
      </c>
      <c r="BA45">
        <v>0</v>
      </c>
      <c r="BC45" t="s">
        <v>487</v>
      </c>
      <c r="BF45" t="s">
        <v>3806</v>
      </c>
    </row>
    <row r="46" spans="1:58" x14ac:dyDescent="0.35">
      <c r="A46" t="s">
        <v>3807</v>
      </c>
      <c r="B46">
        <v>10000</v>
      </c>
      <c r="C46">
        <v>10000</v>
      </c>
      <c r="D46" s="2">
        <v>45734</v>
      </c>
      <c r="E46" t="s">
        <v>61</v>
      </c>
      <c r="F46" t="s">
        <v>3808</v>
      </c>
      <c r="G46" t="s">
        <v>2412</v>
      </c>
      <c r="I46">
        <v>1</v>
      </c>
      <c r="J46" t="s">
        <v>63</v>
      </c>
      <c r="K46">
        <v>12</v>
      </c>
      <c r="L46" t="s">
        <v>478</v>
      </c>
      <c r="M46" s="4">
        <v>10000</v>
      </c>
      <c r="P46" s="2">
        <v>45733</v>
      </c>
      <c r="R46">
        <v>2</v>
      </c>
      <c r="S46" s="4">
        <v>20000</v>
      </c>
      <c r="T46" t="s">
        <v>65</v>
      </c>
      <c r="U46" t="s">
        <v>2118</v>
      </c>
      <c r="V46">
        <v>0</v>
      </c>
      <c r="W46" s="4">
        <v>20000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2119</v>
      </c>
      <c r="AN46" t="s">
        <v>116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3809</v>
      </c>
      <c r="BA46">
        <v>0</v>
      </c>
      <c r="BC46" t="s">
        <v>116</v>
      </c>
      <c r="BF46" t="s">
        <v>3313</v>
      </c>
    </row>
    <row r="47" spans="1:58" x14ac:dyDescent="0.35">
      <c r="A47" t="s">
        <v>3810</v>
      </c>
      <c r="B47">
        <v>10000</v>
      </c>
      <c r="C47">
        <v>10000</v>
      </c>
      <c r="D47" s="2">
        <v>45734</v>
      </c>
      <c r="E47" t="s">
        <v>61</v>
      </c>
      <c r="F47" t="s">
        <v>3808</v>
      </c>
      <c r="G47" t="s">
        <v>3811</v>
      </c>
      <c r="I47">
        <v>1</v>
      </c>
      <c r="J47" t="s">
        <v>63</v>
      </c>
      <c r="K47">
        <v>61</v>
      </c>
      <c r="L47" t="s">
        <v>197</v>
      </c>
      <c r="M47" s="4">
        <v>3334</v>
      </c>
      <c r="P47" s="2">
        <v>45733</v>
      </c>
      <c r="R47">
        <v>6</v>
      </c>
      <c r="S47" s="4">
        <v>20004</v>
      </c>
      <c r="T47" t="s">
        <v>65</v>
      </c>
      <c r="U47" t="s">
        <v>2418</v>
      </c>
      <c r="V47">
        <v>0</v>
      </c>
      <c r="W47" s="4">
        <v>20000</v>
      </c>
      <c r="X47">
        <v>4</v>
      </c>
      <c r="Y47">
        <v>0</v>
      </c>
      <c r="Z47">
        <v>0</v>
      </c>
      <c r="AA47">
        <v>0</v>
      </c>
      <c r="AD47">
        <v>0</v>
      </c>
      <c r="AM47" t="s">
        <v>2419</v>
      </c>
      <c r="AN47" t="s">
        <v>116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3812</v>
      </c>
      <c r="BA47">
        <v>0</v>
      </c>
      <c r="BC47" t="s">
        <v>116</v>
      </c>
      <c r="BF47" t="s">
        <v>3813</v>
      </c>
    </row>
    <row r="48" spans="1:58" x14ac:dyDescent="0.35">
      <c r="A48" t="s">
        <v>3814</v>
      </c>
      <c r="B48">
        <v>10000</v>
      </c>
      <c r="C48">
        <v>10000</v>
      </c>
      <c r="D48" s="2">
        <v>45734</v>
      </c>
      <c r="E48" t="s">
        <v>61</v>
      </c>
      <c r="F48" t="s">
        <v>3766</v>
      </c>
      <c r="G48" t="s">
        <v>3811</v>
      </c>
      <c r="I48">
        <v>1</v>
      </c>
      <c r="J48" t="s">
        <v>63</v>
      </c>
      <c r="K48">
        <v>61</v>
      </c>
      <c r="L48" t="s">
        <v>197</v>
      </c>
      <c r="M48" s="4">
        <v>3334</v>
      </c>
      <c r="P48" s="2">
        <v>45733</v>
      </c>
      <c r="R48">
        <v>6</v>
      </c>
      <c r="S48" s="4">
        <v>20004</v>
      </c>
      <c r="T48" t="s">
        <v>65</v>
      </c>
      <c r="U48" t="s">
        <v>2418</v>
      </c>
      <c r="V48">
        <v>0</v>
      </c>
      <c r="W48" s="4">
        <v>20000</v>
      </c>
      <c r="X48">
        <v>4</v>
      </c>
      <c r="Y48">
        <v>0</v>
      </c>
      <c r="Z48">
        <v>0</v>
      </c>
      <c r="AA48">
        <v>0</v>
      </c>
      <c r="AD48">
        <v>0</v>
      </c>
      <c r="AM48" t="s">
        <v>2419</v>
      </c>
      <c r="AN48" t="s">
        <v>116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3815</v>
      </c>
      <c r="BA48">
        <v>0</v>
      </c>
      <c r="BC48" t="s">
        <v>116</v>
      </c>
      <c r="BF48" t="s">
        <v>3816</v>
      </c>
    </row>
    <row r="49" spans="1:58" x14ac:dyDescent="0.35">
      <c r="A49" t="s">
        <v>3817</v>
      </c>
      <c r="B49">
        <v>10000</v>
      </c>
      <c r="C49">
        <v>10000</v>
      </c>
      <c r="D49" s="2">
        <v>45734</v>
      </c>
      <c r="E49" t="s">
        <v>61</v>
      </c>
      <c r="F49" t="s">
        <v>3818</v>
      </c>
      <c r="G49" t="s">
        <v>3811</v>
      </c>
      <c r="I49">
        <v>1</v>
      </c>
      <c r="J49" t="s">
        <v>63</v>
      </c>
      <c r="K49">
        <v>22</v>
      </c>
      <c r="L49" t="s">
        <v>466</v>
      </c>
      <c r="M49" s="4">
        <v>20000</v>
      </c>
      <c r="P49" s="2">
        <v>45733</v>
      </c>
      <c r="R49">
        <v>2</v>
      </c>
      <c r="S49" s="4">
        <v>40000</v>
      </c>
      <c r="T49" t="s">
        <v>65</v>
      </c>
      <c r="U49" t="s">
        <v>2902</v>
      </c>
      <c r="V49">
        <v>0</v>
      </c>
      <c r="W49" s="4">
        <v>40000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2903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3819</v>
      </c>
      <c r="BA49">
        <v>0</v>
      </c>
      <c r="BC49" t="s">
        <v>116</v>
      </c>
      <c r="BF49" t="s">
        <v>3323</v>
      </c>
    </row>
    <row r="50" spans="1:58" x14ac:dyDescent="0.35">
      <c r="A50" t="s">
        <v>3820</v>
      </c>
      <c r="B50">
        <v>10000</v>
      </c>
      <c r="C50">
        <v>10000</v>
      </c>
      <c r="D50" s="2">
        <v>45733</v>
      </c>
      <c r="E50" t="s">
        <v>61</v>
      </c>
      <c r="F50" t="s">
        <v>3821</v>
      </c>
      <c r="G50" t="s">
        <v>2613</v>
      </c>
      <c r="I50">
        <v>1</v>
      </c>
      <c r="J50" t="s">
        <v>63</v>
      </c>
      <c r="K50">
        <v>61</v>
      </c>
      <c r="L50" t="s">
        <v>197</v>
      </c>
      <c r="M50" s="4">
        <v>3834</v>
      </c>
      <c r="P50" s="2">
        <v>45733</v>
      </c>
      <c r="R50">
        <v>6</v>
      </c>
      <c r="S50" s="4">
        <v>23004</v>
      </c>
      <c r="T50" t="s">
        <v>65</v>
      </c>
      <c r="U50" t="s">
        <v>198</v>
      </c>
      <c r="V50">
        <v>0</v>
      </c>
      <c r="W50" s="4">
        <v>23000</v>
      </c>
      <c r="X50">
        <v>4</v>
      </c>
      <c r="Y50">
        <v>0</v>
      </c>
      <c r="Z50">
        <v>0</v>
      </c>
      <c r="AA50">
        <v>0</v>
      </c>
      <c r="AD50">
        <v>0</v>
      </c>
      <c r="AM50" t="s">
        <v>199</v>
      </c>
      <c r="AN50" t="s">
        <v>116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3822</v>
      </c>
      <c r="BA50">
        <v>0</v>
      </c>
      <c r="BC50" t="s">
        <v>116</v>
      </c>
      <c r="BF50" t="s">
        <v>3823</v>
      </c>
    </row>
    <row r="51" spans="1:58" x14ac:dyDescent="0.35">
      <c r="A51" t="s">
        <v>3824</v>
      </c>
      <c r="B51">
        <v>10000</v>
      </c>
      <c r="C51">
        <v>10000</v>
      </c>
      <c r="D51" s="2">
        <v>45733</v>
      </c>
      <c r="E51" t="s">
        <v>61</v>
      </c>
      <c r="F51" t="s">
        <v>3749</v>
      </c>
      <c r="G51" t="s">
        <v>3825</v>
      </c>
      <c r="I51">
        <v>1</v>
      </c>
      <c r="J51" t="s">
        <v>63</v>
      </c>
      <c r="K51">
        <v>65</v>
      </c>
      <c r="L51" t="s">
        <v>268</v>
      </c>
      <c r="M51" s="4">
        <v>17648</v>
      </c>
      <c r="P51" s="2">
        <v>45733</v>
      </c>
      <c r="R51">
        <v>17</v>
      </c>
      <c r="S51" s="4">
        <v>300016</v>
      </c>
      <c r="T51" t="s">
        <v>65</v>
      </c>
      <c r="U51" t="s">
        <v>3826</v>
      </c>
      <c r="V51">
        <v>0</v>
      </c>
      <c r="W51" s="4">
        <v>300000</v>
      </c>
      <c r="X51">
        <v>16</v>
      </c>
      <c r="Y51">
        <v>0</v>
      </c>
      <c r="Z51">
        <v>0</v>
      </c>
      <c r="AA51">
        <v>0</v>
      </c>
      <c r="AD51">
        <v>0</v>
      </c>
      <c r="AM51" t="s">
        <v>3827</v>
      </c>
      <c r="AN51" t="s">
        <v>2976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3828</v>
      </c>
      <c r="BA51">
        <v>0</v>
      </c>
      <c r="BC51" t="s">
        <v>2976</v>
      </c>
      <c r="BF51" t="s">
        <v>3829</v>
      </c>
    </row>
    <row r="52" spans="1:58" x14ac:dyDescent="0.35">
      <c r="A52" t="s">
        <v>3328</v>
      </c>
      <c r="B52">
        <v>10000</v>
      </c>
      <c r="C52">
        <v>20000</v>
      </c>
      <c r="D52" s="2">
        <v>45734</v>
      </c>
      <c r="E52" t="s">
        <v>61</v>
      </c>
      <c r="F52" t="s">
        <v>3329</v>
      </c>
      <c r="G52" t="s">
        <v>3330</v>
      </c>
      <c r="I52">
        <v>2</v>
      </c>
      <c r="J52" t="s">
        <v>63</v>
      </c>
      <c r="K52">
        <v>92</v>
      </c>
      <c r="L52" t="s">
        <v>424</v>
      </c>
      <c r="M52">
        <v>200</v>
      </c>
      <c r="P52" s="2">
        <v>45733</v>
      </c>
      <c r="R52">
        <v>1</v>
      </c>
      <c r="S52">
        <v>200</v>
      </c>
      <c r="T52" t="s">
        <v>65</v>
      </c>
      <c r="U52" t="s">
        <v>3331</v>
      </c>
      <c r="V52">
        <v>0</v>
      </c>
      <c r="W52">
        <v>100</v>
      </c>
      <c r="X52">
        <v>100</v>
      </c>
      <c r="Y52">
        <v>0</v>
      </c>
      <c r="Z52">
        <v>0</v>
      </c>
      <c r="AA52">
        <v>0</v>
      </c>
      <c r="AD52">
        <v>0</v>
      </c>
      <c r="AM52" t="s">
        <v>3332</v>
      </c>
      <c r="AN52" t="s">
        <v>206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3333</v>
      </c>
      <c r="BA52">
        <v>0</v>
      </c>
      <c r="BC52" t="s">
        <v>206</v>
      </c>
      <c r="BF52" t="s">
        <v>3334</v>
      </c>
    </row>
    <row r="53" spans="1:58" x14ac:dyDescent="0.35">
      <c r="A53" t="s">
        <v>3830</v>
      </c>
      <c r="B53">
        <v>10000</v>
      </c>
      <c r="C53">
        <v>20000</v>
      </c>
      <c r="D53" s="2">
        <v>45733</v>
      </c>
      <c r="E53" t="s">
        <v>61</v>
      </c>
      <c r="F53" s="3">
        <v>0.45377314814814818</v>
      </c>
      <c r="G53" t="s">
        <v>3831</v>
      </c>
      <c r="I53">
        <v>1</v>
      </c>
      <c r="J53" t="s">
        <v>63</v>
      </c>
      <c r="K53">
        <v>95</v>
      </c>
      <c r="L53" t="s">
        <v>597</v>
      </c>
      <c r="M53" s="4">
        <v>27290</v>
      </c>
      <c r="P53" s="2">
        <v>45733</v>
      </c>
      <c r="R53">
        <v>7</v>
      </c>
      <c r="S53" s="4">
        <v>191030</v>
      </c>
      <c r="T53" t="s">
        <v>65</v>
      </c>
      <c r="U53">
        <v>86.915900010000001</v>
      </c>
      <c r="V53">
        <v>0</v>
      </c>
      <c r="W53" s="4">
        <v>219000</v>
      </c>
      <c r="X53" s="4">
        <v>-27970</v>
      </c>
      <c r="Y53">
        <v>0</v>
      </c>
      <c r="Z53">
        <v>0</v>
      </c>
      <c r="AA53">
        <v>0</v>
      </c>
      <c r="AD53">
        <v>0</v>
      </c>
      <c r="AM53">
        <v>86.915899999999993</v>
      </c>
      <c r="AN53" t="s">
        <v>449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3832</v>
      </c>
      <c r="BA53">
        <v>0</v>
      </c>
      <c r="BC53" t="s">
        <v>449</v>
      </c>
      <c r="BF53" t="s">
        <v>3833</v>
      </c>
    </row>
    <row r="54" spans="1:58" x14ac:dyDescent="0.35">
      <c r="A54" t="s">
        <v>3341</v>
      </c>
      <c r="B54">
        <v>10000</v>
      </c>
      <c r="C54">
        <v>20000</v>
      </c>
      <c r="D54" s="2">
        <v>45735</v>
      </c>
      <c r="E54" t="s">
        <v>61</v>
      </c>
      <c r="F54" t="s">
        <v>3342</v>
      </c>
      <c r="G54" t="s">
        <v>1725</v>
      </c>
      <c r="I54">
        <v>2</v>
      </c>
      <c r="J54" t="s">
        <v>63</v>
      </c>
      <c r="K54">
        <v>92</v>
      </c>
      <c r="L54" t="s">
        <v>424</v>
      </c>
      <c r="M54" s="4">
        <v>6600</v>
      </c>
      <c r="P54" s="2">
        <v>45733</v>
      </c>
      <c r="R54">
        <v>1</v>
      </c>
      <c r="S54" s="4">
        <v>6600</v>
      </c>
      <c r="T54" t="s">
        <v>65</v>
      </c>
      <c r="U54" t="s">
        <v>1726</v>
      </c>
      <c r="V54">
        <v>0</v>
      </c>
      <c r="W54" s="4">
        <v>3000</v>
      </c>
      <c r="X54" s="4">
        <v>3600</v>
      </c>
      <c r="Y54">
        <v>0</v>
      </c>
      <c r="Z54">
        <v>0</v>
      </c>
      <c r="AA54">
        <v>0</v>
      </c>
      <c r="AD54">
        <v>0</v>
      </c>
      <c r="AM54" t="s">
        <v>1727</v>
      </c>
      <c r="AN54" t="s">
        <v>1728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3343</v>
      </c>
      <c r="BA54">
        <v>0</v>
      </c>
      <c r="BC54" t="s">
        <v>1728</v>
      </c>
      <c r="BF54" t="s">
        <v>3344</v>
      </c>
    </row>
    <row r="55" spans="1:58" x14ac:dyDescent="0.35">
      <c r="A55" t="s">
        <v>3834</v>
      </c>
      <c r="B55">
        <v>10000</v>
      </c>
      <c r="C55">
        <v>10000</v>
      </c>
      <c r="D55" s="2">
        <v>45733</v>
      </c>
      <c r="E55" t="s">
        <v>61</v>
      </c>
      <c r="F55" s="3">
        <v>0.54084490740740743</v>
      </c>
      <c r="G55" t="s">
        <v>3835</v>
      </c>
      <c r="I55">
        <v>1</v>
      </c>
      <c r="J55" t="s">
        <v>63</v>
      </c>
      <c r="K55">
        <v>82</v>
      </c>
      <c r="L55" t="s">
        <v>341</v>
      </c>
      <c r="M55">
        <v>703</v>
      </c>
      <c r="P55" s="2">
        <v>45733</v>
      </c>
      <c r="R55">
        <v>75</v>
      </c>
      <c r="S55" s="4">
        <v>52700</v>
      </c>
      <c r="T55" t="s">
        <v>65</v>
      </c>
      <c r="U55">
        <v>200302690001</v>
      </c>
      <c r="V55">
        <v>0</v>
      </c>
      <c r="W55" s="4">
        <v>52700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20030269</v>
      </c>
      <c r="AN55" t="s">
        <v>182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3836</v>
      </c>
      <c r="BA55">
        <v>0</v>
      </c>
      <c r="BC55" t="s">
        <v>182</v>
      </c>
      <c r="BF55" t="s">
        <v>3837</v>
      </c>
    </row>
    <row r="56" spans="1:58" x14ac:dyDescent="0.35">
      <c r="A56" t="s">
        <v>3834</v>
      </c>
      <c r="B56">
        <v>20000</v>
      </c>
      <c r="C56">
        <v>10000</v>
      </c>
      <c r="D56" s="2">
        <v>45733</v>
      </c>
      <c r="E56" t="s">
        <v>61</v>
      </c>
      <c r="F56" s="3">
        <v>0.54084490740740743</v>
      </c>
      <c r="G56" t="s">
        <v>3835</v>
      </c>
      <c r="I56">
        <v>1</v>
      </c>
      <c r="J56" t="s">
        <v>63</v>
      </c>
      <c r="K56">
        <v>82</v>
      </c>
      <c r="L56" t="s">
        <v>341</v>
      </c>
      <c r="M56">
        <v>703</v>
      </c>
      <c r="P56" s="2">
        <v>45733</v>
      </c>
      <c r="R56">
        <v>75</v>
      </c>
      <c r="S56" s="4">
        <v>52700</v>
      </c>
      <c r="T56" t="s">
        <v>65</v>
      </c>
      <c r="U56">
        <v>200302690001</v>
      </c>
      <c r="V56">
        <v>0</v>
      </c>
      <c r="W56" s="4">
        <v>52700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20030269</v>
      </c>
      <c r="AN56" t="s">
        <v>182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3836</v>
      </c>
      <c r="BA56">
        <v>0</v>
      </c>
      <c r="BC56" t="s">
        <v>182</v>
      </c>
      <c r="BF56" t="s">
        <v>3837</v>
      </c>
    </row>
    <row r="57" spans="1:58" x14ac:dyDescent="0.35">
      <c r="A57" t="s">
        <v>3834</v>
      </c>
      <c r="B57">
        <v>30000</v>
      </c>
      <c r="C57">
        <v>10000</v>
      </c>
      <c r="D57" s="2">
        <v>45733</v>
      </c>
      <c r="E57" t="s">
        <v>61</v>
      </c>
      <c r="F57" s="3">
        <v>0.54084490740740743</v>
      </c>
      <c r="G57" t="s">
        <v>3835</v>
      </c>
      <c r="I57">
        <v>1</v>
      </c>
      <c r="J57" t="s">
        <v>63</v>
      </c>
      <c r="K57">
        <v>82</v>
      </c>
      <c r="L57" t="s">
        <v>341</v>
      </c>
      <c r="M57">
        <v>703</v>
      </c>
      <c r="P57" s="2">
        <v>45733</v>
      </c>
      <c r="R57">
        <v>75</v>
      </c>
      <c r="S57" s="4">
        <v>52700</v>
      </c>
      <c r="T57" t="s">
        <v>65</v>
      </c>
      <c r="U57">
        <v>200302690001</v>
      </c>
      <c r="V57">
        <v>0</v>
      </c>
      <c r="W57" s="4">
        <v>52700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20030269</v>
      </c>
      <c r="AN57" t="s">
        <v>182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3836</v>
      </c>
      <c r="BA57">
        <v>0</v>
      </c>
      <c r="BC57" t="s">
        <v>182</v>
      </c>
      <c r="BF57" t="s">
        <v>3837</v>
      </c>
    </row>
    <row r="58" spans="1:58" x14ac:dyDescent="0.35">
      <c r="A58" t="s">
        <v>3838</v>
      </c>
      <c r="B58">
        <v>10000</v>
      </c>
      <c r="C58">
        <v>10000</v>
      </c>
      <c r="D58" s="2">
        <v>45733</v>
      </c>
      <c r="E58" t="s">
        <v>61</v>
      </c>
      <c r="F58" t="s">
        <v>3374</v>
      </c>
      <c r="G58" t="s">
        <v>699</v>
      </c>
      <c r="I58">
        <v>1</v>
      </c>
      <c r="J58" t="s">
        <v>63</v>
      </c>
      <c r="K58">
        <v>82</v>
      </c>
      <c r="L58" t="s">
        <v>341</v>
      </c>
      <c r="M58">
        <v>385</v>
      </c>
      <c r="P58" s="2">
        <v>45733</v>
      </c>
      <c r="R58">
        <v>26</v>
      </c>
      <c r="S58" s="4">
        <v>10004</v>
      </c>
      <c r="T58" t="s">
        <v>65</v>
      </c>
      <c r="U58">
        <v>112023880001</v>
      </c>
      <c r="V58">
        <v>0</v>
      </c>
      <c r="W58" s="4">
        <v>10000</v>
      </c>
      <c r="X58">
        <v>4</v>
      </c>
      <c r="Y58">
        <v>0</v>
      </c>
      <c r="Z58">
        <v>0</v>
      </c>
      <c r="AA58">
        <v>0</v>
      </c>
      <c r="AD58">
        <v>0</v>
      </c>
      <c r="AM58">
        <v>11202388</v>
      </c>
      <c r="AN58" t="s">
        <v>182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3839</v>
      </c>
      <c r="BA58">
        <v>0</v>
      </c>
      <c r="BC58" t="s">
        <v>182</v>
      </c>
      <c r="BF58" t="s">
        <v>3840</v>
      </c>
    </row>
    <row r="59" spans="1:58" x14ac:dyDescent="0.35">
      <c r="A59" t="s">
        <v>3838</v>
      </c>
      <c r="B59">
        <v>20000</v>
      </c>
      <c r="C59">
        <v>10000</v>
      </c>
      <c r="D59" s="2">
        <v>45733</v>
      </c>
      <c r="E59" t="s">
        <v>61</v>
      </c>
      <c r="F59" t="s">
        <v>3374</v>
      </c>
      <c r="G59" t="s">
        <v>699</v>
      </c>
      <c r="I59">
        <v>1</v>
      </c>
      <c r="J59" t="s">
        <v>63</v>
      </c>
      <c r="K59">
        <v>82</v>
      </c>
      <c r="L59" t="s">
        <v>341</v>
      </c>
      <c r="M59">
        <v>385</v>
      </c>
      <c r="P59" s="2">
        <v>45733</v>
      </c>
      <c r="R59">
        <v>26</v>
      </c>
      <c r="S59" s="4">
        <v>10000</v>
      </c>
      <c r="T59" t="s">
        <v>65</v>
      </c>
      <c r="U59">
        <v>112023880001</v>
      </c>
      <c r="V59">
        <v>0</v>
      </c>
      <c r="W59" s="4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11202388</v>
      </c>
      <c r="AN59" t="s">
        <v>182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3839</v>
      </c>
      <c r="BA59">
        <v>0</v>
      </c>
      <c r="BC59" t="s">
        <v>182</v>
      </c>
      <c r="BF59" t="s">
        <v>3840</v>
      </c>
    </row>
    <row r="60" spans="1:58" x14ac:dyDescent="0.35">
      <c r="A60" t="s">
        <v>3838</v>
      </c>
      <c r="B60">
        <v>30000</v>
      </c>
      <c r="C60">
        <v>10000</v>
      </c>
      <c r="D60" s="2">
        <v>45733</v>
      </c>
      <c r="E60" t="s">
        <v>61</v>
      </c>
      <c r="F60" t="s">
        <v>3374</v>
      </c>
      <c r="G60" t="s">
        <v>699</v>
      </c>
      <c r="I60">
        <v>1</v>
      </c>
      <c r="J60" t="s">
        <v>63</v>
      </c>
      <c r="K60">
        <v>82</v>
      </c>
      <c r="L60" t="s">
        <v>341</v>
      </c>
      <c r="M60">
        <v>385</v>
      </c>
      <c r="P60" s="2">
        <v>45733</v>
      </c>
      <c r="R60">
        <v>26</v>
      </c>
      <c r="S60" s="4">
        <v>10000</v>
      </c>
      <c r="T60" t="s">
        <v>65</v>
      </c>
      <c r="U60">
        <v>112023880001</v>
      </c>
      <c r="V60">
        <v>0</v>
      </c>
      <c r="W60" s="4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11202388</v>
      </c>
      <c r="AN60" t="s">
        <v>182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3839</v>
      </c>
      <c r="BA60">
        <v>0</v>
      </c>
      <c r="BC60" t="s">
        <v>182</v>
      </c>
      <c r="BF60" t="s">
        <v>3840</v>
      </c>
    </row>
    <row r="61" spans="1:58" x14ac:dyDescent="0.35">
      <c r="A61" t="s">
        <v>3841</v>
      </c>
      <c r="B61">
        <v>10000</v>
      </c>
      <c r="C61">
        <v>10000</v>
      </c>
      <c r="D61" s="2">
        <v>45734</v>
      </c>
      <c r="E61" t="s">
        <v>61</v>
      </c>
      <c r="F61" t="s">
        <v>3842</v>
      </c>
      <c r="G61" t="s">
        <v>3843</v>
      </c>
      <c r="I61">
        <v>1</v>
      </c>
      <c r="J61" t="s">
        <v>63</v>
      </c>
      <c r="K61">
        <v>82</v>
      </c>
      <c r="L61" t="s">
        <v>341</v>
      </c>
      <c r="M61" s="4">
        <v>18750</v>
      </c>
      <c r="P61" s="2">
        <v>45733</v>
      </c>
      <c r="R61">
        <v>24</v>
      </c>
      <c r="S61" s="4">
        <v>450000</v>
      </c>
      <c r="T61" t="s">
        <v>65</v>
      </c>
      <c r="U61" t="s">
        <v>3844</v>
      </c>
      <c r="V61">
        <v>0</v>
      </c>
      <c r="W61" s="4">
        <v>450000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3845</v>
      </c>
      <c r="AN61" t="s">
        <v>91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3846</v>
      </c>
      <c r="BA61">
        <v>0</v>
      </c>
      <c r="BC61" t="s">
        <v>91</v>
      </c>
      <c r="BF61" t="s">
        <v>3847</v>
      </c>
    </row>
    <row r="62" spans="1:58" x14ac:dyDescent="0.35">
      <c r="A62" t="s">
        <v>3848</v>
      </c>
      <c r="B62">
        <v>10000</v>
      </c>
      <c r="C62">
        <v>10000</v>
      </c>
      <c r="D62" s="2">
        <v>45733</v>
      </c>
      <c r="E62" t="s">
        <v>61</v>
      </c>
      <c r="F62" t="s">
        <v>3749</v>
      </c>
      <c r="G62" t="s">
        <v>2634</v>
      </c>
      <c r="I62">
        <v>1</v>
      </c>
      <c r="J62" t="s">
        <v>63</v>
      </c>
      <c r="K62">
        <v>31</v>
      </c>
      <c r="L62" t="s">
        <v>1311</v>
      </c>
      <c r="M62" s="4">
        <v>6000</v>
      </c>
      <c r="P62" s="2">
        <v>45733</v>
      </c>
      <c r="R62">
        <v>12</v>
      </c>
      <c r="S62" s="4">
        <v>72000</v>
      </c>
      <c r="T62" t="s">
        <v>65</v>
      </c>
      <c r="U62">
        <v>30220001</v>
      </c>
      <c r="V62">
        <v>0</v>
      </c>
      <c r="W62" s="4">
        <v>72000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3849</v>
      </c>
      <c r="AN62" t="s">
        <v>3850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3851</v>
      </c>
      <c r="BA62">
        <v>0</v>
      </c>
      <c r="BC62" t="s">
        <v>3850</v>
      </c>
      <c r="BF62" t="s">
        <v>3852</v>
      </c>
    </row>
    <row r="63" spans="1:58" x14ac:dyDescent="0.35">
      <c r="A63" t="s">
        <v>3603</v>
      </c>
      <c r="B63">
        <v>10000</v>
      </c>
      <c r="C63">
        <v>20000</v>
      </c>
      <c r="D63" s="2">
        <v>45734</v>
      </c>
      <c r="E63" t="s">
        <v>61</v>
      </c>
      <c r="F63" t="s">
        <v>3604</v>
      </c>
      <c r="G63" t="s">
        <v>1293</v>
      </c>
      <c r="I63">
        <v>2</v>
      </c>
      <c r="J63" t="s">
        <v>63</v>
      </c>
      <c r="K63">
        <v>60</v>
      </c>
      <c r="L63" t="s">
        <v>277</v>
      </c>
      <c r="M63" s="4">
        <v>12000</v>
      </c>
      <c r="P63" s="2">
        <v>45733</v>
      </c>
      <c r="R63">
        <v>1</v>
      </c>
      <c r="S63" s="4">
        <v>12000</v>
      </c>
      <c r="T63" t="s">
        <v>65</v>
      </c>
      <c r="U63">
        <v>566860001</v>
      </c>
      <c r="V63">
        <v>0</v>
      </c>
      <c r="W63" s="4">
        <v>10000</v>
      </c>
      <c r="X63" s="4">
        <v>2000</v>
      </c>
      <c r="Y63">
        <v>0</v>
      </c>
      <c r="Z63">
        <v>0</v>
      </c>
      <c r="AA63">
        <v>0</v>
      </c>
      <c r="AD63">
        <v>0</v>
      </c>
      <c r="AM63">
        <v>56686</v>
      </c>
      <c r="AN63" t="s">
        <v>3605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3606</v>
      </c>
      <c r="BA63">
        <v>0</v>
      </c>
      <c r="BC63" t="s">
        <v>3605</v>
      </c>
      <c r="BF63" t="s">
        <v>3607</v>
      </c>
    </row>
    <row r="64" spans="1:58" x14ac:dyDescent="0.35">
      <c r="A64" t="s">
        <v>3853</v>
      </c>
      <c r="B64">
        <v>10000</v>
      </c>
      <c r="C64">
        <v>10000</v>
      </c>
      <c r="D64" s="2">
        <v>45735</v>
      </c>
      <c r="E64" t="s">
        <v>61</v>
      </c>
      <c r="F64" t="s">
        <v>3854</v>
      </c>
      <c r="G64">
        <v>408232392</v>
      </c>
      <c r="I64">
        <v>1</v>
      </c>
      <c r="J64" t="s">
        <v>63</v>
      </c>
      <c r="K64">
        <v>88</v>
      </c>
      <c r="L64" t="s">
        <v>630</v>
      </c>
      <c r="M64" s="4">
        <v>1800</v>
      </c>
      <c r="P64" s="2">
        <v>45733</v>
      </c>
      <c r="R64">
        <v>1</v>
      </c>
      <c r="S64" s="4">
        <v>1800</v>
      </c>
      <c r="T64" t="s">
        <v>65</v>
      </c>
      <c r="U64">
        <v>104484310001</v>
      </c>
      <c r="V64">
        <v>0</v>
      </c>
      <c r="W64" s="4">
        <v>1300</v>
      </c>
      <c r="X64">
        <v>500</v>
      </c>
      <c r="Y64">
        <v>0</v>
      </c>
      <c r="Z64">
        <v>0</v>
      </c>
      <c r="AA64">
        <v>0</v>
      </c>
      <c r="AD64">
        <v>0</v>
      </c>
      <c r="AM64">
        <v>10448431</v>
      </c>
      <c r="AN64" t="s">
        <v>487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3855</v>
      </c>
      <c r="BA64">
        <v>0</v>
      </c>
      <c r="BC64" t="s">
        <v>487</v>
      </c>
      <c r="BF64" t="s">
        <v>3856</v>
      </c>
    </row>
    <row r="65" spans="1:58" x14ac:dyDescent="0.35">
      <c r="A65" t="s">
        <v>3857</v>
      </c>
      <c r="B65">
        <v>10000</v>
      </c>
      <c r="C65">
        <v>10000</v>
      </c>
      <c r="D65" s="2">
        <v>45734</v>
      </c>
      <c r="E65" t="s">
        <v>61</v>
      </c>
      <c r="F65" t="s">
        <v>3858</v>
      </c>
      <c r="G65" t="s">
        <v>2069</v>
      </c>
      <c r="I65">
        <v>1</v>
      </c>
      <c r="J65" t="s">
        <v>63</v>
      </c>
      <c r="K65">
        <v>94</v>
      </c>
      <c r="L65" t="s">
        <v>181</v>
      </c>
      <c r="M65">
        <v>250</v>
      </c>
      <c r="P65" s="2">
        <v>45733</v>
      </c>
      <c r="R65">
        <v>4</v>
      </c>
      <c r="S65" s="4">
        <v>1000</v>
      </c>
      <c r="T65" t="s">
        <v>65</v>
      </c>
      <c r="U65" t="s">
        <v>3859</v>
      </c>
      <c r="V65">
        <v>0</v>
      </c>
      <c r="W65">
        <v>500</v>
      </c>
      <c r="X65">
        <v>500</v>
      </c>
      <c r="Y65">
        <v>0</v>
      </c>
      <c r="Z65">
        <v>0</v>
      </c>
      <c r="AA65">
        <v>0</v>
      </c>
      <c r="AD65">
        <v>0</v>
      </c>
      <c r="AM65" t="s">
        <v>3860</v>
      </c>
      <c r="AN65" t="s">
        <v>3615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3861</v>
      </c>
      <c r="BA65">
        <v>0</v>
      </c>
      <c r="BC65" t="s">
        <v>3615</v>
      </c>
      <c r="BF65" t="s">
        <v>3617</v>
      </c>
    </row>
    <row r="66" spans="1:58" x14ac:dyDescent="0.35">
      <c r="A66" t="s">
        <v>3862</v>
      </c>
      <c r="B66">
        <v>10000</v>
      </c>
      <c r="C66">
        <v>20000</v>
      </c>
      <c r="D66" s="2">
        <v>45737</v>
      </c>
      <c r="E66" t="s">
        <v>95</v>
      </c>
      <c r="F66" t="s">
        <v>3863</v>
      </c>
      <c r="G66" t="s">
        <v>3864</v>
      </c>
      <c r="I66">
        <v>1</v>
      </c>
      <c r="J66" t="s">
        <v>63</v>
      </c>
      <c r="K66">
        <v>65</v>
      </c>
      <c r="L66" t="s">
        <v>268</v>
      </c>
      <c r="M66" s="4">
        <v>1250</v>
      </c>
      <c r="P66" s="2">
        <v>45733</v>
      </c>
      <c r="R66">
        <v>4</v>
      </c>
      <c r="S66" s="4">
        <v>5000</v>
      </c>
      <c r="T66" t="s">
        <v>65</v>
      </c>
      <c r="U66" t="s">
        <v>3865</v>
      </c>
      <c r="V66">
        <v>0</v>
      </c>
      <c r="W66" s="4">
        <v>5000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3866</v>
      </c>
      <c r="AN66" t="s">
        <v>3615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3867</v>
      </c>
      <c r="BA66">
        <v>0</v>
      </c>
      <c r="BC66" t="s">
        <v>3615</v>
      </c>
      <c r="BF66" t="s">
        <v>3617</v>
      </c>
    </row>
    <row r="67" spans="1:58" x14ac:dyDescent="0.35">
      <c r="A67" t="s">
        <v>3868</v>
      </c>
      <c r="B67">
        <v>10000</v>
      </c>
      <c r="C67">
        <v>10000</v>
      </c>
      <c r="D67" s="2">
        <v>45734</v>
      </c>
      <c r="E67" t="s">
        <v>61</v>
      </c>
      <c r="F67" t="s">
        <v>3869</v>
      </c>
      <c r="G67" t="s">
        <v>3870</v>
      </c>
      <c r="I67">
        <v>1</v>
      </c>
      <c r="J67" t="s">
        <v>63</v>
      </c>
      <c r="K67">
        <v>63</v>
      </c>
      <c r="L67" t="s">
        <v>519</v>
      </c>
      <c r="M67">
        <v>100</v>
      </c>
      <c r="P67" s="2">
        <v>45733</v>
      </c>
      <c r="R67">
        <v>60</v>
      </c>
      <c r="S67" s="4">
        <v>6000</v>
      </c>
      <c r="T67" t="s">
        <v>65</v>
      </c>
      <c r="U67" t="s">
        <v>3871</v>
      </c>
      <c r="V67">
        <v>0</v>
      </c>
      <c r="W67" s="4">
        <v>6000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3872</v>
      </c>
      <c r="AN67" t="s">
        <v>1672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3873</v>
      </c>
      <c r="BA67">
        <v>0</v>
      </c>
      <c r="BC67" t="s">
        <v>1672</v>
      </c>
      <c r="BF67" t="s">
        <v>3874</v>
      </c>
    </row>
    <row r="68" spans="1:58" x14ac:dyDescent="0.35">
      <c r="A68" t="s">
        <v>3875</v>
      </c>
      <c r="B68">
        <v>10000</v>
      </c>
      <c r="C68">
        <v>10000</v>
      </c>
      <c r="D68" s="2">
        <v>45734</v>
      </c>
      <c r="E68" t="s">
        <v>61</v>
      </c>
      <c r="F68" t="s">
        <v>3869</v>
      </c>
      <c r="G68" t="s">
        <v>3870</v>
      </c>
      <c r="I68">
        <v>1</v>
      </c>
      <c r="J68" t="s">
        <v>63</v>
      </c>
      <c r="K68">
        <v>63</v>
      </c>
      <c r="L68" t="s">
        <v>519</v>
      </c>
      <c r="M68">
        <v>4</v>
      </c>
      <c r="P68" s="2">
        <v>45733</v>
      </c>
      <c r="R68">
        <v>60</v>
      </c>
      <c r="S68">
        <v>240</v>
      </c>
      <c r="T68" t="s">
        <v>65</v>
      </c>
      <c r="U68" t="s">
        <v>3871</v>
      </c>
      <c r="V68">
        <v>0</v>
      </c>
      <c r="W68">
        <v>182</v>
      </c>
      <c r="X68">
        <v>58</v>
      </c>
      <c r="Y68">
        <v>0</v>
      </c>
      <c r="Z68">
        <v>0</v>
      </c>
      <c r="AA68">
        <v>0</v>
      </c>
      <c r="AD68">
        <v>0</v>
      </c>
      <c r="AM68" t="s">
        <v>3872</v>
      </c>
      <c r="AN68" t="s">
        <v>1672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3876</v>
      </c>
      <c r="BA68">
        <v>0</v>
      </c>
      <c r="BC68" t="s">
        <v>1672</v>
      </c>
      <c r="BF68" t="s">
        <v>3877</v>
      </c>
    </row>
    <row r="69" spans="1:58" x14ac:dyDescent="0.35">
      <c r="A69" t="s">
        <v>3878</v>
      </c>
      <c r="B69">
        <v>10000</v>
      </c>
      <c r="C69">
        <v>10000</v>
      </c>
      <c r="D69" s="2">
        <v>45737</v>
      </c>
      <c r="E69" t="s">
        <v>61</v>
      </c>
      <c r="F69" t="s">
        <v>3879</v>
      </c>
      <c r="G69" t="s">
        <v>3880</v>
      </c>
      <c r="I69">
        <v>1</v>
      </c>
      <c r="J69" t="s">
        <v>63</v>
      </c>
      <c r="K69">
        <v>86</v>
      </c>
      <c r="L69" t="s">
        <v>64</v>
      </c>
      <c r="M69" s="4">
        <v>111667</v>
      </c>
      <c r="P69" s="2">
        <v>45733</v>
      </c>
      <c r="R69">
        <v>54</v>
      </c>
      <c r="S69" s="4">
        <v>6030018</v>
      </c>
      <c r="T69" t="s">
        <v>65</v>
      </c>
      <c r="U69">
        <v>86083960001</v>
      </c>
      <c r="V69">
        <v>0</v>
      </c>
      <c r="W69" s="4">
        <v>6020000</v>
      </c>
      <c r="X69" s="4">
        <v>10018</v>
      </c>
      <c r="Y69">
        <v>0</v>
      </c>
      <c r="Z69">
        <v>0</v>
      </c>
      <c r="AA69">
        <v>0</v>
      </c>
      <c r="AD69">
        <v>0</v>
      </c>
      <c r="AM69">
        <v>8608396</v>
      </c>
      <c r="AN69" t="s">
        <v>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3881</v>
      </c>
      <c r="BA69">
        <v>0</v>
      </c>
      <c r="BC69" t="s">
        <v>91</v>
      </c>
      <c r="BF69" t="s">
        <v>3882</v>
      </c>
    </row>
    <row r="80" spans="1:58" x14ac:dyDescent="0.35">
      <c r="A80">
        <f>COUNTA(A5:A79)</f>
        <v>65</v>
      </c>
      <c r="B80">
        <f>'16-Mar'!B20+'17-Mar'!A80</f>
        <v>1072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D905-07F0-46FB-ACFB-905114298691}">
  <dimension ref="A1:BF100"/>
  <sheetViews>
    <sheetView topLeftCell="A77" workbookViewId="0">
      <selection activeCell="A4" sqref="A4:XFD9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3883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3884</v>
      </c>
      <c r="B5">
        <v>10000</v>
      </c>
      <c r="C5">
        <v>10000</v>
      </c>
      <c r="D5" s="2">
        <v>45735</v>
      </c>
      <c r="E5" t="s">
        <v>61</v>
      </c>
      <c r="F5" t="s">
        <v>3885</v>
      </c>
      <c r="G5" t="s">
        <v>3886</v>
      </c>
      <c r="H5" t="s">
        <v>1577</v>
      </c>
      <c r="I5">
        <v>1</v>
      </c>
      <c r="J5" t="s">
        <v>69</v>
      </c>
      <c r="K5">
        <v>82</v>
      </c>
      <c r="L5" t="s">
        <v>341</v>
      </c>
      <c r="M5" s="4">
        <v>5000</v>
      </c>
      <c r="P5" s="2">
        <v>45734</v>
      </c>
      <c r="R5">
        <v>6</v>
      </c>
      <c r="S5" s="4">
        <v>30000</v>
      </c>
      <c r="T5" t="s">
        <v>65</v>
      </c>
      <c r="U5" t="s">
        <v>1578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1579</v>
      </c>
      <c r="AN5" t="s">
        <v>829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829</v>
      </c>
      <c r="BF5" t="s">
        <v>3887</v>
      </c>
    </row>
    <row r="6" spans="1:58" x14ac:dyDescent="0.35">
      <c r="A6" t="s">
        <v>3888</v>
      </c>
      <c r="B6">
        <v>10000</v>
      </c>
      <c r="C6">
        <v>10000</v>
      </c>
      <c r="D6" s="2">
        <v>45735</v>
      </c>
      <c r="E6" t="s">
        <v>61</v>
      </c>
      <c r="F6" t="s">
        <v>3885</v>
      </c>
      <c r="G6" t="s">
        <v>3886</v>
      </c>
      <c r="H6" t="s">
        <v>1577</v>
      </c>
      <c r="I6">
        <v>1</v>
      </c>
      <c r="J6" t="s">
        <v>69</v>
      </c>
      <c r="K6">
        <v>82</v>
      </c>
      <c r="L6" t="s">
        <v>341</v>
      </c>
      <c r="M6" s="4">
        <v>5000</v>
      </c>
      <c r="P6" s="2">
        <v>45734</v>
      </c>
      <c r="R6">
        <v>6</v>
      </c>
      <c r="S6" s="4">
        <v>30000</v>
      </c>
      <c r="T6" t="s">
        <v>65</v>
      </c>
      <c r="U6" t="s">
        <v>1578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1579</v>
      </c>
      <c r="AN6" t="s">
        <v>829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829</v>
      </c>
      <c r="BF6" t="s">
        <v>3889</v>
      </c>
    </row>
    <row r="7" spans="1:58" x14ac:dyDescent="0.35">
      <c r="A7" t="s">
        <v>2801</v>
      </c>
      <c r="B7">
        <v>10000</v>
      </c>
      <c r="C7">
        <v>20000</v>
      </c>
      <c r="D7" s="2">
        <v>45734</v>
      </c>
      <c r="E7" t="s">
        <v>61</v>
      </c>
      <c r="F7" t="s">
        <v>3890</v>
      </c>
      <c r="G7" t="s">
        <v>2526</v>
      </c>
      <c r="I7">
        <v>1</v>
      </c>
      <c r="J7" t="s">
        <v>63</v>
      </c>
      <c r="K7">
        <v>95</v>
      </c>
      <c r="L7" t="s">
        <v>597</v>
      </c>
      <c r="M7" s="4">
        <v>3750</v>
      </c>
      <c r="P7" s="2">
        <v>45734</v>
      </c>
      <c r="R7">
        <v>8</v>
      </c>
      <c r="S7" s="4">
        <v>30000</v>
      </c>
      <c r="T7" t="s">
        <v>65</v>
      </c>
      <c r="U7" t="s">
        <v>2527</v>
      </c>
      <c r="V7">
        <v>0</v>
      </c>
      <c r="W7" s="4">
        <v>27690</v>
      </c>
      <c r="X7" s="4">
        <v>2310</v>
      </c>
      <c r="Y7">
        <v>0</v>
      </c>
      <c r="Z7">
        <v>0</v>
      </c>
      <c r="AA7">
        <v>0</v>
      </c>
      <c r="AD7">
        <v>0</v>
      </c>
      <c r="AM7" t="s">
        <v>2528</v>
      </c>
      <c r="AN7" t="s">
        <v>271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2803</v>
      </c>
      <c r="BA7">
        <v>0</v>
      </c>
      <c r="BC7" t="s">
        <v>271</v>
      </c>
      <c r="BF7" t="s">
        <v>2804</v>
      </c>
    </row>
    <row r="8" spans="1:58" x14ac:dyDescent="0.35">
      <c r="A8" t="s">
        <v>3891</v>
      </c>
      <c r="B8">
        <v>10000</v>
      </c>
      <c r="C8">
        <v>10000</v>
      </c>
      <c r="D8" s="2">
        <v>45734</v>
      </c>
      <c r="E8" t="s">
        <v>61</v>
      </c>
      <c r="F8" t="s">
        <v>2802</v>
      </c>
      <c r="G8" t="s">
        <v>2526</v>
      </c>
      <c r="I8">
        <v>1</v>
      </c>
      <c r="J8" t="s">
        <v>63</v>
      </c>
      <c r="K8">
        <v>95</v>
      </c>
      <c r="L8" t="s">
        <v>597</v>
      </c>
      <c r="M8" s="4">
        <v>7500</v>
      </c>
      <c r="P8" s="2">
        <v>45734</v>
      </c>
      <c r="R8">
        <v>8</v>
      </c>
      <c r="S8" s="4">
        <v>60000</v>
      </c>
      <c r="T8" t="s">
        <v>65</v>
      </c>
      <c r="U8" t="s">
        <v>2527</v>
      </c>
      <c r="V8">
        <v>0</v>
      </c>
      <c r="W8" s="4">
        <v>60000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2528</v>
      </c>
      <c r="AN8" t="s">
        <v>271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3892</v>
      </c>
      <c r="BA8">
        <v>0</v>
      </c>
      <c r="BC8" t="s">
        <v>271</v>
      </c>
      <c r="BF8" t="s">
        <v>3893</v>
      </c>
    </row>
    <row r="9" spans="1:58" x14ac:dyDescent="0.35">
      <c r="A9" t="s">
        <v>3891</v>
      </c>
      <c r="B9">
        <v>20000</v>
      </c>
      <c r="C9">
        <v>10000</v>
      </c>
      <c r="D9" s="2">
        <v>45734</v>
      </c>
      <c r="E9" t="s">
        <v>61</v>
      </c>
      <c r="F9" t="s">
        <v>2802</v>
      </c>
      <c r="G9" t="s">
        <v>2526</v>
      </c>
      <c r="I9">
        <v>1</v>
      </c>
      <c r="J9" t="s">
        <v>63</v>
      </c>
      <c r="K9">
        <v>95</v>
      </c>
      <c r="L9" t="s">
        <v>597</v>
      </c>
      <c r="M9" s="4">
        <v>7500</v>
      </c>
      <c r="P9" s="2">
        <v>45734</v>
      </c>
      <c r="R9">
        <v>8</v>
      </c>
      <c r="S9" s="4">
        <v>60000</v>
      </c>
      <c r="T9" t="s">
        <v>65</v>
      </c>
      <c r="U9" t="s">
        <v>2527</v>
      </c>
      <c r="V9">
        <v>0</v>
      </c>
      <c r="W9" s="4">
        <v>60000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2528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3892</v>
      </c>
      <c r="BA9">
        <v>0</v>
      </c>
      <c r="BC9" t="s">
        <v>271</v>
      </c>
      <c r="BF9" t="s">
        <v>3893</v>
      </c>
    </row>
    <row r="10" spans="1:58" x14ac:dyDescent="0.35">
      <c r="A10" t="s">
        <v>3894</v>
      </c>
      <c r="B10">
        <v>10000</v>
      </c>
      <c r="C10">
        <v>10000</v>
      </c>
      <c r="D10" s="2">
        <v>45734</v>
      </c>
      <c r="E10" t="s">
        <v>61</v>
      </c>
      <c r="F10" t="s">
        <v>2802</v>
      </c>
      <c r="G10" t="s">
        <v>2526</v>
      </c>
      <c r="I10">
        <v>1</v>
      </c>
      <c r="J10" t="s">
        <v>63</v>
      </c>
      <c r="K10">
        <v>95</v>
      </c>
      <c r="L10" t="s">
        <v>597</v>
      </c>
      <c r="M10" s="4">
        <v>7500</v>
      </c>
      <c r="P10" s="2">
        <v>45734</v>
      </c>
      <c r="R10">
        <v>8</v>
      </c>
      <c r="S10" s="4">
        <v>60000</v>
      </c>
      <c r="T10" t="s">
        <v>65</v>
      </c>
      <c r="U10" t="s">
        <v>2527</v>
      </c>
      <c r="V10">
        <v>0</v>
      </c>
      <c r="W10" s="4">
        <v>60000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2528</v>
      </c>
      <c r="AN10" t="s">
        <v>271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3895</v>
      </c>
      <c r="BA10">
        <v>0</v>
      </c>
      <c r="BC10" t="s">
        <v>271</v>
      </c>
      <c r="BF10" t="s">
        <v>3896</v>
      </c>
    </row>
    <row r="11" spans="1:58" x14ac:dyDescent="0.35">
      <c r="A11" t="s">
        <v>3897</v>
      </c>
      <c r="B11">
        <v>10000</v>
      </c>
      <c r="C11">
        <v>10000</v>
      </c>
      <c r="D11" s="2">
        <v>45735</v>
      </c>
      <c r="E11" t="s">
        <v>61</v>
      </c>
      <c r="F11" t="s">
        <v>3898</v>
      </c>
      <c r="G11" t="s">
        <v>2526</v>
      </c>
      <c r="I11">
        <v>1</v>
      </c>
      <c r="J11" t="s">
        <v>63</v>
      </c>
      <c r="K11">
        <v>95</v>
      </c>
      <c r="L11" t="s">
        <v>597</v>
      </c>
      <c r="M11" s="4">
        <v>3750</v>
      </c>
      <c r="P11" s="2">
        <v>45734</v>
      </c>
      <c r="R11">
        <v>8</v>
      </c>
      <c r="S11" s="4">
        <v>30000</v>
      </c>
      <c r="T11" t="s">
        <v>65</v>
      </c>
      <c r="U11" t="s">
        <v>2527</v>
      </c>
      <c r="V11">
        <v>0</v>
      </c>
      <c r="W11" s="4">
        <v>30000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2528</v>
      </c>
      <c r="AN11" t="s">
        <v>271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3899</v>
      </c>
      <c r="BA11">
        <v>0</v>
      </c>
      <c r="BC11" t="s">
        <v>271</v>
      </c>
      <c r="BF11" t="s">
        <v>3900</v>
      </c>
    </row>
    <row r="12" spans="1:58" x14ac:dyDescent="0.35">
      <c r="A12" t="s">
        <v>3901</v>
      </c>
      <c r="B12">
        <v>10000</v>
      </c>
      <c r="C12">
        <v>20000</v>
      </c>
      <c r="D12" s="2">
        <v>45742</v>
      </c>
      <c r="E12" t="s">
        <v>61</v>
      </c>
      <c r="F12" t="s">
        <v>3902</v>
      </c>
      <c r="G12" t="s">
        <v>3903</v>
      </c>
      <c r="I12">
        <v>2</v>
      </c>
      <c r="J12" t="s">
        <v>63</v>
      </c>
      <c r="K12">
        <v>77</v>
      </c>
      <c r="L12" t="s">
        <v>127</v>
      </c>
      <c r="M12" s="4">
        <v>29723</v>
      </c>
      <c r="P12" s="2">
        <v>45734</v>
      </c>
      <c r="R12">
        <v>36</v>
      </c>
      <c r="S12" s="4">
        <v>1070028</v>
      </c>
      <c r="T12" t="s">
        <v>65</v>
      </c>
      <c r="U12" t="s">
        <v>83</v>
      </c>
      <c r="V12">
        <v>0</v>
      </c>
      <c r="W12" s="4">
        <v>1000000</v>
      </c>
      <c r="X12" s="4">
        <v>70028</v>
      </c>
      <c r="Y12">
        <v>0</v>
      </c>
      <c r="Z12">
        <v>0</v>
      </c>
      <c r="AA12">
        <v>0</v>
      </c>
      <c r="AD12">
        <v>0</v>
      </c>
      <c r="AM12" t="s">
        <v>84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3904</v>
      </c>
      <c r="BA12">
        <v>0</v>
      </c>
      <c r="BC12" t="s">
        <v>68</v>
      </c>
      <c r="BF12" t="s">
        <v>3905</v>
      </c>
    </row>
    <row r="13" spans="1:58" x14ac:dyDescent="0.35">
      <c r="A13" t="s">
        <v>3906</v>
      </c>
      <c r="B13">
        <v>10000</v>
      </c>
      <c r="C13">
        <v>10000</v>
      </c>
      <c r="D13" s="2">
        <v>45734</v>
      </c>
      <c r="E13" t="s">
        <v>61</v>
      </c>
      <c r="F13" t="s">
        <v>3907</v>
      </c>
      <c r="G13" t="s">
        <v>3908</v>
      </c>
      <c r="I13">
        <v>1</v>
      </c>
      <c r="J13" t="s">
        <v>63</v>
      </c>
      <c r="K13">
        <v>112</v>
      </c>
      <c r="L13" t="s">
        <v>533</v>
      </c>
      <c r="M13">
        <v>258</v>
      </c>
      <c r="P13" s="2">
        <v>45734</v>
      </c>
      <c r="R13">
        <v>28</v>
      </c>
      <c r="S13" s="4">
        <v>7224</v>
      </c>
      <c r="T13" t="s">
        <v>65</v>
      </c>
      <c r="U13" t="s">
        <v>3909</v>
      </c>
      <c r="V13">
        <v>0</v>
      </c>
      <c r="W13" s="4">
        <v>7200</v>
      </c>
      <c r="X13">
        <v>24</v>
      </c>
      <c r="Y13">
        <v>0</v>
      </c>
      <c r="Z13">
        <v>0</v>
      </c>
      <c r="AA13">
        <v>0</v>
      </c>
      <c r="AD13">
        <v>0</v>
      </c>
      <c r="AM13" t="s">
        <v>3910</v>
      </c>
      <c r="AN13" t="s">
        <v>321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3911</v>
      </c>
      <c r="BA13">
        <v>0</v>
      </c>
      <c r="BC13" t="s">
        <v>321</v>
      </c>
      <c r="BF13" t="s">
        <v>3912</v>
      </c>
    </row>
    <row r="14" spans="1:58" x14ac:dyDescent="0.35">
      <c r="A14" t="s">
        <v>3913</v>
      </c>
      <c r="B14">
        <v>10000</v>
      </c>
      <c r="C14">
        <v>10000</v>
      </c>
      <c r="D14" s="2">
        <v>45735</v>
      </c>
      <c r="E14" t="s">
        <v>61</v>
      </c>
      <c r="F14" t="s">
        <v>3914</v>
      </c>
      <c r="G14" t="s">
        <v>304</v>
      </c>
      <c r="I14">
        <v>1</v>
      </c>
      <c r="J14" t="s">
        <v>63</v>
      </c>
      <c r="K14">
        <v>73</v>
      </c>
      <c r="L14" t="s">
        <v>90</v>
      </c>
      <c r="M14" s="4">
        <v>21750</v>
      </c>
      <c r="P14" s="2">
        <v>45734</v>
      </c>
      <c r="R14">
        <v>8</v>
      </c>
      <c r="S14" s="4">
        <v>174000</v>
      </c>
      <c r="T14" t="s">
        <v>65</v>
      </c>
      <c r="U14" t="s">
        <v>305</v>
      </c>
      <c r="V14">
        <v>0</v>
      </c>
      <c r="W14" s="4">
        <v>174000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306</v>
      </c>
      <c r="AN14" t="s">
        <v>271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3915</v>
      </c>
      <c r="BA14">
        <v>0</v>
      </c>
      <c r="BC14" t="s">
        <v>271</v>
      </c>
      <c r="BF14" t="s">
        <v>3916</v>
      </c>
    </row>
    <row r="15" spans="1:58" x14ac:dyDescent="0.35">
      <c r="A15" t="s">
        <v>3917</v>
      </c>
      <c r="B15">
        <v>10000</v>
      </c>
      <c r="C15">
        <v>10000</v>
      </c>
      <c r="D15" s="2">
        <v>45735</v>
      </c>
      <c r="E15" t="s">
        <v>61</v>
      </c>
      <c r="F15" t="s">
        <v>3918</v>
      </c>
      <c r="G15" t="s">
        <v>3919</v>
      </c>
      <c r="I15">
        <v>1</v>
      </c>
      <c r="J15" t="s">
        <v>63</v>
      </c>
      <c r="K15">
        <v>111</v>
      </c>
      <c r="L15" t="s">
        <v>286</v>
      </c>
      <c r="M15" s="4">
        <v>36000</v>
      </c>
      <c r="P15" s="2">
        <v>45734</v>
      </c>
      <c r="R15">
        <v>8</v>
      </c>
      <c r="S15" s="4">
        <v>288000</v>
      </c>
      <c r="T15" t="s">
        <v>65</v>
      </c>
      <c r="U15" t="s">
        <v>3920</v>
      </c>
      <c r="V15">
        <v>0</v>
      </c>
      <c r="W15" s="4">
        <v>288000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3921</v>
      </c>
      <c r="AN15" t="s">
        <v>271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3922</v>
      </c>
      <c r="BA15">
        <v>0</v>
      </c>
      <c r="BC15" t="s">
        <v>271</v>
      </c>
      <c r="BF15" t="s">
        <v>3923</v>
      </c>
    </row>
    <row r="16" spans="1:58" x14ac:dyDescent="0.35">
      <c r="A16" t="s">
        <v>3924</v>
      </c>
      <c r="B16">
        <v>10000</v>
      </c>
      <c r="C16">
        <v>10000</v>
      </c>
      <c r="D16" s="2">
        <v>45736</v>
      </c>
      <c r="E16" t="s">
        <v>61</v>
      </c>
      <c r="F16" t="s">
        <v>3925</v>
      </c>
      <c r="G16" t="s">
        <v>89</v>
      </c>
      <c r="I16">
        <v>1</v>
      </c>
      <c r="J16" t="s">
        <v>63</v>
      </c>
      <c r="K16" t="s">
        <v>97</v>
      </c>
      <c r="L16" t="s">
        <v>98</v>
      </c>
      <c r="M16" s="4">
        <v>24000</v>
      </c>
      <c r="P16" s="2">
        <v>45734</v>
      </c>
      <c r="R16">
        <v>12</v>
      </c>
      <c r="S16" s="4">
        <v>288000</v>
      </c>
      <c r="T16" t="s">
        <v>65</v>
      </c>
      <c r="U16">
        <v>80256220001</v>
      </c>
      <c r="V16">
        <v>0</v>
      </c>
      <c r="W16" s="4">
        <v>288000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3926</v>
      </c>
      <c r="BA16">
        <v>0</v>
      </c>
      <c r="BC16" t="s">
        <v>91</v>
      </c>
      <c r="BF16" t="s">
        <v>3927</v>
      </c>
    </row>
    <row r="17" spans="1:58" x14ac:dyDescent="0.35">
      <c r="A17" t="s">
        <v>1598</v>
      </c>
      <c r="B17">
        <v>10000</v>
      </c>
      <c r="C17">
        <v>40000</v>
      </c>
      <c r="D17" s="2">
        <v>45736</v>
      </c>
      <c r="E17" t="s">
        <v>61</v>
      </c>
      <c r="F17" t="s">
        <v>1599</v>
      </c>
      <c r="G17" t="s">
        <v>1600</v>
      </c>
      <c r="I17">
        <v>3</v>
      </c>
      <c r="J17" t="s">
        <v>63</v>
      </c>
      <c r="K17">
        <v>78</v>
      </c>
      <c r="L17" t="s">
        <v>188</v>
      </c>
      <c r="M17" s="4">
        <v>28000</v>
      </c>
      <c r="P17" s="2">
        <v>45734</v>
      </c>
      <c r="R17">
        <v>4</v>
      </c>
      <c r="S17" s="4">
        <v>112000</v>
      </c>
      <c r="T17" t="s">
        <v>65</v>
      </c>
      <c r="U17">
        <v>150636040001</v>
      </c>
      <c r="V17">
        <v>0</v>
      </c>
      <c r="W17" s="4">
        <v>112000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15063604</v>
      </c>
      <c r="AN17" t="s">
        <v>311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1601</v>
      </c>
      <c r="BA17">
        <v>0</v>
      </c>
      <c r="BC17" t="s">
        <v>311</v>
      </c>
      <c r="BF17" t="s">
        <v>1602</v>
      </c>
    </row>
    <row r="18" spans="1:58" x14ac:dyDescent="0.35">
      <c r="A18" t="s">
        <v>3139</v>
      </c>
      <c r="B18">
        <v>10000</v>
      </c>
      <c r="C18">
        <v>40000</v>
      </c>
      <c r="D18" s="2">
        <v>45734</v>
      </c>
      <c r="E18" t="s">
        <v>61</v>
      </c>
      <c r="F18" t="s">
        <v>3140</v>
      </c>
      <c r="G18" t="s">
        <v>3141</v>
      </c>
      <c r="I18">
        <v>2</v>
      </c>
      <c r="J18" t="s">
        <v>63</v>
      </c>
      <c r="K18">
        <v>86</v>
      </c>
      <c r="L18" t="s">
        <v>64</v>
      </c>
      <c r="M18">
        <v>849</v>
      </c>
      <c r="P18" s="2">
        <v>45734</v>
      </c>
      <c r="R18">
        <v>33</v>
      </c>
      <c r="S18" s="4">
        <v>28017</v>
      </c>
      <c r="T18" t="s">
        <v>65</v>
      </c>
      <c r="U18" t="s">
        <v>3142</v>
      </c>
      <c r="V18">
        <v>0</v>
      </c>
      <c r="W18" s="4">
        <v>9245</v>
      </c>
      <c r="X18" s="4">
        <v>18772</v>
      </c>
      <c r="Y18">
        <v>0</v>
      </c>
      <c r="Z18">
        <v>0</v>
      </c>
      <c r="AA18">
        <v>0</v>
      </c>
      <c r="AD18">
        <v>0</v>
      </c>
      <c r="AM18" t="s">
        <v>3143</v>
      </c>
      <c r="AN18" t="s">
        <v>3144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3145</v>
      </c>
      <c r="BA18">
        <v>0</v>
      </c>
      <c r="BC18" t="s">
        <v>3144</v>
      </c>
      <c r="BF18" t="s">
        <v>3146</v>
      </c>
    </row>
    <row r="19" spans="1:58" x14ac:dyDescent="0.35">
      <c r="A19" t="s">
        <v>3928</v>
      </c>
      <c r="B19">
        <v>10000</v>
      </c>
      <c r="C19">
        <v>10000</v>
      </c>
      <c r="D19" s="2">
        <v>45741</v>
      </c>
      <c r="E19" t="s">
        <v>61</v>
      </c>
      <c r="F19" s="3">
        <v>0.44512731481481482</v>
      </c>
      <c r="G19" t="s">
        <v>3929</v>
      </c>
      <c r="I19">
        <v>1</v>
      </c>
      <c r="J19" t="s">
        <v>63</v>
      </c>
      <c r="K19">
        <v>103</v>
      </c>
      <c r="L19" t="s">
        <v>1986</v>
      </c>
      <c r="M19" s="4">
        <v>56875</v>
      </c>
      <c r="P19" s="2">
        <v>45734</v>
      </c>
      <c r="R19">
        <v>8</v>
      </c>
      <c r="S19" s="4">
        <v>455000</v>
      </c>
      <c r="T19" t="s">
        <v>65</v>
      </c>
      <c r="U19" t="s">
        <v>319</v>
      </c>
      <c r="V19">
        <v>0</v>
      </c>
      <c r="W19" s="4">
        <v>455000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320</v>
      </c>
      <c r="AN19" t="s">
        <v>321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3930</v>
      </c>
      <c r="BA19">
        <v>0</v>
      </c>
      <c r="BC19" t="s">
        <v>321</v>
      </c>
      <c r="BF19" t="s">
        <v>3931</v>
      </c>
    </row>
    <row r="20" spans="1:58" x14ac:dyDescent="0.35">
      <c r="A20" t="s">
        <v>3928</v>
      </c>
      <c r="B20">
        <v>10000</v>
      </c>
      <c r="C20">
        <v>20000</v>
      </c>
      <c r="D20" s="2">
        <v>45741</v>
      </c>
      <c r="E20" t="s">
        <v>61</v>
      </c>
      <c r="F20" s="3">
        <v>0.44512731481481482</v>
      </c>
      <c r="G20" t="s">
        <v>3929</v>
      </c>
      <c r="I20">
        <v>1</v>
      </c>
      <c r="J20" t="s">
        <v>63</v>
      </c>
      <c r="K20" t="s">
        <v>317</v>
      </c>
      <c r="L20" t="s">
        <v>318</v>
      </c>
      <c r="M20" s="4">
        <v>33125</v>
      </c>
      <c r="P20" s="2">
        <v>45734</v>
      </c>
      <c r="R20">
        <v>8</v>
      </c>
      <c r="S20" s="4">
        <v>265000</v>
      </c>
      <c r="T20" t="s">
        <v>65</v>
      </c>
      <c r="U20" t="s">
        <v>319</v>
      </c>
      <c r="V20">
        <v>0</v>
      </c>
      <c r="W20" s="4">
        <v>265000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320</v>
      </c>
      <c r="AN20" t="s">
        <v>321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3930</v>
      </c>
      <c r="BA20">
        <v>0</v>
      </c>
      <c r="BC20" t="s">
        <v>321</v>
      </c>
      <c r="BF20" t="s">
        <v>3931</v>
      </c>
    </row>
    <row r="21" spans="1:58" x14ac:dyDescent="0.35">
      <c r="A21" t="s">
        <v>3928</v>
      </c>
      <c r="B21">
        <v>20000</v>
      </c>
      <c r="C21">
        <v>10000</v>
      </c>
      <c r="D21" s="2">
        <v>45741</v>
      </c>
      <c r="E21" t="s">
        <v>61</v>
      </c>
      <c r="F21" s="3">
        <v>0.44512731481481482</v>
      </c>
      <c r="G21" t="s">
        <v>3929</v>
      </c>
      <c r="I21">
        <v>1</v>
      </c>
      <c r="J21" t="s">
        <v>63</v>
      </c>
      <c r="K21" t="s">
        <v>317</v>
      </c>
      <c r="L21" t="s">
        <v>318</v>
      </c>
      <c r="M21" s="4">
        <v>24375</v>
      </c>
      <c r="P21" s="2">
        <v>45734</v>
      </c>
      <c r="R21">
        <v>8</v>
      </c>
      <c r="S21" s="4">
        <v>195000</v>
      </c>
      <c r="T21" t="s">
        <v>65</v>
      </c>
      <c r="U21" t="s">
        <v>319</v>
      </c>
      <c r="V21">
        <v>0</v>
      </c>
      <c r="W21" s="4">
        <v>195000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320</v>
      </c>
      <c r="AN21" t="s">
        <v>321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3930</v>
      </c>
      <c r="BA21">
        <v>0</v>
      </c>
      <c r="BC21" t="s">
        <v>321</v>
      </c>
      <c r="BF21" t="s">
        <v>3931</v>
      </c>
    </row>
    <row r="22" spans="1:58" x14ac:dyDescent="0.35">
      <c r="A22" t="s">
        <v>1332</v>
      </c>
      <c r="B22">
        <v>10000</v>
      </c>
      <c r="C22">
        <v>40000</v>
      </c>
      <c r="D22" s="2">
        <v>45740</v>
      </c>
      <c r="E22" t="s">
        <v>61</v>
      </c>
      <c r="F22" t="s">
        <v>2304</v>
      </c>
      <c r="G22" t="s">
        <v>1333</v>
      </c>
      <c r="I22">
        <v>3</v>
      </c>
      <c r="J22" t="s">
        <v>63</v>
      </c>
      <c r="K22">
        <v>85</v>
      </c>
      <c r="L22" t="s">
        <v>327</v>
      </c>
      <c r="M22" s="4">
        <v>20000</v>
      </c>
      <c r="P22" s="2">
        <v>45734</v>
      </c>
      <c r="R22">
        <v>11</v>
      </c>
      <c r="S22" s="4">
        <v>220000</v>
      </c>
      <c r="T22" t="s">
        <v>65</v>
      </c>
      <c r="U22" t="s">
        <v>1334</v>
      </c>
      <c r="V22">
        <v>0</v>
      </c>
      <c r="W22" s="4">
        <v>200000</v>
      </c>
      <c r="X22" s="4">
        <v>20000</v>
      </c>
      <c r="Y22">
        <v>0</v>
      </c>
      <c r="Z22">
        <v>0</v>
      </c>
      <c r="AA22">
        <v>0</v>
      </c>
      <c r="AD22">
        <v>0</v>
      </c>
      <c r="AM22" t="s">
        <v>1335</v>
      </c>
      <c r="AN22" t="s">
        <v>107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1336</v>
      </c>
      <c r="BA22">
        <v>0</v>
      </c>
      <c r="BC22" t="s">
        <v>107</v>
      </c>
      <c r="BF22" t="s">
        <v>1337</v>
      </c>
    </row>
    <row r="23" spans="1:58" x14ac:dyDescent="0.35">
      <c r="A23" t="s">
        <v>1362</v>
      </c>
      <c r="B23">
        <v>10000</v>
      </c>
      <c r="C23">
        <v>30000</v>
      </c>
      <c r="D23" s="2">
        <v>45735</v>
      </c>
      <c r="E23" t="s">
        <v>95</v>
      </c>
      <c r="F23" t="s">
        <v>1363</v>
      </c>
      <c r="G23" t="s">
        <v>1364</v>
      </c>
      <c r="I23">
        <v>3</v>
      </c>
      <c r="J23" t="s">
        <v>63</v>
      </c>
      <c r="K23">
        <v>85</v>
      </c>
      <c r="L23" t="s">
        <v>327</v>
      </c>
      <c r="M23" s="4">
        <v>10000</v>
      </c>
      <c r="P23" s="2">
        <v>45734</v>
      </c>
      <c r="R23">
        <v>11</v>
      </c>
      <c r="S23" s="4">
        <v>110000</v>
      </c>
      <c r="T23" t="s">
        <v>65</v>
      </c>
      <c r="U23" t="s">
        <v>1365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1366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1367</v>
      </c>
      <c r="BA23">
        <v>0</v>
      </c>
      <c r="BC23" t="s">
        <v>107</v>
      </c>
      <c r="BF23" t="s">
        <v>1368</v>
      </c>
    </row>
    <row r="24" spans="1:58" x14ac:dyDescent="0.35">
      <c r="A24" t="s">
        <v>3702</v>
      </c>
      <c r="B24">
        <v>10000</v>
      </c>
      <c r="C24">
        <v>30000</v>
      </c>
      <c r="D24" s="2">
        <v>45734</v>
      </c>
      <c r="E24" t="s">
        <v>61</v>
      </c>
      <c r="F24" t="s">
        <v>3703</v>
      </c>
      <c r="G24" t="s">
        <v>3704</v>
      </c>
      <c r="I24">
        <v>3</v>
      </c>
      <c r="J24" t="s">
        <v>63</v>
      </c>
      <c r="K24">
        <v>91</v>
      </c>
      <c r="L24" t="s">
        <v>104</v>
      </c>
      <c r="M24" s="4">
        <v>62000</v>
      </c>
      <c r="P24" s="2">
        <v>45734</v>
      </c>
      <c r="R24">
        <v>5</v>
      </c>
      <c r="S24" s="4">
        <v>310000</v>
      </c>
      <c r="T24" t="s">
        <v>65</v>
      </c>
      <c r="U24" t="s">
        <v>3705</v>
      </c>
      <c r="V24">
        <v>0</v>
      </c>
      <c r="W24" s="4">
        <v>300000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3706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3707</v>
      </c>
      <c r="BA24">
        <v>0</v>
      </c>
      <c r="BC24" t="s">
        <v>107</v>
      </c>
      <c r="BF24" t="s">
        <v>3708</v>
      </c>
    </row>
    <row r="25" spans="1:58" x14ac:dyDescent="0.35">
      <c r="A25" t="s">
        <v>2844</v>
      </c>
      <c r="B25">
        <v>10000</v>
      </c>
      <c r="C25">
        <v>30000</v>
      </c>
      <c r="D25" s="2">
        <v>45736</v>
      </c>
      <c r="E25" t="s">
        <v>61</v>
      </c>
      <c r="F25" t="s">
        <v>956</v>
      </c>
      <c r="G25" t="s">
        <v>2845</v>
      </c>
      <c r="I25">
        <v>3</v>
      </c>
      <c r="J25" t="s">
        <v>63</v>
      </c>
      <c r="K25">
        <v>85</v>
      </c>
      <c r="L25" t="s">
        <v>104</v>
      </c>
      <c r="M25" s="4">
        <v>73636</v>
      </c>
      <c r="P25" s="2">
        <v>45734</v>
      </c>
      <c r="R25">
        <v>11</v>
      </c>
      <c r="S25" s="4">
        <v>809996</v>
      </c>
      <c r="T25" t="s">
        <v>65</v>
      </c>
      <c r="U25" t="s">
        <v>2846</v>
      </c>
      <c r="V25">
        <v>0</v>
      </c>
      <c r="W25" s="4">
        <v>770000</v>
      </c>
      <c r="X25" s="4">
        <v>39996</v>
      </c>
      <c r="Y25">
        <v>0</v>
      </c>
      <c r="Z25">
        <v>0</v>
      </c>
      <c r="AA25">
        <v>0</v>
      </c>
      <c r="AD25">
        <v>0</v>
      </c>
      <c r="AM25" t="s">
        <v>2847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2848</v>
      </c>
      <c r="BA25">
        <v>0</v>
      </c>
      <c r="BC25" t="s">
        <v>107</v>
      </c>
      <c r="BF25" t="s">
        <v>2849</v>
      </c>
    </row>
    <row r="26" spans="1:58" x14ac:dyDescent="0.35">
      <c r="A26" t="s">
        <v>3932</v>
      </c>
      <c r="B26">
        <v>10000</v>
      </c>
      <c r="C26">
        <v>10000</v>
      </c>
      <c r="D26" s="2">
        <v>45736</v>
      </c>
      <c r="E26" t="s">
        <v>61</v>
      </c>
      <c r="F26" t="s">
        <v>3933</v>
      </c>
      <c r="G26" t="s">
        <v>3934</v>
      </c>
      <c r="I26">
        <v>1</v>
      </c>
      <c r="J26" t="s">
        <v>63</v>
      </c>
      <c r="K26">
        <v>60</v>
      </c>
      <c r="L26" t="s">
        <v>277</v>
      </c>
      <c r="M26" s="4">
        <v>9152</v>
      </c>
      <c r="P26" s="2">
        <v>45734</v>
      </c>
      <c r="R26">
        <v>10</v>
      </c>
      <c r="S26" s="4">
        <v>91520</v>
      </c>
      <c r="T26" t="s">
        <v>65</v>
      </c>
      <c r="U26" t="s">
        <v>3935</v>
      </c>
      <c r="V26">
        <v>0</v>
      </c>
      <c r="W26" s="4">
        <v>91520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3936</v>
      </c>
      <c r="AN26" t="s">
        <v>321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3937</v>
      </c>
      <c r="BA26">
        <v>0</v>
      </c>
      <c r="BC26" t="s">
        <v>321</v>
      </c>
      <c r="BF26" t="s">
        <v>3938</v>
      </c>
    </row>
    <row r="27" spans="1:58" x14ac:dyDescent="0.35">
      <c r="A27" t="s">
        <v>3939</v>
      </c>
      <c r="B27">
        <v>10000</v>
      </c>
      <c r="C27">
        <v>10000</v>
      </c>
      <c r="D27" s="2">
        <v>45735</v>
      </c>
      <c r="E27" t="s">
        <v>61</v>
      </c>
      <c r="F27" s="3">
        <v>0.45092592592592595</v>
      </c>
      <c r="G27" t="s">
        <v>2069</v>
      </c>
      <c r="I27">
        <v>1</v>
      </c>
      <c r="J27" t="s">
        <v>63</v>
      </c>
      <c r="K27">
        <v>94</v>
      </c>
      <c r="L27" t="s">
        <v>181</v>
      </c>
      <c r="M27" s="4">
        <v>10000</v>
      </c>
      <c r="P27" s="2">
        <v>45734</v>
      </c>
      <c r="R27">
        <v>4</v>
      </c>
      <c r="S27" s="4">
        <v>40000</v>
      </c>
      <c r="T27" t="s">
        <v>65</v>
      </c>
      <c r="U27" t="s">
        <v>3859</v>
      </c>
      <c r="V27">
        <v>0</v>
      </c>
      <c r="W27" s="4">
        <v>40000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3860</v>
      </c>
      <c r="AN27" t="s">
        <v>364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3940</v>
      </c>
      <c r="BA27">
        <v>0</v>
      </c>
      <c r="BC27" t="s">
        <v>364</v>
      </c>
      <c r="BF27" t="s">
        <v>3941</v>
      </c>
    </row>
    <row r="28" spans="1:58" x14ac:dyDescent="0.35">
      <c r="A28" t="s">
        <v>1438</v>
      </c>
      <c r="B28">
        <v>10000</v>
      </c>
      <c r="C28">
        <v>30000</v>
      </c>
      <c r="D28" s="2">
        <v>45735</v>
      </c>
      <c r="E28" t="s">
        <v>95</v>
      </c>
      <c r="F28" t="s">
        <v>1439</v>
      </c>
      <c r="G28" t="s">
        <v>1364</v>
      </c>
      <c r="I28">
        <v>3</v>
      </c>
      <c r="J28" t="s">
        <v>63</v>
      </c>
      <c r="K28">
        <v>85</v>
      </c>
      <c r="L28" t="s">
        <v>327</v>
      </c>
      <c r="M28" s="4">
        <v>10000</v>
      </c>
      <c r="P28" s="2">
        <v>45734</v>
      </c>
      <c r="R28">
        <v>11</v>
      </c>
      <c r="S28" s="4">
        <v>110000</v>
      </c>
      <c r="T28" t="s">
        <v>65</v>
      </c>
      <c r="U28" t="s">
        <v>1440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1441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1442</v>
      </c>
      <c r="BA28">
        <v>0</v>
      </c>
      <c r="BC28" t="s">
        <v>107</v>
      </c>
      <c r="BF28" t="s">
        <v>1443</v>
      </c>
    </row>
    <row r="29" spans="1:58" x14ac:dyDescent="0.35">
      <c r="A29" t="s">
        <v>1516</v>
      </c>
      <c r="B29">
        <v>10000</v>
      </c>
      <c r="C29">
        <v>30000</v>
      </c>
      <c r="D29" s="2">
        <v>45735</v>
      </c>
      <c r="E29" t="s">
        <v>61</v>
      </c>
      <c r="F29" t="s">
        <v>2432</v>
      </c>
      <c r="G29" t="s">
        <v>1364</v>
      </c>
      <c r="I29">
        <v>3</v>
      </c>
      <c r="J29" t="s">
        <v>63</v>
      </c>
      <c r="K29">
        <v>85</v>
      </c>
      <c r="L29" t="s">
        <v>327</v>
      </c>
      <c r="M29" s="4">
        <v>20000</v>
      </c>
      <c r="P29" s="2">
        <v>45734</v>
      </c>
      <c r="R29">
        <v>11</v>
      </c>
      <c r="S29" s="4">
        <v>220000</v>
      </c>
      <c r="T29" t="s">
        <v>65</v>
      </c>
      <c r="U29" t="s">
        <v>1517</v>
      </c>
      <c r="V29">
        <v>0</v>
      </c>
      <c r="W29" s="4">
        <v>200000</v>
      </c>
      <c r="X29" s="4">
        <v>20000</v>
      </c>
      <c r="Y29">
        <v>0</v>
      </c>
      <c r="Z29">
        <v>0</v>
      </c>
      <c r="AA29">
        <v>0</v>
      </c>
      <c r="AD29">
        <v>0</v>
      </c>
      <c r="AM29" t="s">
        <v>1518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1519</v>
      </c>
      <c r="BA29">
        <v>0</v>
      </c>
      <c r="BC29" t="s">
        <v>107</v>
      </c>
      <c r="BF29" t="s">
        <v>1520</v>
      </c>
    </row>
    <row r="30" spans="1:58" x14ac:dyDescent="0.35">
      <c r="A30" t="s">
        <v>1525</v>
      </c>
      <c r="B30">
        <v>10000</v>
      </c>
      <c r="C30">
        <v>30000</v>
      </c>
      <c r="D30" s="2">
        <v>45735</v>
      </c>
      <c r="E30" t="s">
        <v>95</v>
      </c>
      <c r="F30" t="s">
        <v>1526</v>
      </c>
      <c r="G30" t="s">
        <v>1364</v>
      </c>
      <c r="I30">
        <v>3</v>
      </c>
      <c r="J30" t="s">
        <v>63</v>
      </c>
      <c r="K30">
        <v>85</v>
      </c>
      <c r="L30" t="s">
        <v>327</v>
      </c>
      <c r="M30" s="4">
        <v>10000</v>
      </c>
      <c r="P30" s="2">
        <v>45734</v>
      </c>
      <c r="R30">
        <v>11</v>
      </c>
      <c r="S30" s="4">
        <v>110000</v>
      </c>
      <c r="T30" t="s">
        <v>65</v>
      </c>
      <c r="U30" t="s">
        <v>1527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1528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1529</v>
      </c>
      <c r="BA30">
        <v>0</v>
      </c>
      <c r="BC30" t="s">
        <v>107</v>
      </c>
      <c r="BF30" t="s">
        <v>1530</v>
      </c>
    </row>
    <row r="31" spans="1:58" x14ac:dyDescent="0.35">
      <c r="A31" t="s">
        <v>1531</v>
      </c>
      <c r="B31">
        <v>10000</v>
      </c>
      <c r="C31">
        <v>30000</v>
      </c>
      <c r="D31" s="2">
        <v>45735</v>
      </c>
      <c r="E31" t="s">
        <v>61</v>
      </c>
      <c r="F31" t="s">
        <v>1532</v>
      </c>
      <c r="G31" t="s">
        <v>1364</v>
      </c>
      <c r="I31">
        <v>3</v>
      </c>
      <c r="J31" t="s">
        <v>63</v>
      </c>
      <c r="K31">
        <v>85</v>
      </c>
      <c r="L31" t="s">
        <v>327</v>
      </c>
      <c r="M31" s="4">
        <v>20000</v>
      </c>
      <c r="P31" s="2">
        <v>45734</v>
      </c>
      <c r="R31">
        <v>11</v>
      </c>
      <c r="S31" s="4">
        <v>220000</v>
      </c>
      <c r="T31" t="s">
        <v>65</v>
      </c>
      <c r="U31" t="s">
        <v>1381</v>
      </c>
      <c r="V31">
        <v>0</v>
      </c>
      <c r="W31" s="4">
        <v>200000</v>
      </c>
      <c r="X31" s="4">
        <v>20000</v>
      </c>
      <c r="Y31">
        <v>0</v>
      </c>
      <c r="Z31">
        <v>0</v>
      </c>
      <c r="AA31">
        <v>0</v>
      </c>
      <c r="AD31">
        <v>0</v>
      </c>
      <c r="AM31" t="s">
        <v>1382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1533</v>
      </c>
      <c r="BA31">
        <v>0</v>
      </c>
      <c r="BC31" t="s">
        <v>107</v>
      </c>
      <c r="BF31" t="s">
        <v>1534</v>
      </c>
    </row>
    <row r="32" spans="1:58" x14ac:dyDescent="0.35">
      <c r="A32" t="s">
        <v>1535</v>
      </c>
      <c r="B32">
        <v>10000</v>
      </c>
      <c r="C32">
        <v>30000</v>
      </c>
      <c r="D32" s="2">
        <v>45735</v>
      </c>
      <c r="E32" t="s">
        <v>95</v>
      </c>
      <c r="F32" t="s">
        <v>1439</v>
      </c>
      <c r="G32" t="s">
        <v>1364</v>
      </c>
      <c r="I32">
        <v>3</v>
      </c>
      <c r="J32" t="s">
        <v>63</v>
      </c>
      <c r="K32">
        <v>85</v>
      </c>
      <c r="L32" t="s">
        <v>327</v>
      </c>
      <c r="M32" s="4">
        <v>20000</v>
      </c>
      <c r="P32" s="2">
        <v>45734</v>
      </c>
      <c r="R32">
        <v>11</v>
      </c>
      <c r="S32" s="4">
        <v>220000</v>
      </c>
      <c r="T32" t="s">
        <v>65</v>
      </c>
      <c r="U32" t="s">
        <v>1440</v>
      </c>
      <c r="V32">
        <v>0</v>
      </c>
      <c r="W32" s="4">
        <v>200000</v>
      </c>
      <c r="X32" s="4">
        <v>20000</v>
      </c>
      <c r="Y32">
        <v>0</v>
      </c>
      <c r="Z32">
        <v>0</v>
      </c>
      <c r="AA32">
        <v>0</v>
      </c>
      <c r="AD32">
        <v>0</v>
      </c>
      <c r="AM32" t="s">
        <v>1441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1536</v>
      </c>
      <c r="BA32">
        <v>0</v>
      </c>
      <c r="BC32" t="s">
        <v>107</v>
      </c>
      <c r="BF32" t="s">
        <v>1537</v>
      </c>
    </row>
    <row r="33" spans="1:58" x14ac:dyDescent="0.35">
      <c r="A33" t="s">
        <v>3942</v>
      </c>
      <c r="B33">
        <v>10000</v>
      </c>
      <c r="C33">
        <v>10000</v>
      </c>
      <c r="D33" s="2">
        <v>45735</v>
      </c>
      <c r="E33" t="s">
        <v>61</v>
      </c>
      <c r="F33" t="s">
        <v>3943</v>
      </c>
      <c r="G33" t="s">
        <v>3944</v>
      </c>
      <c r="I33">
        <v>1</v>
      </c>
      <c r="J33" t="s">
        <v>63</v>
      </c>
      <c r="K33">
        <v>65</v>
      </c>
      <c r="L33" t="s">
        <v>268</v>
      </c>
      <c r="M33" s="4">
        <v>1667</v>
      </c>
      <c r="P33" s="2">
        <v>45734</v>
      </c>
      <c r="R33">
        <v>30</v>
      </c>
      <c r="S33" s="4">
        <v>50010</v>
      </c>
      <c r="T33" t="s">
        <v>65</v>
      </c>
      <c r="U33" t="s">
        <v>3945</v>
      </c>
      <c r="V33">
        <v>0</v>
      </c>
      <c r="W33" s="4">
        <v>50000</v>
      </c>
      <c r="X33">
        <v>10</v>
      </c>
      <c r="Y33">
        <v>0</v>
      </c>
      <c r="Z33">
        <v>0</v>
      </c>
      <c r="AA33">
        <v>0</v>
      </c>
      <c r="AD33">
        <v>0</v>
      </c>
      <c r="AM33" t="s">
        <v>3946</v>
      </c>
      <c r="AN33" t="s">
        <v>116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3947</v>
      </c>
      <c r="BA33">
        <v>0</v>
      </c>
      <c r="BC33" t="s">
        <v>116</v>
      </c>
      <c r="BF33" t="s">
        <v>3098</v>
      </c>
    </row>
    <row r="34" spans="1:58" x14ac:dyDescent="0.35">
      <c r="A34" t="s">
        <v>3948</v>
      </c>
      <c r="B34">
        <v>10000</v>
      </c>
      <c r="C34">
        <v>10000</v>
      </c>
      <c r="D34" s="2">
        <v>45735</v>
      </c>
      <c r="E34" t="s">
        <v>61</v>
      </c>
      <c r="F34" t="s">
        <v>3943</v>
      </c>
      <c r="G34" t="s">
        <v>3944</v>
      </c>
      <c r="I34">
        <v>1</v>
      </c>
      <c r="J34" t="s">
        <v>63</v>
      </c>
      <c r="K34">
        <v>65</v>
      </c>
      <c r="L34" t="s">
        <v>268</v>
      </c>
      <c r="M34" s="4">
        <v>1667</v>
      </c>
      <c r="P34" s="2">
        <v>45734</v>
      </c>
      <c r="R34">
        <v>30</v>
      </c>
      <c r="S34" s="4">
        <v>50010</v>
      </c>
      <c r="T34" t="s">
        <v>65</v>
      </c>
      <c r="U34" t="s">
        <v>3945</v>
      </c>
      <c r="V34">
        <v>0</v>
      </c>
      <c r="W34" s="4">
        <v>50000</v>
      </c>
      <c r="X34">
        <v>10</v>
      </c>
      <c r="Y34">
        <v>0</v>
      </c>
      <c r="Z34">
        <v>0</v>
      </c>
      <c r="AA34">
        <v>0</v>
      </c>
      <c r="AD34">
        <v>0</v>
      </c>
      <c r="AM34" t="s">
        <v>3946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3949</v>
      </c>
      <c r="BA34">
        <v>0</v>
      </c>
      <c r="BC34" t="s">
        <v>116</v>
      </c>
      <c r="BF34" t="s">
        <v>3101</v>
      </c>
    </row>
    <row r="35" spans="1:58" x14ac:dyDescent="0.35">
      <c r="A35" t="s">
        <v>3950</v>
      </c>
      <c r="B35">
        <v>10000</v>
      </c>
      <c r="C35">
        <v>10000</v>
      </c>
      <c r="D35" s="2">
        <v>45735</v>
      </c>
      <c r="E35" t="s">
        <v>61</v>
      </c>
      <c r="F35" t="s">
        <v>3951</v>
      </c>
      <c r="G35" t="s">
        <v>3952</v>
      </c>
      <c r="I35">
        <v>1</v>
      </c>
      <c r="J35" t="s">
        <v>63</v>
      </c>
      <c r="K35">
        <v>63</v>
      </c>
      <c r="L35" t="s">
        <v>519</v>
      </c>
      <c r="M35" s="4">
        <v>6000</v>
      </c>
      <c r="P35" s="2">
        <v>45734</v>
      </c>
      <c r="R35">
        <v>90</v>
      </c>
      <c r="S35" s="4">
        <v>540000</v>
      </c>
      <c r="T35" t="s">
        <v>65</v>
      </c>
      <c r="U35" t="s">
        <v>3953</v>
      </c>
      <c r="V35">
        <v>0</v>
      </c>
      <c r="W35" s="4">
        <v>540000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3954</v>
      </c>
      <c r="AN35" t="s">
        <v>1672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3955</v>
      </c>
      <c r="BA35">
        <v>0</v>
      </c>
      <c r="BC35" t="s">
        <v>1672</v>
      </c>
      <c r="BF35" t="s">
        <v>1674</v>
      </c>
    </row>
    <row r="36" spans="1:58" x14ac:dyDescent="0.35">
      <c r="A36" t="s">
        <v>3956</v>
      </c>
      <c r="B36">
        <v>10000</v>
      </c>
      <c r="C36">
        <v>10000</v>
      </c>
      <c r="D36" s="2">
        <v>45735</v>
      </c>
      <c r="E36" t="s">
        <v>61</v>
      </c>
      <c r="F36" t="s">
        <v>3951</v>
      </c>
      <c r="G36" t="s">
        <v>3957</v>
      </c>
      <c r="I36">
        <v>1</v>
      </c>
      <c r="J36" t="s">
        <v>63</v>
      </c>
      <c r="K36">
        <v>63</v>
      </c>
      <c r="L36" t="s">
        <v>519</v>
      </c>
      <c r="M36" s="4">
        <v>2275</v>
      </c>
      <c r="P36" s="2">
        <v>45734</v>
      </c>
      <c r="R36">
        <v>40</v>
      </c>
      <c r="S36" s="4">
        <v>91000</v>
      </c>
      <c r="T36" t="s">
        <v>65</v>
      </c>
      <c r="U36" t="s">
        <v>3958</v>
      </c>
      <c r="V36">
        <v>0</v>
      </c>
      <c r="W36" s="4">
        <v>91000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3959</v>
      </c>
      <c r="AN36" t="s">
        <v>1672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3960</v>
      </c>
      <c r="BA36">
        <v>0</v>
      </c>
      <c r="BC36" t="s">
        <v>1672</v>
      </c>
      <c r="BF36" t="s">
        <v>1674</v>
      </c>
    </row>
    <row r="37" spans="1:58" x14ac:dyDescent="0.35">
      <c r="A37" t="s">
        <v>2649</v>
      </c>
      <c r="B37">
        <v>10000</v>
      </c>
      <c r="C37">
        <v>20000</v>
      </c>
      <c r="D37" s="2">
        <v>45735</v>
      </c>
      <c r="E37" t="s">
        <v>61</v>
      </c>
      <c r="F37" s="3">
        <v>0.45159722222222221</v>
      </c>
      <c r="G37" t="s">
        <v>2650</v>
      </c>
      <c r="I37">
        <v>2</v>
      </c>
      <c r="J37" t="s">
        <v>63</v>
      </c>
      <c r="K37">
        <v>105</v>
      </c>
      <c r="L37" t="s">
        <v>424</v>
      </c>
      <c r="M37" s="4">
        <v>2000</v>
      </c>
      <c r="P37" s="2">
        <v>45734</v>
      </c>
      <c r="R37">
        <v>1</v>
      </c>
      <c r="S37" s="4">
        <v>2000</v>
      </c>
      <c r="T37" t="s">
        <v>65</v>
      </c>
      <c r="U37" t="s">
        <v>2651</v>
      </c>
      <c r="V37">
        <v>0</v>
      </c>
      <c r="W37" s="4">
        <v>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2652</v>
      </c>
      <c r="AN37" t="s">
        <v>2653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2654</v>
      </c>
      <c r="BA37">
        <v>0</v>
      </c>
      <c r="BC37" t="s">
        <v>2653</v>
      </c>
      <c r="BF37" t="s">
        <v>2655</v>
      </c>
    </row>
    <row r="38" spans="1:58" x14ac:dyDescent="0.35">
      <c r="A38" t="s">
        <v>3961</v>
      </c>
      <c r="B38">
        <v>10000</v>
      </c>
      <c r="C38">
        <v>20000</v>
      </c>
      <c r="D38" s="2">
        <v>45736</v>
      </c>
      <c r="E38" t="s">
        <v>61</v>
      </c>
      <c r="F38" s="3">
        <v>0.54109953703703706</v>
      </c>
      <c r="G38">
        <v>8628207</v>
      </c>
      <c r="I38">
        <v>1</v>
      </c>
      <c r="J38" t="s">
        <v>63</v>
      </c>
      <c r="K38">
        <v>63</v>
      </c>
      <c r="L38" t="s">
        <v>519</v>
      </c>
      <c r="M38" s="4">
        <v>8572</v>
      </c>
      <c r="P38" s="2">
        <v>45734</v>
      </c>
      <c r="R38">
        <v>14</v>
      </c>
      <c r="S38" s="4">
        <v>120008</v>
      </c>
      <c r="T38" t="s">
        <v>65</v>
      </c>
      <c r="U38" t="s">
        <v>3962</v>
      </c>
      <c r="V38">
        <v>0</v>
      </c>
      <c r="W38" s="4">
        <v>120000</v>
      </c>
      <c r="X38">
        <v>8</v>
      </c>
      <c r="Y38">
        <v>0</v>
      </c>
      <c r="Z38">
        <v>0</v>
      </c>
      <c r="AA38">
        <v>0</v>
      </c>
      <c r="AD38">
        <v>0</v>
      </c>
      <c r="AM38" t="s">
        <v>3963</v>
      </c>
      <c r="AN38" t="s">
        <v>157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3964</v>
      </c>
      <c r="BA38">
        <v>0</v>
      </c>
      <c r="BC38" t="s">
        <v>157</v>
      </c>
      <c r="BF38" t="s">
        <v>3965</v>
      </c>
    </row>
    <row r="39" spans="1:58" x14ac:dyDescent="0.35">
      <c r="A39" t="s">
        <v>3966</v>
      </c>
      <c r="B39">
        <v>10000</v>
      </c>
      <c r="C39">
        <v>10000</v>
      </c>
      <c r="D39" s="2">
        <v>45736</v>
      </c>
      <c r="E39" t="s">
        <v>61</v>
      </c>
      <c r="F39" t="s">
        <v>3967</v>
      </c>
      <c r="G39" t="s">
        <v>3968</v>
      </c>
      <c r="I39">
        <v>1</v>
      </c>
      <c r="J39" t="s">
        <v>63</v>
      </c>
      <c r="K39">
        <v>78</v>
      </c>
      <c r="L39" t="s">
        <v>188</v>
      </c>
      <c r="M39" s="4">
        <v>1000</v>
      </c>
      <c r="P39" s="2">
        <v>45734</v>
      </c>
      <c r="R39">
        <v>2</v>
      </c>
      <c r="S39" s="4">
        <v>2000</v>
      </c>
      <c r="T39" t="s">
        <v>65</v>
      </c>
      <c r="U39" t="s">
        <v>3969</v>
      </c>
      <c r="V39">
        <v>0</v>
      </c>
      <c r="W39">
        <v>400</v>
      </c>
      <c r="X39" s="4">
        <v>1600</v>
      </c>
      <c r="Y39">
        <v>0</v>
      </c>
      <c r="Z39">
        <v>0</v>
      </c>
      <c r="AA39">
        <v>0</v>
      </c>
      <c r="AD39">
        <v>0</v>
      </c>
      <c r="AM39" t="s">
        <v>3970</v>
      </c>
      <c r="AN39" t="s">
        <v>508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3971</v>
      </c>
      <c r="BA39">
        <v>0</v>
      </c>
      <c r="BC39" t="s">
        <v>508</v>
      </c>
      <c r="BF39" t="s">
        <v>2990</v>
      </c>
    </row>
    <row r="40" spans="1:58" x14ac:dyDescent="0.35">
      <c r="A40" t="s">
        <v>3972</v>
      </c>
      <c r="B40">
        <v>10000</v>
      </c>
      <c r="C40">
        <v>10000</v>
      </c>
      <c r="D40" s="2">
        <v>45735</v>
      </c>
      <c r="E40" t="s">
        <v>61</v>
      </c>
      <c r="F40" t="s">
        <v>3973</v>
      </c>
      <c r="G40" t="s">
        <v>3974</v>
      </c>
      <c r="I40">
        <v>1</v>
      </c>
      <c r="J40" t="s">
        <v>63</v>
      </c>
      <c r="K40">
        <v>61</v>
      </c>
      <c r="L40" t="s">
        <v>216</v>
      </c>
      <c r="M40" s="4">
        <v>1000</v>
      </c>
      <c r="P40" s="2">
        <v>45734</v>
      </c>
      <c r="R40">
        <v>1</v>
      </c>
      <c r="S40" s="4">
        <v>1000</v>
      </c>
      <c r="T40" t="s">
        <v>65</v>
      </c>
      <c r="U40" t="s">
        <v>3975</v>
      </c>
      <c r="V40">
        <v>0</v>
      </c>
      <c r="W40" s="4">
        <v>1000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3976</v>
      </c>
      <c r="AN40" t="s">
        <v>508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3977</v>
      </c>
      <c r="BA40">
        <v>0</v>
      </c>
      <c r="BC40" t="s">
        <v>508</v>
      </c>
      <c r="BF40" t="s">
        <v>2990</v>
      </c>
    </row>
    <row r="41" spans="1:58" x14ac:dyDescent="0.35">
      <c r="A41" t="s">
        <v>3978</v>
      </c>
      <c r="B41">
        <v>10000</v>
      </c>
      <c r="C41">
        <v>10000</v>
      </c>
      <c r="D41" s="2">
        <v>45735</v>
      </c>
      <c r="E41" t="s">
        <v>95</v>
      </c>
      <c r="F41" t="s">
        <v>3979</v>
      </c>
      <c r="G41" t="s">
        <v>3980</v>
      </c>
      <c r="I41">
        <v>1</v>
      </c>
      <c r="J41" t="s">
        <v>63</v>
      </c>
      <c r="K41">
        <v>46</v>
      </c>
      <c r="L41" t="s">
        <v>113</v>
      </c>
      <c r="M41" s="4">
        <v>1000</v>
      </c>
      <c r="P41" s="2">
        <v>45734</v>
      </c>
      <c r="R41">
        <v>1</v>
      </c>
      <c r="S41" s="4">
        <v>1000</v>
      </c>
      <c r="T41" t="s">
        <v>65</v>
      </c>
      <c r="U41" t="s">
        <v>3981</v>
      </c>
      <c r="V41">
        <v>0</v>
      </c>
      <c r="W41" s="4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3982</v>
      </c>
      <c r="AN41" t="s">
        <v>116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3983</v>
      </c>
      <c r="BA41">
        <v>0</v>
      </c>
      <c r="BC41" t="s">
        <v>116</v>
      </c>
      <c r="BF41" t="s">
        <v>3281</v>
      </c>
    </row>
    <row r="42" spans="1:58" x14ac:dyDescent="0.35">
      <c r="A42" t="s">
        <v>3984</v>
      </c>
      <c r="B42">
        <v>10000</v>
      </c>
      <c r="C42">
        <v>10000</v>
      </c>
      <c r="D42" s="2">
        <v>45734</v>
      </c>
      <c r="E42" t="s">
        <v>61</v>
      </c>
      <c r="F42" t="s">
        <v>3985</v>
      </c>
      <c r="G42" t="s">
        <v>3277</v>
      </c>
      <c r="I42">
        <v>1</v>
      </c>
      <c r="J42" t="s">
        <v>63</v>
      </c>
      <c r="K42">
        <v>46</v>
      </c>
      <c r="L42" t="s">
        <v>113</v>
      </c>
      <c r="M42" s="4">
        <v>2000</v>
      </c>
      <c r="P42" s="2">
        <v>45734</v>
      </c>
      <c r="R42">
        <v>1</v>
      </c>
      <c r="S42" s="4">
        <v>2000</v>
      </c>
      <c r="T42" t="s">
        <v>65</v>
      </c>
      <c r="U42" t="s">
        <v>3986</v>
      </c>
      <c r="V42">
        <v>0</v>
      </c>
      <c r="W42" s="4">
        <v>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3987</v>
      </c>
      <c r="AN42" t="s">
        <v>116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3988</v>
      </c>
      <c r="BA42">
        <v>0</v>
      </c>
      <c r="BC42" t="s">
        <v>116</v>
      </c>
      <c r="BF42" t="s">
        <v>3281</v>
      </c>
    </row>
    <row r="43" spans="1:58" x14ac:dyDescent="0.35">
      <c r="A43" t="s">
        <v>3989</v>
      </c>
      <c r="B43">
        <v>10000</v>
      </c>
      <c r="C43">
        <v>10000</v>
      </c>
      <c r="D43" s="2">
        <v>45735</v>
      </c>
      <c r="E43" t="s">
        <v>95</v>
      </c>
      <c r="F43" t="s">
        <v>3943</v>
      </c>
      <c r="G43" t="s">
        <v>3990</v>
      </c>
      <c r="I43">
        <v>1</v>
      </c>
      <c r="J43" t="s">
        <v>63</v>
      </c>
      <c r="K43">
        <v>32</v>
      </c>
      <c r="L43" t="s">
        <v>553</v>
      </c>
      <c r="M43" s="4">
        <v>5860</v>
      </c>
      <c r="P43" s="2">
        <v>45734</v>
      </c>
      <c r="R43">
        <v>1</v>
      </c>
      <c r="S43" s="4">
        <v>5860</v>
      </c>
      <c r="T43" t="s">
        <v>65</v>
      </c>
      <c r="U43" t="s">
        <v>554</v>
      </c>
      <c r="V43">
        <v>0</v>
      </c>
      <c r="W43" s="4">
        <v>5360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555</v>
      </c>
      <c r="AN43" t="s">
        <v>116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3991</v>
      </c>
      <c r="BA43">
        <v>0</v>
      </c>
      <c r="BC43" t="s">
        <v>116</v>
      </c>
      <c r="BF43" t="s">
        <v>2762</v>
      </c>
    </row>
    <row r="44" spans="1:58" x14ac:dyDescent="0.35">
      <c r="A44" t="s">
        <v>3992</v>
      </c>
      <c r="B44">
        <v>10000</v>
      </c>
      <c r="C44">
        <v>10000</v>
      </c>
      <c r="D44" s="2">
        <v>45735</v>
      </c>
      <c r="E44" t="s">
        <v>95</v>
      </c>
      <c r="F44" t="s">
        <v>3943</v>
      </c>
      <c r="G44" t="s">
        <v>3990</v>
      </c>
      <c r="I44">
        <v>1</v>
      </c>
      <c r="J44" t="s">
        <v>63</v>
      </c>
      <c r="K44">
        <v>32</v>
      </c>
      <c r="L44" t="s">
        <v>553</v>
      </c>
      <c r="M44" s="4">
        <v>5860</v>
      </c>
      <c r="P44" s="2">
        <v>45734</v>
      </c>
      <c r="R44">
        <v>1</v>
      </c>
      <c r="S44" s="4">
        <v>5860</v>
      </c>
      <c r="T44" t="s">
        <v>65</v>
      </c>
      <c r="U44" t="s">
        <v>554</v>
      </c>
      <c r="V44">
        <v>0</v>
      </c>
      <c r="W44" s="4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555</v>
      </c>
      <c r="AN44" t="s">
        <v>116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3993</v>
      </c>
      <c r="BA44">
        <v>0</v>
      </c>
      <c r="BC44" t="s">
        <v>116</v>
      </c>
      <c r="BF44" t="s">
        <v>3994</v>
      </c>
    </row>
    <row r="45" spans="1:58" x14ac:dyDescent="0.35">
      <c r="A45" t="s">
        <v>3995</v>
      </c>
      <c r="B45">
        <v>10000</v>
      </c>
      <c r="C45">
        <v>10000</v>
      </c>
      <c r="D45" s="2">
        <v>45736</v>
      </c>
      <c r="E45" t="s">
        <v>61</v>
      </c>
      <c r="F45" t="s">
        <v>3996</v>
      </c>
      <c r="G45" t="s">
        <v>3990</v>
      </c>
      <c r="I45">
        <v>1</v>
      </c>
      <c r="J45" t="s">
        <v>63</v>
      </c>
      <c r="K45">
        <v>32</v>
      </c>
      <c r="L45" t="s">
        <v>553</v>
      </c>
      <c r="M45" s="4">
        <v>5860</v>
      </c>
      <c r="P45" s="2">
        <v>45734</v>
      </c>
      <c r="R45">
        <v>1</v>
      </c>
      <c r="S45" s="4">
        <v>5860</v>
      </c>
      <c r="T45" t="s">
        <v>65</v>
      </c>
      <c r="U45" t="s">
        <v>554</v>
      </c>
      <c r="V45">
        <v>0</v>
      </c>
      <c r="W45" s="4">
        <v>5360</v>
      </c>
      <c r="X45">
        <v>500</v>
      </c>
      <c r="Y45">
        <v>0</v>
      </c>
      <c r="Z45">
        <v>0</v>
      </c>
      <c r="AA45">
        <v>0</v>
      </c>
      <c r="AD45">
        <v>0</v>
      </c>
      <c r="AM45" t="s">
        <v>555</v>
      </c>
      <c r="AN45" t="s">
        <v>116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3997</v>
      </c>
      <c r="BA45">
        <v>0</v>
      </c>
      <c r="BC45" t="s">
        <v>116</v>
      </c>
      <c r="BF45" t="s">
        <v>3998</v>
      </c>
    </row>
    <row r="46" spans="1:58" x14ac:dyDescent="0.35">
      <c r="A46" t="s">
        <v>3999</v>
      </c>
      <c r="B46">
        <v>10000</v>
      </c>
      <c r="C46">
        <v>10000</v>
      </c>
      <c r="D46" s="2">
        <v>45734</v>
      </c>
      <c r="E46" t="s">
        <v>61</v>
      </c>
      <c r="F46" t="s">
        <v>4000</v>
      </c>
      <c r="G46" t="s">
        <v>2222</v>
      </c>
      <c r="I46">
        <v>1</v>
      </c>
      <c r="J46" t="s">
        <v>63</v>
      </c>
      <c r="K46">
        <v>61</v>
      </c>
      <c r="L46" t="s">
        <v>197</v>
      </c>
      <c r="M46" s="4">
        <v>3334</v>
      </c>
      <c r="P46" s="2">
        <v>45734</v>
      </c>
      <c r="R46">
        <v>6</v>
      </c>
      <c r="S46" s="4">
        <v>20004</v>
      </c>
      <c r="T46" t="s">
        <v>65</v>
      </c>
      <c r="U46" t="s">
        <v>2422</v>
      </c>
      <c r="V46">
        <v>0</v>
      </c>
      <c r="W46" s="4">
        <v>20000</v>
      </c>
      <c r="X46">
        <v>4</v>
      </c>
      <c r="Y46">
        <v>0</v>
      </c>
      <c r="Z46">
        <v>0</v>
      </c>
      <c r="AA46">
        <v>0</v>
      </c>
      <c r="AD46">
        <v>0</v>
      </c>
      <c r="AM46" t="s">
        <v>2423</v>
      </c>
      <c r="AN46" t="s">
        <v>116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4001</v>
      </c>
      <c r="BA46">
        <v>0</v>
      </c>
      <c r="BC46" t="s">
        <v>116</v>
      </c>
      <c r="BF46" t="s">
        <v>3813</v>
      </c>
    </row>
    <row r="47" spans="1:58" x14ac:dyDescent="0.35">
      <c r="A47" t="s">
        <v>4002</v>
      </c>
      <c r="B47">
        <v>10000</v>
      </c>
      <c r="C47">
        <v>10000</v>
      </c>
      <c r="D47" s="2">
        <v>45735</v>
      </c>
      <c r="E47" t="s">
        <v>95</v>
      </c>
      <c r="F47" t="s">
        <v>2206</v>
      </c>
      <c r="G47" t="s">
        <v>2412</v>
      </c>
      <c r="I47">
        <v>1</v>
      </c>
      <c r="J47" t="s">
        <v>63</v>
      </c>
      <c r="K47">
        <v>12</v>
      </c>
      <c r="L47" t="s">
        <v>478</v>
      </c>
      <c r="M47" s="4">
        <v>10000</v>
      </c>
      <c r="P47" s="2">
        <v>45734</v>
      </c>
      <c r="R47">
        <v>2</v>
      </c>
      <c r="S47" s="4">
        <v>20000</v>
      </c>
      <c r="T47" t="s">
        <v>65</v>
      </c>
      <c r="U47" t="s">
        <v>2232</v>
      </c>
      <c r="V47">
        <v>0</v>
      </c>
      <c r="W47" s="4">
        <v>20000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2233</v>
      </c>
      <c r="AN47" t="s">
        <v>116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4003</v>
      </c>
      <c r="BA47">
        <v>0</v>
      </c>
      <c r="BC47" t="s">
        <v>116</v>
      </c>
      <c r="BF47" t="s">
        <v>3813</v>
      </c>
    </row>
    <row r="48" spans="1:58" x14ac:dyDescent="0.35">
      <c r="A48" t="s">
        <v>4004</v>
      </c>
      <c r="B48">
        <v>10000</v>
      </c>
      <c r="C48">
        <v>10000</v>
      </c>
      <c r="D48" s="2">
        <v>45734</v>
      </c>
      <c r="E48" t="s">
        <v>61</v>
      </c>
      <c r="F48" t="s">
        <v>4005</v>
      </c>
      <c r="G48" t="s">
        <v>2412</v>
      </c>
      <c r="I48">
        <v>1</v>
      </c>
      <c r="J48" t="s">
        <v>63</v>
      </c>
      <c r="K48">
        <v>12</v>
      </c>
      <c r="L48" t="s">
        <v>478</v>
      </c>
      <c r="M48" s="4">
        <v>6500</v>
      </c>
      <c r="P48" s="2">
        <v>45734</v>
      </c>
      <c r="R48">
        <v>2</v>
      </c>
      <c r="S48" s="4">
        <v>13000</v>
      </c>
      <c r="T48" t="s">
        <v>65</v>
      </c>
      <c r="U48" t="s">
        <v>2118</v>
      </c>
      <c r="V48">
        <v>0</v>
      </c>
      <c r="W48" s="4">
        <v>13000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2119</v>
      </c>
      <c r="AN48" t="s">
        <v>116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4006</v>
      </c>
      <c r="BA48">
        <v>0</v>
      </c>
      <c r="BC48" t="s">
        <v>116</v>
      </c>
      <c r="BF48" t="s">
        <v>3073</v>
      </c>
    </row>
    <row r="49" spans="1:58" x14ac:dyDescent="0.35">
      <c r="A49" t="s">
        <v>4007</v>
      </c>
      <c r="B49">
        <v>10000</v>
      </c>
      <c r="C49">
        <v>10000</v>
      </c>
      <c r="D49" s="2">
        <v>45735</v>
      </c>
      <c r="E49" t="s">
        <v>61</v>
      </c>
      <c r="F49" t="s">
        <v>4008</v>
      </c>
      <c r="G49" t="s">
        <v>4009</v>
      </c>
      <c r="I49">
        <v>1</v>
      </c>
      <c r="J49" t="s">
        <v>63</v>
      </c>
      <c r="K49">
        <v>61</v>
      </c>
      <c r="L49" t="s">
        <v>197</v>
      </c>
      <c r="M49" s="4">
        <v>3000</v>
      </c>
      <c r="P49" s="2">
        <v>45734</v>
      </c>
      <c r="R49">
        <v>6</v>
      </c>
      <c r="S49" s="4">
        <v>18000</v>
      </c>
      <c r="T49" t="s">
        <v>65</v>
      </c>
      <c r="U49" t="s">
        <v>4010</v>
      </c>
      <c r="V49">
        <v>0</v>
      </c>
      <c r="W49" s="4">
        <v>18000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4011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4012</v>
      </c>
      <c r="BA49">
        <v>0</v>
      </c>
      <c r="BC49" t="s">
        <v>116</v>
      </c>
      <c r="BF49" t="s">
        <v>3073</v>
      </c>
    </row>
    <row r="50" spans="1:58" x14ac:dyDescent="0.35">
      <c r="A50" t="s">
        <v>4013</v>
      </c>
      <c r="B50">
        <v>10000</v>
      </c>
      <c r="C50">
        <v>10000</v>
      </c>
      <c r="D50" s="2">
        <v>45734</v>
      </c>
      <c r="E50" t="s">
        <v>61</v>
      </c>
      <c r="F50" t="s">
        <v>3842</v>
      </c>
      <c r="G50" t="s">
        <v>2754</v>
      </c>
      <c r="I50">
        <v>1</v>
      </c>
      <c r="J50" t="s">
        <v>63</v>
      </c>
      <c r="K50">
        <v>65</v>
      </c>
      <c r="L50" t="s">
        <v>268</v>
      </c>
      <c r="M50" s="4">
        <v>1875</v>
      </c>
      <c r="P50" s="2">
        <v>45734</v>
      </c>
      <c r="R50">
        <v>32</v>
      </c>
      <c r="S50" s="4">
        <v>60000</v>
      </c>
      <c r="T50" t="s">
        <v>65</v>
      </c>
      <c r="U50" t="s">
        <v>4014</v>
      </c>
      <c r="V50">
        <v>0</v>
      </c>
      <c r="W50" s="4">
        <v>60000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4015</v>
      </c>
      <c r="AN50" t="s">
        <v>206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4016</v>
      </c>
      <c r="BA50">
        <v>0</v>
      </c>
      <c r="BC50" t="s">
        <v>206</v>
      </c>
      <c r="BF50" t="s">
        <v>4017</v>
      </c>
    </row>
    <row r="51" spans="1:58" x14ac:dyDescent="0.35">
      <c r="A51" t="s">
        <v>4018</v>
      </c>
      <c r="B51">
        <v>10000</v>
      </c>
      <c r="C51">
        <v>10000</v>
      </c>
      <c r="D51" s="2">
        <v>45735</v>
      </c>
      <c r="E51" t="s">
        <v>61</v>
      </c>
      <c r="F51" t="s">
        <v>4019</v>
      </c>
      <c r="G51" t="s">
        <v>4020</v>
      </c>
      <c r="I51">
        <v>1</v>
      </c>
      <c r="J51" t="s">
        <v>63</v>
      </c>
      <c r="K51">
        <v>22</v>
      </c>
      <c r="L51" t="s">
        <v>466</v>
      </c>
      <c r="M51" s="4">
        <v>15000</v>
      </c>
      <c r="P51" s="2">
        <v>45734</v>
      </c>
      <c r="R51">
        <v>2</v>
      </c>
      <c r="S51" s="4">
        <v>30000</v>
      </c>
      <c r="T51" t="s">
        <v>65</v>
      </c>
      <c r="U51" t="s">
        <v>2902</v>
      </c>
      <c r="V51">
        <v>0</v>
      </c>
      <c r="W51" s="4">
        <v>30000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2903</v>
      </c>
      <c r="AN51" t="s">
        <v>116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4021</v>
      </c>
      <c r="BA51">
        <v>0</v>
      </c>
      <c r="BC51" t="s">
        <v>116</v>
      </c>
      <c r="BF51" t="s">
        <v>3327</v>
      </c>
    </row>
    <row r="52" spans="1:58" x14ac:dyDescent="0.35">
      <c r="A52" t="s">
        <v>4022</v>
      </c>
      <c r="B52">
        <v>10000</v>
      </c>
      <c r="C52">
        <v>10000</v>
      </c>
      <c r="D52" s="2">
        <v>45735</v>
      </c>
      <c r="E52" t="s">
        <v>61</v>
      </c>
      <c r="F52" t="s">
        <v>4008</v>
      </c>
      <c r="G52" t="s">
        <v>2412</v>
      </c>
      <c r="I52">
        <v>1</v>
      </c>
      <c r="J52" t="s">
        <v>63</v>
      </c>
      <c r="K52">
        <v>61</v>
      </c>
      <c r="L52" t="s">
        <v>197</v>
      </c>
      <c r="M52" s="4">
        <v>2667</v>
      </c>
      <c r="P52" s="2">
        <v>45734</v>
      </c>
      <c r="R52">
        <v>6</v>
      </c>
      <c r="S52" s="4">
        <v>16002</v>
      </c>
      <c r="T52" t="s">
        <v>65</v>
      </c>
      <c r="U52" t="s">
        <v>4010</v>
      </c>
      <c r="V52">
        <v>0</v>
      </c>
      <c r="W52" s="4">
        <v>16000</v>
      </c>
      <c r="X52">
        <v>2</v>
      </c>
      <c r="Y52">
        <v>0</v>
      </c>
      <c r="Z52">
        <v>0</v>
      </c>
      <c r="AA52">
        <v>0</v>
      </c>
      <c r="AD52">
        <v>0</v>
      </c>
      <c r="AM52" t="s">
        <v>4011</v>
      </c>
      <c r="AN52" t="s">
        <v>116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4023</v>
      </c>
      <c r="BA52">
        <v>0</v>
      </c>
      <c r="BC52" t="s">
        <v>116</v>
      </c>
      <c r="BF52" t="s">
        <v>3532</v>
      </c>
    </row>
    <row r="53" spans="1:58" x14ac:dyDescent="0.35">
      <c r="A53" t="s">
        <v>4024</v>
      </c>
      <c r="B53">
        <v>10000</v>
      </c>
      <c r="C53">
        <v>10000</v>
      </c>
      <c r="D53" s="2">
        <v>45735</v>
      </c>
      <c r="E53" t="s">
        <v>61</v>
      </c>
      <c r="F53" t="s">
        <v>4025</v>
      </c>
      <c r="G53" t="s">
        <v>4026</v>
      </c>
      <c r="I53">
        <v>1</v>
      </c>
      <c r="J53" t="s">
        <v>63</v>
      </c>
      <c r="K53">
        <v>31</v>
      </c>
      <c r="L53" t="s">
        <v>1311</v>
      </c>
      <c r="M53" s="4">
        <v>2000</v>
      </c>
      <c r="P53" s="2">
        <v>45734</v>
      </c>
      <c r="R53">
        <v>20</v>
      </c>
      <c r="S53" s="4">
        <v>40000</v>
      </c>
      <c r="T53" t="s">
        <v>65</v>
      </c>
      <c r="U53" t="s">
        <v>4027</v>
      </c>
      <c r="V53">
        <v>0</v>
      </c>
      <c r="W53" s="4">
        <v>40000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4028</v>
      </c>
      <c r="AN53" t="s">
        <v>4029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4030</v>
      </c>
      <c r="BA53">
        <v>0</v>
      </c>
      <c r="BC53" t="s">
        <v>4029</v>
      </c>
      <c r="BF53" t="s">
        <v>4031</v>
      </c>
    </row>
    <row r="54" spans="1:58" x14ac:dyDescent="0.35">
      <c r="A54" t="s">
        <v>3573</v>
      </c>
      <c r="B54">
        <v>10000</v>
      </c>
      <c r="C54">
        <v>20000</v>
      </c>
      <c r="D54" s="2">
        <v>45734</v>
      </c>
      <c r="E54" t="s">
        <v>61</v>
      </c>
      <c r="F54" t="s">
        <v>3574</v>
      </c>
      <c r="G54" t="s">
        <v>134</v>
      </c>
      <c r="I54">
        <v>2</v>
      </c>
      <c r="J54" t="s">
        <v>63</v>
      </c>
      <c r="K54">
        <v>71</v>
      </c>
      <c r="L54" t="s">
        <v>135</v>
      </c>
      <c r="M54">
        <v>834</v>
      </c>
      <c r="P54" s="2">
        <v>45734</v>
      </c>
      <c r="R54">
        <v>6</v>
      </c>
      <c r="S54" s="4">
        <v>5004</v>
      </c>
      <c r="T54" t="s">
        <v>65</v>
      </c>
      <c r="U54">
        <v>83614970001</v>
      </c>
      <c r="V54">
        <v>0</v>
      </c>
      <c r="W54" s="4">
        <v>5000</v>
      </c>
      <c r="X54">
        <v>4</v>
      </c>
      <c r="Y54">
        <v>0</v>
      </c>
      <c r="Z54">
        <v>0</v>
      </c>
      <c r="AA54">
        <v>0</v>
      </c>
      <c r="AD54">
        <v>0</v>
      </c>
      <c r="AM54">
        <v>8361497</v>
      </c>
      <c r="AN54" t="s">
        <v>91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3575</v>
      </c>
      <c r="BA54">
        <v>0</v>
      </c>
      <c r="BC54" t="s">
        <v>91</v>
      </c>
      <c r="BF54" t="s">
        <v>3576</v>
      </c>
    </row>
    <row r="55" spans="1:58" x14ac:dyDescent="0.35">
      <c r="A55" t="s">
        <v>4032</v>
      </c>
      <c r="B55">
        <v>10000</v>
      </c>
      <c r="C55">
        <v>10000</v>
      </c>
      <c r="D55" s="2">
        <v>45734</v>
      </c>
      <c r="E55" t="s">
        <v>61</v>
      </c>
      <c r="F55" t="s">
        <v>4033</v>
      </c>
      <c r="G55" t="s">
        <v>134</v>
      </c>
      <c r="I55">
        <v>1</v>
      </c>
      <c r="J55" t="s">
        <v>63</v>
      </c>
      <c r="K55">
        <v>72</v>
      </c>
      <c r="L55" t="s">
        <v>163</v>
      </c>
      <c r="M55" s="4">
        <v>7250</v>
      </c>
      <c r="P55" s="2">
        <v>45734</v>
      </c>
      <c r="R55">
        <v>4</v>
      </c>
      <c r="S55" s="4">
        <v>29000</v>
      </c>
      <c r="T55" t="s">
        <v>65</v>
      </c>
      <c r="U55">
        <v>83615010001</v>
      </c>
      <c r="V55">
        <v>0</v>
      </c>
      <c r="W55" s="4">
        <v>25000</v>
      </c>
      <c r="X55" s="4">
        <v>4000</v>
      </c>
      <c r="Y55">
        <v>0</v>
      </c>
      <c r="Z55">
        <v>0</v>
      </c>
      <c r="AA55">
        <v>0</v>
      </c>
      <c r="AD55">
        <v>0</v>
      </c>
      <c r="AM55">
        <v>8361501</v>
      </c>
      <c r="AN55" t="s">
        <v>91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4034</v>
      </c>
      <c r="BA55">
        <v>0</v>
      </c>
      <c r="BC55" t="s">
        <v>91</v>
      </c>
      <c r="BF55" t="s">
        <v>3576</v>
      </c>
    </row>
    <row r="56" spans="1:58" x14ac:dyDescent="0.35">
      <c r="A56" t="s">
        <v>4032</v>
      </c>
      <c r="B56">
        <v>10000</v>
      </c>
      <c r="C56">
        <v>20000</v>
      </c>
      <c r="D56" s="2">
        <v>45734</v>
      </c>
      <c r="E56" t="s">
        <v>61</v>
      </c>
      <c r="F56" t="s">
        <v>4033</v>
      </c>
      <c r="G56" t="s">
        <v>134</v>
      </c>
      <c r="I56">
        <v>2</v>
      </c>
      <c r="J56" t="s">
        <v>63</v>
      </c>
      <c r="K56">
        <v>71</v>
      </c>
      <c r="L56" t="s">
        <v>135</v>
      </c>
      <c r="M56" s="4">
        <v>4167</v>
      </c>
      <c r="P56" s="2">
        <v>45734</v>
      </c>
      <c r="R56">
        <v>6</v>
      </c>
      <c r="S56" s="4">
        <v>25002</v>
      </c>
      <c r="T56" t="s">
        <v>65</v>
      </c>
      <c r="U56">
        <v>83615010001</v>
      </c>
      <c r="V56">
        <v>0</v>
      </c>
      <c r="W56" s="4">
        <v>25000</v>
      </c>
      <c r="X56">
        <v>2</v>
      </c>
      <c r="Y56">
        <v>0</v>
      </c>
      <c r="Z56">
        <v>0</v>
      </c>
      <c r="AA56">
        <v>0</v>
      </c>
      <c r="AD56">
        <v>0</v>
      </c>
      <c r="AM56">
        <v>8361501</v>
      </c>
      <c r="AN56" t="s">
        <v>91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4034</v>
      </c>
      <c r="BA56">
        <v>0</v>
      </c>
      <c r="BC56" t="s">
        <v>91</v>
      </c>
      <c r="BF56" t="s">
        <v>3576</v>
      </c>
    </row>
    <row r="57" spans="1:58" x14ac:dyDescent="0.35">
      <c r="A57" t="s">
        <v>3577</v>
      </c>
      <c r="B57">
        <v>10000</v>
      </c>
      <c r="C57">
        <v>20000</v>
      </c>
      <c r="D57" s="2">
        <v>45734</v>
      </c>
      <c r="E57" t="s">
        <v>61</v>
      </c>
      <c r="F57" t="s">
        <v>3578</v>
      </c>
      <c r="G57" t="s">
        <v>134</v>
      </c>
      <c r="I57">
        <v>2</v>
      </c>
      <c r="J57" t="s">
        <v>63</v>
      </c>
      <c r="K57">
        <v>71</v>
      </c>
      <c r="L57" t="s">
        <v>135</v>
      </c>
      <c r="M57">
        <v>834</v>
      </c>
      <c r="P57" s="2">
        <v>45734</v>
      </c>
      <c r="R57">
        <v>6</v>
      </c>
      <c r="S57" s="4">
        <v>5004</v>
      </c>
      <c r="T57" t="s">
        <v>65</v>
      </c>
      <c r="U57">
        <v>83615030001</v>
      </c>
      <c r="V57">
        <v>0</v>
      </c>
      <c r="W57" s="4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8361503</v>
      </c>
      <c r="AN57" t="s">
        <v>91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3579</v>
      </c>
      <c r="BA57">
        <v>0</v>
      </c>
      <c r="BC57" t="s">
        <v>91</v>
      </c>
      <c r="BF57" t="s">
        <v>3576</v>
      </c>
    </row>
    <row r="58" spans="1:58" x14ac:dyDescent="0.35">
      <c r="A58" t="s">
        <v>3580</v>
      </c>
      <c r="B58">
        <v>10000</v>
      </c>
      <c r="C58">
        <v>20000</v>
      </c>
      <c r="D58" s="2">
        <v>45734</v>
      </c>
      <c r="E58" t="s">
        <v>61</v>
      </c>
      <c r="F58" t="s">
        <v>3581</v>
      </c>
      <c r="G58" t="s">
        <v>134</v>
      </c>
      <c r="I58">
        <v>2</v>
      </c>
      <c r="J58" t="s">
        <v>63</v>
      </c>
      <c r="K58">
        <v>71</v>
      </c>
      <c r="L58" t="s">
        <v>135</v>
      </c>
      <c r="M58">
        <v>834</v>
      </c>
      <c r="P58" s="2">
        <v>45734</v>
      </c>
      <c r="R58">
        <v>6</v>
      </c>
      <c r="S58" s="4">
        <v>5004</v>
      </c>
      <c r="T58" t="s">
        <v>65</v>
      </c>
      <c r="U58">
        <v>83615120001</v>
      </c>
      <c r="V58">
        <v>0</v>
      </c>
      <c r="W58" s="4">
        <v>5000</v>
      </c>
      <c r="X58">
        <v>4</v>
      </c>
      <c r="Y58">
        <v>0</v>
      </c>
      <c r="Z58">
        <v>0</v>
      </c>
      <c r="AA58">
        <v>0</v>
      </c>
      <c r="AD58">
        <v>0</v>
      </c>
      <c r="AM58">
        <v>8361512</v>
      </c>
      <c r="AN58" t="s">
        <v>91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3582</v>
      </c>
      <c r="BA58">
        <v>0</v>
      </c>
      <c r="BC58" t="s">
        <v>91</v>
      </c>
      <c r="BF58" t="s">
        <v>3576</v>
      </c>
    </row>
    <row r="59" spans="1:58" x14ac:dyDescent="0.35">
      <c r="A59" t="s">
        <v>3583</v>
      </c>
      <c r="B59">
        <v>10000</v>
      </c>
      <c r="C59">
        <v>20000</v>
      </c>
      <c r="D59" s="2">
        <v>45734</v>
      </c>
      <c r="E59" t="s">
        <v>61</v>
      </c>
      <c r="F59" t="s">
        <v>3584</v>
      </c>
      <c r="G59" t="s">
        <v>134</v>
      </c>
      <c r="I59">
        <v>2</v>
      </c>
      <c r="J59" t="s">
        <v>63</v>
      </c>
      <c r="K59">
        <v>71</v>
      </c>
      <c r="L59" t="s">
        <v>135</v>
      </c>
      <c r="M59">
        <v>834</v>
      </c>
      <c r="P59" s="2">
        <v>45734</v>
      </c>
      <c r="R59">
        <v>6</v>
      </c>
      <c r="S59" s="4">
        <v>5004</v>
      </c>
      <c r="T59" t="s">
        <v>65</v>
      </c>
      <c r="U59">
        <v>5000514780001</v>
      </c>
      <c r="V59">
        <v>0</v>
      </c>
      <c r="W59" s="4">
        <v>5000</v>
      </c>
      <c r="X59">
        <v>4</v>
      </c>
      <c r="Y59">
        <v>0</v>
      </c>
      <c r="Z59">
        <v>0</v>
      </c>
      <c r="AA59">
        <v>0</v>
      </c>
      <c r="AD59">
        <v>0</v>
      </c>
      <c r="AM59">
        <v>500051478</v>
      </c>
      <c r="AN59" t="s">
        <v>91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3585</v>
      </c>
      <c r="BA59">
        <v>0</v>
      </c>
      <c r="BC59" t="s">
        <v>91</v>
      </c>
      <c r="BF59" t="s">
        <v>3576</v>
      </c>
    </row>
    <row r="60" spans="1:58" x14ac:dyDescent="0.35">
      <c r="A60" t="s">
        <v>3586</v>
      </c>
      <c r="B60">
        <v>10000</v>
      </c>
      <c r="C60">
        <v>20000</v>
      </c>
      <c r="D60" s="2">
        <v>45734</v>
      </c>
      <c r="E60" t="s">
        <v>61</v>
      </c>
      <c r="F60" t="s">
        <v>3587</v>
      </c>
      <c r="G60" t="s">
        <v>134</v>
      </c>
      <c r="I60">
        <v>2</v>
      </c>
      <c r="J60" t="s">
        <v>63</v>
      </c>
      <c r="K60">
        <v>71</v>
      </c>
      <c r="L60" t="s">
        <v>135</v>
      </c>
      <c r="M60" s="4">
        <v>1667</v>
      </c>
      <c r="P60" s="2">
        <v>45734</v>
      </c>
      <c r="R60">
        <v>6</v>
      </c>
      <c r="S60" s="4">
        <v>10002</v>
      </c>
      <c r="T60" t="s">
        <v>65</v>
      </c>
      <c r="U60">
        <v>83615120001</v>
      </c>
      <c r="V60">
        <v>0</v>
      </c>
      <c r="W60" s="4">
        <v>10000</v>
      </c>
      <c r="X60">
        <v>2</v>
      </c>
      <c r="Y60">
        <v>0</v>
      </c>
      <c r="Z60">
        <v>0</v>
      </c>
      <c r="AA60">
        <v>0</v>
      </c>
      <c r="AD60">
        <v>0</v>
      </c>
      <c r="AM60">
        <v>8361512</v>
      </c>
      <c r="AN60" t="s">
        <v>91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3588</v>
      </c>
      <c r="BA60">
        <v>0</v>
      </c>
      <c r="BC60" t="s">
        <v>91</v>
      </c>
      <c r="BF60" t="s">
        <v>3589</v>
      </c>
    </row>
    <row r="61" spans="1:58" x14ac:dyDescent="0.35">
      <c r="A61" t="s">
        <v>4035</v>
      </c>
      <c r="B61">
        <v>10000</v>
      </c>
      <c r="C61">
        <v>10000</v>
      </c>
      <c r="D61" s="2">
        <v>45740</v>
      </c>
      <c r="E61" t="s">
        <v>61</v>
      </c>
      <c r="F61" t="s">
        <v>4036</v>
      </c>
      <c r="G61" t="s">
        <v>4037</v>
      </c>
      <c r="I61">
        <v>1</v>
      </c>
      <c r="J61" t="s">
        <v>63</v>
      </c>
      <c r="K61">
        <v>79</v>
      </c>
      <c r="L61" t="s">
        <v>573</v>
      </c>
      <c r="M61">
        <v>100</v>
      </c>
      <c r="P61" s="2">
        <v>45734</v>
      </c>
      <c r="R61">
        <v>60</v>
      </c>
      <c r="S61" s="4">
        <v>6000</v>
      </c>
      <c r="T61" t="s">
        <v>65</v>
      </c>
      <c r="U61" t="s">
        <v>4038</v>
      </c>
      <c r="V61">
        <v>0</v>
      </c>
      <c r="W61" s="4">
        <v>8000</v>
      </c>
      <c r="X61" s="4">
        <v>-2000</v>
      </c>
      <c r="Y61">
        <v>0</v>
      </c>
      <c r="Z61">
        <v>0</v>
      </c>
      <c r="AA61">
        <v>0</v>
      </c>
      <c r="AD61">
        <v>0</v>
      </c>
      <c r="AM61" t="s">
        <v>4039</v>
      </c>
      <c r="AN61" t="s">
        <v>4040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4041</v>
      </c>
      <c r="BA61">
        <v>0</v>
      </c>
      <c r="BC61" t="s">
        <v>4040</v>
      </c>
      <c r="BF61" t="s">
        <v>4042</v>
      </c>
    </row>
    <row r="62" spans="1:58" x14ac:dyDescent="0.35">
      <c r="A62" t="s">
        <v>4043</v>
      </c>
      <c r="B62">
        <v>10000</v>
      </c>
      <c r="C62">
        <v>10000</v>
      </c>
      <c r="D62" s="2">
        <v>45740</v>
      </c>
      <c r="E62" t="s">
        <v>61</v>
      </c>
      <c r="F62" t="s">
        <v>4044</v>
      </c>
      <c r="G62" t="s">
        <v>4037</v>
      </c>
      <c r="I62">
        <v>1</v>
      </c>
      <c r="J62" t="s">
        <v>63</v>
      </c>
      <c r="K62">
        <v>79</v>
      </c>
      <c r="L62" t="s">
        <v>573</v>
      </c>
      <c r="M62">
        <v>100</v>
      </c>
      <c r="P62" s="2">
        <v>45734</v>
      </c>
      <c r="R62">
        <v>60</v>
      </c>
      <c r="S62" s="4">
        <v>6000</v>
      </c>
      <c r="T62" t="s">
        <v>65</v>
      </c>
      <c r="U62" t="s">
        <v>4045</v>
      </c>
      <c r="V62">
        <v>0</v>
      </c>
      <c r="W62" s="4">
        <v>8000</v>
      </c>
      <c r="X62" s="4">
        <v>-2000</v>
      </c>
      <c r="Y62">
        <v>0</v>
      </c>
      <c r="Z62">
        <v>0</v>
      </c>
      <c r="AA62">
        <v>0</v>
      </c>
      <c r="AD62">
        <v>0</v>
      </c>
      <c r="AM62" t="s">
        <v>4046</v>
      </c>
      <c r="AN62" t="s">
        <v>4040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4047</v>
      </c>
      <c r="BA62">
        <v>0</v>
      </c>
      <c r="BC62" t="s">
        <v>4040</v>
      </c>
      <c r="BF62" t="s">
        <v>4042</v>
      </c>
    </row>
    <row r="63" spans="1:58" x14ac:dyDescent="0.35">
      <c r="A63" t="s">
        <v>3590</v>
      </c>
      <c r="B63">
        <v>10000</v>
      </c>
      <c r="C63">
        <v>20000</v>
      </c>
      <c r="D63" s="2">
        <v>45735</v>
      </c>
      <c r="E63" t="s">
        <v>61</v>
      </c>
      <c r="F63" t="s">
        <v>3591</v>
      </c>
      <c r="G63" t="s">
        <v>134</v>
      </c>
      <c r="I63">
        <v>2</v>
      </c>
      <c r="J63" t="s">
        <v>63</v>
      </c>
      <c r="K63">
        <v>71</v>
      </c>
      <c r="L63" t="s">
        <v>135</v>
      </c>
      <c r="M63">
        <v>834</v>
      </c>
      <c r="P63" s="2">
        <v>45734</v>
      </c>
      <c r="R63">
        <v>6</v>
      </c>
      <c r="S63" s="4">
        <v>5004</v>
      </c>
      <c r="T63" t="s">
        <v>65</v>
      </c>
      <c r="U63">
        <v>5000514710001</v>
      </c>
      <c r="V63">
        <v>0</v>
      </c>
      <c r="W63" s="4">
        <v>5000</v>
      </c>
      <c r="X63">
        <v>4</v>
      </c>
      <c r="Y63">
        <v>0</v>
      </c>
      <c r="Z63">
        <v>0</v>
      </c>
      <c r="AA63">
        <v>0</v>
      </c>
      <c r="AD63">
        <v>0</v>
      </c>
      <c r="AM63">
        <v>500051471</v>
      </c>
      <c r="AN63" t="s">
        <v>91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3592</v>
      </c>
      <c r="BA63">
        <v>0</v>
      </c>
      <c r="BC63" t="s">
        <v>91</v>
      </c>
      <c r="BF63" t="s">
        <v>3593</v>
      </c>
    </row>
    <row r="64" spans="1:58" x14ac:dyDescent="0.35">
      <c r="A64" t="s">
        <v>4048</v>
      </c>
      <c r="B64">
        <v>10000</v>
      </c>
      <c r="C64">
        <v>10000</v>
      </c>
      <c r="D64" s="2">
        <v>45740</v>
      </c>
      <c r="E64" t="s">
        <v>61</v>
      </c>
      <c r="F64" t="s">
        <v>4049</v>
      </c>
      <c r="G64" t="s">
        <v>4037</v>
      </c>
      <c r="I64">
        <v>1</v>
      </c>
      <c r="J64" t="s">
        <v>63</v>
      </c>
      <c r="K64">
        <v>79</v>
      </c>
      <c r="L64" t="s">
        <v>573</v>
      </c>
      <c r="M64">
        <v>200</v>
      </c>
      <c r="P64" s="2">
        <v>45734</v>
      </c>
      <c r="R64">
        <v>18</v>
      </c>
      <c r="S64" s="4">
        <v>3600</v>
      </c>
      <c r="T64" t="s">
        <v>65</v>
      </c>
      <c r="U64" t="s">
        <v>4050</v>
      </c>
      <c r="V64">
        <v>0</v>
      </c>
      <c r="W64" s="4">
        <v>2000</v>
      </c>
      <c r="X64" s="4">
        <v>1600</v>
      </c>
      <c r="Y64">
        <v>0</v>
      </c>
      <c r="Z64">
        <v>0</v>
      </c>
      <c r="AA64">
        <v>0</v>
      </c>
      <c r="AD64">
        <v>0</v>
      </c>
      <c r="AM64" t="s">
        <v>4051</v>
      </c>
      <c r="AN64" t="s">
        <v>4052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4053</v>
      </c>
      <c r="BA64">
        <v>0</v>
      </c>
      <c r="BC64" t="s">
        <v>4052</v>
      </c>
      <c r="BF64" t="s">
        <v>4054</v>
      </c>
    </row>
    <row r="65" spans="1:58" x14ac:dyDescent="0.35">
      <c r="A65" t="s">
        <v>4055</v>
      </c>
      <c r="B65">
        <v>10000</v>
      </c>
      <c r="C65">
        <v>10000</v>
      </c>
      <c r="D65" s="2">
        <v>45740</v>
      </c>
      <c r="E65" t="s">
        <v>61</v>
      </c>
      <c r="F65" t="s">
        <v>4056</v>
      </c>
      <c r="G65" t="s">
        <v>4037</v>
      </c>
      <c r="I65">
        <v>1</v>
      </c>
      <c r="J65" t="s">
        <v>63</v>
      </c>
      <c r="K65">
        <v>79</v>
      </c>
      <c r="L65" t="s">
        <v>573</v>
      </c>
      <c r="M65">
        <v>200</v>
      </c>
      <c r="P65" s="2">
        <v>45734</v>
      </c>
      <c r="R65">
        <v>18</v>
      </c>
      <c r="S65" s="4">
        <v>3600</v>
      </c>
      <c r="T65" t="s">
        <v>65</v>
      </c>
      <c r="U65" t="s">
        <v>4057</v>
      </c>
      <c r="V65">
        <v>0</v>
      </c>
      <c r="W65" s="4">
        <v>2000</v>
      </c>
      <c r="X65" s="4">
        <v>1600</v>
      </c>
      <c r="Y65">
        <v>0</v>
      </c>
      <c r="Z65">
        <v>0</v>
      </c>
      <c r="AA65">
        <v>0</v>
      </c>
      <c r="AD65">
        <v>0</v>
      </c>
      <c r="AM65" t="s">
        <v>4058</v>
      </c>
      <c r="AN65" t="s">
        <v>4052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4059</v>
      </c>
      <c r="BA65">
        <v>0</v>
      </c>
      <c r="BC65" t="s">
        <v>4052</v>
      </c>
      <c r="BF65" t="s">
        <v>4054</v>
      </c>
    </row>
    <row r="66" spans="1:58" x14ac:dyDescent="0.35">
      <c r="A66" t="s">
        <v>3857</v>
      </c>
      <c r="B66">
        <v>10000</v>
      </c>
      <c r="C66">
        <v>20000</v>
      </c>
      <c r="D66" s="2">
        <v>45734</v>
      </c>
      <c r="E66" t="s">
        <v>61</v>
      </c>
      <c r="F66" t="s">
        <v>4005</v>
      </c>
      <c r="G66" t="s">
        <v>4060</v>
      </c>
      <c r="I66">
        <v>1</v>
      </c>
      <c r="J66" t="s">
        <v>63</v>
      </c>
      <c r="K66">
        <v>94</v>
      </c>
      <c r="L66" t="s">
        <v>181</v>
      </c>
      <c r="M66">
        <v>250</v>
      </c>
      <c r="P66" s="2">
        <v>45734</v>
      </c>
      <c r="R66">
        <v>4</v>
      </c>
      <c r="S66" s="4">
        <v>1000</v>
      </c>
      <c r="T66" t="s">
        <v>65</v>
      </c>
      <c r="U66" t="s">
        <v>3859</v>
      </c>
      <c r="V66">
        <v>0</v>
      </c>
      <c r="W66">
        <v>500</v>
      </c>
      <c r="X66">
        <v>500</v>
      </c>
      <c r="Y66">
        <v>0</v>
      </c>
      <c r="Z66">
        <v>0</v>
      </c>
      <c r="AA66">
        <v>0</v>
      </c>
      <c r="AD66">
        <v>0</v>
      </c>
      <c r="AM66" t="s">
        <v>3860</v>
      </c>
      <c r="AN66" t="s">
        <v>3615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3861</v>
      </c>
      <c r="BA66">
        <v>0</v>
      </c>
      <c r="BC66" t="s">
        <v>3615</v>
      </c>
      <c r="BF66" t="s">
        <v>3617</v>
      </c>
    </row>
    <row r="67" spans="1:58" x14ac:dyDescent="0.35">
      <c r="A67" t="s">
        <v>4061</v>
      </c>
      <c r="B67">
        <v>10000</v>
      </c>
      <c r="C67">
        <v>10000</v>
      </c>
      <c r="D67" s="2">
        <v>45734</v>
      </c>
      <c r="E67" t="s">
        <v>61</v>
      </c>
      <c r="F67" t="s">
        <v>4062</v>
      </c>
      <c r="G67" t="s">
        <v>134</v>
      </c>
      <c r="I67">
        <v>1</v>
      </c>
      <c r="J67" t="s">
        <v>63</v>
      </c>
      <c r="K67">
        <v>72</v>
      </c>
      <c r="L67" t="s">
        <v>163</v>
      </c>
      <c r="M67" s="4">
        <v>1750</v>
      </c>
      <c r="P67" s="2">
        <v>45734</v>
      </c>
      <c r="R67">
        <v>4</v>
      </c>
      <c r="S67" s="4">
        <v>7000</v>
      </c>
      <c r="T67" t="s">
        <v>65</v>
      </c>
      <c r="U67">
        <v>5000582250001</v>
      </c>
      <c r="V67">
        <v>0</v>
      </c>
      <c r="W67" s="4">
        <v>5000</v>
      </c>
      <c r="X67" s="4">
        <v>2000</v>
      </c>
      <c r="Y67">
        <v>0</v>
      </c>
      <c r="Z67">
        <v>0</v>
      </c>
      <c r="AA67">
        <v>0</v>
      </c>
      <c r="AD67">
        <v>0</v>
      </c>
      <c r="AM67">
        <v>500058225</v>
      </c>
      <c r="AN67" t="s">
        <v>91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4063</v>
      </c>
      <c r="BA67">
        <v>0</v>
      </c>
      <c r="BC67" t="s">
        <v>91</v>
      </c>
      <c r="BF67" t="s">
        <v>4064</v>
      </c>
    </row>
    <row r="68" spans="1:58" x14ac:dyDescent="0.35">
      <c r="A68" t="s">
        <v>4061</v>
      </c>
      <c r="B68">
        <v>10000</v>
      </c>
      <c r="C68">
        <v>20000</v>
      </c>
      <c r="D68" s="2">
        <v>45734</v>
      </c>
      <c r="E68" t="s">
        <v>61</v>
      </c>
      <c r="F68" t="s">
        <v>4062</v>
      </c>
      <c r="G68" t="s">
        <v>134</v>
      </c>
      <c r="I68">
        <v>2</v>
      </c>
      <c r="J68" t="s">
        <v>63</v>
      </c>
      <c r="K68">
        <v>71</v>
      </c>
      <c r="L68" t="s">
        <v>135</v>
      </c>
      <c r="M68">
        <v>834</v>
      </c>
      <c r="P68" s="2">
        <v>45734</v>
      </c>
      <c r="R68">
        <v>6</v>
      </c>
      <c r="S68" s="4">
        <v>5004</v>
      </c>
      <c r="T68" t="s">
        <v>65</v>
      </c>
      <c r="U68">
        <v>5000582250001</v>
      </c>
      <c r="V68">
        <v>0</v>
      </c>
      <c r="W68" s="4">
        <v>5000</v>
      </c>
      <c r="X68">
        <v>4</v>
      </c>
      <c r="Y68">
        <v>0</v>
      </c>
      <c r="Z68">
        <v>0</v>
      </c>
      <c r="AA68">
        <v>0</v>
      </c>
      <c r="AD68">
        <v>0</v>
      </c>
      <c r="AM68">
        <v>500058225</v>
      </c>
      <c r="AN68" t="s">
        <v>91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4063</v>
      </c>
      <c r="BA68">
        <v>0</v>
      </c>
      <c r="BC68" t="s">
        <v>91</v>
      </c>
      <c r="BF68" t="s">
        <v>4064</v>
      </c>
    </row>
    <row r="69" spans="1:58" x14ac:dyDescent="0.35">
      <c r="A69" t="s">
        <v>4065</v>
      </c>
      <c r="B69">
        <v>10000</v>
      </c>
      <c r="C69">
        <v>10000</v>
      </c>
      <c r="D69" s="2">
        <v>45735</v>
      </c>
      <c r="E69" t="s">
        <v>61</v>
      </c>
      <c r="F69" t="s">
        <v>1938</v>
      </c>
      <c r="G69" t="s">
        <v>134</v>
      </c>
      <c r="I69">
        <v>1</v>
      </c>
      <c r="J69" t="s">
        <v>63</v>
      </c>
      <c r="K69">
        <v>72</v>
      </c>
      <c r="L69" t="s">
        <v>163</v>
      </c>
      <c r="M69" s="4">
        <v>1125</v>
      </c>
      <c r="P69" s="2">
        <v>45734</v>
      </c>
      <c r="R69">
        <v>4</v>
      </c>
      <c r="S69" s="4">
        <v>4500</v>
      </c>
      <c r="T69" t="s">
        <v>65</v>
      </c>
      <c r="U69">
        <v>5000596180001</v>
      </c>
      <c r="V69">
        <v>0</v>
      </c>
      <c r="W69" s="4">
        <v>2500</v>
      </c>
      <c r="X69" s="4">
        <v>2000</v>
      </c>
      <c r="Y69">
        <v>0</v>
      </c>
      <c r="Z69">
        <v>0</v>
      </c>
      <c r="AA69">
        <v>0</v>
      </c>
      <c r="AD69">
        <v>0</v>
      </c>
      <c r="AM69">
        <v>500059618</v>
      </c>
      <c r="AN69" t="s">
        <v>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4066</v>
      </c>
      <c r="BA69">
        <v>0</v>
      </c>
      <c r="BC69" t="s">
        <v>91</v>
      </c>
      <c r="BF69" t="s">
        <v>4067</v>
      </c>
    </row>
    <row r="70" spans="1:58" x14ac:dyDescent="0.35">
      <c r="A70" t="s">
        <v>4065</v>
      </c>
      <c r="B70">
        <v>10000</v>
      </c>
      <c r="C70">
        <v>20000</v>
      </c>
      <c r="D70" s="2">
        <v>45735</v>
      </c>
      <c r="E70" t="s">
        <v>61</v>
      </c>
      <c r="F70" t="s">
        <v>1938</v>
      </c>
      <c r="G70" t="s">
        <v>134</v>
      </c>
      <c r="I70">
        <v>2</v>
      </c>
      <c r="J70" t="s">
        <v>63</v>
      </c>
      <c r="K70">
        <v>71</v>
      </c>
      <c r="L70" t="s">
        <v>135</v>
      </c>
      <c r="M70">
        <v>834</v>
      </c>
      <c r="P70" s="2">
        <v>45734</v>
      </c>
      <c r="R70">
        <v>6</v>
      </c>
      <c r="S70" s="4">
        <v>5004</v>
      </c>
      <c r="T70" t="s">
        <v>65</v>
      </c>
      <c r="U70">
        <v>5000596180001</v>
      </c>
      <c r="V70">
        <v>0</v>
      </c>
      <c r="W70" s="4">
        <v>2500</v>
      </c>
      <c r="X70" s="4">
        <v>2504</v>
      </c>
      <c r="Y70">
        <v>0</v>
      </c>
      <c r="Z70">
        <v>0</v>
      </c>
      <c r="AA70">
        <v>0</v>
      </c>
      <c r="AD70">
        <v>0</v>
      </c>
      <c r="AM70">
        <v>500059618</v>
      </c>
      <c r="AN70" t="s">
        <v>91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4066</v>
      </c>
      <c r="BA70">
        <v>0</v>
      </c>
      <c r="BC70" t="s">
        <v>91</v>
      </c>
      <c r="BF70" t="s">
        <v>4067</v>
      </c>
    </row>
    <row r="71" spans="1:58" x14ac:dyDescent="0.35">
      <c r="A71" t="s">
        <v>4065</v>
      </c>
      <c r="B71">
        <v>20000</v>
      </c>
      <c r="C71">
        <v>10000</v>
      </c>
      <c r="D71" s="2">
        <v>45735</v>
      </c>
      <c r="E71" t="s">
        <v>61</v>
      </c>
      <c r="F71" t="s">
        <v>1938</v>
      </c>
      <c r="G71" t="s">
        <v>134</v>
      </c>
      <c r="I71">
        <v>1</v>
      </c>
      <c r="J71" t="s">
        <v>63</v>
      </c>
      <c r="K71">
        <v>72</v>
      </c>
      <c r="L71" t="s">
        <v>163</v>
      </c>
      <c r="M71">
        <v>625</v>
      </c>
      <c r="P71" s="2">
        <v>45734</v>
      </c>
      <c r="R71">
        <v>4</v>
      </c>
      <c r="S71" s="4">
        <v>2500</v>
      </c>
      <c r="T71" t="s">
        <v>65</v>
      </c>
      <c r="U71">
        <v>5000596180001</v>
      </c>
      <c r="V71">
        <v>0</v>
      </c>
      <c r="W71" s="4">
        <v>2500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500059618</v>
      </c>
      <c r="AN71" t="s">
        <v>91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4066</v>
      </c>
      <c r="BA71">
        <v>0</v>
      </c>
      <c r="BC71" t="s">
        <v>91</v>
      </c>
      <c r="BF71" t="s">
        <v>4067</v>
      </c>
    </row>
    <row r="72" spans="1:58" x14ac:dyDescent="0.35">
      <c r="A72" t="s">
        <v>4068</v>
      </c>
      <c r="B72">
        <v>10000</v>
      </c>
      <c r="C72">
        <v>10000</v>
      </c>
      <c r="D72" s="2">
        <v>45744</v>
      </c>
      <c r="E72" t="s">
        <v>61</v>
      </c>
      <c r="F72" s="3">
        <v>0.52878472222222217</v>
      </c>
      <c r="G72" t="s">
        <v>4069</v>
      </c>
      <c r="I72">
        <v>1</v>
      </c>
      <c r="J72" t="s">
        <v>63</v>
      </c>
      <c r="K72">
        <v>79</v>
      </c>
      <c r="L72" t="s">
        <v>573</v>
      </c>
      <c r="M72">
        <v>834</v>
      </c>
      <c r="P72" s="2">
        <v>45734</v>
      </c>
      <c r="R72">
        <v>12</v>
      </c>
      <c r="S72" s="4">
        <v>10008</v>
      </c>
      <c r="T72" t="s">
        <v>65</v>
      </c>
      <c r="U72" t="s">
        <v>4070</v>
      </c>
      <c r="V72">
        <v>0</v>
      </c>
      <c r="W72" s="4">
        <v>5000</v>
      </c>
      <c r="X72" s="4">
        <v>5008</v>
      </c>
      <c r="Y72">
        <v>0</v>
      </c>
      <c r="Z72">
        <v>0</v>
      </c>
      <c r="AA72">
        <v>0</v>
      </c>
      <c r="AD72">
        <v>0</v>
      </c>
      <c r="AM72" t="s">
        <v>4071</v>
      </c>
      <c r="AN72" t="s">
        <v>4072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4073</v>
      </c>
      <c r="BA72">
        <v>0</v>
      </c>
      <c r="BC72" t="s">
        <v>4072</v>
      </c>
      <c r="BF72" t="s">
        <v>4074</v>
      </c>
    </row>
    <row r="73" spans="1:58" x14ac:dyDescent="0.35">
      <c r="A73" t="s">
        <v>4075</v>
      </c>
      <c r="B73">
        <v>10000</v>
      </c>
      <c r="C73">
        <v>10000</v>
      </c>
      <c r="D73" s="2">
        <v>45734</v>
      </c>
      <c r="E73" t="s">
        <v>61</v>
      </c>
      <c r="F73" t="s">
        <v>4076</v>
      </c>
      <c r="G73" t="s">
        <v>4077</v>
      </c>
      <c r="I73">
        <v>1</v>
      </c>
      <c r="J73" t="s">
        <v>63</v>
      </c>
      <c r="K73">
        <v>65</v>
      </c>
      <c r="L73" t="s">
        <v>268</v>
      </c>
      <c r="M73" s="4">
        <v>1000</v>
      </c>
      <c r="P73" s="2">
        <v>45734</v>
      </c>
      <c r="R73">
        <v>30</v>
      </c>
      <c r="S73" s="4">
        <v>30000</v>
      </c>
      <c r="T73" t="s">
        <v>65</v>
      </c>
      <c r="U73" t="s">
        <v>4078</v>
      </c>
      <c r="V73">
        <v>0</v>
      </c>
      <c r="W73" s="4">
        <v>30000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4079</v>
      </c>
      <c r="AN73" t="s">
        <v>4029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4080</v>
      </c>
      <c r="BA73">
        <v>0</v>
      </c>
      <c r="BC73" t="s">
        <v>4029</v>
      </c>
      <c r="BF73" t="s">
        <v>4081</v>
      </c>
    </row>
    <row r="74" spans="1:58" x14ac:dyDescent="0.35">
      <c r="A74" t="s">
        <v>4082</v>
      </c>
      <c r="B74">
        <v>10000</v>
      </c>
      <c r="C74">
        <v>10000</v>
      </c>
      <c r="D74" s="2">
        <v>45735</v>
      </c>
      <c r="E74" t="s">
        <v>61</v>
      </c>
      <c r="F74" t="s">
        <v>4083</v>
      </c>
      <c r="G74" t="s">
        <v>4084</v>
      </c>
      <c r="I74">
        <v>1</v>
      </c>
      <c r="J74" t="s">
        <v>63</v>
      </c>
      <c r="K74">
        <v>88</v>
      </c>
      <c r="L74" t="s">
        <v>630</v>
      </c>
      <c r="M74">
        <v>200</v>
      </c>
      <c r="P74" s="2">
        <v>45734</v>
      </c>
      <c r="R74">
        <v>1</v>
      </c>
      <c r="S74">
        <v>200</v>
      </c>
      <c r="T74" t="s">
        <v>65</v>
      </c>
      <c r="U74">
        <v>107259550001</v>
      </c>
      <c r="V74">
        <v>0</v>
      </c>
      <c r="W74">
        <v>200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10725955</v>
      </c>
      <c r="AN74" t="s">
        <v>487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4085</v>
      </c>
      <c r="BA74">
        <v>0</v>
      </c>
      <c r="BC74" t="s">
        <v>487</v>
      </c>
      <c r="BF74" t="s">
        <v>4086</v>
      </c>
    </row>
    <row r="75" spans="1:58" x14ac:dyDescent="0.35">
      <c r="A75" t="s">
        <v>4082</v>
      </c>
      <c r="B75">
        <v>10000</v>
      </c>
      <c r="C75">
        <v>20000</v>
      </c>
      <c r="D75" s="2">
        <v>45735</v>
      </c>
      <c r="E75" t="s">
        <v>61</v>
      </c>
      <c r="F75" t="s">
        <v>4083</v>
      </c>
      <c r="G75" t="s">
        <v>4084</v>
      </c>
      <c r="I75">
        <v>2</v>
      </c>
      <c r="J75" t="s">
        <v>63</v>
      </c>
      <c r="K75">
        <v>100</v>
      </c>
      <c r="L75" t="s">
        <v>424</v>
      </c>
      <c r="M75">
        <v>200</v>
      </c>
      <c r="P75" s="2">
        <v>45734</v>
      </c>
      <c r="R75">
        <v>1</v>
      </c>
      <c r="S75">
        <v>200</v>
      </c>
      <c r="T75" t="s">
        <v>65</v>
      </c>
      <c r="U75">
        <v>107259550001</v>
      </c>
      <c r="V75">
        <v>0</v>
      </c>
      <c r="W75">
        <v>200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10725955</v>
      </c>
      <c r="AN75" t="s">
        <v>487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4085</v>
      </c>
      <c r="BA75">
        <v>0</v>
      </c>
      <c r="BC75" t="s">
        <v>487</v>
      </c>
      <c r="BF75" t="s">
        <v>4086</v>
      </c>
    </row>
    <row r="76" spans="1:58" x14ac:dyDescent="0.35">
      <c r="A76" t="s">
        <v>4087</v>
      </c>
      <c r="B76">
        <v>10000</v>
      </c>
      <c r="C76">
        <v>10000</v>
      </c>
      <c r="D76" s="2">
        <v>45735</v>
      </c>
      <c r="E76" t="s">
        <v>61</v>
      </c>
      <c r="F76" t="s">
        <v>4088</v>
      </c>
      <c r="G76" t="s">
        <v>134</v>
      </c>
      <c r="I76">
        <v>1</v>
      </c>
      <c r="J76" t="s">
        <v>63</v>
      </c>
      <c r="K76">
        <v>72</v>
      </c>
      <c r="L76" t="s">
        <v>163</v>
      </c>
      <c r="M76" s="4">
        <v>6750</v>
      </c>
      <c r="P76" s="2">
        <v>45734</v>
      </c>
      <c r="R76">
        <v>4</v>
      </c>
      <c r="S76" s="4">
        <v>27000</v>
      </c>
      <c r="T76" t="s">
        <v>65</v>
      </c>
      <c r="U76">
        <v>86085350001</v>
      </c>
      <c r="V76">
        <v>0</v>
      </c>
      <c r="W76" s="4">
        <v>23000</v>
      </c>
      <c r="X76" s="4">
        <v>4000</v>
      </c>
      <c r="Y76">
        <v>0</v>
      </c>
      <c r="Z76">
        <v>0</v>
      </c>
      <c r="AA76">
        <v>0</v>
      </c>
      <c r="AD76">
        <v>0</v>
      </c>
      <c r="AM76">
        <v>8608535</v>
      </c>
      <c r="AN76" t="s">
        <v>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4089</v>
      </c>
      <c r="BA76">
        <v>0</v>
      </c>
      <c r="BC76" t="s">
        <v>91</v>
      </c>
      <c r="BF76" t="s">
        <v>4090</v>
      </c>
    </row>
    <row r="77" spans="1:58" x14ac:dyDescent="0.35">
      <c r="A77" t="s">
        <v>4091</v>
      </c>
      <c r="B77">
        <v>10000</v>
      </c>
      <c r="C77">
        <v>10000</v>
      </c>
      <c r="D77" s="2">
        <v>45735</v>
      </c>
      <c r="E77" t="s">
        <v>61</v>
      </c>
      <c r="F77" t="s">
        <v>4092</v>
      </c>
      <c r="G77" t="s">
        <v>134</v>
      </c>
      <c r="I77">
        <v>1</v>
      </c>
      <c r="J77" t="s">
        <v>63</v>
      </c>
      <c r="K77">
        <v>72</v>
      </c>
      <c r="L77" t="s">
        <v>163</v>
      </c>
      <c r="M77" s="4">
        <v>2000</v>
      </c>
      <c r="P77" s="2">
        <v>45734</v>
      </c>
      <c r="R77">
        <v>4</v>
      </c>
      <c r="S77" s="4">
        <v>8000</v>
      </c>
      <c r="T77" t="s">
        <v>65</v>
      </c>
      <c r="U77">
        <v>86085410001</v>
      </c>
      <c r="V77">
        <v>0</v>
      </c>
      <c r="W77" s="4">
        <v>6000</v>
      </c>
      <c r="X77" s="4">
        <v>2000</v>
      </c>
      <c r="Y77">
        <v>0</v>
      </c>
      <c r="Z77">
        <v>0</v>
      </c>
      <c r="AA77">
        <v>0</v>
      </c>
      <c r="AD77">
        <v>0</v>
      </c>
      <c r="AM77">
        <v>8608541</v>
      </c>
      <c r="AN77" t="s">
        <v>91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4093</v>
      </c>
      <c r="BA77">
        <v>0</v>
      </c>
      <c r="BC77" t="s">
        <v>91</v>
      </c>
      <c r="BF77" t="s">
        <v>4090</v>
      </c>
    </row>
    <row r="78" spans="1:58" x14ac:dyDescent="0.35">
      <c r="A78" t="s">
        <v>4094</v>
      </c>
      <c r="B78">
        <v>10000</v>
      </c>
      <c r="C78">
        <v>10000</v>
      </c>
      <c r="D78" s="2">
        <v>45735</v>
      </c>
      <c r="E78" t="s">
        <v>61</v>
      </c>
      <c r="F78" t="s">
        <v>4092</v>
      </c>
      <c r="G78" t="s">
        <v>134</v>
      </c>
      <c r="I78">
        <v>1</v>
      </c>
      <c r="J78" t="s">
        <v>63</v>
      </c>
      <c r="K78">
        <v>72</v>
      </c>
      <c r="L78" t="s">
        <v>163</v>
      </c>
      <c r="M78" s="4">
        <v>1750</v>
      </c>
      <c r="P78" s="2">
        <v>45734</v>
      </c>
      <c r="R78">
        <v>4</v>
      </c>
      <c r="S78" s="4">
        <v>7000</v>
      </c>
      <c r="T78" t="s">
        <v>65</v>
      </c>
      <c r="U78">
        <v>5000580740001</v>
      </c>
      <c r="V78">
        <v>0</v>
      </c>
      <c r="W78" s="4">
        <v>5000</v>
      </c>
      <c r="X78" s="4">
        <v>2000</v>
      </c>
      <c r="Y78">
        <v>0</v>
      </c>
      <c r="Z78">
        <v>0</v>
      </c>
      <c r="AA78">
        <v>0</v>
      </c>
      <c r="AD78">
        <v>0</v>
      </c>
      <c r="AM78">
        <v>500058074</v>
      </c>
      <c r="AN78" t="s">
        <v>91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4095</v>
      </c>
      <c r="BA78">
        <v>0</v>
      </c>
      <c r="BC78" t="s">
        <v>91</v>
      </c>
      <c r="BF78" t="s">
        <v>4090</v>
      </c>
    </row>
    <row r="79" spans="1:58" x14ac:dyDescent="0.35">
      <c r="A79" t="s">
        <v>4096</v>
      </c>
      <c r="B79">
        <v>10000</v>
      </c>
      <c r="C79">
        <v>10000</v>
      </c>
      <c r="D79" s="2">
        <v>45735</v>
      </c>
      <c r="E79" t="s">
        <v>61</v>
      </c>
      <c r="F79" t="s">
        <v>4092</v>
      </c>
      <c r="G79" t="s">
        <v>134</v>
      </c>
      <c r="I79">
        <v>1</v>
      </c>
      <c r="J79" t="s">
        <v>63</v>
      </c>
      <c r="K79">
        <v>72</v>
      </c>
      <c r="L79" t="s">
        <v>163</v>
      </c>
      <c r="M79" s="4">
        <v>7750</v>
      </c>
      <c r="P79" s="2">
        <v>45734</v>
      </c>
      <c r="R79">
        <v>4</v>
      </c>
      <c r="S79" s="4">
        <v>31000</v>
      </c>
      <c r="T79" t="s">
        <v>65</v>
      </c>
      <c r="U79">
        <v>5000580750001</v>
      </c>
      <c r="V79">
        <v>0</v>
      </c>
      <c r="W79" s="4">
        <v>27000</v>
      </c>
      <c r="X79" s="4">
        <v>4000</v>
      </c>
      <c r="Y79">
        <v>0</v>
      </c>
      <c r="Z79">
        <v>0</v>
      </c>
      <c r="AA79">
        <v>0</v>
      </c>
      <c r="AD79">
        <v>0</v>
      </c>
      <c r="AM79">
        <v>500058075</v>
      </c>
      <c r="AN79" t="s">
        <v>91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4097</v>
      </c>
      <c r="BA79">
        <v>0</v>
      </c>
      <c r="BC79" t="s">
        <v>91</v>
      </c>
      <c r="BF79" t="s">
        <v>4090</v>
      </c>
    </row>
    <row r="80" spans="1:58" x14ac:dyDescent="0.35">
      <c r="A80" t="s">
        <v>4098</v>
      </c>
      <c r="B80">
        <v>10000</v>
      </c>
      <c r="C80">
        <v>10000</v>
      </c>
      <c r="D80" s="2">
        <v>45735</v>
      </c>
      <c r="E80" t="s">
        <v>61</v>
      </c>
      <c r="F80" t="s">
        <v>4092</v>
      </c>
      <c r="G80" t="s">
        <v>134</v>
      </c>
      <c r="I80">
        <v>1</v>
      </c>
      <c r="J80" t="s">
        <v>63</v>
      </c>
      <c r="K80">
        <v>72</v>
      </c>
      <c r="L80" t="s">
        <v>163</v>
      </c>
      <c r="M80" s="4">
        <v>4500</v>
      </c>
      <c r="P80" s="2">
        <v>45734</v>
      </c>
      <c r="R80">
        <v>4</v>
      </c>
      <c r="S80" s="4">
        <v>18000</v>
      </c>
      <c r="T80" t="s">
        <v>65</v>
      </c>
      <c r="U80">
        <v>5000582200001</v>
      </c>
      <c r="V80">
        <v>0</v>
      </c>
      <c r="W80" s="4">
        <v>15000</v>
      </c>
      <c r="X80" s="4">
        <v>3000</v>
      </c>
      <c r="Y80">
        <v>0</v>
      </c>
      <c r="Z80">
        <v>0</v>
      </c>
      <c r="AA80">
        <v>0</v>
      </c>
      <c r="AD80">
        <v>0</v>
      </c>
      <c r="AM80">
        <v>500058220</v>
      </c>
      <c r="AN80" t="s">
        <v>91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4099</v>
      </c>
      <c r="BA80">
        <v>0</v>
      </c>
      <c r="BC80" t="s">
        <v>91</v>
      </c>
      <c r="BF80" t="s">
        <v>4090</v>
      </c>
    </row>
    <row r="81" spans="1:58" x14ac:dyDescent="0.35">
      <c r="A81" t="s">
        <v>4100</v>
      </c>
      <c r="B81">
        <v>10000</v>
      </c>
      <c r="C81">
        <v>10000</v>
      </c>
      <c r="D81" s="2">
        <v>45734</v>
      </c>
      <c r="E81" t="s">
        <v>61</v>
      </c>
      <c r="F81" t="s">
        <v>4101</v>
      </c>
      <c r="G81" t="s">
        <v>134</v>
      </c>
      <c r="I81">
        <v>1</v>
      </c>
      <c r="J81" t="s">
        <v>63</v>
      </c>
      <c r="K81">
        <v>72</v>
      </c>
      <c r="L81" t="s">
        <v>163</v>
      </c>
      <c r="M81" s="4">
        <v>1750</v>
      </c>
      <c r="P81" s="2">
        <v>45734</v>
      </c>
      <c r="R81">
        <v>4</v>
      </c>
      <c r="S81" s="4">
        <v>7000</v>
      </c>
      <c r="T81" t="s">
        <v>65</v>
      </c>
      <c r="U81">
        <v>5000582230001</v>
      </c>
      <c r="V81">
        <v>0</v>
      </c>
      <c r="W81" s="4">
        <v>5000</v>
      </c>
      <c r="X81" s="4">
        <v>2000</v>
      </c>
      <c r="Y81">
        <v>0</v>
      </c>
      <c r="Z81">
        <v>0</v>
      </c>
      <c r="AA81">
        <v>0</v>
      </c>
      <c r="AD81">
        <v>0</v>
      </c>
      <c r="AM81">
        <v>500058223</v>
      </c>
      <c r="AN81" t="s">
        <v>91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4102</v>
      </c>
      <c r="BA81">
        <v>0</v>
      </c>
      <c r="BC81" t="s">
        <v>91</v>
      </c>
      <c r="BF81" t="s">
        <v>4090</v>
      </c>
    </row>
    <row r="82" spans="1:58" x14ac:dyDescent="0.35">
      <c r="A82" t="s">
        <v>4100</v>
      </c>
      <c r="B82">
        <v>10000</v>
      </c>
      <c r="C82">
        <v>20000</v>
      </c>
      <c r="D82" s="2">
        <v>45734</v>
      </c>
      <c r="E82" t="s">
        <v>61</v>
      </c>
      <c r="F82" t="s">
        <v>4101</v>
      </c>
      <c r="G82" t="s">
        <v>134</v>
      </c>
      <c r="I82">
        <v>2</v>
      </c>
      <c r="J82" t="s">
        <v>63</v>
      </c>
      <c r="K82">
        <v>71</v>
      </c>
      <c r="L82" t="s">
        <v>135</v>
      </c>
      <c r="M82">
        <v>834</v>
      </c>
      <c r="P82" s="2">
        <v>45734</v>
      </c>
      <c r="R82">
        <v>6</v>
      </c>
      <c r="S82" s="4">
        <v>5004</v>
      </c>
      <c r="T82" t="s">
        <v>65</v>
      </c>
      <c r="U82">
        <v>5000582230001</v>
      </c>
      <c r="V82">
        <v>0</v>
      </c>
      <c r="W82" s="4">
        <v>5000</v>
      </c>
      <c r="X82">
        <v>4</v>
      </c>
      <c r="Y82">
        <v>0</v>
      </c>
      <c r="Z82">
        <v>0</v>
      </c>
      <c r="AA82">
        <v>0</v>
      </c>
      <c r="AD82">
        <v>0</v>
      </c>
      <c r="AM82">
        <v>500058223</v>
      </c>
      <c r="AN82" t="s">
        <v>91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4102</v>
      </c>
      <c r="BA82">
        <v>0</v>
      </c>
      <c r="BC82" t="s">
        <v>91</v>
      </c>
      <c r="BF82" t="s">
        <v>4090</v>
      </c>
    </row>
    <row r="83" spans="1:58" x14ac:dyDescent="0.35">
      <c r="A83" t="s">
        <v>4103</v>
      </c>
      <c r="B83">
        <v>10000</v>
      </c>
      <c r="C83">
        <v>10000</v>
      </c>
      <c r="D83" s="2">
        <v>45734</v>
      </c>
      <c r="E83" t="s">
        <v>61</v>
      </c>
      <c r="F83" t="s">
        <v>4104</v>
      </c>
      <c r="G83" t="s">
        <v>134</v>
      </c>
      <c r="I83">
        <v>1</v>
      </c>
      <c r="J83" t="s">
        <v>63</v>
      </c>
      <c r="K83">
        <v>72</v>
      </c>
      <c r="L83" t="s">
        <v>163</v>
      </c>
      <c r="M83" s="4">
        <v>1750</v>
      </c>
      <c r="P83" s="2">
        <v>45734</v>
      </c>
      <c r="R83">
        <v>4</v>
      </c>
      <c r="S83" s="4">
        <v>7000</v>
      </c>
      <c r="T83" t="s">
        <v>65</v>
      </c>
      <c r="U83">
        <v>5000602800001</v>
      </c>
      <c r="V83">
        <v>0</v>
      </c>
      <c r="W83" s="4">
        <v>5000</v>
      </c>
      <c r="X83" s="4">
        <v>2000</v>
      </c>
      <c r="Y83">
        <v>0</v>
      </c>
      <c r="Z83">
        <v>0</v>
      </c>
      <c r="AA83">
        <v>0</v>
      </c>
      <c r="AD83">
        <v>0</v>
      </c>
      <c r="AM83">
        <v>500060280</v>
      </c>
      <c r="AN83" t="s">
        <v>91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4105</v>
      </c>
      <c r="BA83">
        <v>0</v>
      </c>
      <c r="BC83" t="s">
        <v>91</v>
      </c>
      <c r="BF83" t="s">
        <v>4090</v>
      </c>
    </row>
    <row r="84" spans="1:58" x14ac:dyDescent="0.35">
      <c r="A84" t="s">
        <v>4103</v>
      </c>
      <c r="B84">
        <v>10000</v>
      </c>
      <c r="C84">
        <v>20000</v>
      </c>
      <c r="D84" s="2">
        <v>45734</v>
      </c>
      <c r="E84" t="s">
        <v>61</v>
      </c>
      <c r="F84" t="s">
        <v>4104</v>
      </c>
      <c r="G84" t="s">
        <v>134</v>
      </c>
      <c r="I84">
        <v>2</v>
      </c>
      <c r="J84" t="s">
        <v>63</v>
      </c>
      <c r="K84">
        <v>71</v>
      </c>
      <c r="L84" t="s">
        <v>135</v>
      </c>
      <c r="M84">
        <v>834</v>
      </c>
      <c r="P84" s="2">
        <v>45734</v>
      </c>
      <c r="R84">
        <v>6</v>
      </c>
      <c r="S84" s="4">
        <v>5004</v>
      </c>
      <c r="T84" t="s">
        <v>65</v>
      </c>
      <c r="U84">
        <v>5000602800001</v>
      </c>
      <c r="V84">
        <v>0</v>
      </c>
      <c r="W84" s="4">
        <v>5000</v>
      </c>
      <c r="X84">
        <v>4</v>
      </c>
      <c r="Y84">
        <v>0</v>
      </c>
      <c r="Z84">
        <v>0</v>
      </c>
      <c r="AA84">
        <v>0</v>
      </c>
      <c r="AD84">
        <v>0</v>
      </c>
      <c r="AM84">
        <v>500060280</v>
      </c>
      <c r="AN84" t="s">
        <v>91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4105</v>
      </c>
      <c r="BA84">
        <v>0</v>
      </c>
      <c r="BC84" t="s">
        <v>91</v>
      </c>
      <c r="BF84" t="s">
        <v>4090</v>
      </c>
    </row>
    <row r="85" spans="1:58" x14ac:dyDescent="0.35">
      <c r="A85" t="s">
        <v>4106</v>
      </c>
      <c r="B85">
        <v>10000</v>
      </c>
      <c r="C85">
        <v>10000</v>
      </c>
      <c r="D85" s="2">
        <v>45734</v>
      </c>
      <c r="E85" t="s">
        <v>61</v>
      </c>
      <c r="F85" t="s">
        <v>4107</v>
      </c>
      <c r="G85" t="s">
        <v>134</v>
      </c>
      <c r="I85">
        <v>1</v>
      </c>
      <c r="J85" t="s">
        <v>63</v>
      </c>
      <c r="K85">
        <v>72</v>
      </c>
      <c r="L85" t="s">
        <v>163</v>
      </c>
      <c r="M85" s="4">
        <v>2000</v>
      </c>
      <c r="P85" s="2">
        <v>45734</v>
      </c>
      <c r="R85">
        <v>4</v>
      </c>
      <c r="S85" s="4">
        <v>8000</v>
      </c>
      <c r="T85" t="s">
        <v>65</v>
      </c>
      <c r="U85">
        <v>5000602810001</v>
      </c>
      <c r="V85">
        <v>0</v>
      </c>
      <c r="W85" s="4">
        <v>6000</v>
      </c>
      <c r="X85" s="4">
        <v>2000</v>
      </c>
      <c r="Y85">
        <v>0</v>
      </c>
      <c r="Z85">
        <v>0</v>
      </c>
      <c r="AA85">
        <v>0</v>
      </c>
      <c r="AD85">
        <v>0</v>
      </c>
      <c r="AM85">
        <v>500060281</v>
      </c>
      <c r="AN85" t="s">
        <v>91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4108</v>
      </c>
      <c r="BA85">
        <v>0</v>
      </c>
      <c r="BC85" t="s">
        <v>91</v>
      </c>
      <c r="BF85" t="s">
        <v>4090</v>
      </c>
    </row>
    <row r="86" spans="1:58" x14ac:dyDescent="0.35">
      <c r="A86" t="s">
        <v>4106</v>
      </c>
      <c r="B86">
        <v>10000</v>
      </c>
      <c r="C86">
        <v>20000</v>
      </c>
      <c r="D86" s="2">
        <v>45734</v>
      </c>
      <c r="E86" t="s">
        <v>61</v>
      </c>
      <c r="F86" t="s">
        <v>4107</v>
      </c>
      <c r="G86" t="s">
        <v>134</v>
      </c>
      <c r="I86">
        <v>2</v>
      </c>
      <c r="J86" t="s">
        <v>63</v>
      </c>
      <c r="K86">
        <v>71</v>
      </c>
      <c r="L86" t="s">
        <v>135</v>
      </c>
      <c r="M86" s="4">
        <v>1000</v>
      </c>
      <c r="P86" s="2">
        <v>45734</v>
      </c>
      <c r="R86">
        <v>6</v>
      </c>
      <c r="S86" s="4">
        <v>6000</v>
      </c>
      <c r="T86" t="s">
        <v>65</v>
      </c>
      <c r="U86">
        <v>5000602810001</v>
      </c>
      <c r="V86">
        <v>0</v>
      </c>
      <c r="W86" s="4">
        <v>6000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500060281</v>
      </c>
      <c r="AN86" t="s">
        <v>91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4108</v>
      </c>
      <c r="BA86">
        <v>0</v>
      </c>
      <c r="BC86" t="s">
        <v>91</v>
      </c>
      <c r="BF86" t="s">
        <v>4090</v>
      </c>
    </row>
    <row r="87" spans="1:58" x14ac:dyDescent="0.35">
      <c r="A87" t="s">
        <v>4109</v>
      </c>
      <c r="B87">
        <v>10000</v>
      </c>
      <c r="C87">
        <v>10000</v>
      </c>
      <c r="D87" s="2">
        <v>45735</v>
      </c>
      <c r="E87" t="s">
        <v>61</v>
      </c>
      <c r="F87" t="s">
        <v>4088</v>
      </c>
      <c r="G87" t="s">
        <v>134</v>
      </c>
      <c r="I87">
        <v>1</v>
      </c>
      <c r="J87" t="s">
        <v>63</v>
      </c>
      <c r="K87">
        <v>72</v>
      </c>
      <c r="L87" t="s">
        <v>163</v>
      </c>
      <c r="M87" s="4">
        <v>10500</v>
      </c>
      <c r="P87" s="2">
        <v>45734</v>
      </c>
      <c r="R87">
        <v>4</v>
      </c>
      <c r="S87" s="4">
        <v>42000</v>
      </c>
      <c r="T87" t="s">
        <v>65</v>
      </c>
      <c r="U87">
        <v>5000602820001</v>
      </c>
      <c r="V87">
        <v>0</v>
      </c>
      <c r="W87" s="4">
        <v>37000</v>
      </c>
      <c r="X87" s="4">
        <v>5000</v>
      </c>
      <c r="Y87">
        <v>0</v>
      </c>
      <c r="Z87">
        <v>0</v>
      </c>
      <c r="AA87">
        <v>0</v>
      </c>
      <c r="AD87">
        <v>0</v>
      </c>
      <c r="AM87">
        <v>500060282</v>
      </c>
      <c r="AN87" t="s">
        <v>91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4110</v>
      </c>
      <c r="BA87">
        <v>0</v>
      </c>
      <c r="BC87" t="s">
        <v>91</v>
      </c>
      <c r="BF87" t="s">
        <v>4090</v>
      </c>
    </row>
    <row r="88" spans="1:58" x14ac:dyDescent="0.35">
      <c r="A88" t="s">
        <v>4111</v>
      </c>
      <c r="B88">
        <v>10000</v>
      </c>
      <c r="C88">
        <v>10000</v>
      </c>
      <c r="D88" s="2">
        <v>45734</v>
      </c>
      <c r="E88" t="s">
        <v>61</v>
      </c>
      <c r="F88" t="s">
        <v>4112</v>
      </c>
      <c r="G88" t="s">
        <v>134</v>
      </c>
      <c r="I88">
        <v>1</v>
      </c>
      <c r="J88" t="s">
        <v>63</v>
      </c>
      <c r="K88">
        <v>72</v>
      </c>
      <c r="L88" t="s">
        <v>163</v>
      </c>
      <c r="M88" s="4">
        <v>2250</v>
      </c>
      <c r="P88" s="2">
        <v>45734</v>
      </c>
      <c r="R88">
        <v>4</v>
      </c>
      <c r="S88" s="4">
        <v>9000</v>
      </c>
      <c r="T88" t="s">
        <v>65</v>
      </c>
      <c r="U88">
        <v>5000634580001</v>
      </c>
      <c r="V88">
        <v>0</v>
      </c>
      <c r="W88" s="4">
        <v>7000</v>
      </c>
      <c r="X88" s="4">
        <v>2000</v>
      </c>
      <c r="Y88">
        <v>0</v>
      </c>
      <c r="Z88">
        <v>0</v>
      </c>
      <c r="AA88">
        <v>0</v>
      </c>
      <c r="AD88">
        <v>0</v>
      </c>
      <c r="AM88">
        <v>500063458</v>
      </c>
      <c r="AN88" t="s">
        <v>91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4113</v>
      </c>
      <c r="BA88">
        <v>0</v>
      </c>
      <c r="BC88" t="s">
        <v>91</v>
      </c>
      <c r="BF88" t="s">
        <v>4090</v>
      </c>
    </row>
    <row r="89" spans="1:58" x14ac:dyDescent="0.35">
      <c r="A89" t="s">
        <v>4111</v>
      </c>
      <c r="B89">
        <v>10000</v>
      </c>
      <c r="C89">
        <v>20000</v>
      </c>
      <c r="D89" s="2">
        <v>45734</v>
      </c>
      <c r="E89" t="s">
        <v>61</v>
      </c>
      <c r="F89" t="s">
        <v>4112</v>
      </c>
      <c r="G89" t="s">
        <v>134</v>
      </c>
      <c r="I89">
        <v>2</v>
      </c>
      <c r="J89" t="s">
        <v>63</v>
      </c>
      <c r="K89">
        <v>71</v>
      </c>
      <c r="L89" t="s">
        <v>135</v>
      </c>
      <c r="M89" s="4">
        <v>1167</v>
      </c>
      <c r="P89" s="2">
        <v>45734</v>
      </c>
      <c r="R89">
        <v>6</v>
      </c>
      <c r="S89" s="4">
        <v>7002</v>
      </c>
      <c r="T89" t="s">
        <v>65</v>
      </c>
      <c r="U89">
        <v>5000634580001</v>
      </c>
      <c r="V89">
        <v>0</v>
      </c>
      <c r="W89" s="4">
        <v>7000</v>
      </c>
      <c r="X89">
        <v>2</v>
      </c>
      <c r="Y89">
        <v>0</v>
      </c>
      <c r="Z89">
        <v>0</v>
      </c>
      <c r="AA89">
        <v>0</v>
      </c>
      <c r="AD89">
        <v>0</v>
      </c>
      <c r="AM89">
        <v>500063458</v>
      </c>
      <c r="AN89" t="s">
        <v>91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4113</v>
      </c>
      <c r="BA89">
        <v>0</v>
      </c>
      <c r="BC89" t="s">
        <v>91</v>
      </c>
      <c r="BF89" t="s">
        <v>4090</v>
      </c>
    </row>
    <row r="90" spans="1:58" x14ac:dyDescent="0.35">
      <c r="A90" t="s">
        <v>4114</v>
      </c>
      <c r="B90">
        <v>10000</v>
      </c>
      <c r="C90">
        <v>10000</v>
      </c>
      <c r="D90" s="2">
        <v>45736</v>
      </c>
      <c r="E90" t="s">
        <v>61</v>
      </c>
      <c r="F90" s="3">
        <v>0.47020833333333334</v>
      </c>
      <c r="G90" t="s">
        <v>4115</v>
      </c>
      <c r="I90">
        <v>1</v>
      </c>
      <c r="J90" t="s">
        <v>63</v>
      </c>
      <c r="K90">
        <v>88</v>
      </c>
      <c r="L90" t="s">
        <v>630</v>
      </c>
      <c r="M90" s="4">
        <v>2100</v>
      </c>
      <c r="P90" s="2">
        <v>45734</v>
      </c>
      <c r="R90">
        <v>5</v>
      </c>
      <c r="S90" s="4">
        <v>10500</v>
      </c>
      <c r="T90" t="s">
        <v>65</v>
      </c>
      <c r="U90" t="s">
        <v>4116</v>
      </c>
      <c r="V90">
        <v>0</v>
      </c>
      <c r="W90" s="4">
        <v>10000</v>
      </c>
      <c r="X90">
        <v>500</v>
      </c>
      <c r="Y90">
        <v>0</v>
      </c>
      <c r="Z90">
        <v>0</v>
      </c>
      <c r="AA90">
        <v>0</v>
      </c>
      <c r="AD90">
        <v>0</v>
      </c>
      <c r="AM90" t="s">
        <v>4117</v>
      </c>
      <c r="AN90" t="s">
        <v>116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4118</v>
      </c>
      <c r="BA90">
        <v>0</v>
      </c>
      <c r="BC90" t="s">
        <v>116</v>
      </c>
      <c r="BF90" t="s">
        <v>4119</v>
      </c>
    </row>
    <row r="100" spans="1:2" x14ac:dyDescent="0.35">
      <c r="A100">
        <f>COUNTA(A5:A99)</f>
        <v>86</v>
      </c>
      <c r="B100">
        <f>'17-Mar'!B80+'18-Mar'!A100</f>
        <v>1158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EF51-65CC-4DA4-81A4-8D131711BA91}">
  <dimension ref="A1:BF130"/>
  <sheetViews>
    <sheetView topLeftCell="A126" workbookViewId="0">
      <selection activeCell="A4" sqref="A4:XFD12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4120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4121</v>
      </c>
      <c r="B5">
        <v>10000</v>
      </c>
      <c r="C5">
        <v>10000</v>
      </c>
      <c r="D5" s="2">
        <v>45735</v>
      </c>
      <c r="E5" t="s">
        <v>61</v>
      </c>
      <c r="F5" t="s">
        <v>3898</v>
      </c>
      <c r="G5" t="s">
        <v>2526</v>
      </c>
      <c r="H5" t="s">
        <v>4122</v>
      </c>
      <c r="I5">
        <v>1</v>
      </c>
      <c r="J5" t="s">
        <v>69</v>
      </c>
      <c r="K5">
        <v>95</v>
      </c>
      <c r="L5" t="s">
        <v>597</v>
      </c>
      <c r="M5" s="4">
        <v>3750</v>
      </c>
      <c r="P5" s="2">
        <v>45735</v>
      </c>
      <c r="R5">
        <v>8</v>
      </c>
      <c r="S5" s="4">
        <v>30000</v>
      </c>
      <c r="T5" t="s">
        <v>65</v>
      </c>
      <c r="U5" t="s">
        <v>2527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2528</v>
      </c>
      <c r="AN5" t="s">
        <v>271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271</v>
      </c>
      <c r="BF5" t="s">
        <v>4123</v>
      </c>
    </row>
    <row r="6" spans="1:58" x14ac:dyDescent="0.35">
      <c r="A6" t="s">
        <v>4124</v>
      </c>
      <c r="B6">
        <v>10000</v>
      </c>
      <c r="C6">
        <v>10000</v>
      </c>
      <c r="D6" s="2">
        <v>45755</v>
      </c>
      <c r="E6" t="s">
        <v>61</v>
      </c>
      <c r="F6" t="s">
        <v>4125</v>
      </c>
      <c r="G6" t="s">
        <v>4126</v>
      </c>
      <c r="H6" t="s">
        <v>4127</v>
      </c>
      <c r="I6">
        <v>1</v>
      </c>
      <c r="J6" t="s">
        <v>69</v>
      </c>
      <c r="K6">
        <v>90</v>
      </c>
      <c r="L6" t="s">
        <v>405</v>
      </c>
      <c r="M6" s="4">
        <v>17500</v>
      </c>
      <c r="P6" s="2">
        <v>45735</v>
      </c>
      <c r="R6">
        <v>4</v>
      </c>
      <c r="S6" s="4">
        <v>70000</v>
      </c>
      <c r="T6" t="s">
        <v>65</v>
      </c>
      <c r="U6" t="s">
        <v>765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766</v>
      </c>
      <c r="AN6" t="s">
        <v>767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767</v>
      </c>
      <c r="BF6" t="s">
        <v>4128</v>
      </c>
    </row>
    <row r="7" spans="1:58" x14ac:dyDescent="0.35">
      <c r="A7" t="s">
        <v>4129</v>
      </c>
      <c r="B7">
        <v>10000</v>
      </c>
      <c r="C7">
        <v>10000</v>
      </c>
      <c r="D7" s="2">
        <v>45735</v>
      </c>
      <c r="E7" t="s">
        <v>61</v>
      </c>
      <c r="F7" t="s">
        <v>4130</v>
      </c>
      <c r="G7" t="s">
        <v>4131</v>
      </c>
      <c r="I7">
        <v>1</v>
      </c>
      <c r="J7" t="s">
        <v>69</v>
      </c>
      <c r="K7">
        <v>112</v>
      </c>
      <c r="L7" t="s">
        <v>533</v>
      </c>
      <c r="M7">
        <v>500</v>
      </c>
      <c r="P7" s="2">
        <v>45735</v>
      </c>
      <c r="R7">
        <v>20</v>
      </c>
      <c r="S7" s="4">
        <v>10000</v>
      </c>
      <c r="T7" t="s">
        <v>65</v>
      </c>
      <c r="U7" t="s">
        <v>4132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4133</v>
      </c>
      <c r="AN7" t="s">
        <v>321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321</v>
      </c>
      <c r="BF7" t="s">
        <v>4134</v>
      </c>
    </row>
    <row r="8" spans="1:58" x14ac:dyDescent="0.35">
      <c r="A8" t="s">
        <v>3367</v>
      </c>
      <c r="B8">
        <v>10000</v>
      </c>
      <c r="C8">
        <v>20000</v>
      </c>
      <c r="D8" s="2">
        <v>45735</v>
      </c>
      <c r="E8" t="s">
        <v>61</v>
      </c>
      <c r="F8" t="s">
        <v>3368</v>
      </c>
      <c r="G8">
        <v>10639931025</v>
      </c>
      <c r="H8" t="s">
        <v>3369</v>
      </c>
      <c r="I8">
        <v>2</v>
      </c>
      <c r="J8" t="s">
        <v>69</v>
      </c>
      <c r="K8">
        <v>77</v>
      </c>
      <c r="L8" t="s">
        <v>127</v>
      </c>
      <c r="M8">
        <v>600</v>
      </c>
      <c r="P8" s="2">
        <v>45735</v>
      </c>
      <c r="R8">
        <v>15</v>
      </c>
      <c r="S8" s="4">
        <v>9000</v>
      </c>
      <c r="T8" t="s">
        <v>65</v>
      </c>
      <c r="U8" t="s">
        <v>3370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3371</v>
      </c>
      <c r="AN8" t="s">
        <v>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68</v>
      </c>
      <c r="BF8" t="s">
        <v>3372</v>
      </c>
    </row>
    <row r="9" spans="1:58" x14ac:dyDescent="0.35">
      <c r="A9" t="s">
        <v>4135</v>
      </c>
      <c r="B9">
        <v>10000</v>
      </c>
      <c r="C9">
        <v>10000</v>
      </c>
      <c r="D9" s="2">
        <v>45735</v>
      </c>
      <c r="E9" t="s">
        <v>61</v>
      </c>
      <c r="F9" t="s">
        <v>3885</v>
      </c>
      <c r="G9" t="s">
        <v>2773</v>
      </c>
      <c r="H9" t="s">
        <v>1577</v>
      </c>
      <c r="I9">
        <v>1</v>
      </c>
      <c r="J9" t="s">
        <v>69</v>
      </c>
      <c r="K9">
        <v>82</v>
      </c>
      <c r="L9" t="s">
        <v>341</v>
      </c>
      <c r="M9" s="4">
        <v>5000</v>
      </c>
      <c r="P9" s="2">
        <v>45735</v>
      </c>
      <c r="R9">
        <v>6</v>
      </c>
      <c r="S9" s="4">
        <v>30000</v>
      </c>
      <c r="T9" t="s">
        <v>65</v>
      </c>
      <c r="U9" t="s">
        <v>1578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1579</v>
      </c>
      <c r="AN9" t="s">
        <v>829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829</v>
      </c>
      <c r="BF9" t="s">
        <v>4136</v>
      </c>
    </row>
    <row r="10" spans="1:58" x14ac:dyDescent="0.35">
      <c r="A10" t="s">
        <v>4137</v>
      </c>
      <c r="B10">
        <v>10000</v>
      </c>
      <c r="C10">
        <v>10000</v>
      </c>
      <c r="D10" s="2">
        <v>45735</v>
      </c>
      <c r="E10" t="s">
        <v>61</v>
      </c>
      <c r="F10" t="s">
        <v>3885</v>
      </c>
      <c r="G10" t="s">
        <v>2773</v>
      </c>
      <c r="H10" t="s">
        <v>1577</v>
      </c>
      <c r="I10">
        <v>1</v>
      </c>
      <c r="J10" t="s">
        <v>69</v>
      </c>
      <c r="K10">
        <v>82</v>
      </c>
      <c r="L10" t="s">
        <v>341</v>
      </c>
      <c r="M10" s="4">
        <v>5000</v>
      </c>
      <c r="P10" s="2">
        <v>45735</v>
      </c>
      <c r="R10">
        <v>6</v>
      </c>
      <c r="S10" s="4">
        <v>30000</v>
      </c>
      <c r="T10" t="s">
        <v>65</v>
      </c>
      <c r="U10" t="s">
        <v>1578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1579</v>
      </c>
      <c r="AN10" t="s">
        <v>829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829</v>
      </c>
      <c r="BF10" t="s">
        <v>4138</v>
      </c>
    </row>
    <row r="11" spans="1:58" x14ac:dyDescent="0.35">
      <c r="A11" t="s">
        <v>4139</v>
      </c>
      <c r="B11">
        <v>10000</v>
      </c>
      <c r="C11">
        <v>10000</v>
      </c>
      <c r="D11" s="2">
        <v>45762</v>
      </c>
      <c r="E11" t="s">
        <v>61</v>
      </c>
      <c r="F11" t="s">
        <v>4140</v>
      </c>
      <c r="G11" t="s">
        <v>4141</v>
      </c>
      <c r="H11" t="s">
        <v>4142</v>
      </c>
      <c r="I11">
        <v>1</v>
      </c>
      <c r="J11" t="s">
        <v>69</v>
      </c>
      <c r="K11" t="s">
        <v>295</v>
      </c>
      <c r="L11" t="s">
        <v>296</v>
      </c>
      <c r="M11" s="4">
        <v>1850</v>
      </c>
      <c r="P11" s="2">
        <v>45735</v>
      </c>
      <c r="R11">
        <v>35</v>
      </c>
      <c r="S11" s="4">
        <v>64750</v>
      </c>
      <c r="T11" t="s">
        <v>65</v>
      </c>
      <c r="U11" t="s">
        <v>147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148</v>
      </c>
      <c r="AN11" t="s">
        <v>107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107</v>
      </c>
      <c r="BF11" t="s">
        <v>4143</v>
      </c>
    </row>
    <row r="12" spans="1:58" x14ac:dyDescent="0.35">
      <c r="A12" t="s">
        <v>4144</v>
      </c>
      <c r="B12">
        <v>10000</v>
      </c>
      <c r="C12">
        <v>10000</v>
      </c>
      <c r="D12" s="2">
        <v>45754</v>
      </c>
      <c r="E12" t="s">
        <v>61</v>
      </c>
      <c r="F12" t="s">
        <v>4145</v>
      </c>
      <c r="G12">
        <v>10620258037</v>
      </c>
      <c r="H12" t="s">
        <v>4146</v>
      </c>
      <c r="I12">
        <v>1</v>
      </c>
      <c r="J12" t="s">
        <v>69</v>
      </c>
      <c r="K12">
        <v>79</v>
      </c>
      <c r="L12" t="s">
        <v>573</v>
      </c>
      <c r="M12">
        <v>569</v>
      </c>
      <c r="P12" s="2">
        <v>45735</v>
      </c>
      <c r="R12">
        <v>176</v>
      </c>
      <c r="S12" s="4">
        <v>100144</v>
      </c>
      <c r="T12" t="s">
        <v>65</v>
      </c>
      <c r="U12" t="s">
        <v>1352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1353</v>
      </c>
      <c r="AN12" t="s">
        <v>107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107</v>
      </c>
      <c r="BF12" t="s">
        <v>4147</v>
      </c>
    </row>
    <row r="13" spans="1:58" x14ac:dyDescent="0.35">
      <c r="A13" t="s">
        <v>4148</v>
      </c>
      <c r="B13">
        <v>10000</v>
      </c>
      <c r="C13">
        <v>10000</v>
      </c>
      <c r="D13" s="2">
        <v>45748</v>
      </c>
      <c r="E13" t="s">
        <v>61</v>
      </c>
      <c r="F13" t="s">
        <v>4149</v>
      </c>
      <c r="G13">
        <v>10620258042</v>
      </c>
      <c r="H13" t="s">
        <v>4150</v>
      </c>
      <c r="I13">
        <v>1</v>
      </c>
      <c r="J13" t="s">
        <v>69</v>
      </c>
      <c r="K13">
        <v>79</v>
      </c>
      <c r="L13" t="s">
        <v>573</v>
      </c>
      <c r="M13">
        <v>270</v>
      </c>
      <c r="P13" s="2">
        <v>45735</v>
      </c>
      <c r="R13">
        <v>297</v>
      </c>
      <c r="S13" s="4">
        <v>80190</v>
      </c>
      <c r="T13" t="s">
        <v>65</v>
      </c>
      <c r="U13" t="s">
        <v>4151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69</v>
      </c>
      <c r="AI13">
        <v>0</v>
      </c>
      <c r="AJ13" t="s">
        <v>69</v>
      </c>
      <c r="AM13" t="s">
        <v>4152</v>
      </c>
      <c r="AN13" t="s">
        <v>107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BC13" t="s">
        <v>107</v>
      </c>
      <c r="BF13" t="s">
        <v>4153</v>
      </c>
    </row>
    <row r="14" spans="1:58" x14ac:dyDescent="0.35">
      <c r="A14" t="s">
        <v>4154</v>
      </c>
      <c r="B14">
        <v>10000</v>
      </c>
      <c r="C14">
        <v>10000</v>
      </c>
      <c r="D14" s="2">
        <v>45741</v>
      </c>
      <c r="E14" t="s">
        <v>61</v>
      </c>
      <c r="F14" t="s">
        <v>4155</v>
      </c>
      <c r="G14" t="s">
        <v>4156</v>
      </c>
      <c r="H14" t="s">
        <v>4150</v>
      </c>
      <c r="I14">
        <v>1</v>
      </c>
      <c r="J14" t="s">
        <v>69</v>
      </c>
      <c r="K14">
        <v>79</v>
      </c>
      <c r="L14" t="s">
        <v>573</v>
      </c>
      <c r="M14" s="4">
        <v>4260</v>
      </c>
      <c r="P14" s="2">
        <v>45735</v>
      </c>
      <c r="R14">
        <v>27</v>
      </c>
      <c r="S14" s="4">
        <v>115020</v>
      </c>
      <c r="T14" t="s">
        <v>65</v>
      </c>
      <c r="U14" t="s">
        <v>4157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69</v>
      </c>
      <c r="AI14">
        <v>0</v>
      </c>
      <c r="AJ14" t="s">
        <v>69</v>
      </c>
      <c r="AM14" t="s">
        <v>4158</v>
      </c>
      <c r="AN14" t="s">
        <v>107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BC14" t="s">
        <v>107</v>
      </c>
      <c r="BF14" t="s">
        <v>4159</v>
      </c>
    </row>
    <row r="15" spans="1:58" x14ac:dyDescent="0.35">
      <c r="A15" t="s">
        <v>4154</v>
      </c>
      <c r="B15">
        <v>10000</v>
      </c>
      <c r="C15">
        <v>40000</v>
      </c>
      <c r="D15" s="2">
        <v>45751</v>
      </c>
      <c r="E15" t="s">
        <v>61</v>
      </c>
      <c r="F15" t="s">
        <v>4160</v>
      </c>
      <c r="G15" t="s">
        <v>4161</v>
      </c>
      <c r="H15" t="s">
        <v>4146</v>
      </c>
      <c r="I15">
        <v>1</v>
      </c>
      <c r="J15" t="s">
        <v>69</v>
      </c>
      <c r="K15">
        <v>79</v>
      </c>
      <c r="L15" t="s">
        <v>573</v>
      </c>
      <c r="M15" s="4">
        <v>1073</v>
      </c>
      <c r="P15" s="2">
        <v>45735</v>
      </c>
      <c r="R15">
        <v>176</v>
      </c>
      <c r="S15" s="4">
        <v>188848</v>
      </c>
      <c r="T15" t="s">
        <v>65</v>
      </c>
      <c r="U15" t="s">
        <v>4157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69</v>
      </c>
      <c r="AI15">
        <v>0</v>
      </c>
      <c r="AJ15" t="s">
        <v>69</v>
      </c>
      <c r="AM15" t="s">
        <v>4158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BC15" t="s">
        <v>107</v>
      </c>
      <c r="BF15" t="s">
        <v>4159</v>
      </c>
    </row>
    <row r="16" spans="1:58" x14ac:dyDescent="0.35">
      <c r="A16" t="s">
        <v>4162</v>
      </c>
      <c r="B16">
        <v>10000</v>
      </c>
      <c r="C16">
        <v>10000</v>
      </c>
      <c r="D16" s="2">
        <v>45735</v>
      </c>
      <c r="E16" t="s">
        <v>61</v>
      </c>
      <c r="F16" t="s">
        <v>3898</v>
      </c>
      <c r="G16" t="s">
        <v>2526</v>
      </c>
      <c r="I16">
        <v>1</v>
      </c>
      <c r="J16" t="s">
        <v>63</v>
      </c>
      <c r="K16">
        <v>95</v>
      </c>
      <c r="L16" t="s">
        <v>597</v>
      </c>
      <c r="M16" s="4">
        <v>7500</v>
      </c>
      <c r="P16" s="2">
        <v>45735</v>
      </c>
      <c r="R16">
        <v>8</v>
      </c>
      <c r="S16" s="4">
        <v>60000</v>
      </c>
      <c r="T16" t="s">
        <v>65</v>
      </c>
      <c r="U16" t="s">
        <v>2527</v>
      </c>
      <c r="V16">
        <v>0</v>
      </c>
      <c r="W16" s="4">
        <v>60000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2528</v>
      </c>
      <c r="AN16" t="s">
        <v>271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4163</v>
      </c>
      <c r="BA16">
        <v>0</v>
      </c>
      <c r="BC16" t="s">
        <v>271</v>
      </c>
      <c r="BF16" t="s">
        <v>4164</v>
      </c>
    </row>
    <row r="17" spans="1:58" x14ac:dyDescent="0.35">
      <c r="A17" t="s">
        <v>4165</v>
      </c>
      <c r="B17">
        <v>10000</v>
      </c>
      <c r="C17">
        <v>20000</v>
      </c>
      <c r="D17" s="2">
        <v>45736</v>
      </c>
      <c r="E17" t="s">
        <v>61</v>
      </c>
      <c r="F17" t="s">
        <v>4166</v>
      </c>
      <c r="G17" t="s">
        <v>4167</v>
      </c>
      <c r="I17">
        <v>1</v>
      </c>
      <c r="J17" t="s">
        <v>63</v>
      </c>
      <c r="K17">
        <v>61</v>
      </c>
      <c r="L17" t="s">
        <v>216</v>
      </c>
      <c r="M17">
        <v>200</v>
      </c>
      <c r="P17" s="2">
        <v>45735</v>
      </c>
      <c r="R17">
        <v>1</v>
      </c>
      <c r="S17">
        <v>200</v>
      </c>
      <c r="T17" t="s">
        <v>65</v>
      </c>
      <c r="U17" t="s">
        <v>4168</v>
      </c>
      <c r="V17">
        <v>0</v>
      </c>
      <c r="W17">
        <v>200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4169</v>
      </c>
      <c r="AN17" t="s">
        <v>3737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4170</v>
      </c>
      <c r="BA17">
        <v>0</v>
      </c>
      <c r="BC17" t="s">
        <v>3737</v>
      </c>
      <c r="BF17" t="s">
        <v>4171</v>
      </c>
    </row>
    <row r="18" spans="1:58" x14ac:dyDescent="0.35">
      <c r="A18" t="s">
        <v>4172</v>
      </c>
      <c r="B18">
        <v>10000</v>
      </c>
      <c r="C18">
        <v>10000</v>
      </c>
      <c r="D18" s="2">
        <v>45735</v>
      </c>
      <c r="E18" t="s">
        <v>61</v>
      </c>
      <c r="F18" t="s">
        <v>4130</v>
      </c>
      <c r="G18" t="s">
        <v>4131</v>
      </c>
      <c r="I18">
        <v>1</v>
      </c>
      <c r="J18" t="s">
        <v>63</v>
      </c>
      <c r="K18">
        <v>112</v>
      </c>
      <c r="L18" t="s">
        <v>533</v>
      </c>
      <c r="M18" s="4">
        <v>1500</v>
      </c>
      <c r="P18" s="2">
        <v>45735</v>
      </c>
      <c r="R18">
        <v>20</v>
      </c>
      <c r="S18" s="4">
        <v>30000</v>
      </c>
      <c r="T18" t="s">
        <v>65</v>
      </c>
      <c r="U18" t="s">
        <v>4132</v>
      </c>
      <c r="V18">
        <v>0</v>
      </c>
      <c r="W18" s="4">
        <v>30000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4133</v>
      </c>
      <c r="AN18" t="s">
        <v>321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4173</v>
      </c>
      <c r="BA18">
        <v>0</v>
      </c>
      <c r="BC18" t="s">
        <v>321</v>
      </c>
      <c r="BF18" t="s">
        <v>3912</v>
      </c>
    </row>
    <row r="19" spans="1:58" x14ac:dyDescent="0.35">
      <c r="A19" t="s">
        <v>3924</v>
      </c>
      <c r="B19">
        <v>10000</v>
      </c>
      <c r="C19">
        <v>20000</v>
      </c>
      <c r="D19" s="2">
        <v>45736</v>
      </c>
      <c r="E19" t="s">
        <v>61</v>
      </c>
      <c r="F19" t="s">
        <v>3925</v>
      </c>
      <c r="G19" t="s">
        <v>89</v>
      </c>
      <c r="I19">
        <v>1</v>
      </c>
      <c r="J19" t="s">
        <v>63</v>
      </c>
      <c r="K19">
        <v>73</v>
      </c>
      <c r="L19" t="s">
        <v>90</v>
      </c>
      <c r="M19" s="4">
        <v>12000</v>
      </c>
      <c r="P19" s="2">
        <v>45735</v>
      </c>
      <c r="R19">
        <v>12</v>
      </c>
      <c r="S19" s="4">
        <v>144000</v>
      </c>
      <c r="T19" t="s">
        <v>65</v>
      </c>
      <c r="U19">
        <v>80256220001</v>
      </c>
      <c r="V19">
        <v>0</v>
      </c>
      <c r="W19" s="4">
        <v>144000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8025622</v>
      </c>
      <c r="AN19" t="s">
        <v>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3926</v>
      </c>
      <c r="BA19">
        <v>0</v>
      </c>
      <c r="BC19" t="s">
        <v>91</v>
      </c>
      <c r="BF19" t="s">
        <v>3927</v>
      </c>
    </row>
    <row r="20" spans="1:58" x14ac:dyDescent="0.35">
      <c r="A20" t="s">
        <v>4174</v>
      </c>
      <c r="B20">
        <v>10000</v>
      </c>
      <c r="C20">
        <v>10000</v>
      </c>
      <c r="D20" s="2">
        <v>45735</v>
      </c>
      <c r="E20" t="s">
        <v>61</v>
      </c>
      <c r="F20" t="s">
        <v>4175</v>
      </c>
      <c r="G20" t="s">
        <v>418</v>
      </c>
      <c r="I20">
        <v>1</v>
      </c>
      <c r="J20" t="s">
        <v>63</v>
      </c>
      <c r="K20">
        <v>59</v>
      </c>
      <c r="L20" t="s">
        <v>745</v>
      </c>
      <c r="M20">
        <v>100</v>
      </c>
      <c r="P20" s="2">
        <v>45735</v>
      </c>
      <c r="R20">
        <v>10</v>
      </c>
      <c r="S20" s="4">
        <v>1000</v>
      </c>
      <c r="T20" t="s">
        <v>65</v>
      </c>
      <c r="U20">
        <v>112024410001</v>
      </c>
      <c r="V20">
        <v>0</v>
      </c>
      <c r="W20" s="4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11202441</v>
      </c>
      <c r="AN20" t="s">
        <v>182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4176</v>
      </c>
      <c r="BA20">
        <v>0</v>
      </c>
      <c r="BC20" t="s">
        <v>182</v>
      </c>
      <c r="BF20" t="s">
        <v>4177</v>
      </c>
    </row>
    <row r="21" spans="1:58" x14ac:dyDescent="0.35">
      <c r="A21" t="s">
        <v>4174</v>
      </c>
      <c r="B21">
        <v>20000</v>
      </c>
      <c r="C21">
        <v>10000</v>
      </c>
      <c r="D21" s="2">
        <v>45735</v>
      </c>
      <c r="E21" t="s">
        <v>61</v>
      </c>
      <c r="F21" t="s">
        <v>4175</v>
      </c>
      <c r="G21" t="s">
        <v>418</v>
      </c>
      <c r="I21">
        <v>1</v>
      </c>
      <c r="J21" t="s">
        <v>63</v>
      </c>
      <c r="K21">
        <v>59</v>
      </c>
      <c r="L21" t="s">
        <v>745</v>
      </c>
      <c r="M21">
        <v>100</v>
      </c>
      <c r="P21" s="2">
        <v>45735</v>
      </c>
      <c r="R21">
        <v>10</v>
      </c>
      <c r="S21" s="4">
        <v>1000</v>
      </c>
      <c r="T21" t="s">
        <v>65</v>
      </c>
      <c r="U21">
        <v>112024410001</v>
      </c>
      <c r="V21">
        <v>0</v>
      </c>
      <c r="W21" s="4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11202441</v>
      </c>
      <c r="AN21" t="s">
        <v>182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4176</v>
      </c>
      <c r="BA21">
        <v>0</v>
      </c>
      <c r="BC21" t="s">
        <v>182</v>
      </c>
      <c r="BF21" t="s">
        <v>4177</v>
      </c>
    </row>
    <row r="22" spans="1:58" x14ac:dyDescent="0.35">
      <c r="A22" t="s">
        <v>4178</v>
      </c>
      <c r="B22">
        <v>10000</v>
      </c>
      <c r="C22">
        <v>10000</v>
      </c>
      <c r="D22" s="2">
        <v>45735</v>
      </c>
      <c r="E22" t="s">
        <v>61</v>
      </c>
      <c r="F22" t="s">
        <v>4179</v>
      </c>
      <c r="G22" t="s">
        <v>418</v>
      </c>
      <c r="I22">
        <v>1</v>
      </c>
      <c r="J22" t="s">
        <v>63</v>
      </c>
      <c r="K22">
        <v>59</v>
      </c>
      <c r="L22" t="s">
        <v>745</v>
      </c>
      <c r="M22" s="4">
        <v>1000</v>
      </c>
      <c r="P22" s="2">
        <v>45735</v>
      </c>
      <c r="R22">
        <v>10</v>
      </c>
      <c r="S22" s="4">
        <v>10000</v>
      </c>
      <c r="T22" t="s">
        <v>65</v>
      </c>
      <c r="U22">
        <v>112023700001</v>
      </c>
      <c r="V22">
        <v>0</v>
      </c>
      <c r="W22" s="4">
        <v>10000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11202370</v>
      </c>
      <c r="AN22" t="s">
        <v>182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4180</v>
      </c>
      <c r="BA22">
        <v>0</v>
      </c>
      <c r="BC22" t="s">
        <v>182</v>
      </c>
      <c r="BF22" t="s">
        <v>4181</v>
      </c>
    </row>
    <row r="23" spans="1:58" x14ac:dyDescent="0.35">
      <c r="A23" t="s">
        <v>4178</v>
      </c>
      <c r="B23">
        <v>20000</v>
      </c>
      <c r="C23">
        <v>10000</v>
      </c>
      <c r="D23" s="2">
        <v>45735</v>
      </c>
      <c r="E23" t="s">
        <v>61</v>
      </c>
      <c r="F23" t="s">
        <v>4179</v>
      </c>
      <c r="G23" t="s">
        <v>418</v>
      </c>
      <c r="I23">
        <v>1</v>
      </c>
      <c r="J23" t="s">
        <v>63</v>
      </c>
      <c r="K23">
        <v>59</v>
      </c>
      <c r="L23" t="s">
        <v>745</v>
      </c>
      <c r="M23" s="4">
        <v>1000</v>
      </c>
      <c r="P23" s="2">
        <v>45735</v>
      </c>
      <c r="R23">
        <v>10</v>
      </c>
      <c r="S23" s="4">
        <v>10000</v>
      </c>
      <c r="T23" t="s">
        <v>65</v>
      </c>
      <c r="U23">
        <v>112023700001</v>
      </c>
      <c r="V23">
        <v>0</v>
      </c>
      <c r="W23" s="4">
        <v>10000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11202370</v>
      </c>
      <c r="AN23" t="s">
        <v>182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4180</v>
      </c>
      <c r="BA23">
        <v>0</v>
      </c>
      <c r="BC23" t="s">
        <v>182</v>
      </c>
      <c r="BF23" t="s">
        <v>4181</v>
      </c>
    </row>
    <row r="24" spans="1:58" x14ac:dyDescent="0.35">
      <c r="A24" t="s">
        <v>4178</v>
      </c>
      <c r="B24">
        <v>30000</v>
      </c>
      <c r="C24">
        <v>10000</v>
      </c>
      <c r="D24" s="2">
        <v>45735</v>
      </c>
      <c r="E24" t="s">
        <v>61</v>
      </c>
      <c r="F24" t="s">
        <v>4179</v>
      </c>
      <c r="G24" t="s">
        <v>418</v>
      </c>
      <c r="I24">
        <v>1</v>
      </c>
      <c r="J24" t="s">
        <v>63</v>
      </c>
      <c r="K24">
        <v>59</v>
      </c>
      <c r="L24" t="s">
        <v>745</v>
      </c>
      <c r="M24" s="4">
        <v>1000</v>
      </c>
      <c r="P24" s="2">
        <v>45735</v>
      </c>
      <c r="R24">
        <v>10</v>
      </c>
      <c r="S24" s="4">
        <v>10000</v>
      </c>
      <c r="T24" t="s">
        <v>65</v>
      </c>
      <c r="U24">
        <v>112023700001</v>
      </c>
      <c r="V24">
        <v>0</v>
      </c>
      <c r="W24" s="4">
        <v>10000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11202370</v>
      </c>
      <c r="AN24" t="s">
        <v>182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4180</v>
      </c>
      <c r="BA24">
        <v>0</v>
      </c>
      <c r="BC24" t="s">
        <v>182</v>
      </c>
      <c r="BF24" t="s">
        <v>4181</v>
      </c>
    </row>
    <row r="25" spans="1:58" x14ac:dyDescent="0.35">
      <c r="A25" t="s">
        <v>3928</v>
      </c>
      <c r="B25">
        <v>20000</v>
      </c>
      <c r="C25">
        <v>20000</v>
      </c>
      <c r="D25" s="2">
        <v>45741</v>
      </c>
      <c r="E25" t="s">
        <v>61</v>
      </c>
      <c r="F25" s="3">
        <v>0.44512731481481482</v>
      </c>
      <c r="G25" t="s">
        <v>3929</v>
      </c>
      <c r="I25">
        <v>1</v>
      </c>
      <c r="J25" t="s">
        <v>63</v>
      </c>
      <c r="K25">
        <v>103</v>
      </c>
      <c r="L25" t="s">
        <v>733</v>
      </c>
      <c r="M25" s="4">
        <v>43125</v>
      </c>
      <c r="P25" s="2">
        <v>45735</v>
      </c>
      <c r="R25">
        <v>8</v>
      </c>
      <c r="S25" s="4">
        <v>345000</v>
      </c>
      <c r="T25" t="s">
        <v>65</v>
      </c>
      <c r="U25" t="s">
        <v>319</v>
      </c>
      <c r="V25">
        <v>0</v>
      </c>
      <c r="W25" s="4">
        <v>345000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320</v>
      </c>
      <c r="AN25" t="s">
        <v>321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3930</v>
      </c>
      <c r="BA25">
        <v>0</v>
      </c>
      <c r="BC25" t="s">
        <v>321</v>
      </c>
      <c r="BF25" t="s">
        <v>3931</v>
      </c>
    </row>
    <row r="26" spans="1:58" x14ac:dyDescent="0.35">
      <c r="A26" t="s">
        <v>3928</v>
      </c>
      <c r="B26">
        <v>20000</v>
      </c>
      <c r="C26">
        <v>30000</v>
      </c>
      <c r="D26" s="2">
        <v>45741</v>
      </c>
      <c r="E26" t="s">
        <v>61</v>
      </c>
      <c r="F26" s="3">
        <v>0.44512731481481482</v>
      </c>
      <c r="G26" t="s">
        <v>3929</v>
      </c>
      <c r="I26">
        <v>1</v>
      </c>
      <c r="J26" t="s">
        <v>63</v>
      </c>
      <c r="K26" t="s">
        <v>317</v>
      </c>
      <c r="L26" t="s">
        <v>732</v>
      </c>
      <c r="M26" s="4">
        <v>22500</v>
      </c>
      <c r="P26" s="2">
        <v>45735</v>
      </c>
      <c r="R26">
        <v>8</v>
      </c>
      <c r="S26" s="4">
        <v>180000</v>
      </c>
      <c r="T26" t="s">
        <v>65</v>
      </c>
      <c r="U26" t="s">
        <v>319</v>
      </c>
      <c r="V26">
        <v>0</v>
      </c>
      <c r="W26" s="4">
        <v>180000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320</v>
      </c>
      <c r="AN26" t="s">
        <v>321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3930</v>
      </c>
      <c r="BA26">
        <v>0</v>
      </c>
      <c r="BC26" t="s">
        <v>321</v>
      </c>
      <c r="BF26" t="s">
        <v>3931</v>
      </c>
    </row>
    <row r="27" spans="1:58" x14ac:dyDescent="0.35">
      <c r="A27" t="s">
        <v>4182</v>
      </c>
      <c r="B27">
        <v>10000</v>
      </c>
      <c r="C27">
        <v>10000</v>
      </c>
      <c r="D27" s="2">
        <v>45741</v>
      </c>
      <c r="E27" t="s">
        <v>61</v>
      </c>
      <c r="F27" t="s">
        <v>4183</v>
      </c>
      <c r="G27" t="s">
        <v>4156</v>
      </c>
      <c r="I27">
        <v>1</v>
      </c>
      <c r="J27" t="s">
        <v>63</v>
      </c>
      <c r="K27">
        <v>79</v>
      </c>
      <c r="L27" t="s">
        <v>573</v>
      </c>
      <c r="M27" s="4">
        <v>4260</v>
      </c>
      <c r="P27" s="2">
        <v>45735</v>
      </c>
      <c r="R27">
        <v>27</v>
      </c>
      <c r="S27" s="4">
        <v>115020</v>
      </c>
      <c r="T27" t="s">
        <v>65</v>
      </c>
      <c r="U27" t="s">
        <v>4184</v>
      </c>
      <c r="V27">
        <v>0</v>
      </c>
      <c r="W27" s="4">
        <v>100000</v>
      </c>
      <c r="X27" s="4">
        <v>15020</v>
      </c>
      <c r="Y27">
        <v>0</v>
      </c>
      <c r="Z27">
        <v>0</v>
      </c>
      <c r="AA27">
        <v>0</v>
      </c>
      <c r="AD27">
        <v>0</v>
      </c>
      <c r="AM27" t="s">
        <v>4185</v>
      </c>
      <c r="AN27" t="s">
        <v>107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4186</v>
      </c>
      <c r="BA27">
        <v>0</v>
      </c>
      <c r="BC27" t="s">
        <v>107</v>
      </c>
      <c r="BF27" t="s">
        <v>4187</v>
      </c>
    </row>
    <row r="28" spans="1:58" x14ac:dyDescent="0.35">
      <c r="A28" t="s">
        <v>1796</v>
      </c>
      <c r="B28">
        <v>10000</v>
      </c>
      <c r="C28">
        <v>30000</v>
      </c>
      <c r="D28" s="2">
        <v>45740</v>
      </c>
      <c r="E28" t="s">
        <v>61</v>
      </c>
      <c r="F28" t="s">
        <v>1797</v>
      </c>
      <c r="G28">
        <v>10639931011</v>
      </c>
      <c r="I28">
        <v>3</v>
      </c>
      <c r="J28" t="s">
        <v>63</v>
      </c>
      <c r="K28">
        <v>85</v>
      </c>
      <c r="L28" t="s">
        <v>104</v>
      </c>
      <c r="M28" s="4">
        <v>18182</v>
      </c>
      <c r="P28" s="2">
        <v>45735</v>
      </c>
      <c r="R28">
        <v>11</v>
      </c>
      <c r="S28" s="4">
        <v>200002</v>
      </c>
      <c r="T28" t="s">
        <v>65</v>
      </c>
      <c r="U28" t="s">
        <v>1798</v>
      </c>
      <c r="V28">
        <v>0</v>
      </c>
      <c r="W28" s="4">
        <v>180000</v>
      </c>
      <c r="X28" s="4">
        <v>20002</v>
      </c>
      <c r="Y28">
        <v>0</v>
      </c>
      <c r="Z28">
        <v>0</v>
      </c>
      <c r="AA28">
        <v>0</v>
      </c>
      <c r="AD28">
        <v>0</v>
      </c>
      <c r="AM28" t="s">
        <v>1799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1800</v>
      </c>
      <c r="BA28">
        <v>0</v>
      </c>
      <c r="BC28" t="s">
        <v>107</v>
      </c>
      <c r="BF28" t="s">
        <v>1801</v>
      </c>
    </row>
    <row r="29" spans="1:58" x14ac:dyDescent="0.35">
      <c r="A29" t="s">
        <v>4188</v>
      </c>
      <c r="B29">
        <v>10000</v>
      </c>
      <c r="C29">
        <v>10000</v>
      </c>
      <c r="D29" s="2">
        <v>45741</v>
      </c>
      <c r="E29" t="s">
        <v>61</v>
      </c>
      <c r="F29" t="s">
        <v>1345</v>
      </c>
      <c r="G29" t="s">
        <v>4156</v>
      </c>
      <c r="I29">
        <v>1</v>
      </c>
      <c r="J29" t="s">
        <v>63</v>
      </c>
      <c r="K29">
        <v>79</v>
      </c>
      <c r="L29" t="s">
        <v>573</v>
      </c>
      <c r="M29" s="4">
        <v>4260</v>
      </c>
      <c r="P29" s="2">
        <v>45735</v>
      </c>
      <c r="R29">
        <v>27</v>
      </c>
      <c r="S29" s="4">
        <v>115020</v>
      </c>
      <c r="T29" t="s">
        <v>65</v>
      </c>
      <c r="U29" t="s">
        <v>4189</v>
      </c>
      <c r="V29">
        <v>0</v>
      </c>
      <c r="W29" s="4">
        <v>100000</v>
      </c>
      <c r="X29" s="4">
        <v>15020</v>
      </c>
      <c r="Y29">
        <v>0</v>
      </c>
      <c r="Z29">
        <v>0</v>
      </c>
      <c r="AA29">
        <v>0</v>
      </c>
      <c r="AD29">
        <v>0</v>
      </c>
      <c r="AM29" t="s">
        <v>4190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4191</v>
      </c>
      <c r="BA29">
        <v>0</v>
      </c>
      <c r="BC29" t="s">
        <v>107</v>
      </c>
      <c r="BF29" t="s">
        <v>4192</v>
      </c>
    </row>
    <row r="30" spans="1:58" x14ac:dyDescent="0.35">
      <c r="A30" t="s">
        <v>4193</v>
      </c>
      <c r="B30">
        <v>10000</v>
      </c>
      <c r="C30">
        <v>10000</v>
      </c>
      <c r="D30" s="2">
        <v>45741</v>
      </c>
      <c r="E30" t="s">
        <v>61</v>
      </c>
      <c r="F30" t="s">
        <v>4194</v>
      </c>
      <c r="G30" t="s">
        <v>4156</v>
      </c>
      <c r="I30">
        <v>1</v>
      </c>
      <c r="J30" t="s">
        <v>63</v>
      </c>
      <c r="K30">
        <v>79</v>
      </c>
      <c r="L30" t="s">
        <v>573</v>
      </c>
      <c r="M30" s="4">
        <v>4260</v>
      </c>
      <c r="P30" s="2">
        <v>45735</v>
      </c>
      <c r="R30">
        <v>27</v>
      </c>
      <c r="S30" s="4">
        <v>115020</v>
      </c>
      <c r="T30" t="s">
        <v>65</v>
      </c>
      <c r="U30" t="s">
        <v>814</v>
      </c>
      <c r="V30">
        <v>0</v>
      </c>
      <c r="W30" s="4">
        <v>100000</v>
      </c>
      <c r="X30" s="4">
        <v>15020</v>
      </c>
      <c r="Y30">
        <v>0</v>
      </c>
      <c r="Z30">
        <v>0</v>
      </c>
      <c r="AA30">
        <v>0</v>
      </c>
      <c r="AD30">
        <v>0</v>
      </c>
      <c r="AM30" t="s">
        <v>815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4195</v>
      </c>
      <c r="BA30">
        <v>0</v>
      </c>
      <c r="BC30" t="s">
        <v>107</v>
      </c>
      <c r="BF30" t="s">
        <v>4196</v>
      </c>
    </row>
    <row r="31" spans="1:58" x14ac:dyDescent="0.35">
      <c r="A31" t="s">
        <v>4197</v>
      </c>
      <c r="B31">
        <v>10000</v>
      </c>
      <c r="C31">
        <v>10000</v>
      </c>
      <c r="D31" s="2">
        <v>45735</v>
      </c>
      <c r="E31" t="s">
        <v>61</v>
      </c>
      <c r="F31" t="s">
        <v>4198</v>
      </c>
      <c r="G31" t="s">
        <v>2069</v>
      </c>
      <c r="I31">
        <v>1</v>
      </c>
      <c r="J31" t="s">
        <v>63</v>
      </c>
      <c r="K31">
        <v>94</v>
      </c>
      <c r="L31" t="s">
        <v>181</v>
      </c>
      <c r="M31" s="4">
        <v>5000</v>
      </c>
      <c r="P31" s="2">
        <v>45735</v>
      </c>
      <c r="R31">
        <v>4</v>
      </c>
      <c r="S31" s="4">
        <v>20000</v>
      </c>
      <c r="T31" t="s">
        <v>65</v>
      </c>
      <c r="U31" t="s">
        <v>3859</v>
      </c>
      <c r="V31">
        <v>0</v>
      </c>
      <c r="W31" s="4">
        <v>20000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3860</v>
      </c>
      <c r="AN31" t="s">
        <v>364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4199</v>
      </c>
      <c r="BA31">
        <v>0</v>
      </c>
      <c r="BC31" t="s">
        <v>364</v>
      </c>
      <c r="BF31" t="s">
        <v>4200</v>
      </c>
    </row>
    <row r="32" spans="1:58" x14ac:dyDescent="0.35">
      <c r="A32" t="s">
        <v>4201</v>
      </c>
      <c r="B32">
        <v>10000</v>
      </c>
      <c r="C32">
        <v>10000</v>
      </c>
      <c r="D32" s="2">
        <v>45736</v>
      </c>
      <c r="E32" t="s">
        <v>61</v>
      </c>
      <c r="F32" t="s">
        <v>4202</v>
      </c>
      <c r="G32" t="s">
        <v>418</v>
      </c>
      <c r="I32">
        <v>1</v>
      </c>
      <c r="J32" t="s">
        <v>63</v>
      </c>
      <c r="K32">
        <v>59</v>
      </c>
      <c r="L32" t="s">
        <v>745</v>
      </c>
      <c r="M32" s="4">
        <v>2000</v>
      </c>
      <c r="P32" s="2">
        <v>45735</v>
      </c>
      <c r="R32">
        <v>10</v>
      </c>
      <c r="S32" s="4">
        <v>20000</v>
      </c>
      <c r="T32" t="s">
        <v>65</v>
      </c>
      <c r="U32">
        <v>112023530001</v>
      </c>
      <c r="V32">
        <v>0</v>
      </c>
      <c r="W32" s="4">
        <v>20000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11202353</v>
      </c>
      <c r="AN32" t="s">
        <v>2825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4203</v>
      </c>
      <c r="BA32">
        <v>0</v>
      </c>
      <c r="BC32" t="s">
        <v>2825</v>
      </c>
      <c r="BF32" t="s">
        <v>4204</v>
      </c>
    </row>
    <row r="33" spans="1:58" x14ac:dyDescent="0.35">
      <c r="A33" t="s">
        <v>4205</v>
      </c>
      <c r="B33">
        <v>10000</v>
      </c>
      <c r="C33">
        <v>10000</v>
      </c>
      <c r="D33" s="2">
        <v>45735</v>
      </c>
      <c r="E33" t="s">
        <v>61</v>
      </c>
      <c r="F33" s="3">
        <v>0.47158564814814813</v>
      </c>
      <c r="G33" t="s">
        <v>4206</v>
      </c>
      <c r="I33">
        <v>1</v>
      </c>
      <c r="J33" t="s">
        <v>63</v>
      </c>
      <c r="K33">
        <v>65</v>
      </c>
      <c r="L33" t="s">
        <v>268</v>
      </c>
      <c r="M33" s="4">
        <v>2101</v>
      </c>
      <c r="P33" s="2">
        <v>45735</v>
      </c>
      <c r="R33">
        <v>8</v>
      </c>
      <c r="S33" s="4">
        <v>16808</v>
      </c>
      <c r="T33" t="s">
        <v>65</v>
      </c>
      <c r="U33">
        <v>150638440001</v>
      </c>
      <c r="V33">
        <v>0</v>
      </c>
      <c r="W33" s="4">
        <v>16806</v>
      </c>
      <c r="X33">
        <v>2</v>
      </c>
      <c r="Y33">
        <v>0</v>
      </c>
      <c r="Z33">
        <v>0</v>
      </c>
      <c r="AA33">
        <v>0</v>
      </c>
      <c r="AD33">
        <v>0</v>
      </c>
      <c r="AM33">
        <v>15063844</v>
      </c>
      <c r="AN33" t="s">
        <v>311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4207</v>
      </c>
      <c r="BA33">
        <v>0</v>
      </c>
      <c r="BC33" t="s">
        <v>311</v>
      </c>
      <c r="BF33" t="s">
        <v>4208</v>
      </c>
    </row>
    <row r="34" spans="1:58" x14ac:dyDescent="0.35">
      <c r="A34" t="s">
        <v>4209</v>
      </c>
      <c r="B34">
        <v>10000</v>
      </c>
      <c r="C34">
        <v>10000</v>
      </c>
      <c r="D34" s="2">
        <v>45736</v>
      </c>
      <c r="E34" t="s">
        <v>61</v>
      </c>
      <c r="F34" t="s">
        <v>4210</v>
      </c>
      <c r="G34" t="s">
        <v>4211</v>
      </c>
      <c r="I34">
        <v>1</v>
      </c>
      <c r="J34" t="s">
        <v>63</v>
      </c>
      <c r="K34">
        <v>72</v>
      </c>
      <c r="L34" t="s">
        <v>163</v>
      </c>
      <c r="M34" s="4">
        <v>1000</v>
      </c>
      <c r="P34" s="2">
        <v>45735</v>
      </c>
      <c r="R34">
        <v>3</v>
      </c>
      <c r="S34" s="4">
        <v>3000</v>
      </c>
      <c r="T34" t="s">
        <v>65</v>
      </c>
      <c r="U34" t="s">
        <v>4212</v>
      </c>
      <c r="V34">
        <v>0</v>
      </c>
      <c r="W34" s="4">
        <v>1000</v>
      </c>
      <c r="X34" s="4">
        <v>2000</v>
      </c>
      <c r="Y34">
        <v>0</v>
      </c>
      <c r="Z34">
        <v>0</v>
      </c>
      <c r="AA34">
        <v>0</v>
      </c>
      <c r="AD34">
        <v>0</v>
      </c>
      <c r="AM34" t="s">
        <v>4213</v>
      </c>
      <c r="AN34" t="s">
        <v>3168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4214</v>
      </c>
      <c r="BA34">
        <v>0</v>
      </c>
      <c r="BC34" t="s">
        <v>3168</v>
      </c>
      <c r="BF34" t="s">
        <v>4215</v>
      </c>
    </row>
    <row r="35" spans="1:58" x14ac:dyDescent="0.35">
      <c r="A35" t="s">
        <v>3164</v>
      </c>
      <c r="B35">
        <v>10000</v>
      </c>
      <c r="C35">
        <v>40000</v>
      </c>
      <c r="D35" s="2">
        <v>45736</v>
      </c>
      <c r="E35" t="s">
        <v>61</v>
      </c>
      <c r="F35" t="s">
        <v>4216</v>
      </c>
      <c r="G35">
        <v>860908144578</v>
      </c>
      <c r="I35">
        <v>1</v>
      </c>
      <c r="J35" t="s">
        <v>63</v>
      </c>
      <c r="K35">
        <v>72</v>
      </c>
      <c r="L35" t="s">
        <v>163</v>
      </c>
      <c r="M35" s="4">
        <v>1200</v>
      </c>
      <c r="P35" s="2">
        <v>45735</v>
      </c>
      <c r="R35">
        <v>3</v>
      </c>
      <c r="S35" s="4">
        <v>3600</v>
      </c>
      <c r="T35" t="s">
        <v>65</v>
      </c>
      <c r="U35" t="s">
        <v>3166</v>
      </c>
      <c r="V35">
        <v>0</v>
      </c>
      <c r="W35" s="4">
        <v>2700</v>
      </c>
      <c r="X35">
        <v>900</v>
      </c>
      <c r="Y35">
        <v>0</v>
      </c>
      <c r="Z35">
        <v>0</v>
      </c>
      <c r="AA35">
        <v>0</v>
      </c>
      <c r="AD35">
        <v>0</v>
      </c>
      <c r="AM35" t="s">
        <v>3167</v>
      </c>
      <c r="AN35" t="s">
        <v>3168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3169</v>
      </c>
      <c r="BA35">
        <v>0</v>
      </c>
      <c r="BC35" t="s">
        <v>3168</v>
      </c>
      <c r="BF35" t="s">
        <v>3170</v>
      </c>
    </row>
    <row r="36" spans="1:58" x14ac:dyDescent="0.35">
      <c r="A36" t="s">
        <v>4217</v>
      </c>
      <c r="B36">
        <v>10000</v>
      </c>
      <c r="C36">
        <v>20000</v>
      </c>
      <c r="D36" s="2">
        <v>45744</v>
      </c>
      <c r="E36" t="s">
        <v>61</v>
      </c>
      <c r="F36" t="s">
        <v>310</v>
      </c>
      <c r="G36" t="s">
        <v>4218</v>
      </c>
      <c r="I36">
        <v>1</v>
      </c>
      <c r="J36" t="s">
        <v>63</v>
      </c>
      <c r="K36">
        <v>79</v>
      </c>
      <c r="L36" t="s">
        <v>573</v>
      </c>
      <c r="M36" s="4">
        <v>4108</v>
      </c>
      <c r="P36" s="2">
        <v>45735</v>
      </c>
      <c r="R36">
        <v>28</v>
      </c>
      <c r="S36" s="4">
        <v>115024</v>
      </c>
      <c r="T36" t="s">
        <v>65</v>
      </c>
      <c r="U36" t="s">
        <v>1218</v>
      </c>
      <c r="V36">
        <v>0</v>
      </c>
      <c r="W36" s="4">
        <v>100000</v>
      </c>
      <c r="X36" s="4">
        <v>15024</v>
      </c>
      <c r="Y36">
        <v>0</v>
      </c>
      <c r="Z36">
        <v>0</v>
      </c>
      <c r="AA36">
        <v>0</v>
      </c>
      <c r="AD36">
        <v>0</v>
      </c>
      <c r="AM36" t="s">
        <v>1219</v>
      </c>
      <c r="AN36" t="s">
        <v>107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4219</v>
      </c>
      <c r="BA36">
        <v>0</v>
      </c>
      <c r="BC36" t="s">
        <v>107</v>
      </c>
      <c r="BF36" t="s">
        <v>4220</v>
      </c>
    </row>
    <row r="37" spans="1:58" x14ac:dyDescent="0.35">
      <c r="A37" t="s">
        <v>4221</v>
      </c>
      <c r="B37">
        <v>10000</v>
      </c>
      <c r="C37">
        <v>10000</v>
      </c>
      <c r="D37" s="2">
        <v>45735</v>
      </c>
      <c r="E37" t="s">
        <v>61</v>
      </c>
      <c r="F37" t="s">
        <v>4222</v>
      </c>
      <c r="G37" t="s">
        <v>4223</v>
      </c>
      <c r="I37">
        <v>1</v>
      </c>
      <c r="J37" t="s">
        <v>63</v>
      </c>
      <c r="K37">
        <v>29</v>
      </c>
      <c r="L37" t="s">
        <v>249</v>
      </c>
      <c r="M37" s="4">
        <v>4000</v>
      </c>
      <c r="P37" s="2">
        <v>45735</v>
      </c>
      <c r="R37">
        <v>1</v>
      </c>
      <c r="S37" s="4">
        <v>4000</v>
      </c>
      <c r="T37" t="s">
        <v>65</v>
      </c>
      <c r="U37" t="s">
        <v>4224</v>
      </c>
      <c r="V37">
        <v>0</v>
      </c>
      <c r="W37" s="4">
        <v>4000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4225</v>
      </c>
      <c r="AN37" t="s">
        <v>1892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4226</v>
      </c>
      <c r="BA37">
        <v>0</v>
      </c>
      <c r="BC37" t="s">
        <v>1892</v>
      </c>
      <c r="BF37" t="s">
        <v>4227</v>
      </c>
    </row>
    <row r="38" spans="1:58" x14ac:dyDescent="0.35">
      <c r="A38" t="s">
        <v>4228</v>
      </c>
      <c r="B38">
        <v>10000</v>
      </c>
      <c r="C38">
        <v>10000</v>
      </c>
      <c r="D38" s="2">
        <v>45741</v>
      </c>
      <c r="E38" t="s">
        <v>61</v>
      </c>
      <c r="F38" t="s">
        <v>4229</v>
      </c>
      <c r="G38" t="s">
        <v>4156</v>
      </c>
      <c r="I38">
        <v>1</v>
      </c>
      <c r="J38" t="s">
        <v>63</v>
      </c>
      <c r="K38">
        <v>79</v>
      </c>
      <c r="L38" t="s">
        <v>573</v>
      </c>
      <c r="M38" s="4">
        <v>4260</v>
      </c>
      <c r="P38" s="2">
        <v>45735</v>
      </c>
      <c r="R38">
        <v>27</v>
      </c>
      <c r="S38" s="4">
        <v>115020</v>
      </c>
      <c r="T38" t="s">
        <v>65</v>
      </c>
      <c r="U38" t="s">
        <v>820</v>
      </c>
      <c r="V38">
        <v>0</v>
      </c>
      <c r="W38" s="4">
        <v>100000</v>
      </c>
      <c r="X38" s="4">
        <v>15020</v>
      </c>
      <c r="Y38">
        <v>0</v>
      </c>
      <c r="Z38">
        <v>0</v>
      </c>
      <c r="AA38">
        <v>0</v>
      </c>
      <c r="AD38">
        <v>0</v>
      </c>
      <c r="AM38" t="s">
        <v>821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4230</v>
      </c>
      <c r="BA38">
        <v>0</v>
      </c>
      <c r="BC38" t="s">
        <v>107</v>
      </c>
      <c r="BF38" t="s">
        <v>4231</v>
      </c>
    </row>
    <row r="39" spans="1:58" x14ac:dyDescent="0.35">
      <c r="A39" t="s">
        <v>4232</v>
      </c>
      <c r="B39">
        <v>10000</v>
      </c>
      <c r="C39">
        <v>10000</v>
      </c>
      <c r="D39" s="2">
        <v>45736</v>
      </c>
      <c r="E39" t="s">
        <v>61</v>
      </c>
      <c r="F39" s="3">
        <v>0.54069444444444448</v>
      </c>
      <c r="G39">
        <v>1006323</v>
      </c>
      <c r="I39">
        <v>1</v>
      </c>
      <c r="J39" t="s">
        <v>63</v>
      </c>
      <c r="K39">
        <v>63</v>
      </c>
      <c r="L39" t="s">
        <v>519</v>
      </c>
      <c r="M39" s="4">
        <v>2400</v>
      </c>
      <c r="P39" s="2">
        <v>45735</v>
      </c>
      <c r="R39">
        <v>50</v>
      </c>
      <c r="S39" s="4">
        <v>120000</v>
      </c>
      <c r="T39" t="s">
        <v>65</v>
      </c>
      <c r="U39" t="s">
        <v>4233</v>
      </c>
      <c r="V39">
        <v>0</v>
      </c>
      <c r="W39" s="4">
        <v>120000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4234</v>
      </c>
      <c r="AN39" t="s">
        <v>157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4235</v>
      </c>
      <c r="BA39">
        <v>0</v>
      </c>
      <c r="BC39" t="s">
        <v>157</v>
      </c>
      <c r="BF39" t="s">
        <v>4236</v>
      </c>
    </row>
    <row r="40" spans="1:58" x14ac:dyDescent="0.35">
      <c r="A40" t="s">
        <v>4237</v>
      </c>
      <c r="B40">
        <v>10000</v>
      </c>
      <c r="C40">
        <v>20000</v>
      </c>
      <c r="D40" s="2">
        <v>45736</v>
      </c>
      <c r="E40" t="s">
        <v>61</v>
      </c>
      <c r="F40" s="3">
        <v>0.54069444444444448</v>
      </c>
      <c r="G40">
        <v>8628207</v>
      </c>
      <c r="I40">
        <v>1</v>
      </c>
      <c r="J40" t="s">
        <v>63</v>
      </c>
      <c r="K40">
        <v>63</v>
      </c>
      <c r="L40" t="s">
        <v>519</v>
      </c>
      <c r="M40" s="4">
        <v>8572</v>
      </c>
      <c r="P40" s="2">
        <v>45735</v>
      </c>
      <c r="R40">
        <v>14</v>
      </c>
      <c r="S40" s="4">
        <v>120008</v>
      </c>
      <c r="T40" t="s">
        <v>65</v>
      </c>
      <c r="U40" t="s">
        <v>3962</v>
      </c>
      <c r="V40">
        <v>0</v>
      </c>
      <c r="W40" s="4">
        <v>120000</v>
      </c>
      <c r="X40">
        <v>8</v>
      </c>
      <c r="Y40">
        <v>0</v>
      </c>
      <c r="Z40">
        <v>0</v>
      </c>
      <c r="AA40">
        <v>0</v>
      </c>
      <c r="AD40">
        <v>0</v>
      </c>
      <c r="AM40" t="s">
        <v>3963</v>
      </c>
      <c r="AN40" t="s">
        <v>157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4238</v>
      </c>
      <c r="BA40">
        <v>0</v>
      </c>
      <c r="BC40" t="s">
        <v>157</v>
      </c>
      <c r="BF40" t="s">
        <v>4239</v>
      </c>
    </row>
    <row r="41" spans="1:58" x14ac:dyDescent="0.35">
      <c r="A41" t="s">
        <v>4240</v>
      </c>
      <c r="B41">
        <v>10000</v>
      </c>
      <c r="C41">
        <v>10000</v>
      </c>
      <c r="D41" s="2">
        <v>45736</v>
      </c>
      <c r="E41" t="s">
        <v>61</v>
      </c>
      <c r="F41" s="3">
        <v>0.54069444444444448</v>
      </c>
      <c r="G41">
        <v>1006323</v>
      </c>
      <c r="I41">
        <v>1</v>
      </c>
      <c r="J41" t="s">
        <v>63</v>
      </c>
      <c r="K41">
        <v>63</v>
      </c>
      <c r="L41" t="s">
        <v>519</v>
      </c>
      <c r="M41" s="4">
        <v>1600</v>
      </c>
      <c r="P41" s="2">
        <v>45735</v>
      </c>
      <c r="R41">
        <v>50</v>
      </c>
      <c r="S41" s="4">
        <v>80000</v>
      </c>
      <c r="T41" t="s">
        <v>65</v>
      </c>
      <c r="U41" t="s">
        <v>4233</v>
      </c>
      <c r="V41">
        <v>0</v>
      </c>
      <c r="W41" s="4">
        <v>80000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4234</v>
      </c>
      <c r="AN41" t="s">
        <v>175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4241</v>
      </c>
      <c r="BA41">
        <v>0</v>
      </c>
      <c r="BC41" t="s">
        <v>175</v>
      </c>
      <c r="BF41" t="s">
        <v>4242</v>
      </c>
    </row>
    <row r="42" spans="1:58" x14ac:dyDescent="0.35">
      <c r="A42" t="s">
        <v>4243</v>
      </c>
      <c r="B42">
        <v>10000</v>
      </c>
      <c r="C42">
        <v>10000</v>
      </c>
      <c r="D42" s="2">
        <v>45737</v>
      </c>
      <c r="E42" t="s">
        <v>61</v>
      </c>
      <c r="F42" t="s">
        <v>4244</v>
      </c>
      <c r="G42" t="s">
        <v>4245</v>
      </c>
      <c r="I42">
        <v>1</v>
      </c>
      <c r="J42" t="s">
        <v>63</v>
      </c>
      <c r="K42">
        <v>63</v>
      </c>
      <c r="L42" t="s">
        <v>519</v>
      </c>
      <c r="M42" s="4">
        <v>10000</v>
      </c>
      <c r="P42" s="2">
        <v>45735</v>
      </c>
      <c r="R42">
        <v>60</v>
      </c>
      <c r="S42" s="4">
        <v>600000</v>
      </c>
      <c r="T42" t="s">
        <v>65</v>
      </c>
      <c r="U42" t="s">
        <v>587</v>
      </c>
      <c r="V42">
        <v>0</v>
      </c>
      <c r="W42" s="4">
        <v>600000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588</v>
      </c>
      <c r="AN42" t="s">
        <v>175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4246</v>
      </c>
      <c r="BA42">
        <v>0</v>
      </c>
      <c r="BC42" t="s">
        <v>175</v>
      </c>
      <c r="BF42" t="s">
        <v>4247</v>
      </c>
    </row>
    <row r="43" spans="1:58" x14ac:dyDescent="0.35">
      <c r="A43" t="s">
        <v>4248</v>
      </c>
      <c r="B43">
        <v>10000</v>
      </c>
      <c r="C43">
        <v>10000</v>
      </c>
      <c r="D43" s="2">
        <v>45735</v>
      </c>
      <c r="E43" t="s">
        <v>61</v>
      </c>
      <c r="F43" t="s">
        <v>3918</v>
      </c>
      <c r="G43" t="s">
        <v>4249</v>
      </c>
      <c r="I43">
        <v>1</v>
      </c>
      <c r="J43" t="s">
        <v>63</v>
      </c>
      <c r="K43">
        <v>61</v>
      </c>
      <c r="L43" t="s">
        <v>216</v>
      </c>
      <c r="M43" s="4">
        <v>1000</v>
      </c>
      <c r="P43" s="2">
        <v>45735</v>
      </c>
      <c r="R43">
        <v>1</v>
      </c>
      <c r="S43" s="4">
        <v>1000</v>
      </c>
      <c r="T43" t="s">
        <v>65</v>
      </c>
      <c r="U43" t="s">
        <v>4250</v>
      </c>
      <c r="V43">
        <v>0</v>
      </c>
      <c r="W43" s="4">
        <v>1000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4251</v>
      </c>
      <c r="AN43" t="s">
        <v>508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4252</v>
      </c>
      <c r="BA43">
        <v>0</v>
      </c>
      <c r="BC43" t="s">
        <v>508</v>
      </c>
      <c r="BF43" t="s">
        <v>2990</v>
      </c>
    </row>
    <row r="44" spans="1:58" x14ac:dyDescent="0.35">
      <c r="A44" t="s">
        <v>3966</v>
      </c>
      <c r="B44">
        <v>10000</v>
      </c>
      <c r="C44">
        <v>20000</v>
      </c>
      <c r="D44" s="2">
        <v>45736</v>
      </c>
      <c r="E44" t="s">
        <v>61</v>
      </c>
      <c r="F44" t="s">
        <v>3967</v>
      </c>
      <c r="G44" t="s">
        <v>3968</v>
      </c>
      <c r="I44">
        <v>2</v>
      </c>
      <c r="J44" t="s">
        <v>63</v>
      </c>
      <c r="K44">
        <v>60</v>
      </c>
      <c r="L44" t="s">
        <v>277</v>
      </c>
      <c r="M44" s="4">
        <v>1000</v>
      </c>
      <c r="P44" s="2">
        <v>45735</v>
      </c>
      <c r="R44">
        <v>2</v>
      </c>
      <c r="S44" s="4">
        <v>2000</v>
      </c>
      <c r="T44" t="s">
        <v>65</v>
      </c>
      <c r="U44" t="s">
        <v>3969</v>
      </c>
      <c r="V44">
        <v>0</v>
      </c>
      <c r="W44">
        <v>571</v>
      </c>
      <c r="X44" s="4">
        <v>1429</v>
      </c>
      <c r="Y44">
        <v>0</v>
      </c>
      <c r="Z44">
        <v>0</v>
      </c>
      <c r="AA44">
        <v>0</v>
      </c>
      <c r="AD44">
        <v>0</v>
      </c>
      <c r="AM44" t="s">
        <v>3970</v>
      </c>
      <c r="AN44" t="s">
        <v>508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3971</v>
      </c>
      <c r="BA44">
        <v>0</v>
      </c>
      <c r="BC44" t="s">
        <v>508</v>
      </c>
      <c r="BF44" t="s">
        <v>2990</v>
      </c>
    </row>
    <row r="45" spans="1:58" x14ac:dyDescent="0.35">
      <c r="A45" t="s">
        <v>4253</v>
      </c>
      <c r="B45">
        <v>10000</v>
      </c>
      <c r="C45">
        <v>10000</v>
      </c>
      <c r="D45" s="2">
        <v>45736</v>
      </c>
      <c r="E45" t="s">
        <v>61</v>
      </c>
      <c r="F45" s="3">
        <v>0.42677083333333332</v>
      </c>
      <c r="G45" t="s">
        <v>3767</v>
      </c>
      <c r="I45">
        <v>1</v>
      </c>
      <c r="J45" t="s">
        <v>63</v>
      </c>
      <c r="K45">
        <v>46</v>
      </c>
      <c r="L45" t="s">
        <v>113</v>
      </c>
      <c r="M45" s="4">
        <v>4000</v>
      </c>
      <c r="P45" s="2">
        <v>45735</v>
      </c>
      <c r="R45">
        <v>1</v>
      </c>
      <c r="S45" s="4">
        <v>4000</v>
      </c>
      <c r="T45" t="s">
        <v>65</v>
      </c>
      <c r="U45" t="s">
        <v>4254</v>
      </c>
      <c r="V45">
        <v>0</v>
      </c>
      <c r="W45" s="4">
        <v>4000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4255</v>
      </c>
      <c r="AN45" t="s">
        <v>116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4256</v>
      </c>
      <c r="BA45">
        <v>0</v>
      </c>
      <c r="BC45" t="s">
        <v>116</v>
      </c>
      <c r="BF45" t="s">
        <v>3281</v>
      </c>
    </row>
    <row r="46" spans="1:58" x14ac:dyDescent="0.35">
      <c r="A46" t="s">
        <v>4257</v>
      </c>
      <c r="B46">
        <v>10000</v>
      </c>
      <c r="C46">
        <v>10000</v>
      </c>
      <c r="D46" s="2">
        <v>45736</v>
      </c>
      <c r="E46" t="s">
        <v>61</v>
      </c>
      <c r="F46" t="s">
        <v>4258</v>
      </c>
      <c r="G46" t="s">
        <v>3980</v>
      </c>
      <c r="I46">
        <v>1</v>
      </c>
      <c r="J46" t="s">
        <v>63</v>
      </c>
      <c r="K46">
        <v>12</v>
      </c>
      <c r="L46" t="s">
        <v>478</v>
      </c>
      <c r="M46" s="4">
        <v>16000</v>
      </c>
      <c r="P46" s="2">
        <v>45735</v>
      </c>
      <c r="R46">
        <v>1</v>
      </c>
      <c r="S46" s="4">
        <v>16000</v>
      </c>
      <c r="T46" t="s">
        <v>65</v>
      </c>
      <c r="U46" t="s">
        <v>4259</v>
      </c>
      <c r="V46">
        <v>0</v>
      </c>
      <c r="W46" s="4">
        <v>16000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4260</v>
      </c>
      <c r="AN46" t="s">
        <v>116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4261</v>
      </c>
      <c r="BA46">
        <v>0</v>
      </c>
      <c r="BC46" t="s">
        <v>116</v>
      </c>
      <c r="BF46" t="s">
        <v>3281</v>
      </c>
    </row>
    <row r="47" spans="1:58" x14ac:dyDescent="0.35">
      <c r="A47" t="s">
        <v>4262</v>
      </c>
      <c r="B47">
        <v>10000</v>
      </c>
      <c r="C47">
        <v>10000</v>
      </c>
      <c r="D47" s="2">
        <v>45737</v>
      </c>
      <c r="E47" t="s">
        <v>61</v>
      </c>
      <c r="F47" t="s">
        <v>4263</v>
      </c>
      <c r="G47" t="s">
        <v>3980</v>
      </c>
      <c r="I47">
        <v>1</v>
      </c>
      <c r="J47" t="s">
        <v>63</v>
      </c>
      <c r="K47">
        <v>12</v>
      </c>
      <c r="L47" t="s">
        <v>478</v>
      </c>
      <c r="M47" s="4">
        <v>18000</v>
      </c>
      <c r="P47" s="2">
        <v>45735</v>
      </c>
      <c r="R47">
        <v>1</v>
      </c>
      <c r="S47" s="4">
        <v>18000</v>
      </c>
      <c r="T47" t="s">
        <v>65</v>
      </c>
      <c r="U47" t="s">
        <v>4259</v>
      </c>
      <c r="V47">
        <v>0</v>
      </c>
      <c r="W47" s="4">
        <v>18000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4260</v>
      </c>
      <c r="AN47" t="s">
        <v>116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4264</v>
      </c>
      <c r="BA47">
        <v>0</v>
      </c>
      <c r="BC47" t="s">
        <v>116</v>
      </c>
      <c r="BF47" t="s">
        <v>3004</v>
      </c>
    </row>
    <row r="48" spans="1:58" x14ac:dyDescent="0.35">
      <c r="A48" t="s">
        <v>4265</v>
      </c>
      <c r="B48">
        <v>10000</v>
      </c>
      <c r="C48">
        <v>10000</v>
      </c>
      <c r="D48" s="2">
        <v>45735</v>
      </c>
      <c r="E48" t="s">
        <v>61</v>
      </c>
      <c r="F48" t="s">
        <v>4266</v>
      </c>
      <c r="G48" t="s">
        <v>4267</v>
      </c>
      <c r="I48">
        <v>1</v>
      </c>
      <c r="J48" t="s">
        <v>63</v>
      </c>
      <c r="K48">
        <v>59</v>
      </c>
      <c r="L48" t="s">
        <v>745</v>
      </c>
      <c r="M48">
        <v>500</v>
      </c>
      <c r="P48" s="2">
        <v>45735</v>
      </c>
      <c r="R48">
        <v>10</v>
      </c>
      <c r="S48" s="4">
        <v>5000</v>
      </c>
      <c r="T48" t="s">
        <v>65</v>
      </c>
      <c r="U48">
        <v>112023960001</v>
      </c>
      <c r="V48">
        <v>0</v>
      </c>
      <c r="W48" s="4">
        <v>5000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11202396</v>
      </c>
      <c r="AN48" t="s">
        <v>182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4268</v>
      </c>
      <c r="BA48">
        <v>0</v>
      </c>
      <c r="BC48" t="s">
        <v>182</v>
      </c>
      <c r="BF48" t="s">
        <v>4269</v>
      </c>
    </row>
    <row r="49" spans="1:58" x14ac:dyDescent="0.35">
      <c r="A49" t="s">
        <v>4270</v>
      </c>
      <c r="B49">
        <v>10000</v>
      </c>
      <c r="C49">
        <v>10000</v>
      </c>
      <c r="D49" s="2">
        <v>45735</v>
      </c>
      <c r="E49" t="s">
        <v>61</v>
      </c>
      <c r="F49" t="s">
        <v>4266</v>
      </c>
      <c r="G49" t="s">
        <v>4267</v>
      </c>
      <c r="I49">
        <v>1</v>
      </c>
      <c r="J49" t="s">
        <v>63</v>
      </c>
      <c r="K49">
        <v>59</v>
      </c>
      <c r="L49" t="s">
        <v>745</v>
      </c>
      <c r="M49">
        <v>500</v>
      </c>
      <c r="P49" s="2">
        <v>45735</v>
      </c>
      <c r="R49">
        <v>10</v>
      </c>
      <c r="S49" s="4">
        <v>5000</v>
      </c>
      <c r="T49" t="s">
        <v>65</v>
      </c>
      <c r="U49">
        <v>112023960001</v>
      </c>
      <c r="V49">
        <v>0</v>
      </c>
      <c r="W49" s="4">
        <v>5000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11202396</v>
      </c>
      <c r="AN49" t="s">
        <v>182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4271</v>
      </c>
      <c r="BA49">
        <v>0</v>
      </c>
      <c r="BC49" t="s">
        <v>182</v>
      </c>
      <c r="BF49" t="s">
        <v>4272</v>
      </c>
    </row>
    <row r="50" spans="1:58" x14ac:dyDescent="0.35">
      <c r="A50" t="s">
        <v>4273</v>
      </c>
      <c r="B50">
        <v>10000</v>
      </c>
      <c r="C50">
        <v>10000</v>
      </c>
      <c r="D50" s="2">
        <v>45735</v>
      </c>
      <c r="E50" t="s">
        <v>61</v>
      </c>
      <c r="F50" t="s">
        <v>4274</v>
      </c>
      <c r="G50" t="s">
        <v>3029</v>
      </c>
      <c r="I50">
        <v>1</v>
      </c>
      <c r="J50" t="s">
        <v>63</v>
      </c>
      <c r="K50">
        <v>86</v>
      </c>
      <c r="L50" t="s">
        <v>64</v>
      </c>
      <c r="M50" s="4">
        <v>27500</v>
      </c>
      <c r="P50" s="2">
        <v>45735</v>
      </c>
      <c r="R50">
        <v>2</v>
      </c>
      <c r="S50" s="4">
        <v>55000</v>
      </c>
      <c r="T50" t="s">
        <v>65</v>
      </c>
      <c r="U50" t="s">
        <v>4275</v>
      </c>
      <c r="V50">
        <v>0</v>
      </c>
      <c r="W50" s="4">
        <v>55000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4276</v>
      </c>
      <c r="AN50" t="s">
        <v>1855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4277</v>
      </c>
      <c r="BA50">
        <v>0</v>
      </c>
      <c r="BC50" t="s">
        <v>1855</v>
      </c>
      <c r="BF50" t="s">
        <v>4278</v>
      </c>
    </row>
    <row r="51" spans="1:58" x14ac:dyDescent="0.35">
      <c r="A51" t="s">
        <v>4279</v>
      </c>
      <c r="B51">
        <v>10000</v>
      </c>
      <c r="C51">
        <v>10000</v>
      </c>
      <c r="D51" s="2">
        <v>45736</v>
      </c>
      <c r="E51" t="s">
        <v>61</v>
      </c>
      <c r="F51" t="s">
        <v>4280</v>
      </c>
      <c r="G51" t="s">
        <v>498</v>
      </c>
      <c r="I51">
        <v>1</v>
      </c>
      <c r="J51" t="s">
        <v>63</v>
      </c>
      <c r="K51">
        <v>61</v>
      </c>
      <c r="L51" t="s">
        <v>216</v>
      </c>
      <c r="M51" s="4">
        <v>1000</v>
      </c>
      <c r="P51" s="2">
        <v>45735</v>
      </c>
      <c r="R51">
        <v>1</v>
      </c>
      <c r="S51" s="4">
        <v>1000</v>
      </c>
      <c r="T51" t="s">
        <v>65</v>
      </c>
      <c r="U51">
        <v>107475500001</v>
      </c>
      <c r="V51">
        <v>0</v>
      </c>
      <c r="W51" s="4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10747550</v>
      </c>
      <c r="AN51" t="s">
        <v>487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4281</v>
      </c>
      <c r="BA51">
        <v>0</v>
      </c>
      <c r="BC51" t="s">
        <v>487</v>
      </c>
      <c r="BF51" t="s">
        <v>4282</v>
      </c>
    </row>
    <row r="52" spans="1:58" x14ac:dyDescent="0.35">
      <c r="A52" t="s">
        <v>4283</v>
      </c>
      <c r="B52">
        <v>10000</v>
      </c>
      <c r="C52">
        <v>10000</v>
      </c>
      <c r="D52" s="2">
        <v>45736</v>
      </c>
      <c r="E52" t="s">
        <v>61</v>
      </c>
      <c r="F52" t="s">
        <v>3996</v>
      </c>
      <c r="G52" t="s">
        <v>4284</v>
      </c>
      <c r="I52">
        <v>1</v>
      </c>
      <c r="J52" t="s">
        <v>63</v>
      </c>
      <c r="K52">
        <v>32</v>
      </c>
      <c r="L52" t="s">
        <v>553</v>
      </c>
      <c r="M52" s="4">
        <v>5860</v>
      </c>
      <c r="P52" s="2">
        <v>45735</v>
      </c>
      <c r="R52">
        <v>1</v>
      </c>
      <c r="S52" s="4">
        <v>5860</v>
      </c>
      <c r="T52" t="s">
        <v>65</v>
      </c>
      <c r="U52" t="s">
        <v>1774</v>
      </c>
      <c r="V52">
        <v>0</v>
      </c>
      <c r="W52" s="4">
        <v>5360</v>
      </c>
      <c r="X52">
        <v>500</v>
      </c>
      <c r="Y52">
        <v>0</v>
      </c>
      <c r="Z52">
        <v>0</v>
      </c>
      <c r="AA52">
        <v>0</v>
      </c>
      <c r="AD52">
        <v>0</v>
      </c>
      <c r="AM52" t="s">
        <v>1775</v>
      </c>
      <c r="AN52" t="s">
        <v>116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4285</v>
      </c>
      <c r="BA52">
        <v>0</v>
      </c>
      <c r="BC52" t="s">
        <v>116</v>
      </c>
      <c r="BF52" t="s">
        <v>3994</v>
      </c>
    </row>
    <row r="53" spans="1:58" x14ac:dyDescent="0.35">
      <c r="A53" t="s">
        <v>4286</v>
      </c>
      <c r="B53">
        <v>10000</v>
      </c>
      <c r="C53">
        <v>10000</v>
      </c>
      <c r="D53" s="2">
        <v>45736</v>
      </c>
      <c r="E53" t="s">
        <v>61</v>
      </c>
      <c r="F53" t="s">
        <v>3996</v>
      </c>
      <c r="G53" t="s">
        <v>4284</v>
      </c>
      <c r="I53">
        <v>1</v>
      </c>
      <c r="J53" t="s">
        <v>63</v>
      </c>
      <c r="K53">
        <v>32</v>
      </c>
      <c r="L53" t="s">
        <v>553</v>
      </c>
      <c r="M53" s="4">
        <v>5860</v>
      </c>
      <c r="P53" s="2">
        <v>45735</v>
      </c>
      <c r="R53">
        <v>1</v>
      </c>
      <c r="S53" s="4">
        <v>5860</v>
      </c>
      <c r="T53" t="s">
        <v>65</v>
      </c>
      <c r="U53" t="s">
        <v>1774</v>
      </c>
      <c r="V53">
        <v>0</v>
      </c>
      <c r="W53" s="4">
        <v>5360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1775</v>
      </c>
      <c r="AN53" t="s">
        <v>116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4287</v>
      </c>
      <c r="BA53">
        <v>0</v>
      </c>
      <c r="BC53" t="s">
        <v>116</v>
      </c>
      <c r="BF53" t="s">
        <v>3998</v>
      </c>
    </row>
    <row r="54" spans="1:58" x14ac:dyDescent="0.35">
      <c r="A54" t="s">
        <v>4288</v>
      </c>
      <c r="B54">
        <v>10000</v>
      </c>
      <c r="C54">
        <v>10000</v>
      </c>
      <c r="D54" s="2">
        <v>45735</v>
      </c>
      <c r="E54" t="s">
        <v>61</v>
      </c>
      <c r="F54" t="s">
        <v>4289</v>
      </c>
      <c r="G54" t="s">
        <v>4009</v>
      </c>
      <c r="I54">
        <v>1</v>
      </c>
      <c r="J54" t="s">
        <v>63</v>
      </c>
      <c r="K54">
        <v>61</v>
      </c>
      <c r="L54" t="s">
        <v>197</v>
      </c>
      <c r="M54" s="4">
        <v>4167</v>
      </c>
      <c r="P54" s="2">
        <v>45735</v>
      </c>
      <c r="R54">
        <v>6</v>
      </c>
      <c r="S54" s="4">
        <v>25002</v>
      </c>
      <c r="T54" t="s">
        <v>65</v>
      </c>
      <c r="U54" t="s">
        <v>2124</v>
      </c>
      <c r="V54">
        <v>0</v>
      </c>
      <c r="W54" s="4">
        <v>25000</v>
      </c>
      <c r="X54">
        <v>2</v>
      </c>
      <c r="Y54">
        <v>0</v>
      </c>
      <c r="Z54">
        <v>0</v>
      </c>
      <c r="AA54">
        <v>0</v>
      </c>
      <c r="AD54">
        <v>0</v>
      </c>
      <c r="AM54" t="s">
        <v>2125</v>
      </c>
      <c r="AN54" t="s">
        <v>116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4290</v>
      </c>
      <c r="BA54">
        <v>0</v>
      </c>
      <c r="BC54" t="s">
        <v>116</v>
      </c>
      <c r="BF54" t="s">
        <v>3073</v>
      </c>
    </row>
    <row r="55" spans="1:58" x14ac:dyDescent="0.35">
      <c r="A55" t="s">
        <v>4291</v>
      </c>
      <c r="B55">
        <v>10000</v>
      </c>
      <c r="C55">
        <v>10000</v>
      </c>
      <c r="D55" s="2">
        <v>45736</v>
      </c>
      <c r="E55" t="s">
        <v>61</v>
      </c>
      <c r="F55" t="s">
        <v>4292</v>
      </c>
      <c r="G55" t="s">
        <v>4293</v>
      </c>
      <c r="I55">
        <v>1</v>
      </c>
      <c r="J55" t="s">
        <v>63</v>
      </c>
      <c r="K55">
        <v>61</v>
      </c>
      <c r="L55" t="s">
        <v>197</v>
      </c>
      <c r="M55" s="4">
        <v>4334</v>
      </c>
      <c r="P55" s="2">
        <v>45735</v>
      </c>
      <c r="R55">
        <v>6</v>
      </c>
      <c r="S55" s="4">
        <v>26004</v>
      </c>
      <c r="T55" t="s">
        <v>65</v>
      </c>
      <c r="U55" t="s">
        <v>1903</v>
      </c>
      <c r="V55">
        <v>0</v>
      </c>
      <c r="W55" s="4">
        <v>26000</v>
      </c>
      <c r="X55">
        <v>4</v>
      </c>
      <c r="Y55">
        <v>0</v>
      </c>
      <c r="Z55">
        <v>0</v>
      </c>
      <c r="AA55">
        <v>0</v>
      </c>
      <c r="AD55">
        <v>0</v>
      </c>
      <c r="AM55" t="s">
        <v>1904</v>
      </c>
      <c r="AN55" t="s">
        <v>116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4294</v>
      </c>
      <c r="BA55">
        <v>0</v>
      </c>
      <c r="BC55" t="s">
        <v>116</v>
      </c>
      <c r="BF55" t="s">
        <v>3073</v>
      </c>
    </row>
    <row r="56" spans="1:58" x14ac:dyDescent="0.35">
      <c r="A56" t="s">
        <v>4295</v>
      </c>
      <c r="B56">
        <v>10000</v>
      </c>
      <c r="C56">
        <v>10000</v>
      </c>
      <c r="D56" s="2">
        <v>45736</v>
      </c>
      <c r="E56" t="s">
        <v>61</v>
      </c>
      <c r="F56" t="s">
        <v>4296</v>
      </c>
      <c r="G56" t="s">
        <v>4297</v>
      </c>
      <c r="I56">
        <v>1</v>
      </c>
      <c r="J56" t="s">
        <v>63</v>
      </c>
      <c r="K56">
        <v>22</v>
      </c>
      <c r="L56" t="s">
        <v>466</v>
      </c>
      <c r="M56" s="4">
        <v>20000</v>
      </c>
      <c r="P56" s="2">
        <v>45735</v>
      </c>
      <c r="R56">
        <v>2</v>
      </c>
      <c r="S56" s="4">
        <v>40000</v>
      </c>
      <c r="T56" t="s">
        <v>65</v>
      </c>
      <c r="U56" t="s">
        <v>2902</v>
      </c>
      <c r="V56">
        <v>0</v>
      </c>
      <c r="W56" s="4">
        <v>40000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2903</v>
      </c>
      <c r="AN56" t="s">
        <v>116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4298</v>
      </c>
      <c r="BA56">
        <v>0</v>
      </c>
      <c r="BC56" t="s">
        <v>116</v>
      </c>
      <c r="BF56" t="s">
        <v>3532</v>
      </c>
    </row>
    <row r="57" spans="1:58" x14ac:dyDescent="0.35">
      <c r="A57" t="s">
        <v>4299</v>
      </c>
      <c r="B57">
        <v>10000</v>
      </c>
      <c r="C57">
        <v>10000</v>
      </c>
      <c r="D57" s="2">
        <v>45735</v>
      </c>
      <c r="E57" t="s">
        <v>61</v>
      </c>
      <c r="F57" t="s">
        <v>4289</v>
      </c>
      <c r="G57" t="s">
        <v>4009</v>
      </c>
      <c r="I57">
        <v>1</v>
      </c>
      <c r="J57" t="s">
        <v>63</v>
      </c>
      <c r="K57">
        <v>61</v>
      </c>
      <c r="L57" t="s">
        <v>197</v>
      </c>
      <c r="M57" s="4">
        <v>4667</v>
      </c>
      <c r="P57" s="2">
        <v>45735</v>
      </c>
      <c r="R57">
        <v>6</v>
      </c>
      <c r="S57" s="4">
        <v>28002</v>
      </c>
      <c r="T57" t="s">
        <v>65</v>
      </c>
      <c r="U57" t="s">
        <v>2124</v>
      </c>
      <c r="V57">
        <v>0</v>
      </c>
      <c r="W57" s="4">
        <v>28000</v>
      </c>
      <c r="X57">
        <v>2</v>
      </c>
      <c r="Y57">
        <v>0</v>
      </c>
      <c r="Z57">
        <v>0</v>
      </c>
      <c r="AA57">
        <v>0</v>
      </c>
      <c r="AD57">
        <v>0</v>
      </c>
      <c r="AM57" t="s">
        <v>2125</v>
      </c>
      <c r="AN57" t="s">
        <v>116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4300</v>
      </c>
      <c r="BA57">
        <v>0</v>
      </c>
      <c r="BC57" t="s">
        <v>116</v>
      </c>
      <c r="BF57" t="s">
        <v>3532</v>
      </c>
    </row>
    <row r="58" spans="1:58" x14ac:dyDescent="0.35">
      <c r="A58" t="s">
        <v>3074</v>
      </c>
      <c r="B58">
        <v>10000</v>
      </c>
      <c r="C58">
        <v>20000</v>
      </c>
      <c r="D58" s="2">
        <v>45735</v>
      </c>
      <c r="E58" t="s">
        <v>61</v>
      </c>
      <c r="F58" t="s">
        <v>3075</v>
      </c>
      <c r="G58">
        <v>10639931032</v>
      </c>
      <c r="I58">
        <v>2</v>
      </c>
      <c r="J58" t="s">
        <v>63</v>
      </c>
      <c r="K58">
        <v>77</v>
      </c>
      <c r="L58" t="s">
        <v>127</v>
      </c>
      <c r="M58">
        <v>300</v>
      </c>
      <c r="P58" s="2">
        <v>45735</v>
      </c>
      <c r="R58">
        <v>25</v>
      </c>
      <c r="S58" s="4">
        <v>7500</v>
      </c>
      <c r="T58" t="s">
        <v>65</v>
      </c>
      <c r="U58" t="s">
        <v>3076</v>
      </c>
      <c r="V58">
        <v>0</v>
      </c>
      <c r="W58" s="4">
        <v>5000</v>
      </c>
      <c r="X58" s="4">
        <v>2500</v>
      </c>
      <c r="Y58">
        <v>0</v>
      </c>
      <c r="Z58">
        <v>0</v>
      </c>
      <c r="AA58">
        <v>0</v>
      </c>
      <c r="AD58">
        <v>0</v>
      </c>
      <c r="AM58" t="s">
        <v>3077</v>
      </c>
      <c r="AN58" t="s">
        <v>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3078</v>
      </c>
      <c r="BA58">
        <v>0</v>
      </c>
      <c r="BC58" t="s">
        <v>68</v>
      </c>
      <c r="BF58" t="s">
        <v>3079</v>
      </c>
    </row>
    <row r="59" spans="1:58" x14ac:dyDescent="0.35">
      <c r="A59" t="s">
        <v>3080</v>
      </c>
      <c r="B59">
        <v>10000</v>
      </c>
      <c r="C59">
        <v>20000</v>
      </c>
      <c r="D59" s="2">
        <v>45735</v>
      </c>
      <c r="E59" t="s">
        <v>61</v>
      </c>
      <c r="F59" t="s">
        <v>3081</v>
      </c>
      <c r="G59">
        <v>10639931032</v>
      </c>
      <c r="I59">
        <v>2</v>
      </c>
      <c r="J59" t="s">
        <v>63</v>
      </c>
      <c r="K59">
        <v>77</v>
      </c>
      <c r="L59" t="s">
        <v>127</v>
      </c>
      <c r="M59">
        <v>300</v>
      </c>
      <c r="P59" s="2">
        <v>45735</v>
      </c>
      <c r="R59">
        <v>25</v>
      </c>
      <c r="S59" s="4">
        <v>7500</v>
      </c>
      <c r="T59" t="s">
        <v>65</v>
      </c>
      <c r="U59" t="s">
        <v>3082</v>
      </c>
      <c r="V59">
        <v>0</v>
      </c>
      <c r="W59" s="4">
        <v>5000</v>
      </c>
      <c r="X59" s="4">
        <v>2500</v>
      </c>
      <c r="Y59">
        <v>0</v>
      </c>
      <c r="Z59">
        <v>0</v>
      </c>
      <c r="AA59">
        <v>0</v>
      </c>
      <c r="AD59">
        <v>0</v>
      </c>
      <c r="AM59" t="s">
        <v>3083</v>
      </c>
      <c r="AN59" t="s">
        <v>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3084</v>
      </c>
      <c r="BA59">
        <v>0</v>
      </c>
      <c r="BC59" t="s">
        <v>68</v>
      </c>
      <c r="BF59" t="s">
        <v>3085</v>
      </c>
    </row>
    <row r="60" spans="1:58" x14ac:dyDescent="0.35">
      <c r="A60" t="s">
        <v>3086</v>
      </c>
      <c r="B60">
        <v>10000</v>
      </c>
      <c r="C60">
        <v>20000</v>
      </c>
      <c r="D60" s="2">
        <v>45735</v>
      </c>
      <c r="E60" t="s">
        <v>61</v>
      </c>
      <c r="F60" t="s">
        <v>3087</v>
      </c>
      <c r="G60">
        <v>10639931032</v>
      </c>
      <c r="I60">
        <v>2</v>
      </c>
      <c r="J60" t="s">
        <v>63</v>
      </c>
      <c r="K60">
        <v>77</v>
      </c>
      <c r="L60" t="s">
        <v>127</v>
      </c>
      <c r="M60">
        <v>120</v>
      </c>
      <c r="P60" s="2">
        <v>45735</v>
      </c>
      <c r="R60">
        <v>15</v>
      </c>
      <c r="S60" s="4">
        <v>1800</v>
      </c>
      <c r="T60" t="s">
        <v>65</v>
      </c>
      <c r="U60" t="s">
        <v>3088</v>
      </c>
      <c r="V60">
        <v>0</v>
      </c>
      <c r="W60" s="4">
        <v>1000</v>
      </c>
      <c r="X60">
        <v>800</v>
      </c>
      <c r="Y60">
        <v>0</v>
      </c>
      <c r="Z60">
        <v>0</v>
      </c>
      <c r="AA60">
        <v>0</v>
      </c>
      <c r="AD60">
        <v>0</v>
      </c>
      <c r="AM60" t="s">
        <v>3089</v>
      </c>
      <c r="AN60" t="s">
        <v>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3090</v>
      </c>
      <c r="BA60">
        <v>0</v>
      </c>
      <c r="BC60" t="s">
        <v>68</v>
      </c>
      <c r="BF60" t="s">
        <v>3091</v>
      </c>
    </row>
    <row r="61" spans="1:58" x14ac:dyDescent="0.35">
      <c r="A61" t="s">
        <v>4301</v>
      </c>
      <c r="B61">
        <v>10000</v>
      </c>
      <c r="C61">
        <v>10000</v>
      </c>
      <c r="D61" s="2">
        <v>45735</v>
      </c>
      <c r="E61" t="s">
        <v>61</v>
      </c>
      <c r="F61" t="s">
        <v>4302</v>
      </c>
      <c r="G61" t="s">
        <v>2069</v>
      </c>
      <c r="I61">
        <v>1</v>
      </c>
      <c r="J61" t="s">
        <v>63</v>
      </c>
      <c r="K61">
        <v>94</v>
      </c>
      <c r="L61" t="s">
        <v>181</v>
      </c>
      <c r="M61" s="4">
        <v>5000</v>
      </c>
      <c r="P61" s="2">
        <v>45735</v>
      </c>
      <c r="R61">
        <v>4</v>
      </c>
      <c r="S61" s="4">
        <v>20000</v>
      </c>
      <c r="T61" t="s">
        <v>65</v>
      </c>
      <c r="U61" t="s">
        <v>3859</v>
      </c>
      <c r="V61">
        <v>0</v>
      </c>
      <c r="W61" s="4">
        <v>20000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3860</v>
      </c>
      <c r="AN61" t="s">
        <v>364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4303</v>
      </c>
      <c r="BA61">
        <v>0</v>
      </c>
      <c r="BC61" t="s">
        <v>364</v>
      </c>
      <c r="BF61" t="s">
        <v>4304</v>
      </c>
    </row>
    <row r="62" spans="1:58" x14ac:dyDescent="0.35">
      <c r="A62" t="s">
        <v>4305</v>
      </c>
      <c r="B62">
        <v>10000</v>
      </c>
      <c r="C62">
        <v>10000</v>
      </c>
      <c r="D62" s="2">
        <v>45744</v>
      </c>
      <c r="E62" t="s">
        <v>61</v>
      </c>
      <c r="F62" t="s">
        <v>4306</v>
      </c>
      <c r="G62" t="s">
        <v>4218</v>
      </c>
      <c r="I62">
        <v>1</v>
      </c>
      <c r="J62" t="s">
        <v>63</v>
      </c>
      <c r="K62">
        <v>79</v>
      </c>
      <c r="L62" t="s">
        <v>573</v>
      </c>
      <c r="M62" s="4">
        <v>4108</v>
      </c>
      <c r="P62" s="2">
        <v>45735</v>
      </c>
      <c r="R62">
        <v>28</v>
      </c>
      <c r="S62" s="4">
        <v>115024</v>
      </c>
      <c r="T62" t="s">
        <v>65</v>
      </c>
      <c r="U62" t="s">
        <v>4307</v>
      </c>
      <c r="V62">
        <v>0</v>
      </c>
      <c r="W62" s="4">
        <v>100000</v>
      </c>
      <c r="X62" s="4">
        <v>15024</v>
      </c>
      <c r="Y62">
        <v>0</v>
      </c>
      <c r="Z62">
        <v>0</v>
      </c>
      <c r="AA62">
        <v>0</v>
      </c>
      <c r="AD62">
        <v>0</v>
      </c>
      <c r="AM62" t="s">
        <v>4308</v>
      </c>
      <c r="AN62" t="s">
        <v>107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4309</v>
      </c>
      <c r="BA62">
        <v>0</v>
      </c>
      <c r="BC62" t="s">
        <v>107</v>
      </c>
      <c r="BF62" t="s">
        <v>4310</v>
      </c>
    </row>
    <row r="63" spans="1:58" x14ac:dyDescent="0.35">
      <c r="A63" t="s">
        <v>4311</v>
      </c>
      <c r="B63">
        <v>10000</v>
      </c>
      <c r="C63">
        <v>10000</v>
      </c>
      <c r="D63" s="2">
        <v>45744</v>
      </c>
      <c r="E63" t="s">
        <v>61</v>
      </c>
      <c r="F63" t="s">
        <v>4312</v>
      </c>
      <c r="G63" t="s">
        <v>4218</v>
      </c>
      <c r="I63">
        <v>1</v>
      </c>
      <c r="J63" t="s">
        <v>63</v>
      </c>
      <c r="K63">
        <v>79</v>
      </c>
      <c r="L63" t="s">
        <v>573</v>
      </c>
      <c r="M63" s="4">
        <v>4108</v>
      </c>
      <c r="P63" s="2">
        <v>45735</v>
      </c>
      <c r="R63">
        <v>28</v>
      </c>
      <c r="S63" s="4">
        <v>115024</v>
      </c>
      <c r="T63" t="s">
        <v>65</v>
      </c>
      <c r="U63" t="s">
        <v>4313</v>
      </c>
      <c r="V63">
        <v>0</v>
      </c>
      <c r="W63" s="4">
        <v>100000</v>
      </c>
      <c r="X63" s="4">
        <v>15024</v>
      </c>
      <c r="Y63">
        <v>0</v>
      </c>
      <c r="Z63">
        <v>0</v>
      </c>
      <c r="AA63">
        <v>0</v>
      </c>
      <c r="AD63">
        <v>0</v>
      </c>
      <c r="AM63" t="s">
        <v>4314</v>
      </c>
      <c r="AN63" t="s">
        <v>107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4315</v>
      </c>
      <c r="BA63">
        <v>0</v>
      </c>
      <c r="BC63" t="s">
        <v>107</v>
      </c>
      <c r="BF63" t="s">
        <v>4316</v>
      </c>
    </row>
    <row r="64" spans="1:58" x14ac:dyDescent="0.35">
      <c r="A64" t="s">
        <v>4317</v>
      </c>
      <c r="B64">
        <v>10000</v>
      </c>
      <c r="C64">
        <v>10000</v>
      </c>
      <c r="D64" s="2">
        <v>45741</v>
      </c>
      <c r="E64" t="s">
        <v>61</v>
      </c>
      <c r="F64" t="s">
        <v>4318</v>
      </c>
      <c r="G64" t="s">
        <v>4156</v>
      </c>
      <c r="I64">
        <v>1</v>
      </c>
      <c r="J64" t="s">
        <v>63</v>
      </c>
      <c r="K64">
        <v>79</v>
      </c>
      <c r="L64" t="s">
        <v>573</v>
      </c>
      <c r="M64" s="4">
        <v>4260</v>
      </c>
      <c r="P64" s="2">
        <v>45735</v>
      </c>
      <c r="R64">
        <v>27</v>
      </c>
      <c r="S64" s="4">
        <v>115020</v>
      </c>
      <c r="T64" t="s">
        <v>65</v>
      </c>
      <c r="U64" t="s">
        <v>574</v>
      </c>
      <c r="V64">
        <v>0</v>
      </c>
      <c r="W64" s="4">
        <v>100000</v>
      </c>
      <c r="X64" s="4">
        <v>15020</v>
      </c>
      <c r="Y64">
        <v>0</v>
      </c>
      <c r="Z64">
        <v>0</v>
      </c>
      <c r="AA64">
        <v>0</v>
      </c>
      <c r="AD64">
        <v>0</v>
      </c>
      <c r="AM64" t="s">
        <v>575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4319</v>
      </c>
      <c r="BA64">
        <v>0</v>
      </c>
      <c r="BC64" t="s">
        <v>107</v>
      </c>
      <c r="BF64" t="s">
        <v>4320</v>
      </c>
    </row>
    <row r="65" spans="1:58" x14ac:dyDescent="0.35">
      <c r="A65" t="s">
        <v>4321</v>
      </c>
      <c r="B65">
        <v>10000</v>
      </c>
      <c r="C65">
        <v>10000</v>
      </c>
      <c r="D65" s="2">
        <v>45744</v>
      </c>
      <c r="E65" t="s">
        <v>95</v>
      </c>
      <c r="F65" t="s">
        <v>359</v>
      </c>
      <c r="G65" t="s">
        <v>4322</v>
      </c>
      <c r="I65">
        <v>1</v>
      </c>
      <c r="J65" t="s">
        <v>63</v>
      </c>
      <c r="K65">
        <v>79</v>
      </c>
      <c r="L65" t="s">
        <v>573</v>
      </c>
      <c r="M65" s="4">
        <v>4108</v>
      </c>
      <c r="P65" s="2">
        <v>45735</v>
      </c>
      <c r="R65">
        <v>56</v>
      </c>
      <c r="S65" s="4">
        <v>230048</v>
      </c>
      <c r="T65" t="s">
        <v>65</v>
      </c>
      <c r="U65" t="s">
        <v>1224</v>
      </c>
      <c r="V65">
        <v>0</v>
      </c>
      <c r="W65" s="4">
        <v>200000</v>
      </c>
      <c r="X65" s="4">
        <v>30048</v>
      </c>
      <c r="Y65">
        <v>0</v>
      </c>
      <c r="Z65">
        <v>0</v>
      </c>
      <c r="AA65">
        <v>0</v>
      </c>
      <c r="AD65">
        <v>0</v>
      </c>
      <c r="AM65" t="s">
        <v>1225</v>
      </c>
      <c r="AN65" t="s">
        <v>107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4323</v>
      </c>
      <c r="BA65">
        <v>0</v>
      </c>
      <c r="BC65" t="s">
        <v>107</v>
      </c>
      <c r="BF65" t="s">
        <v>4324</v>
      </c>
    </row>
    <row r="66" spans="1:58" x14ac:dyDescent="0.35">
      <c r="A66" t="s">
        <v>4325</v>
      </c>
      <c r="B66">
        <v>10000</v>
      </c>
      <c r="C66">
        <v>10000</v>
      </c>
      <c r="D66" s="2">
        <v>45735</v>
      </c>
      <c r="E66" t="s">
        <v>61</v>
      </c>
      <c r="F66" t="s">
        <v>4025</v>
      </c>
      <c r="G66" t="s">
        <v>4026</v>
      </c>
      <c r="I66">
        <v>1</v>
      </c>
      <c r="J66" t="s">
        <v>63</v>
      </c>
      <c r="K66">
        <v>31</v>
      </c>
      <c r="L66" t="s">
        <v>1311</v>
      </c>
      <c r="M66" s="4">
        <v>2000</v>
      </c>
      <c r="P66" s="2">
        <v>45735</v>
      </c>
      <c r="R66">
        <v>20</v>
      </c>
      <c r="S66" s="4">
        <v>40000</v>
      </c>
      <c r="T66" t="s">
        <v>65</v>
      </c>
      <c r="U66" t="s">
        <v>4326</v>
      </c>
      <c r="V66">
        <v>0</v>
      </c>
      <c r="W66" s="4">
        <v>40000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4327</v>
      </c>
      <c r="AN66" t="s">
        <v>4029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4328</v>
      </c>
      <c r="BA66">
        <v>0</v>
      </c>
      <c r="BC66" t="s">
        <v>4029</v>
      </c>
      <c r="BF66" t="s">
        <v>4031</v>
      </c>
    </row>
    <row r="67" spans="1:58" x14ac:dyDescent="0.35">
      <c r="A67" t="s">
        <v>4329</v>
      </c>
      <c r="B67">
        <v>10000</v>
      </c>
      <c r="C67">
        <v>10000</v>
      </c>
      <c r="D67" s="2">
        <v>45735</v>
      </c>
      <c r="E67" t="s">
        <v>61</v>
      </c>
      <c r="F67" t="s">
        <v>4025</v>
      </c>
      <c r="G67" t="s">
        <v>4026</v>
      </c>
      <c r="I67">
        <v>1</v>
      </c>
      <c r="J67" t="s">
        <v>63</v>
      </c>
      <c r="K67">
        <v>31</v>
      </c>
      <c r="L67" t="s">
        <v>1311</v>
      </c>
      <c r="M67" s="4">
        <v>2000</v>
      </c>
      <c r="P67" s="2">
        <v>45735</v>
      </c>
      <c r="R67">
        <v>20</v>
      </c>
      <c r="S67" s="4">
        <v>40000</v>
      </c>
      <c r="T67" t="s">
        <v>65</v>
      </c>
      <c r="U67" t="s">
        <v>4330</v>
      </c>
      <c r="V67">
        <v>0</v>
      </c>
      <c r="W67" s="4">
        <v>40000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4331</v>
      </c>
      <c r="AN67" t="s">
        <v>4029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4332</v>
      </c>
      <c r="BA67">
        <v>0</v>
      </c>
      <c r="BC67" t="s">
        <v>4029</v>
      </c>
      <c r="BF67" t="s">
        <v>4031</v>
      </c>
    </row>
    <row r="68" spans="1:58" x14ac:dyDescent="0.35">
      <c r="A68" t="s">
        <v>3550</v>
      </c>
      <c r="B68">
        <v>10000</v>
      </c>
      <c r="C68">
        <v>20000</v>
      </c>
      <c r="D68" s="2">
        <v>45736</v>
      </c>
      <c r="E68" t="s">
        <v>61</v>
      </c>
      <c r="F68" t="s">
        <v>3551</v>
      </c>
      <c r="G68" t="s">
        <v>387</v>
      </c>
      <c r="I68">
        <v>2</v>
      </c>
      <c r="J68" t="s">
        <v>63</v>
      </c>
      <c r="K68">
        <v>92</v>
      </c>
      <c r="L68" t="s">
        <v>424</v>
      </c>
      <c r="M68">
        <v>300</v>
      </c>
      <c r="P68" s="2">
        <v>45735</v>
      </c>
      <c r="R68">
        <v>3</v>
      </c>
      <c r="S68">
        <v>900</v>
      </c>
      <c r="T68" t="s">
        <v>65</v>
      </c>
      <c r="U68" t="s">
        <v>3552</v>
      </c>
      <c r="V68">
        <v>0</v>
      </c>
      <c r="W68">
        <v>600</v>
      </c>
      <c r="X68">
        <v>300</v>
      </c>
      <c r="Y68">
        <v>0</v>
      </c>
      <c r="Z68">
        <v>0</v>
      </c>
      <c r="AA68">
        <v>0</v>
      </c>
      <c r="AD68">
        <v>0</v>
      </c>
      <c r="AM68" t="s">
        <v>3553</v>
      </c>
      <c r="AN68" t="s">
        <v>1241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3554</v>
      </c>
      <c r="BA68">
        <v>0</v>
      </c>
      <c r="BC68" t="s">
        <v>1241</v>
      </c>
      <c r="BF68" t="s">
        <v>3555</v>
      </c>
    </row>
    <row r="69" spans="1:58" x14ac:dyDescent="0.35">
      <c r="A69" t="s">
        <v>3556</v>
      </c>
      <c r="B69">
        <v>10000</v>
      </c>
      <c r="C69">
        <v>20000</v>
      </c>
      <c r="D69" s="2">
        <v>45736</v>
      </c>
      <c r="E69" t="s">
        <v>61</v>
      </c>
      <c r="F69" t="s">
        <v>3551</v>
      </c>
      <c r="G69" t="s">
        <v>1238</v>
      </c>
      <c r="I69">
        <v>2</v>
      </c>
      <c r="J69" t="s">
        <v>63</v>
      </c>
      <c r="K69">
        <v>92</v>
      </c>
      <c r="L69" t="s">
        <v>424</v>
      </c>
      <c r="M69">
        <v>600</v>
      </c>
      <c r="P69" s="2">
        <v>45735</v>
      </c>
      <c r="R69">
        <v>1</v>
      </c>
      <c r="S69">
        <v>600</v>
      </c>
      <c r="T69" t="s">
        <v>65</v>
      </c>
      <c r="U69" t="s">
        <v>1239</v>
      </c>
      <c r="V69">
        <v>0</v>
      </c>
      <c r="W69">
        <v>500</v>
      </c>
      <c r="X69">
        <v>100</v>
      </c>
      <c r="Y69">
        <v>0</v>
      </c>
      <c r="Z69">
        <v>0</v>
      </c>
      <c r="AA69">
        <v>0</v>
      </c>
      <c r="AD69">
        <v>0</v>
      </c>
      <c r="AM69" t="s">
        <v>1240</v>
      </c>
      <c r="AN69" t="s">
        <v>1241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3557</v>
      </c>
      <c r="BA69">
        <v>0</v>
      </c>
      <c r="BC69" t="s">
        <v>1241</v>
      </c>
      <c r="BF69" t="s">
        <v>3555</v>
      </c>
    </row>
    <row r="70" spans="1:58" x14ac:dyDescent="0.35">
      <c r="A70" t="s">
        <v>4333</v>
      </c>
      <c r="B70">
        <v>10000</v>
      </c>
      <c r="C70">
        <v>10000</v>
      </c>
      <c r="D70" s="2">
        <v>45744</v>
      </c>
      <c r="E70" t="s">
        <v>61</v>
      </c>
      <c r="F70" t="s">
        <v>3979</v>
      </c>
      <c r="G70" t="s">
        <v>4218</v>
      </c>
      <c r="I70">
        <v>1</v>
      </c>
      <c r="J70" t="s">
        <v>63</v>
      </c>
      <c r="K70">
        <v>79</v>
      </c>
      <c r="L70" t="s">
        <v>573</v>
      </c>
      <c r="M70" s="4">
        <v>4108</v>
      </c>
      <c r="P70" s="2">
        <v>45735</v>
      </c>
      <c r="R70">
        <v>28</v>
      </c>
      <c r="S70" s="4">
        <v>115024</v>
      </c>
      <c r="T70" t="s">
        <v>65</v>
      </c>
      <c r="U70" t="s">
        <v>4334</v>
      </c>
      <c r="V70">
        <v>0</v>
      </c>
      <c r="W70" s="4">
        <v>100000</v>
      </c>
      <c r="X70" s="4">
        <v>15024</v>
      </c>
      <c r="Y70">
        <v>0</v>
      </c>
      <c r="Z70">
        <v>0</v>
      </c>
      <c r="AA70">
        <v>0</v>
      </c>
      <c r="AD70">
        <v>0</v>
      </c>
      <c r="AM70" t="s">
        <v>4335</v>
      </c>
      <c r="AN70" t="s">
        <v>107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4336</v>
      </c>
      <c r="BA70">
        <v>0</v>
      </c>
      <c r="BC70" t="s">
        <v>107</v>
      </c>
      <c r="BF70" t="s">
        <v>4337</v>
      </c>
    </row>
    <row r="71" spans="1:58" x14ac:dyDescent="0.35">
      <c r="A71" t="s">
        <v>4338</v>
      </c>
      <c r="B71">
        <v>10000</v>
      </c>
      <c r="C71">
        <v>10000</v>
      </c>
      <c r="D71" s="2">
        <v>45736</v>
      </c>
      <c r="E71" t="s">
        <v>61</v>
      </c>
      <c r="F71" t="s">
        <v>4339</v>
      </c>
      <c r="G71" t="s">
        <v>4340</v>
      </c>
      <c r="I71">
        <v>1</v>
      </c>
      <c r="J71" t="s">
        <v>63</v>
      </c>
      <c r="K71">
        <v>72</v>
      </c>
      <c r="L71" t="s">
        <v>163</v>
      </c>
      <c r="M71" s="4">
        <v>2000</v>
      </c>
      <c r="P71" s="2">
        <v>45735</v>
      </c>
      <c r="R71">
        <v>4</v>
      </c>
      <c r="S71" s="4">
        <v>8000</v>
      </c>
      <c r="T71" t="s">
        <v>65</v>
      </c>
      <c r="U71">
        <v>5000444260001</v>
      </c>
      <c r="V71">
        <v>0</v>
      </c>
      <c r="W71" s="4">
        <v>6000</v>
      </c>
      <c r="X71" s="4">
        <v>2000</v>
      </c>
      <c r="Y71">
        <v>0</v>
      </c>
      <c r="Z71">
        <v>0</v>
      </c>
      <c r="AA71">
        <v>0</v>
      </c>
      <c r="AD71">
        <v>0</v>
      </c>
      <c r="AM71">
        <v>500044426</v>
      </c>
      <c r="AN71" t="s">
        <v>91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4341</v>
      </c>
      <c r="BA71">
        <v>0</v>
      </c>
      <c r="BC71" t="s">
        <v>91</v>
      </c>
      <c r="BF71" t="s">
        <v>4342</v>
      </c>
    </row>
    <row r="72" spans="1:58" x14ac:dyDescent="0.35">
      <c r="A72" t="s">
        <v>4343</v>
      </c>
      <c r="B72">
        <v>10000</v>
      </c>
      <c r="C72">
        <v>10000</v>
      </c>
      <c r="D72" s="2">
        <v>45736</v>
      </c>
      <c r="E72" t="s">
        <v>61</v>
      </c>
      <c r="F72" t="s">
        <v>4344</v>
      </c>
      <c r="G72" t="s">
        <v>4340</v>
      </c>
      <c r="I72">
        <v>1</v>
      </c>
      <c r="J72" t="s">
        <v>63</v>
      </c>
      <c r="K72">
        <v>72</v>
      </c>
      <c r="L72" t="s">
        <v>163</v>
      </c>
      <c r="M72" s="4">
        <v>1750</v>
      </c>
      <c r="P72" s="2">
        <v>45735</v>
      </c>
      <c r="R72">
        <v>4</v>
      </c>
      <c r="S72" s="4">
        <v>7000</v>
      </c>
      <c r="T72" t="s">
        <v>65</v>
      </c>
      <c r="U72">
        <v>5000514740001</v>
      </c>
      <c r="V72">
        <v>0</v>
      </c>
      <c r="W72" s="4">
        <v>5000</v>
      </c>
      <c r="X72" s="4">
        <v>2000</v>
      </c>
      <c r="Y72">
        <v>0</v>
      </c>
      <c r="Z72">
        <v>0</v>
      </c>
      <c r="AA72">
        <v>0</v>
      </c>
      <c r="AD72">
        <v>0</v>
      </c>
      <c r="AM72">
        <v>500051474</v>
      </c>
      <c r="AN72" t="s">
        <v>91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4345</v>
      </c>
      <c r="BA72">
        <v>0</v>
      </c>
      <c r="BC72" t="s">
        <v>91</v>
      </c>
      <c r="BF72" t="s">
        <v>4342</v>
      </c>
    </row>
    <row r="73" spans="1:58" x14ac:dyDescent="0.35">
      <c r="A73" t="s">
        <v>3853</v>
      </c>
      <c r="B73">
        <v>10000</v>
      </c>
      <c r="C73">
        <v>20000</v>
      </c>
      <c r="D73" s="2">
        <v>45735</v>
      </c>
      <c r="E73" t="s">
        <v>61</v>
      </c>
      <c r="F73" t="s">
        <v>3854</v>
      </c>
      <c r="G73">
        <v>408232392</v>
      </c>
      <c r="I73">
        <v>2</v>
      </c>
      <c r="J73" t="s">
        <v>63</v>
      </c>
      <c r="K73">
        <v>105</v>
      </c>
      <c r="L73" t="s">
        <v>424</v>
      </c>
      <c r="M73" s="4">
        <v>1600</v>
      </c>
      <c r="P73" s="2">
        <v>45735</v>
      </c>
      <c r="R73">
        <v>1</v>
      </c>
      <c r="S73" s="4">
        <v>1600</v>
      </c>
      <c r="T73" t="s">
        <v>65</v>
      </c>
      <c r="U73">
        <v>104484310001</v>
      </c>
      <c r="V73">
        <v>0</v>
      </c>
      <c r="W73" s="4">
        <v>1300</v>
      </c>
      <c r="X73">
        <v>300</v>
      </c>
      <c r="Y73">
        <v>0</v>
      </c>
      <c r="Z73">
        <v>0</v>
      </c>
      <c r="AA73">
        <v>0</v>
      </c>
      <c r="AD73">
        <v>0</v>
      </c>
      <c r="AM73">
        <v>10448431</v>
      </c>
      <c r="AN73" t="s">
        <v>487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3855</v>
      </c>
      <c r="BA73">
        <v>0</v>
      </c>
      <c r="BC73" t="s">
        <v>487</v>
      </c>
      <c r="BF73" t="s">
        <v>3856</v>
      </c>
    </row>
    <row r="74" spans="1:58" x14ac:dyDescent="0.35">
      <c r="A74" t="s">
        <v>4346</v>
      </c>
      <c r="B74">
        <v>10000</v>
      </c>
      <c r="C74">
        <v>10000</v>
      </c>
      <c r="D74" s="2">
        <v>45744</v>
      </c>
      <c r="E74" t="s">
        <v>61</v>
      </c>
      <c r="F74" t="s">
        <v>4347</v>
      </c>
      <c r="G74" t="s">
        <v>4218</v>
      </c>
      <c r="I74">
        <v>1</v>
      </c>
      <c r="J74" t="s">
        <v>63</v>
      </c>
      <c r="K74">
        <v>79</v>
      </c>
      <c r="L74" t="s">
        <v>573</v>
      </c>
      <c r="M74" s="4">
        <v>4108</v>
      </c>
      <c r="P74" s="2">
        <v>45735</v>
      </c>
      <c r="R74">
        <v>28</v>
      </c>
      <c r="S74" s="4">
        <v>115024</v>
      </c>
      <c r="T74" t="s">
        <v>65</v>
      </c>
      <c r="U74" t="s">
        <v>1218</v>
      </c>
      <c r="V74">
        <v>0</v>
      </c>
      <c r="W74" s="4">
        <v>100000</v>
      </c>
      <c r="X74" s="4">
        <v>15024</v>
      </c>
      <c r="Y74">
        <v>0</v>
      </c>
      <c r="Z74">
        <v>0</v>
      </c>
      <c r="AA74">
        <v>0</v>
      </c>
      <c r="AD74">
        <v>0</v>
      </c>
      <c r="AM74" t="s">
        <v>1219</v>
      </c>
      <c r="AN74" t="s">
        <v>107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4348</v>
      </c>
      <c r="BA74">
        <v>0</v>
      </c>
      <c r="BC74" t="s">
        <v>107</v>
      </c>
      <c r="BF74" t="s">
        <v>4349</v>
      </c>
    </row>
    <row r="75" spans="1:58" x14ac:dyDescent="0.35">
      <c r="A75" t="s">
        <v>4350</v>
      </c>
      <c r="B75">
        <v>10000</v>
      </c>
      <c r="C75">
        <v>10000</v>
      </c>
      <c r="D75" s="2">
        <v>45744</v>
      </c>
      <c r="E75" t="s">
        <v>61</v>
      </c>
      <c r="F75" t="s">
        <v>4351</v>
      </c>
      <c r="G75" t="s">
        <v>4218</v>
      </c>
      <c r="I75">
        <v>1</v>
      </c>
      <c r="J75" t="s">
        <v>63</v>
      </c>
      <c r="K75">
        <v>79</v>
      </c>
      <c r="L75" t="s">
        <v>573</v>
      </c>
      <c r="M75" s="4">
        <v>4108</v>
      </c>
      <c r="P75" s="2">
        <v>45735</v>
      </c>
      <c r="R75">
        <v>28</v>
      </c>
      <c r="S75" s="4">
        <v>115024</v>
      </c>
      <c r="T75" t="s">
        <v>65</v>
      </c>
      <c r="U75" t="s">
        <v>1657</v>
      </c>
      <c r="V75">
        <v>0</v>
      </c>
      <c r="W75" s="4">
        <v>100000</v>
      </c>
      <c r="X75" s="4">
        <v>15024</v>
      </c>
      <c r="Y75">
        <v>0</v>
      </c>
      <c r="Z75">
        <v>0</v>
      </c>
      <c r="AA75">
        <v>0</v>
      </c>
      <c r="AD75">
        <v>0</v>
      </c>
      <c r="AM75" t="s">
        <v>1658</v>
      </c>
      <c r="AN75" t="s">
        <v>107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4352</v>
      </c>
      <c r="BA75">
        <v>0</v>
      </c>
      <c r="BC75" t="s">
        <v>107</v>
      </c>
      <c r="BF75" t="s">
        <v>4353</v>
      </c>
    </row>
    <row r="76" spans="1:58" x14ac:dyDescent="0.35">
      <c r="A76" t="s">
        <v>4354</v>
      </c>
      <c r="B76">
        <v>10000</v>
      </c>
      <c r="C76">
        <v>10000</v>
      </c>
      <c r="D76" s="2">
        <v>45736</v>
      </c>
      <c r="E76" t="s">
        <v>61</v>
      </c>
      <c r="F76" s="3">
        <v>0.42677083333333332</v>
      </c>
      <c r="G76" t="s">
        <v>2069</v>
      </c>
      <c r="I76">
        <v>1</v>
      </c>
      <c r="J76" t="s">
        <v>63</v>
      </c>
      <c r="K76">
        <v>94</v>
      </c>
      <c r="L76" t="s">
        <v>181</v>
      </c>
      <c r="M76">
        <v>500</v>
      </c>
      <c r="P76" s="2">
        <v>45735</v>
      </c>
      <c r="R76">
        <v>4</v>
      </c>
      <c r="S76" s="4">
        <v>2000</v>
      </c>
      <c r="T76" t="s">
        <v>65</v>
      </c>
      <c r="U76" t="s">
        <v>4355</v>
      </c>
      <c r="V76">
        <v>0</v>
      </c>
      <c r="W76" s="4">
        <v>2000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4356</v>
      </c>
      <c r="AN76" t="s">
        <v>3615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4357</v>
      </c>
      <c r="BA76">
        <v>0</v>
      </c>
      <c r="BC76" t="s">
        <v>3615</v>
      </c>
      <c r="BF76" t="s">
        <v>3617</v>
      </c>
    </row>
    <row r="77" spans="1:58" x14ac:dyDescent="0.35">
      <c r="A77" t="s">
        <v>4358</v>
      </c>
      <c r="B77">
        <v>10000</v>
      </c>
      <c r="C77">
        <v>10000</v>
      </c>
      <c r="D77" s="2">
        <v>45737</v>
      </c>
      <c r="E77" t="s">
        <v>61</v>
      </c>
      <c r="F77" t="s">
        <v>4359</v>
      </c>
      <c r="G77">
        <v>59469</v>
      </c>
      <c r="I77">
        <v>1</v>
      </c>
      <c r="J77" t="s">
        <v>63</v>
      </c>
      <c r="K77">
        <v>73</v>
      </c>
      <c r="L77" t="s">
        <v>90</v>
      </c>
      <c r="M77" s="4">
        <v>7875</v>
      </c>
      <c r="P77" s="2">
        <v>45735</v>
      </c>
      <c r="R77">
        <v>12</v>
      </c>
      <c r="S77" s="4">
        <v>94500</v>
      </c>
      <c r="T77" t="s">
        <v>65</v>
      </c>
      <c r="U77" t="s">
        <v>4360</v>
      </c>
      <c r="V77">
        <v>0</v>
      </c>
      <c r="W77" s="4">
        <v>94500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4361</v>
      </c>
      <c r="AN77" t="s">
        <v>321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4362</v>
      </c>
      <c r="BA77">
        <v>0</v>
      </c>
      <c r="BC77" t="s">
        <v>321</v>
      </c>
      <c r="BF77" t="s">
        <v>4363</v>
      </c>
    </row>
    <row r="78" spans="1:58" x14ac:dyDescent="0.35">
      <c r="A78" t="s">
        <v>3618</v>
      </c>
      <c r="B78">
        <v>10000</v>
      </c>
      <c r="C78">
        <v>20000</v>
      </c>
      <c r="D78" s="2">
        <v>45735</v>
      </c>
      <c r="E78" t="s">
        <v>61</v>
      </c>
      <c r="F78" t="s">
        <v>3619</v>
      </c>
      <c r="G78">
        <v>10639931025</v>
      </c>
      <c r="I78">
        <v>2</v>
      </c>
      <c r="J78" t="s">
        <v>63</v>
      </c>
      <c r="K78">
        <v>77</v>
      </c>
      <c r="L78" t="s">
        <v>127</v>
      </c>
      <c r="M78">
        <v>639</v>
      </c>
      <c r="P78" s="2">
        <v>45735</v>
      </c>
      <c r="R78">
        <v>36</v>
      </c>
      <c r="S78" s="4">
        <v>23004</v>
      </c>
      <c r="T78" t="s">
        <v>65</v>
      </c>
      <c r="U78" t="s">
        <v>3620</v>
      </c>
      <c r="V78">
        <v>0</v>
      </c>
      <c r="W78" s="4">
        <v>15000</v>
      </c>
      <c r="X78" s="4">
        <v>8004</v>
      </c>
      <c r="Y78">
        <v>0</v>
      </c>
      <c r="Z78">
        <v>0</v>
      </c>
      <c r="AA78">
        <v>0</v>
      </c>
      <c r="AD78">
        <v>0</v>
      </c>
      <c r="AM78" t="s">
        <v>3621</v>
      </c>
      <c r="AN78" t="s">
        <v>68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3622</v>
      </c>
      <c r="BA78">
        <v>0</v>
      </c>
      <c r="BC78" t="s">
        <v>68</v>
      </c>
      <c r="BF78" t="s">
        <v>3623</v>
      </c>
    </row>
    <row r="79" spans="1:58" x14ac:dyDescent="0.35">
      <c r="A79" t="s">
        <v>4364</v>
      </c>
      <c r="B79">
        <v>10000</v>
      </c>
      <c r="C79">
        <v>10000</v>
      </c>
      <c r="D79" s="2">
        <v>45736</v>
      </c>
      <c r="E79" t="s">
        <v>61</v>
      </c>
      <c r="F79" t="s">
        <v>4365</v>
      </c>
      <c r="G79" t="s">
        <v>4340</v>
      </c>
      <c r="I79">
        <v>1</v>
      </c>
      <c r="J79" t="s">
        <v>63</v>
      </c>
      <c r="K79">
        <v>72</v>
      </c>
      <c r="L79" t="s">
        <v>163</v>
      </c>
      <c r="M79" s="4">
        <v>2250</v>
      </c>
      <c r="P79" s="2">
        <v>45735</v>
      </c>
      <c r="R79">
        <v>4</v>
      </c>
      <c r="S79" s="4">
        <v>9000</v>
      </c>
      <c r="T79" t="s">
        <v>65</v>
      </c>
      <c r="U79">
        <v>5000514990001</v>
      </c>
      <c r="V79">
        <v>0</v>
      </c>
      <c r="W79" s="4">
        <v>7000</v>
      </c>
      <c r="X79" s="4">
        <v>2000</v>
      </c>
      <c r="Y79">
        <v>0</v>
      </c>
      <c r="Z79">
        <v>0</v>
      </c>
      <c r="AA79">
        <v>0</v>
      </c>
      <c r="AD79">
        <v>0</v>
      </c>
      <c r="AM79">
        <v>500051499</v>
      </c>
      <c r="AN79" t="s">
        <v>91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4366</v>
      </c>
      <c r="BA79">
        <v>0</v>
      </c>
      <c r="BC79" t="s">
        <v>91</v>
      </c>
      <c r="BF79" t="s">
        <v>4367</v>
      </c>
    </row>
    <row r="80" spans="1:58" x14ac:dyDescent="0.35">
      <c r="A80" t="s">
        <v>4368</v>
      </c>
      <c r="B80">
        <v>10000</v>
      </c>
      <c r="C80">
        <v>10000</v>
      </c>
      <c r="D80" s="2">
        <v>45736</v>
      </c>
      <c r="E80" t="s">
        <v>61</v>
      </c>
      <c r="F80" t="s">
        <v>4369</v>
      </c>
      <c r="G80" t="s">
        <v>4340</v>
      </c>
      <c r="I80">
        <v>1</v>
      </c>
      <c r="J80" t="s">
        <v>63</v>
      </c>
      <c r="K80">
        <v>72</v>
      </c>
      <c r="L80" t="s">
        <v>163</v>
      </c>
      <c r="M80" s="4">
        <v>2000</v>
      </c>
      <c r="P80" s="2">
        <v>45735</v>
      </c>
      <c r="R80">
        <v>4</v>
      </c>
      <c r="S80" s="4">
        <v>8000</v>
      </c>
      <c r="T80" t="s">
        <v>65</v>
      </c>
      <c r="U80">
        <v>5000634590001</v>
      </c>
      <c r="V80">
        <v>0</v>
      </c>
      <c r="W80" s="4">
        <v>6000</v>
      </c>
      <c r="X80" s="4">
        <v>2000</v>
      </c>
      <c r="Y80">
        <v>0</v>
      </c>
      <c r="Z80">
        <v>0</v>
      </c>
      <c r="AA80">
        <v>0</v>
      </c>
      <c r="AD80">
        <v>0</v>
      </c>
      <c r="AM80">
        <v>500063459</v>
      </c>
      <c r="AN80" t="s">
        <v>91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4370</v>
      </c>
      <c r="BA80">
        <v>0</v>
      </c>
      <c r="BC80" t="s">
        <v>91</v>
      </c>
      <c r="BF80" t="s">
        <v>4367</v>
      </c>
    </row>
    <row r="81" spans="1:58" x14ac:dyDescent="0.35">
      <c r="A81" t="s">
        <v>4371</v>
      </c>
      <c r="B81">
        <v>10000</v>
      </c>
      <c r="C81">
        <v>10000</v>
      </c>
      <c r="D81" s="2">
        <v>45736</v>
      </c>
      <c r="E81" t="s">
        <v>61</v>
      </c>
      <c r="F81" t="s">
        <v>4372</v>
      </c>
      <c r="G81" t="s">
        <v>4340</v>
      </c>
      <c r="I81">
        <v>1</v>
      </c>
      <c r="J81" t="s">
        <v>63</v>
      </c>
      <c r="K81">
        <v>72</v>
      </c>
      <c r="L81" t="s">
        <v>163</v>
      </c>
      <c r="M81" s="4">
        <v>2250</v>
      </c>
      <c r="P81" s="2">
        <v>45735</v>
      </c>
      <c r="R81">
        <v>4</v>
      </c>
      <c r="S81" s="4">
        <v>9000</v>
      </c>
      <c r="T81" t="s">
        <v>65</v>
      </c>
      <c r="U81">
        <v>5000635410001</v>
      </c>
      <c r="V81">
        <v>0</v>
      </c>
      <c r="W81" s="4">
        <v>7000</v>
      </c>
      <c r="X81" s="4">
        <v>2000</v>
      </c>
      <c r="Y81">
        <v>0</v>
      </c>
      <c r="Z81">
        <v>0</v>
      </c>
      <c r="AA81">
        <v>0</v>
      </c>
      <c r="AD81">
        <v>0</v>
      </c>
      <c r="AM81">
        <v>500063541</v>
      </c>
      <c r="AN81" t="s">
        <v>91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4373</v>
      </c>
      <c r="BA81">
        <v>0</v>
      </c>
      <c r="BC81" t="s">
        <v>91</v>
      </c>
      <c r="BF81" t="s">
        <v>4367</v>
      </c>
    </row>
    <row r="82" spans="1:58" x14ac:dyDescent="0.35">
      <c r="A82" t="s">
        <v>4374</v>
      </c>
      <c r="B82">
        <v>10000</v>
      </c>
      <c r="C82">
        <v>10000</v>
      </c>
      <c r="D82" s="2">
        <v>45734</v>
      </c>
      <c r="E82" t="s">
        <v>61</v>
      </c>
      <c r="F82" t="s">
        <v>4076</v>
      </c>
      <c r="G82" t="s">
        <v>4077</v>
      </c>
      <c r="I82">
        <v>1</v>
      </c>
      <c r="J82" t="s">
        <v>63</v>
      </c>
      <c r="K82">
        <v>65</v>
      </c>
      <c r="L82" t="s">
        <v>268</v>
      </c>
      <c r="M82" s="4">
        <v>1000</v>
      </c>
      <c r="P82" s="2">
        <v>45735</v>
      </c>
      <c r="R82">
        <v>30</v>
      </c>
      <c r="S82" s="4">
        <v>30000</v>
      </c>
      <c r="T82" t="s">
        <v>65</v>
      </c>
      <c r="U82" t="s">
        <v>4078</v>
      </c>
      <c r="V82">
        <v>0</v>
      </c>
      <c r="W82" s="4">
        <v>30000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4079</v>
      </c>
      <c r="AN82" t="s">
        <v>4029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4375</v>
      </c>
      <c r="BA82">
        <v>0</v>
      </c>
      <c r="BC82" t="s">
        <v>4029</v>
      </c>
      <c r="BF82" t="s">
        <v>4376</v>
      </c>
    </row>
    <row r="83" spans="1:58" x14ac:dyDescent="0.35">
      <c r="A83" t="s">
        <v>4087</v>
      </c>
      <c r="B83">
        <v>10000</v>
      </c>
      <c r="C83">
        <v>20000</v>
      </c>
      <c r="D83" s="2">
        <v>45735</v>
      </c>
      <c r="E83" t="s">
        <v>61</v>
      </c>
      <c r="F83" t="s">
        <v>4088</v>
      </c>
      <c r="G83" t="s">
        <v>134</v>
      </c>
      <c r="I83">
        <v>2</v>
      </c>
      <c r="J83" t="s">
        <v>63</v>
      </c>
      <c r="K83">
        <v>71</v>
      </c>
      <c r="L83" t="s">
        <v>135</v>
      </c>
      <c r="M83" s="4">
        <v>3834</v>
      </c>
      <c r="P83" s="2">
        <v>45735</v>
      </c>
      <c r="R83">
        <v>6</v>
      </c>
      <c r="S83" s="4">
        <v>23004</v>
      </c>
      <c r="T83" t="s">
        <v>65</v>
      </c>
      <c r="U83">
        <v>86085350001</v>
      </c>
      <c r="V83">
        <v>0</v>
      </c>
      <c r="W83" s="4">
        <v>23000</v>
      </c>
      <c r="X83">
        <v>4</v>
      </c>
      <c r="Y83">
        <v>0</v>
      </c>
      <c r="Z83">
        <v>0</v>
      </c>
      <c r="AA83">
        <v>0</v>
      </c>
      <c r="AD83">
        <v>0</v>
      </c>
      <c r="AM83">
        <v>8608535</v>
      </c>
      <c r="AN83" t="s">
        <v>91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4089</v>
      </c>
      <c r="BA83">
        <v>0</v>
      </c>
      <c r="BC83" t="s">
        <v>91</v>
      </c>
      <c r="BF83" t="s">
        <v>4090</v>
      </c>
    </row>
    <row r="84" spans="1:58" x14ac:dyDescent="0.35">
      <c r="A84" t="s">
        <v>4091</v>
      </c>
      <c r="B84">
        <v>10000</v>
      </c>
      <c r="C84">
        <v>20000</v>
      </c>
      <c r="D84" s="2">
        <v>45735</v>
      </c>
      <c r="E84" t="s">
        <v>61</v>
      </c>
      <c r="F84" t="s">
        <v>4092</v>
      </c>
      <c r="G84" t="s">
        <v>134</v>
      </c>
      <c r="I84">
        <v>2</v>
      </c>
      <c r="J84" t="s">
        <v>63</v>
      </c>
      <c r="K84">
        <v>71</v>
      </c>
      <c r="L84" t="s">
        <v>135</v>
      </c>
      <c r="M84" s="4">
        <v>1000</v>
      </c>
      <c r="P84" s="2">
        <v>45735</v>
      </c>
      <c r="R84">
        <v>6</v>
      </c>
      <c r="S84" s="4">
        <v>6000</v>
      </c>
      <c r="T84" t="s">
        <v>65</v>
      </c>
      <c r="U84">
        <v>86085410001</v>
      </c>
      <c r="V84">
        <v>0</v>
      </c>
      <c r="W84" s="4">
        <v>6000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8608541</v>
      </c>
      <c r="AN84" t="s">
        <v>91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4093</v>
      </c>
      <c r="BA84">
        <v>0</v>
      </c>
      <c r="BC84" t="s">
        <v>91</v>
      </c>
      <c r="BF84" t="s">
        <v>4090</v>
      </c>
    </row>
    <row r="85" spans="1:58" x14ac:dyDescent="0.35">
      <c r="A85" t="s">
        <v>4094</v>
      </c>
      <c r="B85">
        <v>10000</v>
      </c>
      <c r="C85">
        <v>20000</v>
      </c>
      <c r="D85" s="2">
        <v>45735</v>
      </c>
      <c r="E85" t="s">
        <v>61</v>
      </c>
      <c r="F85" t="s">
        <v>4092</v>
      </c>
      <c r="G85" t="s">
        <v>134</v>
      </c>
      <c r="I85">
        <v>2</v>
      </c>
      <c r="J85" t="s">
        <v>63</v>
      </c>
      <c r="K85">
        <v>71</v>
      </c>
      <c r="L85" t="s">
        <v>135</v>
      </c>
      <c r="M85">
        <v>834</v>
      </c>
      <c r="P85" s="2">
        <v>45735</v>
      </c>
      <c r="R85">
        <v>6</v>
      </c>
      <c r="S85" s="4">
        <v>5004</v>
      </c>
      <c r="T85" t="s">
        <v>65</v>
      </c>
      <c r="U85">
        <v>5000580740001</v>
      </c>
      <c r="V85">
        <v>0</v>
      </c>
      <c r="W85" s="4">
        <v>5000</v>
      </c>
      <c r="X85">
        <v>4</v>
      </c>
      <c r="Y85">
        <v>0</v>
      </c>
      <c r="Z85">
        <v>0</v>
      </c>
      <c r="AA85">
        <v>0</v>
      </c>
      <c r="AD85">
        <v>0</v>
      </c>
      <c r="AM85">
        <v>500058074</v>
      </c>
      <c r="AN85" t="s">
        <v>91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4095</v>
      </c>
      <c r="BA85">
        <v>0</v>
      </c>
      <c r="BC85" t="s">
        <v>91</v>
      </c>
      <c r="BF85" t="s">
        <v>4090</v>
      </c>
    </row>
    <row r="86" spans="1:58" x14ac:dyDescent="0.35">
      <c r="A86" t="s">
        <v>4096</v>
      </c>
      <c r="B86">
        <v>10000</v>
      </c>
      <c r="C86">
        <v>20000</v>
      </c>
      <c r="D86" s="2">
        <v>45735</v>
      </c>
      <c r="E86" t="s">
        <v>61</v>
      </c>
      <c r="F86" t="s">
        <v>4092</v>
      </c>
      <c r="G86" t="s">
        <v>134</v>
      </c>
      <c r="I86">
        <v>2</v>
      </c>
      <c r="J86" t="s">
        <v>63</v>
      </c>
      <c r="K86">
        <v>71</v>
      </c>
      <c r="L86" t="s">
        <v>135</v>
      </c>
      <c r="M86" s="4">
        <v>4500</v>
      </c>
      <c r="P86" s="2">
        <v>45735</v>
      </c>
      <c r="R86">
        <v>6</v>
      </c>
      <c r="S86" s="4">
        <v>27000</v>
      </c>
      <c r="T86" t="s">
        <v>65</v>
      </c>
      <c r="U86">
        <v>5000580750001</v>
      </c>
      <c r="V86">
        <v>0</v>
      </c>
      <c r="W86" s="4">
        <v>27000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500058075</v>
      </c>
      <c r="AN86" t="s">
        <v>91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4097</v>
      </c>
      <c r="BA86">
        <v>0</v>
      </c>
      <c r="BC86" t="s">
        <v>91</v>
      </c>
      <c r="BF86" t="s">
        <v>4090</v>
      </c>
    </row>
    <row r="87" spans="1:58" x14ac:dyDescent="0.35">
      <c r="A87" t="s">
        <v>4098</v>
      </c>
      <c r="B87">
        <v>10000</v>
      </c>
      <c r="C87">
        <v>20000</v>
      </c>
      <c r="D87" s="2">
        <v>45735</v>
      </c>
      <c r="E87" t="s">
        <v>61</v>
      </c>
      <c r="F87" t="s">
        <v>4092</v>
      </c>
      <c r="G87" t="s">
        <v>134</v>
      </c>
      <c r="I87">
        <v>2</v>
      </c>
      <c r="J87" t="s">
        <v>63</v>
      </c>
      <c r="K87">
        <v>71</v>
      </c>
      <c r="L87" t="s">
        <v>135</v>
      </c>
      <c r="M87" s="4">
        <v>2500</v>
      </c>
      <c r="P87" s="2">
        <v>45735</v>
      </c>
      <c r="R87">
        <v>6</v>
      </c>
      <c r="S87" s="4">
        <v>15000</v>
      </c>
      <c r="T87" t="s">
        <v>65</v>
      </c>
      <c r="U87">
        <v>5000582200001</v>
      </c>
      <c r="V87">
        <v>0</v>
      </c>
      <c r="W87" s="4">
        <v>15000</v>
      </c>
      <c r="X87">
        <v>0</v>
      </c>
      <c r="Y87">
        <v>0</v>
      </c>
      <c r="Z87">
        <v>0</v>
      </c>
      <c r="AA87">
        <v>0</v>
      </c>
      <c r="AD87">
        <v>0</v>
      </c>
      <c r="AM87">
        <v>500058220</v>
      </c>
      <c r="AN87" t="s">
        <v>91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4099</v>
      </c>
      <c r="BA87">
        <v>0</v>
      </c>
      <c r="BC87" t="s">
        <v>91</v>
      </c>
      <c r="BF87" t="s">
        <v>4090</v>
      </c>
    </row>
    <row r="88" spans="1:58" x14ac:dyDescent="0.35">
      <c r="A88" t="s">
        <v>4377</v>
      </c>
      <c r="B88">
        <v>10000</v>
      </c>
      <c r="C88">
        <v>10000</v>
      </c>
      <c r="D88" s="2">
        <v>45736</v>
      </c>
      <c r="E88" t="s">
        <v>61</v>
      </c>
      <c r="F88" t="s">
        <v>4378</v>
      </c>
      <c r="G88" t="s">
        <v>134</v>
      </c>
      <c r="I88">
        <v>1</v>
      </c>
      <c r="J88" t="s">
        <v>63</v>
      </c>
      <c r="K88">
        <v>72</v>
      </c>
      <c r="L88" t="s">
        <v>163</v>
      </c>
      <c r="M88" s="4">
        <v>24000</v>
      </c>
      <c r="P88" s="2">
        <v>45735</v>
      </c>
      <c r="R88">
        <v>4</v>
      </c>
      <c r="S88" s="4">
        <v>96000</v>
      </c>
      <c r="T88" t="s">
        <v>65</v>
      </c>
      <c r="U88">
        <v>5000582210001</v>
      </c>
      <c r="V88">
        <v>0</v>
      </c>
      <c r="W88" s="4">
        <v>86000</v>
      </c>
      <c r="X88" s="4">
        <v>10000</v>
      </c>
      <c r="Y88">
        <v>0</v>
      </c>
      <c r="Z88">
        <v>0</v>
      </c>
      <c r="AA88">
        <v>0</v>
      </c>
      <c r="AD88">
        <v>0</v>
      </c>
      <c r="AM88">
        <v>500058221</v>
      </c>
      <c r="AN88" t="s">
        <v>91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4379</v>
      </c>
      <c r="BA88">
        <v>0</v>
      </c>
      <c r="BC88" t="s">
        <v>91</v>
      </c>
      <c r="BF88" t="s">
        <v>4090</v>
      </c>
    </row>
    <row r="89" spans="1:58" x14ac:dyDescent="0.35">
      <c r="A89" t="s">
        <v>4377</v>
      </c>
      <c r="B89">
        <v>10000</v>
      </c>
      <c r="C89">
        <v>20000</v>
      </c>
      <c r="D89" s="2">
        <v>45736</v>
      </c>
      <c r="E89" t="s">
        <v>61</v>
      </c>
      <c r="F89" t="s">
        <v>4378</v>
      </c>
      <c r="G89" t="s">
        <v>134</v>
      </c>
      <c r="I89">
        <v>2</v>
      </c>
      <c r="J89" t="s">
        <v>63</v>
      </c>
      <c r="K89">
        <v>71</v>
      </c>
      <c r="L89" t="s">
        <v>135</v>
      </c>
      <c r="M89" s="4">
        <v>14334</v>
      </c>
      <c r="P89" s="2">
        <v>45735</v>
      </c>
      <c r="R89">
        <v>6</v>
      </c>
      <c r="S89" s="4">
        <v>86004</v>
      </c>
      <c r="T89" t="s">
        <v>65</v>
      </c>
      <c r="U89">
        <v>5000582210001</v>
      </c>
      <c r="V89">
        <v>0</v>
      </c>
      <c r="W89" s="4">
        <v>86000</v>
      </c>
      <c r="X89">
        <v>4</v>
      </c>
      <c r="Y89">
        <v>0</v>
      </c>
      <c r="Z89">
        <v>0</v>
      </c>
      <c r="AA89">
        <v>0</v>
      </c>
      <c r="AD89">
        <v>0</v>
      </c>
      <c r="AM89">
        <v>500058221</v>
      </c>
      <c r="AN89" t="s">
        <v>91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4379</v>
      </c>
      <c r="BA89">
        <v>0</v>
      </c>
      <c r="BC89" t="s">
        <v>91</v>
      </c>
      <c r="BF89" t="s">
        <v>4090</v>
      </c>
    </row>
    <row r="90" spans="1:58" x14ac:dyDescent="0.35">
      <c r="A90" t="s">
        <v>4109</v>
      </c>
      <c r="B90">
        <v>10000</v>
      </c>
      <c r="C90">
        <v>20000</v>
      </c>
      <c r="D90" s="2">
        <v>45735</v>
      </c>
      <c r="E90" t="s">
        <v>61</v>
      </c>
      <c r="F90" t="s">
        <v>4088</v>
      </c>
      <c r="G90" t="s">
        <v>134</v>
      </c>
      <c r="I90">
        <v>2</v>
      </c>
      <c r="J90" t="s">
        <v>63</v>
      </c>
      <c r="K90">
        <v>71</v>
      </c>
      <c r="L90" t="s">
        <v>135</v>
      </c>
      <c r="M90" s="4">
        <v>6167</v>
      </c>
      <c r="P90" s="2">
        <v>45735</v>
      </c>
      <c r="R90">
        <v>6</v>
      </c>
      <c r="S90" s="4">
        <v>37002</v>
      </c>
      <c r="T90" t="s">
        <v>65</v>
      </c>
      <c r="U90">
        <v>5000602820001</v>
      </c>
      <c r="V90">
        <v>0</v>
      </c>
      <c r="W90" s="4">
        <v>37000</v>
      </c>
      <c r="X90">
        <v>2</v>
      </c>
      <c r="Y90">
        <v>0</v>
      </c>
      <c r="Z90">
        <v>0</v>
      </c>
      <c r="AA90">
        <v>0</v>
      </c>
      <c r="AD90">
        <v>0</v>
      </c>
      <c r="AM90">
        <v>500060282</v>
      </c>
      <c r="AN90" t="s">
        <v>91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4110</v>
      </c>
      <c r="BA90">
        <v>0</v>
      </c>
      <c r="BC90" t="s">
        <v>91</v>
      </c>
      <c r="BF90" t="s">
        <v>4090</v>
      </c>
    </row>
    <row r="91" spans="1:58" x14ac:dyDescent="0.35">
      <c r="A91" t="s">
        <v>4380</v>
      </c>
      <c r="B91">
        <v>10000</v>
      </c>
      <c r="C91">
        <v>10000</v>
      </c>
      <c r="D91" s="2">
        <v>45737</v>
      </c>
      <c r="E91" t="s">
        <v>61</v>
      </c>
      <c r="F91" t="s">
        <v>4381</v>
      </c>
      <c r="G91" t="s">
        <v>4340</v>
      </c>
      <c r="I91">
        <v>1</v>
      </c>
      <c r="J91" t="s">
        <v>63</v>
      </c>
      <c r="K91">
        <v>72</v>
      </c>
      <c r="L91" t="s">
        <v>163</v>
      </c>
      <c r="M91" s="4">
        <v>1125</v>
      </c>
      <c r="P91" s="2">
        <v>45735</v>
      </c>
      <c r="R91">
        <v>4</v>
      </c>
      <c r="S91" s="4">
        <v>4500</v>
      </c>
      <c r="T91" t="s">
        <v>65</v>
      </c>
      <c r="U91">
        <v>5000478070001</v>
      </c>
      <c r="V91">
        <v>0</v>
      </c>
      <c r="W91" s="4">
        <v>2500</v>
      </c>
      <c r="X91" s="4">
        <v>2000</v>
      </c>
      <c r="Y91">
        <v>0</v>
      </c>
      <c r="Z91">
        <v>0</v>
      </c>
      <c r="AA91">
        <v>0</v>
      </c>
      <c r="AD91">
        <v>0</v>
      </c>
      <c r="AM91">
        <v>500047807</v>
      </c>
      <c r="AN91" t="s">
        <v>91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4382</v>
      </c>
      <c r="BA91">
        <v>0</v>
      </c>
      <c r="BC91" t="s">
        <v>91</v>
      </c>
      <c r="BF91" t="s">
        <v>4383</v>
      </c>
    </row>
    <row r="92" spans="1:58" x14ac:dyDescent="0.35">
      <c r="A92" t="s">
        <v>4380</v>
      </c>
      <c r="B92">
        <v>20000</v>
      </c>
      <c r="C92">
        <v>10000</v>
      </c>
      <c r="D92" s="2">
        <v>45737</v>
      </c>
      <c r="E92" t="s">
        <v>61</v>
      </c>
      <c r="F92" t="s">
        <v>4381</v>
      </c>
      <c r="G92" t="s">
        <v>4340</v>
      </c>
      <c r="I92">
        <v>1</v>
      </c>
      <c r="J92" t="s">
        <v>63</v>
      </c>
      <c r="K92">
        <v>72</v>
      </c>
      <c r="L92" t="s">
        <v>163</v>
      </c>
      <c r="M92">
        <v>625</v>
      </c>
      <c r="P92" s="2">
        <v>45735</v>
      </c>
      <c r="R92">
        <v>4</v>
      </c>
      <c r="S92" s="4">
        <v>2500</v>
      </c>
      <c r="T92" t="s">
        <v>65</v>
      </c>
      <c r="U92">
        <v>5000478070001</v>
      </c>
      <c r="V92">
        <v>0</v>
      </c>
      <c r="W92" s="4">
        <v>2500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500047807</v>
      </c>
      <c r="AN92" t="s">
        <v>91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4382</v>
      </c>
      <c r="BA92">
        <v>0</v>
      </c>
      <c r="BC92" t="s">
        <v>91</v>
      </c>
      <c r="BF92" t="s">
        <v>4383</v>
      </c>
    </row>
    <row r="93" spans="1:58" x14ac:dyDescent="0.35">
      <c r="A93" t="s">
        <v>4384</v>
      </c>
      <c r="B93">
        <v>10000</v>
      </c>
      <c r="C93">
        <v>10000</v>
      </c>
      <c r="D93" s="2">
        <v>45737</v>
      </c>
      <c r="E93" t="s">
        <v>61</v>
      </c>
      <c r="F93" t="s">
        <v>4385</v>
      </c>
      <c r="G93" t="s">
        <v>4340</v>
      </c>
      <c r="I93">
        <v>1</v>
      </c>
      <c r="J93" t="s">
        <v>63</v>
      </c>
      <c r="K93">
        <v>72</v>
      </c>
      <c r="L93" t="s">
        <v>163</v>
      </c>
      <c r="M93" s="4">
        <v>1125</v>
      </c>
      <c r="P93" s="2">
        <v>45735</v>
      </c>
      <c r="R93">
        <v>4</v>
      </c>
      <c r="S93" s="4">
        <v>4500</v>
      </c>
      <c r="T93" t="s">
        <v>65</v>
      </c>
      <c r="U93">
        <v>5000478080001</v>
      </c>
      <c r="V93">
        <v>0</v>
      </c>
      <c r="W93" s="4">
        <v>2500</v>
      </c>
      <c r="X93" s="4">
        <v>2000</v>
      </c>
      <c r="Y93">
        <v>0</v>
      </c>
      <c r="Z93">
        <v>0</v>
      </c>
      <c r="AA93">
        <v>0</v>
      </c>
      <c r="AD93">
        <v>0</v>
      </c>
      <c r="AM93">
        <v>500047808</v>
      </c>
      <c r="AN93" t="s">
        <v>91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4386</v>
      </c>
      <c r="BA93">
        <v>0</v>
      </c>
      <c r="BC93" t="s">
        <v>91</v>
      </c>
      <c r="BF93" t="s">
        <v>4383</v>
      </c>
    </row>
    <row r="94" spans="1:58" x14ac:dyDescent="0.35">
      <c r="A94" t="s">
        <v>4384</v>
      </c>
      <c r="B94">
        <v>20000</v>
      </c>
      <c r="C94">
        <v>10000</v>
      </c>
      <c r="D94" s="2">
        <v>45737</v>
      </c>
      <c r="E94" t="s">
        <v>61</v>
      </c>
      <c r="F94" t="s">
        <v>4385</v>
      </c>
      <c r="G94" t="s">
        <v>4340</v>
      </c>
      <c r="I94">
        <v>1</v>
      </c>
      <c r="J94" t="s">
        <v>63</v>
      </c>
      <c r="K94">
        <v>72</v>
      </c>
      <c r="L94" t="s">
        <v>163</v>
      </c>
      <c r="M94">
        <v>625</v>
      </c>
      <c r="P94" s="2">
        <v>45735</v>
      </c>
      <c r="R94">
        <v>4</v>
      </c>
      <c r="S94" s="4">
        <v>2500</v>
      </c>
      <c r="T94" t="s">
        <v>65</v>
      </c>
      <c r="U94">
        <v>5000478080001</v>
      </c>
      <c r="V94">
        <v>0</v>
      </c>
      <c r="W94" s="4">
        <v>2500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500047808</v>
      </c>
      <c r="AN94" t="s">
        <v>91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4386</v>
      </c>
      <c r="BA94">
        <v>0</v>
      </c>
      <c r="BC94" t="s">
        <v>91</v>
      </c>
      <c r="BF94" t="s">
        <v>4383</v>
      </c>
    </row>
    <row r="95" spans="1:58" x14ac:dyDescent="0.35">
      <c r="A95" t="s">
        <v>4387</v>
      </c>
      <c r="B95">
        <v>10000</v>
      </c>
      <c r="C95">
        <v>10000</v>
      </c>
      <c r="D95" s="2">
        <v>45737</v>
      </c>
      <c r="E95" t="s">
        <v>61</v>
      </c>
      <c r="F95" t="s">
        <v>4388</v>
      </c>
      <c r="G95" t="s">
        <v>4340</v>
      </c>
      <c r="I95">
        <v>1</v>
      </c>
      <c r="J95" t="s">
        <v>63</v>
      </c>
      <c r="K95">
        <v>72</v>
      </c>
      <c r="L95" t="s">
        <v>163</v>
      </c>
      <c r="M95" s="4">
        <v>1125</v>
      </c>
      <c r="P95" s="2">
        <v>45735</v>
      </c>
      <c r="R95">
        <v>4</v>
      </c>
      <c r="S95" s="4">
        <v>4500</v>
      </c>
      <c r="T95" t="s">
        <v>65</v>
      </c>
      <c r="U95">
        <v>5000479220001</v>
      </c>
      <c r="V95">
        <v>0</v>
      </c>
      <c r="W95" s="4">
        <v>2500</v>
      </c>
      <c r="X95" s="4">
        <v>2000</v>
      </c>
      <c r="Y95">
        <v>0</v>
      </c>
      <c r="Z95">
        <v>0</v>
      </c>
      <c r="AA95">
        <v>0</v>
      </c>
      <c r="AD95">
        <v>0</v>
      </c>
      <c r="AM95">
        <v>500047922</v>
      </c>
      <c r="AN95" t="s">
        <v>91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4389</v>
      </c>
      <c r="BA95">
        <v>0</v>
      </c>
      <c r="BC95" t="s">
        <v>91</v>
      </c>
      <c r="BF95" t="s">
        <v>4383</v>
      </c>
    </row>
    <row r="96" spans="1:58" x14ac:dyDescent="0.35">
      <c r="A96" t="s">
        <v>4387</v>
      </c>
      <c r="B96">
        <v>20000</v>
      </c>
      <c r="C96">
        <v>10000</v>
      </c>
      <c r="D96" s="2">
        <v>45737</v>
      </c>
      <c r="E96" t="s">
        <v>61</v>
      </c>
      <c r="F96" t="s">
        <v>4388</v>
      </c>
      <c r="G96" t="s">
        <v>4340</v>
      </c>
      <c r="I96">
        <v>1</v>
      </c>
      <c r="J96" t="s">
        <v>63</v>
      </c>
      <c r="K96">
        <v>72</v>
      </c>
      <c r="L96" t="s">
        <v>163</v>
      </c>
      <c r="M96">
        <v>625</v>
      </c>
      <c r="P96" s="2">
        <v>45735</v>
      </c>
      <c r="R96">
        <v>4</v>
      </c>
      <c r="S96" s="4">
        <v>2500</v>
      </c>
      <c r="T96" t="s">
        <v>65</v>
      </c>
      <c r="U96">
        <v>5000479220001</v>
      </c>
      <c r="V96">
        <v>0</v>
      </c>
      <c r="W96" s="4">
        <v>2500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500047922</v>
      </c>
      <c r="AN96" t="s">
        <v>91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4389</v>
      </c>
      <c r="BA96">
        <v>0</v>
      </c>
      <c r="BC96" t="s">
        <v>91</v>
      </c>
      <c r="BF96" t="s">
        <v>4383</v>
      </c>
    </row>
    <row r="97" spans="1:58" x14ac:dyDescent="0.35">
      <c r="A97" t="s">
        <v>4390</v>
      </c>
      <c r="B97">
        <v>10000</v>
      </c>
      <c r="C97">
        <v>10000</v>
      </c>
      <c r="D97" s="2">
        <v>45737</v>
      </c>
      <c r="E97" t="s">
        <v>61</v>
      </c>
      <c r="F97" t="s">
        <v>4391</v>
      </c>
      <c r="G97" t="s">
        <v>4340</v>
      </c>
      <c r="I97">
        <v>1</v>
      </c>
      <c r="J97" t="s">
        <v>63</v>
      </c>
      <c r="K97">
        <v>72</v>
      </c>
      <c r="L97" t="s">
        <v>163</v>
      </c>
      <c r="M97" s="4">
        <v>1125</v>
      </c>
      <c r="P97" s="2">
        <v>45735</v>
      </c>
      <c r="R97">
        <v>4</v>
      </c>
      <c r="S97" s="4">
        <v>4500</v>
      </c>
      <c r="T97" t="s">
        <v>65</v>
      </c>
      <c r="U97">
        <v>5000580790001</v>
      </c>
      <c r="V97">
        <v>0</v>
      </c>
      <c r="W97" s="4">
        <v>2500</v>
      </c>
      <c r="X97" s="4">
        <v>2000</v>
      </c>
      <c r="Y97">
        <v>0</v>
      </c>
      <c r="Z97">
        <v>0</v>
      </c>
      <c r="AA97">
        <v>0</v>
      </c>
      <c r="AD97">
        <v>0</v>
      </c>
      <c r="AM97">
        <v>500058079</v>
      </c>
      <c r="AN97" t="s">
        <v>91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4392</v>
      </c>
      <c r="BA97">
        <v>0</v>
      </c>
      <c r="BC97" t="s">
        <v>91</v>
      </c>
      <c r="BF97" t="s">
        <v>4383</v>
      </c>
    </row>
    <row r="98" spans="1:58" x14ac:dyDescent="0.35">
      <c r="A98" t="s">
        <v>4390</v>
      </c>
      <c r="B98">
        <v>20000</v>
      </c>
      <c r="C98">
        <v>10000</v>
      </c>
      <c r="D98" s="2">
        <v>45737</v>
      </c>
      <c r="E98" t="s">
        <v>61</v>
      </c>
      <c r="F98" t="s">
        <v>4391</v>
      </c>
      <c r="G98" t="s">
        <v>4340</v>
      </c>
      <c r="I98">
        <v>1</v>
      </c>
      <c r="J98" t="s">
        <v>63</v>
      </c>
      <c r="K98">
        <v>72</v>
      </c>
      <c r="L98" t="s">
        <v>163</v>
      </c>
      <c r="M98">
        <v>625</v>
      </c>
      <c r="P98" s="2">
        <v>45735</v>
      </c>
      <c r="R98">
        <v>4</v>
      </c>
      <c r="S98" s="4">
        <v>2500</v>
      </c>
      <c r="T98" t="s">
        <v>65</v>
      </c>
      <c r="U98">
        <v>5000580790001</v>
      </c>
      <c r="V98">
        <v>0</v>
      </c>
      <c r="W98" s="4">
        <v>2500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500058079</v>
      </c>
      <c r="AN98" t="s">
        <v>91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4392</v>
      </c>
      <c r="BA98">
        <v>0</v>
      </c>
      <c r="BC98" t="s">
        <v>91</v>
      </c>
      <c r="BF98" t="s">
        <v>4383</v>
      </c>
    </row>
    <row r="99" spans="1:58" x14ac:dyDescent="0.35">
      <c r="A99" t="s">
        <v>4393</v>
      </c>
      <c r="B99">
        <v>10000</v>
      </c>
      <c r="C99">
        <v>10000</v>
      </c>
      <c r="D99" s="2">
        <v>45737</v>
      </c>
      <c r="E99" t="s">
        <v>61</v>
      </c>
      <c r="F99" t="s">
        <v>4394</v>
      </c>
      <c r="G99" t="s">
        <v>4340</v>
      </c>
      <c r="I99">
        <v>1</v>
      </c>
      <c r="J99" t="s">
        <v>63</v>
      </c>
      <c r="K99">
        <v>72</v>
      </c>
      <c r="L99" t="s">
        <v>163</v>
      </c>
      <c r="M99" s="4">
        <v>2625</v>
      </c>
      <c r="P99" s="2">
        <v>45735</v>
      </c>
      <c r="R99">
        <v>4</v>
      </c>
      <c r="S99" s="4">
        <v>10500</v>
      </c>
      <c r="T99" t="s">
        <v>65</v>
      </c>
      <c r="U99">
        <v>5000582270001</v>
      </c>
      <c r="V99">
        <v>0</v>
      </c>
      <c r="W99" s="4">
        <v>7500</v>
      </c>
      <c r="X99" s="4">
        <v>3000</v>
      </c>
      <c r="Y99">
        <v>0</v>
      </c>
      <c r="Z99">
        <v>0</v>
      </c>
      <c r="AA99">
        <v>0</v>
      </c>
      <c r="AD99">
        <v>0</v>
      </c>
      <c r="AM99">
        <v>500058227</v>
      </c>
      <c r="AN99" t="s">
        <v>91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4395</v>
      </c>
      <c r="BA99">
        <v>0</v>
      </c>
      <c r="BC99" t="s">
        <v>91</v>
      </c>
      <c r="BF99" t="s">
        <v>4383</v>
      </c>
    </row>
    <row r="100" spans="1:58" x14ac:dyDescent="0.35">
      <c r="A100" t="s">
        <v>4393</v>
      </c>
      <c r="B100">
        <v>20000</v>
      </c>
      <c r="C100">
        <v>10000</v>
      </c>
      <c r="D100" s="2">
        <v>45737</v>
      </c>
      <c r="E100" t="s">
        <v>61</v>
      </c>
      <c r="F100" t="s">
        <v>4394</v>
      </c>
      <c r="G100" t="s">
        <v>4340</v>
      </c>
      <c r="I100">
        <v>1</v>
      </c>
      <c r="J100" t="s">
        <v>63</v>
      </c>
      <c r="K100">
        <v>72</v>
      </c>
      <c r="L100" t="s">
        <v>163</v>
      </c>
      <c r="M100" s="4">
        <v>1875</v>
      </c>
      <c r="P100" s="2">
        <v>45735</v>
      </c>
      <c r="R100">
        <v>4</v>
      </c>
      <c r="S100" s="4">
        <v>7500</v>
      </c>
      <c r="T100" t="s">
        <v>65</v>
      </c>
      <c r="U100">
        <v>5000582270001</v>
      </c>
      <c r="V100">
        <v>0</v>
      </c>
      <c r="W100" s="4">
        <v>7500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500058227</v>
      </c>
      <c r="AN100" t="s">
        <v>91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4395</v>
      </c>
      <c r="BA100">
        <v>0</v>
      </c>
      <c r="BC100" t="s">
        <v>91</v>
      </c>
      <c r="BF100" t="s">
        <v>4383</v>
      </c>
    </row>
    <row r="101" spans="1:58" x14ac:dyDescent="0.35">
      <c r="A101" t="s">
        <v>4396</v>
      </c>
      <c r="B101">
        <v>10000</v>
      </c>
      <c r="C101">
        <v>10000</v>
      </c>
      <c r="D101" s="2">
        <v>45737</v>
      </c>
      <c r="E101" t="s">
        <v>61</v>
      </c>
      <c r="F101" t="s">
        <v>4397</v>
      </c>
      <c r="G101" t="s">
        <v>4340</v>
      </c>
      <c r="I101">
        <v>1</v>
      </c>
      <c r="J101" t="s">
        <v>63</v>
      </c>
      <c r="K101">
        <v>72</v>
      </c>
      <c r="L101" t="s">
        <v>163</v>
      </c>
      <c r="M101" s="4">
        <v>1125</v>
      </c>
      <c r="P101" s="2">
        <v>45735</v>
      </c>
      <c r="R101">
        <v>4</v>
      </c>
      <c r="S101" s="4">
        <v>4500</v>
      </c>
      <c r="T101" t="s">
        <v>65</v>
      </c>
      <c r="U101">
        <v>5000582280001</v>
      </c>
      <c r="V101">
        <v>0</v>
      </c>
      <c r="W101" s="4">
        <v>2500</v>
      </c>
      <c r="X101" s="4">
        <v>2000</v>
      </c>
      <c r="Y101">
        <v>0</v>
      </c>
      <c r="Z101">
        <v>0</v>
      </c>
      <c r="AA101">
        <v>0</v>
      </c>
      <c r="AD101">
        <v>0</v>
      </c>
      <c r="AM101">
        <v>500058228</v>
      </c>
      <c r="AN101" t="s">
        <v>91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4398</v>
      </c>
      <c r="BA101">
        <v>0</v>
      </c>
      <c r="BC101" t="s">
        <v>91</v>
      </c>
      <c r="BF101" t="s">
        <v>4383</v>
      </c>
    </row>
    <row r="102" spans="1:58" x14ac:dyDescent="0.35">
      <c r="A102" t="s">
        <v>4396</v>
      </c>
      <c r="B102">
        <v>20000</v>
      </c>
      <c r="C102">
        <v>10000</v>
      </c>
      <c r="D102" s="2">
        <v>45737</v>
      </c>
      <c r="E102" t="s">
        <v>61</v>
      </c>
      <c r="F102" t="s">
        <v>4397</v>
      </c>
      <c r="G102" t="s">
        <v>4340</v>
      </c>
      <c r="I102">
        <v>1</v>
      </c>
      <c r="J102" t="s">
        <v>63</v>
      </c>
      <c r="K102">
        <v>72</v>
      </c>
      <c r="L102" t="s">
        <v>163</v>
      </c>
      <c r="M102">
        <v>625</v>
      </c>
      <c r="P102" s="2">
        <v>45735</v>
      </c>
      <c r="R102">
        <v>4</v>
      </c>
      <c r="S102" s="4">
        <v>2500</v>
      </c>
      <c r="T102" t="s">
        <v>65</v>
      </c>
      <c r="U102">
        <v>5000582280001</v>
      </c>
      <c r="V102">
        <v>0</v>
      </c>
      <c r="W102" s="4">
        <v>2500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500058228</v>
      </c>
      <c r="AN102" t="s">
        <v>91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4398</v>
      </c>
      <c r="BA102">
        <v>0</v>
      </c>
      <c r="BC102" t="s">
        <v>91</v>
      </c>
      <c r="BF102" t="s">
        <v>4383</v>
      </c>
    </row>
    <row r="103" spans="1:58" x14ac:dyDescent="0.35">
      <c r="A103" t="s">
        <v>4399</v>
      </c>
      <c r="B103">
        <v>10000</v>
      </c>
      <c r="C103">
        <v>10000</v>
      </c>
      <c r="D103" s="2">
        <v>45737</v>
      </c>
      <c r="E103" t="s">
        <v>61</v>
      </c>
      <c r="F103" t="s">
        <v>4400</v>
      </c>
      <c r="G103" t="s">
        <v>4340</v>
      </c>
      <c r="I103">
        <v>1</v>
      </c>
      <c r="J103" t="s">
        <v>63</v>
      </c>
      <c r="K103">
        <v>72</v>
      </c>
      <c r="L103" t="s">
        <v>163</v>
      </c>
      <c r="M103" s="4">
        <v>2500</v>
      </c>
      <c r="P103" s="2">
        <v>45735</v>
      </c>
      <c r="R103">
        <v>4</v>
      </c>
      <c r="S103" s="4">
        <v>10000</v>
      </c>
      <c r="T103" t="s">
        <v>65</v>
      </c>
      <c r="U103">
        <v>5000584100001</v>
      </c>
      <c r="V103">
        <v>0</v>
      </c>
      <c r="W103" s="4">
        <v>7000</v>
      </c>
      <c r="X103" s="4">
        <v>3000</v>
      </c>
      <c r="Y103">
        <v>0</v>
      </c>
      <c r="Z103">
        <v>0</v>
      </c>
      <c r="AA103">
        <v>0</v>
      </c>
      <c r="AD103">
        <v>0</v>
      </c>
      <c r="AM103">
        <v>500058410</v>
      </c>
      <c r="AN103" t="s">
        <v>91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4401</v>
      </c>
      <c r="BA103">
        <v>0</v>
      </c>
      <c r="BC103" t="s">
        <v>91</v>
      </c>
      <c r="BF103" t="s">
        <v>4383</v>
      </c>
    </row>
    <row r="104" spans="1:58" x14ac:dyDescent="0.35">
      <c r="A104" t="s">
        <v>4399</v>
      </c>
      <c r="B104">
        <v>20000</v>
      </c>
      <c r="C104">
        <v>10000</v>
      </c>
      <c r="D104" s="2">
        <v>45737</v>
      </c>
      <c r="E104" t="s">
        <v>61</v>
      </c>
      <c r="F104" t="s">
        <v>4400</v>
      </c>
      <c r="G104" t="s">
        <v>4340</v>
      </c>
      <c r="I104">
        <v>1</v>
      </c>
      <c r="J104" t="s">
        <v>63</v>
      </c>
      <c r="K104">
        <v>72</v>
      </c>
      <c r="L104" t="s">
        <v>163</v>
      </c>
      <c r="M104" s="4">
        <v>1750</v>
      </c>
      <c r="P104" s="2">
        <v>45735</v>
      </c>
      <c r="R104">
        <v>4</v>
      </c>
      <c r="S104" s="4">
        <v>7000</v>
      </c>
      <c r="T104" t="s">
        <v>65</v>
      </c>
      <c r="U104">
        <v>5000584100001</v>
      </c>
      <c r="V104">
        <v>0</v>
      </c>
      <c r="W104" s="4">
        <v>7000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500058410</v>
      </c>
      <c r="AN104" t="s">
        <v>91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4401</v>
      </c>
      <c r="BA104">
        <v>0</v>
      </c>
      <c r="BC104" t="s">
        <v>91</v>
      </c>
      <c r="BF104" t="s">
        <v>4383</v>
      </c>
    </row>
    <row r="105" spans="1:58" x14ac:dyDescent="0.35">
      <c r="A105" t="s">
        <v>4114</v>
      </c>
      <c r="B105">
        <v>10000</v>
      </c>
      <c r="C105">
        <v>20000</v>
      </c>
      <c r="D105" s="2">
        <v>45736</v>
      </c>
      <c r="E105" t="s">
        <v>61</v>
      </c>
      <c r="F105" s="3">
        <v>0.47020833333333334</v>
      </c>
      <c r="G105" t="s">
        <v>4115</v>
      </c>
      <c r="I105">
        <v>2</v>
      </c>
      <c r="J105" t="s">
        <v>63</v>
      </c>
      <c r="K105">
        <v>105</v>
      </c>
      <c r="L105" t="s">
        <v>424</v>
      </c>
      <c r="M105" s="4">
        <v>10500</v>
      </c>
      <c r="P105" s="2">
        <v>45735</v>
      </c>
      <c r="R105">
        <v>1</v>
      </c>
      <c r="S105" s="4">
        <v>10500</v>
      </c>
      <c r="T105" t="s">
        <v>65</v>
      </c>
      <c r="U105" t="s">
        <v>4116</v>
      </c>
      <c r="V105">
        <v>0</v>
      </c>
      <c r="W105" s="4">
        <v>10000</v>
      </c>
      <c r="X105">
        <v>500</v>
      </c>
      <c r="Y105">
        <v>0</v>
      </c>
      <c r="Z105">
        <v>0</v>
      </c>
      <c r="AA105">
        <v>0</v>
      </c>
      <c r="AD105">
        <v>0</v>
      </c>
      <c r="AM105" t="s">
        <v>4117</v>
      </c>
      <c r="AN105" t="s">
        <v>116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4118</v>
      </c>
      <c r="BA105">
        <v>0</v>
      </c>
      <c r="BC105" t="s">
        <v>116</v>
      </c>
      <c r="BF105" t="s">
        <v>4119</v>
      </c>
    </row>
    <row r="106" spans="1:58" x14ac:dyDescent="0.35">
      <c r="A106" t="s">
        <v>4402</v>
      </c>
      <c r="B106">
        <v>10000</v>
      </c>
      <c r="C106">
        <v>10000</v>
      </c>
      <c r="D106" s="2">
        <v>45736</v>
      </c>
      <c r="E106" t="s">
        <v>61</v>
      </c>
      <c r="F106" s="3">
        <v>0.47075231481481483</v>
      </c>
      <c r="G106" t="s">
        <v>4403</v>
      </c>
      <c r="I106">
        <v>1</v>
      </c>
      <c r="J106" t="s">
        <v>63</v>
      </c>
      <c r="K106">
        <v>88</v>
      </c>
      <c r="L106" t="s">
        <v>630</v>
      </c>
      <c r="M106" s="4">
        <v>2100</v>
      </c>
      <c r="P106" s="2">
        <v>45735</v>
      </c>
      <c r="R106">
        <v>5</v>
      </c>
      <c r="S106" s="4">
        <v>10500</v>
      </c>
      <c r="T106" t="s">
        <v>65</v>
      </c>
      <c r="U106" t="s">
        <v>4404</v>
      </c>
      <c r="V106">
        <v>0</v>
      </c>
      <c r="W106" s="4">
        <v>10000</v>
      </c>
      <c r="X106">
        <v>500</v>
      </c>
      <c r="Y106">
        <v>0</v>
      </c>
      <c r="Z106">
        <v>0</v>
      </c>
      <c r="AA106">
        <v>0</v>
      </c>
      <c r="AD106">
        <v>0</v>
      </c>
      <c r="AM106" t="s">
        <v>4405</v>
      </c>
      <c r="AN106" t="s">
        <v>116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4406</v>
      </c>
      <c r="BA106">
        <v>0</v>
      </c>
      <c r="BC106" t="s">
        <v>116</v>
      </c>
      <c r="BF106" t="s">
        <v>4119</v>
      </c>
    </row>
    <row r="107" spans="1:58" x14ac:dyDescent="0.35">
      <c r="A107" t="s">
        <v>4402</v>
      </c>
      <c r="B107">
        <v>10000</v>
      </c>
      <c r="C107">
        <v>20000</v>
      </c>
      <c r="D107" s="2">
        <v>45736</v>
      </c>
      <c r="E107" t="s">
        <v>61</v>
      </c>
      <c r="F107" s="3">
        <v>0.47075231481481483</v>
      </c>
      <c r="G107" t="s">
        <v>4403</v>
      </c>
      <c r="I107">
        <v>2</v>
      </c>
      <c r="J107" t="s">
        <v>63</v>
      </c>
      <c r="K107">
        <v>105</v>
      </c>
      <c r="L107" t="s">
        <v>424</v>
      </c>
      <c r="M107" s="4">
        <v>10500</v>
      </c>
      <c r="P107" s="2">
        <v>45735</v>
      </c>
      <c r="R107">
        <v>1</v>
      </c>
      <c r="S107" s="4">
        <v>10500</v>
      </c>
      <c r="T107" t="s">
        <v>65</v>
      </c>
      <c r="U107" t="s">
        <v>4404</v>
      </c>
      <c r="V107">
        <v>0</v>
      </c>
      <c r="W107" s="4">
        <v>10000</v>
      </c>
      <c r="X107">
        <v>500</v>
      </c>
      <c r="Y107">
        <v>0</v>
      </c>
      <c r="Z107">
        <v>0</v>
      </c>
      <c r="AA107">
        <v>0</v>
      </c>
      <c r="AD107">
        <v>0</v>
      </c>
      <c r="AM107" t="s">
        <v>4405</v>
      </c>
      <c r="AN107" t="s">
        <v>116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4406</v>
      </c>
      <c r="BA107">
        <v>0</v>
      </c>
      <c r="BC107" t="s">
        <v>116</v>
      </c>
      <c r="BF107" t="s">
        <v>4119</v>
      </c>
    </row>
    <row r="108" spans="1:58" x14ac:dyDescent="0.35">
      <c r="A108" t="s">
        <v>4407</v>
      </c>
      <c r="B108">
        <v>10000</v>
      </c>
      <c r="C108">
        <v>10000</v>
      </c>
      <c r="D108" s="2">
        <v>45736</v>
      </c>
      <c r="E108" t="s">
        <v>61</v>
      </c>
      <c r="F108" t="s">
        <v>4408</v>
      </c>
      <c r="G108" t="s">
        <v>1149</v>
      </c>
      <c r="I108">
        <v>1</v>
      </c>
      <c r="J108" t="s">
        <v>63</v>
      </c>
      <c r="K108">
        <v>29</v>
      </c>
      <c r="L108" t="s">
        <v>249</v>
      </c>
      <c r="M108" s="4">
        <v>4000</v>
      </c>
      <c r="P108" s="2">
        <v>45735</v>
      </c>
      <c r="R108">
        <v>1</v>
      </c>
      <c r="S108" s="4">
        <v>4000</v>
      </c>
      <c r="T108" t="s">
        <v>65</v>
      </c>
      <c r="U108" t="s">
        <v>4409</v>
      </c>
      <c r="V108">
        <v>0</v>
      </c>
      <c r="W108" s="4">
        <v>4000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4410</v>
      </c>
      <c r="AN108" t="s">
        <v>1892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69</v>
      </c>
      <c r="AZ108" t="s">
        <v>4411</v>
      </c>
      <c r="BA108">
        <v>0</v>
      </c>
      <c r="BC108" t="s">
        <v>1892</v>
      </c>
      <c r="BF108" t="s">
        <v>4412</v>
      </c>
    </row>
    <row r="109" spans="1:58" x14ac:dyDescent="0.35">
      <c r="A109" t="s">
        <v>4413</v>
      </c>
      <c r="B109">
        <v>10000</v>
      </c>
      <c r="C109">
        <v>10000</v>
      </c>
      <c r="D109" s="2">
        <v>45737</v>
      </c>
      <c r="E109" t="s">
        <v>61</v>
      </c>
      <c r="F109" t="s">
        <v>4414</v>
      </c>
      <c r="G109" t="s">
        <v>4415</v>
      </c>
      <c r="I109">
        <v>1</v>
      </c>
      <c r="J109" t="s">
        <v>63</v>
      </c>
      <c r="K109">
        <v>88</v>
      </c>
      <c r="L109" t="s">
        <v>630</v>
      </c>
      <c r="M109">
        <v>20</v>
      </c>
      <c r="P109" s="2">
        <v>45735</v>
      </c>
      <c r="R109">
        <v>1</v>
      </c>
      <c r="S109">
        <v>20</v>
      </c>
      <c r="T109" t="s">
        <v>65</v>
      </c>
      <c r="U109">
        <v>107473440001</v>
      </c>
      <c r="V109">
        <v>0</v>
      </c>
      <c r="W109">
        <v>20</v>
      </c>
      <c r="X109">
        <v>0</v>
      </c>
      <c r="Y109">
        <v>0</v>
      </c>
      <c r="Z109">
        <v>0</v>
      </c>
      <c r="AA109">
        <v>0</v>
      </c>
      <c r="AD109">
        <v>0</v>
      </c>
      <c r="AM109">
        <v>10747344</v>
      </c>
      <c r="AN109" t="s">
        <v>487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69</v>
      </c>
      <c r="AZ109" t="s">
        <v>4416</v>
      </c>
      <c r="BA109">
        <v>0</v>
      </c>
      <c r="BC109" t="s">
        <v>487</v>
      </c>
      <c r="BF109" t="s">
        <v>4417</v>
      </c>
    </row>
    <row r="110" spans="1:58" x14ac:dyDescent="0.35">
      <c r="A110" t="s">
        <v>4418</v>
      </c>
      <c r="B110">
        <v>10000</v>
      </c>
      <c r="C110">
        <v>10000</v>
      </c>
      <c r="D110" s="2">
        <v>45736</v>
      </c>
      <c r="E110" t="s">
        <v>61</v>
      </c>
      <c r="F110" t="s">
        <v>4419</v>
      </c>
      <c r="G110" t="s">
        <v>4420</v>
      </c>
      <c r="I110">
        <v>1</v>
      </c>
      <c r="J110" t="s">
        <v>63</v>
      </c>
      <c r="K110">
        <v>88</v>
      </c>
      <c r="L110" t="s">
        <v>630</v>
      </c>
      <c r="M110">
        <v>20</v>
      </c>
      <c r="P110" s="2">
        <v>45735</v>
      </c>
      <c r="R110">
        <v>1</v>
      </c>
      <c r="S110">
        <v>20</v>
      </c>
      <c r="T110" t="s">
        <v>65</v>
      </c>
      <c r="U110">
        <v>107473450001</v>
      </c>
      <c r="V110">
        <v>0</v>
      </c>
      <c r="W110">
        <v>20</v>
      </c>
      <c r="X110">
        <v>0</v>
      </c>
      <c r="Y110">
        <v>0</v>
      </c>
      <c r="Z110">
        <v>0</v>
      </c>
      <c r="AA110">
        <v>0</v>
      </c>
      <c r="AD110">
        <v>0</v>
      </c>
      <c r="AM110">
        <v>10747345</v>
      </c>
      <c r="AN110" t="s">
        <v>487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69</v>
      </c>
      <c r="AZ110" t="s">
        <v>4421</v>
      </c>
      <c r="BA110">
        <v>0</v>
      </c>
      <c r="BC110" t="s">
        <v>487</v>
      </c>
      <c r="BF110" t="s">
        <v>4417</v>
      </c>
    </row>
    <row r="111" spans="1:58" x14ac:dyDescent="0.35">
      <c r="A111" t="s">
        <v>4418</v>
      </c>
      <c r="B111">
        <v>10000</v>
      </c>
      <c r="C111">
        <v>20000</v>
      </c>
      <c r="D111" s="2">
        <v>45736</v>
      </c>
      <c r="E111" t="s">
        <v>61</v>
      </c>
      <c r="F111" t="s">
        <v>4422</v>
      </c>
      <c r="G111" t="s">
        <v>4420</v>
      </c>
      <c r="I111">
        <v>2</v>
      </c>
      <c r="J111" t="s">
        <v>63</v>
      </c>
      <c r="K111">
        <v>92</v>
      </c>
      <c r="L111" t="s">
        <v>424</v>
      </c>
      <c r="M111">
        <v>20</v>
      </c>
      <c r="P111" s="2">
        <v>45735</v>
      </c>
      <c r="R111">
        <v>1</v>
      </c>
      <c r="S111">
        <v>20</v>
      </c>
      <c r="T111" t="s">
        <v>65</v>
      </c>
      <c r="U111">
        <v>107473450001</v>
      </c>
      <c r="V111">
        <v>0</v>
      </c>
      <c r="W111">
        <v>20</v>
      </c>
      <c r="X111">
        <v>0</v>
      </c>
      <c r="Y111">
        <v>0</v>
      </c>
      <c r="Z111">
        <v>0</v>
      </c>
      <c r="AA111">
        <v>0</v>
      </c>
      <c r="AD111">
        <v>0</v>
      </c>
      <c r="AM111">
        <v>10747345</v>
      </c>
      <c r="AN111" t="s">
        <v>487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69</v>
      </c>
      <c r="AZ111" t="s">
        <v>4421</v>
      </c>
      <c r="BA111">
        <v>0</v>
      </c>
      <c r="BC111" t="s">
        <v>487</v>
      </c>
      <c r="BF111" t="s">
        <v>4417</v>
      </c>
    </row>
    <row r="112" spans="1:58" x14ac:dyDescent="0.35">
      <c r="A112" t="s">
        <v>4423</v>
      </c>
      <c r="B112">
        <v>10000</v>
      </c>
      <c r="C112">
        <v>10000</v>
      </c>
      <c r="D112" s="2">
        <v>45737</v>
      </c>
      <c r="E112" t="s">
        <v>61</v>
      </c>
      <c r="F112" t="s">
        <v>4414</v>
      </c>
      <c r="G112" t="s">
        <v>4415</v>
      </c>
      <c r="I112">
        <v>1</v>
      </c>
      <c r="J112" t="s">
        <v>63</v>
      </c>
      <c r="K112">
        <v>88</v>
      </c>
      <c r="L112" t="s">
        <v>630</v>
      </c>
      <c r="M112" s="4">
        <v>1500</v>
      </c>
      <c r="P112" s="2">
        <v>45735</v>
      </c>
      <c r="R112">
        <v>1</v>
      </c>
      <c r="S112" s="4">
        <v>1500</v>
      </c>
      <c r="T112" t="s">
        <v>65</v>
      </c>
      <c r="U112">
        <v>107473440001</v>
      </c>
      <c r="V112">
        <v>0</v>
      </c>
      <c r="W112" s="4">
        <v>1000</v>
      </c>
      <c r="X112">
        <v>500</v>
      </c>
      <c r="Y112">
        <v>0</v>
      </c>
      <c r="Z112">
        <v>0</v>
      </c>
      <c r="AA112">
        <v>0</v>
      </c>
      <c r="AD112">
        <v>0</v>
      </c>
      <c r="AM112">
        <v>10747344</v>
      </c>
      <c r="AN112" t="s">
        <v>487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69</v>
      </c>
      <c r="AZ112" t="s">
        <v>4424</v>
      </c>
      <c r="BA112">
        <v>0</v>
      </c>
      <c r="BC112" t="s">
        <v>487</v>
      </c>
      <c r="BF112" t="s">
        <v>4425</v>
      </c>
    </row>
    <row r="113" spans="1:58" x14ac:dyDescent="0.35">
      <c r="A113" t="s">
        <v>4426</v>
      </c>
      <c r="B113">
        <v>10000</v>
      </c>
      <c r="C113">
        <v>10000</v>
      </c>
      <c r="D113" s="2">
        <v>45736</v>
      </c>
      <c r="E113" t="s">
        <v>61</v>
      </c>
      <c r="F113" t="s">
        <v>4427</v>
      </c>
      <c r="G113" t="s">
        <v>4420</v>
      </c>
      <c r="I113">
        <v>1</v>
      </c>
      <c r="J113" t="s">
        <v>63</v>
      </c>
      <c r="K113">
        <v>88</v>
      </c>
      <c r="L113" t="s">
        <v>630</v>
      </c>
      <c r="M113" s="4">
        <v>1500</v>
      </c>
      <c r="P113" s="2">
        <v>45735</v>
      </c>
      <c r="R113">
        <v>1</v>
      </c>
      <c r="S113" s="4">
        <v>1500</v>
      </c>
      <c r="T113" t="s">
        <v>65</v>
      </c>
      <c r="U113">
        <v>107473450001</v>
      </c>
      <c r="V113">
        <v>0</v>
      </c>
      <c r="W113" s="4">
        <v>1000</v>
      </c>
      <c r="X113">
        <v>500</v>
      </c>
      <c r="Y113">
        <v>0</v>
      </c>
      <c r="Z113">
        <v>0</v>
      </c>
      <c r="AA113">
        <v>0</v>
      </c>
      <c r="AD113">
        <v>0</v>
      </c>
      <c r="AM113">
        <v>10747345</v>
      </c>
      <c r="AN113" t="s">
        <v>487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69</v>
      </c>
      <c r="AZ113" t="s">
        <v>4428</v>
      </c>
      <c r="BA113">
        <v>0</v>
      </c>
      <c r="BC113" t="s">
        <v>487</v>
      </c>
      <c r="BF113" t="s">
        <v>4425</v>
      </c>
    </row>
    <row r="114" spans="1:58" x14ac:dyDescent="0.35">
      <c r="A114" t="s">
        <v>4426</v>
      </c>
      <c r="B114">
        <v>10000</v>
      </c>
      <c r="C114">
        <v>20000</v>
      </c>
      <c r="D114" s="2">
        <v>45736</v>
      </c>
      <c r="E114" t="s">
        <v>61</v>
      </c>
      <c r="F114" t="s">
        <v>4427</v>
      </c>
      <c r="G114" t="s">
        <v>4420</v>
      </c>
      <c r="I114">
        <v>2</v>
      </c>
      <c r="J114" t="s">
        <v>63</v>
      </c>
      <c r="K114">
        <v>92</v>
      </c>
      <c r="L114" t="s">
        <v>424</v>
      </c>
      <c r="M114" s="4">
        <v>1200</v>
      </c>
      <c r="P114" s="2">
        <v>45735</v>
      </c>
      <c r="R114">
        <v>1</v>
      </c>
      <c r="S114" s="4">
        <v>1200</v>
      </c>
      <c r="T114" t="s">
        <v>65</v>
      </c>
      <c r="U114">
        <v>107473450001</v>
      </c>
      <c r="V114">
        <v>0</v>
      </c>
      <c r="W114" s="4">
        <v>1000</v>
      </c>
      <c r="X114">
        <v>200</v>
      </c>
      <c r="Y114">
        <v>0</v>
      </c>
      <c r="Z114">
        <v>0</v>
      </c>
      <c r="AA114">
        <v>0</v>
      </c>
      <c r="AD114">
        <v>0</v>
      </c>
      <c r="AM114">
        <v>10747345</v>
      </c>
      <c r="AN114" t="s">
        <v>487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69</v>
      </c>
      <c r="AZ114" t="s">
        <v>4428</v>
      </c>
      <c r="BA114">
        <v>0</v>
      </c>
      <c r="BC114" t="s">
        <v>487</v>
      </c>
      <c r="BF114" t="s">
        <v>4425</v>
      </c>
    </row>
    <row r="115" spans="1:58" x14ac:dyDescent="0.35">
      <c r="A115" t="s">
        <v>4429</v>
      </c>
      <c r="B115">
        <v>10000</v>
      </c>
      <c r="C115">
        <v>10000</v>
      </c>
      <c r="D115" s="2">
        <v>45735</v>
      </c>
      <c r="E115" t="s">
        <v>61</v>
      </c>
      <c r="F115" t="s">
        <v>4430</v>
      </c>
      <c r="G115" t="s">
        <v>4431</v>
      </c>
      <c r="I115">
        <v>1</v>
      </c>
      <c r="J115" t="s">
        <v>63</v>
      </c>
      <c r="K115">
        <v>75</v>
      </c>
      <c r="L115" t="s">
        <v>459</v>
      </c>
      <c r="M115">
        <v>16</v>
      </c>
      <c r="P115" s="2">
        <v>45735</v>
      </c>
      <c r="R115">
        <v>13</v>
      </c>
      <c r="S115">
        <v>208</v>
      </c>
      <c r="T115" t="s">
        <v>65</v>
      </c>
      <c r="U115" t="s">
        <v>3569</v>
      </c>
      <c r="V115">
        <v>0</v>
      </c>
      <c r="W115">
        <v>200</v>
      </c>
      <c r="X115">
        <v>8</v>
      </c>
      <c r="Y115">
        <v>0</v>
      </c>
      <c r="Z115">
        <v>0</v>
      </c>
      <c r="AA115">
        <v>0</v>
      </c>
      <c r="AD115">
        <v>0</v>
      </c>
      <c r="AM115" t="s">
        <v>3570</v>
      </c>
      <c r="AN115" t="s">
        <v>661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69</v>
      </c>
      <c r="AZ115" t="s">
        <v>4432</v>
      </c>
      <c r="BA115">
        <v>0</v>
      </c>
      <c r="BC115" t="s">
        <v>661</v>
      </c>
      <c r="BF115" t="s">
        <v>4433</v>
      </c>
    </row>
    <row r="116" spans="1:58" x14ac:dyDescent="0.35">
      <c r="A116" t="s">
        <v>4434</v>
      </c>
      <c r="B116">
        <v>10000</v>
      </c>
      <c r="C116">
        <v>10000</v>
      </c>
      <c r="D116" s="2">
        <v>45735</v>
      </c>
      <c r="E116" t="s">
        <v>61</v>
      </c>
      <c r="F116" t="s">
        <v>4430</v>
      </c>
      <c r="G116" t="s">
        <v>4431</v>
      </c>
      <c r="I116">
        <v>1</v>
      </c>
      <c r="J116" t="s">
        <v>63</v>
      </c>
      <c r="K116">
        <v>75</v>
      </c>
      <c r="L116" t="s">
        <v>459</v>
      </c>
      <c r="M116">
        <v>16</v>
      </c>
      <c r="P116" s="2">
        <v>45735</v>
      </c>
      <c r="R116">
        <v>13</v>
      </c>
      <c r="S116">
        <v>208</v>
      </c>
      <c r="T116" t="s">
        <v>65</v>
      </c>
      <c r="U116" t="s">
        <v>3569</v>
      </c>
      <c r="V116">
        <v>0</v>
      </c>
      <c r="W116">
        <v>200</v>
      </c>
      <c r="X116">
        <v>8</v>
      </c>
      <c r="Y116">
        <v>0</v>
      </c>
      <c r="Z116">
        <v>0</v>
      </c>
      <c r="AA116">
        <v>0</v>
      </c>
      <c r="AD116">
        <v>0</v>
      </c>
      <c r="AM116" t="s">
        <v>3570</v>
      </c>
      <c r="AN116" t="s">
        <v>661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69</v>
      </c>
      <c r="AZ116" t="s">
        <v>4435</v>
      </c>
      <c r="BA116">
        <v>0</v>
      </c>
      <c r="BC116" t="s">
        <v>661</v>
      </c>
      <c r="BF116" t="s">
        <v>4436</v>
      </c>
    </row>
    <row r="117" spans="1:58" x14ac:dyDescent="0.35">
      <c r="A117" t="s">
        <v>4437</v>
      </c>
      <c r="B117">
        <v>10000</v>
      </c>
      <c r="C117">
        <v>10000</v>
      </c>
      <c r="D117" s="2">
        <v>45741</v>
      </c>
      <c r="E117" t="s">
        <v>61</v>
      </c>
      <c r="F117" t="s">
        <v>4438</v>
      </c>
      <c r="G117" t="s">
        <v>4156</v>
      </c>
      <c r="I117">
        <v>1</v>
      </c>
      <c r="J117" t="s">
        <v>63</v>
      </c>
      <c r="K117">
        <v>79</v>
      </c>
      <c r="L117" t="s">
        <v>573</v>
      </c>
      <c r="M117" s="4">
        <v>4260</v>
      </c>
      <c r="P117" s="2">
        <v>45735</v>
      </c>
      <c r="R117">
        <v>54</v>
      </c>
      <c r="S117" s="4">
        <v>230040</v>
      </c>
      <c r="T117" t="s">
        <v>65</v>
      </c>
      <c r="U117" t="s">
        <v>4439</v>
      </c>
      <c r="V117">
        <v>0</v>
      </c>
      <c r="W117" s="4">
        <v>200000</v>
      </c>
      <c r="X117" s="4">
        <v>30040</v>
      </c>
      <c r="Y117">
        <v>0</v>
      </c>
      <c r="Z117">
        <v>0</v>
      </c>
      <c r="AA117">
        <v>0</v>
      </c>
      <c r="AD117">
        <v>0</v>
      </c>
      <c r="AM117" t="s">
        <v>4440</v>
      </c>
      <c r="AN117" t="s">
        <v>107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69</v>
      </c>
      <c r="AZ117" t="s">
        <v>4441</v>
      </c>
      <c r="BA117">
        <v>0</v>
      </c>
      <c r="BC117" t="s">
        <v>107</v>
      </c>
      <c r="BF117" t="s">
        <v>4442</v>
      </c>
    </row>
    <row r="118" spans="1:58" x14ac:dyDescent="0.35">
      <c r="A118" t="s">
        <v>4443</v>
      </c>
      <c r="B118">
        <v>10000</v>
      </c>
      <c r="C118">
        <v>10000</v>
      </c>
      <c r="D118" s="2">
        <v>45741</v>
      </c>
      <c r="E118" t="s">
        <v>61</v>
      </c>
      <c r="F118" t="s">
        <v>4444</v>
      </c>
      <c r="G118" t="s">
        <v>4156</v>
      </c>
      <c r="I118">
        <v>1</v>
      </c>
      <c r="J118" t="s">
        <v>63</v>
      </c>
      <c r="K118">
        <v>79</v>
      </c>
      <c r="L118" t="s">
        <v>573</v>
      </c>
      <c r="M118" s="4">
        <v>4260</v>
      </c>
      <c r="P118" s="2">
        <v>45735</v>
      </c>
      <c r="R118">
        <v>27</v>
      </c>
      <c r="S118" s="4">
        <v>115020</v>
      </c>
      <c r="T118" t="s">
        <v>65</v>
      </c>
      <c r="U118" t="s">
        <v>4445</v>
      </c>
      <c r="V118">
        <v>0</v>
      </c>
      <c r="W118" s="4">
        <v>100000</v>
      </c>
      <c r="X118" s="4">
        <v>15020</v>
      </c>
      <c r="Y118">
        <v>0</v>
      </c>
      <c r="Z118">
        <v>0</v>
      </c>
      <c r="AA118">
        <v>0</v>
      </c>
      <c r="AD118">
        <v>0</v>
      </c>
      <c r="AM118" t="s">
        <v>4446</v>
      </c>
      <c r="AN118" t="s">
        <v>107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69</v>
      </c>
      <c r="AZ118" t="s">
        <v>4447</v>
      </c>
      <c r="BA118">
        <v>0</v>
      </c>
      <c r="BC118" t="s">
        <v>107</v>
      </c>
      <c r="BF118" t="s">
        <v>4448</v>
      </c>
    </row>
    <row r="119" spans="1:58" x14ac:dyDescent="0.35">
      <c r="A119" t="s">
        <v>4449</v>
      </c>
      <c r="B119">
        <v>10000</v>
      </c>
      <c r="C119">
        <v>10000</v>
      </c>
      <c r="D119" s="2">
        <v>45741</v>
      </c>
      <c r="E119" t="s">
        <v>61</v>
      </c>
      <c r="F119" t="s">
        <v>4450</v>
      </c>
      <c r="G119" t="s">
        <v>4156</v>
      </c>
      <c r="I119">
        <v>1</v>
      </c>
      <c r="J119" t="s">
        <v>63</v>
      </c>
      <c r="K119">
        <v>79</v>
      </c>
      <c r="L119" t="s">
        <v>573</v>
      </c>
      <c r="M119" s="4">
        <v>4260</v>
      </c>
      <c r="P119" s="2">
        <v>45735</v>
      </c>
      <c r="R119">
        <v>81</v>
      </c>
      <c r="S119" s="4">
        <v>345060</v>
      </c>
      <c r="T119" t="s">
        <v>65</v>
      </c>
      <c r="U119" t="s">
        <v>981</v>
      </c>
      <c r="V119">
        <v>0</v>
      </c>
      <c r="W119" s="4">
        <v>300000</v>
      </c>
      <c r="X119" s="4">
        <v>45060</v>
      </c>
      <c r="Y119">
        <v>0</v>
      </c>
      <c r="Z119">
        <v>0</v>
      </c>
      <c r="AA119">
        <v>0</v>
      </c>
      <c r="AD119">
        <v>0</v>
      </c>
      <c r="AM119" t="s">
        <v>982</v>
      </c>
      <c r="AN119" t="s">
        <v>107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69</v>
      </c>
      <c r="AZ119" t="s">
        <v>4451</v>
      </c>
      <c r="BA119">
        <v>0</v>
      </c>
      <c r="BC119" t="s">
        <v>107</v>
      </c>
      <c r="BF119" t="s">
        <v>4452</v>
      </c>
    </row>
    <row r="120" spans="1:58" x14ac:dyDescent="0.35">
      <c r="A120" t="s">
        <v>4453</v>
      </c>
      <c r="B120">
        <v>10000</v>
      </c>
      <c r="C120">
        <v>10000</v>
      </c>
      <c r="D120" s="2">
        <v>45744</v>
      </c>
      <c r="E120" t="s">
        <v>61</v>
      </c>
      <c r="F120" t="s">
        <v>4454</v>
      </c>
      <c r="G120" t="s">
        <v>4218</v>
      </c>
      <c r="I120">
        <v>1</v>
      </c>
      <c r="J120" t="s">
        <v>63</v>
      </c>
      <c r="K120">
        <v>79</v>
      </c>
      <c r="L120" t="s">
        <v>573</v>
      </c>
      <c r="M120" s="4">
        <v>4108</v>
      </c>
      <c r="P120" s="2">
        <v>45735</v>
      </c>
      <c r="R120">
        <v>28</v>
      </c>
      <c r="S120" s="4">
        <v>115024</v>
      </c>
      <c r="T120" t="s">
        <v>65</v>
      </c>
      <c r="U120" t="s">
        <v>4455</v>
      </c>
      <c r="V120">
        <v>0</v>
      </c>
      <c r="W120" s="4">
        <v>100000</v>
      </c>
      <c r="X120" s="4">
        <v>15024</v>
      </c>
      <c r="Y120">
        <v>0</v>
      </c>
      <c r="Z120">
        <v>0</v>
      </c>
      <c r="AA120">
        <v>0</v>
      </c>
      <c r="AD120">
        <v>0</v>
      </c>
      <c r="AM120" t="s">
        <v>4456</v>
      </c>
      <c r="AN120" t="s">
        <v>107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69</v>
      </c>
      <c r="AZ120" t="s">
        <v>4457</v>
      </c>
      <c r="BA120">
        <v>0</v>
      </c>
      <c r="BC120" t="s">
        <v>107</v>
      </c>
      <c r="BF120" t="s">
        <v>4458</v>
      </c>
    </row>
    <row r="121" spans="1:58" x14ac:dyDescent="0.35">
      <c r="A121" t="s">
        <v>4459</v>
      </c>
      <c r="B121">
        <v>10000</v>
      </c>
      <c r="C121">
        <v>10000</v>
      </c>
      <c r="D121" s="2">
        <v>45744</v>
      </c>
      <c r="E121" t="s">
        <v>61</v>
      </c>
      <c r="F121" t="s">
        <v>4460</v>
      </c>
      <c r="G121" t="s">
        <v>4218</v>
      </c>
      <c r="I121">
        <v>1</v>
      </c>
      <c r="J121" t="s">
        <v>63</v>
      </c>
      <c r="K121">
        <v>79</v>
      </c>
      <c r="L121" t="s">
        <v>573</v>
      </c>
      <c r="M121" s="4">
        <v>4108</v>
      </c>
      <c r="P121" s="2">
        <v>45735</v>
      </c>
      <c r="R121">
        <v>28</v>
      </c>
      <c r="S121" s="4">
        <v>115024</v>
      </c>
      <c r="T121" t="s">
        <v>65</v>
      </c>
      <c r="U121" t="s">
        <v>1527</v>
      </c>
      <c r="V121">
        <v>0</v>
      </c>
      <c r="W121" s="4">
        <v>100000</v>
      </c>
      <c r="X121" s="4">
        <v>15024</v>
      </c>
      <c r="Y121">
        <v>0</v>
      </c>
      <c r="Z121">
        <v>0</v>
      </c>
      <c r="AA121">
        <v>0</v>
      </c>
      <c r="AD121">
        <v>0</v>
      </c>
      <c r="AM121" t="s">
        <v>1528</v>
      </c>
      <c r="AN121" t="s">
        <v>107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69</v>
      </c>
      <c r="AZ121" t="s">
        <v>4461</v>
      </c>
      <c r="BA121">
        <v>0</v>
      </c>
      <c r="BC121" t="s">
        <v>107</v>
      </c>
      <c r="BF121" t="s">
        <v>4462</v>
      </c>
    </row>
    <row r="122" spans="1:58" x14ac:dyDescent="0.35">
      <c r="A122" t="s">
        <v>4463</v>
      </c>
      <c r="B122">
        <v>10000</v>
      </c>
      <c r="C122">
        <v>10000</v>
      </c>
      <c r="D122" s="2">
        <v>45744</v>
      </c>
      <c r="E122" t="s">
        <v>61</v>
      </c>
      <c r="F122" t="s">
        <v>4464</v>
      </c>
      <c r="G122" t="s">
        <v>4218</v>
      </c>
      <c r="I122">
        <v>1</v>
      </c>
      <c r="J122" t="s">
        <v>63</v>
      </c>
      <c r="K122">
        <v>79</v>
      </c>
      <c r="L122" t="s">
        <v>573</v>
      </c>
      <c r="M122" s="4">
        <v>4108</v>
      </c>
      <c r="P122" s="2">
        <v>45735</v>
      </c>
      <c r="R122">
        <v>28</v>
      </c>
      <c r="S122" s="4">
        <v>115024</v>
      </c>
      <c r="T122" t="s">
        <v>65</v>
      </c>
      <c r="U122" t="s">
        <v>1334</v>
      </c>
      <c r="V122">
        <v>0</v>
      </c>
      <c r="W122" s="4">
        <v>100000</v>
      </c>
      <c r="X122" s="4">
        <v>15024</v>
      </c>
      <c r="Y122">
        <v>0</v>
      </c>
      <c r="Z122">
        <v>0</v>
      </c>
      <c r="AA122">
        <v>0</v>
      </c>
      <c r="AD122">
        <v>0</v>
      </c>
      <c r="AM122" t="s">
        <v>1335</v>
      </c>
      <c r="AN122" t="s">
        <v>107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69</v>
      </c>
      <c r="AZ122" t="s">
        <v>4465</v>
      </c>
      <c r="BA122">
        <v>0</v>
      </c>
      <c r="BC122" t="s">
        <v>107</v>
      </c>
      <c r="BF122" t="s">
        <v>4466</v>
      </c>
    </row>
    <row r="123" spans="1:58" x14ac:dyDescent="0.35">
      <c r="A123" t="s">
        <v>4467</v>
      </c>
      <c r="B123">
        <v>10000</v>
      </c>
      <c r="C123">
        <v>10000</v>
      </c>
      <c r="D123" s="2">
        <v>45740</v>
      </c>
      <c r="E123" t="s">
        <v>61</v>
      </c>
      <c r="F123" t="s">
        <v>4468</v>
      </c>
      <c r="G123">
        <v>10620258039</v>
      </c>
      <c r="I123">
        <v>1</v>
      </c>
      <c r="J123" t="s">
        <v>63</v>
      </c>
      <c r="K123">
        <v>79</v>
      </c>
      <c r="L123" t="s">
        <v>573</v>
      </c>
      <c r="M123">
        <v>167</v>
      </c>
      <c r="P123" s="2">
        <v>45735</v>
      </c>
      <c r="R123">
        <v>36</v>
      </c>
      <c r="S123" s="4">
        <v>6012</v>
      </c>
      <c r="T123" t="s">
        <v>65</v>
      </c>
      <c r="U123" t="s">
        <v>4469</v>
      </c>
      <c r="V123">
        <v>0</v>
      </c>
      <c r="W123" s="4">
        <v>3000</v>
      </c>
      <c r="X123" s="4">
        <v>3012</v>
      </c>
      <c r="Y123">
        <v>0</v>
      </c>
      <c r="Z123">
        <v>0</v>
      </c>
      <c r="AA123">
        <v>0</v>
      </c>
      <c r="AD123">
        <v>0</v>
      </c>
      <c r="AM123" t="s">
        <v>4470</v>
      </c>
      <c r="AN123" t="s">
        <v>68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69</v>
      </c>
      <c r="AZ123" t="s">
        <v>4471</v>
      </c>
      <c r="BA123">
        <v>0</v>
      </c>
      <c r="BC123" t="s">
        <v>68</v>
      </c>
      <c r="BF123" t="s">
        <v>4472</v>
      </c>
    </row>
    <row r="124" spans="1:58" x14ac:dyDescent="0.35">
      <c r="A124" t="s">
        <v>4473</v>
      </c>
      <c r="B124">
        <v>10000</v>
      </c>
      <c r="C124">
        <v>10000</v>
      </c>
      <c r="D124" s="2">
        <v>45736</v>
      </c>
      <c r="E124" t="s">
        <v>61</v>
      </c>
      <c r="F124" t="s">
        <v>4408</v>
      </c>
      <c r="G124" t="s">
        <v>1457</v>
      </c>
      <c r="I124">
        <v>1</v>
      </c>
      <c r="J124" t="s">
        <v>63</v>
      </c>
      <c r="K124">
        <v>78</v>
      </c>
      <c r="L124" t="s">
        <v>188</v>
      </c>
      <c r="M124">
        <v>17</v>
      </c>
      <c r="P124" s="2">
        <v>45735</v>
      </c>
      <c r="R124">
        <v>3</v>
      </c>
      <c r="S124">
        <v>51</v>
      </c>
      <c r="T124" t="s">
        <v>65</v>
      </c>
      <c r="U124" t="s">
        <v>4474</v>
      </c>
      <c r="V124">
        <v>0</v>
      </c>
      <c r="W124">
        <v>50</v>
      </c>
      <c r="X124">
        <v>1</v>
      </c>
      <c r="Y124">
        <v>0</v>
      </c>
      <c r="Z124">
        <v>0</v>
      </c>
      <c r="AA124">
        <v>0</v>
      </c>
      <c r="AD124">
        <v>0</v>
      </c>
      <c r="AM124" t="s">
        <v>4475</v>
      </c>
      <c r="AN124" t="s">
        <v>206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69</v>
      </c>
      <c r="AZ124" t="s">
        <v>4476</v>
      </c>
      <c r="BA124">
        <v>0</v>
      </c>
      <c r="BC124" t="s">
        <v>206</v>
      </c>
      <c r="BF124" t="s">
        <v>4477</v>
      </c>
    </row>
    <row r="125" spans="1:58" x14ac:dyDescent="0.35">
      <c r="A125" t="s">
        <v>4478</v>
      </c>
      <c r="B125">
        <v>10000</v>
      </c>
      <c r="C125">
        <v>10000</v>
      </c>
      <c r="D125" s="2">
        <v>45736</v>
      </c>
      <c r="E125" t="s">
        <v>61</v>
      </c>
      <c r="F125" t="s">
        <v>4202</v>
      </c>
      <c r="G125" t="s">
        <v>418</v>
      </c>
      <c r="I125">
        <v>1</v>
      </c>
      <c r="J125" t="s">
        <v>63</v>
      </c>
      <c r="K125">
        <v>59</v>
      </c>
      <c r="L125" t="s">
        <v>745</v>
      </c>
      <c r="M125">
        <v>200</v>
      </c>
      <c r="P125" s="2">
        <v>45735</v>
      </c>
      <c r="R125">
        <v>10</v>
      </c>
      <c r="S125" s="4">
        <v>2000</v>
      </c>
      <c r="T125" t="s">
        <v>65</v>
      </c>
      <c r="U125">
        <v>112023530001</v>
      </c>
      <c r="V125">
        <v>0</v>
      </c>
      <c r="W125" s="4">
        <v>2000</v>
      </c>
      <c r="X125">
        <v>0</v>
      </c>
      <c r="Y125">
        <v>0</v>
      </c>
      <c r="Z125">
        <v>0</v>
      </c>
      <c r="AA125">
        <v>0</v>
      </c>
      <c r="AD125">
        <v>0</v>
      </c>
      <c r="AM125">
        <v>11202353</v>
      </c>
      <c r="AN125" t="s">
        <v>182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69</v>
      </c>
      <c r="AZ125" t="s">
        <v>4479</v>
      </c>
      <c r="BA125">
        <v>0</v>
      </c>
      <c r="BC125" t="s">
        <v>182</v>
      </c>
      <c r="BF125" t="s">
        <v>4480</v>
      </c>
    </row>
    <row r="126" spans="1:58" x14ac:dyDescent="0.35">
      <c r="A126" t="s">
        <v>4481</v>
      </c>
      <c r="B126">
        <v>10000</v>
      </c>
      <c r="C126">
        <v>10000</v>
      </c>
      <c r="D126" s="2">
        <v>45736</v>
      </c>
      <c r="E126" t="s">
        <v>61</v>
      </c>
      <c r="F126" t="s">
        <v>4202</v>
      </c>
      <c r="G126" t="s">
        <v>418</v>
      </c>
      <c r="I126">
        <v>1</v>
      </c>
      <c r="J126" t="s">
        <v>63</v>
      </c>
      <c r="K126">
        <v>59</v>
      </c>
      <c r="L126" t="s">
        <v>745</v>
      </c>
      <c r="M126">
        <v>400</v>
      </c>
      <c r="P126" s="2">
        <v>45735</v>
      </c>
      <c r="R126">
        <v>10</v>
      </c>
      <c r="S126" s="4">
        <v>4000</v>
      </c>
      <c r="T126" t="s">
        <v>65</v>
      </c>
      <c r="U126">
        <v>112023530001</v>
      </c>
      <c r="V126">
        <v>0</v>
      </c>
      <c r="W126" s="4">
        <v>4000</v>
      </c>
      <c r="X126">
        <v>0</v>
      </c>
      <c r="Y126">
        <v>0</v>
      </c>
      <c r="Z126">
        <v>0</v>
      </c>
      <c r="AA126">
        <v>0</v>
      </c>
      <c r="AD126">
        <v>0</v>
      </c>
      <c r="AM126">
        <v>11202353</v>
      </c>
      <c r="AN126" t="s">
        <v>182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69</v>
      </c>
      <c r="AZ126" t="s">
        <v>4482</v>
      </c>
      <c r="BA126">
        <v>0</v>
      </c>
      <c r="BC126" t="s">
        <v>182</v>
      </c>
      <c r="BF126" t="s">
        <v>4483</v>
      </c>
    </row>
    <row r="130" spans="1:2" x14ac:dyDescent="0.35">
      <c r="A130">
        <f>COUNTA(A5:A129)</f>
        <v>122</v>
      </c>
      <c r="B130">
        <f>'18-Mar'!B100+'19-Mar'!A130</f>
        <v>1280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C5C9-FEFE-4430-A767-8619DFDA61AE}">
  <dimension ref="A1:BF115"/>
  <sheetViews>
    <sheetView workbookViewId="0">
      <selection activeCell="A4" sqref="A4:XFD10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4484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4485</v>
      </c>
      <c r="B5">
        <v>10000</v>
      </c>
      <c r="C5">
        <v>10000</v>
      </c>
      <c r="D5" s="2">
        <v>45737</v>
      </c>
      <c r="E5" t="s">
        <v>61</v>
      </c>
      <c r="F5" t="s">
        <v>4486</v>
      </c>
      <c r="G5" t="s">
        <v>89</v>
      </c>
      <c r="H5" t="s">
        <v>4487</v>
      </c>
      <c r="I5">
        <v>1</v>
      </c>
      <c r="J5" t="s">
        <v>69</v>
      </c>
      <c r="K5">
        <v>73</v>
      </c>
      <c r="L5" t="s">
        <v>90</v>
      </c>
      <c r="M5" s="4">
        <v>18000</v>
      </c>
      <c r="P5" s="2">
        <v>45736</v>
      </c>
      <c r="R5">
        <v>12</v>
      </c>
      <c r="S5" s="4">
        <v>216000</v>
      </c>
      <c r="T5" t="s">
        <v>65</v>
      </c>
      <c r="U5">
        <v>80256230001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>
        <v>8025623</v>
      </c>
      <c r="AN5" t="s">
        <v>91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91</v>
      </c>
      <c r="BF5" t="s">
        <v>4488</v>
      </c>
    </row>
    <row r="6" spans="1:58" x14ac:dyDescent="0.35">
      <c r="A6" t="s">
        <v>4139</v>
      </c>
      <c r="B6">
        <v>10000</v>
      </c>
      <c r="C6">
        <v>20000</v>
      </c>
      <c r="D6" s="2">
        <v>45762</v>
      </c>
      <c r="E6" t="s">
        <v>61</v>
      </c>
      <c r="F6" t="s">
        <v>4140</v>
      </c>
      <c r="G6" t="s">
        <v>4141</v>
      </c>
      <c r="H6" t="s">
        <v>4142</v>
      </c>
      <c r="I6">
        <v>1</v>
      </c>
      <c r="J6" t="s">
        <v>69</v>
      </c>
      <c r="K6" t="s">
        <v>295</v>
      </c>
      <c r="L6" t="s">
        <v>2315</v>
      </c>
      <c r="M6" s="4">
        <v>7515</v>
      </c>
      <c r="P6" s="2">
        <v>45736</v>
      </c>
      <c r="R6">
        <v>35</v>
      </c>
      <c r="S6" s="4">
        <v>263025</v>
      </c>
      <c r="T6" t="s">
        <v>65</v>
      </c>
      <c r="U6" t="s">
        <v>147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148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107</v>
      </c>
      <c r="BF6" t="s">
        <v>4143</v>
      </c>
    </row>
    <row r="7" spans="1:58" x14ac:dyDescent="0.35">
      <c r="A7" t="s">
        <v>4489</v>
      </c>
      <c r="B7">
        <v>10000</v>
      </c>
      <c r="C7">
        <v>10000</v>
      </c>
      <c r="D7" s="2">
        <v>45754</v>
      </c>
      <c r="E7" t="s">
        <v>61</v>
      </c>
      <c r="F7" t="s">
        <v>4490</v>
      </c>
      <c r="G7">
        <v>10620258046</v>
      </c>
      <c r="H7" t="s">
        <v>2791</v>
      </c>
      <c r="I7">
        <v>1</v>
      </c>
      <c r="J7" t="s">
        <v>69</v>
      </c>
      <c r="K7">
        <v>79</v>
      </c>
      <c r="L7" t="s">
        <v>573</v>
      </c>
      <c r="M7">
        <v>384</v>
      </c>
      <c r="P7" s="2">
        <v>45736</v>
      </c>
      <c r="R7">
        <v>308</v>
      </c>
      <c r="S7" s="4">
        <v>118272</v>
      </c>
      <c r="T7" t="s">
        <v>65</v>
      </c>
      <c r="U7" t="s">
        <v>4491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4492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107</v>
      </c>
      <c r="BF7" t="s">
        <v>4493</v>
      </c>
    </row>
    <row r="8" spans="1:58" x14ac:dyDescent="0.35">
      <c r="A8" t="s">
        <v>4494</v>
      </c>
      <c r="B8">
        <v>10000</v>
      </c>
      <c r="C8">
        <v>10000</v>
      </c>
      <c r="D8" s="2">
        <v>45754</v>
      </c>
      <c r="E8" t="s">
        <v>61</v>
      </c>
      <c r="F8" t="s">
        <v>4495</v>
      </c>
      <c r="G8">
        <v>10620258046</v>
      </c>
      <c r="H8" t="s">
        <v>2791</v>
      </c>
      <c r="I8">
        <v>1</v>
      </c>
      <c r="J8" t="s">
        <v>69</v>
      </c>
      <c r="K8">
        <v>79</v>
      </c>
      <c r="L8" t="s">
        <v>573</v>
      </c>
      <c r="M8">
        <v>384</v>
      </c>
      <c r="P8" s="2">
        <v>45736</v>
      </c>
      <c r="R8">
        <v>308</v>
      </c>
      <c r="S8" s="4">
        <v>118272</v>
      </c>
      <c r="T8" t="s">
        <v>65</v>
      </c>
      <c r="U8" t="s">
        <v>4496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4497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107</v>
      </c>
      <c r="BF8" t="s">
        <v>4498</v>
      </c>
    </row>
    <row r="9" spans="1:58" x14ac:dyDescent="0.35">
      <c r="A9" t="s">
        <v>4499</v>
      </c>
      <c r="B9">
        <v>10000</v>
      </c>
      <c r="C9">
        <v>10000</v>
      </c>
      <c r="D9" s="2">
        <v>45754</v>
      </c>
      <c r="E9" t="s">
        <v>61</v>
      </c>
      <c r="F9" t="s">
        <v>4500</v>
      </c>
      <c r="G9">
        <v>10656256096</v>
      </c>
      <c r="H9" t="s">
        <v>2791</v>
      </c>
      <c r="I9">
        <v>1</v>
      </c>
      <c r="J9" t="s">
        <v>69</v>
      </c>
      <c r="K9">
        <v>79</v>
      </c>
      <c r="L9" t="s">
        <v>573</v>
      </c>
      <c r="M9">
        <v>384</v>
      </c>
      <c r="P9" s="2">
        <v>45736</v>
      </c>
      <c r="R9">
        <v>308</v>
      </c>
      <c r="S9" s="4">
        <v>118272</v>
      </c>
      <c r="T9" t="s">
        <v>65</v>
      </c>
      <c r="U9" t="s">
        <v>4501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4502</v>
      </c>
      <c r="AN9" t="s">
        <v>107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107</v>
      </c>
      <c r="BF9" t="s">
        <v>4503</v>
      </c>
    </row>
    <row r="10" spans="1:58" x14ac:dyDescent="0.35">
      <c r="A10" t="s">
        <v>4504</v>
      </c>
      <c r="B10">
        <v>10000</v>
      </c>
      <c r="C10">
        <v>10000</v>
      </c>
      <c r="D10" s="2">
        <v>45754</v>
      </c>
      <c r="E10" t="s">
        <v>61</v>
      </c>
      <c r="F10" t="s">
        <v>4505</v>
      </c>
      <c r="G10">
        <v>10620258039</v>
      </c>
      <c r="H10" t="s">
        <v>4506</v>
      </c>
      <c r="I10">
        <v>1</v>
      </c>
      <c r="J10" t="s">
        <v>69</v>
      </c>
      <c r="K10">
        <v>79</v>
      </c>
      <c r="L10" t="s">
        <v>573</v>
      </c>
      <c r="M10">
        <v>879</v>
      </c>
      <c r="P10" s="2">
        <v>45736</v>
      </c>
      <c r="R10">
        <v>264</v>
      </c>
      <c r="S10" s="4">
        <v>232056</v>
      </c>
      <c r="T10" t="s">
        <v>65</v>
      </c>
      <c r="U10" t="s">
        <v>4507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4508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107</v>
      </c>
      <c r="BF10" t="s">
        <v>4509</v>
      </c>
    </row>
    <row r="11" spans="1:58" x14ac:dyDescent="0.35">
      <c r="A11" t="s">
        <v>4154</v>
      </c>
      <c r="B11">
        <v>10000</v>
      </c>
      <c r="C11">
        <v>20000</v>
      </c>
      <c r="D11" s="2">
        <v>45741</v>
      </c>
      <c r="E11" t="s">
        <v>61</v>
      </c>
      <c r="F11" t="s">
        <v>4155</v>
      </c>
      <c r="G11" t="s">
        <v>4156</v>
      </c>
      <c r="H11" t="s">
        <v>4150</v>
      </c>
      <c r="I11">
        <v>2</v>
      </c>
      <c r="J11" t="s">
        <v>69</v>
      </c>
      <c r="K11">
        <v>77</v>
      </c>
      <c r="L11" t="s">
        <v>127</v>
      </c>
      <c r="M11" s="4">
        <v>1250</v>
      </c>
      <c r="P11" s="2">
        <v>45736</v>
      </c>
      <c r="R11">
        <v>88</v>
      </c>
      <c r="S11" s="4">
        <v>110000</v>
      </c>
      <c r="T11" t="s">
        <v>65</v>
      </c>
      <c r="U11" t="s">
        <v>4157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4158</v>
      </c>
      <c r="AN11" t="s">
        <v>107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107</v>
      </c>
      <c r="BF11" t="s">
        <v>4159</v>
      </c>
    </row>
    <row r="12" spans="1:58" x14ac:dyDescent="0.35">
      <c r="A12" t="s">
        <v>4510</v>
      </c>
      <c r="B12">
        <v>10000</v>
      </c>
      <c r="C12">
        <v>10000</v>
      </c>
      <c r="D12" s="2">
        <v>45736</v>
      </c>
      <c r="E12" t="s">
        <v>61</v>
      </c>
      <c r="F12" t="s">
        <v>4511</v>
      </c>
      <c r="G12" t="s">
        <v>2773</v>
      </c>
      <c r="H12" t="s">
        <v>1577</v>
      </c>
      <c r="I12">
        <v>1</v>
      </c>
      <c r="J12" t="s">
        <v>69</v>
      </c>
      <c r="K12">
        <v>82</v>
      </c>
      <c r="L12" t="s">
        <v>341</v>
      </c>
      <c r="M12" s="4">
        <v>8000</v>
      </c>
      <c r="P12" s="2">
        <v>45736</v>
      </c>
      <c r="R12">
        <v>6</v>
      </c>
      <c r="S12" s="4">
        <v>48000</v>
      </c>
      <c r="T12" t="s">
        <v>65</v>
      </c>
      <c r="U12" t="s">
        <v>1583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1584</v>
      </c>
      <c r="AN12" t="s">
        <v>364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364</v>
      </c>
      <c r="BF12" t="s">
        <v>4512</v>
      </c>
    </row>
    <row r="13" spans="1:58" x14ac:dyDescent="0.35">
      <c r="A13" t="s">
        <v>4513</v>
      </c>
      <c r="B13">
        <v>10000</v>
      </c>
      <c r="C13">
        <v>10000</v>
      </c>
      <c r="D13" s="2">
        <v>45742</v>
      </c>
      <c r="E13" t="s">
        <v>61</v>
      </c>
      <c r="F13" s="3">
        <v>0.46068287037037037</v>
      </c>
      <c r="G13" t="s">
        <v>4514</v>
      </c>
      <c r="H13" t="s">
        <v>1577</v>
      </c>
      <c r="I13">
        <v>1</v>
      </c>
      <c r="J13" t="s">
        <v>69</v>
      </c>
      <c r="K13">
        <v>82</v>
      </c>
      <c r="L13" t="s">
        <v>341</v>
      </c>
      <c r="M13" s="4">
        <v>8000</v>
      </c>
      <c r="P13" s="2">
        <v>45736</v>
      </c>
      <c r="R13">
        <v>6</v>
      </c>
      <c r="S13" s="4">
        <v>48000</v>
      </c>
      <c r="T13" t="s">
        <v>65</v>
      </c>
      <c r="U13" t="s">
        <v>1583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69</v>
      </c>
      <c r="AI13">
        <v>0</v>
      </c>
      <c r="AJ13" t="s">
        <v>69</v>
      </c>
      <c r="AM13" t="s">
        <v>1584</v>
      </c>
      <c r="AN13" t="s">
        <v>364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BC13" t="s">
        <v>364</v>
      </c>
      <c r="BF13" t="s">
        <v>4515</v>
      </c>
    </row>
    <row r="14" spans="1:58" x14ac:dyDescent="0.35">
      <c r="A14" t="s">
        <v>4516</v>
      </c>
      <c r="B14">
        <v>10000</v>
      </c>
      <c r="C14">
        <v>10000</v>
      </c>
      <c r="D14" s="2">
        <v>45737</v>
      </c>
      <c r="E14" t="s">
        <v>61</v>
      </c>
      <c r="F14" s="3">
        <v>0.48658564814814814</v>
      </c>
      <c r="G14" t="s">
        <v>3886</v>
      </c>
      <c r="H14" t="s">
        <v>4517</v>
      </c>
      <c r="I14">
        <v>1</v>
      </c>
      <c r="J14" t="s">
        <v>69</v>
      </c>
      <c r="K14">
        <v>94</v>
      </c>
      <c r="L14" t="s">
        <v>181</v>
      </c>
      <c r="M14" s="4">
        <v>3000</v>
      </c>
      <c r="P14" s="2">
        <v>45736</v>
      </c>
      <c r="R14">
        <v>6</v>
      </c>
      <c r="S14" s="4">
        <v>18000</v>
      </c>
      <c r="T14" t="s">
        <v>65</v>
      </c>
      <c r="U14" t="s">
        <v>4518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69</v>
      </c>
      <c r="AI14">
        <v>0</v>
      </c>
      <c r="AJ14" t="s">
        <v>69</v>
      </c>
      <c r="AM14" t="s">
        <v>4519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BC14" t="s">
        <v>364</v>
      </c>
      <c r="BF14" t="s">
        <v>4520</v>
      </c>
    </row>
    <row r="15" spans="1:58" x14ac:dyDescent="0.35">
      <c r="A15" t="s">
        <v>4521</v>
      </c>
      <c r="B15">
        <v>10000</v>
      </c>
      <c r="C15">
        <v>10000</v>
      </c>
      <c r="D15" s="2">
        <v>45754</v>
      </c>
      <c r="E15" t="s">
        <v>61</v>
      </c>
      <c r="F15" t="s">
        <v>4522</v>
      </c>
      <c r="G15">
        <v>10620258046</v>
      </c>
      <c r="H15" t="s">
        <v>2791</v>
      </c>
      <c r="I15">
        <v>1</v>
      </c>
      <c r="J15" t="s">
        <v>69</v>
      </c>
      <c r="K15">
        <v>79</v>
      </c>
      <c r="L15" t="s">
        <v>573</v>
      </c>
      <c r="M15">
        <v>384</v>
      </c>
      <c r="P15" s="2">
        <v>45736</v>
      </c>
      <c r="R15">
        <v>308</v>
      </c>
      <c r="S15" s="4">
        <v>118272</v>
      </c>
      <c r="T15" t="s">
        <v>65</v>
      </c>
      <c r="U15" t="s">
        <v>4523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69</v>
      </c>
      <c r="AI15">
        <v>0</v>
      </c>
      <c r="AJ15" t="s">
        <v>69</v>
      </c>
      <c r="AM15" t="s">
        <v>4524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BC15" t="s">
        <v>107</v>
      </c>
      <c r="BF15" t="s">
        <v>4525</v>
      </c>
    </row>
    <row r="16" spans="1:58" x14ac:dyDescent="0.35">
      <c r="A16" t="s">
        <v>4526</v>
      </c>
      <c r="B16">
        <v>10000</v>
      </c>
      <c r="C16">
        <v>10000</v>
      </c>
      <c r="D16" s="2">
        <v>45740</v>
      </c>
      <c r="E16" t="s">
        <v>61</v>
      </c>
      <c r="F16" t="s">
        <v>4527</v>
      </c>
      <c r="G16" t="s">
        <v>3218</v>
      </c>
      <c r="H16" t="s">
        <v>4528</v>
      </c>
      <c r="I16">
        <v>1</v>
      </c>
      <c r="J16" t="s">
        <v>69</v>
      </c>
      <c r="K16" t="s">
        <v>399</v>
      </c>
      <c r="L16" t="s">
        <v>380</v>
      </c>
      <c r="M16" s="4">
        <v>155000</v>
      </c>
      <c r="P16" s="2">
        <v>45736</v>
      </c>
      <c r="R16">
        <v>1</v>
      </c>
      <c r="S16" s="4">
        <v>155000</v>
      </c>
      <c r="T16" t="s">
        <v>65</v>
      </c>
      <c r="U16" t="s">
        <v>381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69</v>
      </c>
      <c r="AI16">
        <v>0</v>
      </c>
      <c r="AJ16" t="s">
        <v>69</v>
      </c>
      <c r="AM16" t="s">
        <v>382</v>
      </c>
      <c r="AN16" t="s">
        <v>175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BC16" t="s">
        <v>175</v>
      </c>
      <c r="BF16" t="s">
        <v>4529</v>
      </c>
    </row>
    <row r="17" spans="1:58" x14ac:dyDescent="0.35">
      <c r="A17" t="s">
        <v>4530</v>
      </c>
      <c r="B17">
        <v>10000</v>
      </c>
      <c r="C17">
        <v>10000</v>
      </c>
      <c r="D17" s="2">
        <v>45754</v>
      </c>
      <c r="E17" t="s">
        <v>61</v>
      </c>
      <c r="F17" t="s">
        <v>4531</v>
      </c>
      <c r="G17">
        <v>10656256096</v>
      </c>
      <c r="H17" t="s">
        <v>2791</v>
      </c>
      <c r="I17">
        <v>1</v>
      </c>
      <c r="J17" t="s">
        <v>69</v>
      </c>
      <c r="K17">
        <v>79</v>
      </c>
      <c r="L17" t="s">
        <v>573</v>
      </c>
      <c r="M17">
        <v>228</v>
      </c>
      <c r="P17" s="2">
        <v>45736</v>
      </c>
      <c r="R17">
        <v>352</v>
      </c>
      <c r="S17" s="4">
        <v>80256</v>
      </c>
      <c r="T17" t="s">
        <v>65</v>
      </c>
      <c r="U17" t="s">
        <v>328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69</v>
      </c>
      <c r="AI17">
        <v>0</v>
      </c>
      <c r="AJ17" t="s">
        <v>69</v>
      </c>
      <c r="AM17" t="s">
        <v>329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BC17" t="s">
        <v>107</v>
      </c>
      <c r="BF17" t="s">
        <v>4532</v>
      </c>
    </row>
    <row r="18" spans="1:58" x14ac:dyDescent="0.35">
      <c r="A18" t="s">
        <v>4533</v>
      </c>
      <c r="B18">
        <v>10000</v>
      </c>
      <c r="C18">
        <v>10000</v>
      </c>
      <c r="D18" s="2">
        <v>45754</v>
      </c>
      <c r="E18" t="s">
        <v>95</v>
      </c>
      <c r="F18" t="s">
        <v>4534</v>
      </c>
      <c r="G18">
        <v>10656256096</v>
      </c>
      <c r="H18" t="s">
        <v>4150</v>
      </c>
      <c r="I18">
        <v>1</v>
      </c>
      <c r="J18" t="s">
        <v>69</v>
      </c>
      <c r="K18">
        <v>79</v>
      </c>
      <c r="L18" t="s">
        <v>573</v>
      </c>
      <c r="M18">
        <v>398</v>
      </c>
      <c r="P18" s="2">
        <v>45736</v>
      </c>
      <c r="R18">
        <v>297</v>
      </c>
      <c r="S18" s="4">
        <v>118206</v>
      </c>
      <c r="T18" t="s">
        <v>65</v>
      </c>
      <c r="U18" t="s">
        <v>4535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69</v>
      </c>
      <c r="AI18">
        <v>0</v>
      </c>
      <c r="AJ18" t="s">
        <v>69</v>
      </c>
      <c r="AM18" t="s">
        <v>4536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BC18" t="s">
        <v>107</v>
      </c>
      <c r="BF18" t="s">
        <v>4537</v>
      </c>
    </row>
    <row r="19" spans="1:58" x14ac:dyDescent="0.35">
      <c r="A19" t="s">
        <v>3714</v>
      </c>
      <c r="B19">
        <v>10000</v>
      </c>
      <c r="C19">
        <v>40000</v>
      </c>
      <c r="D19" s="2">
        <v>45740</v>
      </c>
      <c r="E19" t="s">
        <v>61</v>
      </c>
      <c r="F19" t="s">
        <v>3715</v>
      </c>
      <c r="G19" t="s">
        <v>3716</v>
      </c>
      <c r="I19">
        <v>3</v>
      </c>
      <c r="J19" t="s">
        <v>63</v>
      </c>
      <c r="K19">
        <v>91</v>
      </c>
      <c r="L19" t="s">
        <v>104</v>
      </c>
      <c r="M19" s="4">
        <v>100000</v>
      </c>
      <c r="P19" s="2">
        <v>45736</v>
      </c>
      <c r="R19">
        <v>9</v>
      </c>
      <c r="S19" s="4">
        <v>900000</v>
      </c>
      <c r="T19" t="s">
        <v>65</v>
      </c>
      <c r="U19" t="s">
        <v>76</v>
      </c>
      <c r="V19">
        <v>0</v>
      </c>
      <c r="W19" s="4">
        <v>892857</v>
      </c>
      <c r="X19" s="4">
        <v>7143</v>
      </c>
      <c r="Y19">
        <v>0</v>
      </c>
      <c r="Z19">
        <v>0</v>
      </c>
      <c r="AA19">
        <v>0</v>
      </c>
      <c r="AD19">
        <v>0</v>
      </c>
      <c r="AM19" t="s">
        <v>77</v>
      </c>
      <c r="AN19" t="s">
        <v>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3717</v>
      </c>
      <c r="BA19">
        <v>0</v>
      </c>
      <c r="BC19" t="s">
        <v>68</v>
      </c>
      <c r="BF19" t="s">
        <v>3718</v>
      </c>
    </row>
    <row r="20" spans="1:58" x14ac:dyDescent="0.35">
      <c r="A20" t="s">
        <v>3714</v>
      </c>
      <c r="B20">
        <v>10000</v>
      </c>
      <c r="C20">
        <v>50000</v>
      </c>
      <c r="D20" s="2">
        <v>45740</v>
      </c>
      <c r="E20" t="s">
        <v>61</v>
      </c>
      <c r="F20" t="s">
        <v>3715</v>
      </c>
      <c r="G20" t="s">
        <v>3716</v>
      </c>
      <c r="I20">
        <v>3</v>
      </c>
      <c r="J20" t="s">
        <v>63</v>
      </c>
      <c r="K20">
        <v>91</v>
      </c>
      <c r="L20" t="s">
        <v>104</v>
      </c>
      <c r="M20" s="4">
        <v>12000</v>
      </c>
      <c r="P20" s="2">
        <v>45736</v>
      </c>
      <c r="R20">
        <v>9</v>
      </c>
      <c r="S20" s="4">
        <v>108000</v>
      </c>
      <c r="T20" t="s">
        <v>65</v>
      </c>
      <c r="U20" t="s">
        <v>76</v>
      </c>
      <c r="V20">
        <v>0</v>
      </c>
      <c r="W20" s="4">
        <v>107143</v>
      </c>
      <c r="X20">
        <v>857</v>
      </c>
      <c r="Y20">
        <v>0</v>
      </c>
      <c r="Z20">
        <v>0</v>
      </c>
      <c r="AA20">
        <v>0</v>
      </c>
      <c r="AD20">
        <v>0</v>
      </c>
      <c r="AM20" t="s">
        <v>77</v>
      </c>
      <c r="AN20" t="s">
        <v>68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3717</v>
      </c>
      <c r="BA20">
        <v>0</v>
      </c>
      <c r="BC20" t="s">
        <v>68</v>
      </c>
      <c r="BF20" t="s">
        <v>3718</v>
      </c>
    </row>
    <row r="21" spans="1:58" x14ac:dyDescent="0.35">
      <c r="A21" t="s">
        <v>4538</v>
      </c>
      <c r="B21">
        <v>10000</v>
      </c>
      <c r="C21">
        <v>10000</v>
      </c>
      <c r="D21" s="2">
        <v>45737</v>
      </c>
      <c r="E21" t="s">
        <v>61</v>
      </c>
      <c r="F21" t="s">
        <v>4539</v>
      </c>
      <c r="G21" t="s">
        <v>4540</v>
      </c>
      <c r="I21">
        <v>1</v>
      </c>
      <c r="J21" t="s">
        <v>63</v>
      </c>
      <c r="K21">
        <v>73</v>
      </c>
      <c r="L21" t="s">
        <v>90</v>
      </c>
      <c r="M21" s="4">
        <v>6750</v>
      </c>
      <c r="P21" s="2">
        <v>45736</v>
      </c>
      <c r="R21">
        <v>2</v>
      </c>
      <c r="S21" s="4">
        <v>13500</v>
      </c>
      <c r="T21" t="s">
        <v>65</v>
      </c>
      <c r="U21" t="s">
        <v>4541</v>
      </c>
      <c r="V21">
        <v>0</v>
      </c>
      <c r="W21" s="4">
        <v>13500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4542</v>
      </c>
      <c r="AN21" t="s">
        <v>562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4543</v>
      </c>
      <c r="BA21">
        <v>0</v>
      </c>
      <c r="BC21" t="s">
        <v>562</v>
      </c>
      <c r="BF21" t="s">
        <v>4544</v>
      </c>
    </row>
    <row r="22" spans="1:58" x14ac:dyDescent="0.35">
      <c r="A22" t="s">
        <v>4545</v>
      </c>
      <c r="B22">
        <v>10000</v>
      </c>
      <c r="C22">
        <v>10000</v>
      </c>
      <c r="D22" s="2">
        <v>45736</v>
      </c>
      <c r="E22" t="s">
        <v>61</v>
      </c>
      <c r="F22" t="s">
        <v>4546</v>
      </c>
      <c r="G22" t="s">
        <v>4547</v>
      </c>
      <c r="I22">
        <v>1</v>
      </c>
      <c r="J22" t="s">
        <v>63</v>
      </c>
      <c r="K22">
        <v>112</v>
      </c>
      <c r="L22" t="s">
        <v>533</v>
      </c>
      <c r="M22">
        <v>754</v>
      </c>
      <c r="P22" s="2">
        <v>45736</v>
      </c>
      <c r="R22">
        <v>15</v>
      </c>
      <c r="S22" s="4">
        <v>11310</v>
      </c>
      <c r="T22" t="s">
        <v>65</v>
      </c>
      <c r="U22" t="s">
        <v>4548</v>
      </c>
      <c r="V22">
        <v>0</v>
      </c>
      <c r="W22" s="4">
        <v>11300</v>
      </c>
      <c r="X22">
        <v>10</v>
      </c>
      <c r="Y22">
        <v>0</v>
      </c>
      <c r="Z22">
        <v>0</v>
      </c>
      <c r="AA22">
        <v>0</v>
      </c>
      <c r="AD22">
        <v>0</v>
      </c>
      <c r="AM22" t="s">
        <v>4549</v>
      </c>
      <c r="AN22" t="s">
        <v>321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4550</v>
      </c>
      <c r="BA22">
        <v>0</v>
      </c>
      <c r="BC22" t="s">
        <v>321</v>
      </c>
      <c r="BF22" t="s">
        <v>4551</v>
      </c>
    </row>
    <row r="23" spans="1:58" x14ac:dyDescent="0.35">
      <c r="A23" t="s">
        <v>4552</v>
      </c>
      <c r="B23">
        <v>10000</v>
      </c>
      <c r="C23">
        <v>10000</v>
      </c>
      <c r="D23" s="2">
        <v>45737</v>
      </c>
      <c r="E23" t="s">
        <v>61</v>
      </c>
      <c r="F23" t="s">
        <v>4553</v>
      </c>
      <c r="G23" t="s">
        <v>2773</v>
      </c>
      <c r="I23">
        <v>1</v>
      </c>
      <c r="J23" t="s">
        <v>63</v>
      </c>
      <c r="K23">
        <v>94</v>
      </c>
      <c r="L23" t="s">
        <v>181</v>
      </c>
      <c r="M23" s="4">
        <v>3000</v>
      </c>
      <c r="P23" s="2">
        <v>45736</v>
      </c>
      <c r="R23">
        <v>6</v>
      </c>
      <c r="S23" s="4">
        <v>18000</v>
      </c>
      <c r="T23" t="s">
        <v>65</v>
      </c>
      <c r="U23" t="s">
        <v>4518</v>
      </c>
      <c r="V23">
        <v>0</v>
      </c>
      <c r="W23" s="4">
        <v>18000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4519</v>
      </c>
      <c r="AN23" t="s">
        <v>364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4554</v>
      </c>
      <c r="BA23">
        <v>0</v>
      </c>
      <c r="BC23" t="s">
        <v>364</v>
      </c>
      <c r="BF23" t="s">
        <v>4555</v>
      </c>
    </row>
    <row r="24" spans="1:58" x14ac:dyDescent="0.35">
      <c r="A24" t="s">
        <v>4556</v>
      </c>
      <c r="B24">
        <v>10000</v>
      </c>
      <c r="C24">
        <v>10000</v>
      </c>
      <c r="D24" s="2">
        <v>45736</v>
      </c>
      <c r="E24" t="s">
        <v>61</v>
      </c>
      <c r="F24" t="s">
        <v>4546</v>
      </c>
      <c r="G24" t="s">
        <v>4557</v>
      </c>
      <c r="I24">
        <v>1</v>
      </c>
      <c r="J24" t="s">
        <v>63</v>
      </c>
      <c r="K24">
        <v>112</v>
      </c>
      <c r="L24" t="s">
        <v>249</v>
      </c>
      <c r="M24" s="4">
        <v>1334</v>
      </c>
      <c r="P24" s="2">
        <v>45736</v>
      </c>
      <c r="R24">
        <v>15</v>
      </c>
      <c r="S24" s="4">
        <v>20010</v>
      </c>
      <c r="T24" t="s">
        <v>65</v>
      </c>
      <c r="U24" t="s">
        <v>4548</v>
      </c>
      <c r="V24">
        <v>0</v>
      </c>
      <c r="W24" s="4">
        <v>20000</v>
      </c>
      <c r="X24">
        <v>10</v>
      </c>
      <c r="Y24">
        <v>0</v>
      </c>
      <c r="Z24">
        <v>0</v>
      </c>
      <c r="AA24">
        <v>0</v>
      </c>
      <c r="AD24">
        <v>0</v>
      </c>
      <c r="AM24" t="s">
        <v>4549</v>
      </c>
      <c r="AN24" t="s">
        <v>321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4558</v>
      </c>
      <c r="BA24">
        <v>0</v>
      </c>
      <c r="BC24" t="s">
        <v>321</v>
      </c>
      <c r="BF24" t="s">
        <v>4559</v>
      </c>
    </row>
    <row r="25" spans="1:58" x14ac:dyDescent="0.35">
      <c r="A25" t="s">
        <v>4560</v>
      </c>
      <c r="B25">
        <v>10000</v>
      </c>
      <c r="C25">
        <v>10000</v>
      </c>
      <c r="D25" s="2">
        <v>45737</v>
      </c>
      <c r="E25" t="s">
        <v>61</v>
      </c>
      <c r="F25" t="s">
        <v>4553</v>
      </c>
      <c r="G25" t="s">
        <v>418</v>
      </c>
      <c r="I25">
        <v>1</v>
      </c>
      <c r="J25" t="s">
        <v>63</v>
      </c>
      <c r="K25">
        <v>59</v>
      </c>
      <c r="L25" t="s">
        <v>745</v>
      </c>
      <c r="M25" s="4">
        <v>1000</v>
      </c>
      <c r="P25" s="2">
        <v>45736</v>
      </c>
      <c r="R25">
        <v>6</v>
      </c>
      <c r="S25" s="4">
        <v>6000</v>
      </c>
      <c r="T25" t="s">
        <v>65</v>
      </c>
      <c r="U25" t="s">
        <v>4561</v>
      </c>
      <c r="V25">
        <v>0</v>
      </c>
      <c r="W25" s="4">
        <v>6000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4562</v>
      </c>
      <c r="AN25" t="s">
        <v>182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4563</v>
      </c>
      <c r="BA25">
        <v>0</v>
      </c>
      <c r="BC25" t="s">
        <v>182</v>
      </c>
      <c r="BF25" t="s">
        <v>4564</v>
      </c>
    </row>
    <row r="26" spans="1:58" x14ac:dyDescent="0.35">
      <c r="A26" t="s">
        <v>4560</v>
      </c>
      <c r="B26">
        <v>20000</v>
      </c>
      <c r="C26">
        <v>10000</v>
      </c>
      <c r="D26" s="2">
        <v>45737</v>
      </c>
      <c r="E26" t="s">
        <v>61</v>
      </c>
      <c r="F26" t="s">
        <v>4553</v>
      </c>
      <c r="G26" t="s">
        <v>418</v>
      </c>
      <c r="I26">
        <v>1</v>
      </c>
      <c r="J26" t="s">
        <v>63</v>
      </c>
      <c r="K26">
        <v>59</v>
      </c>
      <c r="L26" t="s">
        <v>745</v>
      </c>
      <c r="M26" s="4">
        <v>1000</v>
      </c>
      <c r="P26" s="2">
        <v>45736</v>
      </c>
      <c r="R26">
        <v>6</v>
      </c>
      <c r="S26" s="4">
        <v>6000</v>
      </c>
      <c r="T26" t="s">
        <v>65</v>
      </c>
      <c r="U26" t="s">
        <v>4561</v>
      </c>
      <c r="V26">
        <v>0</v>
      </c>
      <c r="W26" s="4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4562</v>
      </c>
      <c r="AN26" t="s">
        <v>182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4563</v>
      </c>
      <c r="BA26">
        <v>0</v>
      </c>
      <c r="BC26" t="s">
        <v>182</v>
      </c>
      <c r="BF26" t="s">
        <v>4564</v>
      </c>
    </row>
    <row r="27" spans="1:58" x14ac:dyDescent="0.35">
      <c r="A27" t="s">
        <v>4560</v>
      </c>
      <c r="B27">
        <v>30000</v>
      </c>
      <c r="C27">
        <v>20000</v>
      </c>
      <c r="D27" s="2">
        <v>45737</v>
      </c>
      <c r="E27" t="s">
        <v>61</v>
      </c>
      <c r="F27" t="s">
        <v>4553</v>
      </c>
      <c r="G27" t="s">
        <v>418</v>
      </c>
      <c r="I27">
        <v>1</v>
      </c>
      <c r="J27" t="s">
        <v>63</v>
      </c>
      <c r="K27">
        <v>59</v>
      </c>
      <c r="L27" t="s">
        <v>745</v>
      </c>
      <c r="M27" s="4">
        <v>1000</v>
      </c>
      <c r="P27" s="2">
        <v>45736</v>
      </c>
      <c r="R27">
        <v>6</v>
      </c>
      <c r="S27" s="4">
        <v>6000</v>
      </c>
      <c r="T27" t="s">
        <v>65</v>
      </c>
      <c r="U27" t="s">
        <v>4561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4562</v>
      </c>
      <c r="AN27" t="s">
        <v>182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4563</v>
      </c>
      <c r="BA27">
        <v>0</v>
      </c>
      <c r="BC27" t="s">
        <v>182</v>
      </c>
      <c r="BF27" t="s">
        <v>4564</v>
      </c>
    </row>
    <row r="28" spans="1:58" x14ac:dyDescent="0.35">
      <c r="A28" t="s">
        <v>4182</v>
      </c>
      <c r="B28">
        <v>10000</v>
      </c>
      <c r="C28">
        <v>20000</v>
      </c>
      <c r="D28" s="2">
        <v>45741</v>
      </c>
      <c r="E28" t="s">
        <v>61</v>
      </c>
      <c r="F28" t="s">
        <v>4183</v>
      </c>
      <c r="G28" t="s">
        <v>4156</v>
      </c>
      <c r="I28">
        <v>2</v>
      </c>
      <c r="J28" t="s">
        <v>63</v>
      </c>
      <c r="K28">
        <v>77</v>
      </c>
      <c r="L28" t="s">
        <v>127</v>
      </c>
      <c r="M28" s="4">
        <v>1250</v>
      </c>
      <c r="P28" s="2">
        <v>45736</v>
      </c>
      <c r="R28">
        <v>88</v>
      </c>
      <c r="S28" s="4">
        <v>110000</v>
      </c>
      <c r="T28" t="s">
        <v>65</v>
      </c>
      <c r="U28" t="s">
        <v>4184</v>
      </c>
      <c r="V28">
        <v>0</v>
      </c>
      <c r="W28" s="4">
        <v>100000</v>
      </c>
      <c r="X28" s="4">
        <v>10000</v>
      </c>
      <c r="Y28">
        <v>0</v>
      </c>
      <c r="Z28">
        <v>0</v>
      </c>
      <c r="AA28">
        <v>0</v>
      </c>
      <c r="AD28">
        <v>0</v>
      </c>
      <c r="AM28" t="s">
        <v>4185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4186</v>
      </c>
      <c r="BA28">
        <v>0</v>
      </c>
      <c r="BC28" t="s">
        <v>107</v>
      </c>
      <c r="BF28" t="s">
        <v>4187</v>
      </c>
    </row>
    <row r="29" spans="1:58" x14ac:dyDescent="0.35">
      <c r="A29" t="s">
        <v>570</v>
      </c>
      <c r="B29">
        <v>10000</v>
      </c>
      <c r="C29">
        <v>50000</v>
      </c>
      <c r="D29" s="2">
        <v>45740</v>
      </c>
      <c r="E29" t="s">
        <v>61</v>
      </c>
      <c r="F29" t="s">
        <v>2850</v>
      </c>
      <c r="G29" t="s">
        <v>572</v>
      </c>
      <c r="I29">
        <v>3</v>
      </c>
      <c r="J29" t="s">
        <v>63</v>
      </c>
      <c r="K29">
        <v>85</v>
      </c>
      <c r="L29" t="s">
        <v>104</v>
      </c>
      <c r="M29" s="4">
        <v>45455</v>
      </c>
      <c r="P29" s="2">
        <v>45736</v>
      </c>
      <c r="R29">
        <v>11</v>
      </c>
      <c r="S29" s="4">
        <v>500005</v>
      </c>
      <c r="T29" t="s">
        <v>65</v>
      </c>
      <c r="U29" t="s">
        <v>574</v>
      </c>
      <c r="V29">
        <v>0</v>
      </c>
      <c r="W29" s="4">
        <v>500000</v>
      </c>
      <c r="X29">
        <v>5</v>
      </c>
      <c r="Y29">
        <v>0</v>
      </c>
      <c r="Z29">
        <v>0</v>
      </c>
      <c r="AA29">
        <v>0</v>
      </c>
      <c r="AD29">
        <v>0</v>
      </c>
      <c r="AM29" t="s">
        <v>575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576</v>
      </c>
      <c r="BA29">
        <v>0</v>
      </c>
      <c r="BC29" t="s">
        <v>107</v>
      </c>
      <c r="BF29" t="s">
        <v>577</v>
      </c>
    </row>
    <row r="30" spans="1:58" x14ac:dyDescent="0.35">
      <c r="A30" t="s">
        <v>4188</v>
      </c>
      <c r="B30">
        <v>10000</v>
      </c>
      <c r="C30">
        <v>20000</v>
      </c>
      <c r="D30" s="2">
        <v>45741</v>
      </c>
      <c r="E30" t="s">
        <v>61</v>
      </c>
      <c r="F30" t="s">
        <v>1345</v>
      </c>
      <c r="G30" t="s">
        <v>4156</v>
      </c>
      <c r="I30">
        <v>2</v>
      </c>
      <c r="J30" t="s">
        <v>63</v>
      </c>
      <c r="K30">
        <v>77</v>
      </c>
      <c r="L30" t="s">
        <v>127</v>
      </c>
      <c r="M30" s="4">
        <v>1250</v>
      </c>
      <c r="P30" s="2">
        <v>45736</v>
      </c>
      <c r="R30">
        <v>88</v>
      </c>
      <c r="S30" s="4">
        <v>110000</v>
      </c>
      <c r="T30" t="s">
        <v>65</v>
      </c>
      <c r="U30" t="s">
        <v>4189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4190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4191</v>
      </c>
      <c r="BA30">
        <v>0</v>
      </c>
      <c r="BC30" t="s">
        <v>107</v>
      </c>
      <c r="BF30" t="s">
        <v>4192</v>
      </c>
    </row>
    <row r="31" spans="1:58" x14ac:dyDescent="0.35">
      <c r="A31" t="s">
        <v>4193</v>
      </c>
      <c r="B31">
        <v>10000</v>
      </c>
      <c r="C31">
        <v>20000</v>
      </c>
      <c r="D31" s="2">
        <v>45741</v>
      </c>
      <c r="E31" t="s">
        <v>61</v>
      </c>
      <c r="F31" t="s">
        <v>4194</v>
      </c>
      <c r="G31" t="s">
        <v>4156</v>
      </c>
      <c r="I31">
        <v>2</v>
      </c>
      <c r="J31" t="s">
        <v>63</v>
      </c>
      <c r="K31">
        <v>77</v>
      </c>
      <c r="L31" t="s">
        <v>127</v>
      </c>
      <c r="M31" s="4">
        <v>1250</v>
      </c>
      <c r="P31" s="2">
        <v>45736</v>
      </c>
      <c r="R31">
        <v>88</v>
      </c>
      <c r="S31" s="4">
        <v>110000</v>
      </c>
      <c r="T31" t="s">
        <v>65</v>
      </c>
      <c r="U31" t="s">
        <v>814</v>
      </c>
      <c r="V31">
        <v>0</v>
      </c>
      <c r="W31" s="4">
        <v>100000</v>
      </c>
      <c r="X31" s="4">
        <v>10000</v>
      </c>
      <c r="Y31">
        <v>0</v>
      </c>
      <c r="Z31">
        <v>0</v>
      </c>
      <c r="AA31">
        <v>0</v>
      </c>
      <c r="AD31">
        <v>0</v>
      </c>
      <c r="AM31" t="s">
        <v>815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4195</v>
      </c>
      <c r="BA31">
        <v>0</v>
      </c>
      <c r="BC31" t="s">
        <v>107</v>
      </c>
      <c r="BF31" t="s">
        <v>4196</v>
      </c>
    </row>
    <row r="32" spans="1:58" x14ac:dyDescent="0.35">
      <c r="A32" t="s">
        <v>4565</v>
      </c>
      <c r="B32">
        <v>10000</v>
      </c>
      <c r="C32">
        <v>10000</v>
      </c>
      <c r="D32" s="2">
        <v>45736</v>
      </c>
      <c r="E32" t="s">
        <v>61</v>
      </c>
      <c r="F32" t="s">
        <v>4566</v>
      </c>
      <c r="G32" t="s">
        <v>418</v>
      </c>
      <c r="I32">
        <v>1</v>
      </c>
      <c r="J32" t="s">
        <v>63</v>
      </c>
      <c r="K32">
        <v>59</v>
      </c>
      <c r="L32" t="s">
        <v>745</v>
      </c>
      <c r="M32">
        <v>900</v>
      </c>
      <c r="P32" s="2">
        <v>45736</v>
      </c>
      <c r="R32">
        <v>10</v>
      </c>
      <c r="S32" s="4">
        <v>9000</v>
      </c>
      <c r="T32" t="s">
        <v>65</v>
      </c>
      <c r="U32">
        <v>200302680001</v>
      </c>
      <c r="V32">
        <v>0</v>
      </c>
      <c r="W32" s="4">
        <v>9000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20030268</v>
      </c>
      <c r="AN32" t="s">
        <v>182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4567</v>
      </c>
      <c r="BA32">
        <v>0</v>
      </c>
      <c r="BC32" t="s">
        <v>182</v>
      </c>
      <c r="BF32" t="s">
        <v>4568</v>
      </c>
    </row>
    <row r="33" spans="1:58" x14ac:dyDescent="0.35">
      <c r="A33" t="s">
        <v>4565</v>
      </c>
      <c r="B33">
        <v>20000</v>
      </c>
      <c r="C33">
        <v>10000</v>
      </c>
      <c r="D33" s="2">
        <v>45736</v>
      </c>
      <c r="E33" t="s">
        <v>61</v>
      </c>
      <c r="F33" t="s">
        <v>4566</v>
      </c>
      <c r="G33" t="s">
        <v>418</v>
      </c>
      <c r="I33">
        <v>1</v>
      </c>
      <c r="J33" t="s">
        <v>63</v>
      </c>
      <c r="K33">
        <v>59</v>
      </c>
      <c r="L33" t="s">
        <v>745</v>
      </c>
      <c r="M33">
        <v>900</v>
      </c>
      <c r="P33" s="2">
        <v>45736</v>
      </c>
      <c r="R33">
        <v>10</v>
      </c>
      <c r="S33" s="4">
        <v>9000</v>
      </c>
      <c r="T33" t="s">
        <v>65</v>
      </c>
      <c r="U33">
        <v>200302680001</v>
      </c>
      <c r="V33">
        <v>0</v>
      </c>
      <c r="W33" s="4">
        <v>9000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20030268</v>
      </c>
      <c r="AN33" t="s">
        <v>182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4567</v>
      </c>
      <c r="BA33">
        <v>0</v>
      </c>
      <c r="BC33" t="s">
        <v>182</v>
      </c>
      <c r="BF33" t="s">
        <v>4568</v>
      </c>
    </row>
    <row r="34" spans="1:58" x14ac:dyDescent="0.35">
      <c r="A34" t="s">
        <v>4209</v>
      </c>
      <c r="B34">
        <v>10000</v>
      </c>
      <c r="C34">
        <v>20000</v>
      </c>
      <c r="D34" s="2">
        <v>45736</v>
      </c>
      <c r="E34" t="s">
        <v>61</v>
      </c>
      <c r="F34" t="s">
        <v>4210</v>
      </c>
      <c r="G34" t="s">
        <v>4211</v>
      </c>
      <c r="I34">
        <v>2</v>
      </c>
      <c r="J34" t="s">
        <v>63</v>
      </c>
      <c r="K34">
        <v>86</v>
      </c>
      <c r="L34" t="s">
        <v>64</v>
      </c>
      <c r="M34" s="4">
        <v>2700</v>
      </c>
      <c r="P34" s="2">
        <v>45736</v>
      </c>
      <c r="R34">
        <v>1</v>
      </c>
      <c r="S34" s="4">
        <v>2700</v>
      </c>
      <c r="T34" t="s">
        <v>65</v>
      </c>
      <c r="U34" t="s">
        <v>4212</v>
      </c>
      <c r="V34">
        <v>0</v>
      </c>
      <c r="W34" s="4">
        <v>1000</v>
      </c>
      <c r="X34" s="4">
        <v>1700</v>
      </c>
      <c r="Y34">
        <v>0</v>
      </c>
      <c r="Z34">
        <v>0</v>
      </c>
      <c r="AA34">
        <v>0</v>
      </c>
      <c r="AD34">
        <v>0</v>
      </c>
      <c r="AM34" t="s">
        <v>4213</v>
      </c>
      <c r="AN34" t="s">
        <v>3168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4214</v>
      </c>
      <c r="BA34">
        <v>0</v>
      </c>
      <c r="BC34" t="s">
        <v>3168</v>
      </c>
      <c r="BF34" t="s">
        <v>4215</v>
      </c>
    </row>
    <row r="35" spans="1:58" x14ac:dyDescent="0.35">
      <c r="A35" t="s">
        <v>3164</v>
      </c>
      <c r="B35">
        <v>10000</v>
      </c>
      <c r="C35">
        <v>50000</v>
      </c>
      <c r="D35" s="2">
        <v>45736</v>
      </c>
      <c r="E35" t="s">
        <v>61</v>
      </c>
      <c r="F35" t="s">
        <v>4216</v>
      </c>
      <c r="G35">
        <v>860908144578</v>
      </c>
      <c r="I35">
        <v>2</v>
      </c>
      <c r="J35" t="s">
        <v>63</v>
      </c>
      <c r="K35">
        <v>86</v>
      </c>
      <c r="L35" t="s">
        <v>64</v>
      </c>
      <c r="M35" s="4">
        <v>3000</v>
      </c>
      <c r="P35" s="2">
        <v>45736</v>
      </c>
      <c r="R35">
        <v>1</v>
      </c>
      <c r="S35" s="4">
        <v>3000</v>
      </c>
      <c r="T35" t="s">
        <v>65</v>
      </c>
      <c r="U35" t="s">
        <v>3166</v>
      </c>
      <c r="V35">
        <v>0</v>
      </c>
      <c r="W35" s="4">
        <v>2432</v>
      </c>
      <c r="X35">
        <v>568</v>
      </c>
      <c r="Y35">
        <v>0</v>
      </c>
      <c r="Z35">
        <v>0</v>
      </c>
      <c r="AA35">
        <v>0</v>
      </c>
      <c r="AD35">
        <v>0</v>
      </c>
      <c r="AM35" t="s">
        <v>3167</v>
      </c>
      <c r="AN35" t="s">
        <v>3168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3169</v>
      </c>
      <c r="BA35">
        <v>0</v>
      </c>
      <c r="BC35" t="s">
        <v>3168</v>
      </c>
      <c r="BF35" t="s">
        <v>3170</v>
      </c>
    </row>
    <row r="36" spans="1:58" x14ac:dyDescent="0.35">
      <c r="A36" t="s">
        <v>4217</v>
      </c>
      <c r="B36">
        <v>10000</v>
      </c>
      <c r="C36">
        <v>30000</v>
      </c>
      <c r="D36" s="2">
        <v>45744</v>
      </c>
      <c r="E36" t="s">
        <v>61</v>
      </c>
      <c r="F36" t="s">
        <v>310</v>
      </c>
      <c r="G36" t="s">
        <v>4218</v>
      </c>
      <c r="I36">
        <v>2</v>
      </c>
      <c r="J36" t="s">
        <v>63</v>
      </c>
      <c r="K36">
        <v>77</v>
      </c>
      <c r="L36" t="s">
        <v>127</v>
      </c>
      <c r="M36" s="4">
        <v>1250</v>
      </c>
      <c r="P36" s="2">
        <v>45736</v>
      </c>
      <c r="R36">
        <v>88</v>
      </c>
      <c r="S36" s="4">
        <v>110000</v>
      </c>
      <c r="T36" t="s">
        <v>65</v>
      </c>
      <c r="U36" t="s">
        <v>1218</v>
      </c>
      <c r="V36">
        <v>0</v>
      </c>
      <c r="W36" s="4">
        <v>100000</v>
      </c>
      <c r="X36" s="4">
        <v>10000</v>
      </c>
      <c r="Y36">
        <v>0</v>
      </c>
      <c r="Z36">
        <v>0</v>
      </c>
      <c r="AA36">
        <v>0</v>
      </c>
      <c r="AD36">
        <v>0</v>
      </c>
      <c r="AM36" t="s">
        <v>1219</v>
      </c>
      <c r="AN36" t="s">
        <v>107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4219</v>
      </c>
      <c r="BA36">
        <v>0</v>
      </c>
      <c r="BC36" t="s">
        <v>107</v>
      </c>
      <c r="BF36" t="s">
        <v>4220</v>
      </c>
    </row>
    <row r="37" spans="1:58" x14ac:dyDescent="0.35">
      <c r="A37" t="s">
        <v>4228</v>
      </c>
      <c r="B37">
        <v>10000</v>
      </c>
      <c r="C37">
        <v>20000</v>
      </c>
      <c r="D37" s="2">
        <v>45741</v>
      </c>
      <c r="E37" t="s">
        <v>61</v>
      </c>
      <c r="F37" t="s">
        <v>4229</v>
      </c>
      <c r="G37" t="s">
        <v>4156</v>
      </c>
      <c r="I37">
        <v>2</v>
      </c>
      <c r="J37" t="s">
        <v>63</v>
      </c>
      <c r="K37">
        <v>77</v>
      </c>
      <c r="L37" t="s">
        <v>127</v>
      </c>
      <c r="M37" s="4">
        <v>1250</v>
      </c>
      <c r="P37" s="2">
        <v>45736</v>
      </c>
      <c r="R37">
        <v>88</v>
      </c>
      <c r="S37" s="4">
        <v>110000</v>
      </c>
      <c r="T37" t="s">
        <v>65</v>
      </c>
      <c r="U37" t="s">
        <v>820</v>
      </c>
      <c r="V37">
        <v>0</v>
      </c>
      <c r="W37" s="4">
        <v>100000</v>
      </c>
      <c r="X37" s="4">
        <v>10000</v>
      </c>
      <c r="Y37">
        <v>0</v>
      </c>
      <c r="Z37">
        <v>0</v>
      </c>
      <c r="AA37">
        <v>0</v>
      </c>
      <c r="AD37">
        <v>0</v>
      </c>
      <c r="AM37" t="s">
        <v>821</v>
      </c>
      <c r="AN37" t="s">
        <v>107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4230</v>
      </c>
      <c r="BA37">
        <v>0</v>
      </c>
      <c r="BC37" t="s">
        <v>107</v>
      </c>
      <c r="BF37" t="s">
        <v>4231</v>
      </c>
    </row>
    <row r="38" spans="1:58" x14ac:dyDescent="0.35">
      <c r="A38" t="s">
        <v>4569</v>
      </c>
      <c r="B38">
        <v>10000</v>
      </c>
      <c r="C38">
        <v>10000</v>
      </c>
      <c r="D38" s="2">
        <v>45737</v>
      </c>
      <c r="E38" t="s">
        <v>61</v>
      </c>
      <c r="F38" t="s">
        <v>4244</v>
      </c>
      <c r="G38" t="s">
        <v>4245</v>
      </c>
      <c r="I38">
        <v>1</v>
      </c>
      <c r="J38" t="s">
        <v>63</v>
      </c>
      <c r="K38">
        <v>63</v>
      </c>
      <c r="L38" t="s">
        <v>519</v>
      </c>
      <c r="M38" s="4">
        <v>10000</v>
      </c>
      <c r="P38" s="2">
        <v>45736</v>
      </c>
      <c r="R38">
        <v>60</v>
      </c>
      <c r="S38" s="4">
        <v>600000</v>
      </c>
      <c r="T38" t="s">
        <v>65</v>
      </c>
      <c r="U38" t="s">
        <v>587</v>
      </c>
      <c r="V38">
        <v>0</v>
      </c>
      <c r="W38" s="4">
        <v>600000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588</v>
      </c>
      <c r="AN38" t="s">
        <v>175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4570</v>
      </c>
      <c r="BA38">
        <v>0</v>
      </c>
      <c r="BC38" t="s">
        <v>175</v>
      </c>
      <c r="BF38" t="s">
        <v>4571</v>
      </c>
    </row>
    <row r="39" spans="1:58" x14ac:dyDescent="0.35">
      <c r="A39" t="s">
        <v>4572</v>
      </c>
      <c r="B39">
        <v>10000</v>
      </c>
      <c r="C39">
        <v>10000</v>
      </c>
      <c r="D39" s="2">
        <v>45737</v>
      </c>
      <c r="E39" t="s">
        <v>61</v>
      </c>
      <c r="F39" t="s">
        <v>4244</v>
      </c>
      <c r="G39" t="s">
        <v>4245</v>
      </c>
      <c r="I39">
        <v>1</v>
      </c>
      <c r="J39" t="s">
        <v>63</v>
      </c>
      <c r="K39">
        <v>63</v>
      </c>
      <c r="L39" t="s">
        <v>519</v>
      </c>
      <c r="M39" s="4">
        <v>10000</v>
      </c>
      <c r="P39" s="2">
        <v>45736</v>
      </c>
      <c r="R39">
        <v>60</v>
      </c>
      <c r="S39" s="4">
        <v>600000</v>
      </c>
      <c r="T39" t="s">
        <v>65</v>
      </c>
      <c r="U39" t="s">
        <v>587</v>
      </c>
      <c r="V39">
        <v>0</v>
      </c>
      <c r="W39" s="4">
        <v>600000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588</v>
      </c>
      <c r="AN39" t="s">
        <v>175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4573</v>
      </c>
      <c r="BA39">
        <v>0</v>
      </c>
      <c r="BC39" t="s">
        <v>175</v>
      </c>
      <c r="BF39" t="s">
        <v>4574</v>
      </c>
    </row>
    <row r="40" spans="1:58" x14ac:dyDescent="0.35">
      <c r="A40" t="s">
        <v>4575</v>
      </c>
      <c r="B40">
        <v>10000</v>
      </c>
      <c r="C40">
        <v>10000</v>
      </c>
      <c r="D40" s="2">
        <v>45740</v>
      </c>
      <c r="E40" t="s">
        <v>61</v>
      </c>
      <c r="F40" t="s">
        <v>4576</v>
      </c>
      <c r="G40" t="s">
        <v>4245</v>
      </c>
      <c r="I40">
        <v>1</v>
      </c>
      <c r="J40" t="s">
        <v>63</v>
      </c>
      <c r="K40">
        <v>63</v>
      </c>
      <c r="L40" t="s">
        <v>519</v>
      </c>
      <c r="M40" s="4">
        <v>10000</v>
      </c>
      <c r="P40" s="2">
        <v>45736</v>
      </c>
      <c r="R40">
        <v>60</v>
      </c>
      <c r="S40" s="4">
        <v>600000</v>
      </c>
      <c r="T40" t="s">
        <v>65</v>
      </c>
      <c r="U40" t="s">
        <v>587</v>
      </c>
      <c r="V40">
        <v>0</v>
      </c>
      <c r="W40" s="4">
        <v>600000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588</v>
      </c>
      <c r="AN40" t="s">
        <v>175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4577</v>
      </c>
      <c r="BA40">
        <v>0</v>
      </c>
      <c r="BC40" t="s">
        <v>175</v>
      </c>
      <c r="BF40" t="s">
        <v>4578</v>
      </c>
    </row>
    <row r="41" spans="1:58" x14ac:dyDescent="0.35">
      <c r="A41" t="s">
        <v>2971</v>
      </c>
      <c r="B41">
        <v>10000</v>
      </c>
      <c r="C41">
        <v>20000</v>
      </c>
      <c r="D41" s="2">
        <v>45736</v>
      </c>
      <c r="E41" t="s">
        <v>61</v>
      </c>
      <c r="F41" t="s">
        <v>2972</v>
      </c>
      <c r="G41" t="s">
        <v>2973</v>
      </c>
      <c r="I41">
        <v>2</v>
      </c>
      <c r="J41" t="s">
        <v>63</v>
      </c>
      <c r="K41">
        <v>105</v>
      </c>
      <c r="L41" t="s">
        <v>424</v>
      </c>
      <c r="M41" s="4">
        <v>10500</v>
      </c>
      <c r="P41" s="2">
        <v>45736</v>
      </c>
      <c r="R41">
        <v>1</v>
      </c>
      <c r="S41" s="4">
        <v>10500</v>
      </c>
      <c r="T41" t="s">
        <v>65</v>
      </c>
      <c r="U41" t="s">
        <v>2974</v>
      </c>
      <c r="V41">
        <v>0</v>
      </c>
      <c r="W41" s="4">
        <v>10000</v>
      </c>
      <c r="X41">
        <v>500</v>
      </c>
      <c r="Y41">
        <v>0</v>
      </c>
      <c r="Z41">
        <v>0</v>
      </c>
      <c r="AA41">
        <v>0</v>
      </c>
      <c r="AD41">
        <v>0</v>
      </c>
      <c r="AM41" t="s">
        <v>2975</v>
      </c>
      <c r="AN41" t="s">
        <v>2976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2977</v>
      </c>
      <c r="BA41">
        <v>0</v>
      </c>
      <c r="BC41" t="s">
        <v>2976</v>
      </c>
      <c r="BF41" t="s">
        <v>2978</v>
      </c>
    </row>
    <row r="42" spans="1:58" x14ac:dyDescent="0.35">
      <c r="A42" t="s">
        <v>4579</v>
      </c>
      <c r="B42">
        <v>10000</v>
      </c>
      <c r="C42">
        <v>10000</v>
      </c>
      <c r="D42" s="2">
        <v>45737</v>
      </c>
      <c r="E42" t="s">
        <v>61</v>
      </c>
      <c r="F42" t="s">
        <v>4580</v>
      </c>
      <c r="G42" t="s">
        <v>3767</v>
      </c>
      <c r="I42">
        <v>1</v>
      </c>
      <c r="J42" t="s">
        <v>63</v>
      </c>
      <c r="K42">
        <v>46</v>
      </c>
      <c r="L42" t="s">
        <v>113</v>
      </c>
      <c r="M42" s="4">
        <v>2000</v>
      </c>
      <c r="P42" s="2">
        <v>45736</v>
      </c>
      <c r="R42">
        <v>1</v>
      </c>
      <c r="S42" s="4">
        <v>2000</v>
      </c>
      <c r="T42" t="s">
        <v>65</v>
      </c>
      <c r="U42" t="s">
        <v>4581</v>
      </c>
      <c r="V42">
        <v>0</v>
      </c>
      <c r="W42" s="4">
        <v>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4582</v>
      </c>
      <c r="AN42" t="s">
        <v>116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4583</v>
      </c>
      <c r="BA42">
        <v>0</v>
      </c>
      <c r="BC42" t="s">
        <v>116</v>
      </c>
      <c r="BF42" t="s">
        <v>3004</v>
      </c>
    </row>
    <row r="43" spans="1:58" x14ac:dyDescent="0.35">
      <c r="A43" t="s">
        <v>4584</v>
      </c>
      <c r="B43">
        <v>10000</v>
      </c>
      <c r="C43">
        <v>10000</v>
      </c>
      <c r="D43" s="2">
        <v>45736</v>
      </c>
      <c r="E43" t="s">
        <v>61</v>
      </c>
      <c r="F43" t="s">
        <v>4296</v>
      </c>
      <c r="G43" t="s">
        <v>3767</v>
      </c>
      <c r="I43">
        <v>1</v>
      </c>
      <c r="J43" t="s">
        <v>63</v>
      </c>
      <c r="K43">
        <v>46</v>
      </c>
      <c r="L43" t="s">
        <v>113</v>
      </c>
      <c r="M43" s="4">
        <v>4000</v>
      </c>
      <c r="P43" s="2">
        <v>45736</v>
      </c>
      <c r="R43">
        <v>1</v>
      </c>
      <c r="S43" s="4">
        <v>4000</v>
      </c>
      <c r="T43" t="s">
        <v>65</v>
      </c>
      <c r="U43" t="s">
        <v>4254</v>
      </c>
      <c r="V43">
        <v>0</v>
      </c>
      <c r="W43" s="4">
        <v>4000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4255</v>
      </c>
      <c r="AN43" t="s">
        <v>116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4585</v>
      </c>
      <c r="BA43">
        <v>0</v>
      </c>
      <c r="BC43" t="s">
        <v>116</v>
      </c>
      <c r="BF43" t="s">
        <v>4586</v>
      </c>
    </row>
    <row r="44" spans="1:58" x14ac:dyDescent="0.35">
      <c r="A44" t="s">
        <v>4587</v>
      </c>
      <c r="B44">
        <v>10000</v>
      </c>
      <c r="C44">
        <v>10000</v>
      </c>
      <c r="D44" s="2">
        <v>45736</v>
      </c>
      <c r="E44" t="s">
        <v>61</v>
      </c>
      <c r="F44" t="s">
        <v>4588</v>
      </c>
      <c r="G44" t="s">
        <v>3184</v>
      </c>
      <c r="I44">
        <v>1</v>
      </c>
      <c r="J44" t="s">
        <v>63</v>
      </c>
      <c r="K44">
        <v>61</v>
      </c>
      <c r="L44" t="s">
        <v>216</v>
      </c>
      <c r="M44">
        <v>150</v>
      </c>
      <c r="P44" s="2">
        <v>45736</v>
      </c>
      <c r="R44">
        <v>1</v>
      </c>
      <c r="S44">
        <v>150</v>
      </c>
      <c r="T44" t="s">
        <v>65</v>
      </c>
      <c r="U44">
        <v>107324240001</v>
      </c>
      <c r="V44">
        <v>0</v>
      </c>
      <c r="W44">
        <v>150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10732424</v>
      </c>
      <c r="AN44" t="s">
        <v>487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4589</v>
      </c>
      <c r="BA44">
        <v>0</v>
      </c>
      <c r="BC44" t="s">
        <v>487</v>
      </c>
      <c r="BF44" t="s">
        <v>4590</v>
      </c>
    </row>
    <row r="45" spans="1:58" x14ac:dyDescent="0.35">
      <c r="A45" t="s">
        <v>4591</v>
      </c>
      <c r="B45">
        <v>10000</v>
      </c>
      <c r="C45">
        <v>10000</v>
      </c>
      <c r="D45" s="2">
        <v>45737</v>
      </c>
      <c r="E45" t="s">
        <v>61</v>
      </c>
      <c r="F45" t="s">
        <v>4592</v>
      </c>
      <c r="G45" t="s">
        <v>4284</v>
      </c>
      <c r="I45">
        <v>1</v>
      </c>
      <c r="J45" t="s">
        <v>63</v>
      </c>
      <c r="K45">
        <v>32</v>
      </c>
      <c r="L45" t="s">
        <v>553</v>
      </c>
      <c r="M45" s="4">
        <v>5860</v>
      </c>
      <c r="P45" s="2">
        <v>45736</v>
      </c>
      <c r="R45">
        <v>1</v>
      </c>
      <c r="S45" s="4">
        <v>5860</v>
      </c>
      <c r="T45" t="s">
        <v>65</v>
      </c>
      <c r="U45" t="s">
        <v>2059</v>
      </c>
      <c r="V45">
        <v>0</v>
      </c>
      <c r="W45" s="4">
        <v>5360</v>
      </c>
      <c r="X45">
        <v>500</v>
      </c>
      <c r="Y45">
        <v>0</v>
      </c>
      <c r="Z45">
        <v>0</v>
      </c>
      <c r="AA45">
        <v>0</v>
      </c>
      <c r="AD45">
        <v>0</v>
      </c>
      <c r="AM45" t="s">
        <v>2060</v>
      </c>
      <c r="AN45" t="s">
        <v>116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4593</v>
      </c>
      <c r="BA45">
        <v>0</v>
      </c>
      <c r="BC45" t="s">
        <v>116</v>
      </c>
      <c r="BF45" t="s">
        <v>3994</v>
      </c>
    </row>
    <row r="46" spans="1:58" x14ac:dyDescent="0.35">
      <c r="A46" t="s">
        <v>4594</v>
      </c>
      <c r="B46">
        <v>10000</v>
      </c>
      <c r="C46">
        <v>10000</v>
      </c>
      <c r="D46" s="2">
        <v>45737</v>
      </c>
      <c r="E46" t="s">
        <v>61</v>
      </c>
      <c r="F46" t="s">
        <v>4592</v>
      </c>
      <c r="G46" t="s">
        <v>4284</v>
      </c>
      <c r="I46">
        <v>1</v>
      </c>
      <c r="J46" t="s">
        <v>63</v>
      </c>
      <c r="K46">
        <v>32</v>
      </c>
      <c r="L46" t="s">
        <v>553</v>
      </c>
      <c r="M46" s="4">
        <v>5860</v>
      </c>
      <c r="P46" s="2">
        <v>45736</v>
      </c>
      <c r="R46">
        <v>1</v>
      </c>
      <c r="S46" s="4">
        <v>5860</v>
      </c>
      <c r="T46" t="s">
        <v>65</v>
      </c>
      <c r="U46" t="s">
        <v>2059</v>
      </c>
      <c r="V46">
        <v>0</v>
      </c>
      <c r="W46" s="4">
        <v>5360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2060</v>
      </c>
      <c r="AN46" t="s">
        <v>116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4595</v>
      </c>
      <c r="BA46">
        <v>0</v>
      </c>
      <c r="BC46" t="s">
        <v>116</v>
      </c>
      <c r="BF46" t="s">
        <v>3998</v>
      </c>
    </row>
    <row r="47" spans="1:58" x14ac:dyDescent="0.35">
      <c r="A47" t="s">
        <v>4596</v>
      </c>
      <c r="B47">
        <v>10000</v>
      </c>
      <c r="C47">
        <v>10000</v>
      </c>
      <c r="D47" s="2">
        <v>45737</v>
      </c>
      <c r="E47" t="s">
        <v>61</v>
      </c>
      <c r="F47" t="s">
        <v>4263</v>
      </c>
      <c r="G47" t="s">
        <v>4009</v>
      </c>
      <c r="I47">
        <v>1</v>
      </c>
      <c r="J47" t="s">
        <v>63</v>
      </c>
      <c r="K47">
        <v>22</v>
      </c>
      <c r="L47" t="s">
        <v>466</v>
      </c>
      <c r="M47" s="4">
        <v>7000</v>
      </c>
      <c r="P47" s="2">
        <v>45736</v>
      </c>
      <c r="R47">
        <v>2</v>
      </c>
      <c r="S47" s="4">
        <v>14000</v>
      </c>
      <c r="T47" t="s">
        <v>65</v>
      </c>
      <c r="U47" t="s">
        <v>4597</v>
      </c>
      <c r="V47">
        <v>0</v>
      </c>
      <c r="W47" s="4">
        <v>14000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4598</v>
      </c>
      <c r="AN47" t="s">
        <v>116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4599</v>
      </c>
      <c r="BA47">
        <v>0</v>
      </c>
      <c r="BC47" t="s">
        <v>116</v>
      </c>
      <c r="BF47" t="s">
        <v>3073</v>
      </c>
    </row>
    <row r="48" spans="1:58" x14ac:dyDescent="0.35">
      <c r="A48" t="s">
        <v>4600</v>
      </c>
      <c r="B48">
        <v>10000</v>
      </c>
      <c r="C48">
        <v>10000</v>
      </c>
      <c r="D48" s="2">
        <v>45736</v>
      </c>
      <c r="E48" t="s">
        <v>61</v>
      </c>
      <c r="F48" t="s">
        <v>4292</v>
      </c>
      <c r="G48" t="s">
        <v>4293</v>
      </c>
      <c r="I48">
        <v>1</v>
      </c>
      <c r="J48" t="s">
        <v>63</v>
      </c>
      <c r="K48">
        <v>61</v>
      </c>
      <c r="L48" t="s">
        <v>197</v>
      </c>
      <c r="M48" s="4">
        <v>5667</v>
      </c>
      <c r="P48" s="2">
        <v>45736</v>
      </c>
      <c r="R48">
        <v>6</v>
      </c>
      <c r="S48" s="4">
        <v>34002</v>
      </c>
      <c r="T48" t="s">
        <v>65</v>
      </c>
      <c r="U48" t="s">
        <v>1903</v>
      </c>
      <c r="V48">
        <v>0</v>
      </c>
      <c r="W48" s="4">
        <v>34000</v>
      </c>
      <c r="X48">
        <v>2</v>
      </c>
      <c r="Y48">
        <v>0</v>
      </c>
      <c r="Z48">
        <v>0</v>
      </c>
      <c r="AA48">
        <v>0</v>
      </c>
      <c r="AD48">
        <v>0</v>
      </c>
      <c r="AM48" t="s">
        <v>1904</v>
      </c>
      <c r="AN48" t="s">
        <v>116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4601</v>
      </c>
      <c r="BA48">
        <v>0</v>
      </c>
      <c r="BC48" t="s">
        <v>116</v>
      </c>
      <c r="BF48" t="s">
        <v>3323</v>
      </c>
    </row>
    <row r="49" spans="1:58" x14ac:dyDescent="0.35">
      <c r="A49" t="s">
        <v>4602</v>
      </c>
      <c r="B49">
        <v>10000</v>
      </c>
      <c r="C49">
        <v>10000</v>
      </c>
      <c r="D49" s="2">
        <v>45737</v>
      </c>
      <c r="E49" t="s">
        <v>61</v>
      </c>
      <c r="F49" t="s">
        <v>4580</v>
      </c>
      <c r="G49" t="s">
        <v>4293</v>
      </c>
      <c r="I49">
        <v>1</v>
      </c>
      <c r="J49" t="s">
        <v>63</v>
      </c>
      <c r="K49">
        <v>61</v>
      </c>
      <c r="L49" t="s">
        <v>197</v>
      </c>
      <c r="M49" s="4">
        <v>4334</v>
      </c>
      <c r="P49" s="2">
        <v>45736</v>
      </c>
      <c r="R49">
        <v>6</v>
      </c>
      <c r="S49" s="4">
        <v>26004</v>
      </c>
      <c r="T49" t="s">
        <v>65</v>
      </c>
      <c r="U49" t="s">
        <v>2413</v>
      </c>
      <c r="V49">
        <v>0</v>
      </c>
      <c r="W49" s="4">
        <v>26000</v>
      </c>
      <c r="X49">
        <v>4</v>
      </c>
      <c r="Y49">
        <v>0</v>
      </c>
      <c r="Z49">
        <v>0</v>
      </c>
      <c r="AA49">
        <v>0</v>
      </c>
      <c r="AD49">
        <v>0</v>
      </c>
      <c r="AM49" t="s">
        <v>2414</v>
      </c>
      <c r="AN49" t="s">
        <v>116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4603</v>
      </c>
      <c r="BA49">
        <v>0</v>
      </c>
      <c r="BC49" t="s">
        <v>116</v>
      </c>
      <c r="BF49" t="s">
        <v>3532</v>
      </c>
    </row>
    <row r="50" spans="1:58" x14ac:dyDescent="0.35">
      <c r="A50" t="s">
        <v>4604</v>
      </c>
      <c r="B50">
        <v>10000</v>
      </c>
      <c r="C50">
        <v>10000</v>
      </c>
      <c r="D50" s="2">
        <v>45736</v>
      </c>
      <c r="E50" t="s">
        <v>61</v>
      </c>
      <c r="F50" t="s">
        <v>4296</v>
      </c>
      <c r="G50" t="s">
        <v>4009</v>
      </c>
      <c r="I50">
        <v>1</v>
      </c>
      <c r="J50" t="s">
        <v>63</v>
      </c>
      <c r="K50">
        <v>22</v>
      </c>
      <c r="L50" t="s">
        <v>466</v>
      </c>
      <c r="M50" s="4">
        <v>8500</v>
      </c>
      <c r="P50" s="2">
        <v>45736</v>
      </c>
      <c r="R50">
        <v>2</v>
      </c>
      <c r="S50" s="4">
        <v>17000</v>
      </c>
      <c r="T50" t="s">
        <v>65</v>
      </c>
      <c r="U50" t="s">
        <v>2902</v>
      </c>
      <c r="V50">
        <v>0</v>
      </c>
      <c r="W50" s="4">
        <v>17000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2903</v>
      </c>
      <c r="AN50" t="s">
        <v>116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4605</v>
      </c>
      <c r="BA50">
        <v>0</v>
      </c>
      <c r="BC50" t="s">
        <v>116</v>
      </c>
      <c r="BF50" t="s">
        <v>3823</v>
      </c>
    </row>
    <row r="51" spans="1:58" x14ac:dyDescent="0.35">
      <c r="A51" t="s">
        <v>4305</v>
      </c>
      <c r="B51">
        <v>10000</v>
      </c>
      <c r="C51">
        <v>20000</v>
      </c>
      <c r="D51" s="2">
        <v>45744</v>
      </c>
      <c r="E51" t="s">
        <v>61</v>
      </c>
      <c r="F51" t="s">
        <v>4306</v>
      </c>
      <c r="G51" t="s">
        <v>4218</v>
      </c>
      <c r="I51">
        <v>2</v>
      </c>
      <c r="J51" t="s">
        <v>63</v>
      </c>
      <c r="K51">
        <v>77</v>
      </c>
      <c r="L51" t="s">
        <v>127</v>
      </c>
      <c r="M51" s="4">
        <v>1250</v>
      </c>
      <c r="P51" s="2">
        <v>45736</v>
      </c>
      <c r="R51">
        <v>88</v>
      </c>
      <c r="S51" s="4">
        <v>110000</v>
      </c>
      <c r="T51" t="s">
        <v>65</v>
      </c>
      <c r="U51" t="s">
        <v>4307</v>
      </c>
      <c r="V51">
        <v>0</v>
      </c>
      <c r="W51" s="4">
        <v>100000</v>
      </c>
      <c r="X51" s="4">
        <v>10000</v>
      </c>
      <c r="Y51">
        <v>0</v>
      </c>
      <c r="Z51">
        <v>0</v>
      </c>
      <c r="AA51">
        <v>0</v>
      </c>
      <c r="AD51">
        <v>0</v>
      </c>
      <c r="AM51" t="s">
        <v>4308</v>
      </c>
      <c r="AN51" t="s">
        <v>107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4309</v>
      </c>
      <c r="BA51">
        <v>0</v>
      </c>
      <c r="BC51" t="s">
        <v>107</v>
      </c>
      <c r="BF51" t="s">
        <v>4310</v>
      </c>
    </row>
    <row r="52" spans="1:58" x14ac:dyDescent="0.35">
      <c r="A52" t="s">
        <v>4311</v>
      </c>
      <c r="B52">
        <v>10000</v>
      </c>
      <c r="C52">
        <v>20000</v>
      </c>
      <c r="D52" s="2">
        <v>45744</v>
      </c>
      <c r="E52" t="s">
        <v>61</v>
      </c>
      <c r="F52" t="s">
        <v>4312</v>
      </c>
      <c r="G52" t="s">
        <v>4218</v>
      </c>
      <c r="I52">
        <v>2</v>
      </c>
      <c r="J52" t="s">
        <v>63</v>
      </c>
      <c r="K52">
        <v>77</v>
      </c>
      <c r="L52" t="s">
        <v>127</v>
      </c>
      <c r="M52" s="4">
        <v>1250</v>
      </c>
      <c r="P52" s="2">
        <v>45736</v>
      </c>
      <c r="R52">
        <v>88</v>
      </c>
      <c r="S52" s="4">
        <v>110000</v>
      </c>
      <c r="T52" t="s">
        <v>65</v>
      </c>
      <c r="U52" t="s">
        <v>4313</v>
      </c>
      <c r="V52">
        <v>0</v>
      </c>
      <c r="W52" s="4">
        <v>100000</v>
      </c>
      <c r="X52" s="4">
        <v>10000</v>
      </c>
      <c r="Y52">
        <v>0</v>
      </c>
      <c r="Z52">
        <v>0</v>
      </c>
      <c r="AA52">
        <v>0</v>
      </c>
      <c r="AD52">
        <v>0</v>
      </c>
      <c r="AM52" t="s">
        <v>4314</v>
      </c>
      <c r="AN52" t="s">
        <v>107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4315</v>
      </c>
      <c r="BA52">
        <v>0</v>
      </c>
      <c r="BC52" t="s">
        <v>107</v>
      </c>
      <c r="BF52" t="s">
        <v>4316</v>
      </c>
    </row>
    <row r="53" spans="1:58" x14ac:dyDescent="0.35">
      <c r="A53" t="s">
        <v>4317</v>
      </c>
      <c r="B53">
        <v>10000</v>
      </c>
      <c r="C53">
        <v>20000</v>
      </c>
      <c r="D53" s="2">
        <v>45741</v>
      </c>
      <c r="E53" t="s">
        <v>61</v>
      </c>
      <c r="F53" t="s">
        <v>4318</v>
      </c>
      <c r="G53" t="s">
        <v>4156</v>
      </c>
      <c r="I53">
        <v>2</v>
      </c>
      <c r="J53" t="s">
        <v>63</v>
      </c>
      <c r="K53">
        <v>77</v>
      </c>
      <c r="L53" t="s">
        <v>127</v>
      </c>
      <c r="M53" s="4">
        <v>1250</v>
      </c>
      <c r="P53" s="2">
        <v>45736</v>
      </c>
      <c r="R53">
        <v>88</v>
      </c>
      <c r="S53" s="4">
        <v>110000</v>
      </c>
      <c r="T53" t="s">
        <v>65</v>
      </c>
      <c r="U53" t="s">
        <v>574</v>
      </c>
      <c r="V53">
        <v>0</v>
      </c>
      <c r="W53" s="4">
        <v>100000</v>
      </c>
      <c r="X53" s="4">
        <v>10000</v>
      </c>
      <c r="Y53">
        <v>0</v>
      </c>
      <c r="Z53">
        <v>0</v>
      </c>
      <c r="AA53">
        <v>0</v>
      </c>
      <c r="AD53">
        <v>0</v>
      </c>
      <c r="AM53" t="s">
        <v>575</v>
      </c>
      <c r="AN53" t="s">
        <v>107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4319</v>
      </c>
      <c r="BA53">
        <v>0</v>
      </c>
      <c r="BC53" t="s">
        <v>107</v>
      </c>
      <c r="BF53" t="s">
        <v>4320</v>
      </c>
    </row>
    <row r="54" spans="1:58" x14ac:dyDescent="0.35">
      <c r="A54" t="s">
        <v>4321</v>
      </c>
      <c r="B54">
        <v>10000</v>
      </c>
      <c r="C54">
        <v>20000</v>
      </c>
      <c r="D54" s="2">
        <v>45744</v>
      </c>
      <c r="E54" t="s">
        <v>95</v>
      </c>
      <c r="F54" t="s">
        <v>359</v>
      </c>
      <c r="G54" t="s">
        <v>4322</v>
      </c>
      <c r="I54">
        <v>2</v>
      </c>
      <c r="J54" t="s">
        <v>63</v>
      </c>
      <c r="K54">
        <v>77</v>
      </c>
      <c r="L54" t="s">
        <v>127</v>
      </c>
      <c r="M54" s="4">
        <v>2500</v>
      </c>
      <c r="P54" s="2">
        <v>45736</v>
      </c>
      <c r="R54">
        <v>88</v>
      </c>
      <c r="S54" s="4">
        <v>220000</v>
      </c>
      <c r="T54" t="s">
        <v>65</v>
      </c>
      <c r="U54" t="s">
        <v>1224</v>
      </c>
      <c r="V54">
        <v>0</v>
      </c>
      <c r="W54" s="4">
        <v>200000</v>
      </c>
      <c r="X54" s="4">
        <v>20000</v>
      </c>
      <c r="Y54">
        <v>0</v>
      </c>
      <c r="Z54">
        <v>0</v>
      </c>
      <c r="AA54">
        <v>0</v>
      </c>
      <c r="AD54">
        <v>0</v>
      </c>
      <c r="AM54" t="s">
        <v>1225</v>
      </c>
      <c r="AN54" t="s">
        <v>107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4323</v>
      </c>
      <c r="BA54">
        <v>0</v>
      </c>
      <c r="BC54" t="s">
        <v>107</v>
      </c>
      <c r="BF54" t="s">
        <v>4324</v>
      </c>
    </row>
    <row r="55" spans="1:58" x14ac:dyDescent="0.35">
      <c r="A55" t="s">
        <v>4606</v>
      </c>
      <c r="B55">
        <v>10000</v>
      </c>
      <c r="C55">
        <v>10000</v>
      </c>
      <c r="D55" s="2">
        <v>45741</v>
      </c>
      <c r="E55" t="s">
        <v>61</v>
      </c>
      <c r="F55" t="s">
        <v>4607</v>
      </c>
      <c r="G55" t="s">
        <v>4608</v>
      </c>
      <c r="I55">
        <v>1</v>
      </c>
      <c r="J55" t="s">
        <v>63</v>
      </c>
      <c r="K55">
        <v>88</v>
      </c>
      <c r="L55" t="s">
        <v>630</v>
      </c>
      <c r="M55">
        <v>800</v>
      </c>
      <c r="P55" s="2">
        <v>45736</v>
      </c>
      <c r="R55">
        <v>1</v>
      </c>
      <c r="S55">
        <v>800</v>
      </c>
      <c r="T55" t="s">
        <v>65</v>
      </c>
      <c r="U55" t="s">
        <v>4609</v>
      </c>
      <c r="V55">
        <v>0</v>
      </c>
      <c r="W55">
        <v>500</v>
      </c>
      <c r="X55">
        <v>300</v>
      </c>
      <c r="Y55">
        <v>0</v>
      </c>
      <c r="Z55">
        <v>0</v>
      </c>
      <c r="AA55">
        <v>0</v>
      </c>
      <c r="AD55">
        <v>0</v>
      </c>
      <c r="AM55" t="s">
        <v>4610</v>
      </c>
      <c r="AN55" t="s">
        <v>1241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4611</v>
      </c>
      <c r="BA55">
        <v>0</v>
      </c>
      <c r="BC55" t="s">
        <v>1241</v>
      </c>
      <c r="BF55" t="s">
        <v>3555</v>
      </c>
    </row>
    <row r="56" spans="1:58" x14ac:dyDescent="0.35">
      <c r="A56" t="s">
        <v>4612</v>
      </c>
      <c r="B56">
        <v>10000</v>
      </c>
      <c r="C56">
        <v>10000</v>
      </c>
      <c r="D56" s="2">
        <v>45751</v>
      </c>
      <c r="E56" t="s">
        <v>61</v>
      </c>
      <c r="F56" t="s">
        <v>4613</v>
      </c>
      <c r="G56">
        <v>10620258046</v>
      </c>
      <c r="I56">
        <v>1</v>
      </c>
      <c r="J56" t="s">
        <v>63</v>
      </c>
      <c r="K56">
        <v>79</v>
      </c>
      <c r="L56" t="s">
        <v>573</v>
      </c>
      <c r="M56">
        <v>384</v>
      </c>
      <c r="P56" s="2">
        <v>45736</v>
      </c>
      <c r="R56">
        <v>308</v>
      </c>
      <c r="S56" s="4">
        <v>118272</v>
      </c>
      <c r="T56" t="s">
        <v>65</v>
      </c>
      <c r="U56" t="s">
        <v>4614</v>
      </c>
      <c r="V56">
        <v>0</v>
      </c>
      <c r="W56" s="4">
        <v>100000</v>
      </c>
      <c r="X56" s="4">
        <v>18272</v>
      </c>
      <c r="Y56">
        <v>0</v>
      </c>
      <c r="Z56">
        <v>0</v>
      </c>
      <c r="AA56">
        <v>0</v>
      </c>
      <c r="AD56">
        <v>0</v>
      </c>
      <c r="AM56" t="s">
        <v>4615</v>
      </c>
      <c r="AN56" t="s">
        <v>107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4616</v>
      </c>
      <c r="BA56">
        <v>0</v>
      </c>
      <c r="BC56" t="s">
        <v>107</v>
      </c>
      <c r="BF56" t="s">
        <v>4617</v>
      </c>
    </row>
    <row r="57" spans="1:58" x14ac:dyDescent="0.35">
      <c r="A57" t="s">
        <v>4333</v>
      </c>
      <c r="B57">
        <v>10000</v>
      </c>
      <c r="C57">
        <v>20000</v>
      </c>
      <c r="D57" s="2">
        <v>45744</v>
      </c>
      <c r="E57" t="s">
        <v>61</v>
      </c>
      <c r="F57" t="s">
        <v>3979</v>
      </c>
      <c r="G57" t="s">
        <v>4218</v>
      </c>
      <c r="I57">
        <v>2</v>
      </c>
      <c r="J57" t="s">
        <v>63</v>
      </c>
      <c r="K57">
        <v>77</v>
      </c>
      <c r="L57" t="s">
        <v>127</v>
      </c>
      <c r="M57" s="4">
        <v>1250</v>
      </c>
      <c r="P57" s="2">
        <v>45736</v>
      </c>
      <c r="R57">
        <v>88</v>
      </c>
      <c r="S57" s="4">
        <v>110000</v>
      </c>
      <c r="T57" t="s">
        <v>65</v>
      </c>
      <c r="U57" t="s">
        <v>4334</v>
      </c>
      <c r="V57">
        <v>0</v>
      </c>
      <c r="W57" s="4">
        <v>100000</v>
      </c>
      <c r="X57" s="4">
        <v>10000</v>
      </c>
      <c r="Y57">
        <v>0</v>
      </c>
      <c r="Z57">
        <v>0</v>
      </c>
      <c r="AA57">
        <v>0</v>
      </c>
      <c r="AD57">
        <v>0</v>
      </c>
      <c r="AM57" t="s">
        <v>4335</v>
      </c>
      <c r="AN57" t="s">
        <v>107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4336</v>
      </c>
      <c r="BA57">
        <v>0</v>
      </c>
      <c r="BC57" t="s">
        <v>107</v>
      </c>
      <c r="BF57" t="s">
        <v>4337</v>
      </c>
    </row>
    <row r="58" spans="1:58" x14ac:dyDescent="0.35">
      <c r="A58" t="s">
        <v>4338</v>
      </c>
      <c r="B58">
        <v>10000</v>
      </c>
      <c r="C58">
        <v>20000</v>
      </c>
      <c r="D58" s="2">
        <v>45736</v>
      </c>
      <c r="E58" t="s">
        <v>61</v>
      </c>
      <c r="F58" t="s">
        <v>4339</v>
      </c>
      <c r="G58" t="s">
        <v>4340</v>
      </c>
      <c r="I58">
        <v>2</v>
      </c>
      <c r="J58" t="s">
        <v>63</v>
      </c>
      <c r="K58">
        <v>71</v>
      </c>
      <c r="L58" t="s">
        <v>135</v>
      </c>
      <c r="M58" s="4">
        <v>1000</v>
      </c>
      <c r="P58" s="2">
        <v>45736</v>
      </c>
      <c r="R58">
        <v>6</v>
      </c>
      <c r="S58" s="4">
        <v>6000</v>
      </c>
      <c r="T58" t="s">
        <v>65</v>
      </c>
      <c r="U58">
        <v>5000444260001</v>
      </c>
      <c r="V58">
        <v>0</v>
      </c>
      <c r="W58" s="4">
        <v>6000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500044426</v>
      </c>
      <c r="AN58" t="s">
        <v>91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4341</v>
      </c>
      <c r="BA58">
        <v>0</v>
      </c>
      <c r="BC58" t="s">
        <v>91</v>
      </c>
      <c r="BF58" t="s">
        <v>4342</v>
      </c>
    </row>
    <row r="59" spans="1:58" x14ac:dyDescent="0.35">
      <c r="A59" t="s">
        <v>4343</v>
      </c>
      <c r="B59">
        <v>10000</v>
      </c>
      <c r="C59">
        <v>20000</v>
      </c>
      <c r="D59" s="2">
        <v>45736</v>
      </c>
      <c r="E59" t="s">
        <v>61</v>
      </c>
      <c r="F59" t="s">
        <v>4344</v>
      </c>
      <c r="G59" t="s">
        <v>4340</v>
      </c>
      <c r="I59">
        <v>2</v>
      </c>
      <c r="J59" t="s">
        <v>63</v>
      </c>
      <c r="K59">
        <v>71</v>
      </c>
      <c r="L59" t="s">
        <v>135</v>
      </c>
      <c r="M59">
        <v>834</v>
      </c>
      <c r="P59" s="2">
        <v>45736</v>
      </c>
      <c r="R59">
        <v>6</v>
      </c>
      <c r="S59" s="4">
        <v>5004</v>
      </c>
      <c r="T59" t="s">
        <v>65</v>
      </c>
      <c r="U59">
        <v>5000514740001</v>
      </c>
      <c r="V59">
        <v>0</v>
      </c>
      <c r="W59" s="4">
        <v>5000</v>
      </c>
      <c r="X59">
        <v>4</v>
      </c>
      <c r="Y59">
        <v>0</v>
      </c>
      <c r="Z59">
        <v>0</v>
      </c>
      <c r="AA59">
        <v>0</v>
      </c>
      <c r="AD59">
        <v>0</v>
      </c>
      <c r="AM59">
        <v>500051474</v>
      </c>
      <c r="AN59" t="s">
        <v>91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4345</v>
      </c>
      <c r="BA59">
        <v>0</v>
      </c>
      <c r="BC59" t="s">
        <v>91</v>
      </c>
      <c r="BF59" t="s">
        <v>4342</v>
      </c>
    </row>
    <row r="60" spans="1:58" x14ac:dyDescent="0.35">
      <c r="A60" t="s">
        <v>4035</v>
      </c>
      <c r="B60">
        <v>10000</v>
      </c>
      <c r="C60">
        <v>20000</v>
      </c>
      <c r="D60" s="2">
        <v>45740</v>
      </c>
      <c r="E60" t="s">
        <v>61</v>
      </c>
      <c r="F60" t="s">
        <v>4036</v>
      </c>
      <c r="G60" t="s">
        <v>4037</v>
      </c>
      <c r="I60">
        <v>2</v>
      </c>
      <c r="J60" t="s">
        <v>63</v>
      </c>
      <c r="K60">
        <v>60</v>
      </c>
      <c r="L60" t="s">
        <v>277</v>
      </c>
      <c r="M60" s="4">
        <v>3000</v>
      </c>
      <c r="P60" s="2">
        <v>45736</v>
      </c>
      <c r="R60">
        <v>2</v>
      </c>
      <c r="S60" s="4">
        <v>6000</v>
      </c>
      <c r="T60" t="s">
        <v>65</v>
      </c>
      <c r="U60" t="s">
        <v>4038</v>
      </c>
      <c r="V60">
        <v>0</v>
      </c>
      <c r="W60" s="4">
        <v>8000</v>
      </c>
      <c r="X60" s="4">
        <v>-2000</v>
      </c>
      <c r="Y60">
        <v>0</v>
      </c>
      <c r="Z60">
        <v>0</v>
      </c>
      <c r="AA60">
        <v>0</v>
      </c>
      <c r="AD60">
        <v>0</v>
      </c>
      <c r="AM60" t="s">
        <v>4039</v>
      </c>
      <c r="AN60" t="s">
        <v>4040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4041</v>
      </c>
      <c r="BA60">
        <v>0</v>
      </c>
      <c r="BC60" t="s">
        <v>4040</v>
      </c>
      <c r="BF60" t="s">
        <v>4042</v>
      </c>
    </row>
    <row r="61" spans="1:58" x14ac:dyDescent="0.35">
      <c r="A61" t="s">
        <v>4043</v>
      </c>
      <c r="B61">
        <v>10000</v>
      </c>
      <c r="C61">
        <v>20000</v>
      </c>
      <c r="D61" s="2">
        <v>45740</v>
      </c>
      <c r="E61" t="s">
        <v>61</v>
      </c>
      <c r="F61" t="s">
        <v>4044</v>
      </c>
      <c r="G61" t="s">
        <v>4037</v>
      </c>
      <c r="I61">
        <v>2</v>
      </c>
      <c r="J61" t="s">
        <v>63</v>
      </c>
      <c r="K61">
        <v>60</v>
      </c>
      <c r="L61" t="s">
        <v>277</v>
      </c>
      <c r="M61" s="4">
        <v>3000</v>
      </c>
      <c r="P61" s="2">
        <v>45736</v>
      </c>
      <c r="R61">
        <v>2</v>
      </c>
      <c r="S61" s="4">
        <v>6000</v>
      </c>
      <c r="T61" t="s">
        <v>65</v>
      </c>
      <c r="U61" t="s">
        <v>4045</v>
      </c>
      <c r="V61">
        <v>0</v>
      </c>
      <c r="W61" s="4">
        <v>8000</v>
      </c>
      <c r="X61" s="4">
        <v>-2000</v>
      </c>
      <c r="Y61">
        <v>0</v>
      </c>
      <c r="Z61">
        <v>0</v>
      </c>
      <c r="AA61">
        <v>0</v>
      </c>
      <c r="AD61">
        <v>0</v>
      </c>
      <c r="AM61" t="s">
        <v>4046</v>
      </c>
      <c r="AN61" t="s">
        <v>4040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4047</v>
      </c>
      <c r="BA61">
        <v>0</v>
      </c>
      <c r="BC61" t="s">
        <v>4040</v>
      </c>
      <c r="BF61" t="s">
        <v>4042</v>
      </c>
    </row>
    <row r="62" spans="1:58" x14ac:dyDescent="0.35">
      <c r="A62" t="s">
        <v>4618</v>
      </c>
      <c r="B62">
        <v>10000</v>
      </c>
      <c r="C62">
        <v>10000</v>
      </c>
      <c r="D62" s="2">
        <v>45736</v>
      </c>
      <c r="E62" t="s">
        <v>61</v>
      </c>
      <c r="F62" t="s">
        <v>4619</v>
      </c>
      <c r="G62" t="s">
        <v>418</v>
      </c>
      <c r="I62">
        <v>1</v>
      </c>
      <c r="J62" t="s">
        <v>63</v>
      </c>
      <c r="K62">
        <v>59</v>
      </c>
      <c r="L62" t="s">
        <v>745</v>
      </c>
      <c r="M62">
        <v>100</v>
      </c>
      <c r="P62" s="2">
        <v>45736</v>
      </c>
      <c r="R62">
        <v>10</v>
      </c>
      <c r="S62" s="4">
        <v>1000</v>
      </c>
      <c r="T62" t="s">
        <v>65</v>
      </c>
      <c r="U62">
        <v>112024090001</v>
      </c>
      <c r="V62">
        <v>0</v>
      </c>
      <c r="W62" s="4">
        <v>1000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11202409</v>
      </c>
      <c r="AN62" t="s">
        <v>182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4620</v>
      </c>
      <c r="BA62">
        <v>0</v>
      </c>
      <c r="BC62" t="s">
        <v>182</v>
      </c>
      <c r="BF62" t="s">
        <v>4621</v>
      </c>
    </row>
    <row r="63" spans="1:58" x14ac:dyDescent="0.35">
      <c r="A63" t="s">
        <v>4048</v>
      </c>
      <c r="B63">
        <v>10000</v>
      </c>
      <c r="C63">
        <v>20000</v>
      </c>
      <c r="D63" s="2">
        <v>45740</v>
      </c>
      <c r="E63" t="s">
        <v>61</v>
      </c>
      <c r="F63" t="s">
        <v>4049</v>
      </c>
      <c r="G63" t="s">
        <v>4037</v>
      </c>
      <c r="I63">
        <v>2</v>
      </c>
      <c r="J63" t="s">
        <v>63</v>
      </c>
      <c r="K63">
        <v>60</v>
      </c>
      <c r="L63" t="s">
        <v>277</v>
      </c>
      <c r="M63" s="4">
        <v>3600</v>
      </c>
      <c r="P63" s="2">
        <v>45736</v>
      </c>
      <c r="R63">
        <v>1</v>
      </c>
      <c r="S63" s="4">
        <v>3600</v>
      </c>
      <c r="T63" t="s">
        <v>65</v>
      </c>
      <c r="U63" t="s">
        <v>4050</v>
      </c>
      <c r="V63">
        <v>0</v>
      </c>
      <c r="W63" s="4">
        <v>2000</v>
      </c>
      <c r="X63" s="4">
        <v>1600</v>
      </c>
      <c r="Y63">
        <v>0</v>
      </c>
      <c r="Z63">
        <v>0</v>
      </c>
      <c r="AA63">
        <v>0</v>
      </c>
      <c r="AD63">
        <v>0</v>
      </c>
      <c r="AM63" t="s">
        <v>4051</v>
      </c>
      <c r="AN63" t="s">
        <v>4052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4053</v>
      </c>
      <c r="BA63">
        <v>0</v>
      </c>
      <c r="BC63" t="s">
        <v>4052</v>
      </c>
      <c r="BF63" t="s">
        <v>4054</v>
      </c>
    </row>
    <row r="64" spans="1:58" x14ac:dyDescent="0.35">
      <c r="A64" t="s">
        <v>4055</v>
      </c>
      <c r="B64">
        <v>10000</v>
      </c>
      <c r="C64">
        <v>20000</v>
      </c>
      <c r="D64" s="2">
        <v>45740</v>
      </c>
      <c r="E64" t="s">
        <v>61</v>
      </c>
      <c r="F64" t="s">
        <v>4056</v>
      </c>
      <c r="G64" t="s">
        <v>4037</v>
      </c>
      <c r="I64">
        <v>2</v>
      </c>
      <c r="J64" t="s">
        <v>63</v>
      </c>
      <c r="K64">
        <v>60</v>
      </c>
      <c r="L64" t="s">
        <v>277</v>
      </c>
      <c r="M64" s="4">
        <v>3500</v>
      </c>
      <c r="P64" s="2">
        <v>45736</v>
      </c>
      <c r="R64">
        <v>1</v>
      </c>
      <c r="S64" s="4">
        <v>3500</v>
      </c>
      <c r="T64" t="s">
        <v>65</v>
      </c>
      <c r="U64" t="s">
        <v>4057</v>
      </c>
      <c r="V64">
        <v>0</v>
      </c>
      <c r="W64" s="4">
        <v>2000</v>
      </c>
      <c r="X64" s="4">
        <v>1500</v>
      </c>
      <c r="Y64">
        <v>0</v>
      </c>
      <c r="Z64">
        <v>0</v>
      </c>
      <c r="AA64">
        <v>0</v>
      </c>
      <c r="AD64">
        <v>0</v>
      </c>
      <c r="AM64" t="s">
        <v>4058</v>
      </c>
      <c r="AN64" t="s">
        <v>4052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4059</v>
      </c>
      <c r="BA64">
        <v>0</v>
      </c>
      <c r="BC64" t="s">
        <v>4052</v>
      </c>
      <c r="BF64" t="s">
        <v>4054</v>
      </c>
    </row>
    <row r="65" spans="1:58" x14ac:dyDescent="0.35">
      <c r="A65" t="s">
        <v>4346</v>
      </c>
      <c r="B65">
        <v>10000</v>
      </c>
      <c r="C65">
        <v>20000</v>
      </c>
      <c r="D65" s="2">
        <v>45744</v>
      </c>
      <c r="E65" t="s">
        <v>61</v>
      </c>
      <c r="F65" t="s">
        <v>4347</v>
      </c>
      <c r="G65" t="s">
        <v>4218</v>
      </c>
      <c r="I65">
        <v>2</v>
      </c>
      <c r="J65" t="s">
        <v>63</v>
      </c>
      <c r="K65">
        <v>77</v>
      </c>
      <c r="L65" t="s">
        <v>127</v>
      </c>
      <c r="M65" s="4">
        <v>1250</v>
      </c>
      <c r="P65" s="2">
        <v>45736</v>
      </c>
      <c r="R65">
        <v>88</v>
      </c>
      <c r="S65" s="4">
        <v>110000</v>
      </c>
      <c r="T65" t="s">
        <v>65</v>
      </c>
      <c r="U65" t="s">
        <v>1218</v>
      </c>
      <c r="V65">
        <v>0</v>
      </c>
      <c r="W65" s="4">
        <v>100000</v>
      </c>
      <c r="X65" s="4">
        <v>10000</v>
      </c>
      <c r="Y65">
        <v>0</v>
      </c>
      <c r="Z65">
        <v>0</v>
      </c>
      <c r="AA65">
        <v>0</v>
      </c>
      <c r="AD65">
        <v>0</v>
      </c>
      <c r="AM65" t="s">
        <v>1219</v>
      </c>
      <c r="AN65" t="s">
        <v>107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4348</v>
      </c>
      <c r="BA65">
        <v>0</v>
      </c>
      <c r="BC65" t="s">
        <v>107</v>
      </c>
      <c r="BF65" t="s">
        <v>4349</v>
      </c>
    </row>
    <row r="66" spans="1:58" x14ac:dyDescent="0.35">
      <c r="A66" t="s">
        <v>4350</v>
      </c>
      <c r="B66">
        <v>10000</v>
      </c>
      <c r="C66">
        <v>20000</v>
      </c>
      <c r="D66" s="2">
        <v>45744</v>
      </c>
      <c r="E66" t="s">
        <v>61</v>
      </c>
      <c r="F66" t="s">
        <v>4351</v>
      </c>
      <c r="G66" t="s">
        <v>4218</v>
      </c>
      <c r="I66">
        <v>2</v>
      </c>
      <c r="J66" t="s">
        <v>63</v>
      </c>
      <c r="K66">
        <v>77</v>
      </c>
      <c r="L66" t="s">
        <v>127</v>
      </c>
      <c r="M66" s="4">
        <v>1250</v>
      </c>
      <c r="P66" s="2">
        <v>45736</v>
      </c>
      <c r="R66">
        <v>88</v>
      </c>
      <c r="S66" s="4">
        <v>110000</v>
      </c>
      <c r="T66" t="s">
        <v>65</v>
      </c>
      <c r="U66" t="s">
        <v>1657</v>
      </c>
      <c r="V66">
        <v>0</v>
      </c>
      <c r="W66" s="4">
        <v>100000</v>
      </c>
      <c r="X66" s="4">
        <v>10000</v>
      </c>
      <c r="Y66">
        <v>0</v>
      </c>
      <c r="Z66">
        <v>0</v>
      </c>
      <c r="AA66">
        <v>0</v>
      </c>
      <c r="AD66">
        <v>0</v>
      </c>
      <c r="AM66" t="s">
        <v>1658</v>
      </c>
      <c r="AN66" t="s">
        <v>107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4352</v>
      </c>
      <c r="BA66">
        <v>0</v>
      </c>
      <c r="BC66" t="s">
        <v>107</v>
      </c>
      <c r="BF66" t="s">
        <v>4353</v>
      </c>
    </row>
    <row r="67" spans="1:58" x14ac:dyDescent="0.35">
      <c r="A67" t="s">
        <v>4622</v>
      </c>
      <c r="B67">
        <v>10000</v>
      </c>
      <c r="C67">
        <v>10000</v>
      </c>
      <c r="D67" s="2">
        <v>45736</v>
      </c>
      <c r="E67" t="s">
        <v>61</v>
      </c>
      <c r="F67" t="s">
        <v>4588</v>
      </c>
      <c r="G67" t="s">
        <v>4206</v>
      </c>
      <c r="I67">
        <v>1</v>
      </c>
      <c r="J67" t="s">
        <v>63</v>
      </c>
      <c r="K67">
        <v>31</v>
      </c>
      <c r="L67" t="s">
        <v>1311</v>
      </c>
      <c r="M67">
        <v>278</v>
      </c>
      <c r="P67" s="2">
        <v>45736</v>
      </c>
      <c r="R67">
        <v>18</v>
      </c>
      <c r="S67" s="4">
        <v>5004</v>
      </c>
      <c r="T67" t="s">
        <v>65</v>
      </c>
      <c r="U67">
        <v>200899990001</v>
      </c>
      <c r="V67">
        <v>0</v>
      </c>
      <c r="W67" s="4">
        <v>5000</v>
      </c>
      <c r="X67">
        <v>4</v>
      </c>
      <c r="Y67">
        <v>0</v>
      </c>
      <c r="Z67">
        <v>0</v>
      </c>
      <c r="AA67">
        <v>0</v>
      </c>
      <c r="AD67">
        <v>0</v>
      </c>
      <c r="AM67" t="s">
        <v>4623</v>
      </c>
      <c r="AN67" t="s">
        <v>2825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4624</v>
      </c>
      <c r="BA67">
        <v>0</v>
      </c>
      <c r="BC67" t="s">
        <v>2825</v>
      </c>
      <c r="BF67" t="s">
        <v>4625</v>
      </c>
    </row>
    <row r="68" spans="1:58" x14ac:dyDescent="0.35">
      <c r="A68" t="s">
        <v>4364</v>
      </c>
      <c r="B68">
        <v>10000</v>
      </c>
      <c r="C68">
        <v>20000</v>
      </c>
      <c r="D68" s="2">
        <v>45736</v>
      </c>
      <c r="E68" t="s">
        <v>61</v>
      </c>
      <c r="F68" t="s">
        <v>4365</v>
      </c>
      <c r="G68" t="s">
        <v>4340</v>
      </c>
      <c r="I68">
        <v>2</v>
      </c>
      <c r="J68" t="s">
        <v>63</v>
      </c>
      <c r="K68">
        <v>71</v>
      </c>
      <c r="L68" t="s">
        <v>135</v>
      </c>
      <c r="M68" s="4">
        <v>1167</v>
      </c>
      <c r="P68" s="2">
        <v>45736</v>
      </c>
      <c r="R68">
        <v>6</v>
      </c>
      <c r="S68" s="4">
        <v>7002</v>
      </c>
      <c r="T68" t="s">
        <v>65</v>
      </c>
      <c r="U68">
        <v>5000514990001</v>
      </c>
      <c r="V68">
        <v>0</v>
      </c>
      <c r="W68" s="4">
        <v>7000</v>
      </c>
      <c r="X68">
        <v>2</v>
      </c>
      <c r="Y68">
        <v>0</v>
      </c>
      <c r="Z68">
        <v>0</v>
      </c>
      <c r="AA68">
        <v>0</v>
      </c>
      <c r="AD68">
        <v>0</v>
      </c>
      <c r="AM68">
        <v>500051499</v>
      </c>
      <c r="AN68" t="s">
        <v>91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4366</v>
      </c>
      <c r="BA68">
        <v>0</v>
      </c>
      <c r="BC68" t="s">
        <v>91</v>
      </c>
      <c r="BF68" t="s">
        <v>4367</v>
      </c>
    </row>
    <row r="69" spans="1:58" x14ac:dyDescent="0.35">
      <c r="A69" t="s">
        <v>4368</v>
      </c>
      <c r="B69">
        <v>10000</v>
      </c>
      <c r="C69">
        <v>20000</v>
      </c>
      <c r="D69" s="2">
        <v>45736</v>
      </c>
      <c r="E69" t="s">
        <v>61</v>
      </c>
      <c r="F69" t="s">
        <v>4369</v>
      </c>
      <c r="G69" t="s">
        <v>4340</v>
      </c>
      <c r="I69">
        <v>32</v>
      </c>
      <c r="J69" t="s">
        <v>63</v>
      </c>
      <c r="K69">
        <v>71</v>
      </c>
      <c r="L69" t="s">
        <v>135</v>
      </c>
      <c r="M69" s="4">
        <v>1000</v>
      </c>
      <c r="P69" s="2">
        <v>45736</v>
      </c>
      <c r="R69">
        <v>6</v>
      </c>
      <c r="S69" s="4">
        <v>6000</v>
      </c>
      <c r="T69" t="s">
        <v>65</v>
      </c>
      <c r="U69">
        <v>5000634590001</v>
      </c>
      <c r="V69">
        <v>0</v>
      </c>
      <c r="W69" s="4">
        <v>6000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500063459</v>
      </c>
      <c r="AN69" t="s">
        <v>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4370</v>
      </c>
      <c r="BA69">
        <v>0</v>
      </c>
      <c r="BC69" t="s">
        <v>91</v>
      </c>
      <c r="BF69" t="s">
        <v>4367</v>
      </c>
    </row>
    <row r="70" spans="1:58" x14ac:dyDescent="0.35">
      <c r="A70" t="s">
        <v>4371</v>
      </c>
      <c r="B70">
        <v>10000</v>
      </c>
      <c r="C70">
        <v>20000</v>
      </c>
      <c r="D70" s="2">
        <v>45736</v>
      </c>
      <c r="E70" t="s">
        <v>61</v>
      </c>
      <c r="F70" t="s">
        <v>4372</v>
      </c>
      <c r="G70" t="s">
        <v>4340</v>
      </c>
      <c r="I70">
        <v>2</v>
      </c>
      <c r="J70" t="s">
        <v>63</v>
      </c>
      <c r="K70">
        <v>71</v>
      </c>
      <c r="L70" t="s">
        <v>135</v>
      </c>
      <c r="M70" s="4">
        <v>1167</v>
      </c>
      <c r="P70" s="2">
        <v>45736</v>
      </c>
      <c r="R70">
        <v>6</v>
      </c>
      <c r="S70" s="4">
        <v>7002</v>
      </c>
      <c r="T70" t="s">
        <v>65</v>
      </c>
      <c r="U70">
        <v>5000635410001</v>
      </c>
      <c r="V70">
        <v>0</v>
      </c>
      <c r="W70" s="4">
        <v>7000</v>
      </c>
      <c r="X70">
        <v>2</v>
      </c>
      <c r="Y70">
        <v>0</v>
      </c>
      <c r="Z70">
        <v>0</v>
      </c>
      <c r="AA70">
        <v>0</v>
      </c>
      <c r="AD70">
        <v>0</v>
      </c>
      <c r="AM70">
        <v>500063541</v>
      </c>
      <c r="AN70" t="s">
        <v>91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4373</v>
      </c>
      <c r="BA70">
        <v>0</v>
      </c>
      <c r="BC70" t="s">
        <v>91</v>
      </c>
      <c r="BF70" t="s">
        <v>4367</v>
      </c>
    </row>
    <row r="71" spans="1:58" x14ac:dyDescent="0.35">
      <c r="A71" t="s">
        <v>4626</v>
      </c>
      <c r="B71">
        <v>10000</v>
      </c>
      <c r="C71">
        <v>10000</v>
      </c>
      <c r="D71" s="2">
        <v>45736</v>
      </c>
      <c r="E71" t="s">
        <v>61</v>
      </c>
      <c r="F71" t="s">
        <v>4566</v>
      </c>
      <c r="G71" t="s">
        <v>387</v>
      </c>
      <c r="I71">
        <v>1</v>
      </c>
      <c r="J71" t="s">
        <v>63</v>
      </c>
      <c r="K71">
        <v>78</v>
      </c>
      <c r="L71" t="s">
        <v>188</v>
      </c>
      <c r="M71">
        <v>500</v>
      </c>
      <c r="P71" s="2">
        <v>45736</v>
      </c>
      <c r="R71">
        <v>2</v>
      </c>
      <c r="S71" s="4">
        <v>1000</v>
      </c>
      <c r="T71" t="s">
        <v>65</v>
      </c>
      <c r="U71" t="s">
        <v>1304</v>
      </c>
      <c r="V71">
        <v>0</v>
      </c>
      <c r="W71" s="4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1305</v>
      </c>
      <c r="AN71" t="s">
        <v>206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4627</v>
      </c>
      <c r="BA71">
        <v>0</v>
      </c>
      <c r="BC71" t="s">
        <v>206</v>
      </c>
      <c r="BF71" t="s">
        <v>4628</v>
      </c>
    </row>
    <row r="72" spans="1:58" x14ac:dyDescent="0.35">
      <c r="A72" t="s">
        <v>4629</v>
      </c>
      <c r="B72">
        <v>10000</v>
      </c>
      <c r="C72">
        <v>10000</v>
      </c>
      <c r="D72" s="2">
        <v>45736</v>
      </c>
      <c r="E72" t="s">
        <v>61</v>
      </c>
      <c r="F72" t="s">
        <v>4296</v>
      </c>
      <c r="G72" t="s">
        <v>3767</v>
      </c>
      <c r="I72">
        <v>1</v>
      </c>
      <c r="J72" t="s">
        <v>63</v>
      </c>
      <c r="K72">
        <v>46</v>
      </c>
      <c r="L72" t="s">
        <v>113</v>
      </c>
      <c r="M72" s="4">
        <v>1000</v>
      </c>
      <c r="P72" s="2">
        <v>45736</v>
      </c>
      <c r="R72">
        <v>1</v>
      </c>
      <c r="S72" s="4">
        <v>1000</v>
      </c>
      <c r="T72" t="s">
        <v>65</v>
      </c>
      <c r="U72" t="s">
        <v>4254</v>
      </c>
      <c r="V72">
        <v>0</v>
      </c>
      <c r="W72" s="4">
        <v>1000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4255</v>
      </c>
      <c r="AN72" t="s">
        <v>116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4630</v>
      </c>
      <c r="BA72">
        <v>0</v>
      </c>
      <c r="BC72" t="s">
        <v>116</v>
      </c>
      <c r="BF72" t="s">
        <v>4631</v>
      </c>
    </row>
    <row r="73" spans="1:58" x14ac:dyDescent="0.35">
      <c r="A73" t="s">
        <v>4380</v>
      </c>
      <c r="B73">
        <v>10000</v>
      </c>
      <c r="C73">
        <v>20000</v>
      </c>
      <c r="D73" s="2">
        <v>45737</v>
      </c>
      <c r="E73" t="s">
        <v>61</v>
      </c>
      <c r="F73" t="s">
        <v>4381</v>
      </c>
      <c r="G73" t="s">
        <v>4340</v>
      </c>
      <c r="I73">
        <v>2</v>
      </c>
      <c r="J73" t="s">
        <v>63</v>
      </c>
      <c r="K73">
        <v>71</v>
      </c>
      <c r="L73" t="s">
        <v>135</v>
      </c>
      <c r="M73">
        <v>834</v>
      </c>
      <c r="P73" s="2">
        <v>45736</v>
      </c>
      <c r="R73">
        <v>6</v>
      </c>
      <c r="S73" s="4">
        <v>5004</v>
      </c>
      <c r="T73" t="s">
        <v>65</v>
      </c>
      <c r="U73">
        <v>5000478070001</v>
      </c>
      <c r="V73">
        <v>0</v>
      </c>
      <c r="W73" s="4">
        <v>2500</v>
      </c>
      <c r="X73" s="4">
        <v>2504</v>
      </c>
      <c r="Y73">
        <v>0</v>
      </c>
      <c r="Z73">
        <v>0</v>
      </c>
      <c r="AA73">
        <v>0</v>
      </c>
      <c r="AD73">
        <v>0</v>
      </c>
      <c r="AM73">
        <v>500047807</v>
      </c>
      <c r="AN73" t="s">
        <v>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4382</v>
      </c>
      <c r="BA73">
        <v>0</v>
      </c>
      <c r="BC73" t="s">
        <v>91</v>
      </c>
      <c r="BF73" t="s">
        <v>4383</v>
      </c>
    </row>
    <row r="74" spans="1:58" x14ac:dyDescent="0.35">
      <c r="A74" t="s">
        <v>4384</v>
      </c>
      <c r="B74">
        <v>10000</v>
      </c>
      <c r="C74">
        <v>20000</v>
      </c>
      <c r="D74" s="2">
        <v>45737</v>
      </c>
      <c r="E74" t="s">
        <v>61</v>
      </c>
      <c r="F74" t="s">
        <v>4385</v>
      </c>
      <c r="G74" t="s">
        <v>4340</v>
      </c>
      <c r="I74">
        <v>2</v>
      </c>
      <c r="J74" t="s">
        <v>63</v>
      </c>
      <c r="K74">
        <v>71</v>
      </c>
      <c r="L74" t="s">
        <v>135</v>
      </c>
      <c r="M74">
        <v>834</v>
      </c>
      <c r="P74" s="2">
        <v>45736</v>
      </c>
      <c r="R74">
        <v>6</v>
      </c>
      <c r="S74" s="4">
        <v>5004</v>
      </c>
      <c r="T74" t="s">
        <v>65</v>
      </c>
      <c r="U74">
        <v>5000478080001</v>
      </c>
      <c r="V74">
        <v>0</v>
      </c>
      <c r="W74" s="4">
        <v>2500</v>
      </c>
      <c r="X74" s="4">
        <v>2504</v>
      </c>
      <c r="Y74">
        <v>0</v>
      </c>
      <c r="Z74">
        <v>0</v>
      </c>
      <c r="AA74">
        <v>0</v>
      </c>
      <c r="AD74">
        <v>0</v>
      </c>
      <c r="AM74">
        <v>500047808</v>
      </c>
      <c r="AN74" t="s">
        <v>91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4386</v>
      </c>
      <c r="BA74">
        <v>0</v>
      </c>
      <c r="BC74" t="s">
        <v>91</v>
      </c>
      <c r="BF74" t="s">
        <v>4383</v>
      </c>
    </row>
    <row r="75" spans="1:58" x14ac:dyDescent="0.35">
      <c r="A75" t="s">
        <v>4387</v>
      </c>
      <c r="B75">
        <v>10000</v>
      </c>
      <c r="C75">
        <v>20000</v>
      </c>
      <c r="D75" s="2">
        <v>45737</v>
      </c>
      <c r="E75" t="s">
        <v>61</v>
      </c>
      <c r="F75" t="s">
        <v>4388</v>
      </c>
      <c r="G75" t="s">
        <v>4340</v>
      </c>
      <c r="I75">
        <v>2</v>
      </c>
      <c r="J75" t="s">
        <v>63</v>
      </c>
      <c r="K75">
        <v>71</v>
      </c>
      <c r="L75" t="s">
        <v>135</v>
      </c>
      <c r="M75">
        <v>834</v>
      </c>
      <c r="P75" s="2">
        <v>45736</v>
      </c>
      <c r="R75">
        <v>6</v>
      </c>
      <c r="S75" s="4">
        <v>5004</v>
      </c>
      <c r="T75" t="s">
        <v>65</v>
      </c>
      <c r="U75">
        <v>5000479220001</v>
      </c>
      <c r="V75">
        <v>0</v>
      </c>
      <c r="W75" s="4">
        <v>2500</v>
      </c>
      <c r="X75" s="4">
        <v>2504</v>
      </c>
      <c r="Y75">
        <v>0</v>
      </c>
      <c r="Z75">
        <v>0</v>
      </c>
      <c r="AA75">
        <v>0</v>
      </c>
      <c r="AD75">
        <v>0</v>
      </c>
      <c r="AM75">
        <v>500047922</v>
      </c>
      <c r="AN75" t="s">
        <v>91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4389</v>
      </c>
      <c r="BA75">
        <v>0</v>
      </c>
      <c r="BC75" t="s">
        <v>91</v>
      </c>
      <c r="BF75" t="s">
        <v>4383</v>
      </c>
    </row>
    <row r="76" spans="1:58" x14ac:dyDescent="0.35">
      <c r="A76" t="s">
        <v>4390</v>
      </c>
      <c r="B76">
        <v>10000</v>
      </c>
      <c r="C76">
        <v>20000</v>
      </c>
      <c r="D76" s="2">
        <v>45737</v>
      </c>
      <c r="E76" t="s">
        <v>61</v>
      </c>
      <c r="F76" t="s">
        <v>4391</v>
      </c>
      <c r="G76" t="s">
        <v>4340</v>
      </c>
      <c r="I76">
        <v>2</v>
      </c>
      <c r="J76" t="s">
        <v>63</v>
      </c>
      <c r="K76">
        <v>71</v>
      </c>
      <c r="L76" t="s">
        <v>135</v>
      </c>
      <c r="M76">
        <v>834</v>
      </c>
      <c r="P76" s="2">
        <v>45736</v>
      </c>
      <c r="R76">
        <v>6</v>
      </c>
      <c r="S76" s="4">
        <v>5004</v>
      </c>
      <c r="T76" t="s">
        <v>65</v>
      </c>
      <c r="U76">
        <v>5000580790001</v>
      </c>
      <c r="V76">
        <v>0</v>
      </c>
      <c r="W76" s="4">
        <v>2500</v>
      </c>
      <c r="X76" s="4">
        <v>2504</v>
      </c>
      <c r="Y76">
        <v>0</v>
      </c>
      <c r="Z76">
        <v>0</v>
      </c>
      <c r="AA76">
        <v>0</v>
      </c>
      <c r="AD76">
        <v>0</v>
      </c>
      <c r="AM76">
        <v>500058079</v>
      </c>
      <c r="AN76" t="s">
        <v>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4392</v>
      </c>
      <c r="BA76">
        <v>0</v>
      </c>
      <c r="BC76" t="s">
        <v>91</v>
      </c>
      <c r="BF76" t="s">
        <v>4383</v>
      </c>
    </row>
    <row r="77" spans="1:58" x14ac:dyDescent="0.35">
      <c r="A77" t="s">
        <v>4632</v>
      </c>
      <c r="B77">
        <v>10000</v>
      </c>
      <c r="C77">
        <v>10000</v>
      </c>
      <c r="D77" s="2">
        <v>45740</v>
      </c>
      <c r="E77" t="s">
        <v>61</v>
      </c>
      <c r="F77" t="s">
        <v>4633</v>
      </c>
      <c r="G77" t="s">
        <v>4340</v>
      </c>
      <c r="I77">
        <v>1</v>
      </c>
      <c r="J77" t="s">
        <v>63</v>
      </c>
      <c r="K77">
        <v>72</v>
      </c>
      <c r="L77" t="s">
        <v>163</v>
      </c>
      <c r="M77" s="4">
        <v>3500</v>
      </c>
      <c r="P77" s="2">
        <v>45736</v>
      </c>
      <c r="R77">
        <v>4</v>
      </c>
      <c r="S77" s="4">
        <v>14000</v>
      </c>
      <c r="T77" t="s">
        <v>65</v>
      </c>
      <c r="U77">
        <v>5000532080001</v>
      </c>
      <c r="V77">
        <v>0</v>
      </c>
      <c r="W77" s="4">
        <v>11200</v>
      </c>
      <c r="X77" s="4">
        <v>2800</v>
      </c>
      <c r="Y77">
        <v>0</v>
      </c>
      <c r="Z77">
        <v>0</v>
      </c>
      <c r="AA77">
        <v>0</v>
      </c>
      <c r="AD77">
        <v>0</v>
      </c>
      <c r="AM77">
        <v>500053208</v>
      </c>
      <c r="AN77" t="s">
        <v>91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4634</v>
      </c>
      <c r="BA77">
        <v>0</v>
      </c>
      <c r="BC77" t="s">
        <v>91</v>
      </c>
      <c r="BF77" t="s">
        <v>4635</v>
      </c>
    </row>
    <row r="78" spans="1:58" x14ac:dyDescent="0.35">
      <c r="A78" t="s">
        <v>4636</v>
      </c>
      <c r="B78">
        <v>10000</v>
      </c>
      <c r="C78">
        <v>10000</v>
      </c>
      <c r="D78" s="2">
        <v>45737</v>
      </c>
      <c r="E78" t="s">
        <v>61</v>
      </c>
      <c r="F78" t="s">
        <v>4637</v>
      </c>
      <c r="G78" t="s">
        <v>4340</v>
      </c>
      <c r="I78">
        <v>1</v>
      </c>
      <c r="J78" t="s">
        <v>63</v>
      </c>
      <c r="K78">
        <v>72</v>
      </c>
      <c r="L78" t="s">
        <v>163</v>
      </c>
      <c r="M78" s="4">
        <v>6001</v>
      </c>
      <c r="P78" s="2">
        <v>45736</v>
      </c>
      <c r="R78">
        <v>6</v>
      </c>
      <c r="S78" s="4">
        <v>36004</v>
      </c>
      <c r="T78" t="s">
        <v>65</v>
      </c>
      <c r="U78">
        <v>5000538100001</v>
      </c>
      <c r="V78">
        <v>0</v>
      </c>
      <c r="W78" s="4">
        <v>28000</v>
      </c>
      <c r="X78" s="4">
        <v>8004</v>
      </c>
      <c r="Y78">
        <v>0</v>
      </c>
      <c r="Z78">
        <v>0</v>
      </c>
      <c r="AA78">
        <v>0</v>
      </c>
      <c r="AD78">
        <v>0</v>
      </c>
      <c r="AM78">
        <v>500053810</v>
      </c>
      <c r="AN78" t="s">
        <v>91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4638</v>
      </c>
      <c r="BA78">
        <v>0</v>
      </c>
      <c r="BC78" t="s">
        <v>91</v>
      </c>
      <c r="BF78" t="s">
        <v>4635</v>
      </c>
    </row>
    <row r="79" spans="1:58" x14ac:dyDescent="0.35">
      <c r="A79" t="s">
        <v>4636</v>
      </c>
      <c r="B79">
        <v>20000</v>
      </c>
      <c r="C79">
        <v>10000</v>
      </c>
      <c r="D79" s="2">
        <v>45737</v>
      </c>
      <c r="E79" t="s">
        <v>61</v>
      </c>
      <c r="F79" t="s">
        <v>4637</v>
      </c>
      <c r="G79" t="s">
        <v>4340</v>
      </c>
      <c r="I79">
        <v>1</v>
      </c>
      <c r="J79" t="s">
        <v>63</v>
      </c>
      <c r="K79">
        <v>72</v>
      </c>
      <c r="L79" t="s">
        <v>163</v>
      </c>
      <c r="M79" s="4">
        <v>2333</v>
      </c>
      <c r="P79" s="2">
        <v>45736</v>
      </c>
      <c r="R79">
        <v>6</v>
      </c>
      <c r="S79" s="4">
        <v>14000</v>
      </c>
      <c r="T79" t="s">
        <v>65</v>
      </c>
      <c r="U79">
        <v>5000538100001</v>
      </c>
      <c r="V79">
        <v>0</v>
      </c>
      <c r="W79" s="4">
        <v>14000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500053810</v>
      </c>
      <c r="AN79" t="s">
        <v>91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4638</v>
      </c>
      <c r="BA79">
        <v>0</v>
      </c>
      <c r="BC79" t="s">
        <v>91</v>
      </c>
      <c r="BF79" t="s">
        <v>4635</v>
      </c>
    </row>
    <row r="80" spans="1:58" x14ac:dyDescent="0.35">
      <c r="A80" t="s">
        <v>4639</v>
      </c>
      <c r="B80">
        <v>10000</v>
      </c>
      <c r="C80">
        <v>10000</v>
      </c>
      <c r="D80" s="2">
        <v>45740</v>
      </c>
      <c r="E80" t="s">
        <v>61</v>
      </c>
      <c r="F80" t="s">
        <v>4640</v>
      </c>
      <c r="G80" t="s">
        <v>4340</v>
      </c>
      <c r="I80">
        <v>1</v>
      </c>
      <c r="J80" t="s">
        <v>63</v>
      </c>
      <c r="K80">
        <v>72</v>
      </c>
      <c r="L80" t="s">
        <v>163</v>
      </c>
      <c r="M80" s="4">
        <v>5833</v>
      </c>
      <c r="P80" s="2">
        <v>45736</v>
      </c>
      <c r="R80">
        <v>6</v>
      </c>
      <c r="S80" s="4">
        <v>35000</v>
      </c>
      <c r="T80" t="s">
        <v>65</v>
      </c>
      <c r="U80">
        <v>5000538120001</v>
      </c>
      <c r="V80">
        <v>0</v>
      </c>
      <c r="W80" s="4">
        <v>28000</v>
      </c>
      <c r="X80" s="4">
        <v>7000</v>
      </c>
      <c r="Y80">
        <v>0</v>
      </c>
      <c r="Z80">
        <v>0</v>
      </c>
      <c r="AA80">
        <v>0</v>
      </c>
      <c r="AD80">
        <v>0</v>
      </c>
      <c r="AM80">
        <v>500053812</v>
      </c>
      <c r="AN80" t="s">
        <v>91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4641</v>
      </c>
      <c r="BA80">
        <v>0</v>
      </c>
      <c r="BC80" t="s">
        <v>91</v>
      </c>
      <c r="BF80" t="s">
        <v>4635</v>
      </c>
    </row>
    <row r="81" spans="1:58" x14ac:dyDescent="0.35">
      <c r="A81" t="s">
        <v>4639</v>
      </c>
      <c r="B81">
        <v>20000</v>
      </c>
      <c r="C81">
        <v>10000</v>
      </c>
      <c r="D81" s="2">
        <v>45740</v>
      </c>
      <c r="E81" t="s">
        <v>61</v>
      </c>
      <c r="F81" t="s">
        <v>4640</v>
      </c>
      <c r="G81" t="s">
        <v>4340</v>
      </c>
      <c r="I81">
        <v>1</v>
      </c>
      <c r="J81" t="s">
        <v>63</v>
      </c>
      <c r="K81">
        <v>72</v>
      </c>
      <c r="L81" t="s">
        <v>163</v>
      </c>
      <c r="M81" s="4">
        <v>4667</v>
      </c>
      <c r="P81" s="2">
        <v>45736</v>
      </c>
      <c r="R81">
        <v>6</v>
      </c>
      <c r="S81" s="4">
        <v>28000</v>
      </c>
      <c r="T81" t="s">
        <v>65</v>
      </c>
      <c r="U81">
        <v>5000538120001</v>
      </c>
      <c r="V81">
        <v>0</v>
      </c>
      <c r="W81" s="4">
        <v>28000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500053812</v>
      </c>
      <c r="AN81" t="s">
        <v>91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4641</v>
      </c>
      <c r="BA81">
        <v>0</v>
      </c>
      <c r="BC81" t="s">
        <v>91</v>
      </c>
      <c r="BF81" t="s">
        <v>4635</v>
      </c>
    </row>
    <row r="82" spans="1:58" x14ac:dyDescent="0.35">
      <c r="A82" t="s">
        <v>4413</v>
      </c>
      <c r="B82">
        <v>10000</v>
      </c>
      <c r="C82">
        <v>20000</v>
      </c>
      <c r="D82" s="2">
        <v>45737</v>
      </c>
      <c r="E82" t="s">
        <v>61</v>
      </c>
      <c r="F82" t="s">
        <v>4414</v>
      </c>
      <c r="G82" t="s">
        <v>4415</v>
      </c>
      <c r="I82">
        <v>2</v>
      </c>
      <c r="J82" t="s">
        <v>63</v>
      </c>
      <c r="K82">
        <v>100</v>
      </c>
      <c r="L82" t="s">
        <v>424</v>
      </c>
      <c r="M82">
        <v>20</v>
      </c>
      <c r="P82" s="2">
        <v>45736</v>
      </c>
      <c r="R82">
        <v>1</v>
      </c>
      <c r="S82">
        <v>20</v>
      </c>
      <c r="T82" t="s">
        <v>65</v>
      </c>
      <c r="U82">
        <v>107473440001</v>
      </c>
      <c r="V82">
        <v>0</v>
      </c>
      <c r="W82">
        <v>20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10747344</v>
      </c>
      <c r="AN82" t="s">
        <v>487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4416</v>
      </c>
      <c r="BA82">
        <v>0</v>
      </c>
      <c r="BC82" t="s">
        <v>487</v>
      </c>
      <c r="BF82" t="s">
        <v>4417</v>
      </c>
    </row>
    <row r="83" spans="1:58" x14ac:dyDescent="0.35">
      <c r="A83" t="s">
        <v>4423</v>
      </c>
      <c r="B83">
        <v>10000</v>
      </c>
      <c r="C83">
        <v>20000</v>
      </c>
      <c r="D83" s="2">
        <v>45737</v>
      </c>
      <c r="E83" t="s">
        <v>61</v>
      </c>
      <c r="F83" t="s">
        <v>4414</v>
      </c>
      <c r="G83" t="s">
        <v>4415</v>
      </c>
      <c r="I83">
        <v>2</v>
      </c>
      <c r="J83" t="s">
        <v>63</v>
      </c>
      <c r="K83">
        <v>100</v>
      </c>
      <c r="L83" t="s">
        <v>424</v>
      </c>
      <c r="M83" s="4">
        <v>1200</v>
      </c>
      <c r="P83" s="2">
        <v>45736</v>
      </c>
      <c r="R83">
        <v>1</v>
      </c>
      <c r="S83" s="4">
        <v>1200</v>
      </c>
      <c r="T83" t="s">
        <v>65</v>
      </c>
      <c r="U83">
        <v>107473440001</v>
      </c>
      <c r="V83">
        <v>0</v>
      </c>
      <c r="W83" s="4">
        <v>1000</v>
      </c>
      <c r="X83">
        <v>200</v>
      </c>
      <c r="Y83">
        <v>0</v>
      </c>
      <c r="Z83">
        <v>0</v>
      </c>
      <c r="AA83">
        <v>0</v>
      </c>
      <c r="AD83">
        <v>0</v>
      </c>
      <c r="AM83">
        <v>10747344</v>
      </c>
      <c r="AN83" t="s">
        <v>487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4424</v>
      </c>
      <c r="BA83">
        <v>0</v>
      </c>
      <c r="BC83" t="s">
        <v>487</v>
      </c>
      <c r="BF83" t="s">
        <v>4425</v>
      </c>
    </row>
    <row r="84" spans="1:58" x14ac:dyDescent="0.35">
      <c r="A84" t="s">
        <v>4437</v>
      </c>
      <c r="B84">
        <v>10000</v>
      </c>
      <c r="C84">
        <v>20000</v>
      </c>
      <c r="D84" s="2">
        <v>45741</v>
      </c>
      <c r="E84" t="s">
        <v>61</v>
      </c>
      <c r="F84" t="s">
        <v>4438</v>
      </c>
      <c r="G84" t="s">
        <v>4156</v>
      </c>
      <c r="I84">
        <v>2</v>
      </c>
      <c r="J84" t="s">
        <v>63</v>
      </c>
      <c r="K84">
        <v>77</v>
      </c>
      <c r="L84" t="s">
        <v>127</v>
      </c>
      <c r="M84" s="4">
        <v>2500</v>
      </c>
      <c r="P84" s="2">
        <v>45736</v>
      </c>
      <c r="R84">
        <v>88</v>
      </c>
      <c r="S84" s="4">
        <v>220000</v>
      </c>
      <c r="T84" t="s">
        <v>65</v>
      </c>
      <c r="U84" t="s">
        <v>4439</v>
      </c>
      <c r="V84">
        <v>0</v>
      </c>
      <c r="W84" s="4">
        <v>200000</v>
      </c>
      <c r="X84" s="4">
        <v>20000</v>
      </c>
      <c r="Y84">
        <v>0</v>
      </c>
      <c r="Z84">
        <v>0</v>
      </c>
      <c r="AA84">
        <v>0</v>
      </c>
      <c r="AD84">
        <v>0</v>
      </c>
      <c r="AM84" t="s">
        <v>4440</v>
      </c>
      <c r="AN84" t="s">
        <v>107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4441</v>
      </c>
      <c r="BA84">
        <v>0</v>
      </c>
      <c r="BC84" t="s">
        <v>107</v>
      </c>
      <c r="BF84" t="s">
        <v>4442</v>
      </c>
    </row>
    <row r="85" spans="1:58" x14ac:dyDescent="0.35">
      <c r="A85" t="s">
        <v>4443</v>
      </c>
      <c r="B85">
        <v>10000</v>
      </c>
      <c r="C85">
        <v>20000</v>
      </c>
      <c r="D85" s="2">
        <v>45741</v>
      </c>
      <c r="E85" t="s">
        <v>61</v>
      </c>
      <c r="F85" t="s">
        <v>4444</v>
      </c>
      <c r="G85" t="s">
        <v>4156</v>
      </c>
      <c r="I85">
        <v>2</v>
      </c>
      <c r="J85" t="s">
        <v>63</v>
      </c>
      <c r="K85">
        <v>77</v>
      </c>
      <c r="L85" t="s">
        <v>127</v>
      </c>
      <c r="M85" s="4">
        <v>1250</v>
      </c>
      <c r="P85" s="2">
        <v>45736</v>
      </c>
      <c r="R85">
        <v>88</v>
      </c>
      <c r="S85" s="4">
        <v>110000</v>
      </c>
      <c r="T85" t="s">
        <v>65</v>
      </c>
      <c r="U85" t="s">
        <v>4445</v>
      </c>
      <c r="V85">
        <v>0</v>
      </c>
      <c r="W85" s="4">
        <v>100000</v>
      </c>
      <c r="X85" s="4">
        <v>10000</v>
      </c>
      <c r="Y85">
        <v>0</v>
      </c>
      <c r="Z85">
        <v>0</v>
      </c>
      <c r="AA85">
        <v>0</v>
      </c>
      <c r="AD85">
        <v>0</v>
      </c>
      <c r="AM85" t="s">
        <v>4446</v>
      </c>
      <c r="AN85" t="s">
        <v>107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4447</v>
      </c>
      <c r="BA85">
        <v>0</v>
      </c>
      <c r="BC85" t="s">
        <v>107</v>
      </c>
      <c r="BF85" t="s">
        <v>4448</v>
      </c>
    </row>
    <row r="86" spans="1:58" x14ac:dyDescent="0.35">
      <c r="A86" t="s">
        <v>4449</v>
      </c>
      <c r="B86">
        <v>10000</v>
      </c>
      <c r="C86">
        <v>20000</v>
      </c>
      <c r="D86" s="2">
        <v>45741</v>
      </c>
      <c r="E86" t="s">
        <v>61</v>
      </c>
      <c r="F86" t="s">
        <v>4450</v>
      </c>
      <c r="G86" t="s">
        <v>4156</v>
      </c>
      <c r="I86">
        <v>2</v>
      </c>
      <c r="J86" t="s">
        <v>63</v>
      </c>
      <c r="K86">
        <v>77</v>
      </c>
      <c r="L86" t="s">
        <v>127</v>
      </c>
      <c r="M86" s="4">
        <v>3785</v>
      </c>
      <c r="P86" s="2">
        <v>45736</v>
      </c>
      <c r="R86">
        <v>88</v>
      </c>
      <c r="S86" s="4">
        <v>333080</v>
      </c>
      <c r="T86" t="s">
        <v>65</v>
      </c>
      <c r="U86" t="s">
        <v>981</v>
      </c>
      <c r="V86">
        <v>0</v>
      </c>
      <c r="W86" s="4">
        <v>300000</v>
      </c>
      <c r="X86" s="4">
        <v>33080</v>
      </c>
      <c r="Y86">
        <v>0</v>
      </c>
      <c r="Z86">
        <v>0</v>
      </c>
      <c r="AA86">
        <v>0</v>
      </c>
      <c r="AD86">
        <v>0</v>
      </c>
      <c r="AM86" t="s">
        <v>982</v>
      </c>
      <c r="AN86" t="s">
        <v>107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4451</v>
      </c>
      <c r="BA86">
        <v>0</v>
      </c>
      <c r="BC86" t="s">
        <v>107</v>
      </c>
      <c r="BF86" t="s">
        <v>4452</v>
      </c>
    </row>
    <row r="87" spans="1:58" x14ac:dyDescent="0.35">
      <c r="A87" t="s">
        <v>4453</v>
      </c>
      <c r="B87">
        <v>10000</v>
      </c>
      <c r="C87">
        <v>20000</v>
      </c>
      <c r="D87" s="2">
        <v>45744</v>
      </c>
      <c r="E87" t="s">
        <v>61</v>
      </c>
      <c r="F87" t="s">
        <v>4454</v>
      </c>
      <c r="G87" t="s">
        <v>4218</v>
      </c>
      <c r="I87">
        <v>2</v>
      </c>
      <c r="J87" t="s">
        <v>63</v>
      </c>
      <c r="K87">
        <v>77</v>
      </c>
      <c r="L87" t="s">
        <v>127</v>
      </c>
      <c r="M87" s="4">
        <v>1250</v>
      </c>
      <c r="P87" s="2">
        <v>45736</v>
      </c>
      <c r="R87">
        <v>88</v>
      </c>
      <c r="S87" s="4">
        <v>110000</v>
      </c>
      <c r="T87" t="s">
        <v>65</v>
      </c>
      <c r="U87" t="s">
        <v>4455</v>
      </c>
      <c r="V87">
        <v>0</v>
      </c>
      <c r="W87" s="4">
        <v>100000</v>
      </c>
      <c r="X87" s="4">
        <v>10000</v>
      </c>
      <c r="Y87">
        <v>0</v>
      </c>
      <c r="Z87">
        <v>0</v>
      </c>
      <c r="AA87">
        <v>0</v>
      </c>
      <c r="AD87">
        <v>0</v>
      </c>
      <c r="AM87" t="s">
        <v>4456</v>
      </c>
      <c r="AN87" t="s">
        <v>107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4457</v>
      </c>
      <c r="BA87">
        <v>0</v>
      </c>
      <c r="BC87" t="s">
        <v>107</v>
      </c>
      <c r="BF87" t="s">
        <v>4458</v>
      </c>
    </row>
    <row r="88" spans="1:58" x14ac:dyDescent="0.35">
      <c r="A88" t="s">
        <v>4459</v>
      </c>
      <c r="B88">
        <v>10000</v>
      </c>
      <c r="C88">
        <v>20000</v>
      </c>
      <c r="D88" s="2">
        <v>45744</v>
      </c>
      <c r="E88" t="s">
        <v>61</v>
      </c>
      <c r="F88" t="s">
        <v>4460</v>
      </c>
      <c r="G88" t="s">
        <v>4218</v>
      </c>
      <c r="I88">
        <v>2</v>
      </c>
      <c r="J88" t="s">
        <v>63</v>
      </c>
      <c r="K88">
        <v>77</v>
      </c>
      <c r="L88" t="s">
        <v>127</v>
      </c>
      <c r="M88" s="4">
        <v>1250</v>
      </c>
      <c r="P88" s="2">
        <v>45736</v>
      </c>
      <c r="R88">
        <v>88</v>
      </c>
      <c r="S88" s="4">
        <v>110000</v>
      </c>
      <c r="T88" t="s">
        <v>65</v>
      </c>
      <c r="U88" t="s">
        <v>1527</v>
      </c>
      <c r="V88">
        <v>0</v>
      </c>
      <c r="W88" s="4">
        <v>100000</v>
      </c>
      <c r="X88" s="4">
        <v>10000</v>
      </c>
      <c r="Y88">
        <v>0</v>
      </c>
      <c r="Z88">
        <v>0</v>
      </c>
      <c r="AA88">
        <v>0</v>
      </c>
      <c r="AD88">
        <v>0</v>
      </c>
      <c r="AM88" t="s">
        <v>1528</v>
      </c>
      <c r="AN88" t="s">
        <v>107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4461</v>
      </c>
      <c r="BA88">
        <v>0</v>
      </c>
      <c r="BC88" t="s">
        <v>107</v>
      </c>
      <c r="BF88" t="s">
        <v>4462</v>
      </c>
    </row>
    <row r="89" spans="1:58" x14ac:dyDescent="0.35">
      <c r="A89" t="s">
        <v>4463</v>
      </c>
      <c r="B89">
        <v>10000</v>
      </c>
      <c r="C89">
        <v>20000</v>
      </c>
      <c r="D89" s="2">
        <v>45744</v>
      </c>
      <c r="E89" t="s">
        <v>61</v>
      </c>
      <c r="F89" t="s">
        <v>4464</v>
      </c>
      <c r="G89" t="s">
        <v>4218</v>
      </c>
      <c r="I89">
        <v>2</v>
      </c>
      <c r="J89" t="s">
        <v>63</v>
      </c>
      <c r="K89">
        <v>77</v>
      </c>
      <c r="L89" t="s">
        <v>127</v>
      </c>
      <c r="M89" s="4">
        <v>1250</v>
      </c>
      <c r="P89" s="2">
        <v>45736</v>
      </c>
      <c r="R89">
        <v>88</v>
      </c>
      <c r="S89" s="4">
        <v>110000</v>
      </c>
      <c r="T89" t="s">
        <v>65</v>
      </c>
      <c r="U89" t="s">
        <v>1334</v>
      </c>
      <c r="V89">
        <v>0</v>
      </c>
      <c r="W89" s="4">
        <v>100000</v>
      </c>
      <c r="X89" s="4">
        <v>10000</v>
      </c>
      <c r="Y89">
        <v>0</v>
      </c>
      <c r="Z89">
        <v>0</v>
      </c>
      <c r="AA89">
        <v>0</v>
      </c>
      <c r="AD89">
        <v>0</v>
      </c>
      <c r="AM89" t="s">
        <v>1335</v>
      </c>
      <c r="AN89" t="s">
        <v>107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4465</v>
      </c>
      <c r="BA89">
        <v>0</v>
      </c>
      <c r="BC89" t="s">
        <v>107</v>
      </c>
      <c r="BF89" t="s">
        <v>4466</v>
      </c>
    </row>
    <row r="90" spans="1:58" x14ac:dyDescent="0.35">
      <c r="A90" t="s">
        <v>4642</v>
      </c>
      <c r="B90">
        <v>10000</v>
      </c>
      <c r="C90">
        <v>10000</v>
      </c>
      <c r="D90" s="2">
        <v>45737</v>
      </c>
      <c r="E90" t="s">
        <v>61</v>
      </c>
      <c r="F90" t="s">
        <v>4643</v>
      </c>
      <c r="G90">
        <v>310180293</v>
      </c>
      <c r="I90">
        <v>1</v>
      </c>
      <c r="J90" t="s">
        <v>63</v>
      </c>
      <c r="K90">
        <v>88</v>
      </c>
      <c r="L90" t="s">
        <v>630</v>
      </c>
      <c r="M90">
        <v>150</v>
      </c>
      <c r="P90" s="2">
        <v>45736</v>
      </c>
      <c r="R90">
        <v>1</v>
      </c>
      <c r="S90">
        <v>150</v>
      </c>
      <c r="T90" t="s">
        <v>65</v>
      </c>
      <c r="U90" t="s">
        <v>4644</v>
      </c>
      <c r="V90">
        <v>0</v>
      </c>
      <c r="W90">
        <v>50</v>
      </c>
      <c r="X90">
        <v>100</v>
      </c>
      <c r="Y90">
        <v>0</v>
      </c>
      <c r="Z90">
        <v>0</v>
      </c>
      <c r="AA90">
        <v>0</v>
      </c>
      <c r="AD90">
        <v>0</v>
      </c>
      <c r="AM90" t="s">
        <v>4645</v>
      </c>
      <c r="AN90" t="s">
        <v>3041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4646</v>
      </c>
      <c r="BA90">
        <v>0</v>
      </c>
      <c r="BC90" t="s">
        <v>3041</v>
      </c>
      <c r="BF90" t="s">
        <v>4647</v>
      </c>
    </row>
    <row r="91" spans="1:58" x14ac:dyDescent="0.35">
      <c r="A91" t="s">
        <v>4648</v>
      </c>
      <c r="B91">
        <v>10000</v>
      </c>
      <c r="C91">
        <v>10000</v>
      </c>
      <c r="D91" s="2">
        <v>45748</v>
      </c>
      <c r="E91" t="s">
        <v>61</v>
      </c>
      <c r="F91" t="s">
        <v>4649</v>
      </c>
      <c r="G91">
        <v>12190705005</v>
      </c>
      <c r="I91">
        <v>1</v>
      </c>
      <c r="J91" t="s">
        <v>63</v>
      </c>
      <c r="K91">
        <v>68</v>
      </c>
      <c r="L91" t="s">
        <v>4650</v>
      </c>
      <c r="M91" s="4">
        <v>50000</v>
      </c>
      <c r="P91" s="2">
        <v>45736</v>
      </c>
      <c r="R91">
        <v>2</v>
      </c>
      <c r="S91" s="4">
        <v>100000</v>
      </c>
      <c r="T91" t="s">
        <v>65</v>
      </c>
      <c r="U91" t="s">
        <v>803</v>
      </c>
      <c r="V91">
        <v>0</v>
      </c>
      <c r="W91" s="4">
        <v>100000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804</v>
      </c>
      <c r="AN91" t="s">
        <v>157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4651</v>
      </c>
      <c r="BA91">
        <v>0</v>
      </c>
      <c r="BC91" t="s">
        <v>157</v>
      </c>
      <c r="BF91" t="s">
        <v>4652</v>
      </c>
    </row>
    <row r="92" spans="1:58" x14ac:dyDescent="0.35">
      <c r="A92" t="s">
        <v>4653</v>
      </c>
      <c r="B92">
        <v>10000</v>
      </c>
      <c r="C92">
        <v>10000</v>
      </c>
      <c r="D92" s="2">
        <v>45736</v>
      </c>
      <c r="E92" t="s">
        <v>61</v>
      </c>
      <c r="F92" t="s">
        <v>4619</v>
      </c>
      <c r="G92" t="s">
        <v>1457</v>
      </c>
      <c r="I92">
        <v>1</v>
      </c>
      <c r="J92" t="s">
        <v>63</v>
      </c>
      <c r="K92">
        <v>65</v>
      </c>
      <c r="L92" t="s">
        <v>268</v>
      </c>
      <c r="M92">
        <v>750</v>
      </c>
      <c r="P92" s="2">
        <v>45736</v>
      </c>
      <c r="R92">
        <v>4</v>
      </c>
      <c r="S92" s="4">
        <v>3000</v>
      </c>
      <c r="T92" t="s">
        <v>65</v>
      </c>
      <c r="U92" t="s">
        <v>4654</v>
      </c>
      <c r="V92">
        <v>0</v>
      </c>
      <c r="W92" s="4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4655</v>
      </c>
      <c r="AN92" t="s">
        <v>508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4656</v>
      </c>
      <c r="BA92">
        <v>0</v>
      </c>
      <c r="BC92" t="s">
        <v>508</v>
      </c>
      <c r="BF92" t="s">
        <v>4657</v>
      </c>
    </row>
    <row r="93" spans="1:58" x14ac:dyDescent="0.35">
      <c r="A93" t="s">
        <v>4658</v>
      </c>
      <c r="B93">
        <v>10000</v>
      </c>
      <c r="C93">
        <v>10000</v>
      </c>
      <c r="D93" s="2">
        <v>45736</v>
      </c>
      <c r="E93" t="s">
        <v>61</v>
      </c>
      <c r="F93" t="s">
        <v>4659</v>
      </c>
      <c r="G93" t="s">
        <v>1032</v>
      </c>
      <c r="I93">
        <v>1</v>
      </c>
      <c r="J93" t="s">
        <v>63</v>
      </c>
      <c r="K93">
        <v>65</v>
      </c>
      <c r="L93" t="s">
        <v>268</v>
      </c>
      <c r="M93" s="4">
        <v>1000</v>
      </c>
      <c r="P93" s="2">
        <v>45736</v>
      </c>
      <c r="R93">
        <v>9</v>
      </c>
      <c r="S93" s="4">
        <v>9000</v>
      </c>
      <c r="T93" t="s">
        <v>65</v>
      </c>
      <c r="U93" t="s">
        <v>1463</v>
      </c>
      <c r="V93">
        <v>0</v>
      </c>
      <c r="W93" s="4">
        <v>9000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1464</v>
      </c>
      <c r="AN93" t="s">
        <v>508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4660</v>
      </c>
      <c r="BA93">
        <v>0</v>
      </c>
      <c r="BC93" t="s">
        <v>508</v>
      </c>
      <c r="BF93" t="s">
        <v>4657</v>
      </c>
    </row>
    <row r="94" spans="1:58" x14ac:dyDescent="0.35">
      <c r="A94" t="s">
        <v>4661</v>
      </c>
      <c r="B94">
        <v>10000</v>
      </c>
      <c r="C94">
        <v>10000</v>
      </c>
      <c r="D94" s="2">
        <v>45736</v>
      </c>
      <c r="E94" t="s">
        <v>61</v>
      </c>
      <c r="F94" s="3">
        <v>0.46954861111111112</v>
      </c>
      <c r="G94" t="s">
        <v>2986</v>
      </c>
      <c r="I94">
        <v>1</v>
      </c>
      <c r="J94" t="s">
        <v>63</v>
      </c>
      <c r="K94">
        <v>65</v>
      </c>
      <c r="L94" t="s">
        <v>268</v>
      </c>
      <c r="M94" s="4">
        <v>1000</v>
      </c>
      <c r="P94" s="2">
        <v>45736</v>
      </c>
      <c r="R94">
        <v>2</v>
      </c>
      <c r="S94" s="4">
        <v>2000</v>
      </c>
      <c r="T94" t="s">
        <v>65</v>
      </c>
      <c r="U94" t="s">
        <v>4662</v>
      </c>
      <c r="V94">
        <v>0</v>
      </c>
      <c r="W94" s="4">
        <v>2000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4663</v>
      </c>
      <c r="AN94" t="s">
        <v>508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4664</v>
      </c>
      <c r="BA94">
        <v>0</v>
      </c>
      <c r="BC94" t="s">
        <v>508</v>
      </c>
      <c r="BF94" t="s">
        <v>4657</v>
      </c>
    </row>
    <row r="95" spans="1:58" x14ac:dyDescent="0.35">
      <c r="A95" t="s">
        <v>4665</v>
      </c>
      <c r="B95">
        <v>10000</v>
      </c>
      <c r="C95">
        <v>10000</v>
      </c>
      <c r="D95" s="2">
        <v>45736</v>
      </c>
      <c r="E95" t="s">
        <v>61</v>
      </c>
      <c r="F95" t="s">
        <v>4619</v>
      </c>
      <c r="G95" t="s">
        <v>1457</v>
      </c>
      <c r="I95">
        <v>1</v>
      </c>
      <c r="J95" t="s">
        <v>63</v>
      </c>
      <c r="K95">
        <v>65</v>
      </c>
      <c r="L95" t="s">
        <v>268</v>
      </c>
      <c r="M95">
        <v>500</v>
      </c>
      <c r="P95" s="2">
        <v>45736</v>
      </c>
      <c r="R95">
        <v>4</v>
      </c>
      <c r="S95" s="4">
        <v>2000</v>
      </c>
      <c r="T95" t="s">
        <v>65</v>
      </c>
      <c r="U95" t="s">
        <v>4654</v>
      </c>
      <c r="V95">
        <v>0</v>
      </c>
      <c r="W95" s="4">
        <v>2000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4655</v>
      </c>
      <c r="AN95" t="s">
        <v>508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4666</v>
      </c>
      <c r="BA95">
        <v>0</v>
      </c>
      <c r="BC95" t="s">
        <v>508</v>
      </c>
      <c r="BF95" t="s">
        <v>4667</v>
      </c>
    </row>
    <row r="96" spans="1:58" x14ac:dyDescent="0.35">
      <c r="A96" t="s">
        <v>4668</v>
      </c>
      <c r="B96">
        <v>10000</v>
      </c>
      <c r="C96">
        <v>10000</v>
      </c>
      <c r="D96" s="2">
        <v>45736</v>
      </c>
      <c r="E96" t="s">
        <v>61</v>
      </c>
      <c r="F96" t="s">
        <v>4659</v>
      </c>
      <c r="G96" t="s">
        <v>1032</v>
      </c>
      <c r="I96">
        <v>1</v>
      </c>
      <c r="J96" t="s">
        <v>63</v>
      </c>
      <c r="K96">
        <v>65</v>
      </c>
      <c r="L96" t="s">
        <v>268</v>
      </c>
      <c r="M96">
        <v>667</v>
      </c>
      <c r="P96" s="2">
        <v>45736</v>
      </c>
      <c r="R96">
        <v>9</v>
      </c>
      <c r="S96" s="4">
        <v>6003</v>
      </c>
      <c r="T96" t="s">
        <v>65</v>
      </c>
      <c r="U96" t="s">
        <v>1463</v>
      </c>
      <c r="V96">
        <v>0</v>
      </c>
      <c r="W96" s="4">
        <v>6000</v>
      </c>
      <c r="X96">
        <v>3</v>
      </c>
      <c r="Y96">
        <v>0</v>
      </c>
      <c r="Z96">
        <v>0</v>
      </c>
      <c r="AA96">
        <v>0</v>
      </c>
      <c r="AD96">
        <v>0</v>
      </c>
      <c r="AM96" t="s">
        <v>1464</v>
      </c>
      <c r="AN96" t="s">
        <v>508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4669</v>
      </c>
      <c r="BA96">
        <v>0</v>
      </c>
      <c r="BC96" t="s">
        <v>508</v>
      </c>
      <c r="BF96" t="s">
        <v>4667</v>
      </c>
    </row>
    <row r="97" spans="1:58" x14ac:dyDescent="0.35">
      <c r="A97" t="s">
        <v>4670</v>
      </c>
      <c r="B97">
        <v>10000</v>
      </c>
      <c r="C97">
        <v>10000</v>
      </c>
      <c r="D97" s="2">
        <v>45736</v>
      </c>
      <c r="E97" t="s">
        <v>61</v>
      </c>
      <c r="F97" s="3">
        <v>0.46954861111111112</v>
      </c>
      <c r="G97" t="s">
        <v>2986</v>
      </c>
      <c r="I97">
        <v>1</v>
      </c>
      <c r="J97" t="s">
        <v>63</v>
      </c>
      <c r="K97">
        <v>65</v>
      </c>
      <c r="L97" t="s">
        <v>268</v>
      </c>
      <c r="M97" s="4">
        <v>1000</v>
      </c>
      <c r="P97" s="2">
        <v>45736</v>
      </c>
      <c r="R97">
        <v>2</v>
      </c>
      <c r="S97" s="4">
        <v>2000</v>
      </c>
      <c r="T97" t="s">
        <v>65</v>
      </c>
      <c r="U97" t="s">
        <v>4662</v>
      </c>
      <c r="V97">
        <v>0</v>
      </c>
      <c r="W97" s="4">
        <v>2000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4663</v>
      </c>
      <c r="AN97" t="s">
        <v>508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69</v>
      </c>
      <c r="AZ97" t="s">
        <v>4671</v>
      </c>
      <c r="BA97">
        <v>0</v>
      </c>
      <c r="BC97" t="s">
        <v>508</v>
      </c>
      <c r="BF97" t="s">
        <v>4667</v>
      </c>
    </row>
    <row r="98" spans="1:58" x14ac:dyDescent="0.35">
      <c r="A98" t="s">
        <v>4672</v>
      </c>
      <c r="B98">
        <v>10000</v>
      </c>
      <c r="C98">
        <v>10000</v>
      </c>
      <c r="D98" s="2">
        <v>45736</v>
      </c>
      <c r="E98" t="s">
        <v>61</v>
      </c>
      <c r="F98" s="3">
        <v>0.42677083333333332</v>
      </c>
      <c r="G98" t="s">
        <v>418</v>
      </c>
      <c r="I98">
        <v>1</v>
      </c>
      <c r="J98" t="s">
        <v>63</v>
      </c>
      <c r="K98">
        <v>59</v>
      </c>
      <c r="L98" t="s">
        <v>745</v>
      </c>
      <c r="M98">
        <v>200</v>
      </c>
      <c r="P98" s="2">
        <v>45736</v>
      </c>
      <c r="R98">
        <v>10</v>
      </c>
      <c r="S98" s="4">
        <v>2000</v>
      </c>
      <c r="T98" t="s">
        <v>65</v>
      </c>
      <c r="U98">
        <v>112023610001</v>
      </c>
      <c r="V98">
        <v>0</v>
      </c>
      <c r="W98" s="4">
        <v>2000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11202361</v>
      </c>
      <c r="AN98" t="s">
        <v>182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69</v>
      </c>
      <c r="AZ98" t="s">
        <v>4673</v>
      </c>
      <c r="BA98">
        <v>0</v>
      </c>
      <c r="BC98" t="s">
        <v>182</v>
      </c>
      <c r="BF98" t="s">
        <v>4674</v>
      </c>
    </row>
    <row r="99" spans="1:58" x14ac:dyDescent="0.35">
      <c r="A99" t="s">
        <v>4675</v>
      </c>
      <c r="B99">
        <v>10000</v>
      </c>
      <c r="C99">
        <v>10000</v>
      </c>
      <c r="D99" s="2">
        <v>45736</v>
      </c>
      <c r="E99" t="s">
        <v>61</v>
      </c>
      <c r="F99" s="3">
        <v>0.42677083333333332</v>
      </c>
      <c r="G99" t="s">
        <v>418</v>
      </c>
      <c r="I99">
        <v>1</v>
      </c>
      <c r="J99" t="s">
        <v>63</v>
      </c>
      <c r="K99">
        <v>59</v>
      </c>
      <c r="L99" t="s">
        <v>745</v>
      </c>
      <c r="M99">
        <v>200</v>
      </c>
      <c r="P99" s="2">
        <v>45736</v>
      </c>
      <c r="R99">
        <v>10</v>
      </c>
      <c r="S99" s="4">
        <v>2000</v>
      </c>
      <c r="T99" t="s">
        <v>65</v>
      </c>
      <c r="U99">
        <v>112023610001</v>
      </c>
      <c r="V99">
        <v>0</v>
      </c>
      <c r="W99" s="4">
        <v>2000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11202361</v>
      </c>
      <c r="AN99" t="s">
        <v>182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69</v>
      </c>
      <c r="AZ99" t="s">
        <v>4676</v>
      </c>
      <c r="BA99">
        <v>0</v>
      </c>
      <c r="BC99" t="s">
        <v>182</v>
      </c>
      <c r="BF99" t="s">
        <v>4677</v>
      </c>
    </row>
    <row r="100" spans="1:58" x14ac:dyDescent="0.35">
      <c r="A100" t="s">
        <v>4678</v>
      </c>
      <c r="B100">
        <v>10000</v>
      </c>
      <c r="C100">
        <v>10000</v>
      </c>
      <c r="D100" s="2">
        <v>45736</v>
      </c>
      <c r="E100" t="s">
        <v>61</v>
      </c>
      <c r="F100" s="3">
        <v>0.48013888888888889</v>
      </c>
      <c r="G100" t="s">
        <v>418</v>
      </c>
      <c r="I100">
        <v>1</v>
      </c>
      <c r="J100" t="s">
        <v>63</v>
      </c>
      <c r="K100">
        <v>59</v>
      </c>
      <c r="L100" t="s">
        <v>745</v>
      </c>
      <c r="M100">
        <v>200</v>
      </c>
      <c r="P100" s="2">
        <v>45736</v>
      </c>
      <c r="R100">
        <v>10</v>
      </c>
      <c r="S100" s="4">
        <v>2000</v>
      </c>
      <c r="T100" t="s">
        <v>65</v>
      </c>
      <c r="U100">
        <v>112024760001</v>
      </c>
      <c r="V100">
        <v>0</v>
      </c>
      <c r="W100" s="4">
        <v>2000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11202476</v>
      </c>
      <c r="AN100" t="s">
        <v>182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69</v>
      </c>
      <c r="AZ100" t="s">
        <v>4679</v>
      </c>
      <c r="BA100">
        <v>0</v>
      </c>
      <c r="BC100" t="s">
        <v>182</v>
      </c>
      <c r="BF100" t="s">
        <v>4680</v>
      </c>
    </row>
    <row r="101" spans="1:58" x14ac:dyDescent="0.35">
      <c r="A101" t="s">
        <v>4681</v>
      </c>
      <c r="B101">
        <v>10000</v>
      </c>
      <c r="C101">
        <v>10000</v>
      </c>
      <c r="D101" s="2">
        <v>45736</v>
      </c>
      <c r="E101" t="s">
        <v>61</v>
      </c>
      <c r="F101" s="3">
        <v>0.48013888888888889</v>
      </c>
      <c r="G101" t="s">
        <v>418</v>
      </c>
      <c r="I101">
        <v>1</v>
      </c>
      <c r="J101" t="s">
        <v>63</v>
      </c>
      <c r="K101">
        <v>59</v>
      </c>
      <c r="L101" t="s">
        <v>745</v>
      </c>
      <c r="M101">
        <v>200</v>
      </c>
      <c r="P101" s="2">
        <v>45736</v>
      </c>
      <c r="R101">
        <v>10</v>
      </c>
      <c r="S101" s="4">
        <v>2000</v>
      </c>
      <c r="T101" t="s">
        <v>65</v>
      </c>
      <c r="U101">
        <v>112024760001</v>
      </c>
      <c r="V101">
        <v>0</v>
      </c>
      <c r="W101" s="4">
        <v>2000</v>
      </c>
      <c r="X101">
        <v>0</v>
      </c>
      <c r="Y101">
        <v>0</v>
      </c>
      <c r="Z101">
        <v>0</v>
      </c>
      <c r="AA101">
        <v>0</v>
      </c>
      <c r="AD101">
        <v>0</v>
      </c>
      <c r="AM101">
        <v>11202476</v>
      </c>
      <c r="AN101" t="s">
        <v>182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69</v>
      </c>
      <c r="AZ101" t="s">
        <v>4682</v>
      </c>
      <c r="BA101">
        <v>0</v>
      </c>
      <c r="BC101" t="s">
        <v>182</v>
      </c>
      <c r="BF101" t="s">
        <v>4683</v>
      </c>
    </row>
    <row r="102" spans="1:58" x14ac:dyDescent="0.35">
      <c r="A102" t="s">
        <v>4684</v>
      </c>
      <c r="B102">
        <v>10000</v>
      </c>
      <c r="C102">
        <v>10000</v>
      </c>
      <c r="D102" s="2">
        <v>45736</v>
      </c>
      <c r="E102" t="s">
        <v>61</v>
      </c>
      <c r="F102" t="s">
        <v>4685</v>
      </c>
      <c r="G102" t="s">
        <v>418</v>
      </c>
      <c r="I102">
        <v>1</v>
      </c>
      <c r="J102" t="s">
        <v>63</v>
      </c>
      <c r="K102">
        <v>59</v>
      </c>
      <c r="L102" t="s">
        <v>745</v>
      </c>
      <c r="M102">
        <v>200</v>
      </c>
      <c r="P102" s="2">
        <v>45736</v>
      </c>
      <c r="R102">
        <v>10</v>
      </c>
      <c r="S102" s="4">
        <v>2000</v>
      </c>
      <c r="T102" t="s">
        <v>65</v>
      </c>
      <c r="U102">
        <v>112026870001</v>
      </c>
      <c r="V102">
        <v>0</v>
      </c>
      <c r="W102" s="4">
        <v>2000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11202687</v>
      </c>
      <c r="AN102" t="s">
        <v>182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69</v>
      </c>
      <c r="AZ102" t="s">
        <v>4686</v>
      </c>
      <c r="BA102">
        <v>0</v>
      </c>
      <c r="BC102" t="s">
        <v>182</v>
      </c>
      <c r="BF102" t="s">
        <v>4687</v>
      </c>
    </row>
    <row r="103" spans="1:58" x14ac:dyDescent="0.35">
      <c r="A103" t="s">
        <v>4688</v>
      </c>
      <c r="B103">
        <v>10000</v>
      </c>
      <c r="C103">
        <v>10000</v>
      </c>
      <c r="D103" s="2">
        <v>45736</v>
      </c>
      <c r="E103" t="s">
        <v>61</v>
      </c>
      <c r="F103" t="s">
        <v>2972</v>
      </c>
      <c r="G103" t="s">
        <v>4689</v>
      </c>
      <c r="I103">
        <v>1</v>
      </c>
      <c r="J103" t="s">
        <v>63</v>
      </c>
      <c r="K103">
        <v>112</v>
      </c>
      <c r="L103" t="s">
        <v>597</v>
      </c>
      <c r="M103">
        <v>30</v>
      </c>
      <c r="P103" s="2">
        <v>45736</v>
      </c>
      <c r="R103">
        <v>4</v>
      </c>
      <c r="S103">
        <v>120</v>
      </c>
      <c r="T103" t="s">
        <v>65</v>
      </c>
      <c r="U103" t="s">
        <v>4690</v>
      </c>
      <c r="V103">
        <v>0</v>
      </c>
      <c r="W103">
        <v>120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4691</v>
      </c>
      <c r="AN103" t="s">
        <v>321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69</v>
      </c>
      <c r="AZ103" t="s">
        <v>4692</v>
      </c>
      <c r="BA103">
        <v>0</v>
      </c>
      <c r="BC103" t="s">
        <v>321</v>
      </c>
      <c r="BF103" t="s">
        <v>4693</v>
      </c>
    </row>
    <row r="104" spans="1:58" x14ac:dyDescent="0.35">
      <c r="A104" t="s">
        <v>4694</v>
      </c>
      <c r="B104">
        <v>10000</v>
      </c>
      <c r="C104">
        <v>10000</v>
      </c>
      <c r="D104" s="2">
        <v>45736</v>
      </c>
      <c r="E104" t="s">
        <v>61</v>
      </c>
      <c r="F104" t="s">
        <v>4695</v>
      </c>
      <c r="G104" t="s">
        <v>4696</v>
      </c>
      <c r="I104">
        <v>1</v>
      </c>
      <c r="J104" t="s">
        <v>63</v>
      </c>
      <c r="K104">
        <v>112</v>
      </c>
      <c r="L104" t="s">
        <v>597</v>
      </c>
      <c r="M104">
        <v>4</v>
      </c>
      <c r="P104" s="2">
        <v>45736</v>
      </c>
      <c r="R104">
        <v>15</v>
      </c>
      <c r="S104">
        <v>60</v>
      </c>
      <c r="T104" t="s">
        <v>65</v>
      </c>
      <c r="U104" t="s">
        <v>4548</v>
      </c>
      <c r="V104">
        <v>0</v>
      </c>
      <c r="W104">
        <v>60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4549</v>
      </c>
      <c r="AN104" t="s">
        <v>321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69</v>
      </c>
      <c r="AZ104" t="s">
        <v>4697</v>
      </c>
      <c r="BA104">
        <v>0</v>
      </c>
      <c r="BC104" t="s">
        <v>321</v>
      </c>
      <c r="BF104" t="s">
        <v>4693</v>
      </c>
    </row>
    <row r="105" spans="1:58" x14ac:dyDescent="0.35">
      <c r="A105" t="s">
        <v>4698</v>
      </c>
      <c r="B105">
        <v>10000</v>
      </c>
      <c r="C105">
        <v>10000</v>
      </c>
      <c r="D105" s="2">
        <v>45736</v>
      </c>
      <c r="E105" t="s">
        <v>61</v>
      </c>
      <c r="F105" t="s">
        <v>4699</v>
      </c>
      <c r="G105" t="s">
        <v>4700</v>
      </c>
      <c r="I105">
        <v>1</v>
      </c>
      <c r="J105" t="s">
        <v>63</v>
      </c>
      <c r="K105">
        <v>112</v>
      </c>
      <c r="L105" t="s">
        <v>597</v>
      </c>
      <c r="M105">
        <v>3</v>
      </c>
      <c r="P105" s="2">
        <v>45736</v>
      </c>
      <c r="R105">
        <v>20</v>
      </c>
      <c r="S105">
        <v>60</v>
      </c>
      <c r="T105" t="s">
        <v>65</v>
      </c>
      <c r="U105" t="s">
        <v>4132</v>
      </c>
      <c r="V105">
        <v>0</v>
      </c>
      <c r="W105">
        <v>50</v>
      </c>
      <c r="X105">
        <v>10</v>
      </c>
      <c r="Y105">
        <v>0</v>
      </c>
      <c r="Z105">
        <v>0</v>
      </c>
      <c r="AA105">
        <v>0</v>
      </c>
      <c r="AD105">
        <v>0</v>
      </c>
      <c r="AM105" t="s">
        <v>4133</v>
      </c>
      <c r="AN105" t="s">
        <v>321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69</v>
      </c>
      <c r="AZ105" t="s">
        <v>4701</v>
      </c>
      <c r="BA105">
        <v>0</v>
      </c>
      <c r="BC105" t="s">
        <v>321</v>
      </c>
      <c r="BF105" t="s">
        <v>4693</v>
      </c>
    </row>
    <row r="106" spans="1:58" x14ac:dyDescent="0.35">
      <c r="A106" t="s">
        <v>4702</v>
      </c>
      <c r="B106">
        <v>10000</v>
      </c>
      <c r="C106">
        <v>10000</v>
      </c>
      <c r="D106" s="2">
        <v>45736</v>
      </c>
      <c r="E106" t="s">
        <v>61</v>
      </c>
      <c r="F106" t="s">
        <v>4703</v>
      </c>
      <c r="G106" t="s">
        <v>4704</v>
      </c>
      <c r="I106">
        <v>1</v>
      </c>
      <c r="J106" t="s">
        <v>63</v>
      </c>
      <c r="K106">
        <v>112</v>
      </c>
      <c r="L106" t="s">
        <v>597</v>
      </c>
      <c r="M106">
        <v>3</v>
      </c>
      <c r="P106" s="2">
        <v>45736</v>
      </c>
      <c r="R106">
        <v>20</v>
      </c>
      <c r="S106">
        <v>60</v>
      </c>
      <c r="T106" t="s">
        <v>65</v>
      </c>
      <c r="U106" t="s">
        <v>3909</v>
      </c>
      <c r="V106">
        <v>0</v>
      </c>
      <c r="W106">
        <v>50</v>
      </c>
      <c r="X106">
        <v>10</v>
      </c>
      <c r="Y106">
        <v>0</v>
      </c>
      <c r="Z106">
        <v>0</v>
      </c>
      <c r="AA106">
        <v>0</v>
      </c>
      <c r="AD106">
        <v>0</v>
      </c>
      <c r="AM106" t="s">
        <v>3910</v>
      </c>
      <c r="AN106" t="s">
        <v>321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69</v>
      </c>
      <c r="AZ106" t="s">
        <v>4705</v>
      </c>
      <c r="BA106">
        <v>0</v>
      </c>
      <c r="BC106" t="s">
        <v>321</v>
      </c>
      <c r="BF106" t="s">
        <v>4693</v>
      </c>
    </row>
    <row r="107" spans="1:58" x14ac:dyDescent="0.35">
      <c r="A107" t="s">
        <v>4706</v>
      </c>
      <c r="B107">
        <v>10000</v>
      </c>
      <c r="C107">
        <v>10000</v>
      </c>
      <c r="D107" s="2">
        <v>45740</v>
      </c>
      <c r="E107" t="s">
        <v>61</v>
      </c>
      <c r="F107" t="s">
        <v>4707</v>
      </c>
      <c r="G107" t="s">
        <v>240</v>
      </c>
      <c r="I107">
        <v>1</v>
      </c>
      <c r="J107" t="s">
        <v>63</v>
      </c>
      <c r="K107">
        <v>79</v>
      </c>
      <c r="L107" t="s">
        <v>573</v>
      </c>
      <c r="M107">
        <v>375</v>
      </c>
      <c r="P107" s="2">
        <v>45736</v>
      </c>
      <c r="R107">
        <v>12</v>
      </c>
      <c r="S107" s="4">
        <v>4500</v>
      </c>
      <c r="T107" t="s">
        <v>65</v>
      </c>
      <c r="U107" t="s">
        <v>241</v>
      </c>
      <c r="V107">
        <v>0</v>
      </c>
      <c r="W107" s="4">
        <v>3000</v>
      </c>
      <c r="X107" s="4">
        <v>1500</v>
      </c>
      <c r="Y107">
        <v>0</v>
      </c>
      <c r="Z107">
        <v>0</v>
      </c>
      <c r="AA107">
        <v>0</v>
      </c>
      <c r="AD107">
        <v>0</v>
      </c>
      <c r="AM107" t="s">
        <v>242</v>
      </c>
      <c r="AN107" t="s">
        <v>243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69</v>
      </c>
      <c r="AZ107" t="s">
        <v>4708</v>
      </c>
      <c r="BA107">
        <v>0</v>
      </c>
      <c r="BC107" t="s">
        <v>243</v>
      </c>
      <c r="BF107" t="s">
        <v>4709</v>
      </c>
    </row>
    <row r="115" spans="1:2" x14ac:dyDescent="0.35">
      <c r="A115">
        <f>COUNTA(A5:A114)</f>
        <v>103</v>
      </c>
      <c r="B115">
        <f>'19-Mar'!B130+'20-Mar'!A115</f>
        <v>1383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14F7-051A-4B56-82EE-0259DA94008B}">
  <dimension ref="A1:BF90"/>
  <sheetViews>
    <sheetView topLeftCell="A76" workbookViewId="0">
      <selection activeCell="A4" sqref="A4:XFD7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4710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4711</v>
      </c>
      <c r="B5">
        <v>10000</v>
      </c>
      <c r="C5">
        <v>10000</v>
      </c>
      <c r="D5" s="2">
        <v>45744</v>
      </c>
      <c r="E5" t="s">
        <v>95</v>
      </c>
      <c r="F5" t="s">
        <v>4712</v>
      </c>
      <c r="G5" t="s">
        <v>4713</v>
      </c>
      <c r="H5" t="s">
        <v>4714</v>
      </c>
      <c r="I5">
        <v>1</v>
      </c>
      <c r="J5" t="s">
        <v>69</v>
      </c>
      <c r="K5">
        <v>79</v>
      </c>
      <c r="L5" t="s">
        <v>573</v>
      </c>
      <c r="M5">
        <v>84</v>
      </c>
      <c r="P5" s="2">
        <v>45737</v>
      </c>
      <c r="R5">
        <v>60</v>
      </c>
      <c r="S5" s="4">
        <v>5040</v>
      </c>
      <c r="T5" t="s">
        <v>65</v>
      </c>
      <c r="U5" t="s">
        <v>4715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4716</v>
      </c>
      <c r="AN5" t="s">
        <v>1253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1253</v>
      </c>
      <c r="BF5" t="s">
        <v>4717</v>
      </c>
    </row>
    <row r="6" spans="1:58" x14ac:dyDescent="0.35">
      <c r="A6" t="s">
        <v>4718</v>
      </c>
      <c r="B6">
        <v>10000</v>
      </c>
      <c r="C6">
        <v>10000</v>
      </c>
      <c r="D6" s="2">
        <v>45744</v>
      </c>
      <c r="E6" t="s">
        <v>61</v>
      </c>
      <c r="F6" t="s">
        <v>4719</v>
      </c>
      <c r="G6" t="s">
        <v>4713</v>
      </c>
      <c r="H6" t="s">
        <v>4720</v>
      </c>
      <c r="I6">
        <v>1</v>
      </c>
      <c r="J6" t="s">
        <v>69</v>
      </c>
      <c r="K6">
        <v>79</v>
      </c>
      <c r="L6" t="s">
        <v>573</v>
      </c>
      <c r="M6">
        <v>62</v>
      </c>
      <c r="P6" s="2">
        <v>45737</v>
      </c>
      <c r="R6">
        <v>65</v>
      </c>
      <c r="S6" s="4">
        <v>4030</v>
      </c>
      <c r="T6" t="s">
        <v>65</v>
      </c>
      <c r="U6" t="s">
        <v>4721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4722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68</v>
      </c>
      <c r="BF6" t="s">
        <v>4723</v>
      </c>
    </row>
    <row r="7" spans="1:58" x14ac:dyDescent="0.35">
      <c r="A7" t="s">
        <v>4724</v>
      </c>
      <c r="B7">
        <v>10000</v>
      </c>
      <c r="C7">
        <v>10000</v>
      </c>
      <c r="D7" s="2">
        <v>45744</v>
      </c>
      <c r="E7" t="s">
        <v>95</v>
      </c>
      <c r="F7" t="s">
        <v>4712</v>
      </c>
      <c r="G7" t="s">
        <v>4713</v>
      </c>
      <c r="H7" t="s">
        <v>4714</v>
      </c>
      <c r="I7">
        <v>1</v>
      </c>
      <c r="J7" t="s">
        <v>69</v>
      </c>
      <c r="K7">
        <v>79</v>
      </c>
      <c r="L7" t="s">
        <v>573</v>
      </c>
      <c r="M7">
        <v>50</v>
      </c>
      <c r="P7" s="2">
        <v>45737</v>
      </c>
      <c r="R7">
        <v>60</v>
      </c>
      <c r="S7" s="4">
        <v>3000</v>
      </c>
      <c r="T7" t="s">
        <v>65</v>
      </c>
      <c r="U7" t="s">
        <v>933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934</v>
      </c>
      <c r="AN7" t="s">
        <v>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68</v>
      </c>
      <c r="BF7" t="s">
        <v>4725</v>
      </c>
    </row>
    <row r="8" spans="1:58" x14ac:dyDescent="0.35">
      <c r="A8" t="s">
        <v>4726</v>
      </c>
      <c r="B8">
        <v>10000</v>
      </c>
      <c r="C8">
        <v>10000</v>
      </c>
      <c r="D8" s="2">
        <v>45744</v>
      </c>
      <c r="E8" t="s">
        <v>61</v>
      </c>
      <c r="F8" t="s">
        <v>4727</v>
      </c>
      <c r="G8" t="s">
        <v>4713</v>
      </c>
      <c r="H8" t="s">
        <v>4720</v>
      </c>
      <c r="I8">
        <v>1</v>
      </c>
      <c r="J8" t="s">
        <v>69</v>
      </c>
      <c r="K8">
        <v>79</v>
      </c>
      <c r="L8" t="s">
        <v>573</v>
      </c>
      <c r="M8">
        <v>200</v>
      </c>
      <c r="P8" s="2">
        <v>45737</v>
      </c>
      <c r="R8">
        <v>65</v>
      </c>
      <c r="S8" s="4">
        <v>13000</v>
      </c>
      <c r="T8" t="s">
        <v>65</v>
      </c>
      <c r="U8" t="s">
        <v>4728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4729</v>
      </c>
      <c r="AN8" t="s">
        <v>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68</v>
      </c>
      <c r="BF8" t="s">
        <v>4730</v>
      </c>
    </row>
    <row r="9" spans="1:58" x14ac:dyDescent="0.35">
      <c r="A9" t="s">
        <v>2782</v>
      </c>
      <c r="B9">
        <v>10000</v>
      </c>
      <c r="C9">
        <v>40000</v>
      </c>
      <c r="D9" s="2">
        <v>45754</v>
      </c>
      <c r="E9" t="s">
        <v>61</v>
      </c>
      <c r="F9" t="s">
        <v>4731</v>
      </c>
      <c r="G9" t="s">
        <v>2427</v>
      </c>
      <c r="H9" t="s">
        <v>2784</v>
      </c>
      <c r="I9">
        <v>2</v>
      </c>
      <c r="J9" t="s">
        <v>69</v>
      </c>
      <c r="K9">
        <v>77</v>
      </c>
      <c r="L9" t="s">
        <v>127</v>
      </c>
      <c r="M9" s="4">
        <v>32500</v>
      </c>
      <c r="P9" s="2">
        <v>45737</v>
      </c>
      <c r="R9">
        <v>6</v>
      </c>
      <c r="S9" s="4">
        <v>195000</v>
      </c>
      <c r="T9" t="s">
        <v>65</v>
      </c>
      <c r="U9" t="s">
        <v>2785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2786</v>
      </c>
      <c r="AN9" t="s">
        <v>107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107</v>
      </c>
      <c r="BF9" t="s">
        <v>2787</v>
      </c>
    </row>
    <row r="10" spans="1:58" x14ac:dyDescent="0.35">
      <c r="A10" t="s">
        <v>4485</v>
      </c>
      <c r="B10">
        <v>10000</v>
      </c>
      <c r="C10">
        <v>20000</v>
      </c>
      <c r="D10" s="2">
        <v>45737</v>
      </c>
      <c r="E10" t="s">
        <v>61</v>
      </c>
      <c r="F10" t="s">
        <v>4486</v>
      </c>
      <c r="G10" t="s">
        <v>89</v>
      </c>
      <c r="H10" t="s">
        <v>4487</v>
      </c>
      <c r="I10">
        <v>1</v>
      </c>
      <c r="J10" t="s">
        <v>69</v>
      </c>
      <c r="K10" t="s">
        <v>97</v>
      </c>
      <c r="L10" t="s">
        <v>98</v>
      </c>
      <c r="M10" s="4">
        <v>42000</v>
      </c>
      <c r="P10" s="2">
        <v>45737</v>
      </c>
      <c r="R10">
        <v>12</v>
      </c>
      <c r="S10" s="4">
        <v>504000</v>
      </c>
      <c r="T10" t="s">
        <v>65</v>
      </c>
      <c r="U10">
        <v>80256230001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>
        <v>8025623</v>
      </c>
      <c r="AN10" t="s">
        <v>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91</v>
      </c>
      <c r="BF10" t="s">
        <v>4488</v>
      </c>
    </row>
    <row r="11" spans="1:58" x14ac:dyDescent="0.35">
      <c r="A11" t="s">
        <v>4526</v>
      </c>
      <c r="B11">
        <v>10000</v>
      </c>
      <c r="C11">
        <v>20000</v>
      </c>
      <c r="D11" s="2">
        <v>45740</v>
      </c>
      <c r="E11" t="s">
        <v>61</v>
      </c>
      <c r="F11" t="s">
        <v>4527</v>
      </c>
      <c r="G11" t="s">
        <v>3218</v>
      </c>
      <c r="H11" t="s">
        <v>4528</v>
      </c>
      <c r="I11">
        <v>1</v>
      </c>
      <c r="J11" t="s">
        <v>69</v>
      </c>
      <c r="K11">
        <v>66</v>
      </c>
      <c r="L11" t="s">
        <v>800</v>
      </c>
      <c r="M11" s="4">
        <v>45000</v>
      </c>
      <c r="P11" s="2">
        <v>45737</v>
      </c>
      <c r="R11">
        <v>1</v>
      </c>
      <c r="S11" s="4">
        <v>45000</v>
      </c>
      <c r="T11" t="s">
        <v>65</v>
      </c>
      <c r="U11" t="s">
        <v>381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382</v>
      </c>
      <c r="AN11" t="s">
        <v>175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175</v>
      </c>
      <c r="BF11" t="s">
        <v>4529</v>
      </c>
    </row>
    <row r="12" spans="1:58" x14ac:dyDescent="0.35">
      <c r="A12" t="s">
        <v>4732</v>
      </c>
      <c r="B12">
        <v>10000</v>
      </c>
      <c r="C12">
        <v>10000</v>
      </c>
      <c r="D12" s="2">
        <v>45737</v>
      </c>
      <c r="E12" t="s">
        <v>61</v>
      </c>
      <c r="F12" t="s">
        <v>4733</v>
      </c>
      <c r="G12" t="s">
        <v>4734</v>
      </c>
      <c r="I12">
        <v>1</v>
      </c>
      <c r="J12" t="s">
        <v>63</v>
      </c>
      <c r="K12">
        <v>112</v>
      </c>
      <c r="L12" t="s">
        <v>597</v>
      </c>
      <c r="M12" s="4">
        <v>2728</v>
      </c>
      <c r="P12" s="2">
        <v>45737</v>
      </c>
      <c r="R12">
        <v>11</v>
      </c>
      <c r="S12" s="4">
        <v>30008</v>
      </c>
      <c r="T12" t="s">
        <v>65</v>
      </c>
      <c r="U12" t="s">
        <v>4735</v>
      </c>
      <c r="V12">
        <v>0</v>
      </c>
      <c r="W12" s="4">
        <v>30000</v>
      </c>
      <c r="X12">
        <v>8</v>
      </c>
      <c r="Y12">
        <v>0</v>
      </c>
      <c r="Z12">
        <v>0</v>
      </c>
      <c r="AA12">
        <v>0</v>
      </c>
      <c r="AD12">
        <v>0</v>
      </c>
      <c r="AM12" t="s">
        <v>4736</v>
      </c>
      <c r="AN12" t="s">
        <v>321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4737</v>
      </c>
      <c r="BA12">
        <v>0</v>
      </c>
      <c r="BC12" t="s">
        <v>321</v>
      </c>
      <c r="BF12" t="s">
        <v>4551</v>
      </c>
    </row>
    <row r="13" spans="1:58" x14ac:dyDescent="0.35">
      <c r="A13" t="s">
        <v>4738</v>
      </c>
      <c r="B13">
        <v>10000</v>
      </c>
      <c r="C13">
        <v>10000</v>
      </c>
      <c r="D13" s="2">
        <v>45737</v>
      </c>
      <c r="E13" t="s">
        <v>61</v>
      </c>
      <c r="F13" t="s">
        <v>4733</v>
      </c>
      <c r="G13" t="s">
        <v>4734</v>
      </c>
      <c r="I13">
        <v>1</v>
      </c>
      <c r="J13" t="s">
        <v>63</v>
      </c>
      <c r="K13">
        <v>112</v>
      </c>
      <c r="L13" t="s">
        <v>597</v>
      </c>
      <c r="M13" s="4">
        <v>2417</v>
      </c>
      <c r="P13" s="2">
        <v>45737</v>
      </c>
      <c r="R13">
        <v>12</v>
      </c>
      <c r="S13" s="4">
        <v>29004</v>
      </c>
      <c r="T13" t="s">
        <v>65</v>
      </c>
      <c r="U13" t="s">
        <v>4735</v>
      </c>
      <c r="V13">
        <v>0</v>
      </c>
      <c r="W13" s="4">
        <v>29000</v>
      </c>
      <c r="X13">
        <v>4</v>
      </c>
      <c r="Y13">
        <v>0</v>
      </c>
      <c r="Z13">
        <v>0</v>
      </c>
      <c r="AA13">
        <v>0</v>
      </c>
      <c r="AD13">
        <v>0</v>
      </c>
      <c r="AM13" t="s">
        <v>4736</v>
      </c>
      <c r="AN13" t="s">
        <v>321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4739</v>
      </c>
      <c r="BA13">
        <v>0</v>
      </c>
      <c r="BC13" t="s">
        <v>321</v>
      </c>
      <c r="BF13" t="s">
        <v>4740</v>
      </c>
    </row>
    <row r="14" spans="1:58" x14ac:dyDescent="0.35">
      <c r="A14" t="s">
        <v>4741</v>
      </c>
      <c r="B14">
        <v>10000</v>
      </c>
      <c r="C14">
        <v>20000</v>
      </c>
      <c r="D14" s="2">
        <v>45740</v>
      </c>
      <c r="E14" t="s">
        <v>61</v>
      </c>
      <c r="F14" t="s">
        <v>1786</v>
      </c>
      <c r="G14" t="s">
        <v>4742</v>
      </c>
      <c r="I14">
        <v>1</v>
      </c>
      <c r="J14" t="s">
        <v>63</v>
      </c>
      <c r="K14">
        <v>61</v>
      </c>
      <c r="L14" t="s">
        <v>216</v>
      </c>
      <c r="M14" s="4">
        <v>4000</v>
      </c>
      <c r="P14" s="2">
        <v>45737</v>
      </c>
      <c r="R14">
        <v>1</v>
      </c>
      <c r="S14" s="4">
        <v>4000</v>
      </c>
      <c r="T14" t="s">
        <v>65</v>
      </c>
      <c r="U14" t="s">
        <v>4743</v>
      </c>
      <c r="V14">
        <v>0</v>
      </c>
      <c r="W14" s="4">
        <v>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4744</v>
      </c>
      <c r="AN14" t="s">
        <v>206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4745</v>
      </c>
      <c r="BA14">
        <v>0</v>
      </c>
      <c r="BC14" t="s">
        <v>206</v>
      </c>
      <c r="BF14" t="s">
        <v>4746</v>
      </c>
    </row>
    <row r="15" spans="1:58" x14ac:dyDescent="0.35">
      <c r="A15" t="s">
        <v>4747</v>
      </c>
      <c r="B15">
        <v>10000</v>
      </c>
      <c r="C15">
        <v>10000</v>
      </c>
      <c r="D15" s="2">
        <v>45737</v>
      </c>
      <c r="E15" t="s">
        <v>61</v>
      </c>
      <c r="F15" t="s">
        <v>4748</v>
      </c>
      <c r="G15" t="s">
        <v>4749</v>
      </c>
      <c r="I15">
        <v>1</v>
      </c>
      <c r="J15" t="s">
        <v>63</v>
      </c>
      <c r="K15">
        <v>65</v>
      </c>
      <c r="L15" t="s">
        <v>268</v>
      </c>
      <c r="M15" s="4">
        <v>9000</v>
      </c>
      <c r="P15" s="2">
        <v>45737</v>
      </c>
      <c r="R15">
        <v>6</v>
      </c>
      <c r="S15" s="4">
        <v>54000</v>
      </c>
      <c r="T15" t="s">
        <v>65</v>
      </c>
      <c r="U15" t="s">
        <v>4750</v>
      </c>
      <c r="V15">
        <v>0</v>
      </c>
      <c r="W15" s="4">
        <v>54000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4751</v>
      </c>
      <c r="AN15" t="s">
        <v>271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4752</v>
      </c>
      <c r="BA15">
        <v>0</v>
      </c>
      <c r="BC15" t="s">
        <v>271</v>
      </c>
      <c r="BF15" t="s">
        <v>4753</v>
      </c>
    </row>
    <row r="16" spans="1:58" x14ac:dyDescent="0.35">
      <c r="A16" t="s">
        <v>4754</v>
      </c>
      <c r="B16">
        <v>10000</v>
      </c>
      <c r="C16">
        <v>20000</v>
      </c>
      <c r="D16" s="2">
        <v>45737</v>
      </c>
      <c r="E16" t="s">
        <v>61</v>
      </c>
      <c r="F16" t="s">
        <v>4733</v>
      </c>
      <c r="G16" t="s">
        <v>4734</v>
      </c>
      <c r="I16">
        <v>1</v>
      </c>
      <c r="J16" t="s">
        <v>63</v>
      </c>
      <c r="K16">
        <v>112</v>
      </c>
      <c r="L16" t="s">
        <v>597</v>
      </c>
      <c r="M16" s="4">
        <v>2250</v>
      </c>
      <c r="P16" s="2">
        <v>45737</v>
      </c>
      <c r="R16">
        <v>12</v>
      </c>
      <c r="S16" s="4">
        <v>27000</v>
      </c>
      <c r="T16" t="s">
        <v>65</v>
      </c>
      <c r="U16" t="s">
        <v>4735</v>
      </c>
      <c r="V16">
        <v>0</v>
      </c>
      <c r="W16" s="4">
        <v>27000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4736</v>
      </c>
      <c r="AN16" t="s">
        <v>321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4755</v>
      </c>
      <c r="BA16">
        <v>0</v>
      </c>
      <c r="BC16" t="s">
        <v>321</v>
      </c>
      <c r="BF16" t="s">
        <v>4559</v>
      </c>
    </row>
    <row r="17" spans="1:58" x14ac:dyDescent="0.35">
      <c r="A17" t="s">
        <v>4756</v>
      </c>
      <c r="B17">
        <v>10000</v>
      </c>
      <c r="C17">
        <v>10000</v>
      </c>
      <c r="D17" s="2">
        <v>45737</v>
      </c>
      <c r="E17" t="s">
        <v>61</v>
      </c>
      <c r="F17" t="s">
        <v>4757</v>
      </c>
      <c r="G17" t="s">
        <v>3886</v>
      </c>
      <c r="I17">
        <v>1</v>
      </c>
      <c r="J17" t="s">
        <v>63</v>
      </c>
      <c r="K17">
        <v>94</v>
      </c>
      <c r="L17" t="s">
        <v>181</v>
      </c>
      <c r="M17" s="4">
        <v>6000</v>
      </c>
      <c r="P17" s="2">
        <v>45737</v>
      </c>
      <c r="R17">
        <v>6</v>
      </c>
      <c r="S17" s="4">
        <v>36000</v>
      </c>
      <c r="T17" t="s">
        <v>65</v>
      </c>
      <c r="U17" t="s">
        <v>4758</v>
      </c>
      <c r="V17">
        <v>0</v>
      </c>
      <c r="W17" s="4">
        <v>36000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4759</v>
      </c>
      <c r="AN17" t="s">
        <v>364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4760</v>
      </c>
      <c r="BA17">
        <v>0</v>
      </c>
      <c r="BC17" t="s">
        <v>364</v>
      </c>
      <c r="BF17" t="s">
        <v>4761</v>
      </c>
    </row>
    <row r="18" spans="1:58" x14ac:dyDescent="0.35">
      <c r="A18" t="s">
        <v>4762</v>
      </c>
      <c r="B18">
        <v>10000</v>
      </c>
      <c r="C18">
        <v>10000</v>
      </c>
      <c r="D18" s="2">
        <v>45737</v>
      </c>
      <c r="E18" t="s">
        <v>61</v>
      </c>
      <c r="F18" s="3">
        <v>0.53940972222222228</v>
      </c>
      <c r="G18" t="s">
        <v>418</v>
      </c>
      <c r="I18">
        <v>1</v>
      </c>
      <c r="J18" t="s">
        <v>63</v>
      </c>
      <c r="K18">
        <v>59</v>
      </c>
      <c r="L18" t="s">
        <v>745</v>
      </c>
      <c r="M18" s="4">
        <v>1500</v>
      </c>
      <c r="P18" s="2">
        <v>45737</v>
      </c>
      <c r="R18">
        <v>6</v>
      </c>
      <c r="S18" s="4">
        <v>9000</v>
      </c>
      <c r="T18" t="s">
        <v>65</v>
      </c>
      <c r="U18" t="s">
        <v>4763</v>
      </c>
      <c r="V18">
        <v>0</v>
      </c>
      <c r="W18" s="4">
        <v>9000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4764</v>
      </c>
      <c r="AN18" t="s">
        <v>182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4765</v>
      </c>
      <c r="BA18">
        <v>0</v>
      </c>
      <c r="BC18" t="s">
        <v>182</v>
      </c>
      <c r="BF18" t="s">
        <v>4766</v>
      </c>
    </row>
    <row r="19" spans="1:58" x14ac:dyDescent="0.35">
      <c r="A19" t="s">
        <v>4762</v>
      </c>
      <c r="B19">
        <v>20000</v>
      </c>
      <c r="C19">
        <v>10000</v>
      </c>
      <c r="D19" s="2">
        <v>45737</v>
      </c>
      <c r="E19" t="s">
        <v>61</v>
      </c>
      <c r="F19" s="3">
        <v>0.53940972222222228</v>
      </c>
      <c r="G19" t="s">
        <v>418</v>
      </c>
      <c r="I19">
        <v>1</v>
      </c>
      <c r="J19" t="s">
        <v>63</v>
      </c>
      <c r="K19">
        <v>59</v>
      </c>
      <c r="L19" t="s">
        <v>745</v>
      </c>
      <c r="M19" s="4">
        <v>1500</v>
      </c>
      <c r="P19" s="2">
        <v>45737</v>
      </c>
      <c r="R19">
        <v>6</v>
      </c>
      <c r="S19" s="4">
        <v>9000</v>
      </c>
      <c r="T19" t="s">
        <v>65</v>
      </c>
      <c r="U19" t="s">
        <v>4763</v>
      </c>
      <c r="V19">
        <v>0</v>
      </c>
      <c r="W19" s="4">
        <v>9000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4764</v>
      </c>
      <c r="AN19" t="s">
        <v>182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4765</v>
      </c>
      <c r="BA19">
        <v>0</v>
      </c>
      <c r="BC19" t="s">
        <v>182</v>
      </c>
      <c r="BF19" t="s">
        <v>4766</v>
      </c>
    </row>
    <row r="20" spans="1:58" x14ac:dyDescent="0.35">
      <c r="A20" t="s">
        <v>4762</v>
      </c>
      <c r="B20">
        <v>30000</v>
      </c>
      <c r="C20">
        <v>10000</v>
      </c>
      <c r="D20" s="2">
        <v>45737</v>
      </c>
      <c r="E20" t="s">
        <v>61</v>
      </c>
      <c r="F20" s="3">
        <v>0.53940972222222228</v>
      </c>
      <c r="G20" t="s">
        <v>418</v>
      </c>
      <c r="I20">
        <v>1</v>
      </c>
      <c r="J20" t="s">
        <v>63</v>
      </c>
      <c r="K20">
        <v>59</v>
      </c>
      <c r="L20" t="s">
        <v>745</v>
      </c>
      <c r="M20" s="4">
        <v>1500</v>
      </c>
      <c r="P20" s="2">
        <v>45737</v>
      </c>
      <c r="R20">
        <v>6</v>
      </c>
      <c r="S20" s="4">
        <v>9000</v>
      </c>
      <c r="T20" t="s">
        <v>65</v>
      </c>
      <c r="U20" t="s">
        <v>4763</v>
      </c>
      <c r="V20">
        <v>0</v>
      </c>
      <c r="W20" s="4">
        <v>9000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4764</v>
      </c>
      <c r="AN20" t="s">
        <v>182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4765</v>
      </c>
      <c r="BA20">
        <v>0</v>
      </c>
      <c r="BC20" t="s">
        <v>182</v>
      </c>
      <c r="BF20" t="s">
        <v>4766</v>
      </c>
    </row>
    <row r="21" spans="1:58" x14ac:dyDescent="0.35">
      <c r="A21" t="s">
        <v>4767</v>
      </c>
      <c r="B21">
        <v>10000</v>
      </c>
      <c r="C21">
        <v>10000</v>
      </c>
      <c r="D21" s="2">
        <v>45737</v>
      </c>
      <c r="E21" t="s">
        <v>61</v>
      </c>
      <c r="F21" t="s">
        <v>4768</v>
      </c>
      <c r="G21" t="s">
        <v>418</v>
      </c>
      <c r="I21">
        <v>1</v>
      </c>
      <c r="J21" t="s">
        <v>63</v>
      </c>
      <c r="K21">
        <v>59</v>
      </c>
      <c r="L21" t="s">
        <v>745</v>
      </c>
      <c r="M21">
        <v>500</v>
      </c>
      <c r="P21" s="2">
        <v>45737</v>
      </c>
      <c r="R21">
        <v>6</v>
      </c>
      <c r="S21" s="4">
        <v>3000</v>
      </c>
      <c r="T21" t="s">
        <v>65</v>
      </c>
      <c r="U21" t="s">
        <v>4769</v>
      </c>
      <c r="V21">
        <v>0</v>
      </c>
      <c r="W21" s="4">
        <v>3000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4770</v>
      </c>
      <c r="AN21" t="s">
        <v>182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4771</v>
      </c>
      <c r="BA21">
        <v>0</v>
      </c>
      <c r="BC21" t="s">
        <v>182</v>
      </c>
      <c r="BF21" t="s">
        <v>4772</v>
      </c>
    </row>
    <row r="22" spans="1:58" x14ac:dyDescent="0.35">
      <c r="A22" t="s">
        <v>4767</v>
      </c>
      <c r="B22">
        <v>20000</v>
      </c>
      <c r="C22">
        <v>10000</v>
      </c>
      <c r="D22" s="2">
        <v>45737</v>
      </c>
      <c r="E22" t="s">
        <v>61</v>
      </c>
      <c r="F22" t="s">
        <v>4768</v>
      </c>
      <c r="G22" t="s">
        <v>418</v>
      </c>
      <c r="I22">
        <v>1</v>
      </c>
      <c r="J22" t="s">
        <v>63</v>
      </c>
      <c r="K22">
        <v>59</v>
      </c>
      <c r="L22" t="s">
        <v>745</v>
      </c>
      <c r="M22">
        <v>500</v>
      </c>
      <c r="P22" s="2">
        <v>45737</v>
      </c>
      <c r="R22">
        <v>6</v>
      </c>
      <c r="S22" s="4">
        <v>3000</v>
      </c>
      <c r="T22" t="s">
        <v>65</v>
      </c>
      <c r="U22" t="s">
        <v>4769</v>
      </c>
      <c r="V22">
        <v>0</v>
      </c>
      <c r="W22" s="4">
        <v>3000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4770</v>
      </c>
      <c r="AN22" t="s">
        <v>182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4771</v>
      </c>
      <c r="BA22">
        <v>0</v>
      </c>
      <c r="BC22" t="s">
        <v>182</v>
      </c>
      <c r="BF22" t="s">
        <v>4772</v>
      </c>
    </row>
    <row r="23" spans="1:58" x14ac:dyDescent="0.35">
      <c r="A23" t="s">
        <v>622</v>
      </c>
      <c r="B23">
        <v>10000</v>
      </c>
      <c r="C23">
        <v>30000</v>
      </c>
      <c r="D23" s="2">
        <v>45740</v>
      </c>
      <c r="E23" t="s">
        <v>61</v>
      </c>
      <c r="F23" t="s">
        <v>2326</v>
      </c>
      <c r="G23">
        <v>10639931001</v>
      </c>
      <c r="I23">
        <v>2</v>
      </c>
      <c r="J23" t="s">
        <v>63</v>
      </c>
      <c r="K23">
        <v>85</v>
      </c>
      <c r="L23" t="s">
        <v>104</v>
      </c>
      <c r="M23" s="4">
        <v>5818</v>
      </c>
      <c r="P23" s="2">
        <v>45737</v>
      </c>
      <c r="R23">
        <v>11</v>
      </c>
      <c r="S23" s="4">
        <v>63998</v>
      </c>
      <c r="T23" t="s">
        <v>65</v>
      </c>
      <c r="U23" t="s">
        <v>623</v>
      </c>
      <c r="V23">
        <v>0</v>
      </c>
      <c r="W23" s="4">
        <v>24615</v>
      </c>
      <c r="X23" s="4">
        <v>39383</v>
      </c>
      <c r="Y23">
        <v>0</v>
      </c>
      <c r="Z23">
        <v>0</v>
      </c>
      <c r="AA23">
        <v>0</v>
      </c>
      <c r="AD23">
        <v>0</v>
      </c>
      <c r="AM23" t="s">
        <v>624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625</v>
      </c>
      <c r="BA23">
        <v>0</v>
      </c>
      <c r="BC23" t="s">
        <v>107</v>
      </c>
      <c r="BF23" t="s">
        <v>626</v>
      </c>
    </row>
    <row r="24" spans="1:58" x14ac:dyDescent="0.35">
      <c r="A24" t="s">
        <v>1056</v>
      </c>
      <c r="B24">
        <v>10000</v>
      </c>
      <c r="C24">
        <v>30000</v>
      </c>
      <c r="D24" s="2">
        <v>45740</v>
      </c>
      <c r="E24" t="s">
        <v>61</v>
      </c>
      <c r="F24" t="s">
        <v>2086</v>
      </c>
      <c r="G24">
        <v>10639931050</v>
      </c>
      <c r="I24">
        <v>3</v>
      </c>
      <c r="J24" t="s">
        <v>63</v>
      </c>
      <c r="K24">
        <v>85</v>
      </c>
      <c r="L24" t="s">
        <v>104</v>
      </c>
      <c r="M24" s="4">
        <v>4000</v>
      </c>
      <c r="P24" s="2">
        <v>45737</v>
      </c>
      <c r="R24">
        <v>11</v>
      </c>
      <c r="S24" s="4">
        <v>44000</v>
      </c>
      <c r="T24" t="s">
        <v>65</v>
      </c>
      <c r="U24" t="s">
        <v>1057</v>
      </c>
      <c r="V24">
        <v>0</v>
      </c>
      <c r="W24" s="4">
        <v>30000</v>
      </c>
      <c r="X24" s="4">
        <v>14000</v>
      </c>
      <c r="Y24">
        <v>0</v>
      </c>
      <c r="Z24">
        <v>0</v>
      </c>
      <c r="AA24">
        <v>0</v>
      </c>
      <c r="AD24">
        <v>0</v>
      </c>
      <c r="AM24" t="s">
        <v>1058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1059</v>
      </c>
      <c r="BA24">
        <v>0</v>
      </c>
      <c r="BC24" t="s">
        <v>107</v>
      </c>
      <c r="BF24" t="s">
        <v>626</v>
      </c>
    </row>
    <row r="25" spans="1:58" x14ac:dyDescent="0.35">
      <c r="A25" t="s">
        <v>4773</v>
      </c>
      <c r="B25">
        <v>10000</v>
      </c>
      <c r="C25">
        <v>10000</v>
      </c>
      <c r="D25" s="2">
        <v>45737</v>
      </c>
      <c r="E25" t="s">
        <v>61</v>
      </c>
      <c r="F25" t="s">
        <v>4774</v>
      </c>
      <c r="G25" t="s">
        <v>418</v>
      </c>
      <c r="I25">
        <v>1</v>
      </c>
      <c r="J25" t="s">
        <v>63</v>
      </c>
      <c r="K25">
        <v>59</v>
      </c>
      <c r="L25" t="s">
        <v>745</v>
      </c>
      <c r="M25" s="4">
        <v>1000</v>
      </c>
      <c r="P25" s="2">
        <v>45737</v>
      </c>
      <c r="R25">
        <v>6</v>
      </c>
      <c r="S25" s="4">
        <v>6000</v>
      </c>
      <c r="T25" t="s">
        <v>65</v>
      </c>
      <c r="U25" t="s">
        <v>4775</v>
      </c>
      <c r="V25">
        <v>0</v>
      </c>
      <c r="W25" s="4">
        <v>6000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4776</v>
      </c>
      <c r="AN25" t="s">
        <v>182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4777</v>
      </c>
      <c r="BA25">
        <v>0</v>
      </c>
      <c r="BC25" t="s">
        <v>182</v>
      </c>
      <c r="BF25" t="s">
        <v>4778</v>
      </c>
    </row>
    <row r="26" spans="1:58" x14ac:dyDescent="0.35">
      <c r="A26" t="s">
        <v>4773</v>
      </c>
      <c r="B26">
        <v>20000</v>
      </c>
      <c r="C26">
        <v>10000</v>
      </c>
      <c r="D26" s="2">
        <v>45737</v>
      </c>
      <c r="E26" t="s">
        <v>61</v>
      </c>
      <c r="F26" t="s">
        <v>4774</v>
      </c>
      <c r="G26" t="s">
        <v>418</v>
      </c>
      <c r="I26">
        <v>1</v>
      </c>
      <c r="J26" t="s">
        <v>63</v>
      </c>
      <c r="K26">
        <v>59</v>
      </c>
      <c r="L26" t="s">
        <v>745</v>
      </c>
      <c r="M26" s="4">
        <v>1000</v>
      </c>
      <c r="P26" s="2">
        <v>45737</v>
      </c>
      <c r="R26">
        <v>6</v>
      </c>
      <c r="S26" s="4">
        <v>6000</v>
      </c>
      <c r="T26" t="s">
        <v>65</v>
      </c>
      <c r="U26" t="s">
        <v>4775</v>
      </c>
      <c r="V26">
        <v>0</v>
      </c>
      <c r="W26" s="4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4776</v>
      </c>
      <c r="AN26" t="s">
        <v>182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4777</v>
      </c>
      <c r="BA26">
        <v>0</v>
      </c>
      <c r="BC26" t="s">
        <v>182</v>
      </c>
      <c r="BF26" t="s">
        <v>4778</v>
      </c>
    </row>
    <row r="27" spans="1:58" x14ac:dyDescent="0.35">
      <c r="A27" t="s">
        <v>4773</v>
      </c>
      <c r="B27">
        <v>30000</v>
      </c>
      <c r="C27">
        <v>10000</v>
      </c>
      <c r="D27" s="2">
        <v>45737</v>
      </c>
      <c r="E27" t="s">
        <v>61</v>
      </c>
      <c r="F27" t="s">
        <v>4774</v>
      </c>
      <c r="G27" t="s">
        <v>418</v>
      </c>
      <c r="I27">
        <v>1</v>
      </c>
      <c r="J27" t="s">
        <v>63</v>
      </c>
      <c r="K27">
        <v>59</v>
      </c>
      <c r="L27" t="s">
        <v>745</v>
      </c>
      <c r="M27" s="4">
        <v>1000</v>
      </c>
      <c r="P27" s="2">
        <v>45737</v>
      </c>
      <c r="R27">
        <v>6</v>
      </c>
      <c r="S27" s="4">
        <v>6000</v>
      </c>
      <c r="T27" t="s">
        <v>65</v>
      </c>
      <c r="U27" t="s">
        <v>4775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4776</v>
      </c>
      <c r="AN27" t="s">
        <v>182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4777</v>
      </c>
      <c r="BA27">
        <v>0</v>
      </c>
      <c r="BC27" t="s">
        <v>182</v>
      </c>
      <c r="BF27" t="s">
        <v>4778</v>
      </c>
    </row>
    <row r="28" spans="1:58" x14ac:dyDescent="0.35">
      <c r="A28" t="s">
        <v>4779</v>
      </c>
      <c r="B28">
        <v>10000</v>
      </c>
      <c r="C28">
        <v>30000</v>
      </c>
      <c r="D28" s="2">
        <v>45742</v>
      </c>
      <c r="E28" t="s">
        <v>61</v>
      </c>
      <c r="F28" t="s">
        <v>4780</v>
      </c>
      <c r="G28" t="s">
        <v>4781</v>
      </c>
      <c r="I28">
        <v>1</v>
      </c>
      <c r="J28" t="s">
        <v>63</v>
      </c>
      <c r="K28">
        <v>79</v>
      </c>
      <c r="L28" t="s">
        <v>573</v>
      </c>
      <c r="M28" s="4">
        <v>1095</v>
      </c>
      <c r="P28" s="2">
        <v>45737</v>
      </c>
      <c r="R28">
        <v>21</v>
      </c>
      <c r="S28" s="4">
        <v>22995</v>
      </c>
      <c r="T28" t="s">
        <v>65</v>
      </c>
      <c r="U28" t="s">
        <v>334</v>
      </c>
      <c r="V28">
        <v>0</v>
      </c>
      <c r="W28" s="4">
        <v>20000</v>
      </c>
      <c r="X28" s="4">
        <v>2995</v>
      </c>
      <c r="Y28">
        <v>0</v>
      </c>
      <c r="Z28">
        <v>0</v>
      </c>
      <c r="AA28">
        <v>0</v>
      </c>
      <c r="AD28">
        <v>0</v>
      </c>
      <c r="AM28" t="s">
        <v>335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4782</v>
      </c>
      <c r="BA28">
        <v>0</v>
      </c>
      <c r="BC28" t="s">
        <v>107</v>
      </c>
      <c r="BF28" t="s">
        <v>4783</v>
      </c>
    </row>
    <row r="29" spans="1:58" x14ac:dyDescent="0.35">
      <c r="A29" t="s">
        <v>4784</v>
      </c>
      <c r="B29">
        <v>10000</v>
      </c>
      <c r="C29">
        <v>10000</v>
      </c>
      <c r="D29" s="2">
        <v>45740</v>
      </c>
      <c r="E29" t="s">
        <v>61</v>
      </c>
      <c r="F29" t="s">
        <v>4785</v>
      </c>
      <c r="G29" t="s">
        <v>1435</v>
      </c>
      <c r="I29">
        <v>1</v>
      </c>
      <c r="J29" t="s">
        <v>63</v>
      </c>
      <c r="K29">
        <v>29</v>
      </c>
      <c r="L29" t="s">
        <v>249</v>
      </c>
      <c r="M29" s="4">
        <v>24000</v>
      </c>
      <c r="P29" s="2">
        <v>45737</v>
      </c>
      <c r="R29">
        <v>2</v>
      </c>
      <c r="S29" s="4">
        <v>48000</v>
      </c>
      <c r="T29" t="s">
        <v>65</v>
      </c>
      <c r="U29" t="s">
        <v>250</v>
      </c>
      <c r="V29">
        <v>0</v>
      </c>
      <c r="W29" s="4">
        <v>48000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251</v>
      </c>
      <c r="AN29" t="s">
        <v>175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4786</v>
      </c>
      <c r="BA29">
        <v>0</v>
      </c>
      <c r="BC29" t="s">
        <v>175</v>
      </c>
      <c r="BF29" t="s">
        <v>4787</v>
      </c>
    </row>
    <row r="30" spans="1:58" x14ac:dyDescent="0.35">
      <c r="A30" t="s">
        <v>4788</v>
      </c>
      <c r="B30">
        <v>10000</v>
      </c>
      <c r="C30">
        <v>10000</v>
      </c>
      <c r="D30" s="2">
        <v>45740</v>
      </c>
      <c r="E30" t="s">
        <v>61</v>
      </c>
      <c r="F30" t="s">
        <v>4576</v>
      </c>
      <c r="G30" t="s">
        <v>4245</v>
      </c>
      <c r="I30">
        <v>1</v>
      </c>
      <c r="J30" t="s">
        <v>63</v>
      </c>
      <c r="K30">
        <v>63</v>
      </c>
      <c r="L30" t="s">
        <v>519</v>
      </c>
      <c r="M30" s="4">
        <v>10000</v>
      </c>
      <c r="P30" s="2">
        <v>45737</v>
      </c>
      <c r="R30">
        <v>60</v>
      </c>
      <c r="S30" s="4">
        <v>600000</v>
      </c>
      <c r="T30" t="s">
        <v>65</v>
      </c>
      <c r="U30" t="s">
        <v>587</v>
      </c>
      <c r="V30">
        <v>0</v>
      </c>
      <c r="W30" s="4">
        <v>600000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588</v>
      </c>
      <c r="AN30" t="s">
        <v>175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4789</v>
      </c>
      <c r="BA30">
        <v>0</v>
      </c>
      <c r="BC30" t="s">
        <v>175</v>
      </c>
      <c r="BF30" t="s">
        <v>4790</v>
      </c>
    </row>
    <row r="31" spans="1:58" x14ac:dyDescent="0.35">
      <c r="A31" t="s">
        <v>4791</v>
      </c>
      <c r="B31">
        <v>10000</v>
      </c>
      <c r="C31">
        <v>10000</v>
      </c>
      <c r="D31" s="2">
        <v>45740</v>
      </c>
      <c r="E31" t="s">
        <v>61</v>
      </c>
      <c r="F31" t="s">
        <v>4576</v>
      </c>
      <c r="G31" t="s">
        <v>4245</v>
      </c>
      <c r="I31">
        <v>1</v>
      </c>
      <c r="J31" t="s">
        <v>63</v>
      </c>
      <c r="K31">
        <v>63</v>
      </c>
      <c r="L31" t="s">
        <v>519</v>
      </c>
      <c r="M31" s="4">
        <v>10000</v>
      </c>
      <c r="P31" s="2">
        <v>45737</v>
      </c>
      <c r="R31">
        <v>60</v>
      </c>
      <c r="S31" s="4">
        <v>600000</v>
      </c>
      <c r="T31" t="s">
        <v>65</v>
      </c>
      <c r="U31" t="s">
        <v>587</v>
      </c>
      <c r="V31">
        <v>0</v>
      </c>
      <c r="W31" s="4">
        <v>600000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588</v>
      </c>
      <c r="AN31" t="s">
        <v>175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4792</v>
      </c>
      <c r="BA31">
        <v>0</v>
      </c>
      <c r="BC31" t="s">
        <v>175</v>
      </c>
      <c r="BF31" t="s">
        <v>4793</v>
      </c>
    </row>
    <row r="32" spans="1:58" x14ac:dyDescent="0.35">
      <c r="A32" t="s">
        <v>2503</v>
      </c>
      <c r="B32">
        <v>10000</v>
      </c>
      <c r="C32">
        <v>60000</v>
      </c>
      <c r="D32" s="2">
        <v>45740</v>
      </c>
      <c r="E32" t="s">
        <v>61</v>
      </c>
      <c r="F32" t="s">
        <v>2969</v>
      </c>
      <c r="G32">
        <v>10639931036</v>
      </c>
      <c r="I32">
        <v>3</v>
      </c>
      <c r="J32" t="s">
        <v>63</v>
      </c>
      <c r="K32">
        <v>85</v>
      </c>
      <c r="L32" t="s">
        <v>104</v>
      </c>
      <c r="M32" s="4">
        <v>6364</v>
      </c>
      <c r="P32" s="2">
        <v>45737</v>
      </c>
      <c r="R32">
        <v>11</v>
      </c>
      <c r="S32" s="4">
        <v>70004</v>
      </c>
      <c r="T32" t="s">
        <v>65</v>
      </c>
      <c r="U32" t="s">
        <v>2504</v>
      </c>
      <c r="V32">
        <v>0</v>
      </c>
      <c r="W32" s="4">
        <v>70000</v>
      </c>
      <c r="X32">
        <v>4</v>
      </c>
      <c r="Y32">
        <v>0</v>
      </c>
      <c r="Z32">
        <v>0</v>
      </c>
      <c r="AA32">
        <v>0</v>
      </c>
      <c r="AD32">
        <v>0</v>
      </c>
      <c r="AM32" t="s">
        <v>2505</v>
      </c>
      <c r="AN32" t="s">
        <v>107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2506</v>
      </c>
      <c r="BA32">
        <v>0</v>
      </c>
      <c r="BC32" t="s">
        <v>107</v>
      </c>
      <c r="BF32" t="s">
        <v>2507</v>
      </c>
    </row>
    <row r="33" spans="1:58" x14ac:dyDescent="0.35">
      <c r="A33" t="s">
        <v>2508</v>
      </c>
      <c r="B33">
        <v>10000</v>
      </c>
      <c r="C33">
        <v>50000</v>
      </c>
      <c r="D33" s="2">
        <v>45740</v>
      </c>
      <c r="E33" t="s">
        <v>61</v>
      </c>
      <c r="F33" t="s">
        <v>2970</v>
      </c>
      <c r="G33">
        <v>10639931036</v>
      </c>
      <c r="I33">
        <v>3</v>
      </c>
      <c r="J33" t="s">
        <v>63</v>
      </c>
      <c r="K33">
        <v>85</v>
      </c>
      <c r="L33" t="s">
        <v>104</v>
      </c>
      <c r="M33" s="4">
        <v>6727</v>
      </c>
      <c r="P33" s="2">
        <v>45737</v>
      </c>
      <c r="R33">
        <v>11</v>
      </c>
      <c r="S33" s="4">
        <v>73997</v>
      </c>
      <c r="T33" t="s">
        <v>65</v>
      </c>
      <c r="U33" t="s">
        <v>2509</v>
      </c>
      <c r="V33">
        <v>0</v>
      </c>
      <c r="W33" s="4">
        <v>50000</v>
      </c>
      <c r="X33" s="4">
        <v>23997</v>
      </c>
      <c r="Y33">
        <v>0</v>
      </c>
      <c r="Z33">
        <v>0</v>
      </c>
      <c r="AA33">
        <v>0</v>
      </c>
      <c r="AD33">
        <v>0</v>
      </c>
      <c r="AM33" t="s">
        <v>2510</v>
      </c>
      <c r="AN33" t="s">
        <v>107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2511</v>
      </c>
      <c r="BA33">
        <v>0</v>
      </c>
      <c r="BC33" t="s">
        <v>107</v>
      </c>
      <c r="BF33" t="s">
        <v>2507</v>
      </c>
    </row>
    <row r="34" spans="1:58" x14ac:dyDescent="0.35">
      <c r="A34" t="s">
        <v>4794</v>
      </c>
      <c r="B34">
        <v>10000</v>
      </c>
      <c r="C34">
        <v>10000</v>
      </c>
      <c r="D34" s="2">
        <v>45737</v>
      </c>
      <c r="E34" t="s">
        <v>61</v>
      </c>
      <c r="F34" t="s">
        <v>4795</v>
      </c>
      <c r="G34" t="s">
        <v>2217</v>
      </c>
      <c r="I34">
        <v>1</v>
      </c>
      <c r="J34" t="s">
        <v>63</v>
      </c>
      <c r="K34">
        <v>78</v>
      </c>
      <c r="L34" t="s">
        <v>188</v>
      </c>
      <c r="M34" s="4">
        <v>4000</v>
      </c>
      <c r="P34" s="2">
        <v>45737</v>
      </c>
      <c r="R34">
        <v>1</v>
      </c>
      <c r="S34" s="4">
        <v>4000</v>
      </c>
      <c r="T34" t="s">
        <v>65</v>
      </c>
      <c r="U34" t="s">
        <v>4796</v>
      </c>
      <c r="V34">
        <v>0</v>
      </c>
      <c r="W34" s="4">
        <v>4000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4797</v>
      </c>
      <c r="AN34" t="s">
        <v>4798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4799</v>
      </c>
      <c r="BA34">
        <v>0</v>
      </c>
      <c r="BC34" t="s">
        <v>4798</v>
      </c>
      <c r="BF34" t="s">
        <v>4800</v>
      </c>
    </row>
    <row r="35" spans="1:58" x14ac:dyDescent="0.35">
      <c r="A35" t="s">
        <v>4801</v>
      </c>
      <c r="B35">
        <v>10000</v>
      </c>
      <c r="C35">
        <v>10000</v>
      </c>
      <c r="D35" s="2">
        <v>45737</v>
      </c>
      <c r="E35" t="s">
        <v>61</v>
      </c>
      <c r="F35" t="s">
        <v>4802</v>
      </c>
      <c r="G35" t="s">
        <v>3980</v>
      </c>
      <c r="I35">
        <v>1</v>
      </c>
      <c r="J35" t="s">
        <v>63</v>
      </c>
      <c r="K35">
        <v>46</v>
      </c>
      <c r="L35" t="s">
        <v>113</v>
      </c>
      <c r="M35" s="4">
        <v>1000</v>
      </c>
      <c r="P35" s="2">
        <v>45737</v>
      </c>
      <c r="R35">
        <v>1</v>
      </c>
      <c r="S35" s="4">
        <v>1000</v>
      </c>
      <c r="T35" t="s">
        <v>65</v>
      </c>
      <c r="U35" t="s">
        <v>4803</v>
      </c>
      <c r="V35">
        <v>0</v>
      </c>
      <c r="W35" s="4">
        <v>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4804</v>
      </c>
      <c r="AN35" t="s">
        <v>116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4805</v>
      </c>
      <c r="BA35">
        <v>0</v>
      </c>
      <c r="BC35" t="s">
        <v>116</v>
      </c>
      <c r="BF35" t="s">
        <v>4806</v>
      </c>
    </row>
    <row r="36" spans="1:58" x14ac:dyDescent="0.35">
      <c r="A36" t="s">
        <v>4807</v>
      </c>
      <c r="B36">
        <v>10000</v>
      </c>
      <c r="C36">
        <v>10000</v>
      </c>
      <c r="D36" s="2">
        <v>45740</v>
      </c>
      <c r="E36" t="s">
        <v>61</v>
      </c>
      <c r="F36" t="s">
        <v>4808</v>
      </c>
      <c r="G36" t="s">
        <v>4809</v>
      </c>
      <c r="I36">
        <v>1</v>
      </c>
      <c r="J36" t="s">
        <v>63</v>
      </c>
      <c r="K36">
        <v>78</v>
      </c>
      <c r="L36" t="s">
        <v>188</v>
      </c>
      <c r="M36" s="4">
        <v>20000</v>
      </c>
      <c r="P36" s="2">
        <v>45737</v>
      </c>
      <c r="R36">
        <v>1</v>
      </c>
      <c r="S36" s="4">
        <v>20000</v>
      </c>
      <c r="T36" t="s">
        <v>65</v>
      </c>
      <c r="U36" t="s">
        <v>4810</v>
      </c>
      <c r="V36">
        <v>0</v>
      </c>
      <c r="W36" s="4">
        <v>20000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4811</v>
      </c>
      <c r="AN36" t="s">
        <v>4812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4813</v>
      </c>
      <c r="BA36">
        <v>0</v>
      </c>
      <c r="BC36" t="s">
        <v>4812</v>
      </c>
      <c r="BF36" t="s">
        <v>4814</v>
      </c>
    </row>
    <row r="37" spans="1:58" x14ac:dyDescent="0.35">
      <c r="A37" t="s">
        <v>3290</v>
      </c>
      <c r="B37">
        <v>10000</v>
      </c>
      <c r="C37">
        <v>20000</v>
      </c>
      <c r="D37" s="2">
        <v>45737</v>
      </c>
      <c r="E37" t="s">
        <v>61</v>
      </c>
      <c r="F37" t="s">
        <v>3291</v>
      </c>
      <c r="G37" t="s">
        <v>3292</v>
      </c>
      <c r="I37">
        <v>2</v>
      </c>
      <c r="J37" t="s">
        <v>63</v>
      </c>
      <c r="K37">
        <v>61</v>
      </c>
      <c r="L37" t="s">
        <v>216</v>
      </c>
      <c r="M37" s="4">
        <v>1512</v>
      </c>
      <c r="P37" s="2">
        <v>45737</v>
      </c>
      <c r="R37">
        <v>2</v>
      </c>
      <c r="S37" s="4">
        <v>3024</v>
      </c>
      <c r="T37" t="s">
        <v>65</v>
      </c>
      <c r="U37" t="s">
        <v>3293</v>
      </c>
      <c r="V37">
        <v>0</v>
      </c>
      <c r="W37" s="4">
        <v>3024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3294</v>
      </c>
      <c r="AN37" t="s">
        <v>3295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3296</v>
      </c>
      <c r="BA37">
        <v>0</v>
      </c>
      <c r="BC37" t="s">
        <v>3295</v>
      </c>
      <c r="BF37" t="s">
        <v>3297</v>
      </c>
    </row>
    <row r="38" spans="1:58" x14ac:dyDescent="0.35">
      <c r="A38" t="s">
        <v>4815</v>
      </c>
      <c r="B38">
        <v>10000</v>
      </c>
      <c r="C38">
        <v>10000</v>
      </c>
      <c r="D38" s="2">
        <v>45737</v>
      </c>
      <c r="E38" t="s">
        <v>61</v>
      </c>
      <c r="F38" t="s">
        <v>4816</v>
      </c>
      <c r="G38" t="s">
        <v>3980</v>
      </c>
      <c r="I38">
        <v>1</v>
      </c>
      <c r="J38" t="s">
        <v>63</v>
      </c>
      <c r="K38">
        <v>46</v>
      </c>
      <c r="L38" t="s">
        <v>113</v>
      </c>
      <c r="M38" s="4">
        <v>6000</v>
      </c>
      <c r="P38" s="2">
        <v>45737</v>
      </c>
      <c r="R38">
        <v>1</v>
      </c>
      <c r="S38" s="4">
        <v>6000</v>
      </c>
      <c r="T38" t="s">
        <v>65</v>
      </c>
      <c r="U38" t="s">
        <v>4817</v>
      </c>
      <c r="V38">
        <v>0</v>
      </c>
      <c r="W38" s="4">
        <v>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4818</v>
      </c>
      <c r="AN38" t="s">
        <v>751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4819</v>
      </c>
      <c r="BA38">
        <v>0</v>
      </c>
      <c r="BC38" t="s">
        <v>751</v>
      </c>
      <c r="BF38" t="s">
        <v>4820</v>
      </c>
    </row>
    <row r="39" spans="1:58" x14ac:dyDescent="0.35">
      <c r="A39" t="s">
        <v>4821</v>
      </c>
      <c r="B39">
        <v>10000</v>
      </c>
      <c r="C39">
        <v>10000</v>
      </c>
      <c r="D39" s="2">
        <v>45737</v>
      </c>
      <c r="E39" t="s">
        <v>61</v>
      </c>
      <c r="F39" t="s">
        <v>4802</v>
      </c>
      <c r="G39" t="s">
        <v>4284</v>
      </c>
      <c r="I39">
        <v>1</v>
      </c>
      <c r="J39" t="s">
        <v>63</v>
      </c>
      <c r="K39">
        <v>32</v>
      </c>
      <c r="L39" t="s">
        <v>553</v>
      </c>
      <c r="M39" s="4">
        <v>5860</v>
      </c>
      <c r="P39" s="2">
        <v>45737</v>
      </c>
      <c r="R39">
        <v>1</v>
      </c>
      <c r="S39" s="4">
        <v>5860</v>
      </c>
      <c r="T39" t="s">
        <v>65</v>
      </c>
      <c r="U39" t="s">
        <v>2199</v>
      </c>
      <c r="V39">
        <v>0</v>
      </c>
      <c r="W39" s="4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2200</v>
      </c>
      <c r="AN39" t="s">
        <v>116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4822</v>
      </c>
      <c r="BA39">
        <v>0</v>
      </c>
      <c r="BC39" t="s">
        <v>116</v>
      </c>
      <c r="BF39" t="s">
        <v>3994</v>
      </c>
    </row>
    <row r="40" spans="1:58" x14ac:dyDescent="0.35">
      <c r="A40" t="s">
        <v>4823</v>
      </c>
      <c r="B40">
        <v>10000</v>
      </c>
      <c r="C40">
        <v>10000</v>
      </c>
      <c r="D40" s="2">
        <v>45737</v>
      </c>
      <c r="E40" t="s">
        <v>61</v>
      </c>
      <c r="F40" t="s">
        <v>4757</v>
      </c>
      <c r="G40" t="s">
        <v>4284</v>
      </c>
      <c r="I40">
        <v>1</v>
      </c>
      <c r="J40" t="s">
        <v>63</v>
      </c>
      <c r="K40">
        <v>32</v>
      </c>
      <c r="L40" t="s">
        <v>553</v>
      </c>
      <c r="M40" s="4">
        <v>5860</v>
      </c>
      <c r="P40" s="2">
        <v>45737</v>
      </c>
      <c r="R40">
        <v>1</v>
      </c>
      <c r="S40" s="4">
        <v>5860</v>
      </c>
      <c r="T40" t="s">
        <v>65</v>
      </c>
      <c r="U40" t="s">
        <v>2199</v>
      </c>
      <c r="V40">
        <v>0</v>
      </c>
      <c r="W40" s="4">
        <v>5360</v>
      </c>
      <c r="X40">
        <v>500</v>
      </c>
      <c r="Y40">
        <v>0</v>
      </c>
      <c r="Z40">
        <v>0</v>
      </c>
      <c r="AA40">
        <v>0</v>
      </c>
      <c r="AD40">
        <v>0</v>
      </c>
      <c r="AM40" t="s">
        <v>2200</v>
      </c>
      <c r="AN40" t="s">
        <v>116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4824</v>
      </c>
      <c r="BA40">
        <v>0</v>
      </c>
      <c r="BC40" t="s">
        <v>116</v>
      </c>
      <c r="BF40" t="s">
        <v>3998</v>
      </c>
    </row>
    <row r="41" spans="1:58" x14ac:dyDescent="0.35">
      <c r="A41" t="s">
        <v>4825</v>
      </c>
      <c r="B41">
        <v>10000</v>
      </c>
      <c r="C41">
        <v>10000</v>
      </c>
      <c r="D41" s="2">
        <v>45740</v>
      </c>
      <c r="E41" t="s">
        <v>61</v>
      </c>
      <c r="F41" t="s">
        <v>4826</v>
      </c>
      <c r="G41" t="s">
        <v>4827</v>
      </c>
      <c r="I41">
        <v>1</v>
      </c>
      <c r="J41" t="s">
        <v>63</v>
      </c>
      <c r="K41">
        <v>12</v>
      </c>
      <c r="L41" t="s">
        <v>478</v>
      </c>
      <c r="M41" s="4">
        <v>21000</v>
      </c>
      <c r="P41" s="2">
        <v>45737</v>
      </c>
      <c r="R41">
        <v>1</v>
      </c>
      <c r="S41" s="4">
        <v>21000</v>
      </c>
      <c r="T41" t="s">
        <v>65</v>
      </c>
      <c r="U41" t="s">
        <v>2114</v>
      </c>
      <c r="V41">
        <v>0</v>
      </c>
      <c r="W41" s="4">
        <v>21000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2115</v>
      </c>
      <c r="AN41" t="s">
        <v>116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4828</v>
      </c>
      <c r="BA41">
        <v>0</v>
      </c>
      <c r="BC41" t="s">
        <v>116</v>
      </c>
      <c r="BF41" t="s">
        <v>3813</v>
      </c>
    </row>
    <row r="42" spans="1:58" x14ac:dyDescent="0.35">
      <c r="A42" t="s">
        <v>4829</v>
      </c>
      <c r="B42">
        <v>10000</v>
      </c>
      <c r="C42">
        <v>10000</v>
      </c>
      <c r="D42" s="2">
        <v>45737</v>
      </c>
      <c r="E42" t="s">
        <v>61</v>
      </c>
      <c r="F42" t="s">
        <v>4830</v>
      </c>
      <c r="G42" t="s">
        <v>4293</v>
      </c>
      <c r="I42">
        <v>1</v>
      </c>
      <c r="J42" t="s">
        <v>63</v>
      </c>
      <c r="K42">
        <v>61</v>
      </c>
      <c r="L42" t="s">
        <v>197</v>
      </c>
      <c r="M42" s="4">
        <v>1000</v>
      </c>
      <c r="P42" s="2">
        <v>45737</v>
      </c>
      <c r="R42">
        <v>6</v>
      </c>
      <c r="S42" s="4">
        <v>6000</v>
      </c>
      <c r="T42" t="s">
        <v>65</v>
      </c>
      <c r="U42" t="s">
        <v>4831</v>
      </c>
      <c r="V42">
        <v>0</v>
      </c>
      <c r="W42" s="4">
        <v>6000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4832</v>
      </c>
      <c r="AN42" t="s">
        <v>116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4833</v>
      </c>
      <c r="BA42">
        <v>0</v>
      </c>
      <c r="BC42" t="s">
        <v>116</v>
      </c>
      <c r="BF42" t="s">
        <v>3320</v>
      </c>
    </row>
    <row r="43" spans="1:58" x14ac:dyDescent="0.35">
      <c r="A43" t="s">
        <v>4834</v>
      </c>
      <c r="B43">
        <v>10000</v>
      </c>
      <c r="C43">
        <v>10000</v>
      </c>
      <c r="D43" s="2">
        <v>45737</v>
      </c>
      <c r="E43" t="s">
        <v>61</v>
      </c>
      <c r="F43" s="3">
        <v>0.53940972222222228</v>
      </c>
      <c r="G43" t="s">
        <v>4293</v>
      </c>
      <c r="I43">
        <v>1</v>
      </c>
      <c r="J43" t="s">
        <v>63</v>
      </c>
      <c r="K43">
        <v>61</v>
      </c>
      <c r="L43" t="s">
        <v>197</v>
      </c>
      <c r="M43" s="4">
        <v>2334</v>
      </c>
      <c r="P43" s="2">
        <v>45737</v>
      </c>
      <c r="R43">
        <v>6</v>
      </c>
      <c r="S43" s="4">
        <v>14004</v>
      </c>
      <c r="T43" t="s">
        <v>65</v>
      </c>
      <c r="U43" t="s">
        <v>4835</v>
      </c>
      <c r="V43">
        <v>0</v>
      </c>
      <c r="W43" s="4">
        <v>14000</v>
      </c>
      <c r="X43">
        <v>4</v>
      </c>
      <c r="Y43">
        <v>0</v>
      </c>
      <c r="Z43">
        <v>0</v>
      </c>
      <c r="AA43">
        <v>0</v>
      </c>
      <c r="AD43">
        <v>0</v>
      </c>
      <c r="AM43" t="s">
        <v>4836</v>
      </c>
      <c r="AN43" t="s">
        <v>116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4837</v>
      </c>
      <c r="BA43">
        <v>0</v>
      </c>
      <c r="BC43" t="s">
        <v>116</v>
      </c>
      <c r="BF43" t="s">
        <v>3323</v>
      </c>
    </row>
    <row r="44" spans="1:58" x14ac:dyDescent="0.35">
      <c r="A44" t="s">
        <v>4606</v>
      </c>
      <c r="B44">
        <v>10000</v>
      </c>
      <c r="C44">
        <v>20000</v>
      </c>
      <c r="D44" s="2">
        <v>45741</v>
      </c>
      <c r="E44" t="s">
        <v>61</v>
      </c>
      <c r="F44" t="s">
        <v>4607</v>
      </c>
      <c r="G44" t="s">
        <v>4608</v>
      </c>
      <c r="I44">
        <v>2</v>
      </c>
      <c r="J44" t="s">
        <v>63</v>
      </c>
      <c r="K44">
        <v>100</v>
      </c>
      <c r="L44" t="s">
        <v>424</v>
      </c>
      <c r="M44">
        <v>600</v>
      </c>
      <c r="P44" s="2">
        <v>45737</v>
      </c>
      <c r="R44">
        <v>1</v>
      </c>
      <c r="S44">
        <v>600</v>
      </c>
      <c r="T44" t="s">
        <v>65</v>
      </c>
      <c r="U44" t="s">
        <v>4609</v>
      </c>
      <c r="V44">
        <v>0</v>
      </c>
      <c r="W44">
        <v>500</v>
      </c>
      <c r="X44">
        <v>100</v>
      </c>
      <c r="Y44">
        <v>0</v>
      </c>
      <c r="Z44">
        <v>0</v>
      </c>
      <c r="AA44">
        <v>0</v>
      </c>
      <c r="AD44">
        <v>0</v>
      </c>
      <c r="AM44" t="s">
        <v>4610</v>
      </c>
      <c r="AN44" t="s">
        <v>1241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4611</v>
      </c>
      <c r="BA44">
        <v>0</v>
      </c>
      <c r="BC44" t="s">
        <v>1241</v>
      </c>
      <c r="BF44" t="s">
        <v>3555</v>
      </c>
    </row>
    <row r="45" spans="1:58" x14ac:dyDescent="0.35">
      <c r="A45" t="s">
        <v>4838</v>
      </c>
      <c r="B45">
        <v>10000</v>
      </c>
      <c r="C45">
        <v>10000</v>
      </c>
      <c r="D45" s="2">
        <v>45737</v>
      </c>
      <c r="E45" t="s">
        <v>61</v>
      </c>
      <c r="F45" s="3">
        <v>0.48658564814814814</v>
      </c>
      <c r="G45" t="s">
        <v>3886</v>
      </c>
      <c r="I45">
        <v>1</v>
      </c>
      <c r="J45" t="s">
        <v>63</v>
      </c>
      <c r="K45">
        <v>94</v>
      </c>
      <c r="L45" t="s">
        <v>181</v>
      </c>
      <c r="M45">
        <v>334</v>
      </c>
      <c r="P45" s="2">
        <v>45737</v>
      </c>
      <c r="R45">
        <v>6</v>
      </c>
      <c r="S45" s="4">
        <v>2004</v>
      </c>
      <c r="T45" t="s">
        <v>65</v>
      </c>
      <c r="U45" t="s">
        <v>4518</v>
      </c>
      <c r="V45">
        <v>0</v>
      </c>
      <c r="W45" s="4">
        <v>2000</v>
      </c>
      <c r="X45">
        <v>4</v>
      </c>
      <c r="Y45">
        <v>0</v>
      </c>
      <c r="Z45">
        <v>0</v>
      </c>
      <c r="AA45">
        <v>0</v>
      </c>
      <c r="AD45">
        <v>0</v>
      </c>
      <c r="AM45" t="s">
        <v>4519</v>
      </c>
      <c r="AN45" t="s">
        <v>3615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4839</v>
      </c>
      <c r="BA45">
        <v>0</v>
      </c>
      <c r="BC45" t="s">
        <v>3615</v>
      </c>
      <c r="BF45" t="s">
        <v>3617</v>
      </c>
    </row>
    <row r="46" spans="1:58" x14ac:dyDescent="0.35">
      <c r="A46" t="s">
        <v>4840</v>
      </c>
      <c r="B46">
        <v>10000</v>
      </c>
      <c r="C46">
        <v>10000</v>
      </c>
      <c r="D46" s="2">
        <v>45737</v>
      </c>
      <c r="E46" t="s">
        <v>61</v>
      </c>
      <c r="F46" t="s">
        <v>4757</v>
      </c>
      <c r="G46" t="s">
        <v>3886</v>
      </c>
      <c r="I46">
        <v>1</v>
      </c>
      <c r="J46" t="s">
        <v>63</v>
      </c>
      <c r="K46">
        <v>94</v>
      </c>
      <c r="L46" t="s">
        <v>181</v>
      </c>
      <c r="M46">
        <v>167</v>
      </c>
      <c r="P46" s="2">
        <v>45737</v>
      </c>
      <c r="R46">
        <v>6</v>
      </c>
      <c r="S46" s="4">
        <v>1002</v>
      </c>
      <c r="T46" t="s">
        <v>65</v>
      </c>
      <c r="U46" t="s">
        <v>4758</v>
      </c>
      <c r="V46">
        <v>0</v>
      </c>
      <c r="W46" s="4">
        <v>1000</v>
      </c>
      <c r="X46">
        <v>2</v>
      </c>
      <c r="Y46">
        <v>0</v>
      </c>
      <c r="Z46">
        <v>0</v>
      </c>
      <c r="AA46">
        <v>0</v>
      </c>
      <c r="AD46">
        <v>0</v>
      </c>
      <c r="AM46" t="s">
        <v>4759</v>
      </c>
      <c r="AN46" t="s">
        <v>3615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4841</v>
      </c>
      <c r="BA46">
        <v>0</v>
      </c>
      <c r="BC46" t="s">
        <v>3615</v>
      </c>
      <c r="BF46" t="s">
        <v>3617</v>
      </c>
    </row>
    <row r="47" spans="1:58" x14ac:dyDescent="0.35">
      <c r="A47" t="s">
        <v>4358</v>
      </c>
      <c r="B47">
        <v>10000</v>
      </c>
      <c r="C47">
        <v>20000</v>
      </c>
      <c r="D47" s="2">
        <v>45737</v>
      </c>
      <c r="E47" t="s">
        <v>61</v>
      </c>
      <c r="F47" t="s">
        <v>4359</v>
      </c>
      <c r="G47">
        <v>59469</v>
      </c>
      <c r="I47">
        <v>2</v>
      </c>
      <c r="J47" t="s">
        <v>63</v>
      </c>
      <c r="K47">
        <v>96</v>
      </c>
      <c r="L47" t="s">
        <v>75</v>
      </c>
      <c r="M47" s="4">
        <v>15750</v>
      </c>
      <c r="P47" s="2">
        <v>45737</v>
      </c>
      <c r="R47">
        <v>6</v>
      </c>
      <c r="S47" s="4">
        <v>94500</v>
      </c>
      <c r="T47" t="s">
        <v>65</v>
      </c>
      <c r="U47" t="s">
        <v>4360</v>
      </c>
      <c r="V47">
        <v>0</v>
      </c>
      <c r="W47" s="4">
        <v>94500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4361</v>
      </c>
      <c r="AN47" t="s">
        <v>321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4362</v>
      </c>
      <c r="BA47">
        <v>0</v>
      </c>
      <c r="BC47" t="s">
        <v>321</v>
      </c>
      <c r="BF47" t="s">
        <v>4363</v>
      </c>
    </row>
    <row r="48" spans="1:58" x14ac:dyDescent="0.35">
      <c r="A48" t="s">
        <v>4842</v>
      </c>
      <c r="B48">
        <v>10000</v>
      </c>
      <c r="C48">
        <v>20000</v>
      </c>
      <c r="D48" s="2">
        <v>45749</v>
      </c>
      <c r="E48" t="s">
        <v>61</v>
      </c>
      <c r="F48" t="s">
        <v>4843</v>
      </c>
      <c r="G48" t="s">
        <v>3952</v>
      </c>
      <c r="I48">
        <v>1</v>
      </c>
      <c r="J48" t="s">
        <v>63</v>
      </c>
      <c r="K48">
        <v>63</v>
      </c>
      <c r="L48" t="s">
        <v>519</v>
      </c>
      <c r="M48" s="4">
        <v>23334</v>
      </c>
      <c r="P48" s="2">
        <v>45737</v>
      </c>
      <c r="R48">
        <v>90</v>
      </c>
      <c r="S48" s="4">
        <v>2100060</v>
      </c>
      <c r="T48" t="s">
        <v>65</v>
      </c>
      <c r="U48" t="s">
        <v>3953</v>
      </c>
      <c r="V48">
        <v>0</v>
      </c>
      <c r="W48" s="4">
        <v>2100000</v>
      </c>
      <c r="X48">
        <v>60</v>
      </c>
      <c r="Y48">
        <v>0</v>
      </c>
      <c r="Z48">
        <v>0</v>
      </c>
      <c r="AA48">
        <v>0</v>
      </c>
      <c r="AD48">
        <v>0</v>
      </c>
      <c r="AM48" t="s">
        <v>3954</v>
      </c>
      <c r="AN48" t="s">
        <v>1672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4844</v>
      </c>
      <c r="BA48">
        <v>0</v>
      </c>
      <c r="BC48" t="s">
        <v>1672</v>
      </c>
      <c r="BF48" t="s">
        <v>4845</v>
      </c>
    </row>
    <row r="49" spans="1:58" x14ac:dyDescent="0.35">
      <c r="A49" t="s">
        <v>4846</v>
      </c>
      <c r="B49">
        <v>10000</v>
      </c>
      <c r="C49">
        <v>10000</v>
      </c>
      <c r="D49" s="2">
        <v>45740</v>
      </c>
      <c r="E49" t="s">
        <v>61</v>
      </c>
      <c r="F49" t="s">
        <v>4847</v>
      </c>
      <c r="G49" t="s">
        <v>3880</v>
      </c>
      <c r="I49">
        <v>1</v>
      </c>
      <c r="J49" t="s">
        <v>63</v>
      </c>
      <c r="K49">
        <v>86</v>
      </c>
      <c r="L49" t="s">
        <v>64</v>
      </c>
      <c r="M49" s="4">
        <v>41760</v>
      </c>
      <c r="P49" s="2">
        <v>45737</v>
      </c>
      <c r="R49">
        <v>54</v>
      </c>
      <c r="S49" s="4">
        <v>2255040</v>
      </c>
      <c r="T49" t="s">
        <v>65</v>
      </c>
      <c r="U49">
        <v>86083950001</v>
      </c>
      <c r="V49">
        <v>0</v>
      </c>
      <c r="W49" s="4">
        <v>2260000</v>
      </c>
      <c r="X49" s="4">
        <v>-4960</v>
      </c>
      <c r="Y49">
        <v>0</v>
      </c>
      <c r="Z49">
        <v>0</v>
      </c>
      <c r="AA49">
        <v>0</v>
      </c>
      <c r="AD49">
        <v>0</v>
      </c>
      <c r="AM49">
        <v>8608395</v>
      </c>
      <c r="AN49" t="s">
        <v>91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4848</v>
      </c>
      <c r="BA49">
        <v>0</v>
      </c>
      <c r="BC49" t="s">
        <v>91</v>
      </c>
      <c r="BF49" t="s">
        <v>4849</v>
      </c>
    </row>
    <row r="50" spans="1:58" x14ac:dyDescent="0.35">
      <c r="A50" t="s">
        <v>4850</v>
      </c>
      <c r="B50">
        <v>10000</v>
      </c>
      <c r="C50">
        <v>10000</v>
      </c>
      <c r="D50" s="2">
        <v>45740</v>
      </c>
      <c r="E50" t="s">
        <v>61</v>
      </c>
      <c r="F50" t="s">
        <v>4851</v>
      </c>
      <c r="G50" t="s">
        <v>4009</v>
      </c>
      <c r="I50">
        <v>1</v>
      </c>
      <c r="J50" t="s">
        <v>63</v>
      </c>
      <c r="K50">
        <v>22</v>
      </c>
      <c r="L50" t="s">
        <v>466</v>
      </c>
      <c r="M50" s="4">
        <v>16000</v>
      </c>
      <c r="P50" s="2">
        <v>45737</v>
      </c>
      <c r="R50">
        <v>1</v>
      </c>
      <c r="S50" s="4">
        <v>16000</v>
      </c>
      <c r="T50" t="s">
        <v>65</v>
      </c>
      <c r="U50" t="s">
        <v>4852</v>
      </c>
      <c r="V50">
        <v>0</v>
      </c>
      <c r="W50" s="4">
        <v>16000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4853</v>
      </c>
      <c r="AN50" t="s">
        <v>116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4854</v>
      </c>
      <c r="BA50">
        <v>0</v>
      </c>
      <c r="BC50" t="s">
        <v>116</v>
      </c>
      <c r="BF50" t="s">
        <v>4631</v>
      </c>
    </row>
    <row r="51" spans="1:58" x14ac:dyDescent="0.35">
      <c r="A51" t="s">
        <v>4855</v>
      </c>
      <c r="B51">
        <v>10000</v>
      </c>
      <c r="C51">
        <v>10000</v>
      </c>
      <c r="D51" s="2">
        <v>45737</v>
      </c>
      <c r="E51" t="s">
        <v>61</v>
      </c>
      <c r="F51" t="s">
        <v>4774</v>
      </c>
      <c r="G51" t="s">
        <v>4009</v>
      </c>
      <c r="I51">
        <v>1</v>
      </c>
      <c r="J51" t="s">
        <v>63</v>
      </c>
      <c r="K51">
        <v>22</v>
      </c>
      <c r="L51" t="s">
        <v>466</v>
      </c>
      <c r="M51" s="4">
        <v>8000</v>
      </c>
      <c r="P51" s="2">
        <v>45737</v>
      </c>
      <c r="R51">
        <v>1</v>
      </c>
      <c r="S51" s="4">
        <v>8000</v>
      </c>
      <c r="T51" t="s">
        <v>65</v>
      </c>
      <c r="U51" t="s">
        <v>4856</v>
      </c>
      <c r="V51">
        <v>0</v>
      </c>
      <c r="W51" s="4">
        <v>8000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4857</v>
      </c>
      <c r="AN51" t="s">
        <v>116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4858</v>
      </c>
      <c r="BA51">
        <v>0</v>
      </c>
      <c r="BC51" t="s">
        <v>116</v>
      </c>
      <c r="BF51" t="s">
        <v>4631</v>
      </c>
    </row>
    <row r="52" spans="1:58" x14ac:dyDescent="0.35">
      <c r="A52" t="s">
        <v>4859</v>
      </c>
      <c r="B52">
        <v>10000</v>
      </c>
      <c r="C52">
        <v>10000</v>
      </c>
      <c r="D52" s="2">
        <v>45740</v>
      </c>
      <c r="E52" t="s">
        <v>61</v>
      </c>
      <c r="F52" t="s">
        <v>4860</v>
      </c>
      <c r="G52" t="s">
        <v>4284</v>
      </c>
      <c r="I52">
        <v>1</v>
      </c>
      <c r="J52" t="s">
        <v>63</v>
      </c>
      <c r="K52">
        <v>32</v>
      </c>
      <c r="L52" t="s">
        <v>553</v>
      </c>
      <c r="M52" s="4">
        <v>5860</v>
      </c>
      <c r="P52" s="2">
        <v>45737</v>
      </c>
      <c r="R52">
        <v>1</v>
      </c>
      <c r="S52" s="4">
        <v>5860</v>
      </c>
      <c r="T52" t="s">
        <v>65</v>
      </c>
      <c r="U52" t="s">
        <v>2199</v>
      </c>
      <c r="V52">
        <v>0</v>
      </c>
      <c r="W52" s="4">
        <v>5360</v>
      </c>
      <c r="X52">
        <v>500</v>
      </c>
      <c r="Y52">
        <v>0</v>
      </c>
      <c r="Z52">
        <v>0</v>
      </c>
      <c r="AA52">
        <v>0</v>
      </c>
      <c r="AD52">
        <v>0</v>
      </c>
      <c r="AM52" t="s">
        <v>2200</v>
      </c>
      <c r="AN52" t="s">
        <v>116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4861</v>
      </c>
      <c r="BA52">
        <v>0</v>
      </c>
      <c r="BC52" t="s">
        <v>116</v>
      </c>
      <c r="BF52" t="s">
        <v>4862</v>
      </c>
    </row>
    <row r="53" spans="1:58" x14ac:dyDescent="0.35">
      <c r="A53" t="s">
        <v>4393</v>
      </c>
      <c r="B53">
        <v>10000</v>
      </c>
      <c r="C53">
        <v>20000</v>
      </c>
      <c r="D53" s="2">
        <v>45737</v>
      </c>
      <c r="E53" t="s">
        <v>61</v>
      </c>
      <c r="F53" t="s">
        <v>4394</v>
      </c>
      <c r="G53" t="s">
        <v>4340</v>
      </c>
      <c r="I53">
        <v>2</v>
      </c>
      <c r="J53" t="s">
        <v>63</v>
      </c>
      <c r="K53">
        <v>71</v>
      </c>
      <c r="L53" t="s">
        <v>135</v>
      </c>
      <c r="M53" s="4">
        <v>2500</v>
      </c>
      <c r="P53" s="2">
        <v>45737</v>
      </c>
      <c r="R53">
        <v>6</v>
      </c>
      <c r="S53" s="4">
        <v>15000</v>
      </c>
      <c r="T53" t="s">
        <v>65</v>
      </c>
      <c r="U53">
        <v>5000582270001</v>
      </c>
      <c r="V53">
        <v>0</v>
      </c>
      <c r="W53" s="4">
        <v>7500</v>
      </c>
      <c r="X53" s="4">
        <v>7500</v>
      </c>
      <c r="Y53">
        <v>0</v>
      </c>
      <c r="Z53">
        <v>0</v>
      </c>
      <c r="AA53">
        <v>0</v>
      </c>
      <c r="AD53">
        <v>0</v>
      </c>
      <c r="AM53">
        <v>500058227</v>
      </c>
      <c r="AN53" t="s">
        <v>91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4395</v>
      </c>
      <c r="BA53">
        <v>0</v>
      </c>
      <c r="BC53" t="s">
        <v>91</v>
      </c>
      <c r="BF53" t="s">
        <v>4383</v>
      </c>
    </row>
    <row r="54" spans="1:58" x14ac:dyDescent="0.35">
      <c r="A54" t="s">
        <v>4396</v>
      </c>
      <c r="B54">
        <v>10000</v>
      </c>
      <c r="C54">
        <v>20000</v>
      </c>
      <c r="D54" s="2">
        <v>45737</v>
      </c>
      <c r="E54" t="s">
        <v>61</v>
      </c>
      <c r="F54" t="s">
        <v>4397</v>
      </c>
      <c r="G54" t="s">
        <v>4340</v>
      </c>
      <c r="I54">
        <v>2</v>
      </c>
      <c r="J54" t="s">
        <v>63</v>
      </c>
      <c r="K54">
        <v>71</v>
      </c>
      <c r="L54" t="s">
        <v>135</v>
      </c>
      <c r="M54">
        <v>834</v>
      </c>
      <c r="P54" s="2">
        <v>45737</v>
      </c>
      <c r="R54">
        <v>6</v>
      </c>
      <c r="S54" s="4">
        <v>5004</v>
      </c>
      <c r="T54" t="s">
        <v>65</v>
      </c>
      <c r="U54">
        <v>5000582280001</v>
      </c>
      <c r="V54">
        <v>0</v>
      </c>
      <c r="W54" s="4">
        <v>2500</v>
      </c>
      <c r="X54" s="4">
        <v>2504</v>
      </c>
      <c r="Y54">
        <v>0</v>
      </c>
      <c r="Z54">
        <v>0</v>
      </c>
      <c r="AA54">
        <v>0</v>
      </c>
      <c r="AD54">
        <v>0</v>
      </c>
      <c r="AM54">
        <v>500058228</v>
      </c>
      <c r="AN54" t="s">
        <v>91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4398</v>
      </c>
      <c r="BA54">
        <v>0</v>
      </c>
      <c r="BC54" t="s">
        <v>91</v>
      </c>
      <c r="BF54" t="s">
        <v>4383</v>
      </c>
    </row>
    <row r="55" spans="1:58" x14ac:dyDescent="0.35">
      <c r="A55" t="s">
        <v>4399</v>
      </c>
      <c r="B55">
        <v>10000</v>
      </c>
      <c r="C55">
        <v>20000</v>
      </c>
      <c r="D55" s="2">
        <v>45737</v>
      </c>
      <c r="E55" t="s">
        <v>61</v>
      </c>
      <c r="F55" t="s">
        <v>4400</v>
      </c>
      <c r="G55" t="s">
        <v>4340</v>
      </c>
      <c r="I55">
        <v>2</v>
      </c>
      <c r="J55" t="s">
        <v>63</v>
      </c>
      <c r="K55">
        <v>71</v>
      </c>
      <c r="L55" t="s">
        <v>135</v>
      </c>
      <c r="M55" s="4">
        <v>2334</v>
      </c>
      <c r="P55" s="2">
        <v>45737</v>
      </c>
      <c r="R55">
        <v>6</v>
      </c>
      <c r="S55" s="4">
        <v>14004</v>
      </c>
      <c r="T55" t="s">
        <v>65</v>
      </c>
      <c r="U55">
        <v>5000584100001</v>
      </c>
      <c r="V55">
        <v>0</v>
      </c>
      <c r="W55" s="4">
        <v>7000</v>
      </c>
      <c r="X55" s="4">
        <v>7004</v>
      </c>
      <c r="Y55">
        <v>0</v>
      </c>
      <c r="Z55">
        <v>0</v>
      </c>
      <c r="AA55">
        <v>0</v>
      </c>
      <c r="AD55">
        <v>0</v>
      </c>
      <c r="AM55">
        <v>500058410</v>
      </c>
      <c r="AN55" t="s">
        <v>91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4401</v>
      </c>
      <c r="BA55">
        <v>0</v>
      </c>
      <c r="BC55" t="s">
        <v>91</v>
      </c>
      <c r="BF55" t="s">
        <v>4383</v>
      </c>
    </row>
    <row r="56" spans="1:58" x14ac:dyDescent="0.35">
      <c r="A56" t="s">
        <v>4636</v>
      </c>
      <c r="B56">
        <v>10000</v>
      </c>
      <c r="C56">
        <v>20000</v>
      </c>
      <c r="D56" s="2">
        <v>45737</v>
      </c>
      <c r="E56" t="s">
        <v>61</v>
      </c>
      <c r="F56" t="s">
        <v>4637</v>
      </c>
      <c r="G56" t="s">
        <v>4340</v>
      </c>
      <c r="I56">
        <v>2</v>
      </c>
      <c r="J56" t="s">
        <v>63</v>
      </c>
      <c r="K56">
        <v>71</v>
      </c>
      <c r="L56" t="s">
        <v>135</v>
      </c>
      <c r="M56" s="4">
        <v>7000</v>
      </c>
      <c r="P56" s="2">
        <v>45737</v>
      </c>
      <c r="R56">
        <v>6</v>
      </c>
      <c r="S56" s="4">
        <v>42000</v>
      </c>
      <c r="T56" t="s">
        <v>65</v>
      </c>
      <c r="U56">
        <v>5000538100001</v>
      </c>
      <c r="V56">
        <v>0</v>
      </c>
      <c r="W56" s="4">
        <v>28000</v>
      </c>
      <c r="X56" s="4">
        <v>14000</v>
      </c>
      <c r="Y56">
        <v>0</v>
      </c>
      <c r="Z56">
        <v>0</v>
      </c>
      <c r="AA56">
        <v>0</v>
      </c>
      <c r="AD56">
        <v>0</v>
      </c>
      <c r="AM56">
        <v>500053810</v>
      </c>
      <c r="AN56" t="s">
        <v>91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4638</v>
      </c>
      <c r="BA56">
        <v>0</v>
      </c>
      <c r="BC56" t="s">
        <v>91</v>
      </c>
      <c r="BF56" t="s">
        <v>4635</v>
      </c>
    </row>
    <row r="57" spans="1:58" x14ac:dyDescent="0.35">
      <c r="A57" t="s">
        <v>4863</v>
      </c>
      <c r="B57">
        <v>10000</v>
      </c>
      <c r="C57">
        <v>10000</v>
      </c>
      <c r="D57" s="2">
        <v>45742</v>
      </c>
      <c r="E57" t="s">
        <v>61</v>
      </c>
      <c r="F57" t="s">
        <v>4864</v>
      </c>
      <c r="G57" t="s">
        <v>4865</v>
      </c>
      <c r="I57">
        <v>1</v>
      </c>
      <c r="J57" t="s">
        <v>63</v>
      </c>
      <c r="K57">
        <v>88</v>
      </c>
      <c r="L57" t="s">
        <v>630</v>
      </c>
      <c r="M57" s="4">
        <v>1800</v>
      </c>
      <c r="P57" s="2">
        <v>45737</v>
      </c>
      <c r="R57">
        <v>3</v>
      </c>
      <c r="S57" s="4">
        <v>5400</v>
      </c>
      <c r="T57" t="s">
        <v>65</v>
      </c>
      <c r="U57" t="s">
        <v>4866</v>
      </c>
      <c r="V57">
        <v>0</v>
      </c>
      <c r="W57" s="4">
        <v>5000</v>
      </c>
      <c r="X57">
        <v>400</v>
      </c>
      <c r="Y57">
        <v>0</v>
      </c>
      <c r="Z57">
        <v>0</v>
      </c>
      <c r="AA57">
        <v>0</v>
      </c>
      <c r="AD57">
        <v>0</v>
      </c>
      <c r="AM57" t="s">
        <v>4867</v>
      </c>
      <c r="AN57" t="s">
        <v>4868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4869</v>
      </c>
      <c r="BA57">
        <v>0</v>
      </c>
      <c r="BC57" t="s">
        <v>4868</v>
      </c>
      <c r="BF57" t="s">
        <v>4870</v>
      </c>
    </row>
    <row r="58" spans="1:58" x14ac:dyDescent="0.35">
      <c r="A58" t="s">
        <v>4863</v>
      </c>
      <c r="B58">
        <v>10000</v>
      </c>
      <c r="C58">
        <v>20000</v>
      </c>
      <c r="D58" s="2">
        <v>45742</v>
      </c>
      <c r="E58" t="s">
        <v>61</v>
      </c>
      <c r="F58" t="s">
        <v>4864</v>
      </c>
      <c r="G58" t="s">
        <v>4865</v>
      </c>
      <c r="I58">
        <v>2</v>
      </c>
      <c r="J58" t="s">
        <v>63</v>
      </c>
      <c r="K58">
        <v>92</v>
      </c>
      <c r="L58" t="s">
        <v>424</v>
      </c>
      <c r="M58" s="4">
        <v>1800</v>
      </c>
      <c r="P58" s="2">
        <v>45737</v>
      </c>
      <c r="R58">
        <v>3</v>
      </c>
      <c r="S58" s="4">
        <v>5400</v>
      </c>
      <c r="T58" t="s">
        <v>65</v>
      </c>
      <c r="U58" t="s">
        <v>4866</v>
      </c>
      <c r="V58">
        <v>0</v>
      </c>
      <c r="W58" s="4">
        <v>5000</v>
      </c>
      <c r="X58">
        <v>400</v>
      </c>
      <c r="Y58">
        <v>0</v>
      </c>
      <c r="Z58">
        <v>0</v>
      </c>
      <c r="AA58">
        <v>0</v>
      </c>
      <c r="AD58">
        <v>0</v>
      </c>
      <c r="AM58" t="s">
        <v>4867</v>
      </c>
      <c r="AN58" t="s">
        <v>4868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4869</v>
      </c>
      <c r="BA58">
        <v>0</v>
      </c>
      <c r="BC58" t="s">
        <v>4868</v>
      </c>
      <c r="BF58" t="s">
        <v>4870</v>
      </c>
    </row>
    <row r="59" spans="1:58" x14ac:dyDescent="0.35">
      <c r="A59" t="s">
        <v>4871</v>
      </c>
      <c r="B59">
        <v>10000</v>
      </c>
      <c r="C59">
        <v>10000</v>
      </c>
      <c r="D59" s="2">
        <v>45742</v>
      </c>
      <c r="E59" t="s">
        <v>61</v>
      </c>
      <c r="F59" t="s">
        <v>1180</v>
      </c>
      <c r="G59" t="s">
        <v>4865</v>
      </c>
      <c r="I59">
        <v>1</v>
      </c>
      <c r="J59" t="s">
        <v>63</v>
      </c>
      <c r="K59">
        <v>88</v>
      </c>
      <c r="L59" t="s">
        <v>630</v>
      </c>
      <c r="M59" s="4">
        <v>1800</v>
      </c>
      <c r="P59" s="2">
        <v>45737</v>
      </c>
      <c r="R59">
        <v>3</v>
      </c>
      <c r="S59" s="4">
        <v>5400</v>
      </c>
      <c r="T59" t="s">
        <v>65</v>
      </c>
      <c r="U59" t="s">
        <v>4872</v>
      </c>
      <c r="V59">
        <v>0</v>
      </c>
      <c r="W59" s="4">
        <v>5000</v>
      </c>
      <c r="X59">
        <v>400</v>
      </c>
      <c r="Y59">
        <v>0</v>
      </c>
      <c r="Z59">
        <v>0</v>
      </c>
      <c r="AA59">
        <v>0</v>
      </c>
      <c r="AD59">
        <v>0</v>
      </c>
      <c r="AM59" t="s">
        <v>4873</v>
      </c>
      <c r="AN59" t="s">
        <v>4868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4874</v>
      </c>
      <c r="BA59">
        <v>0</v>
      </c>
      <c r="BC59" t="s">
        <v>4868</v>
      </c>
      <c r="BF59" t="s">
        <v>4870</v>
      </c>
    </row>
    <row r="60" spans="1:58" x14ac:dyDescent="0.35">
      <c r="A60" t="s">
        <v>4875</v>
      </c>
      <c r="B60">
        <v>10000</v>
      </c>
      <c r="C60">
        <v>10000</v>
      </c>
      <c r="D60" s="2">
        <v>45742</v>
      </c>
      <c r="E60" t="s">
        <v>61</v>
      </c>
      <c r="F60" t="s">
        <v>4876</v>
      </c>
      <c r="G60" t="s">
        <v>4865</v>
      </c>
      <c r="I60">
        <v>1</v>
      </c>
      <c r="J60" t="s">
        <v>63</v>
      </c>
      <c r="K60">
        <v>88</v>
      </c>
      <c r="L60" t="s">
        <v>630</v>
      </c>
      <c r="M60" s="4">
        <v>1800</v>
      </c>
      <c r="P60" s="2">
        <v>45737</v>
      </c>
      <c r="R60">
        <v>3</v>
      </c>
      <c r="S60" s="4">
        <v>5400</v>
      </c>
      <c r="T60" t="s">
        <v>65</v>
      </c>
      <c r="U60" t="s">
        <v>4877</v>
      </c>
      <c r="V60">
        <v>0</v>
      </c>
      <c r="W60" s="4">
        <v>5000</v>
      </c>
      <c r="X60">
        <v>400</v>
      </c>
      <c r="Y60">
        <v>0</v>
      </c>
      <c r="Z60">
        <v>0</v>
      </c>
      <c r="AA60">
        <v>0</v>
      </c>
      <c r="AD60">
        <v>0</v>
      </c>
      <c r="AM60" t="s">
        <v>4878</v>
      </c>
      <c r="AN60" t="s">
        <v>4868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4879</v>
      </c>
      <c r="BA60">
        <v>0</v>
      </c>
      <c r="BC60" t="s">
        <v>4868</v>
      </c>
      <c r="BF60" t="s">
        <v>4870</v>
      </c>
    </row>
    <row r="61" spans="1:58" x14ac:dyDescent="0.35">
      <c r="A61" t="s">
        <v>4880</v>
      </c>
      <c r="B61">
        <v>10000</v>
      </c>
      <c r="C61">
        <v>10000</v>
      </c>
      <c r="D61" s="2">
        <v>45742</v>
      </c>
      <c r="E61" t="s">
        <v>61</v>
      </c>
      <c r="F61" t="s">
        <v>1363</v>
      </c>
      <c r="G61" t="s">
        <v>4865</v>
      </c>
      <c r="I61">
        <v>1</v>
      </c>
      <c r="J61" t="s">
        <v>63</v>
      </c>
      <c r="K61">
        <v>88</v>
      </c>
      <c r="L61" t="s">
        <v>630</v>
      </c>
      <c r="M61" s="4">
        <v>1800</v>
      </c>
      <c r="P61" s="2">
        <v>45737</v>
      </c>
      <c r="R61">
        <v>3</v>
      </c>
      <c r="S61" s="4">
        <v>5400</v>
      </c>
      <c r="T61" t="s">
        <v>65</v>
      </c>
      <c r="U61" t="s">
        <v>4881</v>
      </c>
      <c r="V61">
        <v>0</v>
      </c>
      <c r="W61" s="4">
        <v>5000</v>
      </c>
      <c r="X61">
        <v>400</v>
      </c>
      <c r="Y61">
        <v>0</v>
      </c>
      <c r="Z61">
        <v>0</v>
      </c>
      <c r="AA61">
        <v>0</v>
      </c>
      <c r="AD61">
        <v>0</v>
      </c>
      <c r="AM61" t="s">
        <v>4882</v>
      </c>
      <c r="AN61" t="s">
        <v>4868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4883</v>
      </c>
      <c r="BA61">
        <v>0</v>
      </c>
      <c r="BC61" t="s">
        <v>4868</v>
      </c>
      <c r="BF61" t="s">
        <v>4870</v>
      </c>
    </row>
    <row r="62" spans="1:58" x14ac:dyDescent="0.35">
      <c r="A62" t="s">
        <v>4884</v>
      </c>
      <c r="B62">
        <v>10000</v>
      </c>
      <c r="C62">
        <v>10000</v>
      </c>
      <c r="D62" s="2">
        <v>45742</v>
      </c>
      <c r="E62" t="s">
        <v>61</v>
      </c>
      <c r="F62" t="s">
        <v>1345</v>
      </c>
      <c r="G62" t="s">
        <v>4865</v>
      </c>
      <c r="I62">
        <v>1</v>
      </c>
      <c r="J62" t="s">
        <v>63</v>
      </c>
      <c r="K62">
        <v>88</v>
      </c>
      <c r="L62" t="s">
        <v>630</v>
      </c>
      <c r="M62" s="4">
        <v>1800</v>
      </c>
      <c r="P62" s="2">
        <v>45737</v>
      </c>
      <c r="R62">
        <v>3</v>
      </c>
      <c r="S62" s="4">
        <v>5400</v>
      </c>
      <c r="T62" t="s">
        <v>65</v>
      </c>
      <c r="U62" t="s">
        <v>4885</v>
      </c>
      <c r="V62">
        <v>0</v>
      </c>
      <c r="W62" s="4">
        <v>5000</v>
      </c>
      <c r="X62">
        <v>400</v>
      </c>
      <c r="Y62">
        <v>0</v>
      </c>
      <c r="Z62">
        <v>0</v>
      </c>
      <c r="AA62">
        <v>0</v>
      </c>
      <c r="AD62">
        <v>0</v>
      </c>
      <c r="AM62" t="s">
        <v>4886</v>
      </c>
      <c r="AN62" t="s">
        <v>4868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4887</v>
      </c>
      <c r="BA62">
        <v>0</v>
      </c>
      <c r="BC62" t="s">
        <v>4868</v>
      </c>
      <c r="BF62" t="s">
        <v>4870</v>
      </c>
    </row>
    <row r="63" spans="1:58" x14ac:dyDescent="0.35">
      <c r="A63" t="s">
        <v>4467</v>
      </c>
      <c r="B63">
        <v>10000</v>
      </c>
      <c r="C63">
        <v>20000</v>
      </c>
      <c r="D63" s="2">
        <v>45740</v>
      </c>
      <c r="E63" t="s">
        <v>61</v>
      </c>
      <c r="F63" t="s">
        <v>4468</v>
      </c>
      <c r="G63">
        <v>10620258039</v>
      </c>
      <c r="I63">
        <v>2</v>
      </c>
      <c r="J63" t="s">
        <v>63</v>
      </c>
      <c r="K63">
        <v>77</v>
      </c>
      <c r="L63" t="s">
        <v>127</v>
      </c>
      <c r="M63">
        <v>367</v>
      </c>
      <c r="P63" s="2">
        <v>45737</v>
      </c>
      <c r="R63">
        <v>15</v>
      </c>
      <c r="S63" s="4">
        <v>5505</v>
      </c>
      <c r="T63" t="s">
        <v>65</v>
      </c>
      <c r="U63" t="s">
        <v>4469</v>
      </c>
      <c r="V63">
        <v>0</v>
      </c>
      <c r="W63" s="4">
        <v>3000</v>
      </c>
      <c r="X63" s="4">
        <v>2505</v>
      </c>
      <c r="Y63">
        <v>0</v>
      </c>
      <c r="Z63">
        <v>0</v>
      </c>
      <c r="AA63">
        <v>0</v>
      </c>
      <c r="AD63">
        <v>0</v>
      </c>
      <c r="AM63" t="s">
        <v>4470</v>
      </c>
      <c r="AN63" t="s">
        <v>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4471</v>
      </c>
      <c r="BA63">
        <v>0</v>
      </c>
      <c r="BC63" t="s">
        <v>68</v>
      </c>
      <c r="BF63" t="s">
        <v>4472</v>
      </c>
    </row>
    <row r="64" spans="1:58" x14ac:dyDescent="0.35">
      <c r="A64" t="s">
        <v>4642</v>
      </c>
      <c r="B64">
        <v>10000</v>
      </c>
      <c r="C64">
        <v>20000</v>
      </c>
      <c r="D64" s="2">
        <v>45737</v>
      </c>
      <c r="E64" t="s">
        <v>61</v>
      </c>
      <c r="F64" t="s">
        <v>4643</v>
      </c>
      <c r="G64">
        <v>310180293</v>
      </c>
      <c r="I64">
        <v>2</v>
      </c>
      <c r="J64" t="s">
        <v>63</v>
      </c>
      <c r="K64">
        <v>92</v>
      </c>
      <c r="L64" t="s">
        <v>424</v>
      </c>
      <c r="M64">
        <v>10</v>
      </c>
      <c r="P64" s="2">
        <v>45737</v>
      </c>
      <c r="R64">
        <v>1</v>
      </c>
      <c r="S64">
        <v>10</v>
      </c>
      <c r="T64" t="s">
        <v>65</v>
      </c>
      <c r="U64" t="s">
        <v>4644</v>
      </c>
      <c r="V64">
        <v>0</v>
      </c>
      <c r="W64">
        <v>50</v>
      </c>
      <c r="X64">
        <v>-40</v>
      </c>
      <c r="Y64">
        <v>0</v>
      </c>
      <c r="Z64">
        <v>0</v>
      </c>
      <c r="AA64">
        <v>0</v>
      </c>
      <c r="AD64">
        <v>0</v>
      </c>
      <c r="AM64" t="s">
        <v>4645</v>
      </c>
      <c r="AN64" t="s">
        <v>3041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4646</v>
      </c>
      <c r="BA64">
        <v>0</v>
      </c>
      <c r="BC64" t="s">
        <v>3041</v>
      </c>
      <c r="BF64" t="s">
        <v>4647</v>
      </c>
    </row>
    <row r="65" spans="1:58" x14ac:dyDescent="0.35">
      <c r="A65" t="s">
        <v>4888</v>
      </c>
      <c r="B65">
        <v>10000</v>
      </c>
      <c r="C65">
        <v>10000</v>
      </c>
      <c r="D65" s="2">
        <v>45741</v>
      </c>
      <c r="E65" t="s">
        <v>61</v>
      </c>
      <c r="F65" t="s">
        <v>4889</v>
      </c>
      <c r="G65" t="s">
        <v>4890</v>
      </c>
      <c r="I65">
        <v>1</v>
      </c>
      <c r="J65" t="s">
        <v>63</v>
      </c>
      <c r="K65">
        <v>78</v>
      </c>
      <c r="L65" t="s">
        <v>188</v>
      </c>
      <c r="M65" s="4">
        <v>1500</v>
      </c>
      <c r="P65" s="2">
        <v>45737</v>
      </c>
      <c r="R65">
        <v>16</v>
      </c>
      <c r="S65" s="4">
        <v>24000</v>
      </c>
      <c r="T65" t="s">
        <v>65</v>
      </c>
      <c r="U65" t="s">
        <v>4891</v>
      </c>
      <c r="V65">
        <v>0</v>
      </c>
      <c r="W65" s="4">
        <v>20000</v>
      </c>
      <c r="X65" s="4">
        <v>4000</v>
      </c>
      <c r="Y65">
        <v>0</v>
      </c>
      <c r="Z65">
        <v>0</v>
      </c>
      <c r="AA65">
        <v>0</v>
      </c>
      <c r="AD65">
        <v>0</v>
      </c>
      <c r="AM65" t="s">
        <v>4892</v>
      </c>
      <c r="AN65" t="s">
        <v>157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4893</v>
      </c>
      <c r="BA65">
        <v>0</v>
      </c>
      <c r="BC65" t="s">
        <v>157</v>
      </c>
      <c r="BF65" t="s">
        <v>4894</v>
      </c>
    </row>
    <row r="66" spans="1:58" x14ac:dyDescent="0.35">
      <c r="A66" t="s">
        <v>4895</v>
      </c>
      <c r="B66">
        <v>10000</v>
      </c>
      <c r="C66">
        <v>10000</v>
      </c>
      <c r="D66" s="2">
        <v>45740</v>
      </c>
      <c r="E66" t="s">
        <v>61</v>
      </c>
      <c r="F66" t="s">
        <v>4896</v>
      </c>
      <c r="G66" t="s">
        <v>4897</v>
      </c>
      <c r="I66">
        <v>1</v>
      </c>
      <c r="J66" t="s">
        <v>63</v>
      </c>
      <c r="K66">
        <v>78</v>
      </c>
      <c r="L66" t="s">
        <v>188</v>
      </c>
      <c r="M66" s="4">
        <v>2750</v>
      </c>
      <c r="P66" s="2">
        <v>45737</v>
      </c>
      <c r="R66">
        <v>16</v>
      </c>
      <c r="S66" s="4">
        <v>44000</v>
      </c>
      <c r="T66" t="s">
        <v>65</v>
      </c>
      <c r="U66" t="s">
        <v>2865</v>
      </c>
      <c r="V66">
        <v>0</v>
      </c>
      <c r="W66" s="4">
        <v>40000</v>
      </c>
      <c r="X66" s="4">
        <v>4000</v>
      </c>
      <c r="Y66">
        <v>0</v>
      </c>
      <c r="Z66">
        <v>0</v>
      </c>
      <c r="AA66">
        <v>0</v>
      </c>
      <c r="AD66">
        <v>0</v>
      </c>
      <c r="AM66" t="s">
        <v>2866</v>
      </c>
      <c r="AN66" t="s">
        <v>157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4898</v>
      </c>
      <c r="BA66">
        <v>0</v>
      </c>
      <c r="BC66" t="s">
        <v>157</v>
      </c>
      <c r="BF66" t="s">
        <v>4899</v>
      </c>
    </row>
    <row r="67" spans="1:58" x14ac:dyDescent="0.35">
      <c r="A67" t="s">
        <v>4900</v>
      </c>
      <c r="B67">
        <v>10000</v>
      </c>
      <c r="C67">
        <v>10000</v>
      </c>
      <c r="D67" s="2">
        <v>45740</v>
      </c>
      <c r="E67" t="s">
        <v>61</v>
      </c>
      <c r="F67" t="s">
        <v>4901</v>
      </c>
      <c r="G67" t="s">
        <v>2289</v>
      </c>
      <c r="I67">
        <v>1</v>
      </c>
      <c r="J67" t="s">
        <v>63</v>
      </c>
      <c r="K67">
        <v>78</v>
      </c>
      <c r="L67" t="s">
        <v>188</v>
      </c>
      <c r="M67" s="4">
        <v>2750</v>
      </c>
      <c r="P67" s="2">
        <v>45737</v>
      </c>
      <c r="R67">
        <v>16</v>
      </c>
      <c r="S67" s="4">
        <v>44000</v>
      </c>
      <c r="T67" t="s">
        <v>65</v>
      </c>
      <c r="U67" t="s">
        <v>2290</v>
      </c>
      <c r="V67">
        <v>0</v>
      </c>
      <c r="W67" s="4">
        <v>40000</v>
      </c>
      <c r="X67" s="4">
        <v>4000</v>
      </c>
      <c r="Y67">
        <v>0</v>
      </c>
      <c r="Z67">
        <v>0</v>
      </c>
      <c r="AA67">
        <v>0</v>
      </c>
      <c r="AD67">
        <v>0</v>
      </c>
      <c r="AM67" t="s">
        <v>2291</v>
      </c>
      <c r="AN67" t="s">
        <v>157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4902</v>
      </c>
      <c r="BA67">
        <v>0</v>
      </c>
      <c r="BC67" t="s">
        <v>157</v>
      </c>
      <c r="BF67" t="s">
        <v>4903</v>
      </c>
    </row>
    <row r="68" spans="1:58" x14ac:dyDescent="0.35">
      <c r="A68" t="s">
        <v>4904</v>
      </c>
      <c r="B68">
        <v>10000</v>
      </c>
      <c r="C68">
        <v>10000</v>
      </c>
      <c r="D68" s="2">
        <v>45741</v>
      </c>
      <c r="E68" t="s">
        <v>61</v>
      </c>
      <c r="F68" t="s">
        <v>2457</v>
      </c>
      <c r="G68" t="s">
        <v>2289</v>
      </c>
      <c r="I68">
        <v>1</v>
      </c>
      <c r="J68" t="s">
        <v>63</v>
      </c>
      <c r="K68">
        <v>78</v>
      </c>
      <c r="L68" t="s">
        <v>188</v>
      </c>
      <c r="M68" s="4">
        <v>2750</v>
      </c>
      <c r="P68" s="2">
        <v>45737</v>
      </c>
      <c r="R68">
        <v>16</v>
      </c>
      <c r="S68" s="4">
        <v>44000</v>
      </c>
      <c r="T68" t="s">
        <v>65</v>
      </c>
      <c r="U68" t="s">
        <v>2290</v>
      </c>
      <c r="V68">
        <v>0</v>
      </c>
      <c r="W68" s="4">
        <v>40000</v>
      </c>
      <c r="X68" s="4">
        <v>4000</v>
      </c>
      <c r="Y68">
        <v>0</v>
      </c>
      <c r="Z68">
        <v>0</v>
      </c>
      <c r="AA68">
        <v>0</v>
      </c>
      <c r="AD68">
        <v>0</v>
      </c>
      <c r="AM68" t="s">
        <v>2291</v>
      </c>
      <c r="AN68" t="s">
        <v>157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4905</v>
      </c>
      <c r="BA68">
        <v>0</v>
      </c>
      <c r="BC68" t="s">
        <v>157</v>
      </c>
      <c r="BF68" t="s">
        <v>4906</v>
      </c>
    </row>
    <row r="69" spans="1:58" x14ac:dyDescent="0.35">
      <c r="A69" t="s">
        <v>4907</v>
      </c>
      <c r="B69">
        <v>10000</v>
      </c>
      <c r="C69">
        <v>10000</v>
      </c>
      <c r="D69" s="2">
        <v>45742</v>
      </c>
      <c r="E69" t="s">
        <v>61</v>
      </c>
      <c r="F69" s="3">
        <v>0.42465277777777777</v>
      </c>
      <c r="G69">
        <v>860909190840</v>
      </c>
      <c r="I69">
        <v>1</v>
      </c>
      <c r="J69" t="s">
        <v>63</v>
      </c>
      <c r="K69">
        <v>79</v>
      </c>
      <c r="L69" t="s">
        <v>573</v>
      </c>
      <c r="M69">
        <v>71</v>
      </c>
      <c r="P69" s="2">
        <v>45737</v>
      </c>
      <c r="R69">
        <v>64</v>
      </c>
      <c r="S69" s="4">
        <v>4544</v>
      </c>
      <c r="T69" t="s">
        <v>65</v>
      </c>
      <c r="U69">
        <v>200641280001</v>
      </c>
      <c r="V69">
        <v>0</v>
      </c>
      <c r="W69" s="4">
        <v>6000</v>
      </c>
      <c r="X69" s="4">
        <v>-1456</v>
      </c>
      <c r="Y69">
        <v>0</v>
      </c>
      <c r="Z69">
        <v>0</v>
      </c>
      <c r="AA69">
        <v>0</v>
      </c>
      <c r="AD69">
        <v>0</v>
      </c>
      <c r="AM69">
        <v>20064128</v>
      </c>
      <c r="AN69" t="s">
        <v>182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4908</v>
      </c>
      <c r="BA69">
        <v>0</v>
      </c>
      <c r="BC69" t="s">
        <v>182</v>
      </c>
      <c r="BF69" t="s">
        <v>4909</v>
      </c>
    </row>
    <row r="70" spans="1:58" x14ac:dyDescent="0.35">
      <c r="A70" t="s">
        <v>4910</v>
      </c>
      <c r="B70">
        <v>10000</v>
      </c>
      <c r="C70">
        <v>10000</v>
      </c>
      <c r="D70" s="2">
        <v>45737</v>
      </c>
      <c r="E70" t="s">
        <v>61</v>
      </c>
      <c r="F70" t="s">
        <v>4768</v>
      </c>
      <c r="G70" t="s">
        <v>4911</v>
      </c>
      <c r="I70">
        <v>1</v>
      </c>
      <c r="J70" t="s">
        <v>63</v>
      </c>
      <c r="K70">
        <v>65</v>
      </c>
      <c r="L70" t="s">
        <v>268</v>
      </c>
      <c r="M70">
        <v>560</v>
      </c>
      <c r="P70" s="2">
        <v>45737</v>
      </c>
      <c r="R70">
        <v>44</v>
      </c>
      <c r="S70" s="4">
        <v>24640</v>
      </c>
      <c r="T70" t="s">
        <v>65</v>
      </c>
      <c r="U70">
        <v>111699440001</v>
      </c>
      <c r="V70">
        <v>0</v>
      </c>
      <c r="W70" s="4">
        <v>24640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11169944</v>
      </c>
      <c r="AN70" t="s">
        <v>182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4912</v>
      </c>
      <c r="BA70">
        <v>0</v>
      </c>
      <c r="BC70" t="s">
        <v>182</v>
      </c>
      <c r="BF70" t="s">
        <v>4913</v>
      </c>
    </row>
    <row r="71" spans="1:58" x14ac:dyDescent="0.35">
      <c r="A71" t="s">
        <v>4910</v>
      </c>
      <c r="B71">
        <v>20000</v>
      </c>
      <c r="C71">
        <v>10000</v>
      </c>
      <c r="D71" s="2">
        <v>45737</v>
      </c>
      <c r="E71" t="s">
        <v>61</v>
      </c>
      <c r="F71" t="s">
        <v>4768</v>
      </c>
      <c r="G71" t="s">
        <v>4911</v>
      </c>
      <c r="I71">
        <v>1</v>
      </c>
      <c r="J71" t="s">
        <v>63</v>
      </c>
      <c r="K71">
        <v>65</v>
      </c>
      <c r="L71" t="s">
        <v>268</v>
      </c>
      <c r="M71">
        <v>560</v>
      </c>
      <c r="P71" s="2">
        <v>45737</v>
      </c>
      <c r="R71">
        <v>44</v>
      </c>
      <c r="S71" s="4">
        <v>24640</v>
      </c>
      <c r="T71" t="s">
        <v>65</v>
      </c>
      <c r="U71">
        <v>111699440001</v>
      </c>
      <c r="V71">
        <v>0</v>
      </c>
      <c r="W71" s="4">
        <v>24640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11169944</v>
      </c>
      <c r="AN71" t="s">
        <v>182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4912</v>
      </c>
      <c r="BA71">
        <v>0</v>
      </c>
      <c r="BC71" t="s">
        <v>182</v>
      </c>
      <c r="BF71" t="s">
        <v>4913</v>
      </c>
    </row>
    <row r="72" spans="1:58" x14ac:dyDescent="0.35">
      <c r="A72" t="s">
        <v>4914</v>
      </c>
      <c r="B72">
        <v>10000</v>
      </c>
      <c r="C72">
        <v>10000</v>
      </c>
      <c r="D72" s="2">
        <v>45737</v>
      </c>
      <c r="E72" t="s">
        <v>61</v>
      </c>
      <c r="F72" t="s">
        <v>4733</v>
      </c>
      <c r="G72" t="s">
        <v>4734</v>
      </c>
      <c r="I72">
        <v>1</v>
      </c>
      <c r="J72" t="s">
        <v>63</v>
      </c>
      <c r="K72">
        <v>112</v>
      </c>
      <c r="L72" t="s">
        <v>533</v>
      </c>
      <c r="M72">
        <v>13</v>
      </c>
      <c r="P72" s="2">
        <v>45737</v>
      </c>
      <c r="R72">
        <v>12</v>
      </c>
      <c r="S72">
        <v>156</v>
      </c>
      <c r="T72" t="s">
        <v>65</v>
      </c>
      <c r="U72" t="s">
        <v>4735</v>
      </c>
      <c r="V72">
        <v>0</v>
      </c>
      <c r="W72">
        <v>150</v>
      </c>
      <c r="X72">
        <v>6</v>
      </c>
      <c r="Y72">
        <v>0</v>
      </c>
      <c r="Z72">
        <v>0</v>
      </c>
      <c r="AA72">
        <v>0</v>
      </c>
      <c r="AD72">
        <v>0</v>
      </c>
      <c r="AM72" t="s">
        <v>4736</v>
      </c>
      <c r="AN72" t="s">
        <v>321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4915</v>
      </c>
      <c r="BA72">
        <v>0</v>
      </c>
      <c r="BC72" t="s">
        <v>321</v>
      </c>
      <c r="BF72" t="s">
        <v>4693</v>
      </c>
    </row>
    <row r="73" spans="1:58" x14ac:dyDescent="0.35">
      <c r="A73" t="s">
        <v>4916</v>
      </c>
      <c r="B73">
        <v>10000</v>
      </c>
      <c r="C73">
        <v>10000</v>
      </c>
      <c r="D73" s="2">
        <v>45742</v>
      </c>
      <c r="E73" t="s">
        <v>61</v>
      </c>
      <c r="F73" t="s">
        <v>4917</v>
      </c>
      <c r="G73" t="s">
        <v>4918</v>
      </c>
      <c r="I73">
        <v>1</v>
      </c>
      <c r="J73" t="s">
        <v>63</v>
      </c>
      <c r="K73">
        <v>73</v>
      </c>
      <c r="L73" t="s">
        <v>90</v>
      </c>
      <c r="M73" s="4">
        <v>87084</v>
      </c>
      <c r="P73" s="2">
        <v>45737</v>
      </c>
      <c r="R73">
        <v>12</v>
      </c>
      <c r="S73" s="4">
        <v>1045008</v>
      </c>
      <c r="T73" t="s">
        <v>65</v>
      </c>
      <c r="U73" t="s">
        <v>1410</v>
      </c>
      <c r="V73">
        <v>0</v>
      </c>
      <c r="W73" s="4">
        <v>1036286</v>
      </c>
      <c r="X73" s="4">
        <v>8722</v>
      </c>
      <c r="Y73">
        <v>0</v>
      </c>
      <c r="Z73">
        <v>0</v>
      </c>
      <c r="AA73">
        <v>0</v>
      </c>
      <c r="AD73">
        <v>0</v>
      </c>
      <c r="AM73" t="s">
        <v>1411</v>
      </c>
      <c r="AN73" t="s">
        <v>321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4919</v>
      </c>
      <c r="BA73">
        <v>0</v>
      </c>
      <c r="BC73" t="s">
        <v>321</v>
      </c>
      <c r="BF73" t="s">
        <v>4920</v>
      </c>
    </row>
    <row r="74" spans="1:58" x14ac:dyDescent="0.35">
      <c r="A74" t="s">
        <v>4916</v>
      </c>
      <c r="B74">
        <v>10000</v>
      </c>
      <c r="C74">
        <v>20000</v>
      </c>
      <c r="D74" s="2">
        <v>45742</v>
      </c>
      <c r="E74" t="s">
        <v>61</v>
      </c>
      <c r="F74" t="s">
        <v>4917</v>
      </c>
      <c r="G74" t="s">
        <v>4918</v>
      </c>
      <c r="I74">
        <v>1</v>
      </c>
      <c r="J74" t="s">
        <v>63</v>
      </c>
      <c r="K74" t="s">
        <v>97</v>
      </c>
      <c r="L74" t="s">
        <v>98</v>
      </c>
      <c r="M74" s="4">
        <v>62918</v>
      </c>
      <c r="P74" s="2">
        <v>45737</v>
      </c>
      <c r="R74">
        <v>12</v>
      </c>
      <c r="S74" s="4">
        <v>755016</v>
      </c>
      <c r="T74" t="s">
        <v>65</v>
      </c>
      <c r="U74" t="s">
        <v>1410</v>
      </c>
      <c r="V74">
        <v>0</v>
      </c>
      <c r="W74" s="4">
        <v>748714</v>
      </c>
      <c r="X74" s="4">
        <v>6302</v>
      </c>
      <c r="Y74">
        <v>0</v>
      </c>
      <c r="Z74">
        <v>0</v>
      </c>
      <c r="AA74">
        <v>0</v>
      </c>
      <c r="AD74">
        <v>0</v>
      </c>
      <c r="AM74" t="s">
        <v>1411</v>
      </c>
      <c r="AN74" t="s">
        <v>321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4919</v>
      </c>
      <c r="BA74">
        <v>0</v>
      </c>
      <c r="BC74" t="s">
        <v>321</v>
      </c>
      <c r="BF74" t="s">
        <v>4920</v>
      </c>
    </row>
    <row r="75" spans="1:58" x14ac:dyDescent="0.35">
      <c r="A75" t="s">
        <v>4921</v>
      </c>
      <c r="B75">
        <v>10000</v>
      </c>
      <c r="C75">
        <v>10000</v>
      </c>
      <c r="D75" s="2">
        <v>45740</v>
      </c>
      <c r="E75" t="s">
        <v>61</v>
      </c>
      <c r="F75" t="s">
        <v>4922</v>
      </c>
      <c r="G75" t="s">
        <v>418</v>
      </c>
      <c r="I75">
        <v>1</v>
      </c>
      <c r="J75" t="s">
        <v>63</v>
      </c>
      <c r="K75">
        <v>59</v>
      </c>
      <c r="L75" t="s">
        <v>745</v>
      </c>
      <c r="M75" s="4">
        <v>1000</v>
      </c>
      <c r="P75" s="2">
        <v>45737</v>
      </c>
      <c r="R75">
        <v>6</v>
      </c>
      <c r="S75" s="4">
        <v>6000</v>
      </c>
      <c r="T75" t="s">
        <v>65</v>
      </c>
      <c r="U75" t="s">
        <v>2254</v>
      </c>
      <c r="V75">
        <v>0</v>
      </c>
      <c r="W75" s="4">
        <v>6000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2295</v>
      </c>
      <c r="AN75" t="s">
        <v>182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4923</v>
      </c>
      <c r="BA75">
        <v>0</v>
      </c>
      <c r="BC75" t="s">
        <v>182</v>
      </c>
      <c r="BF75" t="s">
        <v>4924</v>
      </c>
    </row>
    <row r="76" spans="1:58" x14ac:dyDescent="0.35">
      <c r="A76" t="s">
        <v>4925</v>
      </c>
      <c r="B76">
        <v>10000</v>
      </c>
      <c r="C76">
        <v>10000</v>
      </c>
      <c r="D76" s="2">
        <v>45740</v>
      </c>
      <c r="E76" t="s">
        <v>61</v>
      </c>
      <c r="F76" t="s">
        <v>4922</v>
      </c>
      <c r="G76" t="s">
        <v>418</v>
      </c>
      <c r="I76">
        <v>1</v>
      </c>
      <c r="J76" t="s">
        <v>63</v>
      </c>
      <c r="K76">
        <v>59</v>
      </c>
      <c r="L76" t="s">
        <v>745</v>
      </c>
      <c r="M76" s="4">
        <v>1000</v>
      </c>
      <c r="P76" s="2">
        <v>45737</v>
      </c>
      <c r="R76">
        <v>6</v>
      </c>
      <c r="S76" s="4">
        <v>6000</v>
      </c>
      <c r="T76" t="s">
        <v>65</v>
      </c>
      <c r="U76" t="s">
        <v>2254</v>
      </c>
      <c r="V76">
        <v>0</v>
      </c>
      <c r="W76" s="4">
        <v>6000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2295</v>
      </c>
      <c r="AN76" t="s">
        <v>182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4926</v>
      </c>
      <c r="BA76">
        <v>0</v>
      </c>
      <c r="BC76" t="s">
        <v>182</v>
      </c>
      <c r="BF76" t="s">
        <v>4927</v>
      </c>
    </row>
    <row r="77" spans="1:58" x14ac:dyDescent="0.35">
      <c r="A77" t="s">
        <v>4928</v>
      </c>
      <c r="B77">
        <v>10000</v>
      </c>
      <c r="C77">
        <v>10000</v>
      </c>
      <c r="D77" s="2">
        <v>45737</v>
      </c>
      <c r="E77" t="s">
        <v>61</v>
      </c>
      <c r="F77" t="s">
        <v>4768</v>
      </c>
      <c r="G77" t="s">
        <v>4911</v>
      </c>
      <c r="I77">
        <v>1</v>
      </c>
      <c r="J77" t="s">
        <v>63</v>
      </c>
      <c r="K77">
        <v>65</v>
      </c>
      <c r="L77" t="s">
        <v>268</v>
      </c>
      <c r="M77">
        <v>560</v>
      </c>
      <c r="P77" s="2">
        <v>45737</v>
      </c>
      <c r="R77">
        <v>44</v>
      </c>
      <c r="S77" s="4">
        <v>24640</v>
      </c>
      <c r="T77" t="s">
        <v>65</v>
      </c>
      <c r="U77">
        <v>111699440001</v>
      </c>
      <c r="V77">
        <v>0</v>
      </c>
      <c r="W77" s="4">
        <v>24640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11169944</v>
      </c>
      <c r="AN77" t="s">
        <v>182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4929</v>
      </c>
      <c r="BA77">
        <v>0</v>
      </c>
      <c r="BC77" t="s">
        <v>182</v>
      </c>
      <c r="BF77" t="s">
        <v>4930</v>
      </c>
    </row>
    <row r="78" spans="1:58" x14ac:dyDescent="0.35">
      <c r="A78" t="s">
        <v>4928</v>
      </c>
      <c r="B78">
        <v>20000</v>
      </c>
      <c r="C78">
        <v>10000</v>
      </c>
      <c r="D78" s="2">
        <v>45737</v>
      </c>
      <c r="E78" t="s">
        <v>61</v>
      </c>
      <c r="F78" t="s">
        <v>4768</v>
      </c>
      <c r="G78" t="s">
        <v>4911</v>
      </c>
      <c r="I78">
        <v>1</v>
      </c>
      <c r="J78" t="s">
        <v>63</v>
      </c>
      <c r="K78">
        <v>65</v>
      </c>
      <c r="L78" t="s">
        <v>268</v>
      </c>
      <c r="M78">
        <v>560</v>
      </c>
      <c r="P78" s="2">
        <v>45737</v>
      </c>
      <c r="R78">
        <v>44</v>
      </c>
      <c r="S78" s="4">
        <v>24640</v>
      </c>
      <c r="T78" t="s">
        <v>65</v>
      </c>
      <c r="U78">
        <v>111699440001</v>
      </c>
      <c r="V78">
        <v>0</v>
      </c>
      <c r="W78" s="4">
        <v>24640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11169944</v>
      </c>
      <c r="AN78" t="s">
        <v>182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4929</v>
      </c>
      <c r="BA78">
        <v>0</v>
      </c>
      <c r="BC78" t="s">
        <v>182</v>
      </c>
      <c r="BF78" t="s">
        <v>4930</v>
      </c>
    </row>
    <row r="79" spans="1:58" x14ac:dyDescent="0.35">
      <c r="A79" t="s">
        <v>4931</v>
      </c>
      <c r="B79">
        <v>10000</v>
      </c>
      <c r="C79">
        <v>10000</v>
      </c>
      <c r="D79" s="2">
        <v>45737</v>
      </c>
      <c r="E79" t="s">
        <v>61</v>
      </c>
      <c r="F79" t="s">
        <v>4774</v>
      </c>
      <c r="G79" t="s">
        <v>418</v>
      </c>
      <c r="I79">
        <v>1</v>
      </c>
      <c r="J79" t="s">
        <v>63</v>
      </c>
      <c r="K79">
        <v>59</v>
      </c>
      <c r="L79" t="s">
        <v>745</v>
      </c>
      <c r="M79" s="4">
        <v>1000</v>
      </c>
      <c r="P79" s="2">
        <v>45737</v>
      </c>
      <c r="R79">
        <v>6</v>
      </c>
      <c r="S79" s="4">
        <v>6000</v>
      </c>
      <c r="T79" t="s">
        <v>65</v>
      </c>
      <c r="U79" t="s">
        <v>4775</v>
      </c>
      <c r="V79">
        <v>0</v>
      </c>
      <c r="W79" s="4">
        <v>6000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4776</v>
      </c>
      <c r="AN79" t="s">
        <v>182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4932</v>
      </c>
      <c r="BA79">
        <v>0</v>
      </c>
      <c r="BC79" t="s">
        <v>182</v>
      </c>
      <c r="BF79" t="s">
        <v>4933</v>
      </c>
    </row>
    <row r="90" spans="1:2" x14ac:dyDescent="0.35">
      <c r="A90">
        <f>COUNTA(A5:A89)</f>
        <v>75</v>
      </c>
      <c r="B90">
        <f>'20-Mar'!B115+'21-Mar'!A90</f>
        <v>1458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6084-B884-4C37-B45F-94B0791E3D72}">
  <dimension ref="A1:BF60"/>
  <sheetViews>
    <sheetView topLeftCell="A48" workbookViewId="0">
      <selection activeCell="A4" sqref="A4:XFD5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4934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4935</v>
      </c>
      <c r="B5">
        <v>10000</v>
      </c>
      <c r="C5">
        <v>10000</v>
      </c>
      <c r="D5" s="2">
        <v>45740</v>
      </c>
      <c r="E5" t="s">
        <v>61</v>
      </c>
      <c r="F5" t="s">
        <v>4785</v>
      </c>
      <c r="G5" t="s">
        <v>1576</v>
      </c>
      <c r="H5" t="s">
        <v>4517</v>
      </c>
      <c r="I5">
        <v>1</v>
      </c>
      <c r="J5" t="s">
        <v>69</v>
      </c>
      <c r="K5">
        <v>94</v>
      </c>
      <c r="L5" t="s">
        <v>361</v>
      </c>
      <c r="M5" s="4">
        <v>6000</v>
      </c>
      <c r="P5" s="2">
        <v>45738</v>
      </c>
      <c r="R5">
        <v>6</v>
      </c>
      <c r="S5" s="4">
        <v>36000</v>
      </c>
      <c r="T5" t="s">
        <v>65</v>
      </c>
      <c r="U5" t="s">
        <v>4758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4759</v>
      </c>
      <c r="AN5" t="s">
        <v>364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364</v>
      </c>
      <c r="BF5" t="s">
        <v>4936</v>
      </c>
    </row>
    <row r="6" spans="1:58" x14ac:dyDescent="0.35">
      <c r="A6" t="s">
        <v>4937</v>
      </c>
      <c r="B6">
        <v>10000</v>
      </c>
      <c r="C6">
        <v>10000</v>
      </c>
      <c r="D6" s="2">
        <v>45741</v>
      </c>
      <c r="E6" t="s">
        <v>95</v>
      </c>
      <c r="F6" t="s">
        <v>4938</v>
      </c>
      <c r="G6" t="s">
        <v>4939</v>
      </c>
      <c r="H6" t="s">
        <v>4940</v>
      </c>
      <c r="I6">
        <v>1</v>
      </c>
      <c r="J6" t="s">
        <v>69</v>
      </c>
      <c r="K6">
        <v>32</v>
      </c>
      <c r="L6" t="s">
        <v>553</v>
      </c>
      <c r="M6" s="4">
        <v>5860</v>
      </c>
      <c r="P6" s="2">
        <v>45738</v>
      </c>
      <c r="R6">
        <v>1</v>
      </c>
      <c r="S6" s="4">
        <v>5860</v>
      </c>
      <c r="T6" t="s">
        <v>65</v>
      </c>
      <c r="U6" t="s">
        <v>2199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2200</v>
      </c>
      <c r="AN6" t="s">
        <v>116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116</v>
      </c>
      <c r="BF6" t="s">
        <v>4941</v>
      </c>
    </row>
    <row r="7" spans="1:58" x14ac:dyDescent="0.35">
      <c r="A7" t="s">
        <v>4942</v>
      </c>
      <c r="B7">
        <v>10000</v>
      </c>
      <c r="C7">
        <v>10000</v>
      </c>
      <c r="D7" s="2">
        <v>45741</v>
      </c>
      <c r="E7" t="s">
        <v>61</v>
      </c>
      <c r="F7" t="s">
        <v>4943</v>
      </c>
      <c r="G7" t="s">
        <v>4944</v>
      </c>
      <c r="I7">
        <v>1</v>
      </c>
      <c r="J7" t="s">
        <v>63</v>
      </c>
      <c r="K7">
        <v>60</v>
      </c>
      <c r="L7" t="s">
        <v>277</v>
      </c>
      <c r="M7" s="4">
        <v>20000</v>
      </c>
      <c r="P7" s="2">
        <v>45738</v>
      </c>
      <c r="R7">
        <v>3</v>
      </c>
      <c r="S7" s="4">
        <v>60000</v>
      </c>
      <c r="T7" t="s">
        <v>65</v>
      </c>
      <c r="U7" t="s">
        <v>4945</v>
      </c>
      <c r="V7">
        <v>0</v>
      </c>
      <c r="W7" s="4">
        <v>60000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4946</v>
      </c>
      <c r="AN7" t="s">
        <v>1424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AZ7" t="s">
        <v>4947</v>
      </c>
      <c r="BA7">
        <v>0</v>
      </c>
      <c r="BC7" t="s">
        <v>1424</v>
      </c>
      <c r="BF7" t="s">
        <v>4948</v>
      </c>
    </row>
    <row r="8" spans="1:58" x14ac:dyDescent="0.35">
      <c r="A8" t="s">
        <v>4949</v>
      </c>
      <c r="B8">
        <v>10000</v>
      </c>
      <c r="C8">
        <v>30000</v>
      </c>
      <c r="D8" s="2">
        <v>45713</v>
      </c>
      <c r="E8" t="s">
        <v>61</v>
      </c>
      <c r="F8" t="s">
        <v>3538</v>
      </c>
      <c r="G8">
        <v>10639931095</v>
      </c>
      <c r="I8">
        <v>3</v>
      </c>
      <c r="J8" t="s">
        <v>63</v>
      </c>
      <c r="K8">
        <v>85</v>
      </c>
      <c r="L8" t="s">
        <v>327</v>
      </c>
      <c r="M8" s="4">
        <v>2546</v>
      </c>
      <c r="P8" s="2">
        <v>45738</v>
      </c>
      <c r="R8">
        <v>11</v>
      </c>
      <c r="S8" s="4">
        <v>28006</v>
      </c>
      <c r="T8" t="s">
        <v>65</v>
      </c>
      <c r="U8" t="s">
        <v>4950</v>
      </c>
      <c r="V8">
        <v>0</v>
      </c>
      <c r="W8" s="4">
        <v>30000</v>
      </c>
      <c r="X8" s="4">
        <v>-1994</v>
      </c>
      <c r="Y8">
        <v>0</v>
      </c>
      <c r="Z8">
        <v>0</v>
      </c>
      <c r="AA8">
        <v>0</v>
      </c>
      <c r="AD8">
        <v>0</v>
      </c>
      <c r="AM8" t="s">
        <v>4951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AZ8" t="s">
        <v>4952</v>
      </c>
      <c r="BA8">
        <v>0</v>
      </c>
      <c r="BC8" t="s">
        <v>107</v>
      </c>
      <c r="BF8" t="s">
        <v>376</v>
      </c>
    </row>
    <row r="9" spans="1:58" x14ac:dyDescent="0.35">
      <c r="A9" t="s">
        <v>4953</v>
      </c>
      <c r="B9">
        <v>10000</v>
      </c>
      <c r="C9">
        <v>10000</v>
      </c>
      <c r="D9" s="2">
        <v>45740</v>
      </c>
      <c r="E9" t="s">
        <v>61</v>
      </c>
      <c r="F9" t="s">
        <v>1374</v>
      </c>
      <c r="G9" t="s">
        <v>4340</v>
      </c>
      <c r="I9">
        <v>1</v>
      </c>
      <c r="J9" t="s">
        <v>63</v>
      </c>
      <c r="K9">
        <v>72</v>
      </c>
      <c r="L9" t="s">
        <v>528</v>
      </c>
      <c r="M9" s="4">
        <v>3375</v>
      </c>
      <c r="P9" s="2">
        <v>45738</v>
      </c>
      <c r="R9">
        <v>4</v>
      </c>
      <c r="S9" s="4">
        <v>13500</v>
      </c>
      <c r="T9" t="s">
        <v>65</v>
      </c>
      <c r="U9">
        <v>86084000001</v>
      </c>
      <c r="V9">
        <v>0</v>
      </c>
      <c r="W9" s="4">
        <v>12000</v>
      </c>
      <c r="X9" s="4">
        <v>1500</v>
      </c>
      <c r="Y9">
        <v>0</v>
      </c>
      <c r="Z9">
        <v>0</v>
      </c>
      <c r="AA9">
        <v>0</v>
      </c>
      <c r="AD9">
        <v>0</v>
      </c>
      <c r="AM9">
        <v>8608400</v>
      </c>
      <c r="AN9" t="s">
        <v>91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AZ9" t="s">
        <v>4954</v>
      </c>
      <c r="BA9">
        <v>0</v>
      </c>
      <c r="BC9" t="s">
        <v>91</v>
      </c>
      <c r="BF9" t="s">
        <v>4955</v>
      </c>
    </row>
    <row r="10" spans="1:58" x14ac:dyDescent="0.35">
      <c r="A10" t="s">
        <v>4953</v>
      </c>
      <c r="B10">
        <v>10000</v>
      </c>
      <c r="C10">
        <v>20000</v>
      </c>
      <c r="D10" s="2">
        <v>45740</v>
      </c>
      <c r="E10" t="s">
        <v>61</v>
      </c>
      <c r="F10" t="s">
        <v>1374</v>
      </c>
      <c r="G10" t="s">
        <v>4340</v>
      </c>
      <c r="I10">
        <v>2</v>
      </c>
      <c r="J10" t="s">
        <v>63</v>
      </c>
      <c r="K10">
        <v>71</v>
      </c>
      <c r="L10" t="s">
        <v>135</v>
      </c>
      <c r="M10" s="4">
        <v>2000</v>
      </c>
      <c r="P10" s="2">
        <v>45738</v>
      </c>
      <c r="R10">
        <v>6</v>
      </c>
      <c r="S10" s="4">
        <v>12000</v>
      </c>
      <c r="T10" t="s">
        <v>65</v>
      </c>
      <c r="U10">
        <v>86084000001</v>
      </c>
      <c r="V10">
        <v>0</v>
      </c>
      <c r="W10" s="4">
        <v>12000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8608400</v>
      </c>
      <c r="AN10" t="s">
        <v>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AZ10" t="s">
        <v>4954</v>
      </c>
      <c r="BA10">
        <v>0</v>
      </c>
      <c r="BC10" t="s">
        <v>91</v>
      </c>
      <c r="BF10" t="s">
        <v>4955</v>
      </c>
    </row>
    <row r="11" spans="1:58" x14ac:dyDescent="0.35">
      <c r="A11" t="s">
        <v>4956</v>
      </c>
      <c r="B11">
        <v>10000</v>
      </c>
      <c r="C11">
        <v>10000</v>
      </c>
      <c r="D11" s="2">
        <v>45740</v>
      </c>
      <c r="E11" t="s">
        <v>61</v>
      </c>
      <c r="F11" t="s">
        <v>4957</v>
      </c>
      <c r="G11" t="s">
        <v>4958</v>
      </c>
      <c r="I11">
        <v>1</v>
      </c>
      <c r="J11" t="s">
        <v>63</v>
      </c>
      <c r="K11">
        <v>112</v>
      </c>
      <c r="L11" t="s">
        <v>533</v>
      </c>
      <c r="M11" s="4">
        <v>4546</v>
      </c>
      <c r="P11" s="2">
        <v>45738</v>
      </c>
      <c r="R11">
        <v>11</v>
      </c>
      <c r="S11" s="4">
        <v>50006</v>
      </c>
      <c r="T11" t="s">
        <v>65</v>
      </c>
      <c r="U11" t="s">
        <v>4959</v>
      </c>
      <c r="V11">
        <v>0</v>
      </c>
      <c r="W11" s="4">
        <v>50000</v>
      </c>
      <c r="X11">
        <v>6</v>
      </c>
      <c r="Y11">
        <v>0</v>
      </c>
      <c r="Z11">
        <v>0</v>
      </c>
      <c r="AA11">
        <v>0</v>
      </c>
      <c r="AD11">
        <v>0</v>
      </c>
      <c r="AM11" t="s">
        <v>4960</v>
      </c>
      <c r="AN11" t="s">
        <v>321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4961</v>
      </c>
      <c r="BA11">
        <v>0</v>
      </c>
      <c r="BC11" t="s">
        <v>321</v>
      </c>
      <c r="BF11" t="s">
        <v>4559</v>
      </c>
    </row>
    <row r="12" spans="1:58" x14ac:dyDescent="0.35">
      <c r="A12" t="s">
        <v>4962</v>
      </c>
      <c r="B12">
        <v>10000</v>
      </c>
      <c r="C12">
        <v>10000</v>
      </c>
      <c r="D12" s="2">
        <v>45741</v>
      </c>
      <c r="E12" t="s">
        <v>61</v>
      </c>
      <c r="F12" t="s">
        <v>4963</v>
      </c>
      <c r="G12" t="s">
        <v>4340</v>
      </c>
      <c r="I12">
        <v>1</v>
      </c>
      <c r="J12" t="s">
        <v>63</v>
      </c>
      <c r="K12">
        <v>72</v>
      </c>
      <c r="L12" t="s">
        <v>528</v>
      </c>
      <c r="M12" s="4">
        <v>22500</v>
      </c>
      <c r="P12" s="2">
        <v>45738</v>
      </c>
      <c r="R12">
        <v>4</v>
      </c>
      <c r="S12" s="4">
        <v>90000</v>
      </c>
      <c r="T12" t="s">
        <v>65</v>
      </c>
      <c r="U12">
        <v>83624420001</v>
      </c>
      <c r="V12">
        <v>0</v>
      </c>
      <c r="W12" s="4">
        <v>80000</v>
      </c>
      <c r="X12" s="4">
        <v>10000</v>
      </c>
      <c r="Y12">
        <v>0</v>
      </c>
      <c r="Z12">
        <v>0</v>
      </c>
      <c r="AA12">
        <v>0</v>
      </c>
      <c r="AD12">
        <v>0</v>
      </c>
      <c r="AM12">
        <v>8362442</v>
      </c>
      <c r="AN12" t="s">
        <v>91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4964</v>
      </c>
      <c r="BA12">
        <v>0</v>
      </c>
      <c r="BC12" t="s">
        <v>91</v>
      </c>
      <c r="BF12" t="s">
        <v>893</v>
      </c>
    </row>
    <row r="13" spans="1:58" x14ac:dyDescent="0.35">
      <c r="A13" t="s">
        <v>4965</v>
      </c>
      <c r="B13">
        <v>10000</v>
      </c>
      <c r="C13">
        <v>10000</v>
      </c>
      <c r="D13" s="2">
        <v>45741</v>
      </c>
      <c r="E13" t="s">
        <v>61</v>
      </c>
      <c r="F13" t="s">
        <v>4966</v>
      </c>
      <c r="G13" t="s">
        <v>4340</v>
      </c>
      <c r="I13">
        <v>1</v>
      </c>
      <c r="J13" t="s">
        <v>63</v>
      </c>
      <c r="K13">
        <v>72</v>
      </c>
      <c r="L13" t="s">
        <v>528</v>
      </c>
      <c r="M13" s="4">
        <v>16000</v>
      </c>
      <c r="P13" s="2">
        <v>45738</v>
      </c>
      <c r="R13">
        <v>5</v>
      </c>
      <c r="S13" s="4">
        <v>80000</v>
      </c>
      <c r="T13" t="s">
        <v>65</v>
      </c>
      <c r="U13">
        <v>83634470001</v>
      </c>
      <c r="V13">
        <v>0</v>
      </c>
      <c r="W13" s="4">
        <v>70000</v>
      </c>
      <c r="X13" s="4">
        <v>10000</v>
      </c>
      <c r="Y13">
        <v>0</v>
      </c>
      <c r="Z13">
        <v>0</v>
      </c>
      <c r="AA13">
        <v>0</v>
      </c>
      <c r="AD13">
        <v>0</v>
      </c>
      <c r="AM13">
        <v>8363447</v>
      </c>
      <c r="AN13" t="s">
        <v>91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4967</v>
      </c>
      <c r="BA13">
        <v>0</v>
      </c>
      <c r="BC13" t="s">
        <v>91</v>
      </c>
      <c r="BF13" t="s">
        <v>893</v>
      </c>
    </row>
    <row r="14" spans="1:58" x14ac:dyDescent="0.35">
      <c r="A14" t="s">
        <v>4968</v>
      </c>
      <c r="B14">
        <v>10000</v>
      </c>
      <c r="C14">
        <v>10000</v>
      </c>
      <c r="D14" s="2">
        <v>45741</v>
      </c>
      <c r="E14" t="s">
        <v>61</v>
      </c>
      <c r="F14" t="s">
        <v>4969</v>
      </c>
      <c r="G14" t="s">
        <v>4340</v>
      </c>
      <c r="I14">
        <v>1</v>
      </c>
      <c r="J14" t="s">
        <v>63</v>
      </c>
      <c r="K14">
        <v>72</v>
      </c>
      <c r="L14" t="s">
        <v>528</v>
      </c>
      <c r="M14" s="4">
        <v>2800</v>
      </c>
      <c r="P14" s="2">
        <v>45738</v>
      </c>
      <c r="R14">
        <v>5</v>
      </c>
      <c r="S14" s="4">
        <v>14000</v>
      </c>
      <c r="T14" t="s">
        <v>65</v>
      </c>
      <c r="U14">
        <v>83634500001</v>
      </c>
      <c r="V14">
        <v>0</v>
      </c>
      <c r="W14" s="4">
        <v>10000</v>
      </c>
      <c r="X14" s="4">
        <v>4000</v>
      </c>
      <c r="Y14">
        <v>0</v>
      </c>
      <c r="Z14">
        <v>0</v>
      </c>
      <c r="AA14">
        <v>0</v>
      </c>
      <c r="AD14">
        <v>0</v>
      </c>
      <c r="AM14">
        <v>8363450</v>
      </c>
      <c r="AN14" t="s">
        <v>91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4970</v>
      </c>
      <c r="BA14">
        <v>0</v>
      </c>
      <c r="BC14" t="s">
        <v>91</v>
      </c>
      <c r="BF14" t="s">
        <v>893</v>
      </c>
    </row>
    <row r="15" spans="1:58" x14ac:dyDescent="0.35">
      <c r="A15" t="s">
        <v>4971</v>
      </c>
      <c r="B15">
        <v>10000</v>
      </c>
      <c r="C15">
        <v>10000</v>
      </c>
      <c r="D15" s="2">
        <v>45741</v>
      </c>
      <c r="E15" t="s">
        <v>61</v>
      </c>
      <c r="F15" t="s">
        <v>4972</v>
      </c>
      <c r="G15" t="s">
        <v>4340</v>
      </c>
      <c r="I15">
        <v>1</v>
      </c>
      <c r="J15" t="s">
        <v>63</v>
      </c>
      <c r="K15">
        <v>72</v>
      </c>
      <c r="L15" t="s">
        <v>528</v>
      </c>
      <c r="M15" s="4">
        <v>2800</v>
      </c>
      <c r="P15" s="2">
        <v>45738</v>
      </c>
      <c r="R15">
        <v>5</v>
      </c>
      <c r="S15" s="4">
        <v>14000</v>
      </c>
      <c r="T15" t="s">
        <v>65</v>
      </c>
      <c r="U15">
        <v>83635750001</v>
      </c>
      <c r="V15">
        <v>0</v>
      </c>
      <c r="W15" s="4">
        <v>10000</v>
      </c>
      <c r="X15" s="4">
        <v>4000</v>
      </c>
      <c r="Y15">
        <v>0</v>
      </c>
      <c r="Z15">
        <v>0</v>
      </c>
      <c r="AA15">
        <v>0</v>
      </c>
      <c r="AD15">
        <v>0</v>
      </c>
      <c r="AM15">
        <v>8363575</v>
      </c>
      <c r="AN15" t="s">
        <v>91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4973</v>
      </c>
      <c r="BA15">
        <v>0</v>
      </c>
      <c r="BC15" t="s">
        <v>91</v>
      </c>
      <c r="BF15" t="s">
        <v>893</v>
      </c>
    </row>
    <row r="16" spans="1:58" x14ac:dyDescent="0.35">
      <c r="A16" t="s">
        <v>4974</v>
      </c>
      <c r="B16">
        <v>10000</v>
      </c>
      <c r="C16">
        <v>10000</v>
      </c>
      <c r="D16" s="2">
        <v>45741</v>
      </c>
      <c r="E16" t="s">
        <v>61</v>
      </c>
      <c r="F16" t="s">
        <v>4975</v>
      </c>
      <c r="G16" t="s">
        <v>4340</v>
      </c>
      <c r="I16">
        <v>1</v>
      </c>
      <c r="J16" t="s">
        <v>63</v>
      </c>
      <c r="K16">
        <v>72</v>
      </c>
      <c r="L16" t="s">
        <v>528</v>
      </c>
      <c r="M16" s="4">
        <v>2800</v>
      </c>
      <c r="P16" s="2">
        <v>45738</v>
      </c>
      <c r="R16">
        <v>5</v>
      </c>
      <c r="S16" s="4">
        <v>14000</v>
      </c>
      <c r="T16" t="s">
        <v>65</v>
      </c>
      <c r="U16">
        <v>83635760001</v>
      </c>
      <c r="V16">
        <v>0</v>
      </c>
      <c r="W16" s="4">
        <v>10000</v>
      </c>
      <c r="X16" s="4">
        <v>4000</v>
      </c>
      <c r="Y16">
        <v>0</v>
      </c>
      <c r="Z16">
        <v>0</v>
      </c>
      <c r="AA16">
        <v>0</v>
      </c>
      <c r="AD16">
        <v>0</v>
      </c>
      <c r="AM16">
        <v>8363576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4976</v>
      </c>
      <c r="BA16">
        <v>0</v>
      </c>
      <c r="BC16" t="s">
        <v>91</v>
      </c>
      <c r="BF16" t="s">
        <v>893</v>
      </c>
    </row>
    <row r="17" spans="1:58" x14ac:dyDescent="0.35">
      <c r="A17" t="s">
        <v>2851</v>
      </c>
      <c r="B17">
        <v>10000</v>
      </c>
      <c r="C17">
        <v>40000</v>
      </c>
      <c r="D17" s="2">
        <v>45740</v>
      </c>
      <c r="E17" t="s">
        <v>61</v>
      </c>
      <c r="F17" s="3">
        <v>0.48317129629629629</v>
      </c>
      <c r="G17" t="s">
        <v>2852</v>
      </c>
      <c r="I17">
        <v>3</v>
      </c>
      <c r="J17" t="s">
        <v>63</v>
      </c>
      <c r="K17">
        <v>85</v>
      </c>
      <c r="L17" t="s">
        <v>327</v>
      </c>
      <c r="M17" s="4">
        <v>27273</v>
      </c>
      <c r="P17" s="2">
        <v>45738</v>
      </c>
      <c r="R17">
        <v>11</v>
      </c>
      <c r="S17" s="4">
        <v>300003</v>
      </c>
      <c r="T17" t="s">
        <v>65</v>
      </c>
      <c r="U17" t="s">
        <v>2853</v>
      </c>
      <c r="V17">
        <v>0</v>
      </c>
      <c r="W17" s="4">
        <v>300000</v>
      </c>
      <c r="X17">
        <v>3</v>
      </c>
      <c r="Y17">
        <v>0</v>
      </c>
      <c r="Z17">
        <v>0</v>
      </c>
      <c r="AA17">
        <v>0</v>
      </c>
      <c r="AD17">
        <v>0</v>
      </c>
      <c r="AM17" t="s">
        <v>2854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2855</v>
      </c>
      <c r="BA17">
        <v>0</v>
      </c>
      <c r="BC17" t="s">
        <v>107</v>
      </c>
      <c r="BF17" t="s">
        <v>2856</v>
      </c>
    </row>
    <row r="18" spans="1:58" x14ac:dyDescent="0.35">
      <c r="A18" t="s">
        <v>1444</v>
      </c>
      <c r="B18">
        <v>10000</v>
      </c>
      <c r="C18">
        <v>30000</v>
      </c>
      <c r="D18" s="2">
        <v>45740</v>
      </c>
      <c r="E18" t="s">
        <v>61</v>
      </c>
      <c r="F18" t="s">
        <v>1445</v>
      </c>
      <c r="G18">
        <v>10620258034</v>
      </c>
      <c r="I18">
        <v>3</v>
      </c>
      <c r="J18" t="s">
        <v>63</v>
      </c>
      <c r="K18">
        <v>85</v>
      </c>
      <c r="L18" t="s">
        <v>327</v>
      </c>
      <c r="M18" s="4">
        <v>5000</v>
      </c>
      <c r="P18" s="2">
        <v>45738</v>
      </c>
      <c r="R18">
        <v>11</v>
      </c>
      <c r="S18" s="4">
        <v>55000</v>
      </c>
      <c r="T18" t="s">
        <v>65</v>
      </c>
      <c r="U18" t="s">
        <v>1446</v>
      </c>
      <c r="V18">
        <v>0</v>
      </c>
      <c r="W18" s="4">
        <v>50000</v>
      </c>
      <c r="X18" s="4">
        <v>5000</v>
      </c>
      <c r="Y18">
        <v>0</v>
      </c>
      <c r="Z18">
        <v>0</v>
      </c>
      <c r="AA18">
        <v>0</v>
      </c>
      <c r="AD18">
        <v>0</v>
      </c>
      <c r="AM18" t="s">
        <v>1447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1448</v>
      </c>
      <c r="BA18">
        <v>0</v>
      </c>
      <c r="BC18" t="s">
        <v>107</v>
      </c>
      <c r="BF18" t="s">
        <v>1449</v>
      </c>
    </row>
    <row r="19" spans="1:58" x14ac:dyDescent="0.35">
      <c r="A19" t="s">
        <v>1450</v>
      </c>
      <c r="B19">
        <v>10000</v>
      </c>
      <c r="C19">
        <v>40000</v>
      </c>
      <c r="D19" s="2">
        <v>45740</v>
      </c>
      <c r="E19" t="s">
        <v>61</v>
      </c>
      <c r="F19" t="s">
        <v>1451</v>
      </c>
      <c r="G19">
        <v>10639931051</v>
      </c>
      <c r="I19">
        <v>3</v>
      </c>
      <c r="J19" t="s">
        <v>63</v>
      </c>
      <c r="K19">
        <v>85</v>
      </c>
      <c r="L19" t="s">
        <v>327</v>
      </c>
      <c r="M19" s="4">
        <v>13637</v>
      </c>
      <c r="P19" s="2">
        <v>45738</v>
      </c>
      <c r="R19">
        <v>11</v>
      </c>
      <c r="S19" s="4">
        <v>150007</v>
      </c>
      <c r="T19" t="s">
        <v>65</v>
      </c>
      <c r="U19" t="s">
        <v>1452</v>
      </c>
      <c r="V19">
        <v>0</v>
      </c>
      <c r="W19" s="4">
        <v>150000</v>
      </c>
      <c r="X19">
        <v>7</v>
      </c>
      <c r="Y19">
        <v>0</v>
      </c>
      <c r="Z19">
        <v>0</v>
      </c>
      <c r="AA19">
        <v>0</v>
      </c>
      <c r="AD19">
        <v>0</v>
      </c>
      <c r="AM19" t="s">
        <v>1453</v>
      </c>
      <c r="AN19" t="s">
        <v>107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1454</v>
      </c>
      <c r="BA19">
        <v>0</v>
      </c>
      <c r="BC19" t="s">
        <v>107</v>
      </c>
      <c r="BF19" t="s">
        <v>1449</v>
      </c>
    </row>
    <row r="20" spans="1:58" x14ac:dyDescent="0.35">
      <c r="A20" t="s">
        <v>4977</v>
      </c>
      <c r="B20">
        <v>10000</v>
      </c>
      <c r="C20">
        <v>10000</v>
      </c>
      <c r="D20" s="2">
        <v>45740</v>
      </c>
      <c r="E20" t="s">
        <v>61</v>
      </c>
      <c r="F20" t="s">
        <v>4978</v>
      </c>
      <c r="G20" t="s">
        <v>418</v>
      </c>
      <c r="I20">
        <v>1</v>
      </c>
      <c r="J20" t="s">
        <v>63</v>
      </c>
      <c r="K20">
        <v>59</v>
      </c>
      <c r="L20" t="s">
        <v>3524</v>
      </c>
      <c r="M20" s="4">
        <v>1000</v>
      </c>
      <c r="P20" s="2">
        <v>45738</v>
      </c>
      <c r="R20">
        <v>6</v>
      </c>
      <c r="S20" s="4">
        <v>6000</v>
      </c>
      <c r="T20" t="s">
        <v>65</v>
      </c>
      <c r="U20" t="s">
        <v>4979</v>
      </c>
      <c r="V20">
        <v>0</v>
      </c>
      <c r="W20" s="4">
        <v>6000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4980</v>
      </c>
      <c r="AN20" t="s">
        <v>182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4981</v>
      </c>
      <c r="BA20">
        <v>0</v>
      </c>
      <c r="BC20" t="s">
        <v>182</v>
      </c>
      <c r="BF20" t="s">
        <v>4982</v>
      </c>
    </row>
    <row r="21" spans="1:58" x14ac:dyDescent="0.35">
      <c r="A21" t="s">
        <v>4977</v>
      </c>
      <c r="B21">
        <v>20000</v>
      </c>
      <c r="C21">
        <v>10000</v>
      </c>
      <c r="D21" s="2">
        <v>45740</v>
      </c>
      <c r="E21" t="s">
        <v>61</v>
      </c>
      <c r="F21" t="s">
        <v>4978</v>
      </c>
      <c r="G21" t="s">
        <v>418</v>
      </c>
      <c r="I21">
        <v>1</v>
      </c>
      <c r="J21" t="s">
        <v>63</v>
      </c>
      <c r="K21">
        <v>59</v>
      </c>
      <c r="L21" t="s">
        <v>3524</v>
      </c>
      <c r="M21" s="4">
        <v>1000</v>
      </c>
      <c r="P21" s="2">
        <v>45738</v>
      </c>
      <c r="R21">
        <v>6</v>
      </c>
      <c r="S21" s="4">
        <v>6000</v>
      </c>
      <c r="T21" t="s">
        <v>65</v>
      </c>
      <c r="U21" t="s">
        <v>4979</v>
      </c>
      <c r="V21">
        <v>0</v>
      </c>
      <c r="W21" s="4">
        <v>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4980</v>
      </c>
      <c r="AN21" t="s">
        <v>182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4981</v>
      </c>
      <c r="BA21">
        <v>0</v>
      </c>
      <c r="BC21" t="s">
        <v>182</v>
      </c>
      <c r="BF21" t="s">
        <v>4982</v>
      </c>
    </row>
    <row r="22" spans="1:58" x14ac:dyDescent="0.35">
      <c r="A22" t="s">
        <v>4983</v>
      </c>
      <c r="B22">
        <v>10000</v>
      </c>
      <c r="C22">
        <v>10000</v>
      </c>
      <c r="D22" s="2">
        <v>45740</v>
      </c>
      <c r="E22" t="s">
        <v>61</v>
      </c>
      <c r="F22" t="s">
        <v>4984</v>
      </c>
      <c r="G22" t="s">
        <v>418</v>
      </c>
      <c r="I22">
        <v>1</v>
      </c>
      <c r="J22" t="s">
        <v>63</v>
      </c>
      <c r="K22">
        <v>59</v>
      </c>
      <c r="L22" t="s">
        <v>3524</v>
      </c>
      <c r="M22">
        <v>500</v>
      </c>
      <c r="P22" s="2">
        <v>45738</v>
      </c>
      <c r="R22">
        <v>6</v>
      </c>
      <c r="S22" s="4">
        <v>3000</v>
      </c>
      <c r="T22" t="s">
        <v>65</v>
      </c>
      <c r="U22" t="s">
        <v>4985</v>
      </c>
      <c r="V22">
        <v>0</v>
      </c>
      <c r="W22" s="4">
        <v>3000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4986</v>
      </c>
      <c r="AN22" t="s">
        <v>182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4987</v>
      </c>
      <c r="BA22">
        <v>0</v>
      </c>
      <c r="BC22" t="s">
        <v>182</v>
      </c>
      <c r="BF22" t="s">
        <v>4988</v>
      </c>
    </row>
    <row r="23" spans="1:58" x14ac:dyDescent="0.35">
      <c r="A23" t="s">
        <v>4989</v>
      </c>
      <c r="B23">
        <v>10000</v>
      </c>
      <c r="C23">
        <v>10000</v>
      </c>
      <c r="D23" s="2">
        <v>45740</v>
      </c>
      <c r="E23" t="s">
        <v>61</v>
      </c>
      <c r="F23" t="s">
        <v>4984</v>
      </c>
      <c r="G23" t="s">
        <v>418</v>
      </c>
      <c r="I23">
        <v>1</v>
      </c>
      <c r="J23" t="s">
        <v>63</v>
      </c>
      <c r="K23">
        <v>59</v>
      </c>
      <c r="L23" t="s">
        <v>3524</v>
      </c>
      <c r="M23" s="4">
        <v>1000</v>
      </c>
      <c r="P23" s="2">
        <v>45738</v>
      </c>
      <c r="R23">
        <v>6</v>
      </c>
      <c r="S23" s="4">
        <v>6000</v>
      </c>
      <c r="T23" t="s">
        <v>65</v>
      </c>
      <c r="U23" t="s">
        <v>4985</v>
      </c>
      <c r="V23">
        <v>0</v>
      </c>
      <c r="W23" s="4">
        <v>6000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4986</v>
      </c>
      <c r="AN23" t="s">
        <v>182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4990</v>
      </c>
      <c r="BA23">
        <v>0</v>
      </c>
      <c r="BC23" t="s">
        <v>182</v>
      </c>
      <c r="BF23" t="s">
        <v>4991</v>
      </c>
    </row>
    <row r="24" spans="1:58" x14ac:dyDescent="0.35">
      <c r="A24" t="s">
        <v>4989</v>
      </c>
      <c r="B24">
        <v>20000</v>
      </c>
      <c r="C24">
        <v>10000</v>
      </c>
      <c r="D24" s="2">
        <v>45740</v>
      </c>
      <c r="E24" t="s">
        <v>61</v>
      </c>
      <c r="F24" t="s">
        <v>4984</v>
      </c>
      <c r="G24" t="s">
        <v>418</v>
      </c>
      <c r="I24">
        <v>1</v>
      </c>
      <c r="J24" t="s">
        <v>63</v>
      </c>
      <c r="K24">
        <v>59</v>
      </c>
      <c r="L24" t="s">
        <v>3524</v>
      </c>
      <c r="M24" s="4">
        <v>1000</v>
      </c>
      <c r="P24" s="2">
        <v>45738</v>
      </c>
      <c r="R24">
        <v>6</v>
      </c>
      <c r="S24" s="4">
        <v>6000</v>
      </c>
      <c r="T24" t="s">
        <v>65</v>
      </c>
      <c r="U24" t="s">
        <v>4985</v>
      </c>
      <c r="V24">
        <v>0</v>
      </c>
      <c r="W24" s="4">
        <v>6000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4986</v>
      </c>
      <c r="AN24" t="s">
        <v>182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4990</v>
      </c>
      <c r="BA24">
        <v>0</v>
      </c>
      <c r="BC24" t="s">
        <v>182</v>
      </c>
      <c r="BF24" t="s">
        <v>4991</v>
      </c>
    </row>
    <row r="25" spans="1:58" x14ac:dyDescent="0.35">
      <c r="A25" t="s">
        <v>4992</v>
      </c>
      <c r="B25">
        <v>10000</v>
      </c>
      <c r="C25">
        <v>10000</v>
      </c>
      <c r="D25" s="2">
        <v>45740</v>
      </c>
      <c r="E25" t="s">
        <v>61</v>
      </c>
      <c r="F25" t="s">
        <v>4851</v>
      </c>
      <c r="G25" t="s">
        <v>4993</v>
      </c>
      <c r="I25">
        <v>1</v>
      </c>
      <c r="J25" t="s">
        <v>63</v>
      </c>
      <c r="K25">
        <v>61</v>
      </c>
      <c r="L25" t="s">
        <v>216</v>
      </c>
      <c r="M25">
        <v>100</v>
      </c>
      <c r="P25" s="2">
        <v>45738</v>
      </c>
      <c r="R25">
        <v>2</v>
      </c>
      <c r="S25">
        <v>200</v>
      </c>
      <c r="T25" t="s">
        <v>65</v>
      </c>
      <c r="U25" t="s">
        <v>4994</v>
      </c>
      <c r="V25">
        <v>0</v>
      </c>
      <c r="W25">
        <v>200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4995</v>
      </c>
      <c r="AN25" t="s">
        <v>4996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4997</v>
      </c>
      <c r="BA25">
        <v>0</v>
      </c>
      <c r="BC25" t="s">
        <v>4996</v>
      </c>
      <c r="BF25" t="s">
        <v>4998</v>
      </c>
    </row>
    <row r="26" spans="1:58" x14ac:dyDescent="0.35">
      <c r="A26" t="s">
        <v>4999</v>
      </c>
      <c r="B26">
        <v>10000</v>
      </c>
      <c r="C26">
        <v>10000</v>
      </c>
      <c r="D26" s="2">
        <v>45740</v>
      </c>
      <c r="E26" t="s">
        <v>61</v>
      </c>
      <c r="F26" t="s">
        <v>4826</v>
      </c>
      <c r="G26" t="s">
        <v>4993</v>
      </c>
      <c r="I26">
        <v>1</v>
      </c>
      <c r="J26" t="s">
        <v>63</v>
      </c>
      <c r="K26">
        <v>61</v>
      </c>
      <c r="L26" t="s">
        <v>216</v>
      </c>
      <c r="M26">
        <v>500</v>
      </c>
      <c r="P26" s="2">
        <v>45738</v>
      </c>
      <c r="R26">
        <v>2</v>
      </c>
      <c r="S26" s="4">
        <v>1000</v>
      </c>
      <c r="T26" t="s">
        <v>65</v>
      </c>
      <c r="U26" t="s">
        <v>5000</v>
      </c>
      <c r="V26">
        <v>0</v>
      </c>
      <c r="W26" s="4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5001</v>
      </c>
      <c r="AN26" t="s">
        <v>4996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5002</v>
      </c>
      <c r="BA26">
        <v>0</v>
      </c>
      <c r="BC26" t="s">
        <v>4996</v>
      </c>
      <c r="BF26" t="s">
        <v>4998</v>
      </c>
    </row>
    <row r="27" spans="1:58" x14ac:dyDescent="0.35">
      <c r="A27" t="s">
        <v>5003</v>
      </c>
      <c r="B27">
        <v>10000</v>
      </c>
      <c r="C27">
        <v>10000</v>
      </c>
      <c r="D27" s="2">
        <v>45741</v>
      </c>
      <c r="E27" t="s">
        <v>61</v>
      </c>
      <c r="F27" t="s">
        <v>5004</v>
      </c>
      <c r="G27" t="s">
        <v>1435</v>
      </c>
      <c r="I27">
        <v>1</v>
      </c>
      <c r="J27" t="s">
        <v>63</v>
      </c>
      <c r="K27">
        <v>29</v>
      </c>
      <c r="L27" t="s">
        <v>249</v>
      </c>
      <c r="M27" s="4">
        <v>24000</v>
      </c>
      <c r="P27" s="2">
        <v>45738</v>
      </c>
      <c r="R27">
        <v>2</v>
      </c>
      <c r="S27" s="4">
        <v>48000</v>
      </c>
      <c r="T27" t="s">
        <v>65</v>
      </c>
      <c r="U27" t="s">
        <v>250</v>
      </c>
      <c r="V27">
        <v>0</v>
      </c>
      <c r="W27" s="4">
        <v>48000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251</v>
      </c>
      <c r="AN27" t="s">
        <v>175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5005</v>
      </c>
      <c r="BA27">
        <v>0</v>
      </c>
      <c r="BC27" t="s">
        <v>175</v>
      </c>
      <c r="BF27" t="s">
        <v>5006</v>
      </c>
    </row>
    <row r="28" spans="1:58" x14ac:dyDescent="0.35">
      <c r="A28" t="s">
        <v>5007</v>
      </c>
      <c r="B28">
        <v>10000</v>
      </c>
      <c r="C28">
        <v>10000</v>
      </c>
      <c r="D28" s="2">
        <v>45740</v>
      </c>
      <c r="E28" t="s">
        <v>61</v>
      </c>
      <c r="F28" s="3">
        <v>0.48357638888888888</v>
      </c>
      <c r="G28" t="s">
        <v>5008</v>
      </c>
      <c r="I28">
        <v>1</v>
      </c>
      <c r="J28" t="s">
        <v>63</v>
      </c>
      <c r="K28">
        <v>78</v>
      </c>
      <c r="L28" t="s">
        <v>188</v>
      </c>
      <c r="M28" s="4">
        <v>6000</v>
      </c>
      <c r="P28" s="2">
        <v>45738</v>
      </c>
      <c r="R28">
        <v>1</v>
      </c>
      <c r="S28" s="4">
        <v>6000</v>
      </c>
      <c r="T28" t="s">
        <v>65</v>
      </c>
      <c r="U28" t="s">
        <v>2837</v>
      </c>
      <c r="V28">
        <v>0</v>
      </c>
      <c r="W28" s="4">
        <v>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2838</v>
      </c>
      <c r="AN28" t="s">
        <v>427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5009</v>
      </c>
      <c r="BA28">
        <v>0</v>
      </c>
      <c r="BC28" t="s">
        <v>427</v>
      </c>
      <c r="BF28" t="s">
        <v>5010</v>
      </c>
    </row>
    <row r="29" spans="1:58" x14ac:dyDescent="0.35">
      <c r="A29" t="s">
        <v>5011</v>
      </c>
      <c r="B29">
        <v>10000</v>
      </c>
      <c r="C29">
        <v>10000</v>
      </c>
      <c r="D29" s="2">
        <v>45740</v>
      </c>
      <c r="E29" t="s">
        <v>61</v>
      </c>
      <c r="F29" t="s">
        <v>4851</v>
      </c>
      <c r="G29" t="s">
        <v>5012</v>
      </c>
      <c r="I29">
        <v>1</v>
      </c>
      <c r="J29" t="s">
        <v>63</v>
      </c>
      <c r="K29">
        <v>46</v>
      </c>
      <c r="L29" t="s">
        <v>113</v>
      </c>
      <c r="M29" s="4">
        <v>12000</v>
      </c>
      <c r="P29" s="2">
        <v>45738</v>
      </c>
      <c r="R29">
        <v>1</v>
      </c>
      <c r="S29" s="4">
        <v>12000</v>
      </c>
      <c r="T29" t="s">
        <v>65</v>
      </c>
      <c r="U29" t="s">
        <v>5013</v>
      </c>
      <c r="V29">
        <v>0</v>
      </c>
      <c r="W29" s="4">
        <v>12000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5014</v>
      </c>
      <c r="AN29" t="s">
        <v>116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5015</v>
      </c>
      <c r="BA29">
        <v>0</v>
      </c>
      <c r="BC29" t="s">
        <v>116</v>
      </c>
      <c r="BF29" t="s">
        <v>3004</v>
      </c>
    </row>
    <row r="30" spans="1:58" x14ac:dyDescent="0.35">
      <c r="A30" t="s">
        <v>5016</v>
      </c>
      <c r="B30">
        <v>10000</v>
      </c>
      <c r="C30">
        <v>10000</v>
      </c>
      <c r="D30" s="2">
        <v>45740</v>
      </c>
      <c r="E30" t="s">
        <v>61</v>
      </c>
      <c r="F30" s="3">
        <v>0.4840740740740741</v>
      </c>
      <c r="G30" t="s">
        <v>5017</v>
      </c>
      <c r="I30">
        <v>1</v>
      </c>
      <c r="J30" t="s">
        <v>63</v>
      </c>
      <c r="K30">
        <v>22</v>
      </c>
      <c r="L30" t="s">
        <v>466</v>
      </c>
      <c r="M30" s="4">
        <v>4000</v>
      </c>
      <c r="P30" s="2">
        <v>45738</v>
      </c>
      <c r="R30">
        <v>1</v>
      </c>
      <c r="S30" s="4">
        <v>4000</v>
      </c>
      <c r="T30" t="s">
        <v>65</v>
      </c>
      <c r="U30" t="s">
        <v>3768</v>
      </c>
      <c r="V30">
        <v>0</v>
      </c>
      <c r="W30" s="4">
        <v>4000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3769</v>
      </c>
      <c r="AN30" t="s">
        <v>116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5018</v>
      </c>
      <c r="BA30">
        <v>0</v>
      </c>
      <c r="BC30" t="s">
        <v>116</v>
      </c>
      <c r="BF30" t="s">
        <v>4586</v>
      </c>
    </row>
    <row r="31" spans="1:58" x14ac:dyDescent="0.35">
      <c r="A31" t="s">
        <v>5019</v>
      </c>
      <c r="B31">
        <v>10000</v>
      </c>
      <c r="C31">
        <v>10000</v>
      </c>
      <c r="D31" s="2">
        <v>45741</v>
      </c>
      <c r="E31" t="s">
        <v>95</v>
      </c>
      <c r="F31" t="s">
        <v>5020</v>
      </c>
      <c r="G31" t="s">
        <v>4827</v>
      </c>
      <c r="I31">
        <v>1</v>
      </c>
      <c r="J31" t="s">
        <v>63</v>
      </c>
      <c r="K31">
        <v>12</v>
      </c>
      <c r="L31" t="s">
        <v>478</v>
      </c>
      <c r="M31" s="4">
        <v>21000</v>
      </c>
      <c r="P31" s="2">
        <v>45738</v>
      </c>
      <c r="R31">
        <v>1</v>
      </c>
      <c r="S31" s="4">
        <v>21000</v>
      </c>
      <c r="T31" t="s">
        <v>65</v>
      </c>
      <c r="U31" t="s">
        <v>2408</v>
      </c>
      <c r="V31">
        <v>0</v>
      </c>
      <c r="W31" s="4">
        <v>21000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2409</v>
      </c>
      <c r="AN31" t="s">
        <v>116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5021</v>
      </c>
      <c r="BA31">
        <v>0</v>
      </c>
      <c r="BC31" t="s">
        <v>116</v>
      </c>
      <c r="BF31" t="s">
        <v>3813</v>
      </c>
    </row>
    <row r="32" spans="1:58" x14ac:dyDescent="0.35">
      <c r="A32" t="s">
        <v>5022</v>
      </c>
      <c r="B32">
        <v>10000</v>
      </c>
      <c r="C32">
        <v>10000</v>
      </c>
      <c r="D32" s="2">
        <v>45740</v>
      </c>
      <c r="E32" t="s">
        <v>61</v>
      </c>
      <c r="F32" t="s">
        <v>1786</v>
      </c>
      <c r="G32" t="s">
        <v>2123</v>
      </c>
      <c r="I32">
        <v>1</v>
      </c>
      <c r="J32" t="s">
        <v>63</v>
      </c>
      <c r="K32">
        <v>61</v>
      </c>
      <c r="L32" t="s">
        <v>197</v>
      </c>
      <c r="M32" s="4">
        <v>1500</v>
      </c>
      <c r="P32" s="2">
        <v>45738</v>
      </c>
      <c r="R32">
        <v>4</v>
      </c>
      <c r="S32" s="4">
        <v>6000</v>
      </c>
      <c r="T32" t="s">
        <v>65</v>
      </c>
      <c r="U32" t="s">
        <v>5023</v>
      </c>
      <c r="V32">
        <v>0</v>
      </c>
      <c r="W32" s="4">
        <v>6000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5024</v>
      </c>
      <c r="AN32" t="s">
        <v>116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5025</v>
      </c>
      <c r="BA32">
        <v>0</v>
      </c>
      <c r="BC32" t="s">
        <v>116</v>
      </c>
      <c r="BF32" t="s">
        <v>3320</v>
      </c>
    </row>
    <row r="33" spans="1:58" x14ac:dyDescent="0.35">
      <c r="A33" t="s">
        <v>5026</v>
      </c>
      <c r="B33">
        <v>10000</v>
      </c>
      <c r="C33">
        <v>10000</v>
      </c>
      <c r="D33" s="2">
        <v>45740</v>
      </c>
      <c r="E33" t="s">
        <v>61</v>
      </c>
      <c r="F33" t="s">
        <v>4826</v>
      </c>
      <c r="G33" t="s">
        <v>4293</v>
      </c>
      <c r="I33">
        <v>1</v>
      </c>
      <c r="J33" t="s">
        <v>63</v>
      </c>
      <c r="K33">
        <v>61</v>
      </c>
      <c r="L33" t="s">
        <v>197</v>
      </c>
      <c r="M33" s="4">
        <v>1500</v>
      </c>
      <c r="P33" s="2">
        <v>45738</v>
      </c>
      <c r="R33">
        <v>4</v>
      </c>
      <c r="S33" s="4">
        <v>6000</v>
      </c>
      <c r="T33" t="s">
        <v>65</v>
      </c>
      <c r="U33" t="s">
        <v>5027</v>
      </c>
      <c r="V33">
        <v>0</v>
      </c>
      <c r="W33" s="4">
        <v>6000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5028</v>
      </c>
      <c r="AN33" t="s">
        <v>116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5029</v>
      </c>
      <c r="BA33">
        <v>0</v>
      </c>
      <c r="BC33" t="s">
        <v>116</v>
      </c>
      <c r="BF33" t="s">
        <v>3320</v>
      </c>
    </row>
    <row r="34" spans="1:58" x14ac:dyDescent="0.35">
      <c r="A34" t="s">
        <v>5030</v>
      </c>
      <c r="B34">
        <v>10000</v>
      </c>
      <c r="C34">
        <v>10000</v>
      </c>
      <c r="D34" s="2">
        <v>45740</v>
      </c>
      <c r="E34" t="s">
        <v>61</v>
      </c>
      <c r="F34" t="s">
        <v>1786</v>
      </c>
      <c r="G34" t="s">
        <v>4293</v>
      </c>
      <c r="I34">
        <v>1</v>
      </c>
      <c r="J34" t="s">
        <v>63</v>
      </c>
      <c r="K34">
        <v>61</v>
      </c>
      <c r="L34" t="s">
        <v>197</v>
      </c>
      <c r="M34" s="4">
        <v>1500</v>
      </c>
      <c r="P34" s="2">
        <v>45738</v>
      </c>
      <c r="R34">
        <v>4</v>
      </c>
      <c r="S34" s="4">
        <v>6000</v>
      </c>
      <c r="T34" t="s">
        <v>65</v>
      </c>
      <c r="U34" t="s">
        <v>5031</v>
      </c>
      <c r="V34">
        <v>0</v>
      </c>
      <c r="W34" s="4">
        <v>6000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5032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5033</v>
      </c>
      <c r="BA34">
        <v>0</v>
      </c>
      <c r="BC34" t="s">
        <v>116</v>
      </c>
      <c r="BF34" t="s">
        <v>3320</v>
      </c>
    </row>
    <row r="35" spans="1:58" x14ac:dyDescent="0.35">
      <c r="A35" t="s">
        <v>5034</v>
      </c>
      <c r="B35">
        <v>10000</v>
      </c>
      <c r="C35">
        <v>10000</v>
      </c>
      <c r="D35" s="2">
        <v>45740</v>
      </c>
      <c r="E35" t="s">
        <v>61</v>
      </c>
      <c r="F35" t="s">
        <v>5035</v>
      </c>
      <c r="G35" t="s">
        <v>4340</v>
      </c>
      <c r="I35">
        <v>1</v>
      </c>
      <c r="J35" t="s">
        <v>63</v>
      </c>
      <c r="K35">
        <v>72</v>
      </c>
      <c r="L35" t="s">
        <v>528</v>
      </c>
      <c r="M35" s="4">
        <v>1875</v>
      </c>
      <c r="P35" s="2">
        <v>45738</v>
      </c>
      <c r="R35">
        <v>4</v>
      </c>
      <c r="S35" s="4">
        <v>7500</v>
      </c>
      <c r="T35" t="s">
        <v>65</v>
      </c>
      <c r="U35">
        <v>86084000001</v>
      </c>
      <c r="V35">
        <v>0</v>
      </c>
      <c r="W35" s="4">
        <v>6000</v>
      </c>
      <c r="X35" s="4">
        <v>1500</v>
      </c>
      <c r="Y35">
        <v>0</v>
      </c>
      <c r="Z35">
        <v>0</v>
      </c>
      <c r="AA35">
        <v>0</v>
      </c>
      <c r="AD35">
        <v>0</v>
      </c>
      <c r="AM35">
        <v>8608400</v>
      </c>
      <c r="AN35" t="s">
        <v>91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5036</v>
      </c>
      <c r="BA35">
        <v>0</v>
      </c>
      <c r="BC35" t="s">
        <v>91</v>
      </c>
      <c r="BF35" t="s">
        <v>5037</v>
      </c>
    </row>
    <row r="36" spans="1:58" x14ac:dyDescent="0.35">
      <c r="A36" t="s">
        <v>5034</v>
      </c>
      <c r="B36">
        <v>10000</v>
      </c>
      <c r="C36">
        <v>20000</v>
      </c>
      <c r="D36" s="2">
        <v>45740</v>
      </c>
      <c r="E36" t="s">
        <v>61</v>
      </c>
      <c r="F36" t="s">
        <v>5035</v>
      </c>
      <c r="G36" t="s">
        <v>4340</v>
      </c>
      <c r="I36">
        <v>2</v>
      </c>
      <c r="J36" t="s">
        <v>63</v>
      </c>
      <c r="K36">
        <v>71</v>
      </c>
      <c r="L36" t="s">
        <v>135</v>
      </c>
      <c r="M36" s="4">
        <v>1000</v>
      </c>
      <c r="P36" s="2">
        <v>45738</v>
      </c>
      <c r="R36">
        <v>6</v>
      </c>
      <c r="S36" s="4">
        <v>6000</v>
      </c>
      <c r="T36" t="s">
        <v>65</v>
      </c>
      <c r="U36">
        <v>86084000001</v>
      </c>
      <c r="V36">
        <v>0</v>
      </c>
      <c r="W36" s="4">
        <v>6000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8608400</v>
      </c>
      <c r="AN36" t="s">
        <v>91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5036</v>
      </c>
      <c r="BA36">
        <v>0</v>
      </c>
      <c r="BC36" t="s">
        <v>91</v>
      </c>
      <c r="BF36" t="s">
        <v>5037</v>
      </c>
    </row>
    <row r="37" spans="1:58" x14ac:dyDescent="0.35">
      <c r="A37" t="s">
        <v>5038</v>
      </c>
      <c r="B37">
        <v>10000</v>
      </c>
      <c r="C37">
        <v>10000</v>
      </c>
      <c r="D37" s="2">
        <v>45740</v>
      </c>
      <c r="E37" t="s">
        <v>61</v>
      </c>
      <c r="F37" t="s">
        <v>5039</v>
      </c>
      <c r="G37" t="s">
        <v>4340</v>
      </c>
      <c r="I37">
        <v>1</v>
      </c>
      <c r="J37" t="s">
        <v>63</v>
      </c>
      <c r="K37">
        <v>72</v>
      </c>
      <c r="L37" t="s">
        <v>528</v>
      </c>
      <c r="M37" s="4">
        <v>2750</v>
      </c>
      <c r="P37" s="2">
        <v>45738</v>
      </c>
      <c r="R37">
        <v>4</v>
      </c>
      <c r="S37" s="4">
        <v>11000</v>
      </c>
      <c r="T37" t="s">
        <v>65</v>
      </c>
      <c r="U37">
        <v>86084010001</v>
      </c>
      <c r="V37">
        <v>0</v>
      </c>
      <c r="W37" s="4">
        <v>9000</v>
      </c>
      <c r="X37" s="4">
        <v>2000</v>
      </c>
      <c r="Y37">
        <v>0</v>
      </c>
      <c r="Z37">
        <v>0</v>
      </c>
      <c r="AA37">
        <v>0</v>
      </c>
      <c r="AD37">
        <v>0</v>
      </c>
      <c r="AM37">
        <v>8608401</v>
      </c>
      <c r="AN37" t="s">
        <v>91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5040</v>
      </c>
      <c r="BA37">
        <v>0</v>
      </c>
      <c r="BC37" t="s">
        <v>91</v>
      </c>
      <c r="BF37" t="s">
        <v>5037</v>
      </c>
    </row>
    <row r="38" spans="1:58" x14ac:dyDescent="0.35">
      <c r="A38" t="s">
        <v>5038</v>
      </c>
      <c r="B38">
        <v>10000</v>
      </c>
      <c r="C38">
        <v>20000</v>
      </c>
      <c r="D38" s="2">
        <v>45740</v>
      </c>
      <c r="E38" t="s">
        <v>61</v>
      </c>
      <c r="F38" t="s">
        <v>5039</v>
      </c>
      <c r="G38" t="s">
        <v>4340</v>
      </c>
      <c r="I38">
        <v>2</v>
      </c>
      <c r="J38" t="s">
        <v>63</v>
      </c>
      <c r="K38">
        <v>71</v>
      </c>
      <c r="L38" t="s">
        <v>135</v>
      </c>
      <c r="M38" s="4">
        <v>1500</v>
      </c>
      <c r="P38" s="2">
        <v>45738</v>
      </c>
      <c r="R38">
        <v>6</v>
      </c>
      <c r="S38" s="4">
        <v>9000</v>
      </c>
      <c r="T38" t="s">
        <v>65</v>
      </c>
      <c r="U38">
        <v>86084010001</v>
      </c>
      <c r="V38">
        <v>0</v>
      </c>
      <c r="W38" s="4">
        <v>9000</v>
      </c>
      <c r="X38">
        <v>0</v>
      </c>
      <c r="Y38">
        <v>0</v>
      </c>
      <c r="Z38">
        <v>0</v>
      </c>
      <c r="AA38">
        <v>0</v>
      </c>
      <c r="AD38">
        <v>0</v>
      </c>
      <c r="AM38">
        <v>8608401</v>
      </c>
      <c r="AN38" t="s">
        <v>91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5040</v>
      </c>
      <c r="BA38">
        <v>0</v>
      </c>
      <c r="BC38" t="s">
        <v>91</v>
      </c>
      <c r="BF38" t="s">
        <v>5037</v>
      </c>
    </row>
    <row r="39" spans="1:58" x14ac:dyDescent="0.35">
      <c r="A39" t="s">
        <v>5041</v>
      </c>
      <c r="B39">
        <v>10000</v>
      </c>
      <c r="C39">
        <v>10000</v>
      </c>
      <c r="D39" s="2">
        <v>45740</v>
      </c>
      <c r="E39" t="s">
        <v>61</v>
      </c>
      <c r="F39" t="s">
        <v>4860</v>
      </c>
      <c r="G39" t="s">
        <v>4939</v>
      </c>
      <c r="I39">
        <v>1</v>
      </c>
      <c r="J39" t="s">
        <v>63</v>
      </c>
      <c r="K39">
        <v>32</v>
      </c>
      <c r="L39" t="s">
        <v>553</v>
      </c>
      <c r="M39" s="4">
        <v>5860</v>
      </c>
      <c r="P39" s="2">
        <v>45738</v>
      </c>
      <c r="R39">
        <v>1</v>
      </c>
      <c r="S39" s="4">
        <v>5860</v>
      </c>
      <c r="T39" t="s">
        <v>65</v>
      </c>
      <c r="U39" t="s">
        <v>2199</v>
      </c>
      <c r="V39">
        <v>0</v>
      </c>
      <c r="W39" s="4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2200</v>
      </c>
      <c r="AN39" t="s">
        <v>116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5042</v>
      </c>
      <c r="BA39">
        <v>0</v>
      </c>
      <c r="BC39" t="s">
        <v>116</v>
      </c>
      <c r="BF39" t="s">
        <v>5043</v>
      </c>
    </row>
    <row r="40" spans="1:58" x14ac:dyDescent="0.35">
      <c r="A40" t="s">
        <v>5044</v>
      </c>
      <c r="B40">
        <v>10000</v>
      </c>
      <c r="C40">
        <v>10000</v>
      </c>
      <c r="D40" s="2">
        <v>45740</v>
      </c>
      <c r="E40" t="s">
        <v>61</v>
      </c>
      <c r="F40" t="s">
        <v>5045</v>
      </c>
      <c r="G40" t="s">
        <v>4340</v>
      </c>
      <c r="I40">
        <v>1</v>
      </c>
      <c r="J40" t="s">
        <v>63</v>
      </c>
      <c r="K40">
        <v>72</v>
      </c>
      <c r="L40" t="s">
        <v>528</v>
      </c>
      <c r="M40" s="4">
        <v>3550</v>
      </c>
      <c r="P40" s="2">
        <v>45738</v>
      </c>
      <c r="R40">
        <v>4</v>
      </c>
      <c r="S40" s="4">
        <v>14200</v>
      </c>
      <c r="T40" t="s">
        <v>65</v>
      </c>
      <c r="U40">
        <v>5000532060001</v>
      </c>
      <c r="V40">
        <v>0</v>
      </c>
      <c r="W40" s="4">
        <v>11200</v>
      </c>
      <c r="X40" s="4">
        <v>3000</v>
      </c>
      <c r="Y40">
        <v>0</v>
      </c>
      <c r="Z40">
        <v>0</v>
      </c>
      <c r="AA40">
        <v>0</v>
      </c>
      <c r="AD40">
        <v>0</v>
      </c>
      <c r="AM40">
        <v>500053206</v>
      </c>
      <c r="AN40" t="s">
        <v>91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5046</v>
      </c>
      <c r="BA40">
        <v>0</v>
      </c>
      <c r="BC40" t="s">
        <v>91</v>
      </c>
      <c r="BF40" t="s">
        <v>4635</v>
      </c>
    </row>
    <row r="41" spans="1:58" x14ac:dyDescent="0.35">
      <c r="A41" t="s">
        <v>5044</v>
      </c>
      <c r="B41">
        <v>10000</v>
      </c>
      <c r="C41">
        <v>20000</v>
      </c>
      <c r="D41" s="2">
        <v>45740</v>
      </c>
      <c r="E41" t="s">
        <v>61</v>
      </c>
      <c r="F41" t="s">
        <v>5045</v>
      </c>
      <c r="G41" t="s">
        <v>4340</v>
      </c>
      <c r="I41">
        <v>2</v>
      </c>
      <c r="J41" t="s">
        <v>63</v>
      </c>
      <c r="K41">
        <v>71</v>
      </c>
      <c r="L41" t="s">
        <v>135</v>
      </c>
      <c r="M41" s="4">
        <v>1867</v>
      </c>
      <c r="P41" s="2">
        <v>45738</v>
      </c>
      <c r="R41">
        <v>6</v>
      </c>
      <c r="S41" s="4">
        <v>11202</v>
      </c>
      <c r="T41" t="s">
        <v>65</v>
      </c>
      <c r="U41">
        <v>5000532060001</v>
      </c>
      <c r="V41">
        <v>0</v>
      </c>
      <c r="W41" s="4">
        <v>11200</v>
      </c>
      <c r="X41">
        <v>2</v>
      </c>
      <c r="Y41">
        <v>0</v>
      </c>
      <c r="Z41">
        <v>0</v>
      </c>
      <c r="AA41">
        <v>0</v>
      </c>
      <c r="AD41">
        <v>0</v>
      </c>
      <c r="AM41">
        <v>500053206</v>
      </c>
      <c r="AN41" t="s">
        <v>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5046</v>
      </c>
      <c r="BA41">
        <v>0</v>
      </c>
      <c r="BC41" t="s">
        <v>91</v>
      </c>
      <c r="BF41" t="s">
        <v>4635</v>
      </c>
    </row>
    <row r="42" spans="1:58" x14ac:dyDescent="0.35">
      <c r="A42" t="s">
        <v>4639</v>
      </c>
      <c r="B42">
        <v>10000</v>
      </c>
      <c r="C42">
        <v>20000</v>
      </c>
      <c r="D42" s="2">
        <v>45740</v>
      </c>
      <c r="E42" t="s">
        <v>61</v>
      </c>
      <c r="F42" t="s">
        <v>4640</v>
      </c>
      <c r="G42" t="s">
        <v>4340</v>
      </c>
      <c r="I42">
        <v>2</v>
      </c>
      <c r="J42" t="s">
        <v>63</v>
      </c>
      <c r="K42">
        <v>71</v>
      </c>
      <c r="L42" t="s">
        <v>135</v>
      </c>
      <c r="M42" s="4">
        <v>9334</v>
      </c>
      <c r="P42" s="2">
        <v>45738</v>
      </c>
      <c r="R42">
        <v>6</v>
      </c>
      <c r="S42" s="4">
        <v>56004</v>
      </c>
      <c r="T42" t="s">
        <v>65</v>
      </c>
      <c r="U42">
        <v>5000538120001</v>
      </c>
      <c r="V42">
        <v>0</v>
      </c>
      <c r="W42" s="4">
        <v>28000</v>
      </c>
      <c r="X42" s="4">
        <v>28004</v>
      </c>
      <c r="Y42">
        <v>0</v>
      </c>
      <c r="Z42">
        <v>0</v>
      </c>
      <c r="AA42">
        <v>0</v>
      </c>
      <c r="AD42">
        <v>0</v>
      </c>
      <c r="AM42">
        <v>500053812</v>
      </c>
      <c r="AN42" t="s">
        <v>91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4641</v>
      </c>
      <c r="BA42">
        <v>0</v>
      </c>
      <c r="BC42" t="s">
        <v>91</v>
      </c>
      <c r="BF42" t="s">
        <v>4635</v>
      </c>
    </row>
    <row r="43" spans="1:58" x14ac:dyDescent="0.35">
      <c r="A43" t="s">
        <v>5047</v>
      </c>
      <c r="B43">
        <v>10000</v>
      </c>
      <c r="C43">
        <v>10000</v>
      </c>
      <c r="D43" s="2">
        <v>45740</v>
      </c>
      <c r="E43" t="s">
        <v>61</v>
      </c>
      <c r="F43" t="s">
        <v>2407</v>
      </c>
      <c r="G43">
        <v>164353308</v>
      </c>
      <c r="I43">
        <v>1</v>
      </c>
      <c r="J43" t="s">
        <v>63</v>
      </c>
      <c r="K43">
        <v>60</v>
      </c>
      <c r="L43" t="s">
        <v>277</v>
      </c>
      <c r="M43" s="4">
        <v>1667</v>
      </c>
      <c r="P43" s="2">
        <v>45738</v>
      </c>
      <c r="R43">
        <v>6</v>
      </c>
      <c r="S43" s="4">
        <v>10002</v>
      </c>
      <c r="T43" t="s">
        <v>65</v>
      </c>
      <c r="U43">
        <v>1282880001</v>
      </c>
      <c r="V43">
        <v>0</v>
      </c>
      <c r="W43" s="4">
        <v>10000</v>
      </c>
      <c r="X43">
        <v>2</v>
      </c>
      <c r="Y43">
        <v>0</v>
      </c>
      <c r="Z43">
        <v>0</v>
      </c>
      <c r="AA43">
        <v>0</v>
      </c>
      <c r="AD43">
        <v>0</v>
      </c>
      <c r="AM43">
        <v>128288</v>
      </c>
      <c r="AN43" t="s">
        <v>5048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5049</v>
      </c>
      <c r="BA43">
        <v>0</v>
      </c>
      <c r="BC43" t="s">
        <v>5048</v>
      </c>
      <c r="BF43" t="s">
        <v>5050</v>
      </c>
    </row>
    <row r="44" spans="1:58" x14ac:dyDescent="0.35">
      <c r="A44" t="s">
        <v>5051</v>
      </c>
      <c r="B44">
        <v>10000</v>
      </c>
      <c r="C44">
        <v>20000</v>
      </c>
      <c r="D44" s="2">
        <v>45740</v>
      </c>
      <c r="E44" t="s">
        <v>61</v>
      </c>
      <c r="F44" t="s">
        <v>5052</v>
      </c>
      <c r="G44" t="s">
        <v>5053</v>
      </c>
      <c r="I44">
        <v>1</v>
      </c>
      <c r="J44" t="s">
        <v>63</v>
      </c>
      <c r="K44">
        <v>112</v>
      </c>
      <c r="L44" t="s">
        <v>533</v>
      </c>
      <c r="M44">
        <v>73</v>
      </c>
      <c r="P44" s="2">
        <v>45738</v>
      </c>
      <c r="R44">
        <v>11</v>
      </c>
      <c r="S44">
        <v>803</v>
      </c>
      <c r="T44" t="s">
        <v>65</v>
      </c>
      <c r="U44" t="s">
        <v>4959</v>
      </c>
      <c r="V44">
        <v>0</v>
      </c>
      <c r="W44">
        <v>800</v>
      </c>
      <c r="X44">
        <v>3</v>
      </c>
      <c r="Y44">
        <v>0</v>
      </c>
      <c r="Z44">
        <v>0</v>
      </c>
      <c r="AA44">
        <v>0</v>
      </c>
      <c r="AD44">
        <v>0</v>
      </c>
      <c r="AM44" t="s">
        <v>4960</v>
      </c>
      <c r="AN44" t="s">
        <v>321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5054</v>
      </c>
      <c r="BA44">
        <v>0</v>
      </c>
      <c r="BC44" t="s">
        <v>321</v>
      </c>
      <c r="BF44" t="s">
        <v>4693</v>
      </c>
    </row>
    <row r="45" spans="1:58" x14ac:dyDescent="0.35">
      <c r="A45" t="s">
        <v>4916</v>
      </c>
      <c r="B45">
        <v>10000</v>
      </c>
      <c r="C45">
        <v>30000</v>
      </c>
      <c r="D45" s="2">
        <v>45742</v>
      </c>
      <c r="E45" t="s">
        <v>61</v>
      </c>
      <c r="F45" t="s">
        <v>4917</v>
      </c>
      <c r="G45" t="s">
        <v>4918</v>
      </c>
      <c r="I45">
        <v>2</v>
      </c>
      <c r="J45" t="s">
        <v>63</v>
      </c>
      <c r="K45">
        <v>96</v>
      </c>
      <c r="L45" t="s">
        <v>2144</v>
      </c>
      <c r="M45" s="4">
        <v>152250</v>
      </c>
      <c r="P45" s="2">
        <v>45738</v>
      </c>
      <c r="R45">
        <v>6</v>
      </c>
      <c r="S45" s="4">
        <v>913500</v>
      </c>
      <c r="T45" t="s">
        <v>65</v>
      </c>
      <c r="U45" t="s">
        <v>1410</v>
      </c>
      <c r="V45">
        <v>0</v>
      </c>
      <c r="W45" s="4">
        <v>924375</v>
      </c>
      <c r="X45" s="4">
        <v>-10875</v>
      </c>
      <c r="Y45">
        <v>0</v>
      </c>
      <c r="Z45">
        <v>0</v>
      </c>
      <c r="AA45">
        <v>0</v>
      </c>
      <c r="AD45">
        <v>0</v>
      </c>
      <c r="AM45" t="s">
        <v>1411</v>
      </c>
      <c r="AN45" t="s">
        <v>321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4919</v>
      </c>
      <c r="BA45">
        <v>0</v>
      </c>
      <c r="BC45" t="s">
        <v>321</v>
      </c>
      <c r="BF45" t="s">
        <v>4920</v>
      </c>
    </row>
    <row r="46" spans="1:58" x14ac:dyDescent="0.35">
      <c r="A46" t="s">
        <v>4916</v>
      </c>
      <c r="B46">
        <v>10000</v>
      </c>
      <c r="C46">
        <v>40000</v>
      </c>
      <c r="D46" s="2">
        <v>45742</v>
      </c>
      <c r="E46" t="s">
        <v>61</v>
      </c>
      <c r="F46" t="s">
        <v>4917</v>
      </c>
      <c r="G46" t="s">
        <v>4918</v>
      </c>
      <c r="I46">
        <v>2</v>
      </c>
      <c r="J46" t="s">
        <v>63</v>
      </c>
      <c r="K46">
        <v>96</v>
      </c>
      <c r="L46" t="s">
        <v>104</v>
      </c>
      <c r="M46" s="4">
        <v>63000</v>
      </c>
      <c r="P46" s="2">
        <v>45738</v>
      </c>
      <c r="R46">
        <v>6</v>
      </c>
      <c r="S46" s="4">
        <v>378000</v>
      </c>
      <c r="T46" t="s">
        <v>65</v>
      </c>
      <c r="U46" t="s">
        <v>1410</v>
      </c>
      <c r="V46">
        <v>0</v>
      </c>
      <c r="W46" s="4">
        <v>382500</v>
      </c>
      <c r="X46" s="4">
        <v>-4500</v>
      </c>
      <c r="Y46">
        <v>0</v>
      </c>
      <c r="Z46">
        <v>0</v>
      </c>
      <c r="AA46">
        <v>0</v>
      </c>
      <c r="AD46">
        <v>0</v>
      </c>
      <c r="AM46" t="s">
        <v>1411</v>
      </c>
      <c r="AN46" t="s">
        <v>321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4919</v>
      </c>
      <c r="BA46">
        <v>0</v>
      </c>
      <c r="BC46" t="s">
        <v>321</v>
      </c>
      <c r="BF46" t="s">
        <v>4920</v>
      </c>
    </row>
    <row r="47" spans="1:58" x14ac:dyDescent="0.35">
      <c r="A47" t="s">
        <v>4925</v>
      </c>
      <c r="B47">
        <v>10000</v>
      </c>
      <c r="C47">
        <v>20000</v>
      </c>
      <c r="D47" s="2">
        <v>45740</v>
      </c>
      <c r="E47" t="s">
        <v>61</v>
      </c>
      <c r="F47" t="s">
        <v>4922</v>
      </c>
      <c r="G47" t="s">
        <v>418</v>
      </c>
      <c r="I47">
        <v>1</v>
      </c>
      <c r="J47" t="s">
        <v>63</v>
      </c>
      <c r="K47">
        <v>59</v>
      </c>
      <c r="L47" t="s">
        <v>3524</v>
      </c>
      <c r="M47" s="4">
        <v>1000</v>
      </c>
      <c r="P47" s="2">
        <v>45738</v>
      </c>
      <c r="R47">
        <v>6</v>
      </c>
      <c r="S47" s="4">
        <v>6000</v>
      </c>
      <c r="T47" t="s">
        <v>65</v>
      </c>
      <c r="U47" t="s">
        <v>2254</v>
      </c>
      <c r="V47">
        <v>0</v>
      </c>
      <c r="W47" s="4">
        <v>6000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2295</v>
      </c>
      <c r="AN47" t="s">
        <v>182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4926</v>
      </c>
      <c r="BA47">
        <v>0</v>
      </c>
      <c r="BC47" t="s">
        <v>182</v>
      </c>
      <c r="BF47" t="s">
        <v>4927</v>
      </c>
    </row>
    <row r="48" spans="1:58" x14ac:dyDescent="0.35">
      <c r="A48" t="s">
        <v>4925</v>
      </c>
      <c r="B48">
        <v>20000</v>
      </c>
      <c r="C48">
        <v>10000</v>
      </c>
      <c r="D48" s="2">
        <v>45740</v>
      </c>
      <c r="E48" t="s">
        <v>61</v>
      </c>
      <c r="F48" t="s">
        <v>4922</v>
      </c>
      <c r="G48" t="s">
        <v>418</v>
      </c>
      <c r="I48">
        <v>1</v>
      </c>
      <c r="J48" t="s">
        <v>63</v>
      </c>
      <c r="K48">
        <v>59</v>
      </c>
      <c r="L48" t="s">
        <v>3524</v>
      </c>
      <c r="M48" s="4">
        <v>2000</v>
      </c>
      <c r="P48" s="2">
        <v>45738</v>
      </c>
      <c r="R48">
        <v>6</v>
      </c>
      <c r="S48" s="4">
        <v>12000</v>
      </c>
      <c r="T48" t="s">
        <v>65</v>
      </c>
      <c r="U48" t="s">
        <v>2254</v>
      </c>
      <c r="V48">
        <v>0</v>
      </c>
      <c r="W48" s="4">
        <v>12000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2295</v>
      </c>
      <c r="AN48" t="s">
        <v>182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4926</v>
      </c>
      <c r="BA48">
        <v>0</v>
      </c>
      <c r="BC48" t="s">
        <v>182</v>
      </c>
      <c r="BF48" t="s">
        <v>4927</v>
      </c>
    </row>
    <row r="49" spans="1:58" x14ac:dyDescent="0.35">
      <c r="A49" t="s">
        <v>4925</v>
      </c>
      <c r="B49">
        <v>30000</v>
      </c>
      <c r="C49">
        <v>10000</v>
      </c>
      <c r="D49" s="2">
        <v>45740</v>
      </c>
      <c r="E49" t="s">
        <v>61</v>
      </c>
      <c r="F49" t="s">
        <v>4922</v>
      </c>
      <c r="G49" t="s">
        <v>418</v>
      </c>
      <c r="I49">
        <v>1</v>
      </c>
      <c r="J49" t="s">
        <v>63</v>
      </c>
      <c r="K49">
        <v>59</v>
      </c>
      <c r="L49" t="s">
        <v>3524</v>
      </c>
      <c r="M49" s="4">
        <v>2000</v>
      </c>
      <c r="P49" s="2">
        <v>45738</v>
      </c>
      <c r="R49">
        <v>6</v>
      </c>
      <c r="S49" s="4">
        <v>12000</v>
      </c>
      <c r="T49" t="s">
        <v>65</v>
      </c>
      <c r="U49" t="s">
        <v>2254</v>
      </c>
      <c r="V49">
        <v>0</v>
      </c>
      <c r="W49" s="4">
        <v>12000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2295</v>
      </c>
      <c r="AN49" t="s">
        <v>182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4926</v>
      </c>
      <c r="BA49">
        <v>0</v>
      </c>
      <c r="BC49" t="s">
        <v>182</v>
      </c>
      <c r="BF49" t="s">
        <v>4927</v>
      </c>
    </row>
    <row r="50" spans="1:58" x14ac:dyDescent="0.35">
      <c r="A50" t="s">
        <v>5055</v>
      </c>
      <c r="B50">
        <v>10000</v>
      </c>
      <c r="C50">
        <v>10000</v>
      </c>
      <c r="D50" s="2">
        <v>45740</v>
      </c>
      <c r="E50" t="s">
        <v>61</v>
      </c>
      <c r="F50" t="s">
        <v>4984</v>
      </c>
      <c r="G50" t="s">
        <v>418</v>
      </c>
      <c r="I50">
        <v>1</v>
      </c>
      <c r="J50" t="s">
        <v>63</v>
      </c>
      <c r="K50">
        <v>59</v>
      </c>
      <c r="L50" t="s">
        <v>3524</v>
      </c>
      <c r="M50" s="4">
        <v>1000</v>
      </c>
      <c r="P50" s="2">
        <v>45738</v>
      </c>
      <c r="R50">
        <v>6</v>
      </c>
      <c r="S50" s="4">
        <v>6000</v>
      </c>
      <c r="T50" t="s">
        <v>65</v>
      </c>
      <c r="U50" t="s">
        <v>4985</v>
      </c>
      <c r="V50">
        <v>0</v>
      </c>
      <c r="W50" s="4">
        <v>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4986</v>
      </c>
      <c r="AN50" t="s">
        <v>182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5056</v>
      </c>
      <c r="BA50">
        <v>0</v>
      </c>
      <c r="BC50" t="s">
        <v>182</v>
      </c>
      <c r="BF50" t="s">
        <v>5057</v>
      </c>
    </row>
    <row r="60" spans="1:58" x14ac:dyDescent="0.35">
      <c r="A60">
        <f>COUNTA(A5:A59)</f>
        <v>46</v>
      </c>
      <c r="B60">
        <f>'21-Mar'!B90+'22-Mar'!A60</f>
        <v>1504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4C05-F7D4-433D-B2F5-6828611429D9}">
  <dimension ref="A1:BF105"/>
  <sheetViews>
    <sheetView topLeftCell="A94" workbookViewId="0">
      <selection activeCell="A4" sqref="A4:XFD9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5058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5059</v>
      </c>
      <c r="B5">
        <v>10000</v>
      </c>
      <c r="C5">
        <v>50000</v>
      </c>
      <c r="D5" s="2">
        <v>45750</v>
      </c>
      <c r="E5" t="s">
        <v>61</v>
      </c>
      <c r="F5" s="3">
        <v>0.4473611111111111</v>
      </c>
      <c r="G5" t="s">
        <v>5060</v>
      </c>
      <c r="H5" t="s">
        <v>5061</v>
      </c>
      <c r="I5">
        <v>1</v>
      </c>
      <c r="J5" t="s">
        <v>69</v>
      </c>
      <c r="K5">
        <v>79</v>
      </c>
      <c r="L5" t="s">
        <v>573</v>
      </c>
      <c r="M5" s="4">
        <v>1100</v>
      </c>
      <c r="P5" s="2">
        <v>45740</v>
      </c>
      <c r="R5">
        <v>5</v>
      </c>
      <c r="S5" s="4">
        <v>5500</v>
      </c>
      <c r="T5" t="s">
        <v>65</v>
      </c>
      <c r="U5" t="s">
        <v>5062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5063</v>
      </c>
      <c r="AN5" t="s">
        <v>5064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5064</v>
      </c>
      <c r="BF5" t="s">
        <v>5065</v>
      </c>
    </row>
    <row r="6" spans="1:58" x14ac:dyDescent="0.35">
      <c r="A6" t="s">
        <v>1570</v>
      </c>
      <c r="B6">
        <v>10000</v>
      </c>
      <c r="C6">
        <v>20000</v>
      </c>
      <c r="D6" s="2">
        <v>45754</v>
      </c>
      <c r="E6" t="s">
        <v>61</v>
      </c>
      <c r="F6" t="s">
        <v>1639</v>
      </c>
      <c r="G6" t="s">
        <v>1571</v>
      </c>
      <c r="H6" t="s">
        <v>1572</v>
      </c>
      <c r="I6">
        <v>2</v>
      </c>
      <c r="J6" t="s">
        <v>69</v>
      </c>
      <c r="K6">
        <v>77</v>
      </c>
      <c r="L6" t="s">
        <v>127</v>
      </c>
      <c r="M6" s="4">
        <v>14862</v>
      </c>
      <c r="P6" s="2">
        <v>45740</v>
      </c>
      <c r="R6">
        <v>36</v>
      </c>
      <c r="S6" s="4">
        <v>535032</v>
      </c>
      <c r="T6" t="s">
        <v>65</v>
      </c>
      <c r="U6" t="s">
        <v>83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84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68</v>
      </c>
      <c r="BF6" t="s">
        <v>1573</v>
      </c>
    </row>
    <row r="7" spans="1:58" x14ac:dyDescent="0.35">
      <c r="A7" t="s">
        <v>2521</v>
      </c>
      <c r="B7">
        <v>10000</v>
      </c>
      <c r="C7">
        <v>40000</v>
      </c>
      <c r="D7" s="2">
        <v>45742</v>
      </c>
      <c r="E7" t="s">
        <v>61</v>
      </c>
      <c r="F7" t="s">
        <v>2522</v>
      </c>
      <c r="G7">
        <v>860909190840</v>
      </c>
      <c r="H7" t="s">
        <v>2519</v>
      </c>
      <c r="I7">
        <v>4</v>
      </c>
      <c r="J7" t="s">
        <v>69</v>
      </c>
      <c r="K7">
        <v>60</v>
      </c>
      <c r="L7" t="s">
        <v>277</v>
      </c>
      <c r="M7" s="4">
        <v>18000</v>
      </c>
      <c r="P7" s="2">
        <v>45740</v>
      </c>
      <c r="R7">
        <v>1</v>
      </c>
      <c r="S7" s="4">
        <v>18000</v>
      </c>
      <c r="T7" t="s">
        <v>65</v>
      </c>
      <c r="U7">
        <v>200717160001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>
        <v>20071716</v>
      </c>
      <c r="AN7" t="s">
        <v>182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182</v>
      </c>
      <c r="BF7" t="s">
        <v>2523</v>
      </c>
    </row>
    <row r="8" spans="1:58" x14ac:dyDescent="0.35">
      <c r="A8" t="s">
        <v>4148</v>
      </c>
      <c r="B8">
        <v>10000</v>
      </c>
      <c r="C8">
        <v>20000</v>
      </c>
      <c r="D8" s="2">
        <v>45748</v>
      </c>
      <c r="E8" t="s">
        <v>61</v>
      </c>
      <c r="F8" t="s">
        <v>4149</v>
      </c>
      <c r="G8">
        <v>10620258042</v>
      </c>
      <c r="H8" t="s">
        <v>4150</v>
      </c>
      <c r="I8">
        <v>2</v>
      </c>
      <c r="J8" t="s">
        <v>69</v>
      </c>
      <c r="K8">
        <v>77</v>
      </c>
      <c r="L8" t="s">
        <v>127</v>
      </c>
      <c r="M8">
        <v>864</v>
      </c>
      <c r="P8" s="2">
        <v>45740</v>
      </c>
      <c r="R8">
        <v>88</v>
      </c>
      <c r="S8" s="4">
        <v>76032</v>
      </c>
      <c r="T8" t="s">
        <v>65</v>
      </c>
      <c r="U8" t="s">
        <v>4151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4152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107</v>
      </c>
      <c r="BF8" t="s">
        <v>4153</v>
      </c>
    </row>
    <row r="9" spans="1:58" x14ac:dyDescent="0.35">
      <c r="A9" t="s">
        <v>4154</v>
      </c>
      <c r="B9">
        <v>10000</v>
      </c>
      <c r="C9">
        <v>30000</v>
      </c>
      <c r="D9" s="2">
        <v>45741</v>
      </c>
      <c r="E9" t="s">
        <v>61</v>
      </c>
      <c r="F9" t="s">
        <v>4155</v>
      </c>
      <c r="G9" t="s">
        <v>4156</v>
      </c>
      <c r="H9" t="s">
        <v>4150</v>
      </c>
      <c r="I9">
        <v>3</v>
      </c>
      <c r="J9" t="s">
        <v>69</v>
      </c>
      <c r="K9">
        <v>85</v>
      </c>
      <c r="L9" t="s">
        <v>327</v>
      </c>
      <c r="M9" s="4">
        <v>10000</v>
      </c>
      <c r="P9" s="2">
        <v>45740</v>
      </c>
      <c r="R9">
        <v>11</v>
      </c>
      <c r="S9" s="4">
        <v>110000</v>
      </c>
      <c r="T9" t="s">
        <v>65</v>
      </c>
      <c r="U9" t="s">
        <v>4157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4158</v>
      </c>
      <c r="AN9" t="s">
        <v>107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107</v>
      </c>
      <c r="BF9" t="s">
        <v>4159</v>
      </c>
    </row>
    <row r="10" spans="1:58" x14ac:dyDescent="0.35">
      <c r="A10" t="s">
        <v>5066</v>
      </c>
      <c r="B10">
        <v>10000</v>
      </c>
      <c r="C10">
        <v>10000</v>
      </c>
      <c r="D10" s="2">
        <v>45744</v>
      </c>
      <c r="E10" t="s">
        <v>61</v>
      </c>
      <c r="F10" t="s">
        <v>5067</v>
      </c>
      <c r="G10" t="s">
        <v>5068</v>
      </c>
      <c r="H10" t="s">
        <v>4528</v>
      </c>
      <c r="I10">
        <v>1</v>
      </c>
      <c r="J10" t="s">
        <v>69</v>
      </c>
      <c r="K10">
        <v>66</v>
      </c>
      <c r="L10" t="s">
        <v>800</v>
      </c>
      <c r="M10" s="4">
        <v>170000</v>
      </c>
      <c r="P10" s="2">
        <v>45740</v>
      </c>
      <c r="R10">
        <v>1</v>
      </c>
      <c r="S10" s="4">
        <v>170000</v>
      </c>
      <c r="T10" t="s">
        <v>65</v>
      </c>
      <c r="U10" t="s">
        <v>381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382</v>
      </c>
      <c r="AN10" t="s">
        <v>175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175</v>
      </c>
      <c r="BF10" t="s">
        <v>5069</v>
      </c>
    </row>
    <row r="11" spans="1:58" x14ac:dyDescent="0.35">
      <c r="A11" t="s">
        <v>5066</v>
      </c>
      <c r="B11">
        <v>10000</v>
      </c>
      <c r="C11">
        <v>20000</v>
      </c>
      <c r="D11" s="2">
        <v>45744</v>
      </c>
      <c r="E11" t="s">
        <v>61</v>
      </c>
      <c r="F11" t="s">
        <v>5070</v>
      </c>
      <c r="G11" t="s">
        <v>5068</v>
      </c>
      <c r="H11" t="s">
        <v>4528</v>
      </c>
      <c r="I11">
        <v>1</v>
      </c>
      <c r="J11" t="s">
        <v>69</v>
      </c>
      <c r="K11" t="s">
        <v>399</v>
      </c>
      <c r="L11" t="s">
        <v>380</v>
      </c>
      <c r="M11" s="4">
        <v>110000</v>
      </c>
      <c r="P11" s="2">
        <v>45740</v>
      </c>
      <c r="R11">
        <v>1</v>
      </c>
      <c r="S11" s="4">
        <v>110000</v>
      </c>
      <c r="T11" t="s">
        <v>65</v>
      </c>
      <c r="U11" t="s">
        <v>381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382</v>
      </c>
      <c r="AN11" t="s">
        <v>175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175</v>
      </c>
      <c r="BF11" t="s">
        <v>5069</v>
      </c>
    </row>
    <row r="12" spans="1:58" x14ac:dyDescent="0.35">
      <c r="A12" t="s">
        <v>3901</v>
      </c>
      <c r="B12">
        <v>10000</v>
      </c>
      <c r="C12">
        <v>30000</v>
      </c>
      <c r="D12" s="2">
        <v>45742</v>
      </c>
      <c r="E12" t="s">
        <v>61</v>
      </c>
      <c r="F12" t="s">
        <v>3902</v>
      </c>
      <c r="G12" t="s">
        <v>3903</v>
      </c>
      <c r="I12">
        <v>3</v>
      </c>
      <c r="J12" t="s">
        <v>63</v>
      </c>
      <c r="K12">
        <v>91</v>
      </c>
      <c r="L12" t="s">
        <v>104</v>
      </c>
      <c r="M12" s="4">
        <v>112000</v>
      </c>
      <c r="P12" s="2">
        <v>45740</v>
      </c>
      <c r="R12">
        <v>9</v>
      </c>
      <c r="S12" s="4">
        <v>1008000</v>
      </c>
      <c r="T12" t="s">
        <v>65</v>
      </c>
      <c r="U12" t="s">
        <v>83</v>
      </c>
      <c r="V12">
        <v>0</v>
      </c>
      <c r="W12" s="4">
        <v>1000000</v>
      </c>
      <c r="X12" s="4">
        <v>8000</v>
      </c>
      <c r="Y12">
        <v>0</v>
      </c>
      <c r="Z12">
        <v>0</v>
      </c>
      <c r="AA12">
        <v>0</v>
      </c>
      <c r="AD12">
        <v>0</v>
      </c>
      <c r="AM12" t="s">
        <v>84</v>
      </c>
      <c r="AN12" t="s">
        <v>68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3904</v>
      </c>
      <c r="BA12">
        <v>0</v>
      </c>
      <c r="BC12" t="s">
        <v>68</v>
      </c>
      <c r="BF12" t="s">
        <v>3905</v>
      </c>
    </row>
    <row r="13" spans="1:58" x14ac:dyDescent="0.35">
      <c r="A13" t="s">
        <v>5071</v>
      </c>
      <c r="B13">
        <v>10000</v>
      </c>
      <c r="C13">
        <v>20000</v>
      </c>
      <c r="D13" s="2">
        <v>45748</v>
      </c>
      <c r="E13" t="s">
        <v>61</v>
      </c>
      <c r="F13" t="s">
        <v>5072</v>
      </c>
      <c r="G13" t="s">
        <v>5073</v>
      </c>
      <c r="I13">
        <v>1</v>
      </c>
      <c r="J13" t="s">
        <v>63</v>
      </c>
      <c r="K13">
        <v>111</v>
      </c>
      <c r="L13" t="s">
        <v>597</v>
      </c>
      <c r="M13" s="4">
        <v>56250</v>
      </c>
      <c r="P13" s="2">
        <v>45740</v>
      </c>
      <c r="R13">
        <v>8</v>
      </c>
      <c r="S13" s="4">
        <v>450000</v>
      </c>
      <c r="T13" t="s">
        <v>65</v>
      </c>
      <c r="U13" t="s">
        <v>3920</v>
      </c>
      <c r="V13">
        <v>0</v>
      </c>
      <c r="W13" s="4">
        <v>449457</v>
      </c>
      <c r="X13">
        <v>543</v>
      </c>
      <c r="Y13">
        <v>0</v>
      </c>
      <c r="Z13">
        <v>0</v>
      </c>
      <c r="AA13">
        <v>0</v>
      </c>
      <c r="AD13">
        <v>0</v>
      </c>
      <c r="AM13" t="s">
        <v>3921</v>
      </c>
      <c r="AN13" t="s">
        <v>271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5074</v>
      </c>
      <c r="BA13">
        <v>0</v>
      </c>
      <c r="BC13" t="s">
        <v>271</v>
      </c>
      <c r="BF13" t="s">
        <v>5075</v>
      </c>
    </row>
    <row r="14" spans="1:58" x14ac:dyDescent="0.35">
      <c r="A14" t="s">
        <v>5076</v>
      </c>
      <c r="B14">
        <v>10000</v>
      </c>
      <c r="C14">
        <v>10000</v>
      </c>
      <c r="D14" s="2">
        <v>45740</v>
      </c>
      <c r="E14" t="s">
        <v>61</v>
      </c>
      <c r="F14" t="s">
        <v>5077</v>
      </c>
      <c r="G14" t="s">
        <v>5078</v>
      </c>
      <c r="I14">
        <v>1</v>
      </c>
      <c r="J14" t="s">
        <v>63</v>
      </c>
      <c r="K14">
        <v>94</v>
      </c>
      <c r="L14" t="s">
        <v>181</v>
      </c>
      <c r="M14" s="4">
        <v>3000</v>
      </c>
      <c r="P14" s="2">
        <v>45740</v>
      </c>
      <c r="R14">
        <v>6</v>
      </c>
      <c r="S14" s="4">
        <v>18000</v>
      </c>
      <c r="T14" t="s">
        <v>65</v>
      </c>
      <c r="U14" t="s">
        <v>5079</v>
      </c>
      <c r="V14">
        <v>0</v>
      </c>
      <c r="W14" s="4">
        <v>18000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5080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5081</v>
      </c>
      <c r="BA14">
        <v>0</v>
      </c>
      <c r="BC14" t="s">
        <v>364</v>
      </c>
      <c r="BF14" t="s">
        <v>5082</v>
      </c>
    </row>
    <row r="15" spans="1:58" x14ac:dyDescent="0.35">
      <c r="A15" t="s">
        <v>5083</v>
      </c>
      <c r="B15">
        <v>10000</v>
      </c>
      <c r="C15">
        <v>10000</v>
      </c>
      <c r="D15" s="2">
        <v>45741</v>
      </c>
      <c r="E15" t="s">
        <v>95</v>
      </c>
      <c r="F15" t="s">
        <v>782</v>
      </c>
      <c r="G15" t="s">
        <v>5084</v>
      </c>
      <c r="I15">
        <v>1</v>
      </c>
      <c r="J15" t="s">
        <v>63</v>
      </c>
      <c r="K15">
        <v>78</v>
      </c>
      <c r="L15" t="s">
        <v>188</v>
      </c>
      <c r="M15" s="4">
        <v>1667</v>
      </c>
      <c r="P15" s="2">
        <v>45740</v>
      </c>
      <c r="R15">
        <v>3</v>
      </c>
      <c r="S15" s="4">
        <v>5001</v>
      </c>
      <c r="T15" t="s">
        <v>65</v>
      </c>
      <c r="U15" t="s">
        <v>5085</v>
      </c>
      <c r="V15">
        <v>0</v>
      </c>
      <c r="W15" s="4">
        <v>5000</v>
      </c>
      <c r="X15">
        <v>1</v>
      </c>
      <c r="Y15">
        <v>0</v>
      </c>
      <c r="Z15">
        <v>0</v>
      </c>
      <c r="AA15">
        <v>0</v>
      </c>
      <c r="AD15">
        <v>0</v>
      </c>
      <c r="AM15" t="s">
        <v>5086</v>
      </c>
      <c r="AN15" t="s">
        <v>5087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5088</v>
      </c>
      <c r="BA15">
        <v>0</v>
      </c>
      <c r="BC15" t="s">
        <v>5087</v>
      </c>
      <c r="BF15" t="s">
        <v>5089</v>
      </c>
    </row>
    <row r="16" spans="1:58" x14ac:dyDescent="0.35">
      <c r="A16" t="s">
        <v>5090</v>
      </c>
      <c r="B16">
        <v>10000</v>
      </c>
      <c r="C16">
        <v>20000</v>
      </c>
      <c r="D16" s="2">
        <v>45741</v>
      </c>
      <c r="E16" t="s">
        <v>95</v>
      </c>
      <c r="F16" t="s">
        <v>782</v>
      </c>
      <c r="G16" t="s">
        <v>5084</v>
      </c>
      <c r="I16">
        <v>1</v>
      </c>
      <c r="J16" t="s">
        <v>63</v>
      </c>
      <c r="K16">
        <v>78</v>
      </c>
      <c r="L16" t="s">
        <v>188</v>
      </c>
      <c r="M16" s="4">
        <v>1667</v>
      </c>
      <c r="P16" s="2">
        <v>45740</v>
      </c>
      <c r="R16">
        <v>3</v>
      </c>
      <c r="S16" s="4">
        <v>5001</v>
      </c>
      <c r="T16" t="s">
        <v>65</v>
      </c>
      <c r="U16" t="s">
        <v>5085</v>
      </c>
      <c r="V16">
        <v>0</v>
      </c>
      <c r="W16" s="4">
        <v>5000</v>
      </c>
      <c r="X16">
        <v>1</v>
      </c>
      <c r="Y16">
        <v>0</v>
      </c>
      <c r="Z16">
        <v>0</v>
      </c>
      <c r="AA16">
        <v>0</v>
      </c>
      <c r="AD16">
        <v>0</v>
      </c>
      <c r="AM16" t="s">
        <v>5086</v>
      </c>
      <c r="AN16" t="s">
        <v>5087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5091</v>
      </c>
      <c r="BA16">
        <v>0</v>
      </c>
      <c r="BC16" t="s">
        <v>5087</v>
      </c>
      <c r="BF16" t="s">
        <v>5092</v>
      </c>
    </row>
    <row r="17" spans="1:58" x14ac:dyDescent="0.35">
      <c r="A17" t="s">
        <v>5093</v>
      </c>
      <c r="B17">
        <v>10000</v>
      </c>
      <c r="C17">
        <v>20000</v>
      </c>
      <c r="D17" s="2">
        <v>45740</v>
      </c>
      <c r="E17" t="s">
        <v>61</v>
      </c>
      <c r="F17" t="s">
        <v>4019</v>
      </c>
      <c r="G17" t="s">
        <v>5094</v>
      </c>
      <c r="I17">
        <v>1</v>
      </c>
      <c r="J17" t="s">
        <v>63</v>
      </c>
      <c r="K17">
        <v>112</v>
      </c>
      <c r="L17" t="s">
        <v>597</v>
      </c>
      <c r="M17" s="4">
        <v>2273</v>
      </c>
      <c r="P17" s="2">
        <v>45740</v>
      </c>
      <c r="R17">
        <v>11</v>
      </c>
      <c r="S17" s="4">
        <v>25003</v>
      </c>
      <c r="T17" t="s">
        <v>65</v>
      </c>
      <c r="U17" t="s">
        <v>5095</v>
      </c>
      <c r="V17">
        <v>0</v>
      </c>
      <c r="W17" s="4">
        <v>25000</v>
      </c>
      <c r="X17">
        <v>3</v>
      </c>
      <c r="Y17">
        <v>0</v>
      </c>
      <c r="Z17">
        <v>0</v>
      </c>
      <c r="AA17">
        <v>0</v>
      </c>
      <c r="AD17">
        <v>0</v>
      </c>
      <c r="AM17" t="s">
        <v>5096</v>
      </c>
      <c r="AN17" t="s">
        <v>321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5097</v>
      </c>
      <c r="BA17">
        <v>0</v>
      </c>
      <c r="BC17" t="s">
        <v>321</v>
      </c>
      <c r="BF17" t="s">
        <v>4559</v>
      </c>
    </row>
    <row r="18" spans="1:58" x14ac:dyDescent="0.35">
      <c r="A18" t="s">
        <v>4962</v>
      </c>
      <c r="B18">
        <v>10000</v>
      </c>
      <c r="C18">
        <v>20000</v>
      </c>
      <c r="D18" s="2">
        <v>45741</v>
      </c>
      <c r="E18" t="s">
        <v>61</v>
      </c>
      <c r="F18" t="s">
        <v>4963</v>
      </c>
      <c r="G18" t="s">
        <v>4340</v>
      </c>
      <c r="I18">
        <v>2</v>
      </c>
      <c r="J18" t="s">
        <v>63</v>
      </c>
      <c r="K18">
        <v>71</v>
      </c>
      <c r="L18" t="s">
        <v>135</v>
      </c>
      <c r="M18" s="4">
        <v>8889</v>
      </c>
      <c r="P18" s="2">
        <v>45740</v>
      </c>
      <c r="R18">
        <v>9</v>
      </c>
      <c r="S18" s="4">
        <v>80001</v>
      </c>
      <c r="T18" t="s">
        <v>65</v>
      </c>
      <c r="U18">
        <v>83624420001</v>
      </c>
      <c r="V18">
        <v>0</v>
      </c>
      <c r="W18" s="4">
        <v>80000</v>
      </c>
      <c r="X18">
        <v>1</v>
      </c>
      <c r="Y18">
        <v>0</v>
      </c>
      <c r="Z18">
        <v>0</v>
      </c>
      <c r="AA18">
        <v>0</v>
      </c>
      <c r="AD18">
        <v>0</v>
      </c>
      <c r="AM18">
        <v>8362442</v>
      </c>
      <c r="AN18" t="s">
        <v>91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4964</v>
      </c>
      <c r="BA18">
        <v>0</v>
      </c>
      <c r="BC18" t="s">
        <v>91</v>
      </c>
      <c r="BF18" t="s">
        <v>893</v>
      </c>
    </row>
    <row r="19" spans="1:58" x14ac:dyDescent="0.35">
      <c r="A19" t="s">
        <v>4965</v>
      </c>
      <c r="B19">
        <v>10000</v>
      </c>
      <c r="C19">
        <v>20000</v>
      </c>
      <c r="D19" s="2">
        <v>45741</v>
      </c>
      <c r="E19" t="s">
        <v>61</v>
      </c>
      <c r="F19" t="s">
        <v>4966</v>
      </c>
      <c r="G19" t="s">
        <v>4340</v>
      </c>
      <c r="I19">
        <v>2</v>
      </c>
      <c r="J19" t="s">
        <v>63</v>
      </c>
      <c r="K19">
        <v>71</v>
      </c>
      <c r="L19" t="s">
        <v>135</v>
      </c>
      <c r="M19" s="4">
        <v>7778</v>
      </c>
      <c r="P19" s="2">
        <v>45740</v>
      </c>
      <c r="R19">
        <v>8</v>
      </c>
      <c r="S19" s="4">
        <v>62224</v>
      </c>
      <c r="T19" t="s">
        <v>65</v>
      </c>
      <c r="U19">
        <v>83634470001</v>
      </c>
      <c r="V19">
        <v>0</v>
      </c>
      <c r="W19" s="4">
        <v>70000</v>
      </c>
      <c r="X19" s="4">
        <v>-7776</v>
      </c>
      <c r="Y19">
        <v>0</v>
      </c>
      <c r="Z19">
        <v>0</v>
      </c>
      <c r="AA19">
        <v>0</v>
      </c>
      <c r="AD19">
        <v>0</v>
      </c>
      <c r="AM19">
        <v>8363447</v>
      </c>
      <c r="AN19" t="s">
        <v>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4967</v>
      </c>
      <c r="BA19">
        <v>0</v>
      </c>
      <c r="BC19" t="s">
        <v>91</v>
      </c>
      <c r="BF19" t="s">
        <v>893</v>
      </c>
    </row>
    <row r="20" spans="1:58" x14ac:dyDescent="0.35">
      <c r="A20" t="s">
        <v>5098</v>
      </c>
      <c r="B20">
        <v>10000</v>
      </c>
      <c r="C20">
        <v>10000</v>
      </c>
      <c r="D20" s="2">
        <v>45750</v>
      </c>
      <c r="E20" t="s">
        <v>61</v>
      </c>
      <c r="F20" t="s">
        <v>5099</v>
      </c>
      <c r="G20" t="s">
        <v>5100</v>
      </c>
      <c r="I20">
        <v>1</v>
      </c>
      <c r="J20" t="s">
        <v>63</v>
      </c>
      <c r="K20">
        <v>103</v>
      </c>
      <c r="L20" t="s">
        <v>733</v>
      </c>
      <c r="M20" s="4">
        <v>90000</v>
      </c>
      <c r="P20" s="2">
        <v>45740</v>
      </c>
      <c r="R20">
        <v>8</v>
      </c>
      <c r="S20" s="4">
        <v>720000</v>
      </c>
      <c r="T20" t="s">
        <v>65</v>
      </c>
      <c r="U20" t="s">
        <v>319</v>
      </c>
      <c r="V20">
        <v>0</v>
      </c>
      <c r="W20" s="4">
        <v>720000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320</v>
      </c>
      <c r="AN20" t="s">
        <v>321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5101</v>
      </c>
      <c r="BA20">
        <v>0</v>
      </c>
      <c r="BC20" t="s">
        <v>321</v>
      </c>
      <c r="BF20" t="s">
        <v>5102</v>
      </c>
    </row>
    <row r="21" spans="1:58" x14ac:dyDescent="0.35">
      <c r="A21" t="s">
        <v>5098</v>
      </c>
      <c r="B21">
        <v>20000</v>
      </c>
      <c r="C21">
        <v>10000</v>
      </c>
      <c r="D21" s="2">
        <v>45750</v>
      </c>
      <c r="E21" t="s">
        <v>61</v>
      </c>
      <c r="F21" t="s">
        <v>5099</v>
      </c>
      <c r="G21" t="s">
        <v>5100</v>
      </c>
      <c r="I21">
        <v>1</v>
      </c>
      <c r="J21" t="s">
        <v>63</v>
      </c>
      <c r="K21">
        <v>103</v>
      </c>
      <c r="L21" t="s">
        <v>733</v>
      </c>
      <c r="M21" s="4">
        <v>10625</v>
      </c>
      <c r="P21" s="2">
        <v>45740</v>
      </c>
      <c r="R21">
        <v>8</v>
      </c>
      <c r="S21" s="4">
        <v>85000</v>
      </c>
      <c r="T21" t="s">
        <v>65</v>
      </c>
      <c r="U21" t="s">
        <v>319</v>
      </c>
      <c r="V21">
        <v>0</v>
      </c>
      <c r="W21" s="4">
        <v>85000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320</v>
      </c>
      <c r="AN21" t="s">
        <v>321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5101</v>
      </c>
      <c r="BA21">
        <v>0</v>
      </c>
      <c r="BC21" t="s">
        <v>321</v>
      </c>
      <c r="BF21" t="s">
        <v>5102</v>
      </c>
    </row>
    <row r="22" spans="1:58" x14ac:dyDescent="0.35">
      <c r="A22" t="s">
        <v>5098</v>
      </c>
      <c r="B22">
        <v>20000</v>
      </c>
      <c r="C22">
        <v>20000</v>
      </c>
      <c r="D22" s="2">
        <v>45750</v>
      </c>
      <c r="E22" t="s">
        <v>61</v>
      </c>
      <c r="F22" t="s">
        <v>5099</v>
      </c>
      <c r="G22" t="s">
        <v>5100</v>
      </c>
      <c r="I22">
        <v>1</v>
      </c>
      <c r="J22" t="s">
        <v>63</v>
      </c>
      <c r="K22" t="s">
        <v>317</v>
      </c>
      <c r="L22" t="s">
        <v>318</v>
      </c>
      <c r="M22" s="4">
        <v>79375</v>
      </c>
      <c r="P22" s="2">
        <v>45740</v>
      </c>
      <c r="R22">
        <v>8</v>
      </c>
      <c r="S22" s="4">
        <v>635000</v>
      </c>
      <c r="T22" t="s">
        <v>65</v>
      </c>
      <c r="U22" t="s">
        <v>319</v>
      </c>
      <c r="V22">
        <v>0</v>
      </c>
      <c r="W22" s="4">
        <v>635000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320</v>
      </c>
      <c r="AN22" t="s">
        <v>321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5101</v>
      </c>
      <c r="BA22">
        <v>0</v>
      </c>
      <c r="BC22" t="s">
        <v>321</v>
      </c>
      <c r="BF22" t="s">
        <v>5102</v>
      </c>
    </row>
    <row r="23" spans="1:58" x14ac:dyDescent="0.35">
      <c r="A23" t="s">
        <v>4182</v>
      </c>
      <c r="B23">
        <v>10000</v>
      </c>
      <c r="C23">
        <v>30000</v>
      </c>
      <c r="D23" s="2">
        <v>45741</v>
      </c>
      <c r="E23" t="s">
        <v>61</v>
      </c>
      <c r="F23" t="s">
        <v>4183</v>
      </c>
      <c r="G23" t="s">
        <v>4156</v>
      </c>
      <c r="I23">
        <v>3</v>
      </c>
      <c r="J23" t="s">
        <v>63</v>
      </c>
      <c r="K23">
        <v>85</v>
      </c>
      <c r="L23" t="s">
        <v>327</v>
      </c>
      <c r="M23" s="4">
        <v>10000</v>
      </c>
      <c r="P23" s="2">
        <v>45740</v>
      </c>
      <c r="R23">
        <v>11</v>
      </c>
      <c r="S23" s="4">
        <v>110000</v>
      </c>
      <c r="T23" t="s">
        <v>65</v>
      </c>
      <c r="U23" t="s">
        <v>4184</v>
      </c>
      <c r="V23">
        <v>0</v>
      </c>
      <c r="W23" s="4">
        <v>100000</v>
      </c>
      <c r="X23" s="4">
        <v>10000</v>
      </c>
      <c r="Y23">
        <v>0</v>
      </c>
      <c r="Z23">
        <v>0</v>
      </c>
      <c r="AA23">
        <v>0</v>
      </c>
      <c r="AD23">
        <v>0</v>
      </c>
      <c r="AM23" t="s">
        <v>4185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4186</v>
      </c>
      <c r="BA23">
        <v>0</v>
      </c>
      <c r="BC23" t="s">
        <v>107</v>
      </c>
      <c r="BF23" t="s">
        <v>4187</v>
      </c>
    </row>
    <row r="24" spans="1:58" x14ac:dyDescent="0.35">
      <c r="A24" t="s">
        <v>4188</v>
      </c>
      <c r="B24">
        <v>10000</v>
      </c>
      <c r="C24">
        <v>30000</v>
      </c>
      <c r="D24" s="2">
        <v>45741</v>
      </c>
      <c r="E24" t="s">
        <v>61</v>
      </c>
      <c r="F24" t="s">
        <v>1345</v>
      </c>
      <c r="G24" t="s">
        <v>4156</v>
      </c>
      <c r="I24">
        <v>3</v>
      </c>
      <c r="J24" t="s">
        <v>63</v>
      </c>
      <c r="K24">
        <v>85</v>
      </c>
      <c r="L24" t="s">
        <v>327</v>
      </c>
      <c r="M24" s="4">
        <v>10000</v>
      </c>
      <c r="P24" s="2">
        <v>45740</v>
      </c>
      <c r="R24">
        <v>11</v>
      </c>
      <c r="S24" s="4">
        <v>110000</v>
      </c>
      <c r="T24" t="s">
        <v>65</v>
      </c>
      <c r="U24" t="s">
        <v>4189</v>
      </c>
      <c r="V24">
        <v>0</v>
      </c>
      <c r="W24" s="4">
        <v>100000</v>
      </c>
      <c r="X24" s="4">
        <v>10000</v>
      </c>
      <c r="Y24">
        <v>0</v>
      </c>
      <c r="Z24">
        <v>0</v>
      </c>
      <c r="AA24">
        <v>0</v>
      </c>
      <c r="AD24">
        <v>0</v>
      </c>
      <c r="AM24" t="s">
        <v>4190</v>
      </c>
      <c r="AN24" t="s">
        <v>107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4191</v>
      </c>
      <c r="BA24">
        <v>0</v>
      </c>
      <c r="BC24" t="s">
        <v>107</v>
      </c>
      <c r="BF24" t="s">
        <v>4192</v>
      </c>
    </row>
    <row r="25" spans="1:58" x14ac:dyDescent="0.35">
      <c r="A25" t="s">
        <v>4193</v>
      </c>
      <c r="B25">
        <v>10000</v>
      </c>
      <c r="C25">
        <v>30000</v>
      </c>
      <c r="D25" s="2">
        <v>45741</v>
      </c>
      <c r="E25" t="s">
        <v>61</v>
      </c>
      <c r="F25" t="s">
        <v>4194</v>
      </c>
      <c r="G25" t="s">
        <v>4156</v>
      </c>
      <c r="I25">
        <v>3</v>
      </c>
      <c r="J25" t="s">
        <v>63</v>
      </c>
      <c r="K25">
        <v>85</v>
      </c>
      <c r="L25" t="s">
        <v>327</v>
      </c>
      <c r="M25" s="4">
        <v>10000</v>
      </c>
      <c r="P25" s="2">
        <v>45740</v>
      </c>
      <c r="R25">
        <v>11</v>
      </c>
      <c r="S25" s="4">
        <v>110000</v>
      </c>
      <c r="T25" t="s">
        <v>65</v>
      </c>
      <c r="U25" t="s">
        <v>814</v>
      </c>
      <c r="V25">
        <v>0</v>
      </c>
      <c r="W25" s="4">
        <v>100000</v>
      </c>
      <c r="X25" s="4">
        <v>10000</v>
      </c>
      <c r="Y25">
        <v>0</v>
      </c>
      <c r="Z25">
        <v>0</v>
      </c>
      <c r="AA25">
        <v>0</v>
      </c>
      <c r="AD25">
        <v>0</v>
      </c>
      <c r="AM25" t="s">
        <v>815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4195</v>
      </c>
      <c r="BA25">
        <v>0</v>
      </c>
      <c r="BC25" t="s">
        <v>107</v>
      </c>
      <c r="BF25" t="s">
        <v>4196</v>
      </c>
    </row>
    <row r="26" spans="1:58" x14ac:dyDescent="0.35">
      <c r="A26" t="s">
        <v>5103</v>
      </c>
      <c r="B26">
        <v>10000</v>
      </c>
      <c r="C26">
        <v>10000</v>
      </c>
      <c r="D26" s="2">
        <v>45741</v>
      </c>
      <c r="E26" t="s">
        <v>95</v>
      </c>
      <c r="F26" t="s">
        <v>5104</v>
      </c>
      <c r="G26" t="s">
        <v>5105</v>
      </c>
      <c r="I26">
        <v>1</v>
      </c>
      <c r="J26" t="s">
        <v>63</v>
      </c>
      <c r="K26">
        <v>59</v>
      </c>
      <c r="L26" t="s">
        <v>745</v>
      </c>
      <c r="M26">
        <v>373</v>
      </c>
      <c r="P26" s="2">
        <v>45740</v>
      </c>
      <c r="R26">
        <v>4</v>
      </c>
      <c r="S26" s="4">
        <v>1492</v>
      </c>
      <c r="T26" t="s">
        <v>65</v>
      </c>
      <c r="U26">
        <v>112966360001</v>
      </c>
      <c r="V26">
        <v>0</v>
      </c>
      <c r="W26" s="4">
        <v>1490</v>
      </c>
      <c r="X26">
        <v>2</v>
      </c>
      <c r="Y26">
        <v>0</v>
      </c>
      <c r="Z26">
        <v>0</v>
      </c>
      <c r="AA26">
        <v>0</v>
      </c>
      <c r="AD26">
        <v>0</v>
      </c>
      <c r="AM26">
        <v>11296636</v>
      </c>
      <c r="AN26" t="s">
        <v>182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5106</v>
      </c>
      <c r="BA26">
        <v>0</v>
      </c>
      <c r="BC26" t="s">
        <v>182</v>
      </c>
      <c r="BF26" t="s">
        <v>5107</v>
      </c>
    </row>
    <row r="27" spans="1:58" x14ac:dyDescent="0.35">
      <c r="A27" t="s">
        <v>5108</v>
      </c>
      <c r="B27">
        <v>10000</v>
      </c>
      <c r="C27">
        <v>10000</v>
      </c>
      <c r="D27" s="2">
        <v>45741</v>
      </c>
      <c r="E27" t="s">
        <v>95</v>
      </c>
      <c r="F27" t="s">
        <v>5104</v>
      </c>
      <c r="G27" t="s">
        <v>5105</v>
      </c>
      <c r="I27">
        <v>1</v>
      </c>
      <c r="J27" t="s">
        <v>63</v>
      </c>
      <c r="K27">
        <v>59</v>
      </c>
      <c r="L27" t="s">
        <v>745</v>
      </c>
      <c r="M27">
        <v>373</v>
      </c>
      <c r="P27" s="2">
        <v>45740</v>
      </c>
      <c r="R27">
        <v>4</v>
      </c>
      <c r="S27" s="4">
        <v>1492</v>
      </c>
      <c r="T27" t="s">
        <v>65</v>
      </c>
      <c r="U27">
        <v>112966360001</v>
      </c>
      <c r="V27">
        <v>0</v>
      </c>
      <c r="W27" s="4">
        <v>1490</v>
      </c>
      <c r="X27">
        <v>2</v>
      </c>
      <c r="Y27">
        <v>0</v>
      </c>
      <c r="Z27">
        <v>0</v>
      </c>
      <c r="AA27">
        <v>0</v>
      </c>
      <c r="AD27">
        <v>0</v>
      </c>
      <c r="AM27">
        <v>11296636</v>
      </c>
      <c r="AN27" t="s">
        <v>182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5109</v>
      </c>
      <c r="BA27">
        <v>0</v>
      </c>
      <c r="BC27" t="s">
        <v>182</v>
      </c>
      <c r="BF27" t="s">
        <v>5110</v>
      </c>
    </row>
    <row r="28" spans="1:58" x14ac:dyDescent="0.35">
      <c r="A28" t="s">
        <v>5111</v>
      </c>
      <c r="B28">
        <v>10000</v>
      </c>
      <c r="C28">
        <v>20000</v>
      </c>
      <c r="D28" s="2">
        <v>45741</v>
      </c>
      <c r="E28" t="s">
        <v>61</v>
      </c>
      <c r="F28" s="3">
        <v>0.47559027777777779</v>
      </c>
      <c r="G28" t="s">
        <v>5112</v>
      </c>
      <c r="I28">
        <v>1</v>
      </c>
      <c r="J28" t="s">
        <v>63</v>
      </c>
      <c r="K28">
        <v>94</v>
      </c>
      <c r="L28" t="s">
        <v>181</v>
      </c>
      <c r="M28" s="4">
        <v>9000</v>
      </c>
      <c r="P28" s="2">
        <v>45740</v>
      </c>
      <c r="R28">
        <v>4</v>
      </c>
      <c r="S28" s="4">
        <v>36000</v>
      </c>
      <c r="T28" t="s">
        <v>65</v>
      </c>
      <c r="U28" t="s">
        <v>5113</v>
      </c>
      <c r="V28">
        <v>0</v>
      </c>
      <c r="W28" s="4">
        <v>36000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5114</v>
      </c>
      <c r="AN28" t="s">
        <v>364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5115</v>
      </c>
      <c r="BA28">
        <v>0</v>
      </c>
      <c r="BC28" t="s">
        <v>364</v>
      </c>
      <c r="BF28" t="s">
        <v>5116</v>
      </c>
    </row>
    <row r="29" spans="1:58" x14ac:dyDescent="0.35">
      <c r="A29" t="s">
        <v>4779</v>
      </c>
      <c r="B29">
        <v>10000</v>
      </c>
      <c r="C29">
        <v>40000</v>
      </c>
      <c r="D29" s="2">
        <v>45742</v>
      </c>
      <c r="E29" t="s">
        <v>61</v>
      </c>
      <c r="F29" t="s">
        <v>4780</v>
      </c>
      <c r="G29" t="s">
        <v>4781</v>
      </c>
      <c r="I29">
        <v>2</v>
      </c>
      <c r="J29" t="s">
        <v>63</v>
      </c>
      <c r="K29">
        <v>77</v>
      </c>
      <c r="L29" t="s">
        <v>127</v>
      </c>
      <c r="M29" s="4">
        <v>3667</v>
      </c>
      <c r="P29" s="2">
        <v>45740</v>
      </c>
      <c r="R29">
        <v>6</v>
      </c>
      <c r="S29" s="4">
        <v>22002</v>
      </c>
      <c r="T29" t="s">
        <v>65</v>
      </c>
      <c r="U29" t="s">
        <v>334</v>
      </c>
      <c r="V29">
        <v>0</v>
      </c>
      <c r="W29" s="4">
        <v>20000</v>
      </c>
      <c r="X29" s="4">
        <v>2002</v>
      </c>
      <c r="Y29">
        <v>0</v>
      </c>
      <c r="Z29">
        <v>0</v>
      </c>
      <c r="AA29">
        <v>0</v>
      </c>
      <c r="AD29">
        <v>0</v>
      </c>
      <c r="AM29" t="s">
        <v>335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4782</v>
      </c>
      <c r="BA29">
        <v>0</v>
      </c>
      <c r="BC29" t="s">
        <v>107</v>
      </c>
      <c r="BF29" t="s">
        <v>4783</v>
      </c>
    </row>
    <row r="30" spans="1:58" x14ac:dyDescent="0.35">
      <c r="A30" t="s">
        <v>4228</v>
      </c>
      <c r="B30">
        <v>10000</v>
      </c>
      <c r="C30">
        <v>30000</v>
      </c>
      <c r="D30" s="2">
        <v>45741</v>
      </c>
      <c r="E30" t="s">
        <v>61</v>
      </c>
      <c r="F30" t="s">
        <v>4229</v>
      </c>
      <c r="G30" t="s">
        <v>4156</v>
      </c>
      <c r="I30">
        <v>3</v>
      </c>
      <c r="J30" t="s">
        <v>63</v>
      </c>
      <c r="K30">
        <v>85</v>
      </c>
      <c r="L30" t="s">
        <v>327</v>
      </c>
      <c r="M30" s="4">
        <v>10000</v>
      </c>
      <c r="P30" s="2">
        <v>45740</v>
      </c>
      <c r="R30">
        <v>11</v>
      </c>
      <c r="S30" s="4">
        <v>110000</v>
      </c>
      <c r="T30" t="s">
        <v>65</v>
      </c>
      <c r="U30" t="s">
        <v>820</v>
      </c>
      <c r="V30">
        <v>0</v>
      </c>
      <c r="W30" s="4">
        <v>100000</v>
      </c>
      <c r="X30" s="4">
        <v>10000</v>
      </c>
      <c r="Y30">
        <v>0</v>
      </c>
      <c r="Z30">
        <v>0</v>
      </c>
      <c r="AA30">
        <v>0</v>
      </c>
      <c r="AD30">
        <v>0</v>
      </c>
      <c r="AM30" t="s">
        <v>821</v>
      </c>
      <c r="AN30" t="s">
        <v>107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4230</v>
      </c>
      <c r="BA30">
        <v>0</v>
      </c>
      <c r="BC30" t="s">
        <v>107</v>
      </c>
      <c r="BF30" t="s">
        <v>4231</v>
      </c>
    </row>
    <row r="31" spans="1:58" x14ac:dyDescent="0.35">
      <c r="A31" t="s">
        <v>5117</v>
      </c>
      <c r="B31">
        <v>10000</v>
      </c>
      <c r="C31">
        <v>10000</v>
      </c>
      <c r="D31" s="2">
        <v>45742</v>
      </c>
      <c r="E31" t="s">
        <v>61</v>
      </c>
      <c r="F31" t="s">
        <v>5118</v>
      </c>
      <c r="G31" t="s">
        <v>5119</v>
      </c>
      <c r="I31">
        <v>1</v>
      </c>
      <c r="J31" t="s">
        <v>63</v>
      </c>
      <c r="K31">
        <v>90</v>
      </c>
      <c r="L31" t="s">
        <v>405</v>
      </c>
      <c r="M31" s="4">
        <v>27000</v>
      </c>
      <c r="P31" s="2">
        <v>45740</v>
      </c>
      <c r="R31">
        <v>2</v>
      </c>
      <c r="S31" s="4">
        <v>54000</v>
      </c>
      <c r="T31" t="s">
        <v>65</v>
      </c>
      <c r="U31" t="s">
        <v>155</v>
      </c>
      <c r="V31">
        <v>0</v>
      </c>
      <c r="W31" s="4">
        <v>54000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156</v>
      </c>
      <c r="AN31" t="s">
        <v>175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5120</v>
      </c>
      <c r="BA31">
        <v>0</v>
      </c>
      <c r="BC31" t="s">
        <v>175</v>
      </c>
      <c r="BF31" t="s">
        <v>5121</v>
      </c>
    </row>
    <row r="32" spans="1:58" x14ac:dyDescent="0.35">
      <c r="A32" t="s">
        <v>5117</v>
      </c>
      <c r="B32">
        <v>10000</v>
      </c>
      <c r="C32">
        <v>20000</v>
      </c>
      <c r="D32" s="2">
        <v>45742</v>
      </c>
      <c r="E32" t="s">
        <v>61</v>
      </c>
      <c r="F32" t="s">
        <v>5118</v>
      </c>
      <c r="G32" t="s">
        <v>5119</v>
      </c>
      <c r="I32">
        <v>1</v>
      </c>
      <c r="J32" t="s">
        <v>63</v>
      </c>
      <c r="K32" t="s">
        <v>770</v>
      </c>
      <c r="L32" t="s">
        <v>154</v>
      </c>
      <c r="M32" s="4">
        <v>27000</v>
      </c>
      <c r="P32" s="2">
        <v>45740</v>
      </c>
      <c r="R32">
        <v>2</v>
      </c>
      <c r="S32" s="4">
        <v>54000</v>
      </c>
      <c r="T32" t="s">
        <v>65</v>
      </c>
      <c r="U32" t="s">
        <v>155</v>
      </c>
      <c r="V32">
        <v>0</v>
      </c>
      <c r="W32" s="4">
        <v>54000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156</v>
      </c>
      <c r="AN32" t="s">
        <v>175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5120</v>
      </c>
      <c r="BA32">
        <v>0</v>
      </c>
      <c r="BC32" t="s">
        <v>175</v>
      </c>
      <c r="BF32" t="s">
        <v>5121</v>
      </c>
    </row>
    <row r="33" spans="1:58" x14ac:dyDescent="0.35">
      <c r="A33" t="s">
        <v>5122</v>
      </c>
      <c r="B33">
        <v>10000</v>
      </c>
      <c r="C33">
        <v>10000</v>
      </c>
      <c r="D33" s="2">
        <v>45741</v>
      </c>
      <c r="E33" t="s">
        <v>95</v>
      </c>
      <c r="F33" t="s">
        <v>5020</v>
      </c>
      <c r="G33" t="s">
        <v>348</v>
      </c>
      <c r="I33">
        <v>1</v>
      </c>
      <c r="J33" t="s">
        <v>63</v>
      </c>
      <c r="K33">
        <v>46</v>
      </c>
      <c r="L33" t="s">
        <v>113</v>
      </c>
      <c r="M33" s="4">
        <v>3000</v>
      </c>
      <c r="P33" s="2">
        <v>45740</v>
      </c>
      <c r="R33">
        <v>1</v>
      </c>
      <c r="S33" s="4">
        <v>3000</v>
      </c>
      <c r="T33" t="s">
        <v>65</v>
      </c>
      <c r="U33" t="s">
        <v>121</v>
      </c>
      <c r="V33">
        <v>0</v>
      </c>
      <c r="W33" s="4">
        <v>3000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122</v>
      </c>
      <c r="AN33" t="s">
        <v>116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5123</v>
      </c>
      <c r="BA33">
        <v>0</v>
      </c>
      <c r="BC33" t="s">
        <v>116</v>
      </c>
      <c r="BF33" t="s">
        <v>3506</v>
      </c>
    </row>
    <row r="34" spans="1:58" x14ac:dyDescent="0.35">
      <c r="A34" t="s">
        <v>5124</v>
      </c>
      <c r="B34">
        <v>10000</v>
      </c>
      <c r="C34">
        <v>20000</v>
      </c>
      <c r="D34" s="2">
        <v>45741</v>
      </c>
      <c r="E34" t="s">
        <v>61</v>
      </c>
      <c r="F34" t="s">
        <v>5125</v>
      </c>
      <c r="G34" t="s">
        <v>348</v>
      </c>
      <c r="I34">
        <v>1</v>
      </c>
      <c r="J34" t="s">
        <v>63</v>
      </c>
      <c r="K34">
        <v>46</v>
      </c>
      <c r="L34" t="s">
        <v>113</v>
      </c>
      <c r="M34" s="4">
        <v>1000</v>
      </c>
      <c r="P34" s="2">
        <v>45740</v>
      </c>
      <c r="R34">
        <v>1</v>
      </c>
      <c r="S34" s="4">
        <v>1000</v>
      </c>
      <c r="T34" t="s">
        <v>65</v>
      </c>
      <c r="U34" t="s">
        <v>5126</v>
      </c>
      <c r="V34">
        <v>0</v>
      </c>
      <c r="W34" s="4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5127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5128</v>
      </c>
      <c r="BA34">
        <v>0</v>
      </c>
      <c r="BC34" t="s">
        <v>116</v>
      </c>
      <c r="BF34" t="s">
        <v>3509</v>
      </c>
    </row>
    <row r="35" spans="1:58" x14ac:dyDescent="0.35">
      <c r="A35" t="s">
        <v>5129</v>
      </c>
      <c r="B35">
        <v>10000</v>
      </c>
      <c r="C35">
        <v>10000</v>
      </c>
      <c r="D35" s="2">
        <v>45742</v>
      </c>
      <c r="E35" t="s">
        <v>61</v>
      </c>
      <c r="F35" t="s">
        <v>5130</v>
      </c>
      <c r="G35" t="s">
        <v>4827</v>
      </c>
      <c r="I35">
        <v>1</v>
      </c>
      <c r="J35" t="s">
        <v>63</v>
      </c>
      <c r="K35">
        <v>12</v>
      </c>
      <c r="L35" t="s">
        <v>478</v>
      </c>
      <c r="M35" s="4">
        <v>21000</v>
      </c>
      <c r="P35" s="2">
        <v>45740</v>
      </c>
      <c r="R35">
        <v>1</v>
      </c>
      <c r="S35" s="4">
        <v>21000</v>
      </c>
      <c r="T35" t="s">
        <v>65</v>
      </c>
      <c r="U35" t="s">
        <v>2608</v>
      </c>
      <c r="V35">
        <v>0</v>
      </c>
      <c r="W35" s="4">
        <v>21000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2609</v>
      </c>
      <c r="AN35" t="s">
        <v>116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5131</v>
      </c>
      <c r="BA35">
        <v>0</v>
      </c>
      <c r="BC35" t="s">
        <v>116</v>
      </c>
      <c r="BF35" t="s">
        <v>3813</v>
      </c>
    </row>
    <row r="36" spans="1:58" x14ac:dyDescent="0.35">
      <c r="A36" t="s">
        <v>5132</v>
      </c>
      <c r="B36">
        <v>10000</v>
      </c>
      <c r="C36">
        <v>10000</v>
      </c>
      <c r="D36" s="2">
        <v>45741</v>
      </c>
      <c r="E36" t="s">
        <v>61</v>
      </c>
      <c r="F36" s="3">
        <v>0.53589120370370369</v>
      </c>
      <c r="G36" t="s">
        <v>5133</v>
      </c>
      <c r="I36">
        <v>1</v>
      </c>
      <c r="J36" t="s">
        <v>63</v>
      </c>
      <c r="K36">
        <v>22</v>
      </c>
      <c r="L36" t="s">
        <v>466</v>
      </c>
      <c r="M36" s="4">
        <v>15000</v>
      </c>
      <c r="P36" s="2">
        <v>45740</v>
      </c>
      <c r="R36">
        <v>1</v>
      </c>
      <c r="S36" s="4">
        <v>15000</v>
      </c>
      <c r="T36" t="s">
        <v>65</v>
      </c>
      <c r="U36" t="s">
        <v>467</v>
      </c>
      <c r="V36">
        <v>0</v>
      </c>
      <c r="W36" s="4">
        <v>15000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468</v>
      </c>
      <c r="AN36" t="s">
        <v>116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5134</v>
      </c>
      <c r="BA36">
        <v>0</v>
      </c>
      <c r="BC36" t="s">
        <v>116</v>
      </c>
      <c r="BF36" t="s">
        <v>3323</v>
      </c>
    </row>
    <row r="37" spans="1:58" x14ac:dyDescent="0.35">
      <c r="A37" t="s">
        <v>5135</v>
      </c>
      <c r="B37">
        <v>10000</v>
      </c>
      <c r="C37">
        <v>10000</v>
      </c>
      <c r="D37" s="2">
        <v>45741</v>
      </c>
      <c r="E37" t="s">
        <v>61</v>
      </c>
      <c r="F37" s="3">
        <v>0.47651620370370368</v>
      </c>
      <c r="G37" t="s">
        <v>5136</v>
      </c>
      <c r="I37">
        <v>1</v>
      </c>
      <c r="J37" t="s">
        <v>63</v>
      </c>
      <c r="K37">
        <v>61</v>
      </c>
      <c r="L37" t="s">
        <v>197</v>
      </c>
      <c r="M37" s="4">
        <v>3250</v>
      </c>
      <c r="P37" s="2">
        <v>45740</v>
      </c>
      <c r="R37">
        <v>4</v>
      </c>
      <c r="S37" s="4">
        <v>13000</v>
      </c>
      <c r="T37" t="s">
        <v>65</v>
      </c>
      <c r="U37" t="s">
        <v>2223</v>
      </c>
      <c r="V37">
        <v>0</v>
      </c>
      <c r="W37" s="4">
        <v>13000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2224</v>
      </c>
      <c r="AN37" t="s">
        <v>116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5137</v>
      </c>
      <c r="BA37">
        <v>0</v>
      </c>
      <c r="BC37" t="s">
        <v>116</v>
      </c>
      <c r="BF37" t="s">
        <v>3323</v>
      </c>
    </row>
    <row r="38" spans="1:58" x14ac:dyDescent="0.35">
      <c r="A38" t="s">
        <v>5138</v>
      </c>
      <c r="B38">
        <v>10000</v>
      </c>
      <c r="C38">
        <v>10000</v>
      </c>
      <c r="D38" s="2">
        <v>45740</v>
      </c>
      <c r="E38" t="s">
        <v>61</v>
      </c>
      <c r="F38" t="s">
        <v>5139</v>
      </c>
      <c r="G38" t="s">
        <v>5140</v>
      </c>
      <c r="I38">
        <v>1</v>
      </c>
      <c r="J38" t="s">
        <v>63</v>
      </c>
      <c r="K38">
        <v>61</v>
      </c>
      <c r="L38" t="s">
        <v>197</v>
      </c>
      <c r="M38" s="4">
        <v>5000</v>
      </c>
      <c r="P38" s="2">
        <v>45740</v>
      </c>
      <c r="R38">
        <v>4</v>
      </c>
      <c r="S38" s="4">
        <v>20000</v>
      </c>
      <c r="T38" t="s">
        <v>65</v>
      </c>
      <c r="U38" t="s">
        <v>2227</v>
      </c>
      <c r="V38">
        <v>0</v>
      </c>
      <c r="W38" s="4">
        <v>20000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2228</v>
      </c>
      <c r="AN38" t="s">
        <v>116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5141</v>
      </c>
      <c r="BA38">
        <v>0</v>
      </c>
      <c r="BC38" t="s">
        <v>116</v>
      </c>
      <c r="BF38" t="s">
        <v>3532</v>
      </c>
    </row>
    <row r="39" spans="1:58" x14ac:dyDescent="0.35">
      <c r="A39" t="s">
        <v>5142</v>
      </c>
      <c r="B39">
        <v>10000</v>
      </c>
      <c r="C39">
        <v>10000</v>
      </c>
      <c r="D39" s="2">
        <v>45741</v>
      </c>
      <c r="E39" t="s">
        <v>95</v>
      </c>
      <c r="F39" t="s">
        <v>5020</v>
      </c>
      <c r="G39" t="s">
        <v>5143</v>
      </c>
      <c r="I39">
        <v>1</v>
      </c>
      <c r="J39" t="s">
        <v>63</v>
      </c>
      <c r="K39">
        <v>61</v>
      </c>
      <c r="L39" t="s">
        <v>197</v>
      </c>
      <c r="M39" s="4">
        <v>7000</v>
      </c>
      <c r="P39" s="2">
        <v>45740</v>
      </c>
      <c r="R39">
        <v>4</v>
      </c>
      <c r="S39" s="4">
        <v>28000</v>
      </c>
      <c r="T39" t="s">
        <v>65</v>
      </c>
      <c r="U39" t="s">
        <v>2118</v>
      </c>
      <c r="V39">
        <v>0</v>
      </c>
      <c r="W39" s="4">
        <v>28000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2119</v>
      </c>
      <c r="AN39" t="s">
        <v>116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5144</v>
      </c>
      <c r="BA39">
        <v>0</v>
      </c>
      <c r="BC39" t="s">
        <v>116</v>
      </c>
      <c r="BF39" t="s">
        <v>3532</v>
      </c>
    </row>
    <row r="40" spans="1:58" x14ac:dyDescent="0.35">
      <c r="A40" t="s">
        <v>3533</v>
      </c>
      <c r="B40">
        <v>10000</v>
      </c>
      <c r="C40">
        <v>20000</v>
      </c>
      <c r="D40" s="2">
        <v>45748</v>
      </c>
      <c r="E40" t="s">
        <v>61</v>
      </c>
      <c r="F40" t="s">
        <v>3534</v>
      </c>
      <c r="G40">
        <v>10639931114</v>
      </c>
      <c r="I40">
        <v>2</v>
      </c>
      <c r="J40" t="s">
        <v>63</v>
      </c>
      <c r="K40">
        <v>77</v>
      </c>
      <c r="L40" t="s">
        <v>127</v>
      </c>
      <c r="M40" s="4">
        <v>3576</v>
      </c>
      <c r="P40" s="2">
        <v>45740</v>
      </c>
      <c r="R40">
        <v>66</v>
      </c>
      <c r="S40" s="4">
        <v>236016</v>
      </c>
      <c r="T40" t="s">
        <v>65</v>
      </c>
      <c r="U40" t="s">
        <v>611</v>
      </c>
      <c r="V40">
        <v>0</v>
      </c>
      <c r="W40" s="4">
        <v>215000</v>
      </c>
      <c r="X40" s="4">
        <v>21016</v>
      </c>
      <c r="Y40">
        <v>0</v>
      </c>
      <c r="Z40">
        <v>0</v>
      </c>
      <c r="AA40">
        <v>0</v>
      </c>
      <c r="AD40">
        <v>0</v>
      </c>
      <c r="AM40" t="s">
        <v>612</v>
      </c>
      <c r="AN40" t="s">
        <v>107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3535</v>
      </c>
      <c r="BA40">
        <v>0</v>
      </c>
      <c r="BC40" t="s">
        <v>107</v>
      </c>
      <c r="BF40" t="s">
        <v>3536</v>
      </c>
    </row>
    <row r="41" spans="1:58" x14ac:dyDescent="0.35">
      <c r="A41" t="s">
        <v>4317</v>
      </c>
      <c r="B41">
        <v>10000</v>
      </c>
      <c r="C41">
        <v>30000</v>
      </c>
      <c r="D41" s="2">
        <v>45741</v>
      </c>
      <c r="E41" t="s">
        <v>61</v>
      </c>
      <c r="F41" t="s">
        <v>4318</v>
      </c>
      <c r="G41" t="s">
        <v>4156</v>
      </c>
      <c r="I41">
        <v>3</v>
      </c>
      <c r="J41" t="s">
        <v>63</v>
      </c>
      <c r="K41">
        <v>85</v>
      </c>
      <c r="L41" t="s">
        <v>327</v>
      </c>
      <c r="M41" s="4">
        <v>10000</v>
      </c>
      <c r="P41" s="2">
        <v>45740</v>
      </c>
      <c r="R41">
        <v>11</v>
      </c>
      <c r="S41" s="4">
        <v>110000</v>
      </c>
      <c r="T41" t="s">
        <v>65</v>
      </c>
      <c r="U41" t="s">
        <v>574</v>
      </c>
      <c r="V41">
        <v>0</v>
      </c>
      <c r="W41" s="4">
        <v>100000</v>
      </c>
      <c r="X41" s="4">
        <v>10000</v>
      </c>
      <c r="Y41">
        <v>0</v>
      </c>
      <c r="Z41">
        <v>0</v>
      </c>
      <c r="AA41">
        <v>0</v>
      </c>
      <c r="AD41">
        <v>0</v>
      </c>
      <c r="AM41" t="s">
        <v>575</v>
      </c>
      <c r="AN41" t="s">
        <v>107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4319</v>
      </c>
      <c r="BA41">
        <v>0</v>
      </c>
      <c r="BC41" t="s">
        <v>107</v>
      </c>
      <c r="BF41" t="s">
        <v>4320</v>
      </c>
    </row>
    <row r="42" spans="1:58" x14ac:dyDescent="0.35">
      <c r="A42" t="s">
        <v>3558</v>
      </c>
      <c r="B42">
        <v>10000</v>
      </c>
      <c r="C42">
        <v>20000</v>
      </c>
      <c r="D42" s="2">
        <v>45744</v>
      </c>
      <c r="E42" t="s">
        <v>61</v>
      </c>
      <c r="F42" t="s">
        <v>5145</v>
      </c>
      <c r="G42">
        <v>10639931114</v>
      </c>
      <c r="I42">
        <v>2</v>
      </c>
      <c r="J42" t="s">
        <v>63</v>
      </c>
      <c r="K42">
        <v>77</v>
      </c>
      <c r="L42" t="s">
        <v>127</v>
      </c>
      <c r="M42" s="4">
        <v>1364</v>
      </c>
      <c r="P42" s="2">
        <v>45740</v>
      </c>
      <c r="R42">
        <v>66</v>
      </c>
      <c r="S42" s="4">
        <v>90024</v>
      </c>
      <c r="T42" t="s">
        <v>65</v>
      </c>
      <c r="U42" t="s">
        <v>3560</v>
      </c>
      <c r="V42">
        <v>0</v>
      </c>
      <c r="W42" s="4">
        <v>80000</v>
      </c>
      <c r="X42" s="4">
        <v>10024</v>
      </c>
      <c r="Y42">
        <v>0</v>
      </c>
      <c r="Z42">
        <v>0</v>
      </c>
      <c r="AA42">
        <v>0</v>
      </c>
      <c r="AD42">
        <v>0</v>
      </c>
      <c r="AM42" t="s">
        <v>3561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3562</v>
      </c>
      <c r="BA42">
        <v>0</v>
      </c>
      <c r="BC42" t="s">
        <v>107</v>
      </c>
      <c r="BF42" t="s">
        <v>3563</v>
      </c>
    </row>
    <row r="43" spans="1:58" x14ac:dyDescent="0.35">
      <c r="A43" t="s">
        <v>5146</v>
      </c>
      <c r="B43">
        <v>10000</v>
      </c>
      <c r="C43">
        <v>10000</v>
      </c>
      <c r="D43" s="2">
        <v>45741</v>
      </c>
      <c r="E43" t="s">
        <v>61</v>
      </c>
      <c r="F43" s="3">
        <v>0.44246527777777778</v>
      </c>
      <c r="G43" t="s">
        <v>5147</v>
      </c>
      <c r="I43">
        <v>1</v>
      </c>
      <c r="J43" t="s">
        <v>63</v>
      </c>
      <c r="K43">
        <v>61</v>
      </c>
      <c r="L43" t="s">
        <v>216</v>
      </c>
      <c r="M43" s="4">
        <v>2000</v>
      </c>
      <c r="P43" s="2">
        <v>45740</v>
      </c>
      <c r="R43">
        <v>5</v>
      </c>
      <c r="S43" s="4">
        <v>10000</v>
      </c>
      <c r="T43" t="s">
        <v>65</v>
      </c>
      <c r="U43" t="s">
        <v>1422</v>
      </c>
      <c r="V43">
        <v>0</v>
      </c>
      <c r="W43" s="4">
        <v>10000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1423</v>
      </c>
      <c r="AN43" t="s">
        <v>1424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5148</v>
      </c>
      <c r="BA43">
        <v>0</v>
      </c>
      <c r="BC43" t="s">
        <v>1424</v>
      </c>
      <c r="BF43" t="s">
        <v>5149</v>
      </c>
    </row>
    <row r="44" spans="1:58" x14ac:dyDescent="0.35">
      <c r="A44" t="s">
        <v>5150</v>
      </c>
      <c r="B44">
        <v>10000</v>
      </c>
      <c r="C44">
        <v>10000</v>
      </c>
      <c r="D44" s="2">
        <v>45741</v>
      </c>
      <c r="E44" t="s">
        <v>61</v>
      </c>
      <c r="F44" t="s">
        <v>5151</v>
      </c>
      <c r="G44" t="s">
        <v>5105</v>
      </c>
      <c r="I44">
        <v>1</v>
      </c>
      <c r="J44" t="s">
        <v>63</v>
      </c>
      <c r="K44">
        <v>59</v>
      </c>
      <c r="L44" t="s">
        <v>745</v>
      </c>
      <c r="M44" s="4">
        <v>2905</v>
      </c>
      <c r="P44" s="2">
        <v>45740</v>
      </c>
      <c r="R44">
        <v>2</v>
      </c>
      <c r="S44" s="4">
        <v>5810</v>
      </c>
      <c r="T44" t="s">
        <v>65</v>
      </c>
      <c r="U44">
        <v>112887160001</v>
      </c>
      <c r="V44">
        <v>0</v>
      </c>
      <c r="W44" s="4">
        <v>5810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11288716</v>
      </c>
      <c r="AN44" t="s">
        <v>182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5152</v>
      </c>
      <c r="BA44">
        <v>0</v>
      </c>
      <c r="BC44" t="s">
        <v>182</v>
      </c>
      <c r="BF44" t="s">
        <v>5153</v>
      </c>
    </row>
    <row r="45" spans="1:58" x14ac:dyDescent="0.35">
      <c r="A45" t="s">
        <v>5150</v>
      </c>
      <c r="B45">
        <v>20000</v>
      </c>
      <c r="C45">
        <v>10000</v>
      </c>
      <c r="D45" s="2">
        <v>45741</v>
      </c>
      <c r="E45" t="s">
        <v>61</v>
      </c>
      <c r="F45" t="s">
        <v>5151</v>
      </c>
      <c r="G45" t="s">
        <v>5105</v>
      </c>
      <c r="I45">
        <v>1</v>
      </c>
      <c r="J45" t="s">
        <v>63</v>
      </c>
      <c r="K45">
        <v>59</v>
      </c>
      <c r="L45" t="s">
        <v>745</v>
      </c>
      <c r="M45" s="4">
        <v>2905</v>
      </c>
      <c r="P45" s="2">
        <v>45740</v>
      </c>
      <c r="R45">
        <v>2</v>
      </c>
      <c r="S45" s="4">
        <v>5810</v>
      </c>
      <c r="T45" t="s">
        <v>65</v>
      </c>
      <c r="U45">
        <v>112887160001</v>
      </c>
      <c r="V45">
        <v>0</v>
      </c>
      <c r="W45" s="4">
        <v>5810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11288716</v>
      </c>
      <c r="AN45" t="s">
        <v>182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5152</v>
      </c>
      <c r="BA45">
        <v>0</v>
      </c>
      <c r="BC45" t="s">
        <v>182</v>
      </c>
      <c r="BF45" t="s">
        <v>5153</v>
      </c>
    </row>
    <row r="46" spans="1:58" x14ac:dyDescent="0.35">
      <c r="A46" t="s">
        <v>5150</v>
      </c>
      <c r="B46">
        <v>30000</v>
      </c>
      <c r="C46">
        <v>10000</v>
      </c>
      <c r="D46" s="2">
        <v>45741</v>
      </c>
      <c r="E46" t="s">
        <v>61</v>
      </c>
      <c r="F46" t="s">
        <v>5151</v>
      </c>
      <c r="G46" t="s">
        <v>5105</v>
      </c>
      <c r="I46">
        <v>1</v>
      </c>
      <c r="J46" t="s">
        <v>63</v>
      </c>
      <c r="K46">
        <v>59</v>
      </c>
      <c r="L46" t="s">
        <v>745</v>
      </c>
      <c r="M46" s="4">
        <v>2905</v>
      </c>
      <c r="P46" s="2">
        <v>45740</v>
      </c>
      <c r="R46">
        <v>2</v>
      </c>
      <c r="S46" s="4">
        <v>5810</v>
      </c>
      <c r="T46" t="s">
        <v>65</v>
      </c>
      <c r="U46">
        <v>112887160001</v>
      </c>
      <c r="V46">
        <v>0</v>
      </c>
      <c r="W46" s="4">
        <v>5810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11288716</v>
      </c>
      <c r="AN46" t="s">
        <v>182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5152</v>
      </c>
      <c r="BA46">
        <v>0</v>
      </c>
      <c r="BC46" t="s">
        <v>182</v>
      </c>
      <c r="BF46" t="s">
        <v>5153</v>
      </c>
    </row>
    <row r="47" spans="1:58" x14ac:dyDescent="0.35">
      <c r="A47" t="s">
        <v>5154</v>
      </c>
      <c r="B47">
        <v>10000</v>
      </c>
      <c r="C47">
        <v>10000</v>
      </c>
      <c r="D47" s="2">
        <v>45740</v>
      </c>
      <c r="E47" t="s">
        <v>61</v>
      </c>
      <c r="F47" t="s">
        <v>5155</v>
      </c>
      <c r="G47" t="s">
        <v>5105</v>
      </c>
      <c r="I47">
        <v>1</v>
      </c>
      <c r="J47" t="s">
        <v>63</v>
      </c>
      <c r="K47">
        <v>59</v>
      </c>
      <c r="L47" t="s">
        <v>745</v>
      </c>
      <c r="M47" s="4">
        <v>1549</v>
      </c>
      <c r="P47" s="2">
        <v>45740</v>
      </c>
      <c r="R47">
        <v>4</v>
      </c>
      <c r="S47" s="4">
        <v>6196</v>
      </c>
      <c r="T47" t="s">
        <v>65</v>
      </c>
      <c r="U47">
        <v>200877560001</v>
      </c>
      <c r="V47">
        <v>0</v>
      </c>
      <c r="W47" s="4">
        <v>6196</v>
      </c>
      <c r="X47">
        <v>0</v>
      </c>
      <c r="Y47">
        <v>0</v>
      </c>
      <c r="Z47">
        <v>0</v>
      </c>
      <c r="AA47">
        <v>0</v>
      </c>
      <c r="AD47">
        <v>0</v>
      </c>
      <c r="AM47">
        <v>20087756</v>
      </c>
      <c r="AN47" t="s">
        <v>182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5156</v>
      </c>
      <c r="BA47">
        <v>0</v>
      </c>
      <c r="BC47" t="s">
        <v>182</v>
      </c>
      <c r="BF47" t="s">
        <v>5157</v>
      </c>
    </row>
    <row r="48" spans="1:58" x14ac:dyDescent="0.35">
      <c r="A48" t="s">
        <v>5154</v>
      </c>
      <c r="B48">
        <v>20000</v>
      </c>
      <c r="C48">
        <v>10000</v>
      </c>
      <c r="D48" s="2">
        <v>45740</v>
      </c>
      <c r="E48" t="s">
        <v>61</v>
      </c>
      <c r="F48" t="s">
        <v>5155</v>
      </c>
      <c r="G48" t="s">
        <v>5105</v>
      </c>
      <c r="I48">
        <v>1</v>
      </c>
      <c r="J48" t="s">
        <v>63</v>
      </c>
      <c r="K48">
        <v>59</v>
      </c>
      <c r="L48" t="s">
        <v>745</v>
      </c>
      <c r="M48" s="4">
        <v>1549</v>
      </c>
      <c r="P48" s="2">
        <v>45740</v>
      </c>
      <c r="R48">
        <v>4</v>
      </c>
      <c r="S48" s="4">
        <v>6196</v>
      </c>
      <c r="T48" t="s">
        <v>65</v>
      </c>
      <c r="U48">
        <v>200877560001</v>
      </c>
      <c r="V48">
        <v>0</v>
      </c>
      <c r="W48" s="4">
        <v>6196</v>
      </c>
      <c r="X48">
        <v>0</v>
      </c>
      <c r="Y48">
        <v>0</v>
      </c>
      <c r="Z48">
        <v>0</v>
      </c>
      <c r="AA48">
        <v>0</v>
      </c>
      <c r="AD48">
        <v>0</v>
      </c>
      <c r="AM48">
        <v>20087756</v>
      </c>
      <c r="AN48" t="s">
        <v>182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5156</v>
      </c>
      <c r="BA48">
        <v>0</v>
      </c>
      <c r="BC48" t="s">
        <v>182</v>
      </c>
      <c r="BF48" t="s">
        <v>5157</v>
      </c>
    </row>
    <row r="49" spans="1:58" x14ac:dyDescent="0.35">
      <c r="A49" t="s">
        <v>5154</v>
      </c>
      <c r="B49">
        <v>30000</v>
      </c>
      <c r="C49">
        <v>10000</v>
      </c>
      <c r="D49" s="2">
        <v>45740</v>
      </c>
      <c r="E49" t="s">
        <v>61</v>
      </c>
      <c r="F49" t="s">
        <v>5155</v>
      </c>
      <c r="G49" t="s">
        <v>5105</v>
      </c>
      <c r="I49">
        <v>1</v>
      </c>
      <c r="J49" t="s">
        <v>63</v>
      </c>
      <c r="K49">
        <v>59</v>
      </c>
      <c r="L49" t="s">
        <v>745</v>
      </c>
      <c r="M49" s="4">
        <v>1549</v>
      </c>
      <c r="P49" s="2">
        <v>45740</v>
      </c>
      <c r="R49">
        <v>4</v>
      </c>
      <c r="S49" s="4">
        <v>6196</v>
      </c>
      <c r="T49" t="s">
        <v>65</v>
      </c>
      <c r="U49">
        <v>200877560001</v>
      </c>
      <c r="V49">
        <v>0</v>
      </c>
      <c r="W49" s="4">
        <v>6196</v>
      </c>
      <c r="X49">
        <v>0</v>
      </c>
      <c r="Y49">
        <v>0</v>
      </c>
      <c r="Z49">
        <v>0</v>
      </c>
      <c r="AA49">
        <v>0</v>
      </c>
      <c r="AD49">
        <v>0</v>
      </c>
      <c r="AM49">
        <v>20087756</v>
      </c>
      <c r="AN49" t="s">
        <v>182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5156</v>
      </c>
      <c r="BA49">
        <v>0</v>
      </c>
      <c r="BC49" t="s">
        <v>182</v>
      </c>
      <c r="BF49" t="s">
        <v>5157</v>
      </c>
    </row>
    <row r="50" spans="1:58" x14ac:dyDescent="0.35">
      <c r="A50" t="s">
        <v>5158</v>
      </c>
      <c r="B50">
        <v>10000</v>
      </c>
      <c r="C50">
        <v>10000</v>
      </c>
      <c r="D50" s="2">
        <v>45740</v>
      </c>
      <c r="E50" t="s">
        <v>61</v>
      </c>
      <c r="F50" t="s">
        <v>5077</v>
      </c>
      <c r="G50" t="s">
        <v>5078</v>
      </c>
      <c r="I50">
        <v>1</v>
      </c>
      <c r="J50" t="s">
        <v>63</v>
      </c>
      <c r="K50">
        <v>94</v>
      </c>
      <c r="L50" t="s">
        <v>181</v>
      </c>
      <c r="M50">
        <v>167</v>
      </c>
      <c r="P50" s="2">
        <v>45740</v>
      </c>
      <c r="R50">
        <v>6</v>
      </c>
      <c r="S50" s="4">
        <v>1002</v>
      </c>
      <c r="T50" t="s">
        <v>65</v>
      </c>
      <c r="U50" t="s">
        <v>5079</v>
      </c>
      <c r="V50">
        <v>0</v>
      </c>
      <c r="W50" s="4">
        <v>1000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5080</v>
      </c>
      <c r="AN50" t="s">
        <v>3615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5159</v>
      </c>
      <c r="BA50">
        <v>0</v>
      </c>
      <c r="BC50" t="s">
        <v>3615</v>
      </c>
      <c r="BF50" t="s">
        <v>3617</v>
      </c>
    </row>
    <row r="51" spans="1:58" x14ac:dyDescent="0.35">
      <c r="A51" t="s">
        <v>5160</v>
      </c>
      <c r="B51">
        <v>10000</v>
      </c>
      <c r="C51">
        <v>10000</v>
      </c>
      <c r="D51" s="2">
        <v>45741</v>
      </c>
      <c r="E51" t="s">
        <v>95</v>
      </c>
      <c r="F51" t="s">
        <v>5161</v>
      </c>
      <c r="G51" t="s">
        <v>5162</v>
      </c>
      <c r="I51">
        <v>1</v>
      </c>
      <c r="J51" t="s">
        <v>63</v>
      </c>
      <c r="K51">
        <v>60</v>
      </c>
      <c r="L51" t="s">
        <v>277</v>
      </c>
      <c r="M51" s="4">
        <v>1000</v>
      </c>
      <c r="P51" s="2">
        <v>45740</v>
      </c>
      <c r="R51">
        <v>1</v>
      </c>
      <c r="S51" s="4">
        <v>1000</v>
      </c>
      <c r="T51" t="s">
        <v>65</v>
      </c>
      <c r="U51" t="s">
        <v>5163</v>
      </c>
      <c r="V51">
        <v>0</v>
      </c>
      <c r="W51" s="4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5164</v>
      </c>
      <c r="AN51" t="s">
        <v>116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5165</v>
      </c>
      <c r="BA51">
        <v>0</v>
      </c>
      <c r="BC51" t="s">
        <v>116</v>
      </c>
      <c r="BF51" t="s">
        <v>5166</v>
      </c>
    </row>
    <row r="52" spans="1:58" x14ac:dyDescent="0.35">
      <c r="A52" t="s">
        <v>5167</v>
      </c>
      <c r="B52">
        <v>10000</v>
      </c>
      <c r="C52">
        <v>10000</v>
      </c>
      <c r="D52" s="2">
        <v>45740</v>
      </c>
      <c r="E52" t="s">
        <v>61</v>
      </c>
      <c r="F52" s="3">
        <v>0.4840740740740741</v>
      </c>
      <c r="G52" t="s">
        <v>5017</v>
      </c>
      <c r="I52">
        <v>1</v>
      </c>
      <c r="J52" t="s">
        <v>63</v>
      </c>
      <c r="K52">
        <v>22</v>
      </c>
      <c r="L52" t="s">
        <v>466</v>
      </c>
      <c r="M52" s="4">
        <v>3000</v>
      </c>
      <c r="P52" s="2">
        <v>45740</v>
      </c>
      <c r="R52">
        <v>1</v>
      </c>
      <c r="S52" s="4">
        <v>3000</v>
      </c>
      <c r="T52" t="s">
        <v>65</v>
      </c>
      <c r="U52" t="s">
        <v>3768</v>
      </c>
      <c r="V52">
        <v>0</v>
      </c>
      <c r="W52" s="4">
        <v>3000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3769</v>
      </c>
      <c r="AN52" t="s">
        <v>116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5168</v>
      </c>
      <c r="BA52">
        <v>0</v>
      </c>
      <c r="BC52" t="s">
        <v>116</v>
      </c>
      <c r="BF52" t="s">
        <v>4631</v>
      </c>
    </row>
    <row r="53" spans="1:58" x14ac:dyDescent="0.35">
      <c r="A53" t="s">
        <v>5169</v>
      </c>
      <c r="B53">
        <v>10000</v>
      </c>
      <c r="C53">
        <v>10000</v>
      </c>
      <c r="D53" s="2">
        <v>45740</v>
      </c>
      <c r="E53" t="s">
        <v>61</v>
      </c>
      <c r="F53" t="s">
        <v>5170</v>
      </c>
      <c r="G53" t="s">
        <v>5012</v>
      </c>
      <c r="I53">
        <v>1</v>
      </c>
      <c r="J53" t="s">
        <v>63</v>
      </c>
      <c r="K53">
        <v>46</v>
      </c>
      <c r="L53" t="s">
        <v>113</v>
      </c>
      <c r="M53" s="4">
        <v>3000</v>
      </c>
      <c r="P53" s="2">
        <v>45740</v>
      </c>
      <c r="R53">
        <v>1</v>
      </c>
      <c r="S53" s="4">
        <v>3000</v>
      </c>
      <c r="T53" t="s">
        <v>65</v>
      </c>
      <c r="U53" t="s">
        <v>5013</v>
      </c>
      <c r="V53">
        <v>0</v>
      </c>
      <c r="W53" s="4">
        <v>3000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5014</v>
      </c>
      <c r="AN53" t="s">
        <v>116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5171</v>
      </c>
      <c r="BA53">
        <v>0</v>
      </c>
      <c r="BC53" t="s">
        <v>116</v>
      </c>
      <c r="BF53" t="s">
        <v>4631</v>
      </c>
    </row>
    <row r="54" spans="1:58" x14ac:dyDescent="0.35">
      <c r="A54" t="s">
        <v>5172</v>
      </c>
      <c r="B54">
        <v>10000</v>
      </c>
      <c r="C54">
        <v>10000</v>
      </c>
      <c r="D54" s="2">
        <v>45740</v>
      </c>
      <c r="E54" t="s">
        <v>61</v>
      </c>
      <c r="F54" t="s">
        <v>5139</v>
      </c>
      <c r="G54" t="s">
        <v>5140</v>
      </c>
      <c r="I54">
        <v>1</v>
      </c>
      <c r="J54" t="s">
        <v>63</v>
      </c>
      <c r="K54">
        <v>61</v>
      </c>
      <c r="L54" t="s">
        <v>197</v>
      </c>
      <c r="M54" s="4">
        <v>1250</v>
      </c>
      <c r="P54" s="2">
        <v>45740</v>
      </c>
      <c r="R54">
        <v>4</v>
      </c>
      <c r="S54" s="4">
        <v>5000</v>
      </c>
      <c r="T54" t="s">
        <v>65</v>
      </c>
      <c r="U54" t="s">
        <v>2227</v>
      </c>
      <c r="V54">
        <v>0</v>
      </c>
      <c r="W54" s="4">
        <v>5000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2228</v>
      </c>
      <c r="AN54" t="s">
        <v>116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5173</v>
      </c>
      <c r="BA54">
        <v>0</v>
      </c>
      <c r="BC54" t="s">
        <v>116</v>
      </c>
      <c r="BF54" t="s">
        <v>4631</v>
      </c>
    </row>
    <row r="55" spans="1:58" x14ac:dyDescent="0.35">
      <c r="A55" t="s">
        <v>5174</v>
      </c>
      <c r="B55">
        <v>10000</v>
      </c>
      <c r="C55">
        <v>10000</v>
      </c>
      <c r="D55" s="2">
        <v>45741</v>
      </c>
      <c r="E55" t="s">
        <v>95</v>
      </c>
      <c r="F55" t="s">
        <v>4938</v>
      </c>
      <c r="G55" t="s">
        <v>4939</v>
      </c>
      <c r="I55">
        <v>1</v>
      </c>
      <c r="J55" t="s">
        <v>63</v>
      </c>
      <c r="K55">
        <v>32</v>
      </c>
      <c r="L55" t="s">
        <v>553</v>
      </c>
      <c r="M55" s="4">
        <v>5860</v>
      </c>
      <c r="P55" s="2">
        <v>45740</v>
      </c>
      <c r="R55">
        <v>1</v>
      </c>
      <c r="S55" s="4">
        <v>5860</v>
      </c>
      <c r="T55" t="s">
        <v>65</v>
      </c>
      <c r="U55" t="s">
        <v>2059</v>
      </c>
      <c r="V55">
        <v>0</v>
      </c>
      <c r="W55" s="4">
        <v>5360</v>
      </c>
      <c r="X55">
        <v>500</v>
      </c>
      <c r="Y55">
        <v>0</v>
      </c>
      <c r="Z55">
        <v>0</v>
      </c>
      <c r="AA55">
        <v>0</v>
      </c>
      <c r="AD55">
        <v>0</v>
      </c>
      <c r="AM55" t="s">
        <v>2060</v>
      </c>
      <c r="AN55" t="s">
        <v>116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5175</v>
      </c>
      <c r="BA55">
        <v>0</v>
      </c>
      <c r="BC55" t="s">
        <v>116</v>
      </c>
      <c r="BF55" t="s">
        <v>4862</v>
      </c>
    </row>
    <row r="56" spans="1:58" x14ac:dyDescent="0.35">
      <c r="A56" t="s">
        <v>5176</v>
      </c>
      <c r="B56">
        <v>10000</v>
      </c>
      <c r="C56">
        <v>10000</v>
      </c>
      <c r="D56" s="2">
        <v>45741</v>
      </c>
      <c r="E56" t="s">
        <v>95</v>
      </c>
      <c r="F56" t="s">
        <v>4938</v>
      </c>
      <c r="G56" t="s">
        <v>4939</v>
      </c>
      <c r="I56">
        <v>1</v>
      </c>
      <c r="J56" t="s">
        <v>63</v>
      </c>
      <c r="K56">
        <v>32</v>
      </c>
      <c r="L56" t="s">
        <v>553</v>
      </c>
      <c r="M56" s="4">
        <v>5860</v>
      </c>
      <c r="P56" s="2">
        <v>45740</v>
      </c>
      <c r="R56">
        <v>1</v>
      </c>
      <c r="S56" s="4">
        <v>5860</v>
      </c>
      <c r="T56" t="s">
        <v>65</v>
      </c>
      <c r="U56" t="s">
        <v>2059</v>
      </c>
      <c r="V56">
        <v>0</v>
      </c>
      <c r="W56" s="4">
        <v>5360</v>
      </c>
      <c r="X56">
        <v>500</v>
      </c>
      <c r="Y56">
        <v>0</v>
      </c>
      <c r="Z56">
        <v>0</v>
      </c>
      <c r="AA56">
        <v>0</v>
      </c>
      <c r="AD56">
        <v>0</v>
      </c>
      <c r="AM56" t="s">
        <v>2060</v>
      </c>
      <c r="AN56" t="s">
        <v>116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5177</v>
      </c>
      <c r="BA56">
        <v>0</v>
      </c>
      <c r="BC56" t="s">
        <v>116</v>
      </c>
      <c r="BF56" t="s">
        <v>5043</v>
      </c>
    </row>
    <row r="57" spans="1:58" x14ac:dyDescent="0.35">
      <c r="A57" t="s">
        <v>4632</v>
      </c>
      <c r="B57">
        <v>10000</v>
      </c>
      <c r="C57">
        <v>20000</v>
      </c>
      <c r="D57" s="2">
        <v>45740</v>
      </c>
      <c r="E57" t="s">
        <v>61</v>
      </c>
      <c r="F57" t="s">
        <v>4633</v>
      </c>
      <c r="G57" t="s">
        <v>4340</v>
      </c>
      <c r="I57">
        <v>2</v>
      </c>
      <c r="J57" t="s">
        <v>63</v>
      </c>
      <c r="K57">
        <v>71</v>
      </c>
      <c r="L57" t="s">
        <v>135</v>
      </c>
      <c r="M57" s="4">
        <v>1867</v>
      </c>
      <c r="P57" s="2">
        <v>45740</v>
      </c>
      <c r="R57">
        <v>6</v>
      </c>
      <c r="S57" s="4">
        <v>11202</v>
      </c>
      <c r="T57" t="s">
        <v>65</v>
      </c>
      <c r="U57">
        <v>5000532080001</v>
      </c>
      <c r="V57">
        <v>0</v>
      </c>
      <c r="W57" s="4">
        <v>11200</v>
      </c>
      <c r="X57">
        <v>2</v>
      </c>
      <c r="Y57">
        <v>0</v>
      </c>
      <c r="Z57">
        <v>0</v>
      </c>
      <c r="AA57">
        <v>0</v>
      </c>
      <c r="AD57">
        <v>0</v>
      </c>
      <c r="AM57">
        <v>500053208</v>
      </c>
      <c r="AN57" t="s">
        <v>91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4634</v>
      </c>
      <c r="BA57">
        <v>0</v>
      </c>
      <c r="BC57" t="s">
        <v>91</v>
      </c>
      <c r="BF57" t="s">
        <v>4635</v>
      </c>
    </row>
    <row r="58" spans="1:58" x14ac:dyDescent="0.35">
      <c r="A58" t="s">
        <v>5178</v>
      </c>
      <c r="B58">
        <v>10000</v>
      </c>
      <c r="C58">
        <v>10000</v>
      </c>
      <c r="D58" s="2">
        <v>45740</v>
      </c>
      <c r="E58" t="s">
        <v>61</v>
      </c>
      <c r="F58" t="s">
        <v>5179</v>
      </c>
      <c r="G58" t="s">
        <v>3487</v>
      </c>
      <c r="I58">
        <v>1</v>
      </c>
      <c r="J58" t="s">
        <v>63</v>
      </c>
      <c r="K58">
        <v>31</v>
      </c>
      <c r="L58" t="s">
        <v>361</v>
      </c>
      <c r="M58">
        <v>500</v>
      </c>
      <c r="P58" s="2">
        <v>45740</v>
      </c>
      <c r="R58">
        <v>1</v>
      </c>
      <c r="S58">
        <v>500</v>
      </c>
      <c r="T58" t="s">
        <v>65</v>
      </c>
      <c r="U58" t="s">
        <v>1318</v>
      </c>
      <c r="V58">
        <v>0</v>
      </c>
      <c r="W58">
        <v>500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1319</v>
      </c>
      <c r="AN58" t="s">
        <v>1314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5180</v>
      </c>
      <c r="BA58">
        <v>0</v>
      </c>
      <c r="BC58" t="s">
        <v>1314</v>
      </c>
      <c r="BF58" t="s">
        <v>5181</v>
      </c>
    </row>
    <row r="59" spans="1:58" x14ac:dyDescent="0.35">
      <c r="A59" t="s">
        <v>5182</v>
      </c>
      <c r="B59">
        <v>10000</v>
      </c>
      <c r="C59">
        <v>10000</v>
      </c>
      <c r="D59" s="2">
        <v>45741</v>
      </c>
      <c r="E59" t="s">
        <v>95</v>
      </c>
      <c r="F59" t="s">
        <v>5161</v>
      </c>
      <c r="G59" t="s">
        <v>3487</v>
      </c>
      <c r="I59">
        <v>1</v>
      </c>
      <c r="J59" t="s">
        <v>63</v>
      </c>
      <c r="K59">
        <v>31</v>
      </c>
      <c r="L59" t="s">
        <v>361</v>
      </c>
      <c r="M59">
        <v>500</v>
      </c>
      <c r="P59" s="2">
        <v>45740</v>
      </c>
      <c r="R59">
        <v>1</v>
      </c>
      <c r="S59">
        <v>500</v>
      </c>
      <c r="T59" t="s">
        <v>65</v>
      </c>
      <c r="U59" t="s">
        <v>5183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5184</v>
      </c>
      <c r="AN59" t="s">
        <v>1314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5185</v>
      </c>
      <c r="BA59">
        <v>0</v>
      </c>
      <c r="BC59" t="s">
        <v>1314</v>
      </c>
      <c r="BF59" t="s">
        <v>5181</v>
      </c>
    </row>
    <row r="60" spans="1:58" x14ac:dyDescent="0.35">
      <c r="A60" t="s">
        <v>4871</v>
      </c>
      <c r="B60">
        <v>10000</v>
      </c>
      <c r="C60">
        <v>20000</v>
      </c>
      <c r="D60" s="2">
        <v>45742</v>
      </c>
      <c r="E60" t="s">
        <v>61</v>
      </c>
      <c r="F60" t="s">
        <v>1180</v>
      </c>
      <c r="G60" t="s">
        <v>4865</v>
      </c>
      <c r="I60">
        <v>2</v>
      </c>
      <c r="J60" t="s">
        <v>63</v>
      </c>
      <c r="K60">
        <v>92</v>
      </c>
      <c r="L60" t="s">
        <v>424</v>
      </c>
      <c r="M60" s="4">
        <v>1800</v>
      </c>
      <c r="P60" s="2">
        <v>45740</v>
      </c>
      <c r="R60">
        <v>3</v>
      </c>
      <c r="S60" s="4">
        <v>5400</v>
      </c>
      <c r="T60" t="s">
        <v>65</v>
      </c>
      <c r="U60" t="s">
        <v>4872</v>
      </c>
      <c r="V60">
        <v>0</v>
      </c>
      <c r="W60" s="4">
        <v>5000</v>
      </c>
      <c r="X60">
        <v>400</v>
      </c>
      <c r="Y60">
        <v>0</v>
      </c>
      <c r="Z60">
        <v>0</v>
      </c>
      <c r="AA60">
        <v>0</v>
      </c>
      <c r="AD60">
        <v>0</v>
      </c>
      <c r="AM60" t="s">
        <v>4873</v>
      </c>
      <c r="AN60" t="s">
        <v>4868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4874</v>
      </c>
      <c r="BA60">
        <v>0</v>
      </c>
      <c r="BC60" t="s">
        <v>4868</v>
      </c>
      <c r="BF60" t="s">
        <v>4870</v>
      </c>
    </row>
    <row r="61" spans="1:58" x14ac:dyDescent="0.35">
      <c r="A61" t="s">
        <v>4875</v>
      </c>
      <c r="B61">
        <v>10000</v>
      </c>
      <c r="C61">
        <v>20000</v>
      </c>
      <c r="D61" s="2">
        <v>45742</v>
      </c>
      <c r="E61" t="s">
        <v>61</v>
      </c>
      <c r="F61" t="s">
        <v>4876</v>
      </c>
      <c r="G61" t="s">
        <v>4865</v>
      </c>
      <c r="I61">
        <v>2</v>
      </c>
      <c r="J61" t="s">
        <v>63</v>
      </c>
      <c r="K61">
        <v>92</v>
      </c>
      <c r="L61" t="s">
        <v>424</v>
      </c>
      <c r="M61" s="4">
        <v>1800</v>
      </c>
      <c r="P61" s="2">
        <v>45740</v>
      </c>
      <c r="R61">
        <v>3</v>
      </c>
      <c r="S61" s="4">
        <v>5400</v>
      </c>
      <c r="T61" t="s">
        <v>65</v>
      </c>
      <c r="U61" t="s">
        <v>4877</v>
      </c>
      <c r="V61">
        <v>0</v>
      </c>
      <c r="W61" s="4">
        <v>5000</v>
      </c>
      <c r="X61">
        <v>400</v>
      </c>
      <c r="Y61">
        <v>0</v>
      </c>
      <c r="Z61">
        <v>0</v>
      </c>
      <c r="AA61">
        <v>0</v>
      </c>
      <c r="AD61">
        <v>0</v>
      </c>
      <c r="AM61" t="s">
        <v>4878</v>
      </c>
      <c r="AN61" t="s">
        <v>4868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4879</v>
      </c>
      <c r="BA61">
        <v>0</v>
      </c>
      <c r="BC61" t="s">
        <v>4868</v>
      </c>
      <c r="BF61" t="s">
        <v>4870</v>
      </c>
    </row>
    <row r="62" spans="1:58" x14ac:dyDescent="0.35">
      <c r="A62" t="s">
        <v>4880</v>
      </c>
      <c r="B62">
        <v>10000</v>
      </c>
      <c r="C62">
        <v>20000</v>
      </c>
      <c r="D62" s="2">
        <v>45742</v>
      </c>
      <c r="E62" t="s">
        <v>61</v>
      </c>
      <c r="F62" t="s">
        <v>1363</v>
      </c>
      <c r="G62" t="s">
        <v>4865</v>
      </c>
      <c r="I62">
        <v>2</v>
      </c>
      <c r="J62" t="s">
        <v>63</v>
      </c>
      <c r="K62">
        <v>92</v>
      </c>
      <c r="L62" t="s">
        <v>424</v>
      </c>
      <c r="M62" s="4">
        <v>1800</v>
      </c>
      <c r="P62" s="2">
        <v>45740</v>
      </c>
      <c r="R62">
        <v>3</v>
      </c>
      <c r="S62" s="4">
        <v>5400</v>
      </c>
      <c r="T62" t="s">
        <v>65</v>
      </c>
      <c r="U62" t="s">
        <v>4881</v>
      </c>
      <c r="V62">
        <v>0</v>
      </c>
      <c r="W62" s="4">
        <v>5000</v>
      </c>
      <c r="X62">
        <v>400</v>
      </c>
      <c r="Y62">
        <v>0</v>
      </c>
      <c r="Z62">
        <v>0</v>
      </c>
      <c r="AA62">
        <v>0</v>
      </c>
      <c r="AD62">
        <v>0</v>
      </c>
      <c r="AM62" t="s">
        <v>4882</v>
      </c>
      <c r="AN62" t="s">
        <v>4868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4883</v>
      </c>
      <c r="BA62">
        <v>0</v>
      </c>
      <c r="BC62" t="s">
        <v>4868</v>
      </c>
      <c r="BF62" t="s">
        <v>4870</v>
      </c>
    </row>
    <row r="63" spans="1:58" x14ac:dyDescent="0.35">
      <c r="A63" t="s">
        <v>4884</v>
      </c>
      <c r="B63">
        <v>10000</v>
      </c>
      <c r="C63">
        <v>20000</v>
      </c>
      <c r="D63" s="2">
        <v>45742</v>
      </c>
      <c r="E63" t="s">
        <v>61</v>
      </c>
      <c r="F63" t="s">
        <v>1345</v>
      </c>
      <c r="G63" t="s">
        <v>4865</v>
      </c>
      <c r="I63">
        <v>2</v>
      </c>
      <c r="J63" t="s">
        <v>63</v>
      </c>
      <c r="K63">
        <v>92</v>
      </c>
      <c r="L63" t="s">
        <v>424</v>
      </c>
      <c r="M63" s="4">
        <v>1800</v>
      </c>
      <c r="P63" s="2">
        <v>45740</v>
      </c>
      <c r="R63">
        <v>3</v>
      </c>
      <c r="S63" s="4">
        <v>5400</v>
      </c>
      <c r="T63" t="s">
        <v>65</v>
      </c>
      <c r="U63" t="s">
        <v>4885</v>
      </c>
      <c r="V63">
        <v>0</v>
      </c>
      <c r="W63" s="4">
        <v>5000</v>
      </c>
      <c r="X63">
        <v>400</v>
      </c>
      <c r="Y63">
        <v>0</v>
      </c>
      <c r="Z63">
        <v>0</v>
      </c>
      <c r="AA63">
        <v>0</v>
      </c>
      <c r="AD63">
        <v>0</v>
      </c>
      <c r="AM63" t="s">
        <v>4886</v>
      </c>
      <c r="AN63" t="s">
        <v>4868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4887</v>
      </c>
      <c r="BA63">
        <v>0</v>
      </c>
      <c r="BC63" t="s">
        <v>4868</v>
      </c>
      <c r="BF63" t="s">
        <v>4870</v>
      </c>
    </row>
    <row r="64" spans="1:58" x14ac:dyDescent="0.35">
      <c r="A64" t="s">
        <v>5186</v>
      </c>
      <c r="B64">
        <v>10000</v>
      </c>
      <c r="C64">
        <v>10000</v>
      </c>
      <c r="D64" s="2">
        <v>45742</v>
      </c>
      <c r="E64" t="s">
        <v>61</v>
      </c>
      <c r="F64" t="s">
        <v>5187</v>
      </c>
      <c r="G64" t="s">
        <v>4865</v>
      </c>
      <c r="I64">
        <v>1</v>
      </c>
      <c r="J64" t="s">
        <v>63</v>
      </c>
      <c r="K64">
        <v>88</v>
      </c>
      <c r="L64" t="s">
        <v>630</v>
      </c>
      <c r="M64" s="4">
        <v>1800</v>
      </c>
      <c r="P64" s="2">
        <v>45740</v>
      </c>
      <c r="R64">
        <v>3</v>
      </c>
      <c r="S64" s="4">
        <v>5400</v>
      </c>
      <c r="T64" t="s">
        <v>65</v>
      </c>
      <c r="U64" t="s">
        <v>5188</v>
      </c>
      <c r="V64">
        <v>0</v>
      </c>
      <c r="W64" s="4">
        <v>5000</v>
      </c>
      <c r="X64">
        <v>400</v>
      </c>
      <c r="Y64">
        <v>0</v>
      </c>
      <c r="Z64">
        <v>0</v>
      </c>
      <c r="AA64">
        <v>0</v>
      </c>
      <c r="AD64">
        <v>0</v>
      </c>
      <c r="AM64" t="s">
        <v>5189</v>
      </c>
      <c r="AN64" t="s">
        <v>4868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5190</v>
      </c>
      <c r="BA64">
        <v>0</v>
      </c>
      <c r="BC64" t="s">
        <v>4868</v>
      </c>
      <c r="BF64" t="s">
        <v>4870</v>
      </c>
    </row>
    <row r="65" spans="1:58" x14ac:dyDescent="0.35">
      <c r="A65" t="s">
        <v>4437</v>
      </c>
      <c r="B65">
        <v>10000</v>
      </c>
      <c r="C65">
        <v>30000</v>
      </c>
      <c r="D65" s="2">
        <v>45741</v>
      </c>
      <c r="E65" t="s">
        <v>61</v>
      </c>
      <c r="F65" t="s">
        <v>4438</v>
      </c>
      <c r="G65" t="s">
        <v>4156</v>
      </c>
      <c r="I65">
        <v>3</v>
      </c>
      <c r="J65" t="s">
        <v>63</v>
      </c>
      <c r="K65">
        <v>85</v>
      </c>
      <c r="L65" t="s">
        <v>327</v>
      </c>
      <c r="M65" s="4">
        <v>20000</v>
      </c>
      <c r="P65" s="2">
        <v>45740</v>
      </c>
      <c r="R65">
        <v>11</v>
      </c>
      <c r="S65" s="4">
        <v>220000</v>
      </c>
      <c r="T65" t="s">
        <v>65</v>
      </c>
      <c r="U65" t="s">
        <v>4439</v>
      </c>
      <c r="V65">
        <v>0</v>
      </c>
      <c r="W65" s="4">
        <v>200000</v>
      </c>
      <c r="X65" s="4">
        <v>20000</v>
      </c>
      <c r="Y65">
        <v>0</v>
      </c>
      <c r="Z65">
        <v>0</v>
      </c>
      <c r="AA65">
        <v>0</v>
      </c>
      <c r="AD65">
        <v>0</v>
      </c>
      <c r="AM65" t="s">
        <v>4440</v>
      </c>
      <c r="AN65" t="s">
        <v>107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4441</v>
      </c>
      <c r="BA65">
        <v>0</v>
      </c>
      <c r="BC65" t="s">
        <v>107</v>
      </c>
      <c r="BF65" t="s">
        <v>4442</v>
      </c>
    </row>
    <row r="66" spans="1:58" x14ac:dyDescent="0.35">
      <c r="A66" t="s">
        <v>4443</v>
      </c>
      <c r="B66">
        <v>10000</v>
      </c>
      <c r="C66">
        <v>30000</v>
      </c>
      <c r="D66" s="2">
        <v>45741</v>
      </c>
      <c r="E66" t="s">
        <v>61</v>
      </c>
      <c r="F66" t="s">
        <v>4444</v>
      </c>
      <c r="G66" t="s">
        <v>4156</v>
      </c>
      <c r="I66">
        <v>3</v>
      </c>
      <c r="J66" t="s">
        <v>63</v>
      </c>
      <c r="K66">
        <v>85</v>
      </c>
      <c r="L66" t="s">
        <v>327</v>
      </c>
      <c r="M66" s="4">
        <v>10000</v>
      </c>
      <c r="P66" s="2">
        <v>45740</v>
      </c>
      <c r="R66">
        <v>11</v>
      </c>
      <c r="S66" s="4">
        <v>110000</v>
      </c>
      <c r="T66" t="s">
        <v>65</v>
      </c>
      <c r="U66" t="s">
        <v>4445</v>
      </c>
      <c r="V66">
        <v>0</v>
      </c>
      <c r="W66" s="4">
        <v>100000</v>
      </c>
      <c r="X66" s="4">
        <v>10000</v>
      </c>
      <c r="Y66">
        <v>0</v>
      </c>
      <c r="Z66">
        <v>0</v>
      </c>
      <c r="AA66">
        <v>0</v>
      </c>
      <c r="AD66">
        <v>0</v>
      </c>
      <c r="AM66" t="s">
        <v>4446</v>
      </c>
      <c r="AN66" t="s">
        <v>107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4447</v>
      </c>
      <c r="BA66">
        <v>0</v>
      </c>
      <c r="BC66" t="s">
        <v>107</v>
      </c>
      <c r="BF66" t="s">
        <v>4448</v>
      </c>
    </row>
    <row r="67" spans="1:58" x14ac:dyDescent="0.35">
      <c r="A67" t="s">
        <v>4449</v>
      </c>
      <c r="B67">
        <v>10000</v>
      </c>
      <c r="C67">
        <v>30000</v>
      </c>
      <c r="D67" s="2">
        <v>45741</v>
      </c>
      <c r="E67" t="s">
        <v>61</v>
      </c>
      <c r="F67" t="s">
        <v>4450</v>
      </c>
      <c r="G67" t="s">
        <v>4156</v>
      </c>
      <c r="I67">
        <v>3</v>
      </c>
      <c r="J67" t="s">
        <v>63</v>
      </c>
      <c r="K67">
        <v>85</v>
      </c>
      <c r="L67" t="s">
        <v>327</v>
      </c>
      <c r="M67" s="4">
        <v>30000</v>
      </c>
      <c r="P67" s="2">
        <v>45740</v>
      </c>
      <c r="R67">
        <v>11</v>
      </c>
      <c r="S67" s="4">
        <v>330000</v>
      </c>
      <c r="T67" t="s">
        <v>65</v>
      </c>
      <c r="U67" t="s">
        <v>981</v>
      </c>
      <c r="V67">
        <v>0</v>
      </c>
      <c r="W67" s="4">
        <v>300000</v>
      </c>
      <c r="X67" s="4">
        <v>30000</v>
      </c>
      <c r="Y67">
        <v>0</v>
      </c>
      <c r="Z67">
        <v>0</v>
      </c>
      <c r="AA67">
        <v>0</v>
      </c>
      <c r="AD67">
        <v>0</v>
      </c>
      <c r="AM67" t="s">
        <v>982</v>
      </c>
      <c r="AN67" t="s">
        <v>107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4451</v>
      </c>
      <c r="BA67">
        <v>0</v>
      </c>
      <c r="BC67" t="s">
        <v>107</v>
      </c>
      <c r="BF67" t="s">
        <v>4452</v>
      </c>
    </row>
    <row r="68" spans="1:58" x14ac:dyDescent="0.35">
      <c r="A68" t="s">
        <v>5191</v>
      </c>
      <c r="B68">
        <v>10000</v>
      </c>
      <c r="C68">
        <v>10000</v>
      </c>
      <c r="D68" s="2">
        <v>45741</v>
      </c>
      <c r="E68" t="s">
        <v>61</v>
      </c>
      <c r="F68" s="3">
        <v>0.44603009259259258</v>
      </c>
      <c r="G68">
        <v>1006323</v>
      </c>
      <c r="I68">
        <v>1</v>
      </c>
      <c r="J68" t="s">
        <v>63</v>
      </c>
      <c r="K68">
        <v>63</v>
      </c>
      <c r="L68" t="s">
        <v>519</v>
      </c>
      <c r="M68" s="4">
        <v>6667</v>
      </c>
      <c r="P68" s="2">
        <v>45740</v>
      </c>
      <c r="R68">
        <v>30</v>
      </c>
      <c r="S68" s="4">
        <v>200010</v>
      </c>
      <c r="T68" t="s">
        <v>65</v>
      </c>
      <c r="U68" t="s">
        <v>2928</v>
      </c>
      <c r="V68">
        <v>0</v>
      </c>
      <c r="W68" s="4">
        <v>200000</v>
      </c>
      <c r="X68">
        <v>10</v>
      </c>
      <c r="Y68">
        <v>0</v>
      </c>
      <c r="Z68">
        <v>0</v>
      </c>
      <c r="AA68">
        <v>0</v>
      </c>
      <c r="AD68">
        <v>0</v>
      </c>
      <c r="AM68" t="s">
        <v>2929</v>
      </c>
      <c r="AN68" t="s">
        <v>157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5192</v>
      </c>
      <c r="BA68">
        <v>0</v>
      </c>
      <c r="BC68" t="s">
        <v>157</v>
      </c>
      <c r="BF68" t="s">
        <v>5193</v>
      </c>
    </row>
    <row r="69" spans="1:58" x14ac:dyDescent="0.35">
      <c r="A69" t="s">
        <v>5194</v>
      </c>
      <c r="B69">
        <v>10000</v>
      </c>
      <c r="C69">
        <v>10000</v>
      </c>
      <c r="D69" s="2">
        <v>45741</v>
      </c>
      <c r="E69" t="s">
        <v>61</v>
      </c>
      <c r="F69" s="3">
        <v>0.44603009259259258</v>
      </c>
      <c r="G69">
        <v>1006323</v>
      </c>
      <c r="I69">
        <v>1</v>
      </c>
      <c r="J69" t="s">
        <v>63</v>
      </c>
      <c r="K69">
        <v>63</v>
      </c>
      <c r="L69" t="s">
        <v>519</v>
      </c>
      <c r="M69" s="4">
        <v>4000</v>
      </c>
      <c r="P69" s="2">
        <v>45740</v>
      </c>
      <c r="R69">
        <v>30</v>
      </c>
      <c r="S69" s="4">
        <v>120000</v>
      </c>
      <c r="T69" t="s">
        <v>65</v>
      </c>
      <c r="U69" t="s">
        <v>2928</v>
      </c>
      <c r="V69">
        <v>0</v>
      </c>
      <c r="W69" s="4">
        <v>120000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2929</v>
      </c>
      <c r="AN69" t="s">
        <v>157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5195</v>
      </c>
      <c r="BA69">
        <v>0</v>
      </c>
      <c r="BC69" t="s">
        <v>157</v>
      </c>
      <c r="BF69" t="s">
        <v>5196</v>
      </c>
    </row>
    <row r="70" spans="1:58" x14ac:dyDescent="0.35">
      <c r="A70" t="s">
        <v>5197</v>
      </c>
      <c r="B70">
        <v>10000</v>
      </c>
      <c r="C70">
        <v>10000</v>
      </c>
      <c r="D70" s="2">
        <v>45741</v>
      </c>
      <c r="E70" t="s">
        <v>61</v>
      </c>
      <c r="F70" s="3">
        <v>0.4463773148148148</v>
      </c>
      <c r="G70" t="s">
        <v>518</v>
      </c>
      <c r="I70">
        <v>1</v>
      </c>
      <c r="J70" t="s">
        <v>63</v>
      </c>
      <c r="K70">
        <v>63</v>
      </c>
      <c r="L70" t="s">
        <v>519</v>
      </c>
      <c r="M70" s="4">
        <v>2000</v>
      </c>
      <c r="P70" s="2">
        <v>45740</v>
      </c>
      <c r="R70">
        <v>40</v>
      </c>
      <c r="S70" s="4">
        <v>80000</v>
      </c>
      <c r="T70" t="s">
        <v>65</v>
      </c>
      <c r="U70" t="s">
        <v>5198</v>
      </c>
      <c r="V70">
        <v>0</v>
      </c>
      <c r="W70" s="4">
        <v>80000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5199</v>
      </c>
      <c r="AN70" t="s">
        <v>157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5200</v>
      </c>
      <c r="BA70">
        <v>0</v>
      </c>
      <c r="BC70" t="s">
        <v>157</v>
      </c>
      <c r="BF70" t="s">
        <v>5201</v>
      </c>
    </row>
    <row r="71" spans="1:58" x14ac:dyDescent="0.35">
      <c r="A71" t="s">
        <v>5202</v>
      </c>
      <c r="B71">
        <v>10000</v>
      </c>
      <c r="C71">
        <v>10000</v>
      </c>
      <c r="D71" s="2">
        <v>45741</v>
      </c>
      <c r="E71" t="s">
        <v>61</v>
      </c>
      <c r="F71" s="3">
        <v>0.44603009259259258</v>
      </c>
      <c r="G71" t="s">
        <v>518</v>
      </c>
      <c r="I71">
        <v>1</v>
      </c>
      <c r="J71" t="s">
        <v>63</v>
      </c>
      <c r="K71">
        <v>63</v>
      </c>
      <c r="L71" t="s">
        <v>519</v>
      </c>
      <c r="M71" s="4">
        <v>2000</v>
      </c>
      <c r="P71" s="2">
        <v>45740</v>
      </c>
      <c r="R71">
        <v>40</v>
      </c>
      <c r="S71" s="4">
        <v>80000</v>
      </c>
      <c r="T71" t="s">
        <v>65</v>
      </c>
      <c r="U71" t="s">
        <v>5198</v>
      </c>
      <c r="V71">
        <v>0</v>
      </c>
      <c r="W71" s="4">
        <v>80000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5199</v>
      </c>
      <c r="AN71" t="s">
        <v>157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5203</v>
      </c>
      <c r="BA71">
        <v>0</v>
      </c>
      <c r="BC71" t="s">
        <v>157</v>
      </c>
      <c r="BF71" t="s">
        <v>5204</v>
      </c>
    </row>
    <row r="72" spans="1:58" x14ac:dyDescent="0.35">
      <c r="A72" t="s">
        <v>4888</v>
      </c>
      <c r="B72">
        <v>10000</v>
      </c>
      <c r="C72">
        <v>20000</v>
      </c>
      <c r="D72" s="2">
        <v>45741</v>
      </c>
      <c r="E72" t="s">
        <v>61</v>
      </c>
      <c r="F72" t="s">
        <v>4889</v>
      </c>
      <c r="G72" t="s">
        <v>4890</v>
      </c>
      <c r="I72">
        <v>2</v>
      </c>
      <c r="J72" t="s">
        <v>63</v>
      </c>
      <c r="K72">
        <v>63</v>
      </c>
      <c r="L72" t="s">
        <v>519</v>
      </c>
      <c r="M72" s="4">
        <v>1250</v>
      </c>
      <c r="P72" s="2">
        <v>45740</v>
      </c>
      <c r="R72">
        <v>16</v>
      </c>
      <c r="S72" s="4">
        <v>20000</v>
      </c>
      <c r="T72" t="s">
        <v>65</v>
      </c>
      <c r="U72" t="s">
        <v>4891</v>
      </c>
      <c r="V72">
        <v>0</v>
      </c>
      <c r="W72" s="4">
        <v>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4892</v>
      </c>
      <c r="AN72" t="s">
        <v>157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4893</v>
      </c>
      <c r="BA72">
        <v>0</v>
      </c>
      <c r="BC72" t="s">
        <v>157</v>
      </c>
      <c r="BF72" t="s">
        <v>4894</v>
      </c>
    </row>
    <row r="73" spans="1:58" x14ac:dyDescent="0.35">
      <c r="A73" t="s">
        <v>4895</v>
      </c>
      <c r="B73">
        <v>10000</v>
      </c>
      <c r="C73">
        <v>20000</v>
      </c>
      <c r="D73" s="2">
        <v>45740</v>
      </c>
      <c r="E73" t="s">
        <v>61</v>
      </c>
      <c r="F73" t="s">
        <v>4896</v>
      </c>
      <c r="G73" t="s">
        <v>4897</v>
      </c>
      <c r="I73">
        <v>2</v>
      </c>
      <c r="J73" t="s">
        <v>63</v>
      </c>
      <c r="K73">
        <v>63</v>
      </c>
      <c r="L73" t="s">
        <v>519</v>
      </c>
      <c r="M73" s="4">
        <v>2500</v>
      </c>
      <c r="P73" s="2">
        <v>45740</v>
      </c>
      <c r="R73">
        <v>16</v>
      </c>
      <c r="S73" s="4">
        <v>40000</v>
      </c>
      <c r="T73" t="s">
        <v>65</v>
      </c>
      <c r="U73" t="s">
        <v>2865</v>
      </c>
      <c r="V73">
        <v>0</v>
      </c>
      <c r="W73" s="4">
        <v>40000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2866</v>
      </c>
      <c r="AN73" t="s">
        <v>157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4898</v>
      </c>
      <c r="BA73">
        <v>0</v>
      </c>
      <c r="BC73" t="s">
        <v>157</v>
      </c>
      <c r="BF73" t="s">
        <v>4899</v>
      </c>
    </row>
    <row r="74" spans="1:58" x14ac:dyDescent="0.35">
      <c r="A74" t="s">
        <v>4900</v>
      </c>
      <c r="B74">
        <v>10000</v>
      </c>
      <c r="C74">
        <v>20000</v>
      </c>
      <c r="D74" s="2">
        <v>45740</v>
      </c>
      <c r="E74" t="s">
        <v>61</v>
      </c>
      <c r="F74" t="s">
        <v>4901</v>
      </c>
      <c r="G74" t="s">
        <v>2289</v>
      </c>
      <c r="I74">
        <v>2</v>
      </c>
      <c r="J74" t="s">
        <v>63</v>
      </c>
      <c r="K74">
        <v>63</v>
      </c>
      <c r="L74" t="s">
        <v>519</v>
      </c>
      <c r="M74" s="4">
        <v>2500</v>
      </c>
      <c r="P74" s="2">
        <v>45740</v>
      </c>
      <c r="R74">
        <v>16</v>
      </c>
      <c r="S74" s="4">
        <v>40000</v>
      </c>
      <c r="T74" t="s">
        <v>65</v>
      </c>
      <c r="U74" t="s">
        <v>2290</v>
      </c>
      <c r="V74">
        <v>0</v>
      </c>
      <c r="W74" s="4">
        <v>40000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2291</v>
      </c>
      <c r="AN74" t="s">
        <v>157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4902</v>
      </c>
      <c r="BA74">
        <v>0</v>
      </c>
      <c r="BC74" t="s">
        <v>157</v>
      </c>
      <c r="BF74" t="s">
        <v>4903</v>
      </c>
    </row>
    <row r="75" spans="1:58" x14ac:dyDescent="0.35">
      <c r="A75" t="s">
        <v>4904</v>
      </c>
      <c r="B75">
        <v>10000</v>
      </c>
      <c r="C75">
        <v>20000</v>
      </c>
      <c r="D75" s="2">
        <v>45741</v>
      </c>
      <c r="E75" t="s">
        <v>61</v>
      </c>
      <c r="F75" t="s">
        <v>2457</v>
      </c>
      <c r="G75" t="s">
        <v>2289</v>
      </c>
      <c r="I75">
        <v>2</v>
      </c>
      <c r="J75" t="s">
        <v>63</v>
      </c>
      <c r="K75">
        <v>63</v>
      </c>
      <c r="L75" t="s">
        <v>519</v>
      </c>
      <c r="M75" s="4">
        <v>2500</v>
      </c>
      <c r="P75" s="2">
        <v>45740</v>
      </c>
      <c r="R75">
        <v>16</v>
      </c>
      <c r="S75" s="4">
        <v>40000</v>
      </c>
      <c r="T75" t="s">
        <v>65</v>
      </c>
      <c r="U75" t="s">
        <v>2290</v>
      </c>
      <c r="V75">
        <v>0</v>
      </c>
      <c r="W75" s="4">
        <v>40000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2291</v>
      </c>
      <c r="AN75" t="s">
        <v>157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4905</v>
      </c>
      <c r="BA75">
        <v>0</v>
      </c>
      <c r="BC75" t="s">
        <v>157</v>
      </c>
      <c r="BF75" t="s">
        <v>4906</v>
      </c>
    </row>
    <row r="76" spans="1:58" x14ac:dyDescent="0.35">
      <c r="A76" t="s">
        <v>5205</v>
      </c>
      <c r="B76">
        <v>10000</v>
      </c>
      <c r="C76">
        <v>10000</v>
      </c>
      <c r="D76" s="2">
        <v>45742</v>
      </c>
      <c r="E76" t="s">
        <v>61</v>
      </c>
      <c r="F76" t="s">
        <v>5206</v>
      </c>
      <c r="G76" t="s">
        <v>5207</v>
      </c>
      <c r="I76">
        <v>1</v>
      </c>
      <c r="J76" t="s">
        <v>63</v>
      </c>
      <c r="K76">
        <v>72</v>
      </c>
      <c r="L76" t="s">
        <v>163</v>
      </c>
      <c r="M76" s="4">
        <v>5000</v>
      </c>
      <c r="P76" s="2">
        <v>45740</v>
      </c>
      <c r="R76">
        <v>8</v>
      </c>
      <c r="S76" s="4">
        <v>40000</v>
      </c>
      <c r="T76" t="s">
        <v>65</v>
      </c>
      <c r="U76" t="s">
        <v>5208</v>
      </c>
      <c r="V76">
        <v>0</v>
      </c>
      <c r="W76" s="4">
        <v>33000</v>
      </c>
      <c r="X76" s="4">
        <v>7000</v>
      </c>
      <c r="Y76">
        <v>0</v>
      </c>
      <c r="Z76">
        <v>0</v>
      </c>
      <c r="AA76">
        <v>0</v>
      </c>
      <c r="AD76">
        <v>0</v>
      </c>
      <c r="AM76" t="s">
        <v>5209</v>
      </c>
      <c r="AN76" t="s">
        <v>243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5210</v>
      </c>
      <c r="BA76">
        <v>0</v>
      </c>
      <c r="BC76" t="s">
        <v>243</v>
      </c>
      <c r="BF76" t="s">
        <v>5211</v>
      </c>
    </row>
    <row r="77" spans="1:58" x14ac:dyDescent="0.35">
      <c r="A77" t="s">
        <v>5212</v>
      </c>
      <c r="B77">
        <v>10000</v>
      </c>
      <c r="C77">
        <v>10000</v>
      </c>
      <c r="D77" s="2">
        <v>45741</v>
      </c>
      <c r="E77" t="s">
        <v>61</v>
      </c>
      <c r="F77" t="s">
        <v>5213</v>
      </c>
      <c r="G77" t="s">
        <v>3250</v>
      </c>
      <c r="I77">
        <v>1</v>
      </c>
      <c r="J77" t="s">
        <v>63</v>
      </c>
      <c r="K77" t="s">
        <v>1744</v>
      </c>
      <c r="L77" t="s">
        <v>630</v>
      </c>
      <c r="M77" s="4">
        <v>5000</v>
      </c>
      <c r="P77" s="2">
        <v>45740</v>
      </c>
      <c r="R77">
        <v>1</v>
      </c>
      <c r="S77" s="4">
        <v>5000</v>
      </c>
      <c r="T77" t="s">
        <v>65</v>
      </c>
      <c r="U77" t="s">
        <v>5214</v>
      </c>
      <c r="V77">
        <v>0</v>
      </c>
      <c r="W77" s="4">
        <v>5000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5215</v>
      </c>
      <c r="AN77" t="s">
        <v>508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5216</v>
      </c>
      <c r="BA77">
        <v>0</v>
      </c>
      <c r="BC77" t="s">
        <v>508</v>
      </c>
      <c r="BF77" t="s">
        <v>4657</v>
      </c>
    </row>
    <row r="78" spans="1:58" x14ac:dyDescent="0.35">
      <c r="A78" t="s">
        <v>5217</v>
      </c>
      <c r="B78">
        <v>10000</v>
      </c>
      <c r="C78">
        <v>10000</v>
      </c>
      <c r="D78" s="2">
        <v>45740</v>
      </c>
      <c r="E78" t="s">
        <v>61</v>
      </c>
      <c r="F78" t="s">
        <v>4019</v>
      </c>
      <c r="G78" t="s">
        <v>5218</v>
      </c>
      <c r="I78">
        <v>1</v>
      </c>
      <c r="J78" t="s">
        <v>63</v>
      </c>
      <c r="K78">
        <v>112</v>
      </c>
      <c r="L78" t="s">
        <v>597</v>
      </c>
      <c r="M78">
        <v>73</v>
      </c>
      <c r="P78" s="2">
        <v>45740</v>
      </c>
      <c r="R78">
        <v>11</v>
      </c>
      <c r="S78">
        <v>803</v>
      </c>
      <c r="T78" t="s">
        <v>65</v>
      </c>
      <c r="U78" t="s">
        <v>5095</v>
      </c>
      <c r="V78">
        <v>0</v>
      </c>
      <c r="W78">
        <v>800</v>
      </c>
      <c r="X78">
        <v>3</v>
      </c>
      <c r="Y78">
        <v>0</v>
      </c>
      <c r="Z78">
        <v>0</v>
      </c>
      <c r="AA78">
        <v>0</v>
      </c>
      <c r="AD78">
        <v>0</v>
      </c>
      <c r="AM78" t="s">
        <v>5096</v>
      </c>
      <c r="AN78" t="s">
        <v>321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5219</v>
      </c>
      <c r="BA78">
        <v>0</v>
      </c>
      <c r="BC78" t="s">
        <v>321</v>
      </c>
      <c r="BF78" t="s">
        <v>4693</v>
      </c>
    </row>
    <row r="79" spans="1:58" x14ac:dyDescent="0.35">
      <c r="A79" t="s">
        <v>5220</v>
      </c>
      <c r="B79">
        <v>10000</v>
      </c>
      <c r="C79">
        <v>10000</v>
      </c>
      <c r="D79" s="2">
        <v>45741</v>
      </c>
      <c r="E79" t="s">
        <v>61</v>
      </c>
      <c r="F79" t="s">
        <v>2282</v>
      </c>
      <c r="G79" t="s">
        <v>5221</v>
      </c>
      <c r="I79">
        <v>1</v>
      </c>
      <c r="J79" t="s">
        <v>63</v>
      </c>
      <c r="K79">
        <v>112</v>
      </c>
      <c r="L79" t="s">
        <v>597</v>
      </c>
      <c r="M79">
        <v>12</v>
      </c>
      <c r="P79" s="2">
        <v>45740</v>
      </c>
      <c r="R79">
        <v>10</v>
      </c>
      <c r="S79">
        <v>120</v>
      </c>
      <c r="T79" t="s">
        <v>65</v>
      </c>
      <c r="U79" t="s">
        <v>5222</v>
      </c>
      <c r="V79">
        <v>0</v>
      </c>
      <c r="W79">
        <v>120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5223</v>
      </c>
      <c r="AN79" t="s">
        <v>321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5224</v>
      </c>
      <c r="BA79">
        <v>0</v>
      </c>
      <c r="BC79" t="s">
        <v>321</v>
      </c>
      <c r="BF79" t="s">
        <v>4693</v>
      </c>
    </row>
    <row r="80" spans="1:58" x14ac:dyDescent="0.35">
      <c r="A80" t="s">
        <v>4706</v>
      </c>
      <c r="B80">
        <v>10000</v>
      </c>
      <c r="C80">
        <v>20000</v>
      </c>
      <c r="D80" s="2">
        <v>45740</v>
      </c>
      <c r="E80" t="s">
        <v>61</v>
      </c>
      <c r="F80" t="s">
        <v>4707</v>
      </c>
      <c r="G80" t="s">
        <v>240</v>
      </c>
      <c r="I80">
        <v>2</v>
      </c>
      <c r="J80" t="s">
        <v>63</v>
      </c>
      <c r="K80">
        <v>86</v>
      </c>
      <c r="L80" t="s">
        <v>64</v>
      </c>
      <c r="M80" s="4">
        <v>2000</v>
      </c>
      <c r="P80" s="2">
        <v>45740</v>
      </c>
      <c r="R80">
        <v>2</v>
      </c>
      <c r="S80" s="4">
        <v>4000</v>
      </c>
      <c r="T80" t="s">
        <v>65</v>
      </c>
      <c r="U80" t="s">
        <v>241</v>
      </c>
      <c r="V80">
        <v>0</v>
      </c>
      <c r="W80" s="4">
        <v>3000</v>
      </c>
      <c r="X80" s="4">
        <v>1000</v>
      </c>
      <c r="Y80">
        <v>0</v>
      </c>
      <c r="Z80">
        <v>0</v>
      </c>
      <c r="AA80">
        <v>0</v>
      </c>
      <c r="AD80">
        <v>0</v>
      </c>
      <c r="AM80" t="s">
        <v>242</v>
      </c>
      <c r="AN80" t="s">
        <v>243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4708</v>
      </c>
      <c r="BA80">
        <v>0</v>
      </c>
      <c r="BC80" t="s">
        <v>243</v>
      </c>
      <c r="BF80" t="s">
        <v>4709</v>
      </c>
    </row>
    <row r="81" spans="1:58" x14ac:dyDescent="0.35">
      <c r="A81" t="s">
        <v>5225</v>
      </c>
      <c r="B81">
        <v>10000</v>
      </c>
      <c r="C81">
        <v>10000</v>
      </c>
      <c r="D81" s="2">
        <v>45740</v>
      </c>
      <c r="E81" t="s">
        <v>61</v>
      </c>
      <c r="F81" t="s">
        <v>5226</v>
      </c>
      <c r="G81" t="s">
        <v>2289</v>
      </c>
      <c r="I81">
        <v>1</v>
      </c>
      <c r="J81" t="s">
        <v>63</v>
      </c>
      <c r="K81">
        <v>78</v>
      </c>
      <c r="L81" t="s">
        <v>188</v>
      </c>
      <c r="M81" s="4">
        <v>2750</v>
      </c>
      <c r="P81" s="2">
        <v>45740</v>
      </c>
      <c r="R81">
        <v>16</v>
      </c>
      <c r="S81" s="4">
        <v>44000</v>
      </c>
      <c r="T81" t="s">
        <v>65</v>
      </c>
      <c r="U81" t="s">
        <v>1734</v>
      </c>
      <c r="V81">
        <v>0</v>
      </c>
      <c r="W81" s="4">
        <v>40000</v>
      </c>
      <c r="X81" s="4">
        <v>4000</v>
      </c>
      <c r="Y81">
        <v>0</v>
      </c>
      <c r="Z81">
        <v>0</v>
      </c>
      <c r="AA81">
        <v>0</v>
      </c>
      <c r="AD81">
        <v>0</v>
      </c>
      <c r="AM81" t="s">
        <v>1735</v>
      </c>
      <c r="AN81" t="s">
        <v>175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5227</v>
      </c>
      <c r="BA81">
        <v>0</v>
      </c>
      <c r="BC81" t="s">
        <v>175</v>
      </c>
      <c r="BF81" t="s">
        <v>5228</v>
      </c>
    </row>
    <row r="82" spans="1:58" x14ac:dyDescent="0.35">
      <c r="A82" t="s">
        <v>5225</v>
      </c>
      <c r="B82">
        <v>10000</v>
      </c>
      <c r="C82">
        <v>20000</v>
      </c>
      <c r="D82" s="2">
        <v>45740</v>
      </c>
      <c r="E82" t="s">
        <v>61</v>
      </c>
      <c r="F82" t="s">
        <v>5226</v>
      </c>
      <c r="G82" t="s">
        <v>2289</v>
      </c>
      <c r="I82">
        <v>2</v>
      </c>
      <c r="J82" t="s">
        <v>63</v>
      </c>
      <c r="K82">
        <v>63</v>
      </c>
      <c r="L82" t="s">
        <v>519</v>
      </c>
      <c r="M82" s="4">
        <v>2500</v>
      </c>
      <c r="P82" s="2">
        <v>45740</v>
      </c>
      <c r="R82">
        <v>16</v>
      </c>
      <c r="S82" s="4">
        <v>40000</v>
      </c>
      <c r="T82" t="s">
        <v>65</v>
      </c>
      <c r="U82" t="s">
        <v>1734</v>
      </c>
      <c r="V82">
        <v>0</v>
      </c>
      <c r="W82" s="4">
        <v>40000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1735</v>
      </c>
      <c r="AN82" t="s">
        <v>175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5227</v>
      </c>
      <c r="BA82">
        <v>0</v>
      </c>
      <c r="BC82" t="s">
        <v>175</v>
      </c>
      <c r="BF82" t="s">
        <v>5228</v>
      </c>
    </row>
    <row r="83" spans="1:58" x14ac:dyDescent="0.35">
      <c r="A83" t="s">
        <v>5229</v>
      </c>
      <c r="B83">
        <v>10000</v>
      </c>
      <c r="C83">
        <v>10000</v>
      </c>
      <c r="D83" s="2">
        <v>45740</v>
      </c>
      <c r="E83" t="s">
        <v>61</v>
      </c>
      <c r="F83" t="s">
        <v>5230</v>
      </c>
      <c r="G83" t="s">
        <v>2289</v>
      </c>
      <c r="I83">
        <v>1</v>
      </c>
      <c r="J83" t="s">
        <v>63</v>
      </c>
      <c r="K83">
        <v>78</v>
      </c>
      <c r="L83" t="s">
        <v>188</v>
      </c>
      <c r="M83" s="4">
        <v>1500</v>
      </c>
      <c r="P83" s="2">
        <v>45740</v>
      </c>
      <c r="R83">
        <v>16</v>
      </c>
      <c r="S83" s="4">
        <v>24000</v>
      </c>
      <c r="T83" t="s">
        <v>65</v>
      </c>
      <c r="U83" t="s">
        <v>1864</v>
      </c>
      <c r="V83">
        <v>0</v>
      </c>
      <c r="W83" s="4">
        <v>20000</v>
      </c>
      <c r="X83" s="4">
        <v>4000</v>
      </c>
      <c r="Y83">
        <v>0</v>
      </c>
      <c r="Z83">
        <v>0</v>
      </c>
      <c r="AA83">
        <v>0</v>
      </c>
      <c r="AD83">
        <v>0</v>
      </c>
      <c r="AM83" t="s">
        <v>1865</v>
      </c>
      <c r="AN83" t="s">
        <v>175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5231</v>
      </c>
      <c r="BA83">
        <v>0</v>
      </c>
      <c r="BC83" t="s">
        <v>175</v>
      </c>
      <c r="BF83" t="s">
        <v>5232</v>
      </c>
    </row>
    <row r="84" spans="1:58" x14ac:dyDescent="0.35">
      <c r="A84" t="s">
        <v>5229</v>
      </c>
      <c r="B84">
        <v>10000</v>
      </c>
      <c r="C84">
        <v>20000</v>
      </c>
      <c r="D84" s="2">
        <v>45740</v>
      </c>
      <c r="E84" t="s">
        <v>61</v>
      </c>
      <c r="F84" t="s">
        <v>5230</v>
      </c>
      <c r="G84" t="s">
        <v>2289</v>
      </c>
      <c r="I84">
        <v>2</v>
      </c>
      <c r="J84" t="s">
        <v>63</v>
      </c>
      <c r="K84">
        <v>63</v>
      </c>
      <c r="L84" t="s">
        <v>519</v>
      </c>
      <c r="M84" s="4">
        <v>1250</v>
      </c>
      <c r="P84" s="2">
        <v>45740</v>
      </c>
      <c r="R84">
        <v>16</v>
      </c>
      <c r="S84" s="4">
        <v>20000</v>
      </c>
      <c r="T84" t="s">
        <v>65</v>
      </c>
      <c r="U84" t="s">
        <v>1864</v>
      </c>
      <c r="V84">
        <v>0</v>
      </c>
      <c r="W84" s="4">
        <v>20000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1865</v>
      </c>
      <c r="AN84" t="s">
        <v>175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5231</v>
      </c>
      <c r="BA84">
        <v>0</v>
      </c>
      <c r="BC84" t="s">
        <v>175</v>
      </c>
      <c r="BF84" t="s">
        <v>5232</v>
      </c>
    </row>
    <row r="85" spans="1:58" x14ac:dyDescent="0.35">
      <c r="A85" t="s">
        <v>5233</v>
      </c>
      <c r="B85">
        <v>10000</v>
      </c>
      <c r="C85">
        <v>10000</v>
      </c>
      <c r="D85" s="2">
        <v>45742</v>
      </c>
      <c r="E85" t="s">
        <v>61</v>
      </c>
      <c r="F85" s="3">
        <v>0.42387731481481483</v>
      </c>
      <c r="G85">
        <v>59470</v>
      </c>
      <c r="I85">
        <v>1</v>
      </c>
      <c r="J85" t="s">
        <v>63</v>
      </c>
      <c r="K85" t="s">
        <v>97</v>
      </c>
      <c r="L85" t="s">
        <v>98</v>
      </c>
      <c r="M85" s="4">
        <v>30667</v>
      </c>
      <c r="P85" s="2">
        <v>45740</v>
      </c>
      <c r="R85">
        <v>12</v>
      </c>
      <c r="S85" s="4">
        <v>368004</v>
      </c>
      <c r="T85" t="s">
        <v>65</v>
      </c>
      <c r="U85" t="s">
        <v>999</v>
      </c>
      <c r="V85">
        <v>0</v>
      </c>
      <c r="W85" s="4">
        <v>365322</v>
      </c>
      <c r="X85" s="4">
        <v>2682</v>
      </c>
      <c r="Y85">
        <v>0</v>
      </c>
      <c r="Z85">
        <v>0</v>
      </c>
      <c r="AA85">
        <v>0</v>
      </c>
      <c r="AD85">
        <v>0</v>
      </c>
      <c r="AM85" t="s">
        <v>1000</v>
      </c>
      <c r="AN85" t="s">
        <v>321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5234</v>
      </c>
      <c r="BA85">
        <v>0</v>
      </c>
      <c r="BC85" t="s">
        <v>321</v>
      </c>
      <c r="BF85" t="s">
        <v>5235</v>
      </c>
    </row>
    <row r="86" spans="1:58" x14ac:dyDescent="0.35">
      <c r="A86" t="s">
        <v>4916</v>
      </c>
      <c r="B86">
        <v>10000</v>
      </c>
      <c r="C86">
        <v>50000</v>
      </c>
      <c r="D86" s="2">
        <v>45742</v>
      </c>
      <c r="E86" t="s">
        <v>61</v>
      </c>
      <c r="F86" t="s">
        <v>4917</v>
      </c>
      <c r="G86" t="s">
        <v>4918</v>
      </c>
      <c r="I86">
        <v>2</v>
      </c>
      <c r="J86" t="s">
        <v>63</v>
      </c>
      <c r="K86">
        <v>96</v>
      </c>
      <c r="L86" t="s">
        <v>2433</v>
      </c>
      <c r="M86" s="4">
        <v>78750</v>
      </c>
      <c r="P86" s="2">
        <v>45740</v>
      </c>
      <c r="R86">
        <v>6</v>
      </c>
      <c r="S86" s="4">
        <v>472500</v>
      </c>
      <c r="T86" t="s">
        <v>65</v>
      </c>
      <c r="U86" t="s">
        <v>1410</v>
      </c>
      <c r="V86">
        <v>0</v>
      </c>
      <c r="W86" s="4">
        <v>478125</v>
      </c>
      <c r="X86" s="4">
        <v>-5625</v>
      </c>
      <c r="Y86">
        <v>0</v>
      </c>
      <c r="Z86">
        <v>0</v>
      </c>
      <c r="AA86">
        <v>0</v>
      </c>
      <c r="AD86">
        <v>0</v>
      </c>
      <c r="AM86" t="s">
        <v>1411</v>
      </c>
      <c r="AN86" t="s">
        <v>321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4919</v>
      </c>
      <c r="BA86">
        <v>0</v>
      </c>
      <c r="BC86" t="s">
        <v>321</v>
      </c>
      <c r="BF86" t="s">
        <v>4920</v>
      </c>
    </row>
    <row r="87" spans="1:58" x14ac:dyDescent="0.35">
      <c r="A87" t="s">
        <v>5236</v>
      </c>
      <c r="B87">
        <v>10000</v>
      </c>
      <c r="C87">
        <v>10000</v>
      </c>
      <c r="D87" s="2">
        <v>45740</v>
      </c>
      <c r="E87" t="s">
        <v>61</v>
      </c>
      <c r="F87" t="s">
        <v>5179</v>
      </c>
      <c r="G87" t="s">
        <v>3487</v>
      </c>
      <c r="I87">
        <v>1</v>
      </c>
      <c r="J87" t="s">
        <v>63</v>
      </c>
      <c r="K87">
        <v>31</v>
      </c>
      <c r="L87" t="s">
        <v>361</v>
      </c>
      <c r="M87" s="4">
        <v>1000</v>
      </c>
      <c r="P87" s="2">
        <v>45740</v>
      </c>
      <c r="R87">
        <v>1</v>
      </c>
      <c r="S87" s="4">
        <v>1000</v>
      </c>
      <c r="T87" t="s">
        <v>65</v>
      </c>
      <c r="U87" t="s">
        <v>1324</v>
      </c>
      <c r="V87">
        <v>0</v>
      </c>
      <c r="W87" s="4">
        <v>1000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1325</v>
      </c>
      <c r="AN87" t="s">
        <v>1314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5237</v>
      </c>
      <c r="BA87">
        <v>0</v>
      </c>
      <c r="BC87" t="s">
        <v>1314</v>
      </c>
      <c r="BF87" t="s">
        <v>5238</v>
      </c>
    </row>
    <row r="88" spans="1:58" x14ac:dyDescent="0.35">
      <c r="A88" t="s">
        <v>5239</v>
      </c>
      <c r="B88">
        <v>10000</v>
      </c>
      <c r="C88">
        <v>10000</v>
      </c>
      <c r="D88" s="2">
        <v>45741</v>
      </c>
      <c r="E88" t="s">
        <v>61</v>
      </c>
      <c r="F88" t="s">
        <v>5240</v>
      </c>
      <c r="G88" t="s">
        <v>4206</v>
      </c>
      <c r="I88">
        <v>1</v>
      </c>
      <c r="J88" t="s">
        <v>63</v>
      </c>
      <c r="K88">
        <v>65</v>
      </c>
      <c r="L88" t="s">
        <v>268</v>
      </c>
      <c r="M88">
        <v>770</v>
      </c>
      <c r="P88" s="2">
        <v>45740</v>
      </c>
      <c r="R88">
        <v>26</v>
      </c>
      <c r="S88" s="4">
        <v>20014</v>
      </c>
      <c r="T88" t="s">
        <v>65</v>
      </c>
      <c r="U88">
        <v>112023880001</v>
      </c>
      <c r="V88">
        <v>0</v>
      </c>
      <c r="W88" s="4">
        <v>20000</v>
      </c>
      <c r="X88">
        <v>14</v>
      </c>
      <c r="Y88">
        <v>0</v>
      </c>
      <c r="Z88">
        <v>0</v>
      </c>
      <c r="AA88">
        <v>0</v>
      </c>
      <c r="AD88">
        <v>0</v>
      </c>
      <c r="AM88">
        <v>11202388</v>
      </c>
      <c r="AN88" t="s">
        <v>182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5241</v>
      </c>
      <c r="BA88">
        <v>0</v>
      </c>
      <c r="BC88" t="s">
        <v>182</v>
      </c>
      <c r="BF88" t="s">
        <v>5242</v>
      </c>
    </row>
    <row r="89" spans="1:58" x14ac:dyDescent="0.35">
      <c r="A89" t="s">
        <v>5239</v>
      </c>
      <c r="B89">
        <v>20000</v>
      </c>
      <c r="C89">
        <v>10000</v>
      </c>
      <c r="D89" s="2">
        <v>45741</v>
      </c>
      <c r="E89" t="s">
        <v>61</v>
      </c>
      <c r="F89" t="s">
        <v>5240</v>
      </c>
      <c r="G89" t="s">
        <v>4206</v>
      </c>
      <c r="I89">
        <v>1</v>
      </c>
      <c r="J89" t="s">
        <v>63</v>
      </c>
      <c r="K89">
        <v>65</v>
      </c>
      <c r="L89" t="s">
        <v>268</v>
      </c>
      <c r="M89">
        <v>769</v>
      </c>
      <c r="P89" s="2">
        <v>45740</v>
      </c>
      <c r="R89">
        <v>26</v>
      </c>
      <c r="S89" s="4">
        <v>20000</v>
      </c>
      <c r="T89" t="s">
        <v>65</v>
      </c>
      <c r="U89">
        <v>112023880001</v>
      </c>
      <c r="V89">
        <v>0</v>
      </c>
      <c r="W89" s="4">
        <v>20000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11202388</v>
      </c>
      <c r="AN89" t="s">
        <v>182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5241</v>
      </c>
      <c r="BA89">
        <v>0</v>
      </c>
      <c r="BC89" t="s">
        <v>182</v>
      </c>
      <c r="BF89" t="s">
        <v>5242</v>
      </c>
    </row>
    <row r="90" spans="1:58" x14ac:dyDescent="0.35">
      <c r="A90" t="s">
        <v>5243</v>
      </c>
      <c r="B90">
        <v>10000</v>
      </c>
      <c r="C90">
        <v>10000</v>
      </c>
      <c r="D90" s="2">
        <v>45740</v>
      </c>
      <c r="E90" t="s">
        <v>61</v>
      </c>
      <c r="F90" t="s">
        <v>5155</v>
      </c>
      <c r="G90" t="s">
        <v>5105</v>
      </c>
      <c r="I90">
        <v>1</v>
      </c>
      <c r="J90" t="s">
        <v>63</v>
      </c>
      <c r="K90">
        <v>59</v>
      </c>
      <c r="L90" t="s">
        <v>745</v>
      </c>
      <c r="M90" s="4">
        <v>1549</v>
      </c>
      <c r="P90" s="2">
        <v>45740</v>
      </c>
      <c r="R90">
        <v>4</v>
      </c>
      <c r="S90" s="4">
        <v>6196</v>
      </c>
      <c r="T90" t="s">
        <v>65</v>
      </c>
      <c r="U90">
        <v>200877560001</v>
      </c>
      <c r="V90">
        <v>0</v>
      </c>
      <c r="W90" s="4">
        <v>6196</v>
      </c>
      <c r="X90">
        <v>0</v>
      </c>
      <c r="Y90">
        <v>0</v>
      </c>
      <c r="Z90">
        <v>0</v>
      </c>
      <c r="AA90">
        <v>0</v>
      </c>
      <c r="AD90">
        <v>0</v>
      </c>
      <c r="AM90">
        <v>20087756</v>
      </c>
      <c r="AN90" t="s">
        <v>182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5244</v>
      </c>
      <c r="BA90">
        <v>0</v>
      </c>
      <c r="BC90" t="s">
        <v>182</v>
      </c>
      <c r="BF90" t="s">
        <v>5245</v>
      </c>
    </row>
    <row r="91" spans="1:58" x14ac:dyDescent="0.35">
      <c r="A91" t="s">
        <v>5243</v>
      </c>
      <c r="B91">
        <v>20000</v>
      </c>
      <c r="C91">
        <v>10000</v>
      </c>
      <c r="D91" s="2">
        <v>45740</v>
      </c>
      <c r="E91" t="s">
        <v>61</v>
      </c>
      <c r="F91" t="s">
        <v>5155</v>
      </c>
      <c r="G91" t="s">
        <v>5105</v>
      </c>
      <c r="I91">
        <v>1</v>
      </c>
      <c r="J91" t="s">
        <v>63</v>
      </c>
      <c r="K91">
        <v>59</v>
      </c>
      <c r="L91" t="s">
        <v>745</v>
      </c>
      <c r="M91" s="4">
        <v>1549</v>
      </c>
      <c r="P91" s="2">
        <v>45740</v>
      </c>
      <c r="R91">
        <v>4</v>
      </c>
      <c r="S91" s="4">
        <v>6196</v>
      </c>
      <c r="T91" t="s">
        <v>65</v>
      </c>
      <c r="U91">
        <v>200877560001</v>
      </c>
      <c r="V91">
        <v>0</v>
      </c>
      <c r="W91" s="4">
        <v>6196</v>
      </c>
      <c r="X91">
        <v>0</v>
      </c>
      <c r="Y91">
        <v>0</v>
      </c>
      <c r="Z91">
        <v>0</v>
      </c>
      <c r="AA91">
        <v>0</v>
      </c>
      <c r="AD91">
        <v>0</v>
      </c>
      <c r="AM91">
        <v>20087756</v>
      </c>
      <c r="AN91" t="s">
        <v>182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5244</v>
      </c>
      <c r="BA91">
        <v>0</v>
      </c>
      <c r="BC91" t="s">
        <v>182</v>
      </c>
      <c r="BF91" t="s">
        <v>5245</v>
      </c>
    </row>
    <row r="92" spans="1:58" x14ac:dyDescent="0.35">
      <c r="A92" t="s">
        <v>5246</v>
      </c>
      <c r="B92">
        <v>10000</v>
      </c>
      <c r="C92">
        <v>10000</v>
      </c>
      <c r="D92" s="2">
        <v>45741</v>
      </c>
      <c r="E92" t="s">
        <v>61</v>
      </c>
      <c r="F92" t="s">
        <v>5240</v>
      </c>
      <c r="G92" t="s">
        <v>5247</v>
      </c>
      <c r="I92">
        <v>1</v>
      </c>
      <c r="J92" t="s">
        <v>63</v>
      </c>
      <c r="K92">
        <v>65</v>
      </c>
      <c r="L92" t="s">
        <v>268</v>
      </c>
      <c r="M92" s="4">
        <v>6667</v>
      </c>
      <c r="P92" s="2">
        <v>45740</v>
      </c>
      <c r="R92">
        <v>3</v>
      </c>
      <c r="S92" s="4">
        <v>20000</v>
      </c>
      <c r="T92" t="s">
        <v>65</v>
      </c>
      <c r="U92">
        <v>200183090001</v>
      </c>
      <c r="V92">
        <v>0</v>
      </c>
      <c r="W92" s="4">
        <v>20000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20018309</v>
      </c>
      <c r="AN92" t="s">
        <v>182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5248</v>
      </c>
      <c r="BA92">
        <v>0</v>
      </c>
      <c r="BC92" t="s">
        <v>182</v>
      </c>
      <c r="BF92" t="s">
        <v>5249</v>
      </c>
    </row>
    <row r="93" spans="1:58" x14ac:dyDescent="0.35">
      <c r="A93" t="s">
        <v>5246</v>
      </c>
      <c r="B93">
        <v>20000</v>
      </c>
      <c r="C93">
        <v>10000</v>
      </c>
      <c r="D93" s="2">
        <v>45741</v>
      </c>
      <c r="E93" t="s">
        <v>61</v>
      </c>
      <c r="F93" t="s">
        <v>5240</v>
      </c>
      <c r="G93" t="s">
        <v>5247</v>
      </c>
      <c r="I93">
        <v>1</v>
      </c>
      <c r="J93" t="s">
        <v>63</v>
      </c>
      <c r="K93">
        <v>65</v>
      </c>
      <c r="L93" t="s">
        <v>268</v>
      </c>
      <c r="M93" s="4">
        <v>6667</v>
      </c>
      <c r="P93" s="2">
        <v>45740</v>
      </c>
      <c r="R93">
        <v>3</v>
      </c>
      <c r="S93" s="4">
        <v>20000</v>
      </c>
      <c r="T93" t="s">
        <v>65</v>
      </c>
      <c r="U93">
        <v>200183090001</v>
      </c>
      <c r="V93">
        <v>0</v>
      </c>
      <c r="W93" s="4">
        <v>20000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20018309</v>
      </c>
      <c r="AN93" t="s">
        <v>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5248</v>
      </c>
      <c r="BA93">
        <v>0</v>
      </c>
      <c r="BC93" t="s">
        <v>182</v>
      </c>
      <c r="BF93" t="s">
        <v>5249</v>
      </c>
    </row>
    <row r="94" spans="1:58" x14ac:dyDescent="0.35">
      <c r="A94" t="s">
        <v>5246</v>
      </c>
      <c r="B94">
        <v>30000</v>
      </c>
      <c r="C94">
        <v>10000</v>
      </c>
      <c r="D94" s="2">
        <v>45741</v>
      </c>
      <c r="E94" t="s">
        <v>61</v>
      </c>
      <c r="F94" t="s">
        <v>5240</v>
      </c>
      <c r="G94" t="s">
        <v>5247</v>
      </c>
      <c r="I94">
        <v>1</v>
      </c>
      <c r="J94" t="s">
        <v>63</v>
      </c>
      <c r="K94">
        <v>65</v>
      </c>
      <c r="L94" t="s">
        <v>268</v>
      </c>
      <c r="M94" s="4">
        <v>6667</v>
      </c>
      <c r="P94" s="2">
        <v>45740</v>
      </c>
      <c r="R94">
        <v>3</v>
      </c>
      <c r="S94" s="4">
        <v>20000</v>
      </c>
      <c r="T94" t="s">
        <v>65</v>
      </c>
      <c r="U94">
        <v>200183090001</v>
      </c>
      <c r="V94">
        <v>0</v>
      </c>
      <c r="W94" s="4">
        <v>20000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20018309</v>
      </c>
      <c r="AN94" t="s">
        <v>182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5248</v>
      </c>
      <c r="BA94">
        <v>0</v>
      </c>
      <c r="BC94" t="s">
        <v>182</v>
      </c>
      <c r="BF94" t="s">
        <v>5249</v>
      </c>
    </row>
    <row r="95" spans="1:58" x14ac:dyDescent="0.35">
      <c r="A95" t="s">
        <v>5250</v>
      </c>
      <c r="B95">
        <v>10000</v>
      </c>
      <c r="C95">
        <v>10000</v>
      </c>
      <c r="D95" s="2">
        <v>45742</v>
      </c>
      <c r="E95" t="s">
        <v>61</v>
      </c>
      <c r="F95" t="s">
        <v>5251</v>
      </c>
      <c r="G95" t="s">
        <v>5207</v>
      </c>
      <c r="I95">
        <v>1</v>
      </c>
      <c r="J95" t="s">
        <v>63</v>
      </c>
      <c r="K95">
        <v>72</v>
      </c>
      <c r="L95" t="s">
        <v>163</v>
      </c>
      <c r="M95" s="4">
        <v>5000</v>
      </c>
      <c r="P95" s="2">
        <v>45740</v>
      </c>
      <c r="R95">
        <v>8</v>
      </c>
      <c r="S95" s="4">
        <v>40000</v>
      </c>
      <c r="T95" t="s">
        <v>65</v>
      </c>
      <c r="U95" t="s">
        <v>5252</v>
      </c>
      <c r="V95">
        <v>0</v>
      </c>
      <c r="W95" s="4">
        <v>32800</v>
      </c>
      <c r="X95" s="4">
        <v>7200</v>
      </c>
      <c r="Y95">
        <v>0</v>
      </c>
      <c r="Z95">
        <v>0</v>
      </c>
      <c r="AA95">
        <v>0</v>
      </c>
      <c r="AD95">
        <v>0</v>
      </c>
      <c r="AM95" t="s">
        <v>5253</v>
      </c>
      <c r="AN95" t="s">
        <v>243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69</v>
      </c>
      <c r="AZ95" t="s">
        <v>5254</v>
      </c>
      <c r="BA95">
        <v>0</v>
      </c>
      <c r="BC95" t="s">
        <v>243</v>
      </c>
      <c r="BF95" t="s">
        <v>5255</v>
      </c>
    </row>
    <row r="96" spans="1:58" x14ac:dyDescent="0.35">
      <c r="A96" t="s">
        <v>5250</v>
      </c>
      <c r="B96">
        <v>10000</v>
      </c>
      <c r="C96">
        <v>20000</v>
      </c>
      <c r="D96" s="2">
        <v>45742</v>
      </c>
      <c r="E96" t="s">
        <v>61</v>
      </c>
      <c r="F96" t="s">
        <v>5251</v>
      </c>
      <c r="G96" t="s">
        <v>5207</v>
      </c>
      <c r="I96">
        <v>2</v>
      </c>
      <c r="J96" t="s">
        <v>63</v>
      </c>
      <c r="K96">
        <v>86</v>
      </c>
      <c r="L96" t="s">
        <v>64</v>
      </c>
      <c r="M96" s="4">
        <v>4750</v>
      </c>
      <c r="P96" s="2">
        <v>45740</v>
      </c>
      <c r="R96">
        <v>8</v>
      </c>
      <c r="S96" s="4">
        <v>38000</v>
      </c>
      <c r="T96" t="s">
        <v>65</v>
      </c>
      <c r="U96" t="s">
        <v>5252</v>
      </c>
      <c r="V96">
        <v>0</v>
      </c>
      <c r="W96" s="4">
        <v>32800</v>
      </c>
      <c r="X96" s="4">
        <v>5200</v>
      </c>
      <c r="Y96">
        <v>0</v>
      </c>
      <c r="Z96">
        <v>0</v>
      </c>
      <c r="AA96">
        <v>0</v>
      </c>
      <c r="AD96">
        <v>0</v>
      </c>
      <c r="AM96" t="s">
        <v>5253</v>
      </c>
      <c r="AN96" t="s">
        <v>243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69</v>
      </c>
      <c r="AZ96" t="s">
        <v>5254</v>
      </c>
      <c r="BA96">
        <v>0</v>
      </c>
      <c r="BC96" t="s">
        <v>243</v>
      </c>
      <c r="BF96" t="s">
        <v>5255</v>
      </c>
    </row>
    <row r="105" spans="1:2" x14ac:dyDescent="0.35">
      <c r="A105">
        <f>COUNTA(A5:A104)</f>
        <v>92</v>
      </c>
      <c r="B105">
        <f>'22-Mar'!B60+'24-Mar'!A105</f>
        <v>1596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9EFB-9892-4288-A4EC-20BEE73A4227}">
  <dimension ref="A1:BF90"/>
  <sheetViews>
    <sheetView topLeftCell="A76" workbookViewId="0">
      <selection activeCell="A4" sqref="A4:XFD8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5751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4711</v>
      </c>
      <c r="B5">
        <v>10000</v>
      </c>
      <c r="C5">
        <v>20000</v>
      </c>
      <c r="D5" s="2">
        <v>45744</v>
      </c>
      <c r="E5" t="s">
        <v>95</v>
      </c>
      <c r="F5" t="s">
        <v>4712</v>
      </c>
      <c r="G5" t="s">
        <v>4713</v>
      </c>
      <c r="H5" t="s">
        <v>4714</v>
      </c>
      <c r="I5">
        <v>2</v>
      </c>
      <c r="J5" t="s">
        <v>69</v>
      </c>
      <c r="K5">
        <v>77</v>
      </c>
      <c r="L5" t="s">
        <v>127</v>
      </c>
      <c r="M5">
        <v>250</v>
      </c>
      <c r="P5" s="2">
        <v>45743</v>
      </c>
      <c r="R5">
        <v>168</v>
      </c>
      <c r="S5" s="4">
        <v>42000</v>
      </c>
      <c r="T5" t="s">
        <v>65</v>
      </c>
      <c r="U5" t="s">
        <v>4715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4716</v>
      </c>
      <c r="AN5" t="s">
        <v>1253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1253</v>
      </c>
      <c r="BF5" t="s">
        <v>4717</v>
      </c>
    </row>
    <row r="6" spans="1:58" x14ac:dyDescent="0.35">
      <c r="A6" t="s">
        <v>4718</v>
      </c>
      <c r="B6">
        <v>10000</v>
      </c>
      <c r="C6">
        <v>20000</v>
      </c>
      <c r="D6" s="2">
        <v>45744</v>
      </c>
      <c r="E6" t="s">
        <v>61</v>
      </c>
      <c r="F6" t="s">
        <v>4719</v>
      </c>
      <c r="G6" t="s">
        <v>4713</v>
      </c>
      <c r="H6" t="s">
        <v>4720</v>
      </c>
      <c r="I6">
        <v>2</v>
      </c>
      <c r="J6" t="s">
        <v>69</v>
      </c>
      <c r="K6">
        <v>77</v>
      </c>
      <c r="L6" t="s">
        <v>127</v>
      </c>
      <c r="M6">
        <v>140</v>
      </c>
      <c r="P6" s="2">
        <v>45743</v>
      </c>
      <c r="R6">
        <v>25</v>
      </c>
      <c r="S6" s="4">
        <v>3500</v>
      </c>
      <c r="T6" t="s">
        <v>65</v>
      </c>
      <c r="U6" t="s">
        <v>4721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4722</v>
      </c>
      <c r="AN6" t="s">
        <v>68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68</v>
      </c>
      <c r="BF6" t="s">
        <v>4723</v>
      </c>
    </row>
    <row r="7" spans="1:58" x14ac:dyDescent="0.35">
      <c r="A7" t="s">
        <v>4724</v>
      </c>
      <c r="B7">
        <v>10000</v>
      </c>
      <c r="C7">
        <v>20000</v>
      </c>
      <c r="D7" s="2">
        <v>45744</v>
      </c>
      <c r="E7" t="s">
        <v>95</v>
      </c>
      <c r="F7" t="s">
        <v>4712</v>
      </c>
      <c r="G7" t="s">
        <v>4713</v>
      </c>
      <c r="H7" t="s">
        <v>4714</v>
      </c>
      <c r="I7">
        <v>2</v>
      </c>
      <c r="J7" t="s">
        <v>69</v>
      </c>
      <c r="K7">
        <v>77</v>
      </c>
      <c r="L7" t="s">
        <v>127</v>
      </c>
      <c r="M7" s="4">
        <v>3167</v>
      </c>
      <c r="P7" s="2">
        <v>45743</v>
      </c>
      <c r="R7">
        <v>168</v>
      </c>
      <c r="S7" s="4">
        <v>532056</v>
      </c>
      <c r="T7" t="s">
        <v>65</v>
      </c>
      <c r="U7" t="s">
        <v>933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934</v>
      </c>
      <c r="AN7" t="s">
        <v>68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68</v>
      </c>
      <c r="BF7" t="s">
        <v>4725</v>
      </c>
    </row>
    <row r="8" spans="1:58" x14ac:dyDescent="0.35">
      <c r="A8" t="s">
        <v>4726</v>
      </c>
      <c r="B8">
        <v>10000</v>
      </c>
      <c r="C8">
        <v>20000</v>
      </c>
      <c r="D8" s="2">
        <v>45744</v>
      </c>
      <c r="E8" t="s">
        <v>61</v>
      </c>
      <c r="F8" t="s">
        <v>4727</v>
      </c>
      <c r="G8" t="s">
        <v>4713</v>
      </c>
      <c r="H8" t="s">
        <v>4720</v>
      </c>
      <c r="I8">
        <v>2</v>
      </c>
      <c r="J8" t="s">
        <v>69</v>
      </c>
      <c r="K8">
        <v>77</v>
      </c>
      <c r="L8" t="s">
        <v>127</v>
      </c>
      <c r="M8">
        <v>500</v>
      </c>
      <c r="P8" s="2">
        <v>45743</v>
      </c>
      <c r="R8">
        <v>25</v>
      </c>
      <c r="S8" s="4">
        <v>12500</v>
      </c>
      <c r="T8" t="s">
        <v>65</v>
      </c>
      <c r="U8" t="s">
        <v>4728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4729</v>
      </c>
      <c r="AN8" t="s">
        <v>68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68</v>
      </c>
      <c r="BF8" t="s">
        <v>4730</v>
      </c>
    </row>
    <row r="9" spans="1:58" x14ac:dyDescent="0.35">
      <c r="A9" t="s">
        <v>5752</v>
      </c>
      <c r="B9">
        <v>10000</v>
      </c>
      <c r="C9">
        <v>30000</v>
      </c>
      <c r="D9" s="2">
        <v>45744</v>
      </c>
      <c r="E9" t="s">
        <v>61</v>
      </c>
      <c r="F9" t="s">
        <v>5753</v>
      </c>
      <c r="G9" t="s">
        <v>2069</v>
      </c>
      <c r="H9" t="s">
        <v>5754</v>
      </c>
      <c r="I9">
        <v>1</v>
      </c>
      <c r="J9" t="s">
        <v>69</v>
      </c>
      <c r="K9">
        <v>94</v>
      </c>
      <c r="L9" t="s">
        <v>181</v>
      </c>
      <c r="M9" s="4">
        <v>8000</v>
      </c>
      <c r="P9" s="2">
        <v>45743</v>
      </c>
      <c r="R9">
        <v>6</v>
      </c>
      <c r="S9" s="4">
        <v>48000</v>
      </c>
      <c r="T9" t="s">
        <v>65</v>
      </c>
      <c r="U9" t="s">
        <v>1405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1406</v>
      </c>
      <c r="AN9" t="s">
        <v>364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364</v>
      </c>
      <c r="BF9" t="s">
        <v>5755</v>
      </c>
    </row>
    <row r="10" spans="1:58" x14ac:dyDescent="0.35">
      <c r="A10" t="s">
        <v>5756</v>
      </c>
      <c r="B10">
        <v>10000</v>
      </c>
      <c r="C10">
        <v>10000</v>
      </c>
      <c r="D10" s="2">
        <v>45744</v>
      </c>
      <c r="E10" t="s">
        <v>95</v>
      </c>
      <c r="F10" t="s">
        <v>5757</v>
      </c>
      <c r="G10" t="s">
        <v>5363</v>
      </c>
      <c r="H10" t="s">
        <v>5758</v>
      </c>
      <c r="I10">
        <v>1</v>
      </c>
      <c r="J10" t="s">
        <v>69</v>
      </c>
      <c r="K10">
        <v>32</v>
      </c>
      <c r="L10" t="s">
        <v>553</v>
      </c>
      <c r="M10" s="4">
        <v>5860</v>
      </c>
      <c r="P10" s="2">
        <v>45743</v>
      </c>
      <c r="R10">
        <v>1</v>
      </c>
      <c r="S10" s="4">
        <v>5860</v>
      </c>
      <c r="T10" t="s">
        <v>65</v>
      </c>
      <c r="U10" t="s">
        <v>554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555</v>
      </c>
      <c r="AN10" t="s">
        <v>116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116</v>
      </c>
      <c r="BF10" t="s">
        <v>4941</v>
      </c>
    </row>
    <row r="11" spans="1:58" x14ac:dyDescent="0.35">
      <c r="A11" t="s">
        <v>5759</v>
      </c>
      <c r="B11">
        <v>10000</v>
      </c>
      <c r="C11">
        <v>10000</v>
      </c>
      <c r="D11" s="2">
        <v>45743</v>
      </c>
      <c r="E11" t="s">
        <v>61</v>
      </c>
      <c r="F11" t="s">
        <v>5760</v>
      </c>
      <c r="G11" t="s">
        <v>3487</v>
      </c>
      <c r="H11" t="s">
        <v>5761</v>
      </c>
      <c r="I11">
        <v>1</v>
      </c>
      <c r="J11" t="s">
        <v>69</v>
      </c>
      <c r="K11">
        <v>31</v>
      </c>
      <c r="L11" t="s">
        <v>361</v>
      </c>
      <c r="M11" s="4">
        <v>1300</v>
      </c>
      <c r="P11" s="2">
        <v>45743</v>
      </c>
      <c r="R11">
        <v>1</v>
      </c>
      <c r="S11" s="4">
        <v>1300</v>
      </c>
      <c r="T11" t="s">
        <v>65</v>
      </c>
      <c r="U11" t="s">
        <v>5762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5763</v>
      </c>
      <c r="AN11" t="s">
        <v>1314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1314</v>
      </c>
      <c r="BF11" t="s">
        <v>5181</v>
      </c>
    </row>
    <row r="12" spans="1:58" x14ac:dyDescent="0.35">
      <c r="A12" t="s">
        <v>5764</v>
      </c>
      <c r="B12">
        <v>10000</v>
      </c>
      <c r="C12">
        <v>10000</v>
      </c>
      <c r="D12" s="2">
        <v>45744</v>
      </c>
      <c r="E12" t="s">
        <v>61</v>
      </c>
      <c r="F12" t="s">
        <v>5765</v>
      </c>
      <c r="G12" t="s">
        <v>5544</v>
      </c>
      <c r="H12" t="s">
        <v>5545</v>
      </c>
      <c r="I12">
        <v>1</v>
      </c>
      <c r="J12" t="s">
        <v>69</v>
      </c>
      <c r="K12">
        <v>65</v>
      </c>
      <c r="L12" t="s">
        <v>268</v>
      </c>
      <c r="M12" s="4">
        <v>22500</v>
      </c>
      <c r="P12" s="2">
        <v>45743</v>
      </c>
      <c r="R12">
        <v>4</v>
      </c>
      <c r="S12" s="4">
        <v>90000</v>
      </c>
      <c r="T12" t="s">
        <v>65</v>
      </c>
      <c r="U12" t="s">
        <v>3865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3866</v>
      </c>
      <c r="AN12" t="s">
        <v>829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829</v>
      </c>
      <c r="BF12" t="s">
        <v>5766</v>
      </c>
    </row>
    <row r="13" spans="1:58" x14ac:dyDescent="0.35">
      <c r="A13" t="s">
        <v>5767</v>
      </c>
      <c r="B13">
        <v>10000</v>
      </c>
      <c r="C13">
        <v>10000</v>
      </c>
      <c r="D13" s="2">
        <v>45751</v>
      </c>
      <c r="E13" t="s">
        <v>61</v>
      </c>
      <c r="F13" t="s">
        <v>5768</v>
      </c>
      <c r="G13" t="s">
        <v>3487</v>
      </c>
      <c r="H13" t="s">
        <v>5761</v>
      </c>
      <c r="I13">
        <v>1</v>
      </c>
      <c r="J13" t="s">
        <v>69</v>
      </c>
      <c r="K13">
        <v>31</v>
      </c>
      <c r="L13" t="s">
        <v>361</v>
      </c>
      <c r="M13" s="4">
        <v>1000</v>
      </c>
      <c r="P13" s="2">
        <v>45743</v>
      </c>
      <c r="R13">
        <v>1</v>
      </c>
      <c r="S13" s="4">
        <v>1000</v>
      </c>
      <c r="T13" t="s">
        <v>65</v>
      </c>
      <c r="U13" t="s">
        <v>5762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69</v>
      </c>
      <c r="AI13">
        <v>0</v>
      </c>
      <c r="AJ13" t="s">
        <v>69</v>
      </c>
      <c r="AM13" t="s">
        <v>5763</v>
      </c>
      <c r="AN13" t="s">
        <v>1314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BC13" t="s">
        <v>1314</v>
      </c>
      <c r="BF13" t="s">
        <v>5238</v>
      </c>
    </row>
    <row r="14" spans="1:58" x14ac:dyDescent="0.35">
      <c r="A14" t="s">
        <v>5769</v>
      </c>
      <c r="B14">
        <v>10000</v>
      </c>
      <c r="C14">
        <v>10000</v>
      </c>
      <c r="D14" s="2">
        <v>45744</v>
      </c>
      <c r="E14" t="s">
        <v>95</v>
      </c>
      <c r="F14" t="s">
        <v>5757</v>
      </c>
      <c r="G14" t="s">
        <v>5636</v>
      </c>
      <c r="H14" t="s">
        <v>5758</v>
      </c>
      <c r="I14">
        <v>1</v>
      </c>
      <c r="J14" t="s">
        <v>69</v>
      </c>
      <c r="K14">
        <v>32</v>
      </c>
      <c r="L14" t="s">
        <v>553</v>
      </c>
      <c r="M14" s="4">
        <v>5860</v>
      </c>
      <c r="P14" s="2">
        <v>45743</v>
      </c>
      <c r="R14">
        <v>1</v>
      </c>
      <c r="S14" s="4">
        <v>5860</v>
      </c>
      <c r="T14" t="s">
        <v>65</v>
      </c>
      <c r="U14" t="s">
        <v>554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69</v>
      </c>
      <c r="AI14">
        <v>0</v>
      </c>
      <c r="AJ14" t="s">
        <v>69</v>
      </c>
      <c r="AM14" t="s">
        <v>555</v>
      </c>
      <c r="AN14" t="s">
        <v>116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BC14" t="s">
        <v>116</v>
      </c>
      <c r="BF14" t="s">
        <v>5770</v>
      </c>
    </row>
    <row r="15" spans="1:58" x14ac:dyDescent="0.35">
      <c r="A15" t="s">
        <v>5771</v>
      </c>
      <c r="B15">
        <v>10000</v>
      </c>
      <c r="C15">
        <v>10000</v>
      </c>
      <c r="D15" s="2">
        <v>45744</v>
      </c>
      <c r="E15" t="s">
        <v>95</v>
      </c>
      <c r="F15" t="s">
        <v>5757</v>
      </c>
      <c r="G15" t="s">
        <v>5636</v>
      </c>
      <c r="H15" t="s">
        <v>5758</v>
      </c>
      <c r="I15">
        <v>1</v>
      </c>
      <c r="J15" t="s">
        <v>69</v>
      </c>
      <c r="K15">
        <v>32</v>
      </c>
      <c r="L15" t="s">
        <v>553</v>
      </c>
      <c r="M15" s="4">
        <v>5860</v>
      </c>
      <c r="P15" s="2">
        <v>45743</v>
      </c>
      <c r="R15">
        <v>1</v>
      </c>
      <c r="S15" s="4">
        <v>5860</v>
      </c>
      <c r="T15" t="s">
        <v>65</v>
      </c>
      <c r="U15" t="s">
        <v>554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69</v>
      </c>
      <c r="AI15">
        <v>0</v>
      </c>
      <c r="AJ15" t="s">
        <v>69</v>
      </c>
      <c r="AM15" t="s">
        <v>555</v>
      </c>
      <c r="AN15" t="s">
        <v>116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BC15" t="s">
        <v>116</v>
      </c>
      <c r="BF15" t="s">
        <v>5772</v>
      </c>
    </row>
    <row r="16" spans="1:58" x14ac:dyDescent="0.35">
      <c r="A16" t="s">
        <v>5773</v>
      </c>
      <c r="B16">
        <v>10000</v>
      </c>
      <c r="C16">
        <v>10000</v>
      </c>
      <c r="D16" s="2">
        <v>45750</v>
      </c>
      <c r="E16" t="s">
        <v>61</v>
      </c>
      <c r="F16" t="s">
        <v>5774</v>
      </c>
      <c r="G16">
        <v>10656256085</v>
      </c>
      <c r="H16" t="s">
        <v>5775</v>
      </c>
      <c r="I16">
        <v>1</v>
      </c>
      <c r="J16" t="s">
        <v>69</v>
      </c>
      <c r="K16" t="s">
        <v>295</v>
      </c>
      <c r="L16" t="s">
        <v>296</v>
      </c>
      <c r="M16">
        <v>110</v>
      </c>
      <c r="P16" s="2">
        <v>45743</v>
      </c>
      <c r="R16">
        <v>660</v>
      </c>
      <c r="S16" s="4">
        <v>72600</v>
      </c>
      <c r="T16" t="s">
        <v>65</v>
      </c>
      <c r="U16" t="s">
        <v>5776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69</v>
      </c>
      <c r="AI16">
        <v>0</v>
      </c>
      <c r="AJ16" t="s">
        <v>69</v>
      </c>
      <c r="AM16" t="s">
        <v>5777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BC16" t="s">
        <v>107</v>
      </c>
      <c r="BF16" t="s">
        <v>5778</v>
      </c>
    </row>
    <row r="17" spans="1:58" x14ac:dyDescent="0.35">
      <c r="A17" t="s">
        <v>5779</v>
      </c>
      <c r="B17">
        <v>10000</v>
      </c>
      <c r="C17">
        <v>10000</v>
      </c>
      <c r="D17" s="2">
        <v>45751</v>
      </c>
      <c r="E17" t="s">
        <v>61</v>
      </c>
      <c r="F17" s="3">
        <v>0.48146990740740742</v>
      </c>
      <c r="G17">
        <v>10656256085</v>
      </c>
      <c r="H17" t="s">
        <v>5780</v>
      </c>
      <c r="I17">
        <v>1</v>
      </c>
      <c r="J17" t="s">
        <v>69</v>
      </c>
      <c r="K17" t="s">
        <v>295</v>
      </c>
      <c r="L17" t="s">
        <v>296</v>
      </c>
      <c r="M17">
        <v>305</v>
      </c>
      <c r="P17" s="2">
        <v>45743</v>
      </c>
      <c r="R17">
        <v>264</v>
      </c>
      <c r="S17" s="4">
        <v>80520</v>
      </c>
      <c r="T17" t="s">
        <v>65</v>
      </c>
      <c r="U17" t="s">
        <v>5781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69</v>
      </c>
      <c r="AI17">
        <v>0</v>
      </c>
      <c r="AJ17" t="s">
        <v>69</v>
      </c>
      <c r="AM17" t="s">
        <v>5782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BC17" t="s">
        <v>107</v>
      </c>
      <c r="BF17" t="s">
        <v>5783</v>
      </c>
    </row>
    <row r="18" spans="1:58" x14ac:dyDescent="0.35">
      <c r="A18" t="s">
        <v>5784</v>
      </c>
      <c r="B18">
        <v>10000</v>
      </c>
      <c r="C18">
        <v>10000</v>
      </c>
      <c r="D18" s="2">
        <v>45757</v>
      </c>
      <c r="E18" t="s">
        <v>61</v>
      </c>
      <c r="F18" t="s">
        <v>3444</v>
      </c>
      <c r="G18">
        <v>10656256087</v>
      </c>
      <c r="H18" t="s">
        <v>4146</v>
      </c>
      <c r="I18">
        <v>1</v>
      </c>
      <c r="J18" t="s">
        <v>69</v>
      </c>
      <c r="K18" t="s">
        <v>295</v>
      </c>
      <c r="L18" t="s">
        <v>296</v>
      </c>
      <c r="M18">
        <v>570</v>
      </c>
      <c r="P18" s="2">
        <v>45743</v>
      </c>
      <c r="R18">
        <v>176</v>
      </c>
      <c r="S18" s="4">
        <v>100320</v>
      </c>
      <c r="T18" t="s">
        <v>65</v>
      </c>
      <c r="U18" t="s">
        <v>964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69</v>
      </c>
      <c r="AI18">
        <v>0</v>
      </c>
      <c r="AJ18" t="s">
        <v>69</v>
      </c>
      <c r="AM18" t="s">
        <v>965</v>
      </c>
      <c r="AN18" t="s">
        <v>107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BC18" t="s">
        <v>107</v>
      </c>
      <c r="BF18" t="s">
        <v>5785</v>
      </c>
    </row>
    <row r="19" spans="1:58" x14ac:dyDescent="0.35">
      <c r="A19" t="s">
        <v>5786</v>
      </c>
      <c r="B19">
        <v>10000</v>
      </c>
      <c r="C19">
        <v>10000</v>
      </c>
      <c r="D19" s="2">
        <v>45744</v>
      </c>
      <c r="E19" t="s">
        <v>95</v>
      </c>
      <c r="F19" t="s">
        <v>1380</v>
      </c>
      <c r="G19" t="s">
        <v>304</v>
      </c>
      <c r="I19">
        <v>1</v>
      </c>
      <c r="J19" t="s">
        <v>63</v>
      </c>
      <c r="K19">
        <v>73</v>
      </c>
      <c r="L19" t="s">
        <v>90</v>
      </c>
      <c r="M19" s="4">
        <v>13500</v>
      </c>
      <c r="P19" s="2">
        <v>45743</v>
      </c>
      <c r="R19">
        <v>8</v>
      </c>
      <c r="S19" s="4">
        <v>108000</v>
      </c>
      <c r="T19" t="s">
        <v>65</v>
      </c>
      <c r="U19" t="s">
        <v>305</v>
      </c>
      <c r="V19">
        <v>0</v>
      </c>
      <c r="W19" s="4">
        <v>108000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306</v>
      </c>
      <c r="AN19" t="s">
        <v>271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5787</v>
      </c>
      <c r="BA19">
        <v>0</v>
      </c>
      <c r="BC19" t="s">
        <v>271</v>
      </c>
      <c r="BF19" t="s">
        <v>5788</v>
      </c>
    </row>
    <row r="20" spans="1:58" x14ac:dyDescent="0.35">
      <c r="A20" t="s">
        <v>5295</v>
      </c>
      <c r="B20">
        <v>10000</v>
      </c>
      <c r="C20">
        <v>20000</v>
      </c>
      <c r="D20" s="2">
        <v>45743</v>
      </c>
      <c r="E20" t="s">
        <v>61</v>
      </c>
      <c r="F20" s="3">
        <v>0.46820601851851851</v>
      </c>
      <c r="G20" t="s">
        <v>5296</v>
      </c>
      <c r="I20">
        <v>2</v>
      </c>
      <c r="J20" t="s">
        <v>63</v>
      </c>
      <c r="K20">
        <v>60</v>
      </c>
      <c r="L20" t="s">
        <v>277</v>
      </c>
      <c r="M20" s="4">
        <v>1750</v>
      </c>
      <c r="P20" s="2">
        <v>45743</v>
      </c>
      <c r="R20">
        <v>8</v>
      </c>
      <c r="S20" s="4">
        <v>14000</v>
      </c>
      <c r="T20" t="s">
        <v>65</v>
      </c>
      <c r="U20" t="s">
        <v>5297</v>
      </c>
      <c r="V20">
        <v>0</v>
      </c>
      <c r="W20" s="4">
        <v>5000</v>
      </c>
      <c r="X20" s="4">
        <v>9000</v>
      </c>
      <c r="Y20">
        <v>0</v>
      </c>
      <c r="Z20">
        <v>0</v>
      </c>
      <c r="AA20">
        <v>0</v>
      </c>
      <c r="AD20">
        <v>0</v>
      </c>
      <c r="AM20" t="s">
        <v>5298</v>
      </c>
      <c r="AN20" t="s">
        <v>206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5299</v>
      </c>
      <c r="BA20">
        <v>0</v>
      </c>
      <c r="BC20" t="s">
        <v>206</v>
      </c>
      <c r="BF20" t="s">
        <v>5300</v>
      </c>
    </row>
    <row r="21" spans="1:58" x14ac:dyDescent="0.35">
      <c r="A21" t="s">
        <v>5789</v>
      </c>
      <c r="B21">
        <v>10000</v>
      </c>
      <c r="C21">
        <v>10000</v>
      </c>
      <c r="D21" s="2">
        <v>45749</v>
      </c>
      <c r="E21" t="s">
        <v>61</v>
      </c>
      <c r="F21" t="s">
        <v>5790</v>
      </c>
      <c r="G21" t="s">
        <v>5791</v>
      </c>
      <c r="I21">
        <v>1</v>
      </c>
      <c r="J21" t="s">
        <v>63</v>
      </c>
      <c r="K21">
        <v>86</v>
      </c>
      <c r="L21" t="s">
        <v>64</v>
      </c>
      <c r="M21" s="4">
        <v>49750</v>
      </c>
      <c r="P21" s="2">
        <v>45743</v>
      </c>
      <c r="R21">
        <v>4</v>
      </c>
      <c r="S21" s="4">
        <v>199000</v>
      </c>
      <c r="T21" t="s">
        <v>65</v>
      </c>
      <c r="U21" t="s">
        <v>1117</v>
      </c>
      <c r="V21">
        <v>0</v>
      </c>
      <c r="W21" s="4">
        <v>198606</v>
      </c>
      <c r="X21">
        <v>394</v>
      </c>
      <c r="Y21">
        <v>0</v>
      </c>
      <c r="Z21">
        <v>0</v>
      </c>
      <c r="AA21">
        <v>0</v>
      </c>
      <c r="AD21">
        <v>0</v>
      </c>
      <c r="AM21" t="s">
        <v>1118</v>
      </c>
      <c r="AN21" t="s">
        <v>271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5792</v>
      </c>
      <c r="BA21">
        <v>0</v>
      </c>
      <c r="BC21" t="s">
        <v>271</v>
      </c>
      <c r="BF21" t="s">
        <v>5793</v>
      </c>
    </row>
    <row r="22" spans="1:58" x14ac:dyDescent="0.35">
      <c r="A22" t="s">
        <v>5794</v>
      </c>
      <c r="B22">
        <v>10000</v>
      </c>
      <c r="C22">
        <v>10000</v>
      </c>
      <c r="D22" s="2">
        <v>45744</v>
      </c>
      <c r="E22" t="s">
        <v>95</v>
      </c>
      <c r="F22" t="s">
        <v>1380</v>
      </c>
      <c r="G22" t="s">
        <v>304</v>
      </c>
      <c r="I22">
        <v>1</v>
      </c>
      <c r="J22" t="s">
        <v>63</v>
      </c>
      <c r="K22">
        <v>73</v>
      </c>
      <c r="L22" t="s">
        <v>90</v>
      </c>
      <c r="M22" s="4">
        <v>22000</v>
      </c>
      <c r="P22" s="2">
        <v>45743</v>
      </c>
      <c r="R22">
        <v>8</v>
      </c>
      <c r="S22" s="4">
        <v>176000</v>
      </c>
      <c r="T22" t="s">
        <v>65</v>
      </c>
      <c r="U22" t="s">
        <v>305</v>
      </c>
      <c r="V22">
        <v>0</v>
      </c>
      <c r="W22" s="4">
        <v>176000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306</v>
      </c>
      <c r="AN22" t="s">
        <v>271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5795</v>
      </c>
      <c r="BA22">
        <v>0</v>
      </c>
      <c r="BC22" t="s">
        <v>271</v>
      </c>
      <c r="BF22" t="s">
        <v>5796</v>
      </c>
    </row>
    <row r="23" spans="1:58" x14ac:dyDescent="0.35">
      <c r="A23" t="s">
        <v>5794</v>
      </c>
      <c r="B23">
        <v>10000</v>
      </c>
      <c r="C23">
        <v>20000</v>
      </c>
      <c r="D23" s="2">
        <v>45744</v>
      </c>
      <c r="E23" t="s">
        <v>95</v>
      </c>
      <c r="F23" t="s">
        <v>1380</v>
      </c>
      <c r="G23" t="s">
        <v>304</v>
      </c>
      <c r="I23">
        <v>1</v>
      </c>
      <c r="J23" t="s">
        <v>63</v>
      </c>
      <c r="K23" t="s">
        <v>97</v>
      </c>
      <c r="L23" t="s">
        <v>98</v>
      </c>
      <c r="M23" s="4">
        <v>5000</v>
      </c>
      <c r="P23" s="2">
        <v>45743</v>
      </c>
      <c r="R23">
        <v>8</v>
      </c>
      <c r="S23" s="4">
        <v>40000</v>
      </c>
      <c r="T23" t="s">
        <v>65</v>
      </c>
      <c r="U23" t="s">
        <v>305</v>
      </c>
      <c r="V23">
        <v>0</v>
      </c>
      <c r="W23" s="4">
        <v>40000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306</v>
      </c>
      <c r="AN23" t="s">
        <v>271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5795</v>
      </c>
      <c r="BA23">
        <v>0</v>
      </c>
      <c r="BC23" t="s">
        <v>271</v>
      </c>
      <c r="BF23" t="s">
        <v>5796</v>
      </c>
    </row>
    <row r="24" spans="1:58" x14ac:dyDescent="0.35">
      <c r="A24" t="s">
        <v>5797</v>
      </c>
      <c r="B24">
        <v>10000</v>
      </c>
      <c r="C24">
        <v>10000</v>
      </c>
      <c r="D24" s="2">
        <v>45743</v>
      </c>
      <c r="E24" t="s">
        <v>61</v>
      </c>
      <c r="F24" t="s">
        <v>5798</v>
      </c>
      <c r="G24" t="s">
        <v>5799</v>
      </c>
      <c r="I24">
        <v>1</v>
      </c>
      <c r="J24" t="s">
        <v>63</v>
      </c>
      <c r="K24">
        <v>61</v>
      </c>
      <c r="L24" t="s">
        <v>216</v>
      </c>
      <c r="M24" s="4">
        <v>1000</v>
      </c>
      <c r="P24" s="2">
        <v>45743</v>
      </c>
      <c r="R24">
        <v>1</v>
      </c>
      <c r="S24" s="4">
        <v>1000</v>
      </c>
      <c r="T24" t="s">
        <v>65</v>
      </c>
      <c r="U24" t="s">
        <v>5800</v>
      </c>
      <c r="V24">
        <v>0</v>
      </c>
      <c r="W24" s="4">
        <v>1000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5801</v>
      </c>
      <c r="AN24" t="s">
        <v>5087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5802</v>
      </c>
      <c r="BA24">
        <v>0</v>
      </c>
      <c r="BC24" t="s">
        <v>5087</v>
      </c>
      <c r="BF24" t="s">
        <v>5803</v>
      </c>
    </row>
    <row r="25" spans="1:58" x14ac:dyDescent="0.35">
      <c r="A25" t="s">
        <v>5804</v>
      </c>
      <c r="B25">
        <v>10000</v>
      </c>
      <c r="C25">
        <v>20000</v>
      </c>
      <c r="D25" s="2">
        <v>45748</v>
      </c>
      <c r="E25" t="s">
        <v>61</v>
      </c>
      <c r="F25" t="s">
        <v>4649</v>
      </c>
      <c r="G25" t="s">
        <v>2263</v>
      </c>
      <c r="I25">
        <v>1</v>
      </c>
      <c r="J25" t="s">
        <v>63</v>
      </c>
      <c r="K25">
        <v>63</v>
      </c>
      <c r="L25" t="s">
        <v>519</v>
      </c>
      <c r="M25" s="4">
        <v>5000</v>
      </c>
      <c r="P25" s="2">
        <v>45743</v>
      </c>
      <c r="R25">
        <v>100</v>
      </c>
      <c r="S25" s="4">
        <v>500000</v>
      </c>
      <c r="T25" t="s">
        <v>65</v>
      </c>
      <c r="U25" t="s">
        <v>2264</v>
      </c>
      <c r="V25">
        <v>0</v>
      </c>
      <c r="W25" s="4">
        <v>500000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2265</v>
      </c>
      <c r="AN25" t="s">
        <v>2266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5805</v>
      </c>
      <c r="BA25">
        <v>0</v>
      </c>
      <c r="BC25" t="s">
        <v>2266</v>
      </c>
      <c r="BF25" t="s">
        <v>5806</v>
      </c>
    </row>
    <row r="26" spans="1:58" x14ac:dyDescent="0.35">
      <c r="A26" t="s">
        <v>5807</v>
      </c>
      <c r="B26">
        <v>10000</v>
      </c>
      <c r="C26">
        <v>20000</v>
      </c>
      <c r="D26" s="2">
        <v>45743</v>
      </c>
      <c r="E26" t="s">
        <v>61</v>
      </c>
      <c r="F26" t="s">
        <v>5808</v>
      </c>
      <c r="G26" t="s">
        <v>2069</v>
      </c>
      <c r="I26">
        <v>1</v>
      </c>
      <c r="J26" t="s">
        <v>63</v>
      </c>
      <c r="K26">
        <v>94</v>
      </c>
      <c r="L26" t="s">
        <v>181</v>
      </c>
      <c r="M26" s="4">
        <v>4000</v>
      </c>
      <c r="P26" s="2">
        <v>45743</v>
      </c>
      <c r="R26">
        <v>6</v>
      </c>
      <c r="S26" s="4">
        <v>24000</v>
      </c>
      <c r="T26" t="s">
        <v>65</v>
      </c>
      <c r="U26" t="s">
        <v>1405</v>
      </c>
      <c r="V26">
        <v>0</v>
      </c>
      <c r="W26" s="4">
        <v>24000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1406</v>
      </c>
      <c r="AN26" t="s">
        <v>364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5809</v>
      </c>
      <c r="BA26">
        <v>0</v>
      </c>
      <c r="BC26" t="s">
        <v>364</v>
      </c>
      <c r="BF26" t="s">
        <v>5810</v>
      </c>
    </row>
    <row r="27" spans="1:58" x14ac:dyDescent="0.35">
      <c r="A27" t="s">
        <v>4217</v>
      </c>
      <c r="B27">
        <v>10000</v>
      </c>
      <c r="C27">
        <v>40000</v>
      </c>
      <c r="D27" s="2">
        <v>45744</v>
      </c>
      <c r="E27" t="s">
        <v>61</v>
      </c>
      <c r="F27" t="s">
        <v>310</v>
      </c>
      <c r="G27" t="s">
        <v>4218</v>
      </c>
      <c r="I27">
        <v>3</v>
      </c>
      <c r="J27" t="s">
        <v>63</v>
      </c>
      <c r="K27">
        <v>85</v>
      </c>
      <c r="L27" t="s">
        <v>327</v>
      </c>
      <c r="M27" s="4">
        <v>10000</v>
      </c>
      <c r="P27" s="2">
        <v>45743</v>
      </c>
      <c r="R27">
        <v>11</v>
      </c>
      <c r="S27" s="4">
        <v>110000</v>
      </c>
      <c r="T27" t="s">
        <v>65</v>
      </c>
      <c r="U27" t="s">
        <v>1218</v>
      </c>
      <c r="V27">
        <v>0</v>
      </c>
      <c r="W27" s="4">
        <v>100000</v>
      </c>
      <c r="X27" s="4">
        <v>10000</v>
      </c>
      <c r="Y27">
        <v>0</v>
      </c>
      <c r="Z27">
        <v>0</v>
      </c>
      <c r="AA27">
        <v>0</v>
      </c>
      <c r="AD27">
        <v>0</v>
      </c>
      <c r="AM27" t="s">
        <v>1219</v>
      </c>
      <c r="AN27" t="s">
        <v>107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4219</v>
      </c>
      <c r="BA27">
        <v>0</v>
      </c>
      <c r="BC27" t="s">
        <v>107</v>
      </c>
      <c r="BF27" t="s">
        <v>4220</v>
      </c>
    </row>
    <row r="28" spans="1:58" x14ac:dyDescent="0.35">
      <c r="A28" t="s">
        <v>5811</v>
      </c>
      <c r="B28">
        <v>10000</v>
      </c>
      <c r="C28">
        <v>10000</v>
      </c>
      <c r="D28" s="2">
        <v>45748</v>
      </c>
      <c r="E28" t="s">
        <v>61</v>
      </c>
      <c r="F28" t="s">
        <v>789</v>
      </c>
      <c r="G28" t="s">
        <v>5812</v>
      </c>
      <c r="I28">
        <v>1</v>
      </c>
      <c r="J28" t="s">
        <v>63</v>
      </c>
      <c r="K28">
        <v>29</v>
      </c>
      <c r="L28" t="s">
        <v>249</v>
      </c>
      <c r="M28" s="4">
        <v>24000</v>
      </c>
      <c r="P28" s="2">
        <v>45743</v>
      </c>
      <c r="R28">
        <v>2</v>
      </c>
      <c r="S28" s="4">
        <v>48000</v>
      </c>
      <c r="T28" t="s">
        <v>65</v>
      </c>
      <c r="U28" t="s">
        <v>250</v>
      </c>
      <c r="V28">
        <v>0</v>
      </c>
      <c r="W28" s="4">
        <v>48000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251</v>
      </c>
      <c r="AN28" t="s">
        <v>175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5813</v>
      </c>
      <c r="BA28">
        <v>0</v>
      </c>
      <c r="BC28" t="s">
        <v>175</v>
      </c>
      <c r="BF28" t="s">
        <v>5814</v>
      </c>
    </row>
    <row r="29" spans="1:58" x14ac:dyDescent="0.35">
      <c r="A29" t="s">
        <v>5815</v>
      </c>
      <c r="B29">
        <v>10000</v>
      </c>
      <c r="C29">
        <v>10000</v>
      </c>
      <c r="D29" s="2">
        <v>45743</v>
      </c>
      <c r="E29" t="s">
        <v>61</v>
      </c>
      <c r="F29" t="s">
        <v>5816</v>
      </c>
      <c r="G29" t="s">
        <v>348</v>
      </c>
      <c r="I29">
        <v>1</v>
      </c>
      <c r="J29" t="s">
        <v>63</v>
      </c>
      <c r="K29">
        <v>46</v>
      </c>
      <c r="L29" t="s">
        <v>113</v>
      </c>
      <c r="M29" s="4">
        <v>3000</v>
      </c>
      <c r="P29" s="2">
        <v>45743</v>
      </c>
      <c r="R29">
        <v>1</v>
      </c>
      <c r="S29" s="4">
        <v>3000</v>
      </c>
      <c r="T29" t="s">
        <v>65</v>
      </c>
      <c r="U29" t="s">
        <v>5817</v>
      </c>
      <c r="V29">
        <v>0</v>
      </c>
      <c r="W29" s="4">
        <v>3000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5818</v>
      </c>
      <c r="AN29" t="s">
        <v>116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5819</v>
      </c>
      <c r="BA29">
        <v>0</v>
      </c>
      <c r="BC29" t="s">
        <v>116</v>
      </c>
      <c r="BF29" t="s">
        <v>4586</v>
      </c>
    </row>
    <row r="30" spans="1:58" x14ac:dyDescent="0.35">
      <c r="A30" t="s">
        <v>5820</v>
      </c>
      <c r="B30">
        <v>10000</v>
      </c>
      <c r="C30">
        <v>10000</v>
      </c>
      <c r="D30" s="2">
        <v>45743</v>
      </c>
      <c r="E30" t="s">
        <v>61</v>
      </c>
      <c r="F30" t="s">
        <v>5808</v>
      </c>
      <c r="G30" t="s">
        <v>348</v>
      </c>
      <c r="I30">
        <v>1</v>
      </c>
      <c r="J30" t="s">
        <v>63</v>
      </c>
      <c r="K30">
        <v>46</v>
      </c>
      <c r="L30" t="s">
        <v>113</v>
      </c>
      <c r="M30" s="4">
        <v>2000</v>
      </c>
      <c r="P30" s="2">
        <v>45743</v>
      </c>
      <c r="R30">
        <v>1</v>
      </c>
      <c r="S30" s="4">
        <v>2000</v>
      </c>
      <c r="T30" t="s">
        <v>65</v>
      </c>
      <c r="U30" t="s">
        <v>5821</v>
      </c>
      <c r="V30">
        <v>0</v>
      </c>
      <c r="W30" s="4">
        <v>2000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5822</v>
      </c>
      <c r="AN30" t="s">
        <v>116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5823</v>
      </c>
      <c r="BA30">
        <v>0</v>
      </c>
      <c r="BC30" t="s">
        <v>116</v>
      </c>
      <c r="BF30" t="s">
        <v>3506</v>
      </c>
    </row>
    <row r="31" spans="1:58" x14ac:dyDescent="0.35">
      <c r="A31" t="s">
        <v>5824</v>
      </c>
      <c r="B31">
        <v>10000</v>
      </c>
      <c r="C31">
        <v>10000</v>
      </c>
      <c r="D31" s="2">
        <v>45743</v>
      </c>
      <c r="E31" t="s">
        <v>61</v>
      </c>
      <c r="F31" t="s">
        <v>5808</v>
      </c>
      <c r="G31" t="s">
        <v>5143</v>
      </c>
      <c r="I31">
        <v>1</v>
      </c>
      <c r="J31" t="s">
        <v>63</v>
      </c>
      <c r="K31">
        <v>61</v>
      </c>
      <c r="L31" t="s">
        <v>197</v>
      </c>
      <c r="M31" s="4">
        <v>2000</v>
      </c>
      <c r="P31" s="2">
        <v>45743</v>
      </c>
      <c r="R31">
        <v>4</v>
      </c>
      <c r="S31" s="4">
        <v>8000</v>
      </c>
      <c r="T31" t="s">
        <v>65</v>
      </c>
      <c r="U31" t="s">
        <v>1233</v>
      </c>
      <c r="V31">
        <v>0</v>
      </c>
      <c r="W31" s="4">
        <v>8000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1234</v>
      </c>
      <c r="AN31" t="s">
        <v>116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5825</v>
      </c>
      <c r="BA31">
        <v>0</v>
      </c>
      <c r="BC31" t="s">
        <v>116</v>
      </c>
      <c r="BF31" t="s">
        <v>3323</v>
      </c>
    </row>
    <row r="32" spans="1:58" x14ac:dyDescent="0.35">
      <c r="A32" t="s">
        <v>5826</v>
      </c>
      <c r="B32">
        <v>10000</v>
      </c>
      <c r="C32">
        <v>10000</v>
      </c>
      <c r="D32" s="2">
        <v>45743</v>
      </c>
      <c r="E32" t="s">
        <v>61</v>
      </c>
      <c r="F32" t="s">
        <v>5827</v>
      </c>
      <c r="G32" t="s">
        <v>5143</v>
      </c>
      <c r="I32">
        <v>1</v>
      </c>
      <c r="J32" t="s">
        <v>63</v>
      </c>
      <c r="K32">
        <v>61</v>
      </c>
      <c r="L32" t="s">
        <v>197</v>
      </c>
      <c r="M32" s="4">
        <v>2000</v>
      </c>
      <c r="P32" s="2">
        <v>45743</v>
      </c>
      <c r="R32">
        <v>4</v>
      </c>
      <c r="S32" s="4">
        <v>8000</v>
      </c>
      <c r="T32" t="s">
        <v>65</v>
      </c>
      <c r="U32" t="s">
        <v>1720</v>
      </c>
      <c r="V32">
        <v>0</v>
      </c>
      <c r="W32" s="4">
        <v>8000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1721</v>
      </c>
      <c r="AN32" t="s">
        <v>116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5828</v>
      </c>
      <c r="BA32">
        <v>0</v>
      </c>
      <c r="BC32" t="s">
        <v>116</v>
      </c>
      <c r="BF32" t="s">
        <v>3323</v>
      </c>
    </row>
    <row r="33" spans="1:58" x14ac:dyDescent="0.35">
      <c r="A33" t="s">
        <v>5829</v>
      </c>
      <c r="B33">
        <v>10000</v>
      </c>
      <c r="C33">
        <v>10000</v>
      </c>
      <c r="D33" s="2">
        <v>45744</v>
      </c>
      <c r="E33" t="s">
        <v>61</v>
      </c>
      <c r="F33" t="s">
        <v>5830</v>
      </c>
      <c r="G33" t="s">
        <v>5831</v>
      </c>
      <c r="I33">
        <v>1</v>
      </c>
      <c r="J33" t="s">
        <v>63</v>
      </c>
      <c r="K33">
        <v>22</v>
      </c>
      <c r="L33" t="s">
        <v>466</v>
      </c>
      <c r="M33" s="4">
        <v>26000</v>
      </c>
      <c r="P33" s="2">
        <v>45743</v>
      </c>
      <c r="R33">
        <v>1</v>
      </c>
      <c r="S33" s="4">
        <v>26000</v>
      </c>
      <c r="T33" t="s">
        <v>65</v>
      </c>
      <c r="U33" t="s">
        <v>2624</v>
      </c>
      <c r="V33">
        <v>0</v>
      </c>
      <c r="W33" s="4">
        <v>26000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2625</v>
      </c>
      <c r="AN33" t="s">
        <v>116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5832</v>
      </c>
      <c r="BA33">
        <v>0</v>
      </c>
      <c r="BC33" t="s">
        <v>116</v>
      </c>
      <c r="BF33" t="s">
        <v>3532</v>
      </c>
    </row>
    <row r="34" spans="1:58" x14ac:dyDescent="0.35">
      <c r="A34" t="s">
        <v>4305</v>
      </c>
      <c r="B34">
        <v>10000</v>
      </c>
      <c r="C34">
        <v>30000</v>
      </c>
      <c r="D34" s="2">
        <v>45744</v>
      </c>
      <c r="E34" t="s">
        <v>61</v>
      </c>
      <c r="F34" t="s">
        <v>4306</v>
      </c>
      <c r="G34" t="s">
        <v>4218</v>
      </c>
      <c r="I34">
        <v>3</v>
      </c>
      <c r="J34" t="s">
        <v>63</v>
      </c>
      <c r="K34">
        <v>85</v>
      </c>
      <c r="L34" t="s">
        <v>327</v>
      </c>
      <c r="M34" s="4">
        <v>10000</v>
      </c>
      <c r="P34" s="2">
        <v>45743</v>
      </c>
      <c r="R34">
        <v>11</v>
      </c>
      <c r="S34" s="4">
        <v>110000</v>
      </c>
      <c r="T34" t="s">
        <v>65</v>
      </c>
      <c r="U34" t="s">
        <v>4307</v>
      </c>
      <c r="V34">
        <v>0</v>
      </c>
      <c r="W34" s="4">
        <v>100000</v>
      </c>
      <c r="X34" s="4">
        <v>10000</v>
      </c>
      <c r="Y34">
        <v>0</v>
      </c>
      <c r="Z34">
        <v>0</v>
      </c>
      <c r="AA34">
        <v>0</v>
      </c>
      <c r="AD34">
        <v>0</v>
      </c>
      <c r="AM34" t="s">
        <v>4308</v>
      </c>
      <c r="AN34" t="s">
        <v>107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4309</v>
      </c>
      <c r="BA34">
        <v>0</v>
      </c>
      <c r="BC34" t="s">
        <v>107</v>
      </c>
      <c r="BF34" t="s">
        <v>4310</v>
      </c>
    </row>
    <row r="35" spans="1:58" x14ac:dyDescent="0.35">
      <c r="A35" t="s">
        <v>4311</v>
      </c>
      <c r="B35">
        <v>10000</v>
      </c>
      <c r="C35">
        <v>30000</v>
      </c>
      <c r="D35" s="2">
        <v>45744</v>
      </c>
      <c r="E35" t="s">
        <v>61</v>
      </c>
      <c r="F35" t="s">
        <v>4312</v>
      </c>
      <c r="G35" t="s">
        <v>4218</v>
      </c>
      <c r="I35">
        <v>3</v>
      </c>
      <c r="J35" t="s">
        <v>63</v>
      </c>
      <c r="K35">
        <v>85</v>
      </c>
      <c r="L35" t="s">
        <v>327</v>
      </c>
      <c r="M35" s="4">
        <v>10000</v>
      </c>
      <c r="P35" s="2">
        <v>45743</v>
      </c>
      <c r="R35">
        <v>11</v>
      </c>
      <c r="S35" s="4">
        <v>110000</v>
      </c>
      <c r="T35" t="s">
        <v>65</v>
      </c>
      <c r="U35" t="s">
        <v>4313</v>
      </c>
      <c r="V35">
        <v>0</v>
      </c>
      <c r="W35" s="4">
        <v>100000</v>
      </c>
      <c r="X35" s="4">
        <v>10000</v>
      </c>
      <c r="Y35">
        <v>0</v>
      </c>
      <c r="Z35">
        <v>0</v>
      </c>
      <c r="AA35">
        <v>0</v>
      </c>
      <c r="AD35">
        <v>0</v>
      </c>
      <c r="AM35" t="s">
        <v>4314</v>
      </c>
      <c r="AN35" t="s">
        <v>107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4315</v>
      </c>
      <c r="BA35">
        <v>0</v>
      </c>
      <c r="BC35" t="s">
        <v>107</v>
      </c>
      <c r="BF35" t="s">
        <v>4316</v>
      </c>
    </row>
    <row r="36" spans="1:58" x14ac:dyDescent="0.35">
      <c r="A36" t="s">
        <v>4321</v>
      </c>
      <c r="B36">
        <v>10000</v>
      </c>
      <c r="C36">
        <v>30000</v>
      </c>
      <c r="D36" s="2">
        <v>45744</v>
      </c>
      <c r="E36" t="s">
        <v>95</v>
      </c>
      <c r="F36" t="s">
        <v>359</v>
      </c>
      <c r="G36" t="s">
        <v>4322</v>
      </c>
      <c r="I36">
        <v>3</v>
      </c>
      <c r="J36" t="s">
        <v>63</v>
      </c>
      <c r="K36">
        <v>85</v>
      </c>
      <c r="L36" t="s">
        <v>327</v>
      </c>
      <c r="M36" s="4">
        <v>20000</v>
      </c>
      <c r="P36" s="2">
        <v>45743</v>
      </c>
      <c r="R36">
        <v>11</v>
      </c>
      <c r="S36" s="4">
        <v>220000</v>
      </c>
      <c r="T36" t="s">
        <v>65</v>
      </c>
      <c r="U36" t="s">
        <v>1224</v>
      </c>
      <c r="V36">
        <v>0</v>
      </c>
      <c r="W36" s="4">
        <v>200000</v>
      </c>
      <c r="X36" s="4">
        <v>20000</v>
      </c>
      <c r="Y36">
        <v>0</v>
      </c>
      <c r="Z36">
        <v>0</v>
      </c>
      <c r="AA36">
        <v>0</v>
      </c>
      <c r="AD36">
        <v>0</v>
      </c>
      <c r="AM36" t="s">
        <v>1225</v>
      </c>
      <c r="AN36" t="s">
        <v>107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4323</v>
      </c>
      <c r="BA36">
        <v>0</v>
      </c>
      <c r="BC36" t="s">
        <v>107</v>
      </c>
      <c r="BF36" t="s">
        <v>4324</v>
      </c>
    </row>
    <row r="37" spans="1:58" x14ac:dyDescent="0.35">
      <c r="A37" t="s">
        <v>5833</v>
      </c>
      <c r="B37">
        <v>10000</v>
      </c>
      <c r="C37">
        <v>10000</v>
      </c>
      <c r="D37" s="2">
        <v>45743</v>
      </c>
      <c r="E37" t="s">
        <v>61</v>
      </c>
      <c r="F37" t="s">
        <v>5834</v>
      </c>
      <c r="G37" t="s">
        <v>5835</v>
      </c>
      <c r="I37">
        <v>1</v>
      </c>
      <c r="J37" t="s">
        <v>63</v>
      </c>
      <c r="K37">
        <v>78</v>
      </c>
      <c r="L37" t="s">
        <v>188</v>
      </c>
      <c r="M37">
        <v>250</v>
      </c>
      <c r="P37" s="2">
        <v>45743</v>
      </c>
      <c r="R37">
        <v>2</v>
      </c>
      <c r="S37">
        <v>500</v>
      </c>
      <c r="T37" t="s">
        <v>65</v>
      </c>
      <c r="U37" t="s">
        <v>5836</v>
      </c>
      <c r="V37">
        <v>0</v>
      </c>
      <c r="W37">
        <v>500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5837</v>
      </c>
      <c r="AN37" t="s">
        <v>1241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5838</v>
      </c>
      <c r="BA37">
        <v>0</v>
      </c>
      <c r="BC37" t="s">
        <v>1241</v>
      </c>
      <c r="BF37" t="s">
        <v>3555</v>
      </c>
    </row>
    <row r="38" spans="1:58" x14ac:dyDescent="0.35">
      <c r="A38" t="s">
        <v>4333</v>
      </c>
      <c r="B38">
        <v>10000</v>
      </c>
      <c r="C38">
        <v>30000</v>
      </c>
      <c r="D38" s="2">
        <v>45744</v>
      </c>
      <c r="E38" t="s">
        <v>61</v>
      </c>
      <c r="F38" t="s">
        <v>3979</v>
      </c>
      <c r="G38" t="s">
        <v>4218</v>
      </c>
      <c r="I38">
        <v>3</v>
      </c>
      <c r="J38" t="s">
        <v>63</v>
      </c>
      <c r="K38">
        <v>85</v>
      </c>
      <c r="L38" t="s">
        <v>327</v>
      </c>
      <c r="M38" s="4">
        <v>10000</v>
      </c>
      <c r="P38" s="2">
        <v>45743</v>
      </c>
      <c r="R38">
        <v>11</v>
      </c>
      <c r="S38" s="4">
        <v>110000</v>
      </c>
      <c r="T38" t="s">
        <v>65</v>
      </c>
      <c r="U38" t="s">
        <v>4334</v>
      </c>
      <c r="V38">
        <v>0</v>
      </c>
      <c r="W38" s="4">
        <v>100000</v>
      </c>
      <c r="X38" s="4">
        <v>10000</v>
      </c>
      <c r="Y38">
        <v>0</v>
      </c>
      <c r="Z38">
        <v>0</v>
      </c>
      <c r="AA38">
        <v>0</v>
      </c>
      <c r="AD38">
        <v>0</v>
      </c>
      <c r="AM38" t="s">
        <v>4335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4336</v>
      </c>
      <c r="BA38">
        <v>0</v>
      </c>
      <c r="BC38" t="s">
        <v>107</v>
      </c>
      <c r="BF38" t="s">
        <v>4337</v>
      </c>
    </row>
    <row r="39" spans="1:58" x14ac:dyDescent="0.35">
      <c r="A39" t="s">
        <v>5336</v>
      </c>
      <c r="B39">
        <v>10000</v>
      </c>
      <c r="C39">
        <v>20000</v>
      </c>
      <c r="D39" s="2">
        <v>45744</v>
      </c>
      <c r="E39" t="s">
        <v>95</v>
      </c>
      <c r="F39" t="s">
        <v>2194</v>
      </c>
      <c r="G39" t="s">
        <v>5337</v>
      </c>
      <c r="I39">
        <v>2</v>
      </c>
      <c r="J39" t="s">
        <v>63</v>
      </c>
      <c r="K39">
        <v>60</v>
      </c>
      <c r="L39" t="s">
        <v>277</v>
      </c>
      <c r="M39" s="4">
        <v>14000</v>
      </c>
      <c r="P39" s="2">
        <v>45743</v>
      </c>
      <c r="R39">
        <v>1</v>
      </c>
      <c r="S39" s="4">
        <v>14000</v>
      </c>
      <c r="T39" t="s">
        <v>65</v>
      </c>
      <c r="U39" t="s">
        <v>5338</v>
      </c>
      <c r="V39">
        <v>0</v>
      </c>
      <c r="W39" s="4">
        <v>10000</v>
      </c>
      <c r="X39" s="4">
        <v>4000</v>
      </c>
      <c r="Y39">
        <v>0</v>
      </c>
      <c r="Z39">
        <v>0</v>
      </c>
      <c r="AA39">
        <v>0</v>
      </c>
      <c r="AD39">
        <v>0</v>
      </c>
      <c r="AM39" t="s">
        <v>5339</v>
      </c>
      <c r="AN39" t="s">
        <v>4812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5340</v>
      </c>
      <c r="BA39">
        <v>0</v>
      </c>
      <c r="BC39" t="s">
        <v>4812</v>
      </c>
      <c r="BF39" t="s">
        <v>5341</v>
      </c>
    </row>
    <row r="40" spans="1:58" x14ac:dyDescent="0.35">
      <c r="A40" t="s">
        <v>5839</v>
      </c>
      <c r="B40">
        <v>10000</v>
      </c>
      <c r="C40">
        <v>10000</v>
      </c>
      <c r="D40" s="2">
        <v>45744</v>
      </c>
      <c r="E40" t="s">
        <v>61</v>
      </c>
      <c r="F40" t="s">
        <v>5840</v>
      </c>
      <c r="G40" t="s">
        <v>5717</v>
      </c>
      <c r="I40">
        <v>1</v>
      </c>
      <c r="J40" t="s">
        <v>63</v>
      </c>
      <c r="K40">
        <v>72</v>
      </c>
      <c r="L40" t="s">
        <v>163</v>
      </c>
      <c r="M40" s="4">
        <v>1750</v>
      </c>
      <c r="P40" s="2">
        <v>45743</v>
      </c>
      <c r="R40">
        <v>4</v>
      </c>
      <c r="S40" s="4">
        <v>7000</v>
      </c>
      <c r="T40" t="s">
        <v>65</v>
      </c>
      <c r="U40">
        <v>83615110001</v>
      </c>
      <c r="V40">
        <v>0</v>
      </c>
      <c r="W40" s="4">
        <v>5000</v>
      </c>
      <c r="X40" s="4">
        <v>2000</v>
      </c>
      <c r="Y40">
        <v>0</v>
      </c>
      <c r="Z40">
        <v>0</v>
      </c>
      <c r="AA40">
        <v>0</v>
      </c>
      <c r="AD40">
        <v>0</v>
      </c>
      <c r="AM40">
        <v>8361511</v>
      </c>
      <c r="AN40" t="s">
        <v>91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5841</v>
      </c>
      <c r="BA40">
        <v>0</v>
      </c>
      <c r="BC40" t="s">
        <v>91</v>
      </c>
      <c r="BF40" t="s">
        <v>3589</v>
      </c>
    </row>
    <row r="41" spans="1:58" x14ac:dyDescent="0.35">
      <c r="A41" t="s">
        <v>5842</v>
      </c>
      <c r="B41">
        <v>10000</v>
      </c>
      <c r="C41">
        <v>10000</v>
      </c>
      <c r="D41" s="2">
        <v>45744</v>
      </c>
      <c r="E41" t="s">
        <v>61</v>
      </c>
      <c r="F41" t="s">
        <v>5843</v>
      </c>
      <c r="G41" t="s">
        <v>5717</v>
      </c>
      <c r="I41">
        <v>1</v>
      </c>
      <c r="J41" t="s">
        <v>63</v>
      </c>
      <c r="K41">
        <v>72</v>
      </c>
      <c r="L41" t="s">
        <v>163</v>
      </c>
      <c r="M41" s="4">
        <v>2000</v>
      </c>
      <c r="P41" s="2">
        <v>45743</v>
      </c>
      <c r="R41">
        <v>4</v>
      </c>
      <c r="S41" s="4">
        <v>8000</v>
      </c>
      <c r="T41" t="s">
        <v>65</v>
      </c>
      <c r="U41">
        <v>83615230001</v>
      </c>
      <c r="V41">
        <v>0</v>
      </c>
      <c r="W41" s="4">
        <v>6000</v>
      </c>
      <c r="X41" s="4">
        <v>2000</v>
      </c>
      <c r="Y41">
        <v>0</v>
      </c>
      <c r="Z41">
        <v>0</v>
      </c>
      <c r="AA41">
        <v>0</v>
      </c>
      <c r="AD41">
        <v>0</v>
      </c>
      <c r="AM41">
        <v>8361523</v>
      </c>
      <c r="AN41" t="s">
        <v>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5844</v>
      </c>
      <c r="BA41">
        <v>0</v>
      </c>
      <c r="BC41" t="s">
        <v>91</v>
      </c>
      <c r="BF41" t="s">
        <v>3589</v>
      </c>
    </row>
    <row r="42" spans="1:58" x14ac:dyDescent="0.35">
      <c r="A42" t="s">
        <v>5845</v>
      </c>
      <c r="B42">
        <v>10000</v>
      </c>
      <c r="C42">
        <v>10000</v>
      </c>
      <c r="D42" s="2">
        <v>45748</v>
      </c>
      <c r="E42" t="s">
        <v>61</v>
      </c>
      <c r="F42" t="s">
        <v>5846</v>
      </c>
      <c r="G42" t="s">
        <v>5717</v>
      </c>
      <c r="I42">
        <v>1</v>
      </c>
      <c r="J42" t="s">
        <v>63</v>
      </c>
      <c r="K42">
        <v>72</v>
      </c>
      <c r="L42" t="s">
        <v>163</v>
      </c>
      <c r="M42" s="4">
        <v>4500</v>
      </c>
      <c r="P42" s="2">
        <v>45743</v>
      </c>
      <c r="R42">
        <v>4</v>
      </c>
      <c r="S42" s="4">
        <v>18000</v>
      </c>
      <c r="T42" t="s">
        <v>65</v>
      </c>
      <c r="U42">
        <v>83615250001</v>
      </c>
      <c r="V42">
        <v>0</v>
      </c>
      <c r="W42" s="4">
        <v>15000</v>
      </c>
      <c r="X42" s="4">
        <v>3000</v>
      </c>
      <c r="Y42">
        <v>0</v>
      </c>
      <c r="Z42">
        <v>0</v>
      </c>
      <c r="AA42">
        <v>0</v>
      </c>
      <c r="AD42">
        <v>0</v>
      </c>
      <c r="AM42">
        <v>8361525</v>
      </c>
      <c r="AN42" t="s">
        <v>91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5847</v>
      </c>
      <c r="BA42">
        <v>0</v>
      </c>
      <c r="BC42" t="s">
        <v>91</v>
      </c>
      <c r="BF42" t="s">
        <v>3589</v>
      </c>
    </row>
    <row r="43" spans="1:58" x14ac:dyDescent="0.35">
      <c r="A43" t="s">
        <v>5848</v>
      </c>
      <c r="B43">
        <v>10000</v>
      </c>
      <c r="C43">
        <v>10000</v>
      </c>
      <c r="D43" s="2">
        <v>45744</v>
      </c>
      <c r="E43" t="s">
        <v>61</v>
      </c>
      <c r="F43" t="s">
        <v>5849</v>
      </c>
      <c r="G43" t="s">
        <v>5717</v>
      </c>
      <c r="I43">
        <v>1</v>
      </c>
      <c r="J43" t="s">
        <v>63</v>
      </c>
      <c r="K43">
        <v>72</v>
      </c>
      <c r="L43" t="s">
        <v>163</v>
      </c>
      <c r="M43" s="4">
        <v>1750</v>
      </c>
      <c r="P43" s="2">
        <v>45743</v>
      </c>
      <c r="R43">
        <v>4</v>
      </c>
      <c r="S43" s="4">
        <v>7000</v>
      </c>
      <c r="T43" t="s">
        <v>65</v>
      </c>
      <c r="U43">
        <v>5000443900001</v>
      </c>
      <c r="V43">
        <v>0</v>
      </c>
      <c r="W43" s="4">
        <v>5000</v>
      </c>
      <c r="X43" s="4">
        <v>2000</v>
      </c>
      <c r="Y43">
        <v>0</v>
      </c>
      <c r="Z43">
        <v>0</v>
      </c>
      <c r="AA43">
        <v>0</v>
      </c>
      <c r="AD43">
        <v>0</v>
      </c>
      <c r="AM43">
        <v>500044390</v>
      </c>
      <c r="AN43" t="s">
        <v>91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5850</v>
      </c>
      <c r="BA43">
        <v>0</v>
      </c>
      <c r="BC43" t="s">
        <v>91</v>
      </c>
      <c r="BF43" t="s">
        <v>3589</v>
      </c>
    </row>
    <row r="44" spans="1:58" x14ac:dyDescent="0.35">
      <c r="A44" t="s">
        <v>5851</v>
      </c>
      <c r="B44">
        <v>10000</v>
      </c>
      <c r="C44">
        <v>10000</v>
      </c>
      <c r="D44" s="2">
        <v>45748</v>
      </c>
      <c r="E44" t="s">
        <v>61</v>
      </c>
      <c r="F44" t="s">
        <v>5852</v>
      </c>
      <c r="G44" t="s">
        <v>5717</v>
      </c>
      <c r="I44">
        <v>1</v>
      </c>
      <c r="J44" t="s">
        <v>63</v>
      </c>
      <c r="K44">
        <v>72</v>
      </c>
      <c r="L44" t="s">
        <v>163</v>
      </c>
      <c r="M44" s="4">
        <v>4250</v>
      </c>
      <c r="P44" s="2">
        <v>45743</v>
      </c>
      <c r="R44">
        <v>4</v>
      </c>
      <c r="S44" s="4">
        <v>17000</v>
      </c>
      <c r="T44" t="s">
        <v>65</v>
      </c>
      <c r="U44">
        <v>5000444460001</v>
      </c>
      <c r="V44">
        <v>0</v>
      </c>
      <c r="W44" s="4">
        <v>15000</v>
      </c>
      <c r="X44" s="4">
        <v>2000</v>
      </c>
      <c r="Y44">
        <v>0</v>
      </c>
      <c r="Z44">
        <v>0</v>
      </c>
      <c r="AA44">
        <v>0</v>
      </c>
      <c r="AD44">
        <v>0</v>
      </c>
      <c r="AM44">
        <v>500044446</v>
      </c>
      <c r="AN44" t="s">
        <v>91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5853</v>
      </c>
      <c r="BA44">
        <v>0</v>
      </c>
      <c r="BC44" t="s">
        <v>91</v>
      </c>
      <c r="BF44" t="s">
        <v>3589</v>
      </c>
    </row>
    <row r="45" spans="1:58" x14ac:dyDescent="0.35">
      <c r="A45" t="s">
        <v>5854</v>
      </c>
      <c r="B45">
        <v>10000</v>
      </c>
      <c r="C45">
        <v>10000</v>
      </c>
      <c r="D45" s="2">
        <v>45744</v>
      </c>
      <c r="E45" t="s">
        <v>61</v>
      </c>
      <c r="F45" t="s">
        <v>5855</v>
      </c>
      <c r="G45" t="s">
        <v>5717</v>
      </c>
      <c r="I45">
        <v>1</v>
      </c>
      <c r="J45" t="s">
        <v>63</v>
      </c>
      <c r="K45">
        <v>72</v>
      </c>
      <c r="L45" t="s">
        <v>163</v>
      </c>
      <c r="M45" s="4">
        <v>5750</v>
      </c>
      <c r="P45" s="2">
        <v>45743</v>
      </c>
      <c r="R45">
        <v>4</v>
      </c>
      <c r="S45" s="4">
        <v>23000</v>
      </c>
      <c r="T45" t="s">
        <v>65</v>
      </c>
      <c r="U45">
        <v>5000514810001</v>
      </c>
      <c r="V45">
        <v>0</v>
      </c>
      <c r="W45" s="4">
        <v>20000</v>
      </c>
      <c r="X45" s="4">
        <v>3000</v>
      </c>
      <c r="Y45">
        <v>0</v>
      </c>
      <c r="Z45">
        <v>0</v>
      </c>
      <c r="AA45">
        <v>0</v>
      </c>
      <c r="AD45">
        <v>0</v>
      </c>
      <c r="AM45">
        <v>500051481</v>
      </c>
      <c r="AN45" t="s">
        <v>91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5856</v>
      </c>
      <c r="BA45">
        <v>0</v>
      </c>
      <c r="BC45" t="s">
        <v>91</v>
      </c>
      <c r="BF45" t="s">
        <v>3589</v>
      </c>
    </row>
    <row r="46" spans="1:58" x14ac:dyDescent="0.35">
      <c r="A46" t="s">
        <v>5857</v>
      </c>
      <c r="B46">
        <v>10000</v>
      </c>
      <c r="C46">
        <v>10000</v>
      </c>
      <c r="D46" s="2">
        <v>45744</v>
      </c>
      <c r="E46" t="s">
        <v>61</v>
      </c>
      <c r="F46" s="3">
        <v>0.48218749999999999</v>
      </c>
      <c r="G46" t="s">
        <v>5717</v>
      </c>
      <c r="I46">
        <v>1</v>
      </c>
      <c r="J46" t="s">
        <v>63</v>
      </c>
      <c r="K46">
        <v>72</v>
      </c>
      <c r="L46" t="s">
        <v>528</v>
      </c>
      <c r="M46" s="4">
        <v>1750</v>
      </c>
      <c r="P46" s="2">
        <v>45743</v>
      </c>
      <c r="R46">
        <v>4</v>
      </c>
      <c r="S46" s="4">
        <v>7000</v>
      </c>
      <c r="T46" t="s">
        <v>65</v>
      </c>
      <c r="U46">
        <v>5000435310001</v>
      </c>
      <c r="V46">
        <v>0</v>
      </c>
      <c r="W46" s="4">
        <v>5000</v>
      </c>
      <c r="X46" s="4">
        <v>2000</v>
      </c>
      <c r="Y46">
        <v>0</v>
      </c>
      <c r="Z46">
        <v>0</v>
      </c>
      <c r="AA46">
        <v>0</v>
      </c>
      <c r="AD46">
        <v>0</v>
      </c>
      <c r="AM46">
        <v>500043531</v>
      </c>
      <c r="AN46" t="s">
        <v>91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5858</v>
      </c>
      <c r="BA46">
        <v>0</v>
      </c>
      <c r="BC46" t="s">
        <v>91</v>
      </c>
      <c r="BF46" t="s">
        <v>4342</v>
      </c>
    </row>
    <row r="47" spans="1:58" x14ac:dyDescent="0.35">
      <c r="A47" t="s">
        <v>5859</v>
      </c>
      <c r="B47">
        <v>10000</v>
      </c>
      <c r="C47">
        <v>10000</v>
      </c>
      <c r="D47" s="2">
        <v>45744</v>
      </c>
      <c r="E47" t="s">
        <v>61</v>
      </c>
      <c r="F47" s="3">
        <v>0.48218749999999999</v>
      </c>
      <c r="G47" t="s">
        <v>5717</v>
      </c>
      <c r="I47">
        <v>1</v>
      </c>
      <c r="J47" t="s">
        <v>63</v>
      </c>
      <c r="K47">
        <v>72</v>
      </c>
      <c r="L47" t="s">
        <v>528</v>
      </c>
      <c r="M47" s="4">
        <v>1750</v>
      </c>
      <c r="P47" s="2">
        <v>45743</v>
      </c>
      <c r="R47">
        <v>4</v>
      </c>
      <c r="S47" s="4">
        <v>7000</v>
      </c>
      <c r="T47" t="s">
        <v>65</v>
      </c>
      <c r="U47">
        <v>5000444160001</v>
      </c>
      <c r="V47">
        <v>0</v>
      </c>
      <c r="W47" s="4">
        <v>5000</v>
      </c>
      <c r="X47" s="4">
        <v>2000</v>
      </c>
      <c r="Y47">
        <v>0</v>
      </c>
      <c r="Z47">
        <v>0</v>
      </c>
      <c r="AA47">
        <v>0</v>
      </c>
      <c r="AD47">
        <v>0</v>
      </c>
      <c r="AM47">
        <v>500044416</v>
      </c>
      <c r="AN47" t="s">
        <v>91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5860</v>
      </c>
      <c r="BA47">
        <v>0</v>
      </c>
      <c r="BC47" t="s">
        <v>91</v>
      </c>
      <c r="BF47" t="s">
        <v>4342</v>
      </c>
    </row>
    <row r="48" spans="1:58" x14ac:dyDescent="0.35">
      <c r="A48" t="s">
        <v>4346</v>
      </c>
      <c r="B48">
        <v>10000</v>
      </c>
      <c r="C48">
        <v>30000</v>
      </c>
      <c r="D48" s="2">
        <v>45744</v>
      </c>
      <c r="E48" t="s">
        <v>61</v>
      </c>
      <c r="F48" t="s">
        <v>4347</v>
      </c>
      <c r="G48" t="s">
        <v>4218</v>
      </c>
      <c r="I48">
        <v>3</v>
      </c>
      <c r="J48" t="s">
        <v>63</v>
      </c>
      <c r="K48">
        <v>85</v>
      </c>
      <c r="L48" t="s">
        <v>327</v>
      </c>
      <c r="M48" s="4">
        <v>10000</v>
      </c>
      <c r="P48" s="2">
        <v>45743</v>
      </c>
      <c r="R48">
        <v>11</v>
      </c>
      <c r="S48" s="4">
        <v>110000</v>
      </c>
      <c r="T48" t="s">
        <v>65</v>
      </c>
      <c r="U48" t="s">
        <v>1218</v>
      </c>
      <c r="V48">
        <v>0</v>
      </c>
      <c r="W48" s="4">
        <v>100000</v>
      </c>
      <c r="X48" s="4">
        <v>10000</v>
      </c>
      <c r="Y48">
        <v>0</v>
      </c>
      <c r="Z48">
        <v>0</v>
      </c>
      <c r="AA48">
        <v>0</v>
      </c>
      <c r="AD48">
        <v>0</v>
      </c>
      <c r="AM48" t="s">
        <v>1219</v>
      </c>
      <c r="AN48" t="s">
        <v>107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4348</v>
      </c>
      <c r="BA48">
        <v>0</v>
      </c>
      <c r="BC48" t="s">
        <v>107</v>
      </c>
      <c r="BF48" t="s">
        <v>4349</v>
      </c>
    </row>
    <row r="49" spans="1:58" x14ac:dyDescent="0.35">
      <c r="A49" t="s">
        <v>4350</v>
      </c>
      <c r="B49">
        <v>10000</v>
      </c>
      <c r="C49">
        <v>30000</v>
      </c>
      <c r="D49" s="2">
        <v>45744</v>
      </c>
      <c r="E49" t="s">
        <v>61</v>
      </c>
      <c r="F49" t="s">
        <v>4351</v>
      </c>
      <c r="G49" t="s">
        <v>4218</v>
      </c>
      <c r="I49">
        <v>3</v>
      </c>
      <c r="J49" t="s">
        <v>63</v>
      </c>
      <c r="K49">
        <v>85</v>
      </c>
      <c r="L49" t="s">
        <v>327</v>
      </c>
      <c r="M49" s="4">
        <v>10000</v>
      </c>
      <c r="P49" s="2">
        <v>45743</v>
      </c>
      <c r="R49">
        <v>11</v>
      </c>
      <c r="S49" s="4">
        <v>110000</v>
      </c>
      <c r="T49" t="s">
        <v>65</v>
      </c>
      <c r="U49" t="s">
        <v>1657</v>
      </c>
      <c r="V49">
        <v>0</v>
      </c>
      <c r="W49" s="4">
        <v>100000</v>
      </c>
      <c r="X49" s="4">
        <v>10000</v>
      </c>
      <c r="Y49">
        <v>0</v>
      </c>
      <c r="Z49">
        <v>0</v>
      </c>
      <c r="AA49">
        <v>0</v>
      </c>
      <c r="AD49">
        <v>0</v>
      </c>
      <c r="AM49" t="s">
        <v>1658</v>
      </c>
      <c r="AN49" t="s">
        <v>107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4352</v>
      </c>
      <c r="BA49">
        <v>0</v>
      </c>
      <c r="BC49" t="s">
        <v>107</v>
      </c>
      <c r="BF49" t="s">
        <v>4353</v>
      </c>
    </row>
    <row r="50" spans="1:58" x14ac:dyDescent="0.35">
      <c r="A50" t="s">
        <v>5861</v>
      </c>
      <c r="B50">
        <v>10000</v>
      </c>
      <c r="C50">
        <v>10000</v>
      </c>
      <c r="D50" s="2">
        <v>45743</v>
      </c>
      <c r="E50" t="s">
        <v>61</v>
      </c>
      <c r="F50" s="3">
        <v>0.46777777777777779</v>
      </c>
      <c r="G50" t="s">
        <v>5862</v>
      </c>
      <c r="I50">
        <v>1</v>
      </c>
      <c r="J50" t="s">
        <v>63</v>
      </c>
      <c r="K50">
        <v>94</v>
      </c>
      <c r="L50" t="s">
        <v>181</v>
      </c>
      <c r="M50">
        <v>167</v>
      </c>
      <c r="P50" s="2">
        <v>45743</v>
      </c>
      <c r="R50">
        <v>6</v>
      </c>
      <c r="S50" s="4">
        <v>1002</v>
      </c>
      <c r="T50" t="s">
        <v>65</v>
      </c>
      <c r="U50" t="s">
        <v>1405</v>
      </c>
      <c r="V50">
        <v>0</v>
      </c>
      <c r="W50" s="4">
        <v>1000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1406</v>
      </c>
      <c r="AN50" t="s">
        <v>3615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5863</v>
      </c>
      <c r="BA50">
        <v>0</v>
      </c>
      <c r="BC50" t="s">
        <v>3615</v>
      </c>
      <c r="BF50" t="s">
        <v>3617</v>
      </c>
    </row>
    <row r="51" spans="1:58" x14ac:dyDescent="0.35">
      <c r="A51" t="s">
        <v>5864</v>
      </c>
      <c r="B51">
        <v>10000</v>
      </c>
      <c r="C51">
        <v>10000</v>
      </c>
      <c r="D51" s="2">
        <v>45744</v>
      </c>
      <c r="E51" t="s">
        <v>61</v>
      </c>
      <c r="F51" s="3">
        <v>0.45989583333333334</v>
      </c>
      <c r="G51" t="s">
        <v>5865</v>
      </c>
      <c r="I51">
        <v>1</v>
      </c>
      <c r="J51" t="s">
        <v>63</v>
      </c>
      <c r="K51">
        <v>61</v>
      </c>
      <c r="L51" t="s">
        <v>216</v>
      </c>
      <c r="M51" s="4">
        <v>1500</v>
      </c>
      <c r="P51" s="2">
        <v>45743</v>
      </c>
      <c r="R51">
        <v>2</v>
      </c>
      <c r="S51" s="4">
        <v>3000</v>
      </c>
      <c r="T51" t="s">
        <v>65</v>
      </c>
      <c r="U51">
        <v>701534290001</v>
      </c>
      <c r="V51">
        <v>0</v>
      </c>
      <c r="W51" s="4">
        <v>3000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70153429</v>
      </c>
      <c r="AN51" t="s">
        <v>1139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5866</v>
      </c>
      <c r="BA51">
        <v>0</v>
      </c>
      <c r="BC51" t="s">
        <v>1139</v>
      </c>
      <c r="BF51" t="s">
        <v>5867</v>
      </c>
    </row>
    <row r="52" spans="1:58" x14ac:dyDescent="0.35">
      <c r="A52" t="s">
        <v>4453</v>
      </c>
      <c r="B52">
        <v>10000</v>
      </c>
      <c r="C52">
        <v>30000</v>
      </c>
      <c r="D52" s="2">
        <v>45744</v>
      </c>
      <c r="E52" t="s">
        <v>61</v>
      </c>
      <c r="F52" t="s">
        <v>4454</v>
      </c>
      <c r="G52" t="s">
        <v>4218</v>
      </c>
      <c r="I52">
        <v>3</v>
      </c>
      <c r="J52" t="s">
        <v>63</v>
      </c>
      <c r="K52">
        <v>85</v>
      </c>
      <c r="L52" t="s">
        <v>327</v>
      </c>
      <c r="M52" s="4">
        <v>10000</v>
      </c>
      <c r="P52" s="2">
        <v>45743</v>
      </c>
      <c r="R52">
        <v>11</v>
      </c>
      <c r="S52" s="4">
        <v>110000</v>
      </c>
      <c r="T52" t="s">
        <v>65</v>
      </c>
      <c r="U52" t="s">
        <v>4455</v>
      </c>
      <c r="V52">
        <v>0</v>
      </c>
      <c r="W52" s="4">
        <v>100000</v>
      </c>
      <c r="X52" s="4">
        <v>10000</v>
      </c>
      <c r="Y52">
        <v>0</v>
      </c>
      <c r="Z52">
        <v>0</v>
      </c>
      <c r="AA52">
        <v>0</v>
      </c>
      <c r="AD52">
        <v>0</v>
      </c>
      <c r="AM52" t="s">
        <v>4456</v>
      </c>
      <c r="AN52" t="s">
        <v>107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4457</v>
      </c>
      <c r="BA52">
        <v>0</v>
      </c>
      <c r="BC52" t="s">
        <v>107</v>
      </c>
      <c r="BF52" t="s">
        <v>4458</v>
      </c>
    </row>
    <row r="53" spans="1:58" x14ac:dyDescent="0.35">
      <c r="A53" t="s">
        <v>4459</v>
      </c>
      <c r="B53">
        <v>10000</v>
      </c>
      <c r="C53">
        <v>30000</v>
      </c>
      <c r="D53" s="2">
        <v>45744</v>
      </c>
      <c r="E53" t="s">
        <v>61</v>
      </c>
      <c r="F53" t="s">
        <v>4460</v>
      </c>
      <c r="G53" t="s">
        <v>4218</v>
      </c>
      <c r="I53">
        <v>3</v>
      </c>
      <c r="J53" t="s">
        <v>63</v>
      </c>
      <c r="K53">
        <v>85</v>
      </c>
      <c r="L53" t="s">
        <v>327</v>
      </c>
      <c r="M53" s="4">
        <v>10000</v>
      </c>
      <c r="P53" s="2">
        <v>45743</v>
      </c>
      <c r="R53">
        <v>11</v>
      </c>
      <c r="S53" s="4">
        <v>110000</v>
      </c>
      <c r="T53" t="s">
        <v>65</v>
      </c>
      <c r="U53" t="s">
        <v>1527</v>
      </c>
      <c r="V53">
        <v>0</v>
      </c>
      <c r="W53" s="4">
        <v>100000</v>
      </c>
      <c r="X53" s="4">
        <v>10000</v>
      </c>
      <c r="Y53">
        <v>0</v>
      </c>
      <c r="Z53">
        <v>0</v>
      </c>
      <c r="AA53">
        <v>0</v>
      </c>
      <c r="AD53">
        <v>0</v>
      </c>
      <c r="AM53" t="s">
        <v>1528</v>
      </c>
      <c r="AN53" t="s">
        <v>107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4461</v>
      </c>
      <c r="BA53">
        <v>0</v>
      </c>
      <c r="BC53" t="s">
        <v>107</v>
      </c>
      <c r="BF53" t="s">
        <v>4462</v>
      </c>
    </row>
    <row r="54" spans="1:58" x14ac:dyDescent="0.35">
      <c r="A54" t="s">
        <v>4463</v>
      </c>
      <c r="B54">
        <v>10000</v>
      </c>
      <c r="C54">
        <v>30000</v>
      </c>
      <c r="D54" s="2">
        <v>45744</v>
      </c>
      <c r="E54" t="s">
        <v>61</v>
      </c>
      <c r="F54" t="s">
        <v>4464</v>
      </c>
      <c r="G54" t="s">
        <v>4218</v>
      </c>
      <c r="I54">
        <v>3</v>
      </c>
      <c r="J54" t="s">
        <v>63</v>
      </c>
      <c r="K54">
        <v>85</v>
      </c>
      <c r="L54" t="s">
        <v>327</v>
      </c>
      <c r="M54" s="4">
        <v>10000</v>
      </c>
      <c r="P54" s="2">
        <v>45743</v>
      </c>
      <c r="R54">
        <v>11</v>
      </c>
      <c r="S54" s="4">
        <v>110000</v>
      </c>
      <c r="T54" t="s">
        <v>65</v>
      </c>
      <c r="U54" t="s">
        <v>1334</v>
      </c>
      <c r="V54">
        <v>0</v>
      </c>
      <c r="W54" s="4">
        <v>100000</v>
      </c>
      <c r="X54" s="4">
        <v>10000</v>
      </c>
      <c r="Y54">
        <v>0</v>
      </c>
      <c r="Z54">
        <v>0</v>
      </c>
      <c r="AA54">
        <v>0</v>
      </c>
      <c r="AD54">
        <v>0</v>
      </c>
      <c r="AM54" t="s">
        <v>1335</v>
      </c>
      <c r="AN54" t="s">
        <v>107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4465</v>
      </c>
      <c r="BA54">
        <v>0</v>
      </c>
      <c r="BC54" t="s">
        <v>107</v>
      </c>
      <c r="BF54" t="s">
        <v>4466</v>
      </c>
    </row>
    <row r="55" spans="1:58" x14ac:dyDescent="0.35">
      <c r="A55" t="s">
        <v>5868</v>
      </c>
      <c r="B55">
        <v>10000</v>
      </c>
      <c r="C55">
        <v>20000</v>
      </c>
      <c r="D55" s="2">
        <v>45748</v>
      </c>
      <c r="E55" t="s">
        <v>61</v>
      </c>
      <c r="F55" t="s">
        <v>4649</v>
      </c>
      <c r="G55" t="s">
        <v>4245</v>
      </c>
      <c r="I55">
        <v>1</v>
      </c>
      <c r="J55" t="s">
        <v>63</v>
      </c>
      <c r="K55">
        <v>63</v>
      </c>
      <c r="L55" t="s">
        <v>519</v>
      </c>
      <c r="M55" s="4">
        <v>6667</v>
      </c>
      <c r="P55" s="2">
        <v>45743</v>
      </c>
      <c r="R55">
        <v>60</v>
      </c>
      <c r="S55" s="4">
        <v>400020</v>
      </c>
      <c r="T55" t="s">
        <v>65</v>
      </c>
      <c r="U55" t="s">
        <v>587</v>
      </c>
      <c r="V55">
        <v>0</v>
      </c>
      <c r="W55" s="4">
        <v>400000</v>
      </c>
      <c r="X55">
        <v>20</v>
      </c>
      <c r="Y55">
        <v>0</v>
      </c>
      <c r="Z55">
        <v>0</v>
      </c>
      <c r="AA55">
        <v>0</v>
      </c>
      <c r="AD55">
        <v>0</v>
      </c>
      <c r="AM55" t="s">
        <v>588</v>
      </c>
      <c r="AN55" t="s">
        <v>157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5869</v>
      </c>
      <c r="BA55">
        <v>0</v>
      </c>
      <c r="BC55" t="s">
        <v>157</v>
      </c>
      <c r="BF55" t="s">
        <v>5870</v>
      </c>
    </row>
    <row r="56" spans="1:58" x14ac:dyDescent="0.35">
      <c r="A56" t="s">
        <v>5871</v>
      </c>
      <c r="B56">
        <v>10000</v>
      </c>
      <c r="C56">
        <v>10000</v>
      </c>
      <c r="D56" s="2">
        <v>45744</v>
      </c>
      <c r="E56" t="s">
        <v>61</v>
      </c>
      <c r="F56" t="s">
        <v>5652</v>
      </c>
      <c r="G56" t="s">
        <v>5872</v>
      </c>
      <c r="I56">
        <v>1</v>
      </c>
      <c r="J56" t="s">
        <v>63</v>
      </c>
      <c r="K56">
        <v>63</v>
      </c>
      <c r="L56" t="s">
        <v>519</v>
      </c>
      <c r="M56" s="4">
        <v>4000</v>
      </c>
      <c r="P56" s="2">
        <v>45743</v>
      </c>
      <c r="R56">
        <v>20</v>
      </c>
      <c r="S56" s="4">
        <v>80000</v>
      </c>
      <c r="T56" t="s">
        <v>65</v>
      </c>
      <c r="U56" t="s">
        <v>3753</v>
      </c>
      <c r="V56">
        <v>0</v>
      </c>
      <c r="W56" s="4">
        <v>80000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3754</v>
      </c>
      <c r="AN56" t="s">
        <v>175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5873</v>
      </c>
      <c r="BA56">
        <v>0</v>
      </c>
      <c r="BC56" t="s">
        <v>175</v>
      </c>
      <c r="BF56" t="s">
        <v>5874</v>
      </c>
    </row>
    <row r="57" spans="1:58" x14ac:dyDescent="0.35">
      <c r="A57" t="s">
        <v>5875</v>
      </c>
      <c r="B57">
        <v>10000</v>
      </c>
      <c r="C57">
        <v>10000</v>
      </c>
      <c r="D57" s="2">
        <v>45744</v>
      </c>
      <c r="E57" t="s">
        <v>61</v>
      </c>
      <c r="F57" t="s">
        <v>5876</v>
      </c>
      <c r="G57" t="s">
        <v>5877</v>
      </c>
      <c r="I57">
        <v>1</v>
      </c>
      <c r="J57" t="s">
        <v>63</v>
      </c>
      <c r="K57">
        <v>79</v>
      </c>
      <c r="L57" t="s">
        <v>573</v>
      </c>
      <c r="M57">
        <v>36</v>
      </c>
      <c r="P57" s="2">
        <v>45743</v>
      </c>
      <c r="R57">
        <v>1</v>
      </c>
      <c r="S57">
        <v>36</v>
      </c>
      <c r="T57" t="s">
        <v>65</v>
      </c>
      <c r="U57" t="s">
        <v>5878</v>
      </c>
      <c r="V57">
        <v>0</v>
      </c>
      <c r="W57">
        <v>36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5879</v>
      </c>
      <c r="AN57" t="s">
        <v>1275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5880</v>
      </c>
      <c r="BA57">
        <v>0</v>
      </c>
      <c r="BC57" t="s">
        <v>1275</v>
      </c>
      <c r="BF57" t="s">
        <v>5881</v>
      </c>
    </row>
    <row r="58" spans="1:58" x14ac:dyDescent="0.35">
      <c r="A58" t="s">
        <v>5882</v>
      </c>
      <c r="B58">
        <v>10000</v>
      </c>
      <c r="C58">
        <v>20000</v>
      </c>
      <c r="D58" s="2">
        <v>45744</v>
      </c>
      <c r="E58" t="s">
        <v>61</v>
      </c>
      <c r="F58" t="s">
        <v>5883</v>
      </c>
      <c r="G58" t="s">
        <v>5877</v>
      </c>
      <c r="I58">
        <v>1</v>
      </c>
      <c r="J58" t="s">
        <v>63</v>
      </c>
      <c r="K58">
        <v>79</v>
      </c>
      <c r="L58" t="s">
        <v>573</v>
      </c>
      <c r="M58">
        <v>917</v>
      </c>
      <c r="P58" s="2">
        <v>45743</v>
      </c>
      <c r="R58">
        <v>120</v>
      </c>
      <c r="S58" s="4">
        <v>110040</v>
      </c>
      <c r="T58" t="s">
        <v>65</v>
      </c>
      <c r="U58" t="s">
        <v>1273</v>
      </c>
      <c r="V58">
        <v>0</v>
      </c>
      <c r="W58" s="4">
        <v>100000</v>
      </c>
      <c r="X58" s="4">
        <v>10040</v>
      </c>
      <c r="Y58">
        <v>0</v>
      </c>
      <c r="Z58">
        <v>0</v>
      </c>
      <c r="AA58">
        <v>0</v>
      </c>
      <c r="AD58">
        <v>0</v>
      </c>
      <c r="AM58" t="s">
        <v>1274</v>
      </c>
      <c r="AN58" t="s">
        <v>1275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5884</v>
      </c>
      <c r="BA58">
        <v>0</v>
      </c>
      <c r="BC58" t="s">
        <v>1275</v>
      </c>
      <c r="BF58" t="s">
        <v>5885</v>
      </c>
    </row>
    <row r="59" spans="1:58" x14ac:dyDescent="0.35">
      <c r="A59" t="s">
        <v>5886</v>
      </c>
      <c r="B59">
        <v>10000</v>
      </c>
      <c r="C59">
        <v>10000</v>
      </c>
      <c r="D59" s="2">
        <v>45744</v>
      </c>
      <c r="E59" t="s">
        <v>61</v>
      </c>
      <c r="F59" t="s">
        <v>5887</v>
      </c>
      <c r="G59" t="s">
        <v>5877</v>
      </c>
      <c r="I59">
        <v>1</v>
      </c>
      <c r="J59" t="s">
        <v>63</v>
      </c>
      <c r="K59">
        <v>79</v>
      </c>
      <c r="L59" t="s">
        <v>573</v>
      </c>
      <c r="M59">
        <v>575</v>
      </c>
      <c r="P59" s="2">
        <v>45743</v>
      </c>
      <c r="R59">
        <v>200</v>
      </c>
      <c r="S59" s="4">
        <v>115000</v>
      </c>
      <c r="T59" t="s">
        <v>65</v>
      </c>
      <c r="U59" t="s">
        <v>1768</v>
      </c>
      <c r="V59">
        <v>0</v>
      </c>
      <c r="W59" s="4">
        <v>100000</v>
      </c>
      <c r="X59" s="4">
        <v>15000</v>
      </c>
      <c r="Y59">
        <v>0</v>
      </c>
      <c r="Z59">
        <v>0</v>
      </c>
      <c r="AA59">
        <v>0</v>
      </c>
      <c r="AD59">
        <v>0</v>
      </c>
      <c r="AM59" t="s">
        <v>1769</v>
      </c>
      <c r="AN59" t="s">
        <v>1275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5888</v>
      </c>
      <c r="BA59">
        <v>0</v>
      </c>
      <c r="BC59" t="s">
        <v>1275</v>
      </c>
      <c r="BF59" t="s">
        <v>5885</v>
      </c>
    </row>
    <row r="60" spans="1:58" x14ac:dyDescent="0.35">
      <c r="A60" t="s">
        <v>5719</v>
      </c>
      <c r="B60">
        <v>10000</v>
      </c>
      <c r="C60">
        <v>20000</v>
      </c>
      <c r="D60" s="2">
        <v>45744</v>
      </c>
      <c r="E60" t="s">
        <v>61</v>
      </c>
      <c r="F60" t="s">
        <v>5720</v>
      </c>
      <c r="G60" t="s">
        <v>4340</v>
      </c>
      <c r="I60">
        <v>2</v>
      </c>
      <c r="J60" t="s">
        <v>63</v>
      </c>
      <c r="K60">
        <v>71</v>
      </c>
      <c r="L60" t="s">
        <v>135</v>
      </c>
      <c r="M60" s="4">
        <v>13334</v>
      </c>
      <c r="P60" s="2">
        <v>45743</v>
      </c>
      <c r="R60">
        <v>6</v>
      </c>
      <c r="S60" s="4">
        <v>80004</v>
      </c>
      <c r="T60" t="s">
        <v>65</v>
      </c>
      <c r="U60" t="s">
        <v>5721</v>
      </c>
      <c r="V60">
        <v>0</v>
      </c>
      <c r="W60" s="4">
        <v>80000</v>
      </c>
      <c r="X60">
        <v>4</v>
      </c>
      <c r="Y60">
        <v>0</v>
      </c>
      <c r="Z60">
        <v>0</v>
      </c>
      <c r="AA60">
        <v>0</v>
      </c>
      <c r="AD60">
        <v>0</v>
      </c>
      <c r="AM60" t="s">
        <v>5722</v>
      </c>
      <c r="AN60" t="s">
        <v>91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5723</v>
      </c>
      <c r="BA60">
        <v>0</v>
      </c>
      <c r="BC60" t="s">
        <v>91</v>
      </c>
      <c r="BF60" t="s">
        <v>5484</v>
      </c>
    </row>
    <row r="61" spans="1:58" x14ac:dyDescent="0.35">
      <c r="A61" t="s">
        <v>5724</v>
      </c>
      <c r="B61">
        <v>10000</v>
      </c>
      <c r="C61">
        <v>20000</v>
      </c>
      <c r="D61" s="2">
        <v>45743</v>
      </c>
      <c r="E61" t="s">
        <v>61</v>
      </c>
      <c r="F61" t="s">
        <v>5735</v>
      </c>
      <c r="G61" t="s">
        <v>5717</v>
      </c>
      <c r="I61">
        <v>2</v>
      </c>
      <c r="J61" t="s">
        <v>63</v>
      </c>
      <c r="K61">
        <v>71</v>
      </c>
      <c r="L61" t="s">
        <v>135</v>
      </c>
      <c r="M61" s="4">
        <v>6667</v>
      </c>
      <c r="P61" s="2">
        <v>45743</v>
      </c>
      <c r="R61">
        <v>6</v>
      </c>
      <c r="S61" s="4">
        <v>40002</v>
      </c>
      <c r="T61" t="s">
        <v>65</v>
      </c>
      <c r="U61" t="s">
        <v>5726</v>
      </c>
      <c r="V61">
        <v>0</v>
      </c>
      <c r="W61" s="4">
        <v>40000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5727</v>
      </c>
      <c r="AN61" t="s">
        <v>91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5728</v>
      </c>
      <c r="BA61">
        <v>0</v>
      </c>
      <c r="BC61" t="s">
        <v>91</v>
      </c>
      <c r="BF61" t="s">
        <v>5484</v>
      </c>
    </row>
    <row r="62" spans="1:58" x14ac:dyDescent="0.35">
      <c r="A62" t="s">
        <v>5731</v>
      </c>
      <c r="B62">
        <v>10000</v>
      </c>
      <c r="C62">
        <v>20000</v>
      </c>
      <c r="D62" s="2">
        <v>45744</v>
      </c>
      <c r="E62" t="s">
        <v>61</v>
      </c>
      <c r="F62" t="s">
        <v>5732</v>
      </c>
      <c r="G62" t="s">
        <v>4340</v>
      </c>
      <c r="I62">
        <v>2</v>
      </c>
      <c r="J62" t="s">
        <v>63</v>
      </c>
      <c r="K62">
        <v>71</v>
      </c>
      <c r="L62" t="s">
        <v>135</v>
      </c>
      <c r="M62" s="4">
        <v>10000</v>
      </c>
      <c r="P62" s="2">
        <v>45743</v>
      </c>
      <c r="R62">
        <v>6</v>
      </c>
      <c r="S62" s="4">
        <v>60000</v>
      </c>
      <c r="T62" t="s">
        <v>65</v>
      </c>
      <c r="U62" t="s">
        <v>5721</v>
      </c>
      <c r="V62">
        <v>0</v>
      </c>
      <c r="W62" s="4">
        <v>60000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5722</v>
      </c>
      <c r="AN62" t="s">
        <v>91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5733</v>
      </c>
      <c r="BA62">
        <v>0</v>
      </c>
      <c r="BC62" t="s">
        <v>91</v>
      </c>
      <c r="BF62" t="s">
        <v>5496</v>
      </c>
    </row>
    <row r="63" spans="1:58" x14ac:dyDescent="0.35">
      <c r="A63" t="s">
        <v>5734</v>
      </c>
      <c r="B63">
        <v>10000</v>
      </c>
      <c r="C63">
        <v>20000</v>
      </c>
      <c r="D63" s="2">
        <v>45743</v>
      </c>
      <c r="E63" t="s">
        <v>61</v>
      </c>
      <c r="F63" t="s">
        <v>5735</v>
      </c>
      <c r="G63" t="s">
        <v>5717</v>
      </c>
      <c r="I63">
        <v>2</v>
      </c>
      <c r="J63" t="s">
        <v>63</v>
      </c>
      <c r="K63">
        <v>71</v>
      </c>
      <c r="L63" t="s">
        <v>135</v>
      </c>
      <c r="M63" s="4">
        <v>5000</v>
      </c>
      <c r="P63" s="2">
        <v>45743</v>
      </c>
      <c r="R63">
        <v>6</v>
      </c>
      <c r="S63" s="4">
        <v>30000</v>
      </c>
      <c r="T63" t="s">
        <v>65</v>
      </c>
      <c r="U63" t="s">
        <v>5726</v>
      </c>
      <c r="V63">
        <v>0</v>
      </c>
      <c r="W63" s="4">
        <v>30000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5727</v>
      </c>
      <c r="AN63" t="s">
        <v>91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5736</v>
      </c>
      <c r="BA63">
        <v>0</v>
      </c>
      <c r="BC63" t="s">
        <v>91</v>
      </c>
      <c r="BF63" t="s">
        <v>5496</v>
      </c>
    </row>
    <row r="64" spans="1:58" x14ac:dyDescent="0.35">
      <c r="A64" t="s">
        <v>5889</v>
      </c>
      <c r="B64">
        <v>10000</v>
      </c>
      <c r="C64">
        <v>10000</v>
      </c>
      <c r="D64" s="2">
        <v>45749</v>
      </c>
      <c r="E64" t="s">
        <v>61</v>
      </c>
      <c r="F64" s="3">
        <v>0.47821759259259261</v>
      </c>
      <c r="G64" t="s">
        <v>5742</v>
      </c>
      <c r="I64">
        <v>1</v>
      </c>
      <c r="J64" t="s">
        <v>63</v>
      </c>
      <c r="K64">
        <v>88</v>
      </c>
      <c r="L64" t="s">
        <v>630</v>
      </c>
      <c r="M64">
        <v>800</v>
      </c>
      <c r="P64" s="2">
        <v>45743</v>
      </c>
      <c r="R64">
        <v>1</v>
      </c>
      <c r="S64">
        <v>800</v>
      </c>
      <c r="T64" t="s">
        <v>65</v>
      </c>
      <c r="U64">
        <v>107343750001</v>
      </c>
      <c r="V64">
        <v>0</v>
      </c>
      <c r="W64">
        <v>500</v>
      </c>
      <c r="X64">
        <v>300</v>
      </c>
      <c r="Y64">
        <v>0</v>
      </c>
      <c r="Z64">
        <v>0</v>
      </c>
      <c r="AA64">
        <v>0</v>
      </c>
      <c r="AD64">
        <v>0</v>
      </c>
      <c r="AM64">
        <v>10734375</v>
      </c>
      <c r="AN64" t="s">
        <v>487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5890</v>
      </c>
      <c r="BA64">
        <v>0</v>
      </c>
      <c r="BC64" t="s">
        <v>487</v>
      </c>
      <c r="BF64" t="s">
        <v>5744</v>
      </c>
    </row>
    <row r="65" spans="1:58" x14ac:dyDescent="0.35">
      <c r="A65" t="s">
        <v>5891</v>
      </c>
      <c r="B65">
        <v>10000</v>
      </c>
      <c r="C65">
        <v>10000</v>
      </c>
      <c r="D65" s="2">
        <v>45749</v>
      </c>
      <c r="E65" t="s">
        <v>61</v>
      </c>
      <c r="F65" s="3">
        <v>0.47776620370370371</v>
      </c>
      <c r="G65" t="s">
        <v>5742</v>
      </c>
      <c r="I65">
        <v>1</v>
      </c>
      <c r="J65" t="s">
        <v>63</v>
      </c>
      <c r="K65">
        <v>88</v>
      </c>
      <c r="L65" t="s">
        <v>630</v>
      </c>
      <c r="M65">
        <v>20</v>
      </c>
      <c r="P65" s="2">
        <v>45743</v>
      </c>
      <c r="R65">
        <v>1</v>
      </c>
      <c r="S65">
        <v>20</v>
      </c>
      <c r="T65" t="s">
        <v>65</v>
      </c>
      <c r="U65">
        <v>107343750001</v>
      </c>
      <c r="V65">
        <v>0</v>
      </c>
      <c r="W65">
        <v>20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10734375</v>
      </c>
      <c r="AN65" t="s">
        <v>487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5892</v>
      </c>
      <c r="BA65">
        <v>0</v>
      </c>
      <c r="BC65" t="s">
        <v>487</v>
      </c>
      <c r="BF65" t="s">
        <v>5747</v>
      </c>
    </row>
    <row r="66" spans="1:58" x14ac:dyDescent="0.35">
      <c r="A66" t="s">
        <v>5893</v>
      </c>
      <c r="B66">
        <v>10000</v>
      </c>
      <c r="C66">
        <v>10000</v>
      </c>
      <c r="D66" s="2">
        <v>45744</v>
      </c>
      <c r="E66" t="s">
        <v>61</v>
      </c>
      <c r="F66" t="s">
        <v>5883</v>
      </c>
      <c r="G66" t="s">
        <v>5877</v>
      </c>
      <c r="I66">
        <v>1</v>
      </c>
      <c r="J66" t="s">
        <v>63</v>
      </c>
      <c r="K66">
        <v>79</v>
      </c>
      <c r="L66" t="s">
        <v>573</v>
      </c>
      <c r="M66">
        <v>917</v>
      </c>
      <c r="P66" s="2">
        <v>45743</v>
      </c>
      <c r="R66">
        <v>120</v>
      </c>
      <c r="S66" s="4">
        <v>110040</v>
      </c>
      <c r="T66" t="s">
        <v>65</v>
      </c>
      <c r="U66" t="s">
        <v>1273</v>
      </c>
      <c r="V66">
        <v>0</v>
      </c>
      <c r="W66" s="4">
        <v>100000</v>
      </c>
      <c r="X66" s="4">
        <v>10040</v>
      </c>
      <c r="Y66">
        <v>0</v>
      </c>
      <c r="Z66">
        <v>0</v>
      </c>
      <c r="AA66">
        <v>0</v>
      </c>
      <c r="AD66">
        <v>0</v>
      </c>
      <c r="AM66" t="s">
        <v>1274</v>
      </c>
      <c r="AN66" t="s">
        <v>1275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5894</v>
      </c>
      <c r="BA66">
        <v>0</v>
      </c>
      <c r="BC66" t="s">
        <v>1275</v>
      </c>
      <c r="BF66" t="s">
        <v>5895</v>
      </c>
    </row>
    <row r="67" spans="1:58" x14ac:dyDescent="0.35">
      <c r="A67" t="s">
        <v>5896</v>
      </c>
      <c r="B67">
        <v>10000</v>
      </c>
      <c r="C67">
        <v>10000</v>
      </c>
      <c r="D67" s="2">
        <v>45744</v>
      </c>
      <c r="E67" t="s">
        <v>61</v>
      </c>
      <c r="F67" t="s">
        <v>5887</v>
      </c>
      <c r="G67" t="s">
        <v>5877</v>
      </c>
      <c r="I67">
        <v>1</v>
      </c>
      <c r="J67" t="s">
        <v>63</v>
      </c>
      <c r="K67">
        <v>79</v>
      </c>
      <c r="L67" t="s">
        <v>573</v>
      </c>
      <c r="M67">
        <v>575</v>
      </c>
      <c r="P67" s="2">
        <v>45743</v>
      </c>
      <c r="R67">
        <v>200</v>
      </c>
      <c r="S67" s="4">
        <v>115000</v>
      </c>
      <c r="T67" t="s">
        <v>65</v>
      </c>
      <c r="U67" t="s">
        <v>1768</v>
      </c>
      <c r="V67">
        <v>0</v>
      </c>
      <c r="W67" s="4">
        <v>100000</v>
      </c>
      <c r="X67" s="4">
        <v>15000</v>
      </c>
      <c r="Y67">
        <v>0</v>
      </c>
      <c r="Z67">
        <v>0</v>
      </c>
      <c r="AA67">
        <v>0</v>
      </c>
      <c r="AD67">
        <v>0</v>
      </c>
      <c r="AM67" t="s">
        <v>1769</v>
      </c>
      <c r="AN67" t="s">
        <v>1275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5897</v>
      </c>
      <c r="BA67">
        <v>0</v>
      </c>
      <c r="BC67" t="s">
        <v>1275</v>
      </c>
      <c r="BF67" t="s">
        <v>5895</v>
      </c>
    </row>
    <row r="68" spans="1:58" x14ac:dyDescent="0.35">
      <c r="A68" t="s">
        <v>5898</v>
      </c>
      <c r="B68">
        <v>10000</v>
      </c>
      <c r="C68">
        <v>10000</v>
      </c>
      <c r="D68" s="2">
        <v>45744</v>
      </c>
      <c r="E68" t="s">
        <v>61</v>
      </c>
      <c r="F68" t="s">
        <v>5883</v>
      </c>
      <c r="G68" t="s">
        <v>5877</v>
      </c>
      <c r="I68">
        <v>1</v>
      </c>
      <c r="J68" t="s">
        <v>63</v>
      </c>
      <c r="K68">
        <v>79</v>
      </c>
      <c r="L68" t="s">
        <v>296</v>
      </c>
      <c r="M68">
        <v>917</v>
      </c>
      <c r="P68" s="2">
        <v>45743</v>
      </c>
      <c r="R68">
        <v>120</v>
      </c>
      <c r="S68" s="4">
        <v>110040</v>
      </c>
      <c r="T68" t="s">
        <v>65</v>
      </c>
      <c r="U68" t="s">
        <v>1273</v>
      </c>
      <c r="V68">
        <v>0</v>
      </c>
      <c r="W68" s="4">
        <v>100000</v>
      </c>
      <c r="X68" s="4">
        <v>10040</v>
      </c>
      <c r="Y68">
        <v>0</v>
      </c>
      <c r="Z68">
        <v>0</v>
      </c>
      <c r="AA68">
        <v>0</v>
      </c>
      <c r="AD68">
        <v>0</v>
      </c>
      <c r="AM68" t="s">
        <v>1274</v>
      </c>
      <c r="AN68" t="s">
        <v>1275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5899</v>
      </c>
      <c r="BA68">
        <v>0</v>
      </c>
      <c r="BC68" t="s">
        <v>1275</v>
      </c>
      <c r="BF68" t="s">
        <v>5900</v>
      </c>
    </row>
    <row r="69" spans="1:58" x14ac:dyDescent="0.35">
      <c r="A69" t="s">
        <v>5901</v>
      </c>
      <c r="B69">
        <v>10000</v>
      </c>
      <c r="C69">
        <v>10000</v>
      </c>
      <c r="D69" s="2">
        <v>45744</v>
      </c>
      <c r="E69" t="s">
        <v>61</v>
      </c>
      <c r="F69" t="s">
        <v>5887</v>
      </c>
      <c r="G69" t="s">
        <v>5877</v>
      </c>
      <c r="I69">
        <v>1</v>
      </c>
      <c r="J69" t="s">
        <v>63</v>
      </c>
      <c r="K69">
        <v>79</v>
      </c>
      <c r="L69" t="s">
        <v>573</v>
      </c>
      <c r="M69">
        <v>575</v>
      </c>
      <c r="P69" s="2">
        <v>45743</v>
      </c>
      <c r="R69">
        <v>200</v>
      </c>
      <c r="S69" s="4">
        <v>115000</v>
      </c>
      <c r="T69" t="s">
        <v>65</v>
      </c>
      <c r="U69" t="s">
        <v>1768</v>
      </c>
      <c r="V69">
        <v>0</v>
      </c>
      <c r="W69" s="4">
        <v>100000</v>
      </c>
      <c r="X69" s="4">
        <v>15000</v>
      </c>
      <c r="Y69">
        <v>0</v>
      </c>
      <c r="Z69">
        <v>0</v>
      </c>
      <c r="AA69">
        <v>0</v>
      </c>
      <c r="AD69">
        <v>0</v>
      </c>
      <c r="AM69" t="s">
        <v>1769</v>
      </c>
      <c r="AN69" t="s">
        <v>1275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5902</v>
      </c>
      <c r="BA69">
        <v>0</v>
      </c>
      <c r="BC69" t="s">
        <v>1275</v>
      </c>
      <c r="BF69" t="s">
        <v>5900</v>
      </c>
    </row>
    <row r="70" spans="1:58" x14ac:dyDescent="0.35">
      <c r="A70" t="s">
        <v>5903</v>
      </c>
      <c r="B70">
        <v>10000</v>
      </c>
      <c r="C70">
        <v>10000</v>
      </c>
      <c r="D70" s="2">
        <v>45744</v>
      </c>
      <c r="E70" t="s">
        <v>61</v>
      </c>
      <c r="F70" t="s">
        <v>5883</v>
      </c>
      <c r="G70" t="s">
        <v>5877</v>
      </c>
      <c r="I70">
        <v>1</v>
      </c>
      <c r="J70" t="s">
        <v>63</v>
      </c>
      <c r="K70">
        <v>79</v>
      </c>
      <c r="L70" t="s">
        <v>296</v>
      </c>
      <c r="M70">
        <v>917</v>
      </c>
      <c r="P70" s="2">
        <v>45743</v>
      </c>
      <c r="R70">
        <v>120</v>
      </c>
      <c r="S70" s="4">
        <v>110040</v>
      </c>
      <c r="T70" t="s">
        <v>65</v>
      </c>
      <c r="U70" t="s">
        <v>1273</v>
      </c>
      <c r="V70">
        <v>0</v>
      </c>
      <c r="W70" s="4">
        <v>100000</v>
      </c>
      <c r="X70" s="4">
        <v>10040</v>
      </c>
      <c r="Y70">
        <v>0</v>
      </c>
      <c r="Z70">
        <v>0</v>
      </c>
      <c r="AA70">
        <v>0</v>
      </c>
      <c r="AD70">
        <v>0</v>
      </c>
      <c r="AM70" t="s">
        <v>1274</v>
      </c>
      <c r="AN70" t="s">
        <v>1275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5904</v>
      </c>
      <c r="BA70">
        <v>0</v>
      </c>
      <c r="BC70" t="s">
        <v>1275</v>
      </c>
      <c r="BF70" t="s">
        <v>5905</v>
      </c>
    </row>
    <row r="71" spans="1:58" x14ac:dyDescent="0.35">
      <c r="A71" t="s">
        <v>5906</v>
      </c>
      <c r="B71">
        <v>10000</v>
      </c>
      <c r="C71">
        <v>10000</v>
      </c>
      <c r="D71" s="2">
        <v>45744</v>
      </c>
      <c r="E71" t="s">
        <v>61</v>
      </c>
      <c r="F71" t="s">
        <v>5887</v>
      </c>
      <c r="G71" t="s">
        <v>5877</v>
      </c>
      <c r="I71">
        <v>1</v>
      </c>
      <c r="J71" t="s">
        <v>63</v>
      </c>
      <c r="K71">
        <v>79</v>
      </c>
      <c r="L71" t="s">
        <v>573</v>
      </c>
      <c r="M71">
        <v>575</v>
      </c>
      <c r="P71" s="2">
        <v>45743</v>
      </c>
      <c r="R71">
        <v>200</v>
      </c>
      <c r="S71" s="4">
        <v>115000</v>
      </c>
      <c r="T71" t="s">
        <v>65</v>
      </c>
      <c r="U71" t="s">
        <v>1768</v>
      </c>
      <c r="V71">
        <v>0</v>
      </c>
      <c r="W71" s="4">
        <v>100000</v>
      </c>
      <c r="X71" s="4">
        <v>15000</v>
      </c>
      <c r="Y71">
        <v>0</v>
      </c>
      <c r="Z71">
        <v>0</v>
      </c>
      <c r="AA71">
        <v>0</v>
      </c>
      <c r="AD71">
        <v>0</v>
      </c>
      <c r="AM71" t="s">
        <v>1769</v>
      </c>
      <c r="AN71" t="s">
        <v>1275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5907</v>
      </c>
      <c r="BA71">
        <v>0</v>
      </c>
      <c r="BC71" t="s">
        <v>1275</v>
      </c>
      <c r="BF71" t="s">
        <v>5905</v>
      </c>
    </row>
    <row r="72" spans="1:58" x14ac:dyDescent="0.35">
      <c r="A72" t="s">
        <v>5908</v>
      </c>
      <c r="B72">
        <v>10000</v>
      </c>
      <c r="C72">
        <v>10000</v>
      </c>
      <c r="D72" s="2">
        <v>45744</v>
      </c>
      <c r="E72" t="s">
        <v>61</v>
      </c>
      <c r="F72" t="s">
        <v>5883</v>
      </c>
      <c r="G72" t="s">
        <v>5877</v>
      </c>
      <c r="I72">
        <v>1</v>
      </c>
      <c r="J72" t="s">
        <v>63</v>
      </c>
      <c r="K72">
        <v>79</v>
      </c>
      <c r="L72" t="s">
        <v>296</v>
      </c>
      <c r="M72">
        <v>917</v>
      </c>
      <c r="P72" s="2">
        <v>45743</v>
      </c>
      <c r="R72">
        <v>120</v>
      </c>
      <c r="S72" s="4">
        <v>110040</v>
      </c>
      <c r="T72" t="s">
        <v>65</v>
      </c>
      <c r="U72" t="s">
        <v>1273</v>
      </c>
      <c r="V72">
        <v>0</v>
      </c>
      <c r="W72" s="4">
        <v>100000</v>
      </c>
      <c r="X72" s="4">
        <v>10040</v>
      </c>
      <c r="Y72">
        <v>0</v>
      </c>
      <c r="Z72">
        <v>0</v>
      </c>
      <c r="AA72">
        <v>0</v>
      </c>
      <c r="AD72">
        <v>0</v>
      </c>
      <c r="AM72" t="s">
        <v>1274</v>
      </c>
      <c r="AN72" t="s">
        <v>1275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5909</v>
      </c>
      <c r="BA72">
        <v>0</v>
      </c>
      <c r="BC72" t="s">
        <v>1275</v>
      </c>
      <c r="BF72" t="s">
        <v>5910</v>
      </c>
    </row>
    <row r="73" spans="1:58" x14ac:dyDescent="0.35">
      <c r="A73" t="s">
        <v>5911</v>
      </c>
      <c r="B73">
        <v>10000</v>
      </c>
      <c r="C73">
        <v>10000</v>
      </c>
      <c r="D73" s="2">
        <v>45744</v>
      </c>
      <c r="E73" t="s">
        <v>61</v>
      </c>
      <c r="F73" t="s">
        <v>5887</v>
      </c>
      <c r="G73" t="s">
        <v>5877</v>
      </c>
      <c r="I73">
        <v>1</v>
      </c>
      <c r="J73" t="s">
        <v>63</v>
      </c>
      <c r="K73">
        <v>79</v>
      </c>
      <c r="L73" t="s">
        <v>573</v>
      </c>
      <c r="M73">
        <v>575</v>
      </c>
      <c r="P73" s="2">
        <v>45743</v>
      </c>
      <c r="R73">
        <v>200</v>
      </c>
      <c r="S73" s="4">
        <v>115000</v>
      </c>
      <c r="T73" t="s">
        <v>65</v>
      </c>
      <c r="U73" t="s">
        <v>1768</v>
      </c>
      <c r="V73">
        <v>0</v>
      </c>
      <c r="W73" s="4">
        <v>100000</v>
      </c>
      <c r="X73" s="4">
        <v>15000</v>
      </c>
      <c r="Y73">
        <v>0</v>
      </c>
      <c r="Z73">
        <v>0</v>
      </c>
      <c r="AA73">
        <v>0</v>
      </c>
      <c r="AD73">
        <v>0</v>
      </c>
      <c r="AM73" t="s">
        <v>1769</v>
      </c>
      <c r="AN73" t="s">
        <v>1275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5912</v>
      </c>
      <c r="BA73">
        <v>0</v>
      </c>
      <c r="BC73" t="s">
        <v>1275</v>
      </c>
      <c r="BF73" t="s">
        <v>5910</v>
      </c>
    </row>
    <row r="74" spans="1:58" x14ac:dyDescent="0.35">
      <c r="A74" t="s">
        <v>5913</v>
      </c>
      <c r="B74">
        <v>10000</v>
      </c>
      <c r="C74">
        <v>10000</v>
      </c>
      <c r="D74" s="2">
        <v>45750</v>
      </c>
      <c r="E74" t="s">
        <v>61</v>
      </c>
      <c r="F74" t="s">
        <v>5914</v>
      </c>
      <c r="G74" t="s">
        <v>5915</v>
      </c>
      <c r="I74">
        <v>1</v>
      </c>
      <c r="J74" t="s">
        <v>63</v>
      </c>
      <c r="K74">
        <v>88</v>
      </c>
      <c r="L74" t="s">
        <v>630</v>
      </c>
      <c r="M74" s="4">
        <v>1500</v>
      </c>
      <c r="P74" s="2">
        <v>45743</v>
      </c>
      <c r="R74">
        <v>1</v>
      </c>
      <c r="S74" s="4">
        <v>1500</v>
      </c>
      <c r="T74" t="s">
        <v>65</v>
      </c>
      <c r="U74" t="s">
        <v>5916</v>
      </c>
      <c r="V74">
        <v>0</v>
      </c>
      <c r="W74" s="4">
        <v>1000</v>
      </c>
      <c r="X74">
        <v>500</v>
      </c>
      <c r="Y74">
        <v>0</v>
      </c>
      <c r="Z74">
        <v>0</v>
      </c>
      <c r="AA74">
        <v>0</v>
      </c>
      <c r="AD74">
        <v>0</v>
      </c>
      <c r="AM74" t="s">
        <v>5917</v>
      </c>
      <c r="AN74" t="s">
        <v>5566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5918</v>
      </c>
      <c r="BA74">
        <v>0</v>
      </c>
      <c r="BC74" t="s">
        <v>5566</v>
      </c>
      <c r="BF74" t="s">
        <v>5919</v>
      </c>
    </row>
    <row r="75" spans="1:58" x14ac:dyDescent="0.35">
      <c r="A75" t="s">
        <v>5920</v>
      </c>
      <c r="B75">
        <v>10000</v>
      </c>
      <c r="C75">
        <v>10000</v>
      </c>
      <c r="D75" s="2">
        <v>45744</v>
      </c>
      <c r="E75" t="s">
        <v>61</v>
      </c>
      <c r="F75" t="s">
        <v>5840</v>
      </c>
      <c r="G75" t="s">
        <v>5717</v>
      </c>
      <c r="I75">
        <v>1</v>
      </c>
      <c r="J75" t="s">
        <v>63</v>
      </c>
      <c r="K75">
        <v>72</v>
      </c>
      <c r="L75" t="s">
        <v>163</v>
      </c>
      <c r="M75" s="4">
        <v>2000</v>
      </c>
      <c r="P75" s="2">
        <v>45743</v>
      </c>
      <c r="R75">
        <v>4</v>
      </c>
      <c r="S75" s="4">
        <v>8000</v>
      </c>
      <c r="T75" t="s">
        <v>65</v>
      </c>
      <c r="U75">
        <v>83615110001</v>
      </c>
      <c r="V75">
        <v>0</v>
      </c>
      <c r="W75" s="4">
        <v>6000</v>
      </c>
      <c r="X75" s="4">
        <v>2000</v>
      </c>
      <c r="Y75">
        <v>0</v>
      </c>
      <c r="Z75">
        <v>0</v>
      </c>
      <c r="AA75">
        <v>0</v>
      </c>
      <c r="AD75">
        <v>0</v>
      </c>
      <c r="AM75">
        <v>8361511</v>
      </c>
      <c r="AN75" t="s">
        <v>91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5921</v>
      </c>
      <c r="BA75">
        <v>0</v>
      </c>
      <c r="BC75" t="s">
        <v>91</v>
      </c>
      <c r="BF75" t="s">
        <v>5922</v>
      </c>
    </row>
    <row r="76" spans="1:58" x14ac:dyDescent="0.35">
      <c r="A76" t="s">
        <v>5923</v>
      </c>
      <c r="B76">
        <v>10000</v>
      </c>
      <c r="C76">
        <v>10000</v>
      </c>
      <c r="D76" s="2">
        <v>45744</v>
      </c>
      <c r="E76" t="s">
        <v>61</v>
      </c>
      <c r="F76" t="s">
        <v>5843</v>
      </c>
      <c r="G76" t="s">
        <v>5717</v>
      </c>
      <c r="I76">
        <v>1</v>
      </c>
      <c r="J76" t="s">
        <v>63</v>
      </c>
      <c r="K76">
        <v>72</v>
      </c>
      <c r="L76" t="s">
        <v>163</v>
      </c>
      <c r="M76" s="4">
        <v>1750</v>
      </c>
      <c r="P76" s="2">
        <v>45743</v>
      </c>
      <c r="R76">
        <v>4</v>
      </c>
      <c r="S76" s="4">
        <v>7000</v>
      </c>
      <c r="T76" t="s">
        <v>65</v>
      </c>
      <c r="U76">
        <v>83615230001</v>
      </c>
      <c r="V76">
        <v>0</v>
      </c>
      <c r="W76" s="4">
        <v>5000</v>
      </c>
      <c r="X76" s="4">
        <v>2000</v>
      </c>
      <c r="Y76">
        <v>0</v>
      </c>
      <c r="Z76">
        <v>0</v>
      </c>
      <c r="AA76">
        <v>0</v>
      </c>
      <c r="AD76">
        <v>0</v>
      </c>
      <c r="AM76">
        <v>8361523</v>
      </c>
      <c r="AN76" t="s">
        <v>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5924</v>
      </c>
      <c r="BA76">
        <v>0</v>
      </c>
      <c r="BC76" t="s">
        <v>91</v>
      </c>
      <c r="BF76" t="s">
        <v>5922</v>
      </c>
    </row>
    <row r="77" spans="1:58" x14ac:dyDescent="0.35">
      <c r="A77" t="s">
        <v>5925</v>
      </c>
      <c r="B77">
        <v>10000</v>
      </c>
      <c r="C77">
        <v>10000</v>
      </c>
      <c r="D77" s="2">
        <v>45748</v>
      </c>
      <c r="E77" t="s">
        <v>61</v>
      </c>
      <c r="F77" t="s">
        <v>5846</v>
      </c>
      <c r="G77" t="s">
        <v>5717</v>
      </c>
      <c r="I77">
        <v>1</v>
      </c>
      <c r="J77" t="s">
        <v>63</v>
      </c>
      <c r="K77">
        <v>72</v>
      </c>
      <c r="L77" t="s">
        <v>163</v>
      </c>
      <c r="M77" s="4">
        <v>7000</v>
      </c>
      <c r="P77" s="2">
        <v>45743</v>
      </c>
      <c r="R77">
        <v>4</v>
      </c>
      <c r="S77" s="4">
        <v>28000</v>
      </c>
      <c r="T77" t="s">
        <v>65</v>
      </c>
      <c r="U77">
        <v>83615250001</v>
      </c>
      <c r="V77">
        <v>0</v>
      </c>
      <c r="W77" s="4">
        <v>25000</v>
      </c>
      <c r="X77" s="4">
        <v>3000</v>
      </c>
      <c r="Y77">
        <v>0</v>
      </c>
      <c r="Z77">
        <v>0</v>
      </c>
      <c r="AA77">
        <v>0</v>
      </c>
      <c r="AD77">
        <v>0</v>
      </c>
      <c r="AM77">
        <v>8361525</v>
      </c>
      <c r="AN77" t="s">
        <v>91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5926</v>
      </c>
      <c r="BA77">
        <v>0</v>
      </c>
      <c r="BC77" t="s">
        <v>91</v>
      </c>
      <c r="BF77" t="s">
        <v>5922</v>
      </c>
    </row>
    <row r="78" spans="1:58" x14ac:dyDescent="0.35">
      <c r="A78" t="s">
        <v>5927</v>
      </c>
      <c r="B78">
        <v>10000</v>
      </c>
      <c r="C78">
        <v>10000</v>
      </c>
      <c r="D78" s="2">
        <v>45748</v>
      </c>
      <c r="E78" t="s">
        <v>61</v>
      </c>
      <c r="F78" t="s">
        <v>5852</v>
      </c>
      <c r="G78" t="s">
        <v>5717</v>
      </c>
      <c r="I78">
        <v>1</v>
      </c>
      <c r="J78" t="s">
        <v>63</v>
      </c>
      <c r="K78">
        <v>72</v>
      </c>
      <c r="L78" t="s">
        <v>163</v>
      </c>
      <c r="M78" s="4">
        <v>7000</v>
      </c>
      <c r="P78" s="2">
        <v>45743</v>
      </c>
      <c r="R78">
        <v>4</v>
      </c>
      <c r="S78" s="4">
        <v>28000</v>
      </c>
      <c r="T78" t="s">
        <v>65</v>
      </c>
      <c r="U78">
        <v>5000444460001</v>
      </c>
      <c r="V78">
        <v>0</v>
      </c>
      <c r="W78" s="4">
        <v>25000</v>
      </c>
      <c r="X78" s="4">
        <v>3000</v>
      </c>
      <c r="Y78">
        <v>0</v>
      </c>
      <c r="Z78">
        <v>0</v>
      </c>
      <c r="AA78">
        <v>0</v>
      </c>
      <c r="AD78">
        <v>0</v>
      </c>
      <c r="AM78">
        <v>500044446</v>
      </c>
      <c r="AN78" t="s">
        <v>91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5928</v>
      </c>
      <c r="BA78">
        <v>0</v>
      </c>
      <c r="BC78" t="s">
        <v>91</v>
      </c>
      <c r="BF78" t="s">
        <v>5922</v>
      </c>
    </row>
    <row r="79" spans="1:58" x14ac:dyDescent="0.35">
      <c r="A79" t="s">
        <v>5929</v>
      </c>
      <c r="B79">
        <v>10000</v>
      </c>
      <c r="C79">
        <v>10000</v>
      </c>
      <c r="D79" s="2">
        <v>45748</v>
      </c>
      <c r="E79" t="s">
        <v>61</v>
      </c>
      <c r="F79" t="s">
        <v>5846</v>
      </c>
      <c r="G79" t="s">
        <v>5717</v>
      </c>
      <c r="I79">
        <v>1</v>
      </c>
      <c r="J79" t="s">
        <v>63</v>
      </c>
      <c r="K79">
        <v>72</v>
      </c>
      <c r="L79" t="s">
        <v>163</v>
      </c>
      <c r="M79" s="4">
        <v>7000</v>
      </c>
      <c r="P79" s="2">
        <v>45743</v>
      </c>
      <c r="R79">
        <v>4</v>
      </c>
      <c r="S79" s="4">
        <v>28000</v>
      </c>
      <c r="T79" t="s">
        <v>65</v>
      </c>
      <c r="U79">
        <v>83615250001</v>
      </c>
      <c r="V79">
        <v>0</v>
      </c>
      <c r="W79" s="4">
        <v>25000</v>
      </c>
      <c r="X79" s="4">
        <v>3000</v>
      </c>
      <c r="Y79">
        <v>0</v>
      </c>
      <c r="Z79">
        <v>0</v>
      </c>
      <c r="AA79">
        <v>0</v>
      </c>
      <c r="AD79">
        <v>0</v>
      </c>
      <c r="AM79">
        <v>8361525</v>
      </c>
      <c r="AN79" t="s">
        <v>91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5930</v>
      </c>
      <c r="BA79">
        <v>0</v>
      </c>
      <c r="BC79" t="s">
        <v>91</v>
      </c>
      <c r="BF79" t="s">
        <v>5931</v>
      </c>
    </row>
    <row r="80" spans="1:58" x14ac:dyDescent="0.35">
      <c r="A80" t="s">
        <v>5932</v>
      </c>
      <c r="B80">
        <v>10000</v>
      </c>
      <c r="C80">
        <v>10000</v>
      </c>
      <c r="D80" s="2">
        <v>45748</v>
      </c>
      <c r="E80" t="s">
        <v>61</v>
      </c>
      <c r="F80" t="s">
        <v>5852</v>
      </c>
      <c r="G80" t="s">
        <v>5717</v>
      </c>
      <c r="I80">
        <v>1</v>
      </c>
      <c r="J80" t="s">
        <v>63</v>
      </c>
      <c r="K80">
        <v>72</v>
      </c>
      <c r="L80" t="s">
        <v>163</v>
      </c>
      <c r="M80" s="4">
        <v>8250</v>
      </c>
      <c r="P80" s="2">
        <v>45743</v>
      </c>
      <c r="R80">
        <v>4</v>
      </c>
      <c r="S80" s="4">
        <v>33000</v>
      </c>
      <c r="T80" t="s">
        <v>65</v>
      </c>
      <c r="U80">
        <v>5000444460001</v>
      </c>
      <c r="V80">
        <v>0</v>
      </c>
      <c r="W80" s="4">
        <v>30000</v>
      </c>
      <c r="X80" s="4">
        <v>3000</v>
      </c>
      <c r="Y80">
        <v>0</v>
      </c>
      <c r="Z80">
        <v>0</v>
      </c>
      <c r="AA80">
        <v>0</v>
      </c>
      <c r="AD80">
        <v>0</v>
      </c>
      <c r="AM80">
        <v>500044446</v>
      </c>
      <c r="AN80" t="s">
        <v>91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5933</v>
      </c>
      <c r="BA80">
        <v>0</v>
      </c>
      <c r="BC80" t="s">
        <v>91</v>
      </c>
      <c r="BF80" t="s">
        <v>5931</v>
      </c>
    </row>
    <row r="81" spans="1:58" x14ac:dyDescent="0.35">
      <c r="A81" t="s">
        <v>5934</v>
      </c>
      <c r="B81">
        <v>10000</v>
      </c>
      <c r="C81">
        <v>10000</v>
      </c>
      <c r="D81" s="2">
        <v>45743</v>
      </c>
      <c r="E81" t="s">
        <v>61</v>
      </c>
      <c r="F81" t="s">
        <v>5827</v>
      </c>
      <c r="G81" t="s">
        <v>5935</v>
      </c>
      <c r="I81">
        <v>1</v>
      </c>
      <c r="J81" t="s">
        <v>63</v>
      </c>
      <c r="K81">
        <v>95</v>
      </c>
      <c r="L81" t="s">
        <v>597</v>
      </c>
      <c r="M81" s="4">
        <v>7693</v>
      </c>
      <c r="P81" s="2">
        <v>45743</v>
      </c>
      <c r="R81">
        <v>13</v>
      </c>
      <c r="S81" s="4">
        <v>100009</v>
      </c>
      <c r="T81" t="s">
        <v>65</v>
      </c>
      <c r="U81" t="s">
        <v>5936</v>
      </c>
      <c r="V81">
        <v>0</v>
      </c>
      <c r="W81" s="4">
        <v>100000</v>
      </c>
      <c r="X81">
        <v>9</v>
      </c>
      <c r="Y81">
        <v>0</v>
      </c>
      <c r="Z81">
        <v>0</v>
      </c>
      <c r="AA81">
        <v>0</v>
      </c>
      <c r="AD81">
        <v>0</v>
      </c>
      <c r="AM81" t="s">
        <v>5937</v>
      </c>
      <c r="AN81" t="s">
        <v>5938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5939</v>
      </c>
      <c r="BA81">
        <v>0</v>
      </c>
      <c r="BC81" t="s">
        <v>5938</v>
      </c>
      <c r="BF81" t="s">
        <v>5940</v>
      </c>
    </row>
    <row r="90" spans="1:58" x14ac:dyDescent="0.35">
      <c r="A90">
        <f>COUNTA(A5:A89)</f>
        <v>77</v>
      </c>
      <c r="B90">
        <f>'26-Mar'!B90+'27-Mar'!A90</f>
        <v>1840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016A-80C5-4EFB-AD19-230F15A5CCDB}">
  <dimension ref="A1:BF70"/>
  <sheetViews>
    <sheetView topLeftCell="A51" workbookViewId="0">
      <selection activeCell="A4" sqref="A4:XFD6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5941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5942</v>
      </c>
      <c r="B5">
        <v>10000</v>
      </c>
      <c r="C5">
        <v>20000</v>
      </c>
      <c r="D5" s="2">
        <v>45744</v>
      </c>
      <c r="E5" t="s">
        <v>61</v>
      </c>
      <c r="F5" t="s">
        <v>5943</v>
      </c>
      <c r="G5" t="s">
        <v>2069</v>
      </c>
      <c r="H5" t="s">
        <v>5754</v>
      </c>
      <c r="I5">
        <v>1</v>
      </c>
      <c r="J5" t="s">
        <v>69</v>
      </c>
      <c r="K5">
        <v>94</v>
      </c>
      <c r="L5" t="s">
        <v>181</v>
      </c>
      <c r="M5" s="4">
        <v>8000</v>
      </c>
      <c r="P5" s="2">
        <v>45744</v>
      </c>
      <c r="R5">
        <v>6</v>
      </c>
      <c r="S5" s="4">
        <v>48000</v>
      </c>
      <c r="T5" t="s">
        <v>65</v>
      </c>
      <c r="U5" t="s">
        <v>1405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1406</v>
      </c>
      <c r="AN5" t="s">
        <v>364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364</v>
      </c>
      <c r="BF5" t="s">
        <v>5944</v>
      </c>
    </row>
    <row r="6" spans="1:58" x14ac:dyDescent="0.35">
      <c r="A6" t="s">
        <v>4148</v>
      </c>
      <c r="B6">
        <v>10000</v>
      </c>
      <c r="C6">
        <v>30000</v>
      </c>
      <c r="D6" s="2">
        <v>45748</v>
      </c>
      <c r="E6" t="s">
        <v>61</v>
      </c>
      <c r="F6" t="s">
        <v>4149</v>
      </c>
      <c r="G6">
        <v>10620258042</v>
      </c>
      <c r="H6" t="s">
        <v>4150</v>
      </c>
      <c r="I6">
        <v>3</v>
      </c>
      <c r="J6" t="s">
        <v>69</v>
      </c>
      <c r="K6">
        <v>85</v>
      </c>
      <c r="L6" t="s">
        <v>327</v>
      </c>
      <c r="M6" s="4">
        <v>6819</v>
      </c>
      <c r="P6" s="2">
        <v>45744</v>
      </c>
      <c r="R6">
        <v>11</v>
      </c>
      <c r="S6" s="4">
        <v>75009</v>
      </c>
      <c r="T6" t="s">
        <v>65</v>
      </c>
      <c r="U6" t="s">
        <v>4151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4152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107</v>
      </c>
      <c r="BF6" t="s">
        <v>4153</v>
      </c>
    </row>
    <row r="7" spans="1:58" x14ac:dyDescent="0.35">
      <c r="A7" t="s">
        <v>5945</v>
      </c>
      <c r="B7">
        <v>10000</v>
      </c>
      <c r="C7">
        <v>20000</v>
      </c>
      <c r="D7" s="2">
        <v>45755</v>
      </c>
      <c r="E7" t="s">
        <v>61</v>
      </c>
      <c r="F7" s="3">
        <v>0.46329861111111109</v>
      </c>
      <c r="G7" t="s">
        <v>5946</v>
      </c>
      <c r="H7" t="s">
        <v>5545</v>
      </c>
      <c r="I7">
        <v>1</v>
      </c>
      <c r="J7" t="s">
        <v>69</v>
      </c>
      <c r="K7">
        <v>65</v>
      </c>
      <c r="L7" t="s">
        <v>268</v>
      </c>
      <c r="M7" s="4">
        <v>22500</v>
      </c>
      <c r="P7" s="2">
        <v>45744</v>
      </c>
      <c r="R7">
        <v>4</v>
      </c>
      <c r="S7" s="4">
        <v>90000</v>
      </c>
      <c r="T7" t="s">
        <v>65</v>
      </c>
      <c r="U7" t="s">
        <v>3865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3866</v>
      </c>
      <c r="AN7" t="s">
        <v>829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829</v>
      </c>
      <c r="BF7" t="s">
        <v>5947</v>
      </c>
    </row>
    <row r="8" spans="1:58" x14ac:dyDescent="0.35">
      <c r="A8" t="s">
        <v>5948</v>
      </c>
      <c r="B8">
        <v>10000</v>
      </c>
      <c r="C8">
        <v>10000</v>
      </c>
      <c r="D8" s="2">
        <v>45755</v>
      </c>
      <c r="E8" t="s">
        <v>61</v>
      </c>
      <c r="F8" t="s">
        <v>5949</v>
      </c>
      <c r="G8" t="s">
        <v>5950</v>
      </c>
      <c r="H8" t="s">
        <v>5951</v>
      </c>
      <c r="I8">
        <v>1</v>
      </c>
      <c r="J8" t="s">
        <v>69</v>
      </c>
      <c r="K8">
        <v>79</v>
      </c>
      <c r="L8" t="s">
        <v>573</v>
      </c>
      <c r="M8">
        <v>500</v>
      </c>
      <c r="P8" s="2">
        <v>45744</v>
      </c>
      <c r="R8">
        <v>5</v>
      </c>
      <c r="S8" s="4">
        <v>2500</v>
      </c>
      <c r="T8" t="s">
        <v>65</v>
      </c>
      <c r="U8" t="s">
        <v>5952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5953</v>
      </c>
      <c r="AN8" t="s">
        <v>5954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5954</v>
      </c>
      <c r="BF8" t="s">
        <v>5955</v>
      </c>
    </row>
    <row r="9" spans="1:58" x14ac:dyDescent="0.35">
      <c r="A9" t="s">
        <v>5956</v>
      </c>
      <c r="B9">
        <v>10000</v>
      </c>
      <c r="C9">
        <v>10000</v>
      </c>
      <c r="D9" s="2">
        <v>45755</v>
      </c>
      <c r="E9" t="s">
        <v>61</v>
      </c>
      <c r="F9" t="s">
        <v>5949</v>
      </c>
      <c r="G9" t="s">
        <v>5950</v>
      </c>
      <c r="H9" t="s">
        <v>5951</v>
      </c>
      <c r="I9">
        <v>1</v>
      </c>
      <c r="J9" t="s">
        <v>69</v>
      </c>
      <c r="K9">
        <v>79</v>
      </c>
      <c r="L9" t="s">
        <v>573</v>
      </c>
      <c r="M9" s="4">
        <v>1400</v>
      </c>
      <c r="P9" s="2">
        <v>45744</v>
      </c>
      <c r="R9">
        <v>5</v>
      </c>
      <c r="S9" s="4">
        <v>7000</v>
      </c>
      <c r="T9" t="s">
        <v>65</v>
      </c>
      <c r="U9" t="s">
        <v>5957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5958</v>
      </c>
      <c r="AN9" t="s">
        <v>5954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5954</v>
      </c>
      <c r="BF9" t="s">
        <v>5955</v>
      </c>
    </row>
    <row r="10" spans="1:58" x14ac:dyDescent="0.35">
      <c r="A10" t="s">
        <v>5959</v>
      </c>
      <c r="B10">
        <v>10000</v>
      </c>
      <c r="C10">
        <v>10000</v>
      </c>
      <c r="D10" s="2">
        <v>45744</v>
      </c>
      <c r="E10" t="s">
        <v>61</v>
      </c>
      <c r="F10" t="s">
        <v>5960</v>
      </c>
      <c r="G10" t="s">
        <v>5961</v>
      </c>
      <c r="H10" t="s">
        <v>5962</v>
      </c>
      <c r="I10">
        <v>1</v>
      </c>
      <c r="J10" t="s">
        <v>69</v>
      </c>
      <c r="K10">
        <v>61</v>
      </c>
      <c r="L10" t="s">
        <v>216</v>
      </c>
      <c r="M10">
        <v>667</v>
      </c>
      <c r="P10" s="2">
        <v>45744</v>
      </c>
      <c r="R10">
        <v>3</v>
      </c>
      <c r="S10" s="4">
        <v>2001</v>
      </c>
      <c r="T10" t="s">
        <v>65</v>
      </c>
      <c r="U10">
        <v>4.70044086004E+17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>
        <v>47004408600400</v>
      </c>
      <c r="AN10" t="s">
        <v>2347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2347</v>
      </c>
      <c r="BF10" t="s">
        <v>5963</v>
      </c>
    </row>
    <row r="11" spans="1:58" x14ac:dyDescent="0.35">
      <c r="A11" t="s">
        <v>5964</v>
      </c>
      <c r="B11">
        <v>10000</v>
      </c>
      <c r="C11">
        <v>10000</v>
      </c>
      <c r="D11" s="2">
        <v>45754</v>
      </c>
      <c r="E11" t="s">
        <v>61</v>
      </c>
      <c r="F11" t="s">
        <v>5965</v>
      </c>
      <c r="G11" t="s">
        <v>5966</v>
      </c>
      <c r="I11">
        <v>1</v>
      </c>
      <c r="J11" t="s">
        <v>69</v>
      </c>
      <c r="K11">
        <v>79</v>
      </c>
      <c r="L11" t="s">
        <v>573</v>
      </c>
      <c r="M11">
        <v>400</v>
      </c>
      <c r="P11" s="2">
        <v>45744</v>
      </c>
      <c r="R11">
        <v>2</v>
      </c>
      <c r="S11">
        <v>800</v>
      </c>
      <c r="T11" t="s">
        <v>65</v>
      </c>
      <c r="U11" t="s">
        <v>5967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5968</v>
      </c>
      <c r="AN11" t="s">
        <v>280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280</v>
      </c>
      <c r="BF11" t="s">
        <v>5969</v>
      </c>
    </row>
    <row r="12" spans="1:58" x14ac:dyDescent="0.35">
      <c r="A12" t="s">
        <v>5970</v>
      </c>
      <c r="B12">
        <v>10000</v>
      </c>
      <c r="C12">
        <v>10000</v>
      </c>
      <c r="D12" s="2">
        <v>45750</v>
      </c>
      <c r="E12" t="s">
        <v>61</v>
      </c>
      <c r="F12" t="s">
        <v>497</v>
      </c>
      <c r="G12" t="s">
        <v>5363</v>
      </c>
      <c r="H12" t="s">
        <v>5542</v>
      </c>
      <c r="I12">
        <v>1</v>
      </c>
      <c r="J12" t="s">
        <v>69</v>
      </c>
      <c r="K12">
        <v>32</v>
      </c>
      <c r="L12" t="s">
        <v>553</v>
      </c>
      <c r="M12" s="4">
        <v>5860</v>
      </c>
      <c r="P12" s="2">
        <v>45744</v>
      </c>
      <c r="R12">
        <v>1</v>
      </c>
      <c r="S12" s="4">
        <v>5860</v>
      </c>
      <c r="T12" t="s">
        <v>65</v>
      </c>
      <c r="U12" t="s">
        <v>1774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1775</v>
      </c>
      <c r="AN12" t="s">
        <v>116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116</v>
      </c>
      <c r="BF12" t="s">
        <v>5770</v>
      </c>
    </row>
    <row r="13" spans="1:58" x14ac:dyDescent="0.35">
      <c r="A13" t="s">
        <v>5971</v>
      </c>
      <c r="B13">
        <v>10000</v>
      </c>
      <c r="C13">
        <v>10000</v>
      </c>
      <c r="D13" s="2">
        <v>45744</v>
      </c>
      <c r="E13" t="s">
        <v>61</v>
      </c>
      <c r="F13" t="s">
        <v>5972</v>
      </c>
      <c r="G13" t="s">
        <v>5636</v>
      </c>
      <c r="H13" t="s">
        <v>5758</v>
      </c>
      <c r="I13">
        <v>1</v>
      </c>
      <c r="J13" t="s">
        <v>69</v>
      </c>
      <c r="K13">
        <v>32</v>
      </c>
      <c r="L13" t="s">
        <v>553</v>
      </c>
      <c r="M13" s="4">
        <v>5860</v>
      </c>
      <c r="P13" s="2">
        <v>45744</v>
      </c>
      <c r="R13">
        <v>1</v>
      </c>
      <c r="S13" s="4">
        <v>5860</v>
      </c>
      <c r="T13" t="s">
        <v>65</v>
      </c>
      <c r="U13" t="s">
        <v>554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69</v>
      </c>
      <c r="AI13">
        <v>0</v>
      </c>
      <c r="AJ13" t="s">
        <v>69</v>
      </c>
      <c r="AM13" t="s">
        <v>555</v>
      </c>
      <c r="AN13" t="s">
        <v>116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BC13" t="s">
        <v>116</v>
      </c>
      <c r="BF13" t="s">
        <v>5973</v>
      </c>
    </row>
    <row r="14" spans="1:58" x14ac:dyDescent="0.35">
      <c r="A14" t="s">
        <v>5974</v>
      </c>
      <c r="B14">
        <v>10000</v>
      </c>
      <c r="C14">
        <v>10000</v>
      </c>
      <c r="D14" s="2">
        <v>45756</v>
      </c>
      <c r="E14" t="s">
        <v>61</v>
      </c>
      <c r="F14" s="3">
        <v>0.42709490740740741</v>
      </c>
      <c r="G14" t="s">
        <v>5975</v>
      </c>
      <c r="H14" t="s">
        <v>5976</v>
      </c>
      <c r="I14">
        <v>1</v>
      </c>
      <c r="J14" t="s">
        <v>69</v>
      </c>
      <c r="K14">
        <v>88</v>
      </c>
      <c r="L14" t="s">
        <v>630</v>
      </c>
      <c r="M14">
        <v>750</v>
      </c>
      <c r="P14" s="2">
        <v>45744</v>
      </c>
      <c r="R14">
        <v>2</v>
      </c>
      <c r="S14" s="4">
        <v>1500</v>
      </c>
      <c r="T14" t="s">
        <v>65</v>
      </c>
      <c r="U14">
        <v>4.40170086005E+17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69</v>
      </c>
      <c r="AI14">
        <v>0</v>
      </c>
      <c r="AJ14" t="s">
        <v>69</v>
      </c>
      <c r="AM14">
        <v>44017008600501</v>
      </c>
      <c r="AN14" t="s">
        <v>2347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BC14" t="s">
        <v>2347</v>
      </c>
      <c r="BF14" t="s">
        <v>5977</v>
      </c>
    </row>
    <row r="15" spans="1:58" x14ac:dyDescent="0.35">
      <c r="A15" t="s">
        <v>5978</v>
      </c>
      <c r="B15">
        <v>10000</v>
      </c>
      <c r="C15">
        <v>10000</v>
      </c>
      <c r="D15" s="2">
        <v>45754</v>
      </c>
      <c r="E15" t="s">
        <v>95</v>
      </c>
      <c r="F15" t="s">
        <v>5979</v>
      </c>
      <c r="G15" t="s">
        <v>5980</v>
      </c>
      <c r="H15" t="s">
        <v>5981</v>
      </c>
      <c r="I15">
        <v>1</v>
      </c>
      <c r="J15" t="s">
        <v>69</v>
      </c>
      <c r="K15">
        <v>88</v>
      </c>
      <c r="L15" t="s">
        <v>630</v>
      </c>
      <c r="M15" s="4">
        <v>2500</v>
      </c>
      <c r="P15" s="2">
        <v>45744</v>
      </c>
      <c r="R15">
        <v>1</v>
      </c>
      <c r="S15" s="4">
        <v>2500</v>
      </c>
      <c r="T15" t="s">
        <v>65</v>
      </c>
      <c r="U15" t="s">
        <v>5982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69</v>
      </c>
      <c r="AI15">
        <v>0</v>
      </c>
      <c r="AJ15" t="s">
        <v>69</v>
      </c>
      <c r="AM15" t="s">
        <v>5983</v>
      </c>
      <c r="AN15" t="s">
        <v>5984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BC15" t="s">
        <v>5984</v>
      </c>
      <c r="BF15" t="s">
        <v>5985</v>
      </c>
    </row>
    <row r="16" spans="1:58" x14ac:dyDescent="0.35">
      <c r="A16" t="s">
        <v>5986</v>
      </c>
      <c r="B16">
        <v>10000</v>
      </c>
      <c r="C16">
        <v>10000</v>
      </c>
      <c r="D16" s="2">
        <v>45755</v>
      </c>
      <c r="E16" t="s">
        <v>61</v>
      </c>
      <c r="F16" t="s">
        <v>5987</v>
      </c>
      <c r="G16" t="s">
        <v>5988</v>
      </c>
      <c r="H16" t="s">
        <v>5989</v>
      </c>
      <c r="I16">
        <v>1</v>
      </c>
      <c r="J16" t="s">
        <v>69</v>
      </c>
      <c r="K16">
        <v>79</v>
      </c>
      <c r="L16" t="s">
        <v>573</v>
      </c>
      <c r="M16">
        <v>150</v>
      </c>
      <c r="P16" s="2">
        <v>45744</v>
      </c>
      <c r="R16">
        <v>60</v>
      </c>
      <c r="S16" s="4">
        <v>9000</v>
      </c>
      <c r="T16" t="s">
        <v>65</v>
      </c>
      <c r="U16" t="s">
        <v>5990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69</v>
      </c>
      <c r="AI16">
        <v>0</v>
      </c>
      <c r="AJ16" t="s">
        <v>69</v>
      </c>
      <c r="AM16" t="s">
        <v>5991</v>
      </c>
      <c r="AN16" t="s">
        <v>5992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BC16" t="s">
        <v>5992</v>
      </c>
      <c r="BF16" t="s">
        <v>5993</v>
      </c>
    </row>
    <row r="17" spans="1:58" x14ac:dyDescent="0.35">
      <c r="A17" t="s">
        <v>5994</v>
      </c>
      <c r="B17">
        <v>10000</v>
      </c>
      <c r="C17">
        <v>10000</v>
      </c>
      <c r="D17" s="2">
        <v>45744</v>
      </c>
      <c r="E17" t="s">
        <v>61</v>
      </c>
      <c r="F17" s="3">
        <v>0.52793981481481478</v>
      </c>
      <c r="G17" t="s">
        <v>5995</v>
      </c>
      <c r="I17">
        <v>1</v>
      </c>
      <c r="J17" t="s">
        <v>63</v>
      </c>
      <c r="K17">
        <v>61</v>
      </c>
      <c r="L17" t="s">
        <v>216</v>
      </c>
      <c r="M17" s="4">
        <v>2000</v>
      </c>
      <c r="P17" s="2">
        <v>45744</v>
      </c>
      <c r="R17">
        <v>1</v>
      </c>
      <c r="S17" s="4">
        <v>2000</v>
      </c>
      <c r="T17" t="s">
        <v>65</v>
      </c>
      <c r="U17">
        <v>4.50019086004E+17</v>
      </c>
      <c r="V17">
        <v>0</v>
      </c>
      <c r="W17" s="4">
        <v>2000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45001908600400</v>
      </c>
      <c r="AN17" t="s">
        <v>2347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5996</v>
      </c>
      <c r="BA17">
        <v>0</v>
      </c>
      <c r="BC17" t="s">
        <v>2347</v>
      </c>
      <c r="BF17" t="s">
        <v>5997</v>
      </c>
    </row>
    <row r="18" spans="1:58" x14ac:dyDescent="0.35">
      <c r="A18" t="s">
        <v>5998</v>
      </c>
      <c r="B18">
        <v>10000</v>
      </c>
      <c r="C18">
        <v>10000</v>
      </c>
      <c r="D18" s="2">
        <v>45744</v>
      </c>
      <c r="E18" t="s">
        <v>61</v>
      </c>
      <c r="F18" s="3">
        <v>0.52795138888888893</v>
      </c>
      <c r="G18" t="s">
        <v>5995</v>
      </c>
      <c r="I18">
        <v>1</v>
      </c>
      <c r="J18" t="s">
        <v>63</v>
      </c>
      <c r="K18">
        <v>61</v>
      </c>
      <c r="L18" t="s">
        <v>216</v>
      </c>
      <c r="M18" s="4">
        <v>2000</v>
      </c>
      <c r="P18" s="2">
        <v>45744</v>
      </c>
      <c r="R18">
        <v>1</v>
      </c>
      <c r="S18" s="4">
        <v>2000</v>
      </c>
      <c r="T18" t="s">
        <v>65</v>
      </c>
      <c r="U18">
        <v>4.7001408600600998E+17</v>
      </c>
      <c r="V18">
        <v>0</v>
      </c>
      <c r="W18" s="4">
        <v>2000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47001408600601</v>
      </c>
      <c r="AN18" t="s">
        <v>2347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5999</v>
      </c>
      <c r="BA18">
        <v>0</v>
      </c>
      <c r="BC18" t="s">
        <v>2347</v>
      </c>
      <c r="BF18" t="s">
        <v>5997</v>
      </c>
    </row>
    <row r="19" spans="1:58" x14ac:dyDescent="0.35">
      <c r="A19" t="s">
        <v>6000</v>
      </c>
      <c r="B19">
        <v>10000</v>
      </c>
      <c r="C19">
        <v>10000</v>
      </c>
      <c r="D19" s="2">
        <v>45744</v>
      </c>
      <c r="E19" t="s">
        <v>61</v>
      </c>
      <c r="F19" t="s">
        <v>5960</v>
      </c>
      <c r="G19" t="s">
        <v>5961</v>
      </c>
      <c r="I19">
        <v>1</v>
      </c>
      <c r="J19" t="s">
        <v>63</v>
      </c>
      <c r="K19">
        <v>61</v>
      </c>
      <c r="L19" t="s">
        <v>216</v>
      </c>
      <c r="M19">
        <v>667</v>
      </c>
      <c r="P19" s="2">
        <v>45744</v>
      </c>
      <c r="R19">
        <v>3</v>
      </c>
      <c r="S19" s="4">
        <v>2001</v>
      </c>
      <c r="T19" t="s">
        <v>65</v>
      </c>
      <c r="U19">
        <v>4.70044086004E+17</v>
      </c>
      <c r="V19">
        <v>0</v>
      </c>
      <c r="W19" s="4">
        <v>2000</v>
      </c>
      <c r="X19">
        <v>1</v>
      </c>
      <c r="Y19">
        <v>0</v>
      </c>
      <c r="Z19">
        <v>0</v>
      </c>
      <c r="AA19">
        <v>0</v>
      </c>
      <c r="AD19">
        <v>0</v>
      </c>
      <c r="AM19">
        <v>47004408600400</v>
      </c>
      <c r="AN19" t="s">
        <v>2347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6001</v>
      </c>
      <c r="BA19">
        <v>0</v>
      </c>
      <c r="BC19" t="s">
        <v>2347</v>
      </c>
      <c r="BF19" t="s">
        <v>5997</v>
      </c>
    </row>
    <row r="20" spans="1:58" x14ac:dyDescent="0.35">
      <c r="A20" t="s">
        <v>6002</v>
      </c>
      <c r="B20">
        <v>10000</v>
      </c>
      <c r="C20">
        <v>10000</v>
      </c>
      <c r="D20" s="2">
        <v>45748</v>
      </c>
      <c r="E20" t="s">
        <v>61</v>
      </c>
      <c r="F20" t="s">
        <v>5473</v>
      </c>
      <c r="G20" t="s">
        <v>3277</v>
      </c>
      <c r="I20">
        <v>1</v>
      </c>
      <c r="J20" t="s">
        <v>63</v>
      </c>
      <c r="K20">
        <v>46</v>
      </c>
      <c r="L20" t="s">
        <v>113</v>
      </c>
      <c r="M20" s="4">
        <v>18000</v>
      </c>
      <c r="P20" s="2">
        <v>45744</v>
      </c>
      <c r="R20">
        <v>1</v>
      </c>
      <c r="S20" s="4">
        <v>18000</v>
      </c>
      <c r="T20" t="s">
        <v>65</v>
      </c>
      <c r="U20" t="s">
        <v>3772</v>
      </c>
      <c r="V20">
        <v>0</v>
      </c>
      <c r="W20" s="4">
        <v>18000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3773</v>
      </c>
      <c r="AN20" t="s">
        <v>116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6003</v>
      </c>
      <c r="BA20">
        <v>0</v>
      </c>
      <c r="BC20" t="s">
        <v>116</v>
      </c>
      <c r="BF20" t="s">
        <v>3506</v>
      </c>
    </row>
    <row r="21" spans="1:58" x14ac:dyDescent="0.35">
      <c r="A21" t="s">
        <v>6004</v>
      </c>
      <c r="B21">
        <v>10000</v>
      </c>
      <c r="C21">
        <v>10000</v>
      </c>
      <c r="D21" s="2">
        <v>45744</v>
      </c>
      <c r="E21" t="s">
        <v>61</v>
      </c>
      <c r="F21" s="3">
        <v>0.45989583333333334</v>
      </c>
      <c r="G21" t="s">
        <v>348</v>
      </c>
      <c r="I21">
        <v>1</v>
      </c>
      <c r="J21" t="s">
        <v>63</v>
      </c>
      <c r="K21">
        <v>46</v>
      </c>
      <c r="L21" t="s">
        <v>113</v>
      </c>
      <c r="M21" s="4">
        <v>1000</v>
      </c>
      <c r="P21" s="2">
        <v>45744</v>
      </c>
      <c r="R21">
        <v>1</v>
      </c>
      <c r="S21" s="4">
        <v>1000</v>
      </c>
      <c r="T21" t="s">
        <v>65</v>
      </c>
      <c r="U21" t="s">
        <v>6005</v>
      </c>
      <c r="V21">
        <v>0</v>
      </c>
      <c r="W21" s="4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6006</v>
      </c>
      <c r="AN21" t="s">
        <v>116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6007</v>
      </c>
      <c r="BA21">
        <v>0</v>
      </c>
      <c r="BC21" t="s">
        <v>116</v>
      </c>
      <c r="BF21" t="s">
        <v>3506</v>
      </c>
    </row>
    <row r="22" spans="1:58" x14ac:dyDescent="0.35">
      <c r="A22" t="s">
        <v>6008</v>
      </c>
      <c r="B22">
        <v>10000</v>
      </c>
      <c r="C22">
        <v>20000</v>
      </c>
      <c r="D22" s="2">
        <v>45744</v>
      </c>
      <c r="E22" t="s">
        <v>61</v>
      </c>
      <c r="F22" s="3">
        <v>0.52905092592592595</v>
      </c>
      <c r="G22" t="s">
        <v>6009</v>
      </c>
      <c r="I22">
        <v>1</v>
      </c>
      <c r="J22" t="s">
        <v>63</v>
      </c>
      <c r="K22">
        <v>60</v>
      </c>
      <c r="L22" t="s">
        <v>277</v>
      </c>
      <c r="M22" s="4">
        <v>1000</v>
      </c>
      <c r="P22" s="2">
        <v>45744</v>
      </c>
      <c r="R22">
        <v>1</v>
      </c>
      <c r="S22" s="4">
        <v>1000</v>
      </c>
      <c r="T22" t="s">
        <v>65</v>
      </c>
      <c r="U22" t="s">
        <v>6010</v>
      </c>
      <c r="V22">
        <v>0</v>
      </c>
      <c r="W22" s="4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6011</v>
      </c>
      <c r="AN22" t="s">
        <v>116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6012</v>
      </c>
      <c r="BA22">
        <v>0</v>
      </c>
      <c r="BC22" t="s">
        <v>116</v>
      </c>
      <c r="BF22" t="s">
        <v>3509</v>
      </c>
    </row>
    <row r="23" spans="1:58" x14ac:dyDescent="0.35">
      <c r="A23" t="s">
        <v>3533</v>
      </c>
      <c r="B23">
        <v>10000</v>
      </c>
      <c r="C23">
        <v>30000</v>
      </c>
      <c r="D23" s="2">
        <v>45748</v>
      </c>
      <c r="E23" t="s">
        <v>61</v>
      </c>
      <c r="F23" t="s">
        <v>3534</v>
      </c>
      <c r="G23">
        <v>10639931114</v>
      </c>
      <c r="I23">
        <v>3</v>
      </c>
      <c r="J23" t="s">
        <v>63</v>
      </c>
      <c r="K23">
        <v>85</v>
      </c>
      <c r="L23" t="s">
        <v>327</v>
      </c>
      <c r="M23" s="4">
        <v>20910</v>
      </c>
      <c r="P23" s="2">
        <v>45744</v>
      </c>
      <c r="R23">
        <v>11</v>
      </c>
      <c r="S23" s="4">
        <v>230010</v>
      </c>
      <c r="T23" t="s">
        <v>65</v>
      </c>
      <c r="U23" t="s">
        <v>611</v>
      </c>
      <c r="V23">
        <v>0</v>
      </c>
      <c r="W23" s="4">
        <v>215000</v>
      </c>
      <c r="X23" s="4">
        <v>15010</v>
      </c>
      <c r="Y23">
        <v>0</v>
      </c>
      <c r="Z23">
        <v>0</v>
      </c>
      <c r="AA23">
        <v>0</v>
      </c>
      <c r="AD23">
        <v>0</v>
      </c>
      <c r="AM23" t="s">
        <v>612</v>
      </c>
      <c r="AN23" t="s">
        <v>107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3535</v>
      </c>
      <c r="BA23">
        <v>0</v>
      </c>
      <c r="BC23" t="s">
        <v>107</v>
      </c>
      <c r="BF23" t="s">
        <v>3536</v>
      </c>
    </row>
    <row r="24" spans="1:58" x14ac:dyDescent="0.35">
      <c r="A24" t="s">
        <v>6013</v>
      </c>
      <c r="B24">
        <v>10000</v>
      </c>
      <c r="C24">
        <v>10000</v>
      </c>
      <c r="D24" s="2">
        <v>45744</v>
      </c>
      <c r="E24" t="s">
        <v>61</v>
      </c>
      <c r="F24" t="s">
        <v>5849</v>
      </c>
      <c r="G24" t="s">
        <v>1457</v>
      </c>
      <c r="I24">
        <v>1</v>
      </c>
      <c r="J24" t="s">
        <v>63</v>
      </c>
      <c r="K24">
        <v>61</v>
      </c>
      <c r="L24" t="s">
        <v>216</v>
      </c>
      <c r="M24">
        <v>250</v>
      </c>
      <c r="P24" s="2">
        <v>45744</v>
      </c>
      <c r="R24">
        <v>2</v>
      </c>
      <c r="S24">
        <v>500</v>
      </c>
      <c r="T24" t="s">
        <v>65</v>
      </c>
      <c r="U24" t="s">
        <v>6014</v>
      </c>
      <c r="V24">
        <v>0</v>
      </c>
      <c r="W24">
        <v>500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6015</v>
      </c>
      <c r="AN24" t="s">
        <v>1241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6016</v>
      </c>
      <c r="BA24">
        <v>0</v>
      </c>
      <c r="BC24" t="s">
        <v>1241</v>
      </c>
      <c r="BF24" t="s">
        <v>3555</v>
      </c>
    </row>
    <row r="25" spans="1:58" x14ac:dyDescent="0.35">
      <c r="A25" t="s">
        <v>3558</v>
      </c>
      <c r="B25">
        <v>10000</v>
      </c>
      <c r="C25">
        <v>30000</v>
      </c>
      <c r="D25" s="2">
        <v>45744</v>
      </c>
      <c r="E25" t="s">
        <v>61</v>
      </c>
      <c r="F25" t="s">
        <v>5145</v>
      </c>
      <c r="G25">
        <v>10639931114</v>
      </c>
      <c r="I25">
        <v>3</v>
      </c>
      <c r="J25" t="s">
        <v>63</v>
      </c>
      <c r="K25">
        <v>85</v>
      </c>
      <c r="L25" t="s">
        <v>327</v>
      </c>
      <c r="M25" s="4">
        <v>8000</v>
      </c>
      <c r="P25" s="2">
        <v>45744</v>
      </c>
      <c r="R25">
        <v>11</v>
      </c>
      <c r="S25" s="4">
        <v>88000</v>
      </c>
      <c r="T25" t="s">
        <v>65</v>
      </c>
      <c r="U25" t="s">
        <v>3560</v>
      </c>
      <c r="V25">
        <v>0</v>
      </c>
      <c r="W25" s="4">
        <v>80000</v>
      </c>
      <c r="X25" s="4">
        <v>8000</v>
      </c>
      <c r="Y25">
        <v>0</v>
      </c>
      <c r="Z25">
        <v>0</v>
      </c>
      <c r="AA25">
        <v>0</v>
      </c>
      <c r="AD25">
        <v>0</v>
      </c>
      <c r="AM25" t="s">
        <v>3561</v>
      </c>
      <c r="AN25" t="s">
        <v>107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3562</v>
      </c>
      <c r="BA25">
        <v>0</v>
      </c>
      <c r="BC25" t="s">
        <v>107</v>
      </c>
      <c r="BF25" t="s">
        <v>3563</v>
      </c>
    </row>
    <row r="26" spans="1:58" x14ac:dyDescent="0.35">
      <c r="A26" t="s">
        <v>5839</v>
      </c>
      <c r="B26">
        <v>10000</v>
      </c>
      <c r="C26">
        <v>20000</v>
      </c>
      <c r="D26" s="2">
        <v>45744</v>
      </c>
      <c r="E26" t="s">
        <v>61</v>
      </c>
      <c r="F26" t="s">
        <v>5840</v>
      </c>
      <c r="G26" t="s">
        <v>5717</v>
      </c>
      <c r="I26">
        <v>2</v>
      </c>
      <c r="J26" t="s">
        <v>63</v>
      </c>
      <c r="K26">
        <v>71</v>
      </c>
      <c r="L26" t="s">
        <v>135</v>
      </c>
      <c r="M26">
        <v>834</v>
      </c>
      <c r="P26" s="2">
        <v>45744</v>
      </c>
      <c r="R26">
        <v>6</v>
      </c>
      <c r="S26" s="4">
        <v>5004</v>
      </c>
      <c r="T26" t="s">
        <v>65</v>
      </c>
      <c r="U26">
        <v>83615110001</v>
      </c>
      <c r="V26">
        <v>0</v>
      </c>
      <c r="W26" s="4">
        <v>5000</v>
      </c>
      <c r="X26">
        <v>4</v>
      </c>
      <c r="Y26">
        <v>0</v>
      </c>
      <c r="Z26">
        <v>0</v>
      </c>
      <c r="AA26">
        <v>0</v>
      </c>
      <c r="AD26">
        <v>0</v>
      </c>
      <c r="AM26">
        <v>8361511</v>
      </c>
      <c r="AN26" t="s">
        <v>91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5841</v>
      </c>
      <c r="BA26">
        <v>0</v>
      </c>
      <c r="BC26" t="s">
        <v>91</v>
      </c>
      <c r="BF26" t="s">
        <v>3589</v>
      </c>
    </row>
    <row r="27" spans="1:58" x14ac:dyDescent="0.35">
      <c r="A27" t="s">
        <v>5842</v>
      </c>
      <c r="B27">
        <v>10000</v>
      </c>
      <c r="C27">
        <v>20000</v>
      </c>
      <c r="D27" s="2">
        <v>45744</v>
      </c>
      <c r="E27" t="s">
        <v>61</v>
      </c>
      <c r="F27" t="s">
        <v>5843</v>
      </c>
      <c r="G27" t="s">
        <v>5717</v>
      </c>
      <c r="I27">
        <v>2</v>
      </c>
      <c r="J27" t="s">
        <v>63</v>
      </c>
      <c r="K27">
        <v>71</v>
      </c>
      <c r="L27" t="s">
        <v>135</v>
      </c>
      <c r="M27" s="4">
        <v>1000</v>
      </c>
      <c r="P27" s="2">
        <v>45744</v>
      </c>
      <c r="R27">
        <v>6</v>
      </c>
      <c r="S27" s="4">
        <v>6000</v>
      </c>
      <c r="T27" t="s">
        <v>65</v>
      </c>
      <c r="U27">
        <v>83615230001</v>
      </c>
      <c r="V27">
        <v>0</v>
      </c>
      <c r="W27" s="4">
        <v>6000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8361523</v>
      </c>
      <c r="AN27" t="s">
        <v>91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5844</v>
      </c>
      <c r="BA27">
        <v>0</v>
      </c>
      <c r="BC27" t="s">
        <v>91</v>
      </c>
      <c r="BF27" t="s">
        <v>3589</v>
      </c>
    </row>
    <row r="28" spans="1:58" x14ac:dyDescent="0.35">
      <c r="A28" t="s">
        <v>5848</v>
      </c>
      <c r="B28">
        <v>10000</v>
      </c>
      <c r="C28">
        <v>20000</v>
      </c>
      <c r="D28" s="2">
        <v>45744</v>
      </c>
      <c r="E28" t="s">
        <v>61</v>
      </c>
      <c r="F28" t="s">
        <v>5849</v>
      </c>
      <c r="G28" t="s">
        <v>5717</v>
      </c>
      <c r="I28">
        <v>2</v>
      </c>
      <c r="J28" t="s">
        <v>63</v>
      </c>
      <c r="K28">
        <v>71</v>
      </c>
      <c r="L28" t="s">
        <v>135</v>
      </c>
      <c r="M28">
        <v>834</v>
      </c>
      <c r="P28" s="2">
        <v>45744</v>
      </c>
      <c r="R28">
        <v>6</v>
      </c>
      <c r="S28" s="4">
        <v>5004</v>
      </c>
      <c r="T28" t="s">
        <v>65</v>
      </c>
      <c r="U28">
        <v>5000443900001</v>
      </c>
      <c r="V28">
        <v>0</v>
      </c>
      <c r="W28" s="4">
        <v>5000</v>
      </c>
      <c r="X28">
        <v>4</v>
      </c>
      <c r="Y28">
        <v>0</v>
      </c>
      <c r="Z28">
        <v>0</v>
      </c>
      <c r="AA28">
        <v>0</v>
      </c>
      <c r="AD28">
        <v>0</v>
      </c>
      <c r="AM28">
        <v>500044390</v>
      </c>
      <c r="AN28" t="s">
        <v>91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5850</v>
      </c>
      <c r="BA28">
        <v>0</v>
      </c>
      <c r="BC28" t="s">
        <v>91</v>
      </c>
      <c r="BF28" t="s">
        <v>3589</v>
      </c>
    </row>
    <row r="29" spans="1:58" x14ac:dyDescent="0.35">
      <c r="A29" t="s">
        <v>5854</v>
      </c>
      <c r="B29">
        <v>10000</v>
      </c>
      <c r="C29">
        <v>20000</v>
      </c>
      <c r="D29" s="2">
        <v>45744</v>
      </c>
      <c r="E29" t="s">
        <v>61</v>
      </c>
      <c r="F29" t="s">
        <v>5855</v>
      </c>
      <c r="G29" t="s">
        <v>5717</v>
      </c>
      <c r="I29">
        <v>2</v>
      </c>
      <c r="J29" t="s">
        <v>63</v>
      </c>
      <c r="K29">
        <v>71</v>
      </c>
      <c r="L29" t="s">
        <v>135</v>
      </c>
      <c r="M29" s="4">
        <v>3334</v>
      </c>
      <c r="P29" s="2">
        <v>45744</v>
      </c>
      <c r="R29">
        <v>6</v>
      </c>
      <c r="S29" s="4">
        <v>20004</v>
      </c>
      <c r="T29" t="s">
        <v>65</v>
      </c>
      <c r="U29">
        <v>5000514810001</v>
      </c>
      <c r="V29">
        <v>0</v>
      </c>
      <c r="W29" s="4">
        <v>20000</v>
      </c>
      <c r="X29">
        <v>4</v>
      </c>
      <c r="Y29">
        <v>0</v>
      </c>
      <c r="Z29">
        <v>0</v>
      </c>
      <c r="AA29">
        <v>0</v>
      </c>
      <c r="AD29">
        <v>0</v>
      </c>
      <c r="AM29">
        <v>500051481</v>
      </c>
      <c r="AN29" t="s">
        <v>91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5856</v>
      </c>
      <c r="BA29">
        <v>0</v>
      </c>
      <c r="BC29" t="s">
        <v>91</v>
      </c>
      <c r="BF29" t="s">
        <v>3589</v>
      </c>
    </row>
    <row r="30" spans="1:58" x14ac:dyDescent="0.35">
      <c r="A30" t="s">
        <v>5857</v>
      </c>
      <c r="B30">
        <v>10000</v>
      </c>
      <c r="C30">
        <v>20000</v>
      </c>
      <c r="D30" s="2">
        <v>45744</v>
      </c>
      <c r="E30" t="s">
        <v>61</v>
      </c>
      <c r="F30" s="3">
        <v>0.48218749999999999</v>
      </c>
      <c r="G30" t="s">
        <v>5717</v>
      </c>
      <c r="I30">
        <v>2</v>
      </c>
      <c r="J30" t="s">
        <v>63</v>
      </c>
      <c r="K30">
        <v>82</v>
      </c>
      <c r="L30" t="s">
        <v>341</v>
      </c>
      <c r="M30" s="4">
        <v>1167</v>
      </c>
      <c r="P30" s="2">
        <v>45744</v>
      </c>
      <c r="R30">
        <v>6</v>
      </c>
      <c r="S30" s="4">
        <v>7002</v>
      </c>
      <c r="T30" t="s">
        <v>65</v>
      </c>
      <c r="U30">
        <v>5000435310001</v>
      </c>
      <c r="V30">
        <v>0</v>
      </c>
      <c r="W30" s="4">
        <v>5000</v>
      </c>
      <c r="X30" s="4">
        <v>2002</v>
      </c>
      <c r="Y30">
        <v>0</v>
      </c>
      <c r="Z30">
        <v>0</v>
      </c>
      <c r="AA30">
        <v>0</v>
      </c>
      <c r="AD30">
        <v>0</v>
      </c>
      <c r="AM30">
        <v>500043531</v>
      </c>
      <c r="AN30" t="s">
        <v>91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5858</v>
      </c>
      <c r="BA30">
        <v>0</v>
      </c>
      <c r="BC30" t="s">
        <v>91</v>
      </c>
      <c r="BF30" t="s">
        <v>4342</v>
      </c>
    </row>
    <row r="31" spans="1:58" x14ac:dyDescent="0.35">
      <c r="A31" t="s">
        <v>6017</v>
      </c>
      <c r="B31">
        <v>10000</v>
      </c>
      <c r="C31">
        <v>10000</v>
      </c>
      <c r="D31" s="2">
        <v>45744</v>
      </c>
      <c r="E31" t="s">
        <v>61</v>
      </c>
      <c r="F31" t="s">
        <v>6018</v>
      </c>
      <c r="G31" t="s">
        <v>5717</v>
      </c>
      <c r="I31">
        <v>1</v>
      </c>
      <c r="J31" t="s">
        <v>63</v>
      </c>
      <c r="K31">
        <v>72</v>
      </c>
      <c r="L31" t="s">
        <v>163</v>
      </c>
      <c r="M31" s="4">
        <v>2000</v>
      </c>
      <c r="P31" s="2">
        <v>45744</v>
      </c>
      <c r="R31">
        <v>4</v>
      </c>
      <c r="S31" s="4">
        <v>8000</v>
      </c>
      <c r="T31" t="s">
        <v>65</v>
      </c>
      <c r="U31">
        <v>5000435340001</v>
      </c>
      <c r="V31">
        <v>0</v>
      </c>
      <c r="W31" s="4">
        <v>6000</v>
      </c>
      <c r="X31" s="4">
        <v>2000</v>
      </c>
      <c r="Y31">
        <v>0</v>
      </c>
      <c r="Z31">
        <v>0</v>
      </c>
      <c r="AA31">
        <v>0</v>
      </c>
      <c r="AD31">
        <v>0</v>
      </c>
      <c r="AM31">
        <v>500043534</v>
      </c>
      <c r="AN31" t="s">
        <v>91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6019</v>
      </c>
      <c r="BA31">
        <v>0</v>
      </c>
      <c r="BC31" t="s">
        <v>91</v>
      </c>
      <c r="BF31" t="s">
        <v>4342</v>
      </c>
    </row>
    <row r="32" spans="1:58" x14ac:dyDescent="0.35">
      <c r="A32" t="s">
        <v>6017</v>
      </c>
      <c r="B32">
        <v>10000</v>
      </c>
      <c r="C32">
        <v>20000</v>
      </c>
      <c r="D32" s="2">
        <v>45744</v>
      </c>
      <c r="E32" t="s">
        <v>61</v>
      </c>
      <c r="F32" t="s">
        <v>6018</v>
      </c>
      <c r="G32" t="s">
        <v>5717</v>
      </c>
      <c r="I32">
        <v>2</v>
      </c>
      <c r="J32" t="s">
        <v>63</v>
      </c>
      <c r="K32">
        <v>82</v>
      </c>
      <c r="L32" t="s">
        <v>341</v>
      </c>
      <c r="M32" s="4">
        <v>1167</v>
      </c>
      <c r="P32" s="2">
        <v>45744</v>
      </c>
      <c r="R32">
        <v>6</v>
      </c>
      <c r="S32" s="4">
        <v>7002</v>
      </c>
      <c r="T32" t="s">
        <v>65</v>
      </c>
      <c r="U32">
        <v>5000435340001</v>
      </c>
      <c r="V32">
        <v>0</v>
      </c>
      <c r="W32" s="4">
        <v>6000</v>
      </c>
      <c r="X32" s="4">
        <v>1002</v>
      </c>
      <c r="Y32">
        <v>0</v>
      </c>
      <c r="Z32">
        <v>0</v>
      </c>
      <c r="AA32">
        <v>0</v>
      </c>
      <c r="AD32">
        <v>0</v>
      </c>
      <c r="AM32">
        <v>500043534</v>
      </c>
      <c r="AN32" t="s">
        <v>91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6019</v>
      </c>
      <c r="BA32">
        <v>0</v>
      </c>
      <c r="BC32" t="s">
        <v>91</v>
      </c>
      <c r="BF32" t="s">
        <v>4342</v>
      </c>
    </row>
    <row r="33" spans="1:58" x14ac:dyDescent="0.35">
      <c r="A33" t="s">
        <v>5859</v>
      </c>
      <c r="B33">
        <v>10000</v>
      </c>
      <c r="C33">
        <v>20000</v>
      </c>
      <c r="D33" s="2">
        <v>45744</v>
      </c>
      <c r="E33" t="s">
        <v>61</v>
      </c>
      <c r="F33" s="3">
        <v>0.48218749999999999</v>
      </c>
      <c r="G33" t="s">
        <v>5717</v>
      </c>
      <c r="I33">
        <v>2</v>
      </c>
      <c r="J33" t="s">
        <v>63</v>
      </c>
      <c r="K33">
        <v>82</v>
      </c>
      <c r="L33" t="s">
        <v>341</v>
      </c>
      <c r="M33" s="4">
        <v>1167</v>
      </c>
      <c r="P33" s="2">
        <v>45744</v>
      </c>
      <c r="R33">
        <v>6</v>
      </c>
      <c r="S33" s="4">
        <v>7002</v>
      </c>
      <c r="T33" t="s">
        <v>65</v>
      </c>
      <c r="U33">
        <v>5000444160001</v>
      </c>
      <c r="V33">
        <v>0</v>
      </c>
      <c r="W33" s="4">
        <v>5000</v>
      </c>
      <c r="X33" s="4">
        <v>2002</v>
      </c>
      <c r="Y33">
        <v>0</v>
      </c>
      <c r="Z33">
        <v>0</v>
      </c>
      <c r="AA33">
        <v>0</v>
      </c>
      <c r="AD33">
        <v>0</v>
      </c>
      <c r="AM33">
        <v>500044416</v>
      </c>
      <c r="AN33" t="s">
        <v>91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5860</v>
      </c>
      <c r="BA33">
        <v>0</v>
      </c>
      <c r="BC33" t="s">
        <v>91</v>
      </c>
      <c r="BF33" t="s">
        <v>4342</v>
      </c>
    </row>
    <row r="34" spans="1:58" x14ac:dyDescent="0.35">
      <c r="A34" t="s">
        <v>5626</v>
      </c>
      <c r="B34">
        <v>10000</v>
      </c>
      <c r="C34">
        <v>20000</v>
      </c>
      <c r="D34" s="2">
        <v>45749</v>
      </c>
      <c r="E34" t="s">
        <v>61</v>
      </c>
      <c r="F34" t="s">
        <v>5627</v>
      </c>
      <c r="G34" t="s">
        <v>5628</v>
      </c>
      <c r="I34">
        <v>1</v>
      </c>
      <c r="J34" t="s">
        <v>63</v>
      </c>
      <c r="K34" t="s">
        <v>770</v>
      </c>
      <c r="L34" t="s">
        <v>154</v>
      </c>
      <c r="M34" s="4">
        <v>8182</v>
      </c>
      <c r="P34" s="2">
        <v>45744</v>
      </c>
      <c r="R34">
        <v>132</v>
      </c>
      <c r="S34" s="4">
        <v>1080024</v>
      </c>
      <c r="T34" t="s">
        <v>65</v>
      </c>
      <c r="U34" t="s">
        <v>2019</v>
      </c>
      <c r="V34">
        <v>0</v>
      </c>
      <c r="W34" s="4">
        <v>1079992</v>
      </c>
      <c r="X34">
        <v>32</v>
      </c>
      <c r="Y34">
        <v>0</v>
      </c>
      <c r="Z34">
        <v>0</v>
      </c>
      <c r="AA34">
        <v>0</v>
      </c>
      <c r="AD34">
        <v>0</v>
      </c>
      <c r="AM34" t="s">
        <v>2020</v>
      </c>
      <c r="AN34" t="s">
        <v>1672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5629</v>
      </c>
      <c r="BA34">
        <v>0</v>
      </c>
      <c r="BC34" t="s">
        <v>1672</v>
      </c>
      <c r="BF34" t="s">
        <v>4845</v>
      </c>
    </row>
    <row r="35" spans="1:58" x14ac:dyDescent="0.35">
      <c r="A35" t="s">
        <v>4068</v>
      </c>
      <c r="B35">
        <v>10000</v>
      </c>
      <c r="C35">
        <v>20000</v>
      </c>
      <c r="D35" s="2">
        <v>45744</v>
      </c>
      <c r="E35" t="s">
        <v>61</v>
      </c>
      <c r="F35" s="3">
        <v>0.52878472222222217</v>
      </c>
      <c r="G35" t="s">
        <v>4069</v>
      </c>
      <c r="I35">
        <v>0</v>
      </c>
      <c r="J35" t="s">
        <v>63</v>
      </c>
      <c r="K35">
        <v>60</v>
      </c>
      <c r="L35" t="s">
        <v>277</v>
      </c>
      <c r="M35" s="4">
        <v>5000</v>
      </c>
      <c r="P35" s="2">
        <v>45744</v>
      </c>
      <c r="R35">
        <v>1</v>
      </c>
      <c r="S35" s="4">
        <v>5000</v>
      </c>
      <c r="T35" t="s">
        <v>65</v>
      </c>
      <c r="U35" t="s">
        <v>4070</v>
      </c>
      <c r="V35">
        <v>0</v>
      </c>
      <c r="W35" s="4">
        <v>5000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4071</v>
      </c>
      <c r="AN35" t="s">
        <v>4072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4073</v>
      </c>
      <c r="BA35">
        <v>0</v>
      </c>
      <c r="BC35" t="s">
        <v>4072</v>
      </c>
      <c r="BF35" t="s">
        <v>4074</v>
      </c>
    </row>
    <row r="36" spans="1:58" x14ac:dyDescent="0.35">
      <c r="A36" t="s">
        <v>6020</v>
      </c>
      <c r="B36">
        <v>10000</v>
      </c>
      <c r="C36">
        <v>10000</v>
      </c>
      <c r="D36" s="2">
        <v>45744</v>
      </c>
      <c r="E36" t="s">
        <v>61</v>
      </c>
      <c r="F36" t="s">
        <v>5972</v>
      </c>
      <c r="G36" t="s">
        <v>6021</v>
      </c>
      <c r="I36">
        <v>1</v>
      </c>
      <c r="J36" t="s">
        <v>63</v>
      </c>
      <c r="K36">
        <v>61</v>
      </c>
      <c r="L36" t="s">
        <v>216</v>
      </c>
      <c r="M36">
        <v>400</v>
      </c>
      <c r="P36" s="2">
        <v>45744</v>
      </c>
      <c r="R36">
        <v>5</v>
      </c>
      <c r="S36" s="4">
        <v>2000</v>
      </c>
      <c r="T36" t="s">
        <v>65</v>
      </c>
      <c r="U36" t="s">
        <v>6022</v>
      </c>
      <c r="V36">
        <v>0</v>
      </c>
      <c r="W36" s="4">
        <v>2000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6023</v>
      </c>
      <c r="AN36" t="s">
        <v>508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6024</v>
      </c>
      <c r="BA36">
        <v>0</v>
      </c>
      <c r="BC36" t="s">
        <v>508</v>
      </c>
      <c r="BF36" t="s">
        <v>4657</v>
      </c>
    </row>
    <row r="37" spans="1:58" x14ac:dyDescent="0.35">
      <c r="A37" t="s">
        <v>6025</v>
      </c>
      <c r="B37">
        <v>10000</v>
      </c>
      <c r="C37">
        <v>10000</v>
      </c>
      <c r="D37" s="2">
        <v>45744</v>
      </c>
      <c r="E37" t="s">
        <v>61</v>
      </c>
      <c r="F37" t="s">
        <v>5972</v>
      </c>
      <c r="G37" t="s">
        <v>6021</v>
      </c>
      <c r="I37">
        <v>1</v>
      </c>
      <c r="J37" t="s">
        <v>63</v>
      </c>
      <c r="K37">
        <v>61</v>
      </c>
      <c r="L37" t="s">
        <v>216</v>
      </c>
      <c r="M37">
        <v>600</v>
      </c>
      <c r="P37" s="2">
        <v>45744</v>
      </c>
      <c r="R37">
        <v>5</v>
      </c>
      <c r="S37" s="4">
        <v>3000</v>
      </c>
      <c r="T37" t="s">
        <v>65</v>
      </c>
      <c r="U37" t="s">
        <v>6022</v>
      </c>
      <c r="V37">
        <v>0</v>
      </c>
      <c r="W37" s="4">
        <v>3000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6023</v>
      </c>
      <c r="AN37" t="s">
        <v>508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6026</v>
      </c>
      <c r="BA37">
        <v>0</v>
      </c>
      <c r="BC37" t="s">
        <v>508</v>
      </c>
      <c r="BF37" t="s">
        <v>4667</v>
      </c>
    </row>
    <row r="38" spans="1:58" x14ac:dyDescent="0.35">
      <c r="A38" t="s">
        <v>6027</v>
      </c>
      <c r="B38">
        <v>10000</v>
      </c>
      <c r="C38">
        <v>10000</v>
      </c>
      <c r="D38" s="2">
        <v>45750</v>
      </c>
      <c r="E38" t="s">
        <v>61</v>
      </c>
      <c r="F38" t="s">
        <v>6028</v>
      </c>
      <c r="G38" t="s">
        <v>6029</v>
      </c>
      <c r="I38">
        <v>1</v>
      </c>
      <c r="J38" t="s">
        <v>63</v>
      </c>
      <c r="K38">
        <v>88</v>
      </c>
      <c r="L38" t="s">
        <v>630</v>
      </c>
      <c r="M38">
        <v>800</v>
      </c>
      <c r="P38" s="2">
        <v>45744</v>
      </c>
      <c r="R38">
        <v>1</v>
      </c>
      <c r="S38">
        <v>800</v>
      </c>
      <c r="T38" t="s">
        <v>65</v>
      </c>
      <c r="U38">
        <v>107176710001</v>
      </c>
      <c r="V38">
        <v>0</v>
      </c>
      <c r="W38">
        <v>500</v>
      </c>
      <c r="X38">
        <v>300</v>
      </c>
      <c r="Y38">
        <v>0</v>
      </c>
      <c r="Z38">
        <v>0</v>
      </c>
      <c r="AA38">
        <v>0</v>
      </c>
      <c r="AD38">
        <v>0</v>
      </c>
      <c r="AM38">
        <v>10717671</v>
      </c>
      <c r="AN38" t="s">
        <v>487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6030</v>
      </c>
      <c r="BA38">
        <v>0</v>
      </c>
      <c r="BC38" t="s">
        <v>487</v>
      </c>
      <c r="BF38" t="s">
        <v>6031</v>
      </c>
    </row>
    <row r="39" spans="1:58" x14ac:dyDescent="0.35">
      <c r="A39" t="s">
        <v>5875</v>
      </c>
      <c r="B39">
        <v>10000</v>
      </c>
      <c r="C39">
        <v>20000</v>
      </c>
      <c r="D39" s="2">
        <v>45744</v>
      </c>
      <c r="E39" t="s">
        <v>61</v>
      </c>
      <c r="F39" t="s">
        <v>5876</v>
      </c>
      <c r="G39" t="s">
        <v>5877</v>
      </c>
      <c r="I39">
        <v>2</v>
      </c>
      <c r="J39" t="s">
        <v>63</v>
      </c>
      <c r="K39">
        <v>86</v>
      </c>
      <c r="L39" t="s">
        <v>64</v>
      </c>
      <c r="M39">
        <v>36</v>
      </c>
      <c r="P39" s="2">
        <v>45744</v>
      </c>
      <c r="R39">
        <v>1</v>
      </c>
      <c r="S39">
        <v>36</v>
      </c>
      <c r="T39" t="s">
        <v>65</v>
      </c>
      <c r="U39" t="s">
        <v>5878</v>
      </c>
      <c r="V39">
        <v>0</v>
      </c>
      <c r="W39">
        <v>36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5879</v>
      </c>
      <c r="AN39" t="s">
        <v>1275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5880</v>
      </c>
      <c r="BA39">
        <v>0</v>
      </c>
      <c r="BC39" t="s">
        <v>1275</v>
      </c>
      <c r="BF39" t="s">
        <v>5881</v>
      </c>
    </row>
    <row r="40" spans="1:58" x14ac:dyDescent="0.35">
      <c r="A40" t="s">
        <v>5882</v>
      </c>
      <c r="B40">
        <v>10000</v>
      </c>
      <c r="C40">
        <v>30000</v>
      </c>
      <c r="D40" s="2">
        <v>45744</v>
      </c>
      <c r="E40" t="s">
        <v>61</v>
      </c>
      <c r="F40" t="s">
        <v>5883</v>
      </c>
      <c r="G40" t="s">
        <v>5877</v>
      </c>
      <c r="I40">
        <v>2</v>
      </c>
      <c r="J40" t="s">
        <v>63</v>
      </c>
      <c r="K40">
        <v>86</v>
      </c>
      <c r="L40" t="s">
        <v>64</v>
      </c>
      <c r="M40" s="4">
        <v>3600</v>
      </c>
      <c r="P40" s="2">
        <v>45744</v>
      </c>
      <c r="R40">
        <v>30</v>
      </c>
      <c r="S40" s="4">
        <v>108000</v>
      </c>
      <c r="T40" t="s">
        <v>65</v>
      </c>
      <c r="U40" t="s">
        <v>1273</v>
      </c>
      <c r="V40">
        <v>0</v>
      </c>
      <c r="W40" s="4">
        <v>100000</v>
      </c>
      <c r="X40" s="4">
        <v>8000</v>
      </c>
      <c r="Y40">
        <v>0</v>
      </c>
      <c r="Z40">
        <v>0</v>
      </c>
      <c r="AA40">
        <v>0</v>
      </c>
      <c r="AD40">
        <v>0</v>
      </c>
      <c r="AM40" t="s">
        <v>1274</v>
      </c>
      <c r="AN40" t="s">
        <v>1275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5884</v>
      </c>
      <c r="BA40">
        <v>0</v>
      </c>
      <c r="BC40" t="s">
        <v>1275</v>
      </c>
      <c r="BF40" t="s">
        <v>5885</v>
      </c>
    </row>
    <row r="41" spans="1:58" x14ac:dyDescent="0.35">
      <c r="A41" t="s">
        <v>5886</v>
      </c>
      <c r="B41">
        <v>10000</v>
      </c>
      <c r="C41">
        <v>20000</v>
      </c>
      <c r="D41" s="2">
        <v>45744</v>
      </c>
      <c r="E41" t="s">
        <v>61</v>
      </c>
      <c r="F41" t="s">
        <v>5887</v>
      </c>
      <c r="G41" t="s">
        <v>5877</v>
      </c>
      <c r="I41">
        <v>2</v>
      </c>
      <c r="J41" t="s">
        <v>63</v>
      </c>
      <c r="K41">
        <v>86</v>
      </c>
      <c r="L41" t="s">
        <v>64</v>
      </c>
      <c r="M41" s="4">
        <v>1719</v>
      </c>
      <c r="P41" s="2">
        <v>45744</v>
      </c>
      <c r="R41">
        <v>64</v>
      </c>
      <c r="S41" s="4">
        <v>110016</v>
      </c>
      <c r="T41" t="s">
        <v>65</v>
      </c>
      <c r="U41" t="s">
        <v>1768</v>
      </c>
      <c r="V41">
        <v>0</v>
      </c>
      <c r="W41" s="4">
        <v>100000</v>
      </c>
      <c r="X41" s="4">
        <v>10016</v>
      </c>
      <c r="Y41">
        <v>0</v>
      </c>
      <c r="Z41">
        <v>0</v>
      </c>
      <c r="AA41">
        <v>0</v>
      </c>
      <c r="AD41">
        <v>0</v>
      </c>
      <c r="AM41" t="s">
        <v>1769</v>
      </c>
      <c r="AN41" t="s">
        <v>1275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5888</v>
      </c>
      <c r="BA41">
        <v>0</v>
      </c>
      <c r="BC41" t="s">
        <v>1275</v>
      </c>
      <c r="BF41" t="s">
        <v>5885</v>
      </c>
    </row>
    <row r="42" spans="1:58" x14ac:dyDescent="0.35">
      <c r="A42" t="s">
        <v>5697</v>
      </c>
      <c r="B42">
        <v>10000</v>
      </c>
      <c r="C42">
        <v>20000</v>
      </c>
      <c r="D42" s="2">
        <v>45744</v>
      </c>
      <c r="E42" t="s">
        <v>61</v>
      </c>
      <c r="F42" t="s">
        <v>5698</v>
      </c>
      <c r="G42" t="s">
        <v>5699</v>
      </c>
      <c r="I42">
        <v>2</v>
      </c>
      <c r="J42" t="s">
        <v>63</v>
      </c>
      <c r="K42">
        <v>82</v>
      </c>
      <c r="L42" t="s">
        <v>341</v>
      </c>
      <c r="M42">
        <v>600</v>
      </c>
      <c r="P42" s="2">
        <v>45744</v>
      </c>
      <c r="R42">
        <v>15</v>
      </c>
      <c r="S42" s="4">
        <v>9000</v>
      </c>
      <c r="T42" t="s">
        <v>65</v>
      </c>
      <c r="U42" t="s">
        <v>5700</v>
      </c>
      <c r="V42">
        <v>0</v>
      </c>
      <c r="W42" s="4">
        <v>5000</v>
      </c>
      <c r="X42" s="4">
        <v>4000</v>
      </c>
      <c r="Y42">
        <v>0</v>
      </c>
      <c r="Z42">
        <v>0</v>
      </c>
      <c r="AA42">
        <v>0</v>
      </c>
      <c r="AD42">
        <v>0</v>
      </c>
      <c r="AM42" t="s">
        <v>5701</v>
      </c>
      <c r="AN42" t="s">
        <v>909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5702</v>
      </c>
      <c r="BA42">
        <v>0</v>
      </c>
      <c r="BC42" t="s">
        <v>909</v>
      </c>
      <c r="BF42" t="s">
        <v>5703</v>
      </c>
    </row>
    <row r="43" spans="1:58" x14ac:dyDescent="0.35">
      <c r="A43" t="s">
        <v>6032</v>
      </c>
      <c r="B43">
        <v>10000</v>
      </c>
      <c r="C43">
        <v>10000</v>
      </c>
      <c r="D43" s="2">
        <v>45750</v>
      </c>
      <c r="E43" t="s">
        <v>61</v>
      </c>
      <c r="F43" t="s">
        <v>3979</v>
      </c>
      <c r="G43" t="s">
        <v>6033</v>
      </c>
      <c r="I43">
        <v>1</v>
      </c>
      <c r="J43" t="s">
        <v>63</v>
      </c>
      <c r="K43">
        <v>88</v>
      </c>
      <c r="L43" t="s">
        <v>630</v>
      </c>
      <c r="M43">
        <v>500</v>
      </c>
      <c r="P43" s="2">
        <v>45744</v>
      </c>
      <c r="R43">
        <v>1</v>
      </c>
      <c r="S43">
        <v>500</v>
      </c>
      <c r="T43" t="s">
        <v>65</v>
      </c>
      <c r="U43" t="s">
        <v>6034</v>
      </c>
      <c r="V43">
        <v>0</v>
      </c>
      <c r="W43">
        <v>200</v>
      </c>
      <c r="X43">
        <v>300</v>
      </c>
      <c r="Y43">
        <v>0</v>
      </c>
      <c r="Z43">
        <v>0</v>
      </c>
      <c r="AA43">
        <v>0</v>
      </c>
      <c r="AD43">
        <v>0</v>
      </c>
      <c r="AM43" t="s">
        <v>6035</v>
      </c>
      <c r="AN43" t="s">
        <v>2161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6036</v>
      </c>
      <c r="BA43">
        <v>0</v>
      </c>
      <c r="BC43" t="s">
        <v>2161</v>
      </c>
      <c r="BF43" t="s">
        <v>6037</v>
      </c>
    </row>
    <row r="44" spans="1:58" x14ac:dyDescent="0.35">
      <c r="A44" t="s">
        <v>5715</v>
      </c>
      <c r="B44">
        <v>10000</v>
      </c>
      <c r="C44">
        <v>20000</v>
      </c>
      <c r="D44" s="2">
        <v>45744</v>
      </c>
      <c r="E44" t="s">
        <v>61</v>
      </c>
      <c r="F44" t="s">
        <v>5716</v>
      </c>
      <c r="G44" t="s">
        <v>5717</v>
      </c>
      <c r="I44">
        <v>2</v>
      </c>
      <c r="J44" t="s">
        <v>63</v>
      </c>
      <c r="K44">
        <v>71</v>
      </c>
      <c r="L44" t="s">
        <v>135</v>
      </c>
      <c r="M44" s="4">
        <v>1667</v>
      </c>
      <c r="P44" s="2">
        <v>45744</v>
      </c>
      <c r="R44">
        <v>6</v>
      </c>
      <c r="S44" s="4">
        <v>10002</v>
      </c>
      <c r="T44" t="s">
        <v>65</v>
      </c>
      <c r="U44">
        <v>83014520001</v>
      </c>
      <c r="V44">
        <v>0</v>
      </c>
      <c r="W44" s="4">
        <v>10000</v>
      </c>
      <c r="X44">
        <v>2</v>
      </c>
      <c r="Y44">
        <v>0</v>
      </c>
      <c r="Z44">
        <v>0</v>
      </c>
      <c r="AA44">
        <v>0</v>
      </c>
      <c r="AD44">
        <v>0</v>
      </c>
      <c r="AM44">
        <v>8301452</v>
      </c>
      <c r="AN44" t="s">
        <v>91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5718</v>
      </c>
      <c r="BA44">
        <v>0</v>
      </c>
      <c r="BC44" t="s">
        <v>91</v>
      </c>
      <c r="BF44" t="s">
        <v>5484</v>
      </c>
    </row>
    <row r="45" spans="1:58" x14ac:dyDescent="0.35">
      <c r="A45" t="s">
        <v>5729</v>
      </c>
      <c r="B45">
        <v>10000</v>
      </c>
      <c r="C45">
        <v>20000</v>
      </c>
      <c r="D45" s="2">
        <v>45744</v>
      </c>
      <c r="E45" t="s">
        <v>61</v>
      </c>
      <c r="F45" t="s">
        <v>5716</v>
      </c>
      <c r="G45" t="s">
        <v>5717</v>
      </c>
      <c r="I45">
        <v>2</v>
      </c>
      <c r="J45" t="s">
        <v>63</v>
      </c>
      <c r="K45">
        <v>71</v>
      </c>
      <c r="L45" t="s">
        <v>135</v>
      </c>
      <c r="M45">
        <v>834</v>
      </c>
      <c r="P45" s="2">
        <v>45744</v>
      </c>
      <c r="R45">
        <v>6</v>
      </c>
      <c r="S45" s="4">
        <v>5004</v>
      </c>
      <c r="T45" t="s">
        <v>65</v>
      </c>
      <c r="U45">
        <v>83014520001</v>
      </c>
      <c r="V45">
        <v>0</v>
      </c>
      <c r="W45" s="4">
        <v>5000</v>
      </c>
      <c r="X45">
        <v>4</v>
      </c>
      <c r="Y45">
        <v>0</v>
      </c>
      <c r="Z45">
        <v>0</v>
      </c>
      <c r="AA45">
        <v>0</v>
      </c>
      <c r="AD45">
        <v>0</v>
      </c>
      <c r="AM45">
        <v>8301452</v>
      </c>
      <c r="AN45" t="s">
        <v>91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5730</v>
      </c>
      <c r="BA45">
        <v>0</v>
      </c>
      <c r="BC45" t="s">
        <v>91</v>
      </c>
      <c r="BF45" t="s">
        <v>5496</v>
      </c>
    </row>
    <row r="46" spans="1:58" x14ac:dyDescent="0.35">
      <c r="A46" t="s">
        <v>6038</v>
      </c>
      <c r="B46">
        <v>10000</v>
      </c>
      <c r="C46">
        <v>10000</v>
      </c>
      <c r="D46" s="2">
        <v>45749</v>
      </c>
      <c r="E46" t="s">
        <v>61</v>
      </c>
      <c r="F46" t="s">
        <v>6039</v>
      </c>
      <c r="G46" t="s">
        <v>5008</v>
      </c>
      <c r="I46">
        <v>1</v>
      </c>
      <c r="J46" t="s">
        <v>63</v>
      </c>
      <c r="K46">
        <v>82</v>
      </c>
      <c r="L46" t="s">
        <v>341</v>
      </c>
      <c r="M46" s="4">
        <v>8000</v>
      </c>
      <c r="P46" s="2">
        <v>45744</v>
      </c>
      <c r="R46">
        <v>5</v>
      </c>
      <c r="S46" s="4">
        <v>40000</v>
      </c>
      <c r="T46" t="s">
        <v>65</v>
      </c>
      <c r="U46" t="s">
        <v>6040</v>
      </c>
      <c r="V46">
        <v>0</v>
      </c>
      <c r="W46" s="4">
        <v>40000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6041</v>
      </c>
      <c r="AN46" t="s">
        <v>427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6042</v>
      </c>
      <c r="BA46">
        <v>0</v>
      </c>
      <c r="BC46" t="s">
        <v>427</v>
      </c>
      <c r="BF46" t="s">
        <v>6043</v>
      </c>
    </row>
    <row r="47" spans="1:58" x14ac:dyDescent="0.35">
      <c r="A47" t="s">
        <v>5893</v>
      </c>
      <c r="B47">
        <v>10000</v>
      </c>
      <c r="C47">
        <v>20000</v>
      </c>
      <c r="D47" s="2">
        <v>45744</v>
      </c>
      <c r="E47" t="s">
        <v>61</v>
      </c>
      <c r="F47" t="s">
        <v>5883</v>
      </c>
      <c r="G47" t="s">
        <v>5877</v>
      </c>
      <c r="I47">
        <v>2</v>
      </c>
      <c r="J47" t="s">
        <v>63</v>
      </c>
      <c r="K47">
        <v>86</v>
      </c>
      <c r="L47" t="s">
        <v>64</v>
      </c>
      <c r="M47" s="4">
        <v>3600</v>
      </c>
      <c r="P47" s="2">
        <v>45744</v>
      </c>
      <c r="R47">
        <v>30</v>
      </c>
      <c r="S47" s="4">
        <v>108000</v>
      </c>
      <c r="T47" t="s">
        <v>65</v>
      </c>
      <c r="U47" t="s">
        <v>1273</v>
      </c>
      <c r="V47">
        <v>0</v>
      </c>
      <c r="W47" s="4">
        <v>100000</v>
      </c>
      <c r="X47" s="4">
        <v>8000</v>
      </c>
      <c r="Y47">
        <v>0</v>
      </c>
      <c r="Z47">
        <v>0</v>
      </c>
      <c r="AA47">
        <v>0</v>
      </c>
      <c r="AD47">
        <v>0</v>
      </c>
      <c r="AM47" t="s">
        <v>1274</v>
      </c>
      <c r="AN47" t="s">
        <v>1275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5894</v>
      </c>
      <c r="BA47">
        <v>0</v>
      </c>
      <c r="BC47" t="s">
        <v>1275</v>
      </c>
      <c r="BF47" t="s">
        <v>5895</v>
      </c>
    </row>
    <row r="48" spans="1:58" x14ac:dyDescent="0.35">
      <c r="A48" t="s">
        <v>5896</v>
      </c>
      <c r="B48">
        <v>10000</v>
      </c>
      <c r="C48">
        <v>20000</v>
      </c>
      <c r="D48" s="2">
        <v>45744</v>
      </c>
      <c r="E48" t="s">
        <v>61</v>
      </c>
      <c r="F48" t="s">
        <v>5887</v>
      </c>
      <c r="G48" t="s">
        <v>5877</v>
      </c>
      <c r="I48">
        <v>2</v>
      </c>
      <c r="J48" t="s">
        <v>63</v>
      </c>
      <c r="K48">
        <v>86</v>
      </c>
      <c r="L48" t="s">
        <v>64</v>
      </c>
      <c r="M48" s="4">
        <v>1719</v>
      </c>
      <c r="P48" s="2">
        <v>45744</v>
      </c>
      <c r="R48">
        <v>64</v>
      </c>
      <c r="S48" s="4">
        <v>110016</v>
      </c>
      <c r="T48" t="s">
        <v>65</v>
      </c>
      <c r="U48" t="s">
        <v>1768</v>
      </c>
      <c r="V48">
        <v>0</v>
      </c>
      <c r="W48" s="4">
        <v>100000</v>
      </c>
      <c r="X48" s="4">
        <v>10016</v>
      </c>
      <c r="Y48">
        <v>0</v>
      </c>
      <c r="Z48">
        <v>0</v>
      </c>
      <c r="AA48">
        <v>0</v>
      </c>
      <c r="AD48">
        <v>0</v>
      </c>
      <c r="AM48" t="s">
        <v>1769</v>
      </c>
      <c r="AN48" t="s">
        <v>1275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5897</v>
      </c>
      <c r="BA48">
        <v>0</v>
      </c>
      <c r="BC48" t="s">
        <v>1275</v>
      </c>
      <c r="BF48" t="s">
        <v>5895</v>
      </c>
    </row>
    <row r="49" spans="1:58" x14ac:dyDescent="0.35">
      <c r="A49" t="s">
        <v>5898</v>
      </c>
      <c r="B49">
        <v>10000</v>
      </c>
      <c r="C49">
        <v>20000</v>
      </c>
      <c r="D49" s="2">
        <v>45744</v>
      </c>
      <c r="E49" t="s">
        <v>61</v>
      </c>
      <c r="F49" t="s">
        <v>5883</v>
      </c>
      <c r="G49" t="s">
        <v>5877</v>
      </c>
      <c r="I49">
        <v>2</v>
      </c>
      <c r="J49" t="s">
        <v>63</v>
      </c>
      <c r="K49">
        <v>86</v>
      </c>
      <c r="L49" t="s">
        <v>64</v>
      </c>
      <c r="M49" s="4">
        <v>3600</v>
      </c>
      <c r="P49" s="2">
        <v>45744</v>
      </c>
      <c r="R49">
        <v>30</v>
      </c>
      <c r="S49" s="4">
        <v>108000</v>
      </c>
      <c r="T49" t="s">
        <v>65</v>
      </c>
      <c r="U49" t="s">
        <v>1273</v>
      </c>
      <c r="V49">
        <v>0</v>
      </c>
      <c r="W49" s="4">
        <v>100000</v>
      </c>
      <c r="X49" s="4">
        <v>8000</v>
      </c>
      <c r="Y49">
        <v>0</v>
      </c>
      <c r="Z49">
        <v>0</v>
      </c>
      <c r="AA49">
        <v>0</v>
      </c>
      <c r="AD49">
        <v>0</v>
      </c>
      <c r="AM49" t="s">
        <v>1274</v>
      </c>
      <c r="AN49" t="s">
        <v>1275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5899</v>
      </c>
      <c r="BA49">
        <v>0</v>
      </c>
      <c r="BC49" t="s">
        <v>1275</v>
      </c>
      <c r="BF49" t="s">
        <v>5900</v>
      </c>
    </row>
    <row r="50" spans="1:58" x14ac:dyDescent="0.35">
      <c r="A50" t="s">
        <v>5901</v>
      </c>
      <c r="B50">
        <v>10000</v>
      </c>
      <c r="C50">
        <v>20000</v>
      </c>
      <c r="D50" s="2">
        <v>45744</v>
      </c>
      <c r="E50" t="s">
        <v>61</v>
      </c>
      <c r="F50" t="s">
        <v>5887</v>
      </c>
      <c r="G50" t="s">
        <v>5877</v>
      </c>
      <c r="I50">
        <v>2</v>
      </c>
      <c r="J50" t="s">
        <v>63</v>
      </c>
      <c r="K50">
        <v>86</v>
      </c>
      <c r="L50" t="s">
        <v>64</v>
      </c>
      <c r="M50" s="4">
        <v>1719</v>
      </c>
      <c r="P50" s="2">
        <v>45744</v>
      </c>
      <c r="R50">
        <v>64</v>
      </c>
      <c r="S50" s="4">
        <v>110016</v>
      </c>
      <c r="T50" t="s">
        <v>65</v>
      </c>
      <c r="U50" t="s">
        <v>1768</v>
      </c>
      <c r="V50">
        <v>0</v>
      </c>
      <c r="W50" s="4">
        <v>100000</v>
      </c>
      <c r="X50" s="4">
        <v>10016</v>
      </c>
      <c r="Y50">
        <v>0</v>
      </c>
      <c r="Z50">
        <v>0</v>
      </c>
      <c r="AA50">
        <v>0</v>
      </c>
      <c r="AD50">
        <v>0</v>
      </c>
      <c r="AM50" t="s">
        <v>1769</v>
      </c>
      <c r="AN50" t="s">
        <v>1275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5902</v>
      </c>
      <c r="BA50">
        <v>0</v>
      </c>
      <c r="BC50" t="s">
        <v>1275</v>
      </c>
      <c r="BF50" t="s">
        <v>5900</v>
      </c>
    </row>
    <row r="51" spans="1:58" x14ac:dyDescent="0.35">
      <c r="A51" t="s">
        <v>5903</v>
      </c>
      <c r="B51">
        <v>10000</v>
      </c>
      <c r="C51">
        <v>20000</v>
      </c>
      <c r="D51" s="2">
        <v>45744</v>
      </c>
      <c r="E51" t="s">
        <v>61</v>
      </c>
      <c r="F51" t="s">
        <v>5883</v>
      </c>
      <c r="G51" t="s">
        <v>5877</v>
      </c>
      <c r="I51">
        <v>2</v>
      </c>
      <c r="J51" t="s">
        <v>63</v>
      </c>
      <c r="K51">
        <v>86</v>
      </c>
      <c r="L51" t="s">
        <v>64</v>
      </c>
      <c r="M51" s="4">
        <v>3600</v>
      </c>
      <c r="P51" s="2">
        <v>45744</v>
      </c>
      <c r="R51">
        <v>30</v>
      </c>
      <c r="S51" s="4">
        <v>108000</v>
      </c>
      <c r="T51" t="s">
        <v>65</v>
      </c>
      <c r="U51" t="s">
        <v>1273</v>
      </c>
      <c r="V51">
        <v>0</v>
      </c>
      <c r="W51" s="4">
        <v>100000</v>
      </c>
      <c r="X51" s="4">
        <v>8000</v>
      </c>
      <c r="Y51">
        <v>0</v>
      </c>
      <c r="Z51">
        <v>0</v>
      </c>
      <c r="AA51">
        <v>0</v>
      </c>
      <c r="AD51">
        <v>0</v>
      </c>
      <c r="AM51" t="s">
        <v>1274</v>
      </c>
      <c r="AN51" t="s">
        <v>1275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5904</v>
      </c>
      <c r="BA51">
        <v>0</v>
      </c>
      <c r="BC51" t="s">
        <v>1275</v>
      </c>
      <c r="BF51" t="s">
        <v>5905</v>
      </c>
    </row>
    <row r="52" spans="1:58" x14ac:dyDescent="0.35">
      <c r="A52" t="s">
        <v>5906</v>
      </c>
      <c r="B52">
        <v>10000</v>
      </c>
      <c r="C52">
        <v>20000</v>
      </c>
      <c r="D52" s="2">
        <v>45744</v>
      </c>
      <c r="E52" t="s">
        <v>61</v>
      </c>
      <c r="F52" t="s">
        <v>5887</v>
      </c>
      <c r="G52" t="s">
        <v>5877</v>
      </c>
      <c r="I52">
        <v>2</v>
      </c>
      <c r="J52" t="s">
        <v>63</v>
      </c>
      <c r="K52">
        <v>86</v>
      </c>
      <c r="L52" t="s">
        <v>64</v>
      </c>
      <c r="M52" s="4">
        <v>1719</v>
      </c>
      <c r="P52" s="2">
        <v>45744</v>
      </c>
      <c r="R52">
        <v>64</v>
      </c>
      <c r="S52" s="4">
        <v>110016</v>
      </c>
      <c r="T52" t="s">
        <v>65</v>
      </c>
      <c r="U52" t="s">
        <v>1768</v>
      </c>
      <c r="V52">
        <v>0</v>
      </c>
      <c r="W52" s="4">
        <v>100000</v>
      </c>
      <c r="X52" s="4">
        <v>10016</v>
      </c>
      <c r="Y52">
        <v>0</v>
      </c>
      <c r="Z52">
        <v>0</v>
      </c>
      <c r="AA52">
        <v>0</v>
      </c>
      <c r="AD52">
        <v>0</v>
      </c>
      <c r="AM52" t="s">
        <v>1769</v>
      </c>
      <c r="AN52" t="s">
        <v>1275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5907</v>
      </c>
      <c r="BA52">
        <v>0</v>
      </c>
      <c r="BC52" t="s">
        <v>1275</v>
      </c>
      <c r="BF52" t="s">
        <v>5905</v>
      </c>
    </row>
    <row r="53" spans="1:58" x14ac:dyDescent="0.35">
      <c r="A53" t="s">
        <v>5908</v>
      </c>
      <c r="B53">
        <v>10000</v>
      </c>
      <c r="C53">
        <v>20000</v>
      </c>
      <c r="D53" s="2">
        <v>45744</v>
      </c>
      <c r="E53" t="s">
        <v>61</v>
      </c>
      <c r="F53" t="s">
        <v>5883</v>
      </c>
      <c r="G53" t="s">
        <v>5877</v>
      </c>
      <c r="I53">
        <v>2</v>
      </c>
      <c r="J53" t="s">
        <v>63</v>
      </c>
      <c r="K53">
        <v>86</v>
      </c>
      <c r="L53" t="s">
        <v>64</v>
      </c>
      <c r="M53" s="4">
        <v>3600</v>
      </c>
      <c r="P53" s="2">
        <v>45744</v>
      </c>
      <c r="R53">
        <v>30</v>
      </c>
      <c r="S53" s="4">
        <v>108000</v>
      </c>
      <c r="T53" t="s">
        <v>65</v>
      </c>
      <c r="U53" t="s">
        <v>1273</v>
      </c>
      <c r="V53">
        <v>0</v>
      </c>
      <c r="W53" s="4">
        <v>100000</v>
      </c>
      <c r="X53" s="4">
        <v>8000</v>
      </c>
      <c r="Y53">
        <v>0</v>
      </c>
      <c r="Z53">
        <v>0</v>
      </c>
      <c r="AA53">
        <v>0</v>
      </c>
      <c r="AD53">
        <v>0</v>
      </c>
      <c r="AM53" t="s">
        <v>1274</v>
      </c>
      <c r="AN53" t="s">
        <v>1275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5909</v>
      </c>
      <c r="BA53">
        <v>0</v>
      </c>
      <c r="BC53" t="s">
        <v>1275</v>
      </c>
      <c r="BF53" t="s">
        <v>5910</v>
      </c>
    </row>
    <row r="54" spans="1:58" x14ac:dyDescent="0.35">
      <c r="A54" t="s">
        <v>5911</v>
      </c>
      <c r="B54">
        <v>10000</v>
      </c>
      <c r="C54">
        <v>20000</v>
      </c>
      <c r="D54" s="2">
        <v>45744</v>
      </c>
      <c r="E54" t="s">
        <v>61</v>
      </c>
      <c r="F54" t="s">
        <v>5887</v>
      </c>
      <c r="G54" t="s">
        <v>5877</v>
      </c>
      <c r="I54">
        <v>2</v>
      </c>
      <c r="J54" t="s">
        <v>63</v>
      </c>
      <c r="K54">
        <v>86</v>
      </c>
      <c r="L54" t="s">
        <v>64</v>
      </c>
      <c r="M54" s="4">
        <v>1719</v>
      </c>
      <c r="P54" s="2">
        <v>45744</v>
      </c>
      <c r="R54">
        <v>64</v>
      </c>
      <c r="S54" s="4">
        <v>110016</v>
      </c>
      <c r="T54" t="s">
        <v>65</v>
      </c>
      <c r="U54" t="s">
        <v>1768</v>
      </c>
      <c r="V54">
        <v>0</v>
      </c>
      <c r="W54" s="4">
        <v>100000</v>
      </c>
      <c r="X54" s="4">
        <v>10016</v>
      </c>
      <c r="Y54">
        <v>0</v>
      </c>
      <c r="Z54">
        <v>0</v>
      </c>
      <c r="AA54">
        <v>0</v>
      </c>
      <c r="AD54">
        <v>0</v>
      </c>
      <c r="AM54" t="s">
        <v>1769</v>
      </c>
      <c r="AN54" t="s">
        <v>1275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5912</v>
      </c>
      <c r="BA54">
        <v>0</v>
      </c>
      <c r="BC54" t="s">
        <v>1275</v>
      </c>
      <c r="BF54" t="s">
        <v>5910</v>
      </c>
    </row>
    <row r="55" spans="1:58" x14ac:dyDescent="0.35">
      <c r="A55" t="s">
        <v>6044</v>
      </c>
      <c r="B55">
        <v>10000</v>
      </c>
      <c r="C55">
        <v>10000</v>
      </c>
      <c r="D55" s="2">
        <v>45744</v>
      </c>
      <c r="E55" t="s">
        <v>61</v>
      </c>
      <c r="F55" s="3">
        <v>0.52795138888888893</v>
      </c>
      <c r="G55" t="s">
        <v>5995</v>
      </c>
      <c r="I55">
        <v>1</v>
      </c>
      <c r="J55" t="s">
        <v>63</v>
      </c>
      <c r="K55">
        <v>61</v>
      </c>
      <c r="L55" t="s">
        <v>216</v>
      </c>
      <c r="M55" s="4">
        <v>2000</v>
      </c>
      <c r="P55" s="2">
        <v>45744</v>
      </c>
      <c r="R55">
        <v>1</v>
      </c>
      <c r="S55" s="4">
        <v>2000</v>
      </c>
      <c r="T55" t="s">
        <v>65</v>
      </c>
      <c r="U55">
        <v>4.50019086004E+17</v>
      </c>
      <c r="V55">
        <v>0</v>
      </c>
      <c r="W55" s="4">
        <v>2000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45001908600400</v>
      </c>
      <c r="AN55" t="s">
        <v>2347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6045</v>
      </c>
      <c r="BA55">
        <v>0</v>
      </c>
      <c r="BC55" t="s">
        <v>2347</v>
      </c>
      <c r="BF55" t="s">
        <v>5963</v>
      </c>
    </row>
    <row r="56" spans="1:58" x14ac:dyDescent="0.35">
      <c r="A56" t="s">
        <v>5920</v>
      </c>
      <c r="B56">
        <v>10000</v>
      </c>
      <c r="C56">
        <v>20000</v>
      </c>
      <c r="D56" s="2">
        <v>45744</v>
      </c>
      <c r="E56" t="s">
        <v>61</v>
      </c>
      <c r="F56" t="s">
        <v>5840</v>
      </c>
      <c r="G56" t="s">
        <v>5717</v>
      </c>
      <c r="I56">
        <v>2</v>
      </c>
      <c r="J56" t="s">
        <v>63</v>
      </c>
      <c r="K56">
        <v>71</v>
      </c>
      <c r="L56" t="s">
        <v>135</v>
      </c>
      <c r="M56" s="4">
        <v>1000</v>
      </c>
      <c r="P56" s="2">
        <v>45744</v>
      </c>
      <c r="R56">
        <v>6</v>
      </c>
      <c r="S56" s="4">
        <v>6000</v>
      </c>
      <c r="T56" t="s">
        <v>65</v>
      </c>
      <c r="U56">
        <v>83615110001</v>
      </c>
      <c r="V56">
        <v>0</v>
      </c>
      <c r="W56" s="4">
        <v>6000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8361511</v>
      </c>
      <c r="AN56" t="s">
        <v>91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5921</v>
      </c>
      <c r="BA56">
        <v>0</v>
      </c>
      <c r="BC56" t="s">
        <v>91</v>
      </c>
      <c r="BF56" t="s">
        <v>5922</v>
      </c>
    </row>
    <row r="57" spans="1:58" x14ac:dyDescent="0.35">
      <c r="A57" t="s">
        <v>5923</v>
      </c>
      <c r="B57">
        <v>10000</v>
      </c>
      <c r="C57">
        <v>20000</v>
      </c>
      <c r="D57" s="2">
        <v>45744</v>
      </c>
      <c r="E57" t="s">
        <v>61</v>
      </c>
      <c r="F57" t="s">
        <v>5843</v>
      </c>
      <c r="G57" t="s">
        <v>5717</v>
      </c>
      <c r="I57">
        <v>2</v>
      </c>
      <c r="J57" t="s">
        <v>63</v>
      </c>
      <c r="K57">
        <v>71</v>
      </c>
      <c r="L57" t="s">
        <v>135</v>
      </c>
      <c r="M57">
        <v>834</v>
      </c>
      <c r="P57" s="2">
        <v>45744</v>
      </c>
      <c r="R57">
        <v>6</v>
      </c>
      <c r="S57" s="4">
        <v>5004</v>
      </c>
      <c r="T57" t="s">
        <v>65</v>
      </c>
      <c r="U57">
        <v>83615230001</v>
      </c>
      <c r="V57">
        <v>0</v>
      </c>
      <c r="W57" s="4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8361523</v>
      </c>
      <c r="AN57" t="s">
        <v>91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5924</v>
      </c>
      <c r="BA57">
        <v>0</v>
      </c>
      <c r="BC57" t="s">
        <v>91</v>
      </c>
      <c r="BF57" t="s">
        <v>5922</v>
      </c>
    </row>
    <row r="58" spans="1:58" x14ac:dyDescent="0.35">
      <c r="A58" t="s">
        <v>6046</v>
      </c>
      <c r="B58">
        <v>10000</v>
      </c>
      <c r="C58">
        <v>10000</v>
      </c>
      <c r="D58" s="2">
        <v>45744</v>
      </c>
      <c r="E58" t="s">
        <v>61</v>
      </c>
      <c r="F58" t="s">
        <v>6018</v>
      </c>
      <c r="G58" t="s">
        <v>5717</v>
      </c>
      <c r="I58">
        <v>1</v>
      </c>
      <c r="J58" t="s">
        <v>63</v>
      </c>
      <c r="K58">
        <v>72</v>
      </c>
      <c r="L58" t="s">
        <v>163</v>
      </c>
      <c r="M58" s="4">
        <v>1750</v>
      </c>
      <c r="P58" s="2">
        <v>45744</v>
      </c>
      <c r="R58">
        <v>4</v>
      </c>
      <c r="S58" s="4">
        <v>7000</v>
      </c>
      <c r="T58" t="s">
        <v>65</v>
      </c>
      <c r="U58">
        <v>5000435340001</v>
      </c>
      <c r="V58">
        <v>0</v>
      </c>
      <c r="W58" s="4">
        <v>5000</v>
      </c>
      <c r="X58" s="4">
        <v>2000</v>
      </c>
      <c r="Y58">
        <v>0</v>
      </c>
      <c r="Z58">
        <v>0</v>
      </c>
      <c r="AA58">
        <v>0</v>
      </c>
      <c r="AD58">
        <v>0</v>
      </c>
      <c r="AM58">
        <v>500043534</v>
      </c>
      <c r="AN58" t="s">
        <v>91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6047</v>
      </c>
      <c r="BA58">
        <v>0</v>
      </c>
      <c r="BC58" t="s">
        <v>91</v>
      </c>
      <c r="BF58" t="s">
        <v>6048</v>
      </c>
    </row>
    <row r="59" spans="1:58" x14ac:dyDescent="0.35">
      <c r="A59" t="s">
        <v>6046</v>
      </c>
      <c r="B59">
        <v>10000</v>
      </c>
      <c r="C59">
        <v>20000</v>
      </c>
      <c r="D59" s="2">
        <v>45744</v>
      </c>
      <c r="E59" t="s">
        <v>61</v>
      </c>
      <c r="F59" t="s">
        <v>6018</v>
      </c>
      <c r="G59" t="s">
        <v>5717</v>
      </c>
      <c r="I59">
        <v>2</v>
      </c>
      <c r="J59" t="s">
        <v>63</v>
      </c>
      <c r="K59">
        <v>82</v>
      </c>
      <c r="L59" t="s">
        <v>341</v>
      </c>
      <c r="M59" s="4">
        <v>1167</v>
      </c>
      <c r="P59" s="2">
        <v>45744</v>
      </c>
      <c r="R59">
        <v>6</v>
      </c>
      <c r="S59" s="4">
        <v>7002</v>
      </c>
      <c r="T59" t="s">
        <v>65</v>
      </c>
      <c r="U59">
        <v>5000435340001</v>
      </c>
      <c r="V59">
        <v>0</v>
      </c>
      <c r="W59" s="4">
        <v>5000</v>
      </c>
      <c r="X59" s="4">
        <v>2002</v>
      </c>
      <c r="Y59">
        <v>0</v>
      </c>
      <c r="Z59">
        <v>0</v>
      </c>
      <c r="AA59">
        <v>0</v>
      </c>
      <c r="AD59">
        <v>0</v>
      </c>
      <c r="AM59">
        <v>500043534</v>
      </c>
      <c r="AN59" t="s">
        <v>91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6047</v>
      </c>
      <c r="BA59">
        <v>0</v>
      </c>
      <c r="BC59" t="s">
        <v>91</v>
      </c>
      <c r="BF59" t="s">
        <v>6048</v>
      </c>
    </row>
    <row r="60" spans="1:58" x14ac:dyDescent="0.35">
      <c r="A60" t="s">
        <v>6049</v>
      </c>
      <c r="B60">
        <v>10000</v>
      </c>
      <c r="C60">
        <v>10000</v>
      </c>
      <c r="D60" s="2">
        <v>45744</v>
      </c>
      <c r="E60" t="s">
        <v>61</v>
      </c>
      <c r="F60" t="s">
        <v>6018</v>
      </c>
      <c r="G60" t="s">
        <v>5717</v>
      </c>
      <c r="I60">
        <v>1</v>
      </c>
      <c r="J60" t="s">
        <v>63</v>
      </c>
      <c r="K60">
        <v>72</v>
      </c>
      <c r="L60" t="s">
        <v>163</v>
      </c>
      <c r="M60" s="4">
        <v>1750</v>
      </c>
      <c r="P60" s="2">
        <v>45744</v>
      </c>
      <c r="R60">
        <v>4</v>
      </c>
      <c r="S60" s="4">
        <v>7000</v>
      </c>
      <c r="T60" t="s">
        <v>65</v>
      </c>
      <c r="U60">
        <v>5000435340001</v>
      </c>
      <c r="V60">
        <v>0</v>
      </c>
      <c r="W60" s="4">
        <v>5000</v>
      </c>
      <c r="X60" s="4">
        <v>2000</v>
      </c>
      <c r="Y60">
        <v>0</v>
      </c>
      <c r="Z60">
        <v>0</v>
      </c>
      <c r="AA60">
        <v>0</v>
      </c>
      <c r="AD60">
        <v>0</v>
      </c>
      <c r="AM60">
        <v>500043534</v>
      </c>
      <c r="AN60" t="s">
        <v>91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6050</v>
      </c>
      <c r="BA60">
        <v>0</v>
      </c>
      <c r="BC60" t="s">
        <v>91</v>
      </c>
      <c r="BF60" t="s">
        <v>6051</v>
      </c>
    </row>
    <row r="61" spans="1:58" x14ac:dyDescent="0.35">
      <c r="A61" t="s">
        <v>6049</v>
      </c>
      <c r="B61">
        <v>10000</v>
      </c>
      <c r="C61">
        <v>20000</v>
      </c>
      <c r="D61" s="2">
        <v>45744</v>
      </c>
      <c r="E61" t="s">
        <v>61</v>
      </c>
      <c r="F61" t="s">
        <v>6018</v>
      </c>
      <c r="G61" t="s">
        <v>5717</v>
      </c>
      <c r="I61">
        <v>2</v>
      </c>
      <c r="J61" t="s">
        <v>63</v>
      </c>
      <c r="K61">
        <v>82</v>
      </c>
      <c r="L61" t="s">
        <v>341</v>
      </c>
      <c r="M61" s="4">
        <v>1167</v>
      </c>
      <c r="P61" s="2">
        <v>45744</v>
      </c>
      <c r="R61">
        <v>6</v>
      </c>
      <c r="S61" s="4">
        <v>7002</v>
      </c>
      <c r="T61" t="s">
        <v>65</v>
      </c>
      <c r="U61">
        <v>5000435340001</v>
      </c>
      <c r="V61">
        <v>0</v>
      </c>
      <c r="W61" s="4">
        <v>5000</v>
      </c>
      <c r="X61" s="4">
        <v>2002</v>
      </c>
      <c r="Y61">
        <v>0</v>
      </c>
      <c r="Z61">
        <v>0</v>
      </c>
      <c r="AA61">
        <v>0</v>
      </c>
      <c r="AD61">
        <v>0</v>
      </c>
      <c r="AM61">
        <v>500043534</v>
      </c>
      <c r="AN61" t="s">
        <v>91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6050</v>
      </c>
      <c r="BA61">
        <v>0</v>
      </c>
      <c r="BC61" t="s">
        <v>91</v>
      </c>
      <c r="BF61" t="s">
        <v>6051</v>
      </c>
    </row>
    <row r="70" spans="1:2" x14ac:dyDescent="0.35">
      <c r="A70">
        <f>COUNTA(A5:A69)</f>
        <v>57</v>
      </c>
      <c r="B70">
        <f>'27-Mar'!B90+'28-Mar'!A70</f>
        <v>1897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C166-1E22-4E56-9E0B-1E0F8D02A2C8}">
  <dimension ref="A1:BF60"/>
  <sheetViews>
    <sheetView topLeftCell="A22" workbookViewId="0">
      <selection activeCell="H60" sqref="H60"/>
    </sheetView>
  </sheetViews>
  <sheetFormatPr defaultRowHeight="14.5" x14ac:dyDescent="0.35"/>
  <cols>
    <col min="24" max="25" width="12.1796875" bestFit="1" customWidth="1"/>
  </cols>
  <sheetData>
    <row r="1" spans="1:58" x14ac:dyDescent="0.35">
      <c r="A1" t="s">
        <v>0</v>
      </c>
    </row>
    <row r="2" spans="1:58" x14ac:dyDescent="0.35">
      <c r="A2" t="s">
        <v>6052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6053</v>
      </c>
      <c r="B5">
        <v>10000</v>
      </c>
      <c r="C5">
        <v>10000</v>
      </c>
      <c r="D5" s="2">
        <v>45758</v>
      </c>
      <c r="E5" t="s">
        <v>61</v>
      </c>
      <c r="F5" s="3">
        <v>0.46591435185185187</v>
      </c>
      <c r="G5" t="s">
        <v>6054</v>
      </c>
      <c r="H5" t="s">
        <v>5061</v>
      </c>
      <c r="I5">
        <v>1</v>
      </c>
      <c r="J5" t="s">
        <v>69</v>
      </c>
      <c r="K5" t="s">
        <v>295</v>
      </c>
      <c r="L5" t="s">
        <v>296</v>
      </c>
      <c r="M5" s="4">
        <v>11400</v>
      </c>
      <c r="P5" s="2">
        <v>45745</v>
      </c>
      <c r="R5">
        <v>5</v>
      </c>
      <c r="S5" s="4">
        <v>57000</v>
      </c>
      <c r="T5" t="s">
        <v>65</v>
      </c>
      <c r="U5" t="s">
        <v>5062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 t="s">
        <v>5063</v>
      </c>
      <c r="AN5" t="s">
        <v>5064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5064</v>
      </c>
      <c r="BF5" t="s">
        <v>6055</v>
      </c>
    </row>
    <row r="6" spans="1:58" x14ac:dyDescent="0.35">
      <c r="A6" t="s">
        <v>6056</v>
      </c>
      <c r="B6">
        <v>10000</v>
      </c>
      <c r="C6">
        <v>20000</v>
      </c>
      <c r="D6" s="2">
        <v>45748</v>
      </c>
      <c r="E6" t="s">
        <v>61</v>
      </c>
      <c r="F6" t="s">
        <v>789</v>
      </c>
      <c r="G6" t="s">
        <v>6057</v>
      </c>
      <c r="H6" t="s">
        <v>6058</v>
      </c>
      <c r="I6">
        <v>1</v>
      </c>
      <c r="J6" t="s">
        <v>69</v>
      </c>
      <c r="K6">
        <v>94</v>
      </c>
      <c r="L6" t="s">
        <v>181</v>
      </c>
      <c r="M6" s="4">
        <v>10000</v>
      </c>
      <c r="P6" s="2">
        <v>45745</v>
      </c>
      <c r="R6">
        <v>4</v>
      </c>
      <c r="S6" s="4">
        <v>40000</v>
      </c>
      <c r="T6" t="s">
        <v>65</v>
      </c>
      <c r="U6" t="s">
        <v>1701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1702</v>
      </c>
      <c r="AN6" t="s">
        <v>364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364</v>
      </c>
      <c r="BF6" t="s">
        <v>6059</v>
      </c>
    </row>
    <row r="7" spans="1:58" x14ac:dyDescent="0.35">
      <c r="A7" t="s">
        <v>6060</v>
      </c>
      <c r="B7">
        <v>10000</v>
      </c>
      <c r="C7">
        <v>20000</v>
      </c>
      <c r="D7" s="2">
        <v>45748</v>
      </c>
      <c r="E7" t="s">
        <v>61</v>
      </c>
      <c r="F7" t="s">
        <v>5473</v>
      </c>
      <c r="G7" t="s">
        <v>6057</v>
      </c>
      <c r="H7" t="s">
        <v>6058</v>
      </c>
      <c r="I7">
        <v>1</v>
      </c>
      <c r="J7" t="s">
        <v>69</v>
      </c>
      <c r="K7">
        <v>94</v>
      </c>
      <c r="L7" t="s">
        <v>181</v>
      </c>
      <c r="M7" s="4">
        <v>10000</v>
      </c>
      <c r="P7" s="2">
        <v>45745</v>
      </c>
      <c r="R7">
        <v>4</v>
      </c>
      <c r="S7" s="4">
        <v>40000</v>
      </c>
      <c r="T7" t="s">
        <v>65</v>
      </c>
      <c r="U7" t="s">
        <v>1701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1702</v>
      </c>
      <c r="AN7" t="s">
        <v>364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364</v>
      </c>
      <c r="BF7" t="s">
        <v>6061</v>
      </c>
    </row>
    <row r="8" spans="1:58" x14ac:dyDescent="0.35">
      <c r="A8" t="s">
        <v>5536</v>
      </c>
      <c r="B8">
        <v>10000</v>
      </c>
      <c r="C8">
        <v>20000</v>
      </c>
      <c r="D8" s="2">
        <v>45748</v>
      </c>
      <c r="E8" t="s">
        <v>61</v>
      </c>
      <c r="F8" t="s">
        <v>5537</v>
      </c>
      <c r="G8" t="s">
        <v>5538</v>
      </c>
      <c r="H8" t="s">
        <v>4487</v>
      </c>
      <c r="I8">
        <v>1</v>
      </c>
      <c r="J8" t="s">
        <v>69</v>
      </c>
      <c r="K8">
        <v>73</v>
      </c>
      <c r="L8" t="s">
        <v>90</v>
      </c>
      <c r="M8" s="4">
        <v>6000</v>
      </c>
      <c r="P8" s="2">
        <v>45745</v>
      </c>
      <c r="R8">
        <v>12</v>
      </c>
      <c r="S8" s="4">
        <v>72000</v>
      </c>
      <c r="T8" t="s">
        <v>65</v>
      </c>
      <c r="U8">
        <v>80256230001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>
        <v>8025623</v>
      </c>
      <c r="AN8" t="s">
        <v>91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91</v>
      </c>
      <c r="BF8" t="s">
        <v>5539</v>
      </c>
    </row>
    <row r="9" spans="1:58" x14ac:dyDescent="0.35">
      <c r="A9" t="s">
        <v>6062</v>
      </c>
      <c r="B9">
        <v>10000</v>
      </c>
      <c r="C9">
        <v>10000</v>
      </c>
      <c r="D9" s="2">
        <v>45751</v>
      </c>
      <c r="E9" t="s">
        <v>61</v>
      </c>
      <c r="F9" t="s">
        <v>1211</v>
      </c>
      <c r="G9" t="s">
        <v>5538</v>
      </c>
      <c r="H9" t="s">
        <v>4487</v>
      </c>
      <c r="I9">
        <v>1</v>
      </c>
      <c r="J9" t="s">
        <v>69</v>
      </c>
      <c r="K9">
        <v>73</v>
      </c>
      <c r="L9" t="s">
        <v>90</v>
      </c>
      <c r="M9" s="4">
        <v>12000</v>
      </c>
      <c r="P9" s="2">
        <v>45745</v>
      </c>
      <c r="R9">
        <v>12</v>
      </c>
      <c r="S9" s="4">
        <v>144000</v>
      </c>
      <c r="T9" t="s">
        <v>65</v>
      </c>
      <c r="U9">
        <v>80256230001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>
        <v>8025623</v>
      </c>
      <c r="AN9" t="s">
        <v>91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91</v>
      </c>
      <c r="BF9" t="s">
        <v>6063</v>
      </c>
    </row>
    <row r="10" spans="1:58" x14ac:dyDescent="0.35">
      <c r="A10" t="s">
        <v>6062</v>
      </c>
      <c r="B10">
        <v>10000</v>
      </c>
      <c r="C10">
        <v>20000</v>
      </c>
      <c r="D10" s="2">
        <v>45751</v>
      </c>
      <c r="E10" t="s">
        <v>61</v>
      </c>
      <c r="F10" t="s">
        <v>1211</v>
      </c>
      <c r="G10" t="s">
        <v>5538</v>
      </c>
      <c r="H10" t="s">
        <v>4487</v>
      </c>
      <c r="I10">
        <v>1</v>
      </c>
      <c r="J10" t="s">
        <v>69</v>
      </c>
      <c r="K10" t="s">
        <v>97</v>
      </c>
      <c r="L10" t="s">
        <v>98</v>
      </c>
      <c r="M10" s="4">
        <v>48000</v>
      </c>
      <c r="P10" s="2">
        <v>45745</v>
      </c>
      <c r="R10">
        <v>12</v>
      </c>
      <c r="S10" s="4">
        <v>576000</v>
      </c>
      <c r="T10" t="s">
        <v>65</v>
      </c>
      <c r="U10">
        <v>80256230001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>
        <v>8025623</v>
      </c>
      <c r="AN10" t="s">
        <v>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91</v>
      </c>
      <c r="BF10" t="s">
        <v>6063</v>
      </c>
    </row>
    <row r="11" spans="1:58" x14ac:dyDescent="0.35">
      <c r="A11" t="s">
        <v>6064</v>
      </c>
      <c r="B11">
        <v>10000</v>
      </c>
      <c r="C11">
        <v>10000</v>
      </c>
      <c r="D11" s="2">
        <v>45749</v>
      </c>
      <c r="E11" t="s">
        <v>61</v>
      </c>
      <c r="F11" s="3">
        <v>0.47518518518518521</v>
      </c>
      <c r="G11" t="s">
        <v>6065</v>
      </c>
      <c r="H11" t="s">
        <v>6066</v>
      </c>
      <c r="I11">
        <v>1</v>
      </c>
      <c r="J11" t="s">
        <v>69</v>
      </c>
      <c r="K11">
        <v>72</v>
      </c>
      <c r="L11" t="s">
        <v>528</v>
      </c>
      <c r="M11" s="4">
        <v>1750</v>
      </c>
      <c r="P11" s="2">
        <v>45745</v>
      </c>
      <c r="R11">
        <v>4</v>
      </c>
      <c r="S11" s="4">
        <v>7000</v>
      </c>
      <c r="T11" t="s">
        <v>65</v>
      </c>
      <c r="U11">
        <v>5000435330001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>
        <v>500043533</v>
      </c>
      <c r="AN11" t="s">
        <v>91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91</v>
      </c>
      <c r="BF11" t="s">
        <v>6048</v>
      </c>
    </row>
    <row r="12" spans="1:58" x14ac:dyDescent="0.35">
      <c r="A12" t="s">
        <v>5789</v>
      </c>
      <c r="B12">
        <v>10000</v>
      </c>
      <c r="C12">
        <v>20000</v>
      </c>
      <c r="D12" s="2">
        <v>45749</v>
      </c>
      <c r="E12" t="s">
        <v>61</v>
      </c>
      <c r="F12" t="s">
        <v>5790</v>
      </c>
      <c r="G12" t="s">
        <v>5791</v>
      </c>
      <c r="I12">
        <v>1</v>
      </c>
      <c r="J12" t="s">
        <v>63</v>
      </c>
      <c r="K12">
        <v>110</v>
      </c>
      <c r="L12" t="s">
        <v>597</v>
      </c>
      <c r="M12" s="4">
        <v>76500</v>
      </c>
      <c r="P12" s="2">
        <v>45745</v>
      </c>
      <c r="R12">
        <v>4</v>
      </c>
      <c r="S12" s="4">
        <v>306000</v>
      </c>
      <c r="T12" t="s">
        <v>65</v>
      </c>
      <c r="U12" t="s">
        <v>1117</v>
      </c>
      <c r="V12">
        <v>0</v>
      </c>
      <c r="W12" s="4">
        <v>305394</v>
      </c>
      <c r="X12">
        <v>606</v>
      </c>
      <c r="Y12">
        <v>0</v>
      </c>
      <c r="Z12">
        <v>0</v>
      </c>
      <c r="AA12">
        <v>0</v>
      </c>
      <c r="AD12">
        <v>0</v>
      </c>
      <c r="AM12" t="s">
        <v>1118</v>
      </c>
      <c r="AN12" t="s">
        <v>271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5792</v>
      </c>
      <c r="BA12">
        <v>0</v>
      </c>
      <c r="BC12" t="s">
        <v>271</v>
      </c>
      <c r="BF12" t="s">
        <v>5793</v>
      </c>
    </row>
    <row r="13" spans="1:58" x14ac:dyDescent="0.35">
      <c r="A13" t="s">
        <v>5071</v>
      </c>
      <c r="B13">
        <v>10000</v>
      </c>
      <c r="C13">
        <v>40000</v>
      </c>
      <c r="D13" s="2">
        <v>45748</v>
      </c>
      <c r="E13" t="s">
        <v>61</v>
      </c>
      <c r="F13" t="s">
        <v>5072</v>
      </c>
      <c r="G13" t="s">
        <v>5073</v>
      </c>
      <c r="I13">
        <v>1</v>
      </c>
      <c r="J13" t="s">
        <v>63</v>
      </c>
      <c r="K13">
        <v>111</v>
      </c>
      <c r="L13" t="s">
        <v>533</v>
      </c>
      <c r="M13" s="4">
        <v>15500</v>
      </c>
      <c r="P13" s="2">
        <v>45745</v>
      </c>
      <c r="R13">
        <v>8</v>
      </c>
      <c r="S13" s="4">
        <v>124000</v>
      </c>
      <c r="T13" t="s">
        <v>65</v>
      </c>
      <c r="U13" t="s">
        <v>3920</v>
      </c>
      <c r="V13">
        <v>0</v>
      </c>
      <c r="W13" s="4">
        <v>123850</v>
      </c>
      <c r="X13">
        <v>150</v>
      </c>
      <c r="Y13">
        <v>0</v>
      </c>
      <c r="Z13">
        <v>0</v>
      </c>
      <c r="AA13">
        <v>0</v>
      </c>
      <c r="AD13">
        <v>0</v>
      </c>
      <c r="AM13" t="s">
        <v>3921</v>
      </c>
      <c r="AN13" t="s">
        <v>271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5074</v>
      </c>
      <c r="BA13">
        <v>0</v>
      </c>
      <c r="BC13" t="s">
        <v>271</v>
      </c>
      <c r="BF13" t="s">
        <v>5075</v>
      </c>
    </row>
    <row r="14" spans="1:58" x14ac:dyDescent="0.35">
      <c r="A14" t="s">
        <v>6067</v>
      </c>
      <c r="B14">
        <v>10000</v>
      </c>
      <c r="C14">
        <v>10000</v>
      </c>
      <c r="D14" s="2">
        <v>45749</v>
      </c>
      <c r="E14" t="s">
        <v>61</v>
      </c>
      <c r="F14" t="s">
        <v>6068</v>
      </c>
      <c r="G14" t="s">
        <v>5812</v>
      </c>
      <c r="I14">
        <v>1</v>
      </c>
      <c r="J14" t="s">
        <v>63</v>
      </c>
      <c r="K14">
        <v>29</v>
      </c>
      <c r="L14" t="s">
        <v>249</v>
      </c>
      <c r="M14" s="4">
        <v>24000</v>
      </c>
      <c r="P14" s="2">
        <v>45745</v>
      </c>
      <c r="R14">
        <v>2</v>
      </c>
      <c r="S14" s="4">
        <v>48000</v>
      </c>
      <c r="T14" t="s">
        <v>65</v>
      </c>
      <c r="U14" t="s">
        <v>250</v>
      </c>
      <c r="V14">
        <v>0</v>
      </c>
      <c r="W14" s="4">
        <v>48000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251</v>
      </c>
      <c r="AN14" t="s">
        <v>175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6069</v>
      </c>
      <c r="BA14">
        <v>0</v>
      </c>
      <c r="BC14" t="s">
        <v>175</v>
      </c>
      <c r="BF14" t="s">
        <v>6070</v>
      </c>
    </row>
    <row r="15" spans="1:58" x14ac:dyDescent="0.35">
      <c r="A15" t="s">
        <v>6071</v>
      </c>
      <c r="B15">
        <v>10000</v>
      </c>
      <c r="C15">
        <v>10000</v>
      </c>
      <c r="D15" s="2">
        <v>45749</v>
      </c>
      <c r="E15" t="s">
        <v>61</v>
      </c>
      <c r="F15" t="s">
        <v>6072</v>
      </c>
      <c r="G15" t="s">
        <v>5329</v>
      </c>
      <c r="I15">
        <v>1</v>
      </c>
      <c r="J15" t="s">
        <v>63</v>
      </c>
      <c r="K15">
        <v>12</v>
      </c>
      <c r="L15" t="s">
        <v>478</v>
      </c>
      <c r="M15" s="4">
        <v>45000</v>
      </c>
      <c r="P15" s="2">
        <v>45745</v>
      </c>
      <c r="R15">
        <v>1</v>
      </c>
      <c r="S15" s="4">
        <v>45000</v>
      </c>
      <c r="T15" t="s">
        <v>65</v>
      </c>
      <c r="U15" t="s">
        <v>2114</v>
      </c>
      <c r="V15">
        <v>0</v>
      </c>
      <c r="W15" s="4">
        <v>45000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2115</v>
      </c>
      <c r="AN15" t="s">
        <v>116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6073</v>
      </c>
      <c r="BA15">
        <v>0</v>
      </c>
      <c r="BC15" t="s">
        <v>116</v>
      </c>
      <c r="BF15" t="s">
        <v>3816</v>
      </c>
    </row>
    <row r="16" spans="1:58" x14ac:dyDescent="0.35">
      <c r="A16" t="s">
        <v>5845</v>
      </c>
      <c r="B16">
        <v>10000</v>
      </c>
      <c r="C16">
        <v>20000</v>
      </c>
      <c r="D16" s="2">
        <v>45748</v>
      </c>
      <c r="E16" t="s">
        <v>61</v>
      </c>
      <c r="F16" t="s">
        <v>5846</v>
      </c>
      <c r="G16" t="s">
        <v>5717</v>
      </c>
      <c r="I16">
        <v>2</v>
      </c>
      <c r="J16" t="s">
        <v>63</v>
      </c>
      <c r="K16">
        <v>71</v>
      </c>
      <c r="L16" t="s">
        <v>135</v>
      </c>
      <c r="M16" s="4">
        <v>2500</v>
      </c>
      <c r="P16" s="2">
        <v>45745</v>
      </c>
      <c r="R16">
        <v>6</v>
      </c>
      <c r="S16" s="4">
        <v>15000</v>
      </c>
      <c r="T16" t="s">
        <v>65</v>
      </c>
      <c r="U16">
        <v>83615250001</v>
      </c>
      <c r="V16">
        <v>0</v>
      </c>
      <c r="W16" s="4">
        <v>15000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8361525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5847</v>
      </c>
      <c r="BA16">
        <v>0</v>
      </c>
      <c r="BC16" t="s">
        <v>91</v>
      </c>
      <c r="BF16" t="s">
        <v>3589</v>
      </c>
    </row>
    <row r="17" spans="1:58" x14ac:dyDescent="0.35">
      <c r="A17" t="s">
        <v>5851</v>
      </c>
      <c r="B17">
        <v>10000</v>
      </c>
      <c r="C17">
        <v>20000</v>
      </c>
      <c r="D17" s="2">
        <v>45748</v>
      </c>
      <c r="E17" t="s">
        <v>61</v>
      </c>
      <c r="F17" t="s">
        <v>5852</v>
      </c>
      <c r="G17" t="s">
        <v>5717</v>
      </c>
      <c r="I17">
        <v>2</v>
      </c>
      <c r="J17" t="s">
        <v>63</v>
      </c>
      <c r="K17">
        <v>71</v>
      </c>
      <c r="L17" t="s">
        <v>135</v>
      </c>
      <c r="M17" s="4">
        <v>2500</v>
      </c>
      <c r="P17" s="2">
        <v>45745</v>
      </c>
      <c r="R17">
        <v>6</v>
      </c>
      <c r="S17" s="4">
        <v>15000</v>
      </c>
      <c r="T17" t="s">
        <v>65</v>
      </c>
      <c r="U17">
        <v>5000444460001</v>
      </c>
      <c r="V17">
        <v>0</v>
      </c>
      <c r="W17" s="4">
        <v>15000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500044446</v>
      </c>
      <c r="AN17" t="s">
        <v>91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5853</v>
      </c>
      <c r="BA17">
        <v>0</v>
      </c>
      <c r="BC17" t="s">
        <v>91</v>
      </c>
      <c r="BF17" t="s">
        <v>3589</v>
      </c>
    </row>
    <row r="18" spans="1:58" x14ac:dyDescent="0.35">
      <c r="A18" t="s">
        <v>6074</v>
      </c>
      <c r="B18">
        <v>10000</v>
      </c>
      <c r="C18">
        <v>20000</v>
      </c>
      <c r="D18" s="2">
        <v>45751</v>
      </c>
      <c r="E18" t="s">
        <v>61</v>
      </c>
      <c r="F18" t="s">
        <v>1547</v>
      </c>
      <c r="G18" t="s">
        <v>6075</v>
      </c>
      <c r="I18">
        <v>1</v>
      </c>
      <c r="J18" t="s">
        <v>63</v>
      </c>
      <c r="K18">
        <v>72</v>
      </c>
      <c r="L18" t="s">
        <v>528</v>
      </c>
      <c r="M18" s="4">
        <v>1000</v>
      </c>
      <c r="P18" s="2">
        <v>45745</v>
      </c>
      <c r="R18">
        <v>4</v>
      </c>
      <c r="S18" s="4">
        <v>4000</v>
      </c>
      <c r="T18" t="s">
        <v>65</v>
      </c>
      <c r="U18" t="s">
        <v>6076</v>
      </c>
      <c r="V18">
        <v>0</v>
      </c>
      <c r="W18" s="4">
        <v>2000</v>
      </c>
      <c r="X18" s="4">
        <v>2000</v>
      </c>
      <c r="Y18">
        <v>0</v>
      </c>
      <c r="Z18">
        <v>0</v>
      </c>
      <c r="AA18">
        <v>0</v>
      </c>
      <c r="AD18">
        <v>0</v>
      </c>
      <c r="AM18" t="s">
        <v>6077</v>
      </c>
      <c r="AN18" t="s">
        <v>91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6078</v>
      </c>
      <c r="BA18">
        <v>0</v>
      </c>
      <c r="BC18" t="s">
        <v>91</v>
      </c>
      <c r="BF18" t="s">
        <v>6079</v>
      </c>
    </row>
    <row r="19" spans="1:58" x14ac:dyDescent="0.35">
      <c r="A19" t="s">
        <v>6080</v>
      </c>
      <c r="B19">
        <v>10000</v>
      </c>
      <c r="C19">
        <v>20000</v>
      </c>
      <c r="D19" s="2">
        <v>45750</v>
      </c>
      <c r="E19" t="s">
        <v>61</v>
      </c>
      <c r="F19" t="s">
        <v>2068</v>
      </c>
      <c r="G19" t="s">
        <v>6075</v>
      </c>
      <c r="I19">
        <v>1</v>
      </c>
      <c r="J19" t="s">
        <v>63</v>
      </c>
      <c r="K19">
        <v>72</v>
      </c>
      <c r="L19" t="s">
        <v>528</v>
      </c>
      <c r="M19" s="4">
        <v>1000</v>
      </c>
      <c r="P19" s="2">
        <v>45745</v>
      </c>
      <c r="R19">
        <v>4</v>
      </c>
      <c r="S19" s="4">
        <v>4000</v>
      </c>
      <c r="T19" t="s">
        <v>65</v>
      </c>
      <c r="U19" t="s">
        <v>6081</v>
      </c>
      <c r="V19">
        <v>0</v>
      </c>
      <c r="W19" s="4">
        <v>2000</v>
      </c>
      <c r="X19" s="4">
        <v>2000</v>
      </c>
      <c r="Y19">
        <v>0</v>
      </c>
      <c r="Z19">
        <v>0</v>
      </c>
      <c r="AA19">
        <v>0</v>
      </c>
      <c r="AD19">
        <v>0</v>
      </c>
      <c r="AM19" t="s">
        <v>6082</v>
      </c>
      <c r="AN19" t="s">
        <v>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6083</v>
      </c>
      <c r="BA19">
        <v>0</v>
      </c>
      <c r="BC19" t="s">
        <v>91</v>
      </c>
      <c r="BF19" t="s">
        <v>6079</v>
      </c>
    </row>
    <row r="20" spans="1:58" x14ac:dyDescent="0.35">
      <c r="A20" t="s">
        <v>6084</v>
      </c>
      <c r="B20">
        <v>10000</v>
      </c>
      <c r="C20">
        <v>10000</v>
      </c>
      <c r="D20" s="2">
        <v>45750</v>
      </c>
      <c r="E20" t="s">
        <v>61</v>
      </c>
      <c r="F20" t="s">
        <v>6085</v>
      </c>
      <c r="G20" t="s">
        <v>6075</v>
      </c>
      <c r="I20">
        <v>1</v>
      </c>
      <c r="J20" t="s">
        <v>63</v>
      </c>
      <c r="K20">
        <v>72</v>
      </c>
      <c r="L20" t="s">
        <v>528</v>
      </c>
      <c r="M20" s="4">
        <v>4500</v>
      </c>
      <c r="P20" s="2">
        <v>45745</v>
      </c>
      <c r="R20">
        <v>4</v>
      </c>
      <c r="S20" s="4">
        <v>18000</v>
      </c>
      <c r="T20" t="s">
        <v>65</v>
      </c>
      <c r="U20" t="s">
        <v>6086</v>
      </c>
      <c r="V20">
        <v>0</v>
      </c>
      <c r="W20" s="4">
        <v>15000</v>
      </c>
      <c r="X20" s="4">
        <v>3000</v>
      </c>
      <c r="Y20">
        <v>0</v>
      </c>
      <c r="Z20">
        <v>0</v>
      </c>
      <c r="AA20">
        <v>0</v>
      </c>
      <c r="AD20">
        <v>0</v>
      </c>
      <c r="AM20" t="s">
        <v>6087</v>
      </c>
      <c r="AN20" t="s">
        <v>91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6088</v>
      </c>
      <c r="BA20">
        <v>0</v>
      </c>
      <c r="BC20" t="s">
        <v>91</v>
      </c>
      <c r="BF20" t="s">
        <v>6079</v>
      </c>
    </row>
    <row r="21" spans="1:58" x14ac:dyDescent="0.35">
      <c r="A21" t="s">
        <v>6089</v>
      </c>
      <c r="B21">
        <v>10000</v>
      </c>
      <c r="C21">
        <v>10000</v>
      </c>
      <c r="D21" s="2">
        <v>45749</v>
      </c>
      <c r="E21" t="s">
        <v>61</v>
      </c>
      <c r="F21" s="3">
        <v>0.47717592592592595</v>
      </c>
      <c r="G21" t="s">
        <v>6075</v>
      </c>
      <c r="I21">
        <v>1</v>
      </c>
      <c r="J21" t="s">
        <v>63</v>
      </c>
      <c r="K21">
        <v>72</v>
      </c>
      <c r="L21" t="s">
        <v>528</v>
      </c>
      <c r="M21" s="4">
        <v>1750</v>
      </c>
      <c r="P21" s="2">
        <v>45745</v>
      </c>
      <c r="R21">
        <v>4</v>
      </c>
      <c r="S21" s="4">
        <v>7000</v>
      </c>
      <c r="T21" t="s">
        <v>65</v>
      </c>
      <c r="U21" t="s">
        <v>6090</v>
      </c>
      <c r="V21">
        <v>0</v>
      </c>
      <c r="W21" s="4">
        <v>5000</v>
      </c>
      <c r="X21" s="4">
        <v>2000</v>
      </c>
      <c r="Y21">
        <v>0</v>
      </c>
      <c r="Z21">
        <v>0</v>
      </c>
      <c r="AA21">
        <v>0</v>
      </c>
      <c r="AD21">
        <v>0</v>
      </c>
      <c r="AM21" t="s">
        <v>6091</v>
      </c>
      <c r="AN21" t="s">
        <v>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6092</v>
      </c>
      <c r="BA21">
        <v>0</v>
      </c>
      <c r="BC21" t="s">
        <v>91</v>
      </c>
      <c r="BF21" t="s">
        <v>6079</v>
      </c>
    </row>
    <row r="22" spans="1:58" x14ac:dyDescent="0.35">
      <c r="A22" t="s">
        <v>6093</v>
      </c>
      <c r="B22">
        <v>10000</v>
      </c>
      <c r="C22">
        <v>10000</v>
      </c>
      <c r="D22" s="2">
        <v>45751</v>
      </c>
      <c r="E22" t="s">
        <v>61</v>
      </c>
      <c r="F22" t="s">
        <v>6094</v>
      </c>
      <c r="G22" t="s">
        <v>6075</v>
      </c>
      <c r="I22">
        <v>1</v>
      </c>
      <c r="J22" t="s">
        <v>63</v>
      </c>
      <c r="K22">
        <v>72</v>
      </c>
      <c r="L22" t="s">
        <v>528</v>
      </c>
      <c r="M22" s="4">
        <v>1250</v>
      </c>
      <c r="P22" s="2">
        <v>45745</v>
      </c>
      <c r="R22">
        <v>4</v>
      </c>
      <c r="S22" s="4">
        <v>5000</v>
      </c>
      <c r="T22" t="s">
        <v>65</v>
      </c>
      <c r="U22" t="s">
        <v>6095</v>
      </c>
      <c r="V22">
        <v>0</v>
      </c>
      <c r="W22" s="4">
        <v>3000</v>
      </c>
      <c r="X22" s="4">
        <v>2000</v>
      </c>
      <c r="Y22">
        <v>0</v>
      </c>
      <c r="Z22">
        <v>0</v>
      </c>
      <c r="AA22">
        <v>0</v>
      </c>
      <c r="AD22">
        <v>0</v>
      </c>
      <c r="AM22" t="s">
        <v>6096</v>
      </c>
      <c r="AN22" t="s">
        <v>91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6097</v>
      </c>
      <c r="BA22">
        <v>0</v>
      </c>
      <c r="BC22" t="s">
        <v>91</v>
      </c>
      <c r="BF22" t="s">
        <v>6079</v>
      </c>
    </row>
    <row r="23" spans="1:58" x14ac:dyDescent="0.35">
      <c r="A23" t="s">
        <v>6098</v>
      </c>
      <c r="B23">
        <v>10000</v>
      </c>
      <c r="C23">
        <v>10000</v>
      </c>
      <c r="D23" s="2">
        <v>45749</v>
      </c>
      <c r="E23" t="s">
        <v>61</v>
      </c>
      <c r="F23" t="s">
        <v>6099</v>
      </c>
      <c r="G23" t="s">
        <v>6075</v>
      </c>
      <c r="I23">
        <v>1</v>
      </c>
      <c r="J23" t="s">
        <v>63</v>
      </c>
      <c r="K23">
        <v>72</v>
      </c>
      <c r="L23" t="s">
        <v>528</v>
      </c>
      <c r="M23">
        <v>500</v>
      </c>
      <c r="P23" s="2">
        <v>45745</v>
      </c>
      <c r="R23">
        <v>4</v>
      </c>
      <c r="S23" s="4">
        <v>2000</v>
      </c>
      <c r="T23" t="s">
        <v>65</v>
      </c>
      <c r="U23" t="s">
        <v>6100</v>
      </c>
      <c r="V23">
        <v>0</v>
      </c>
      <c r="W23" s="4">
        <v>1000</v>
      </c>
      <c r="X23" s="4">
        <v>1000</v>
      </c>
      <c r="Y23">
        <v>0</v>
      </c>
      <c r="Z23">
        <v>0</v>
      </c>
      <c r="AA23">
        <v>0</v>
      </c>
      <c r="AD23">
        <v>0</v>
      </c>
      <c r="AM23" t="s">
        <v>6101</v>
      </c>
      <c r="AN23" t="s">
        <v>91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6102</v>
      </c>
      <c r="BA23">
        <v>0</v>
      </c>
      <c r="BC23" t="s">
        <v>91</v>
      </c>
      <c r="BF23" t="s">
        <v>6079</v>
      </c>
    </row>
    <row r="24" spans="1:58" x14ac:dyDescent="0.35">
      <c r="A24" t="s">
        <v>6103</v>
      </c>
      <c r="B24">
        <v>10000</v>
      </c>
      <c r="C24">
        <v>10000</v>
      </c>
      <c r="D24" s="2">
        <v>45749</v>
      </c>
      <c r="E24" t="s">
        <v>61</v>
      </c>
      <c r="F24" t="s">
        <v>4643</v>
      </c>
      <c r="G24" t="s">
        <v>6075</v>
      </c>
      <c r="I24">
        <v>1</v>
      </c>
      <c r="J24" t="s">
        <v>63</v>
      </c>
      <c r="K24">
        <v>72</v>
      </c>
      <c r="L24" t="s">
        <v>528</v>
      </c>
      <c r="M24" s="4">
        <v>1000</v>
      </c>
      <c r="P24" s="2">
        <v>45745</v>
      </c>
      <c r="R24">
        <v>4</v>
      </c>
      <c r="S24" s="4">
        <v>4000</v>
      </c>
      <c r="T24" t="s">
        <v>65</v>
      </c>
      <c r="U24" t="s">
        <v>6104</v>
      </c>
      <c r="V24">
        <v>0</v>
      </c>
      <c r="W24" s="4">
        <v>2000</v>
      </c>
      <c r="X24" s="4">
        <v>2000</v>
      </c>
      <c r="Y24">
        <v>0</v>
      </c>
      <c r="Z24">
        <v>0</v>
      </c>
      <c r="AA24">
        <v>0</v>
      </c>
      <c r="AD24">
        <v>0</v>
      </c>
      <c r="AM24" t="s">
        <v>6105</v>
      </c>
      <c r="AN24" t="s">
        <v>91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6106</v>
      </c>
      <c r="BA24">
        <v>0</v>
      </c>
      <c r="BC24" t="s">
        <v>91</v>
      </c>
      <c r="BF24" t="s">
        <v>6079</v>
      </c>
    </row>
    <row r="25" spans="1:58" x14ac:dyDescent="0.35">
      <c r="A25" t="s">
        <v>6107</v>
      </c>
      <c r="B25">
        <v>10000</v>
      </c>
      <c r="C25">
        <v>10000</v>
      </c>
      <c r="D25" s="2">
        <v>45751</v>
      </c>
      <c r="E25" t="s">
        <v>61</v>
      </c>
      <c r="F25" t="s">
        <v>6108</v>
      </c>
      <c r="G25" t="s">
        <v>6075</v>
      </c>
      <c r="I25">
        <v>1</v>
      </c>
      <c r="J25" t="s">
        <v>63</v>
      </c>
      <c r="K25">
        <v>72</v>
      </c>
      <c r="L25" t="s">
        <v>528</v>
      </c>
      <c r="M25" s="4">
        <v>1000</v>
      </c>
      <c r="P25" s="2">
        <v>45745</v>
      </c>
      <c r="R25">
        <v>4</v>
      </c>
      <c r="S25" s="4">
        <v>4000</v>
      </c>
      <c r="T25" t="s">
        <v>65</v>
      </c>
      <c r="U25" t="s">
        <v>6109</v>
      </c>
      <c r="V25">
        <v>0</v>
      </c>
      <c r="W25" s="4">
        <v>2000</v>
      </c>
      <c r="X25" s="4">
        <v>2000</v>
      </c>
      <c r="Y25">
        <v>0</v>
      </c>
      <c r="Z25">
        <v>0</v>
      </c>
      <c r="AA25">
        <v>0</v>
      </c>
      <c r="AD25">
        <v>0</v>
      </c>
      <c r="AM25" t="s">
        <v>6110</v>
      </c>
      <c r="AN25" t="s">
        <v>91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6111</v>
      </c>
      <c r="BA25">
        <v>0</v>
      </c>
      <c r="BC25" t="s">
        <v>91</v>
      </c>
      <c r="BF25" t="s">
        <v>6079</v>
      </c>
    </row>
    <row r="26" spans="1:58" x14ac:dyDescent="0.35">
      <c r="A26" t="s">
        <v>6112</v>
      </c>
      <c r="B26">
        <v>10000</v>
      </c>
      <c r="C26">
        <v>10000</v>
      </c>
      <c r="D26" s="2">
        <v>45748</v>
      </c>
      <c r="E26" t="s">
        <v>61</v>
      </c>
      <c r="F26" t="s">
        <v>5473</v>
      </c>
      <c r="G26" t="s">
        <v>3277</v>
      </c>
      <c r="I26">
        <v>1</v>
      </c>
      <c r="J26" t="s">
        <v>63</v>
      </c>
      <c r="K26">
        <v>46</v>
      </c>
      <c r="L26" t="s">
        <v>113</v>
      </c>
      <c r="M26" s="4">
        <v>4000</v>
      </c>
      <c r="P26" s="2">
        <v>45745</v>
      </c>
      <c r="R26">
        <v>1</v>
      </c>
      <c r="S26" s="4">
        <v>4000</v>
      </c>
      <c r="T26" t="s">
        <v>65</v>
      </c>
      <c r="U26" t="s">
        <v>3772</v>
      </c>
      <c r="V26">
        <v>0</v>
      </c>
      <c r="W26" s="4">
        <v>4000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3773</v>
      </c>
      <c r="AN26" t="s">
        <v>116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6113</v>
      </c>
      <c r="BA26">
        <v>0</v>
      </c>
      <c r="BC26" t="s">
        <v>116</v>
      </c>
      <c r="BF26" t="s">
        <v>4631</v>
      </c>
    </row>
    <row r="27" spans="1:58" x14ac:dyDescent="0.35">
      <c r="A27" t="s">
        <v>6114</v>
      </c>
      <c r="B27">
        <v>10000</v>
      </c>
      <c r="C27">
        <v>10000</v>
      </c>
      <c r="D27" s="2">
        <v>45748</v>
      </c>
      <c r="E27" t="s">
        <v>61</v>
      </c>
      <c r="F27" t="s">
        <v>6115</v>
      </c>
      <c r="G27">
        <v>405172525</v>
      </c>
      <c r="I27">
        <v>1</v>
      </c>
      <c r="J27" t="s">
        <v>63</v>
      </c>
      <c r="K27">
        <v>61</v>
      </c>
      <c r="L27" t="s">
        <v>553</v>
      </c>
      <c r="M27">
        <v>250</v>
      </c>
      <c r="P27" s="2">
        <v>45745</v>
      </c>
      <c r="R27">
        <v>4</v>
      </c>
      <c r="S27" s="4">
        <v>1000</v>
      </c>
      <c r="T27" t="s">
        <v>65</v>
      </c>
      <c r="U27" t="s">
        <v>1761</v>
      </c>
      <c r="V27">
        <v>0</v>
      </c>
      <c r="W27" s="4">
        <v>1000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1762</v>
      </c>
      <c r="AN27" t="s">
        <v>1763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6116</v>
      </c>
      <c r="BA27">
        <v>0</v>
      </c>
      <c r="BC27" t="s">
        <v>1763</v>
      </c>
      <c r="BF27" t="s">
        <v>6117</v>
      </c>
    </row>
    <row r="28" spans="1:58" x14ac:dyDescent="0.35">
      <c r="A28" t="s">
        <v>6118</v>
      </c>
      <c r="B28">
        <v>10000</v>
      </c>
      <c r="C28">
        <v>10000</v>
      </c>
      <c r="D28" s="2">
        <v>45748</v>
      </c>
      <c r="E28" t="s">
        <v>61</v>
      </c>
      <c r="F28" t="s">
        <v>6119</v>
      </c>
      <c r="G28" t="s">
        <v>6120</v>
      </c>
      <c r="I28">
        <v>1</v>
      </c>
      <c r="J28" t="s">
        <v>63</v>
      </c>
      <c r="K28">
        <v>61</v>
      </c>
      <c r="L28" t="s">
        <v>553</v>
      </c>
      <c r="M28">
        <v>750</v>
      </c>
      <c r="P28" s="2">
        <v>45745</v>
      </c>
      <c r="R28">
        <v>4</v>
      </c>
      <c r="S28" s="4">
        <v>3000</v>
      </c>
      <c r="T28" t="s">
        <v>65</v>
      </c>
      <c r="U28" t="s">
        <v>6121</v>
      </c>
      <c r="V28">
        <v>0</v>
      </c>
      <c r="W28" s="4">
        <v>3000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6122</v>
      </c>
      <c r="AN28" t="s">
        <v>508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6123</v>
      </c>
      <c r="BA28">
        <v>0</v>
      </c>
      <c r="BC28" t="s">
        <v>508</v>
      </c>
      <c r="BF28" t="s">
        <v>4657</v>
      </c>
    </row>
    <row r="29" spans="1:58" x14ac:dyDescent="0.35">
      <c r="A29" t="s">
        <v>6124</v>
      </c>
      <c r="B29">
        <v>10000</v>
      </c>
      <c r="C29">
        <v>10000</v>
      </c>
      <c r="D29" s="2">
        <v>45748</v>
      </c>
      <c r="E29" t="s">
        <v>61</v>
      </c>
      <c r="F29" t="s">
        <v>6125</v>
      </c>
      <c r="G29" t="s">
        <v>6126</v>
      </c>
      <c r="I29">
        <v>1</v>
      </c>
      <c r="J29" t="s">
        <v>63</v>
      </c>
      <c r="K29">
        <v>61</v>
      </c>
      <c r="L29" t="s">
        <v>553</v>
      </c>
      <c r="M29" s="4">
        <v>1000</v>
      </c>
      <c r="P29" s="2">
        <v>45745</v>
      </c>
      <c r="R29">
        <v>1</v>
      </c>
      <c r="S29" s="4">
        <v>1000</v>
      </c>
      <c r="T29" t="s">
        <v>65</v>
      </c>
      <c r="U29" t="s">
        <v>6127</v>
      </c>
      <c r="V29">
        <v>0</v>
      </c>
      <c r="W29" s="4">
        <v>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6128</v>
      </c>
      <c r="AN29" t="s">
        <v>508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6129</v>
      </c>
      <c r="BA29">
        <v>0</v>
      </c>
      <c r="BC29" t="s">
        <v>508</v>
      </c>
      <c r="BF29" t="s">
        <v>4657</v>
      </c>
    </row>
    <row r="30" spans="1:58" x14ac:dyDescent="0.35">
      <c r="A30" t="s">
        <v>6130</v>
      </c>
      <c r="B30">
        <v>10000</v>
      </c>
      <c r="C30">
        <v>10000</v>
      </c>
      <c r="D30" s="2">
        <v>45748</v>
      </c>
      <c r="E30" t="s">
        <v>61</v>
      </c>
      <c r="F30" t="s">
        <v>6119</v>
      </c>
      <c r="G30" t="s">
        <v>6120</v>
      </c>
      <c r="I30">
        <v>1</v>
      </c>
      <c r="J30" t="s">
        <v>63</v>
      </c>
      <c r="K30">
        <v>61</v>
      </c>
      <c r="L30" t="s">
        <v>553</v>
      </c>
      <c r="M30">
        <v>750</v>
      </c>
      <c r="P30" s="2">
        <v>45745</v>
      </c>
      <c r="R30">
        <v>4</v>
      </c>
      <c r="S30" s="4">
        <v>3000</v>
      </c>
      <c r="T30" t="s">
        <v>65</v>
      </c>
      <c r="U30" t="s">
        <v>6121</v>
      </c>
      <c r="V30">
        <v>0</v>
      </c>
      <c r="W30" s="4">
        <v>3000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6122</v>
      </c>
      <c r="AN30" t="s">
        <v>508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6131</v>
      </c>
      <c r="BA30">
        <v>0</v>
      </c>
      <c r="BC30" t="s">
        <v>508</v>
      </c>
      <c r="BF30" t="s">
        <v>4667</v>
      </c>
    </row>
    <row r="31" spans="1:58" x14ac:dyDescent="0.35">
      <c r="A31" t="s">
        <v>6132</v>
      </c>
      <c r="B31">
        <v>10000</v>
      </c>
      <c r="C31">
        <v>10000</v>
      </c>
      <c r="D31" s="2">
        <v>45748</v>
      </c>
      <c r="E31" t="s">
        <v>61</v>
      </c>
      <c r="F31" t="s">
        <v>6125</v>
      </c>
      <c r="G31" t="s">
        <v>6133</v>
      </c>
      <c r="I31">
        <v>1</v>
      </c>
      <c r="J31" t="s">
        <v>63</v>
      </c>
      <c r="K31">
        <v>61</v>
      </c>
      <c r="L31" t="s">
        <v>553</v>
      </c>
      <c r="M31" s="4">
        <v>2000</v>
      </c>
      <c r="P31" s="2">
        <v>45745</v>
      </c>
      <c r="R31">
        <v>1</v>
      </c>
      <c r="S31" s="4">
        <v>2000</v>
      </c>
      <c r="T31" t="s">
        <v>65</v>
      </c>
      <c r="U31" t="s">
        <v>6127</v>
      </c>
      <c r="V31">
        <v>0</v>
      </c>
      <c r="W31" s="4">
        <v>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6128</v>
      </c>
      <c r="AN31" t="s">
        <v>508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6134</v>
      </c>
      <c r="BA31">
        <v>0</v>
      </c>
      <c r="BC31" t="s">
        <v>508</v>
      </c>
      <c r="BF31" t="s">
        <v>4667</v>
      </c>
    </row>
    <row r="32" spans="1:58" x14ac:dyDescent="0.35">
      <c r="A32" t="s">
        <v>6135</v>
      </c>
      <c r="B32">
        <v>10000</v>
      </c>
      <c r="C32">
        <v>10000</v>
      </c>
      <c r="D32" s="2">
        <v>45748</v>
      </c>
      <c r="E32" t="s">
        <v>61</v>
      </c>
      <c r="F32" t="s">
        <v>6115</v>
      </c>
      <c r="G32">
        <v>405172525</v>
      </c>
      <c r="I32">
        <v>1</v>
      </c>
      <c r="J32" t="s">
        <v>63</v>
      </c>
      <c r="K32">
        <v>61</v>
      </c>
      <c r="L32" t="s">
        <v>553</v>
      </c>
      <c r="M32">
        <v>250</v>
      </c>
      <c r="P32" s="2">
        <v>45745</v>
      </c>
      <c r="R32">
        <v>4</v>
      </c>
      <c r="S32" s="4">
        <v>1000</v>
      </c>
      <c r="T32" t="s">
        <v>65</v>
      </c>
      <c r="U32" t="s">
        <v>1761</v>
      </c>
      <c r="V32">
        <v>0</v>
      </c>
      <c r="W32" s="4">
        <v>1000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1762</v>
      </c>
      <c r="AN32" t="s">
        <v>1763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6136</v>
      </c>
      <c r="BA32">
        <v>0</v>
      </c>
      <c r="BC32" t="s">
        <v>1763</v>
      </c>
      <c r="BF32" t="s">
        <v>6137</v>
      </c>
    </row>
    <row r="33" spans="1:58" x14ac:dyDescent="0.35">
      <c r="A33" t="s">
        <v>6138</v>
      </c>
      <c r="B33">
        <v>10000</v>
      </c>
      <c r="C33">
        <v>10000</v>
      </c>
      <c r="D33" s="2">
        <v>45748</v>
      </c>
      <c r="E33" t="s">
        <v>61</v>
      </c>
      <c r="F33" t="s">
        <v>6139</v>
      </c>
      <c r="G33" t="s">
        <v>6065</v>
      </c>
      <c r="I33">
        <v>1</v>
      </c>
      <c r="J33" t="s">
        <v>63</v>
      </c>
      <c r="K33">
        <v>72</v>
      </c>
      <c r="L33" t="s">
        <v>528</v>
      </c>
      <c r="M33" s="4">
        <v>1625</v>
      </c>
      <c r="P33" s="2">
        <v>45745</v>
      </c>
      <c r="R33">
        <v>4</v>
      </c>
      <c r="S33" s="4">
        <v>6500</v>
      </c>
      <c r="T33" t="s">
        <v>65</v>
      </c>
      <c r="U33">
        <v>5000562920001</v>
      </c>
      <c r="V33">
        <v>0</v>
      </c>
      <c r="W33" s="4">
        <v>5000</v>
      </c>
      <c r="X33" s="4">
        <v>1500</v>
      </c>
      <c r="Y33">
        <v>0</v>
      </c>
      <c r="Z33">
        <v>0</v>
      </c>
      <c r="AA33">
        <v>0</v>
      </c>
      <c r="AD33">
        <v>0</v>
      </c>
      <c r="AM33">
        <v>500056292</v>
      </c>
      <c r="AN33" t="s">
        <v>91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6140</v>
      </c>
      <c r="BA33">
        <v>0</v>
      </c>
      <c r="BC33" t="s">
        <v>91</v>
      </c>
      <c r="BF33" t="s">
        <v>6141</v>
      </c>
    </row>
    <row r="34" spans="1:58" x14ac:dyDescent="0.35">
      <c r="A34" t="s">
        <v>6142</v>
      </c>
      <c r="B34">
        <v>10000</v>
      </c>
      <c r="C34">
        <v>10000</v>
      </c>
      <c r="D34" s="2">
        <v>45748</v>
      </c>
      <c r="E34" t="s">
        <v>61</v>
      </c>
      <c r="F34" t="s">
        <v>6143</v>
      </c>
      <c r="G34" t="s">
        <v>6065</v>
      </c>
      <c r="I34">
        <v>1</v>
      </c>
      <c r="J34" t="s">
        <v>63</v>
      </c>
      <c r="K34">
        <v>72</v>
      </c>
      <c r="L34" t="s">
        <v>528</v>
      </c>
      <c r="M34" s="4">
        <v>2000</v>
      </c>
      <c r="P34" s="2">
        <v>45745</v>
      </c>
      <c r="R34">
        <v>4</v>
      </c>
      <c r="S34" s="4">
        <v>8000</v>
      </c>
      <c r="T34" t="s">
        <v>65</v>
      </c>
      <c r="U34">
        <v>5000579950001</v>
      </c>
      <c r="V34">
        <v>0</v>
      </c>
      <c r="W34" s="4">
        <v>6000</v>
      </c>
      <c r="X34" s="4">
        <v>2000</v>
      </c>
      <c r="Y34">
        <v>0</v>
      </c>
      <c r="Z34">
        <v>0</v>
      </c>
      <c r="AA34">
        <v>0</v>
      </c>
      <c r="AD34">
        <v>0</v>
      </c>
      <c r="AM34">
        <v>500057995</v>
      </c>
      <c r="AN34" t="s">
        <v>91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6144</v>
      </c>
      <c r="BA34">
        <v>0</v>
      </c>
      <c r="BC34" t="s">
        <v>91</v>
      </c>
      <c r="BF34" t="s">
        <v>6141</v>
      </c>
    </row>
    <row r="35" spans="1:58" x14ac:dyDescent="0.35">
      <c r="A35" t="s">
        <v>6145</v>
      </c>
      <c r="B35">
        <v>10000</v>
      </c>
      <c r="C35">
        <v>10000</v>
      </c>
      <c r="D35" s="2">
        <v>45749</v>
      </c>
      <c r="E35" t="s">
        <v>61</v>
      </c>
      <c r="F35" t="s">
        <v>6146</v>
      </c>
      <c r="G35" t="s">
        <v>6065</v>
      </c>
      <c r="I35">
        <v>1</v>
      </c>
      <c r="J35" t="s">
        <v>63</v>
      </c>
      <c r="K35">
        <v>72</v>
      </c>
      <c r="L35" t="s">
        <v>528</v>
      </c>
      <c r="M35">
        <v>750</v>
      </c>
      <c r="P35" s="2">
        <v>45745</v>
      </c>
      <c r="R35">
        <v>4</v>
      </c>
      <c r="S35" s="4">
        <v>3000</v>
      </c>
      <c r="T35" t="s">
        <v>65</v>
      </c>
      <c r="U35">
        <v>5000514720001</v>
      </c>
      <c r="V35">
        <v>0</v>
      </c>
      <c r="W35" s="4">
        <v>1000</v>
      </c>
      <c r="X35" s="4">
        <v>2000</v>
      </c>
      <c r="Y35">
        <v>0</v>
      </c>
      <c r="Z35">
        <v>0</v>
      </c>
      <c r="AA35">
        <v>0</v>
      </c>
      <c r="AD35">
        <v>0</v>
      </c>
      <c r="AM35">
        <v>500051472</v>
      </c>
      <c r="AN35" t="s">
        <v>91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6147</v>
      </c>
      <c r="BA35">
        <v>0</v>
      </c>
      <c r="BC35" t="s">
        <v>91</v>
      </c>
      <c r="BF35" t="s">
        <v>6148</v>
      </c>
    </row>
    <row r="36" spans="1:58" x14ac:dyDescent="0.35">
      <c r="A36" t="s">
        <v>6149</v>
      </c>
      <c r="B36">
        <v>10000</v>
      </c>
      <c r="C36">
        <v>10000</v>
      </c>
      <c r="D36" s="2">
        <v>45749</v>
      </c>
      <c r="E36" t="s">
        <v>61</v>
      </c>
      <c r="F36" t="s">
        <v>6146</v>
      </c>
      <c r="G36" t="s">
        <v>6065</v>
      </c>
      <c r="I36">
        <v>1</v>
      </c>
      <c r="J36" t="s">
        <v>63</v>
      </c>
      <c r="K36">
        <v>72</v>
      </c>
      <c r="L36" t="s">
        <v>528</v>
      </c>
      <c r="M36" s="4">
        <v>1750</v>
      </c>
      <c r="P36" s="2">
        <v>45745</v>
      </c>
      <c r="R36">
        <v>4</v>
      </c>
      <c r="S36" s="4">
        <v>7000</v>
      </c>
      <c r="T36" t="s">
        <v>65</v>
      </c>
      <c r="U36">
        <v>5000514730001</v>
      </c>
      <c r="V36">
        <v>0</v>
      </c>
      <c r="W36" s="4">
        <v>5000</v>
      </c>
      <c r="X36" s="4">
        <v>2000</v>
      </c>
      <c r="Y36">
        <v>0</v>
      </c>
      <c r="Z36">
        <v>0</v>
      </c>
      <c r="AA36">
        <v>0</v>
      </c>
      <c r="AD36">
        <v>0</v>
      </c>
      <c r="AM36">
        <v>500051473</v>
      </c>
      <c r="AN36" t="s">
        <v>91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6150</v>
      </c>
      <c r="BA36">
        <v>0</v>
      </c>
      <c r="BC36" t="s">
        <v>91</v>
      </c>
      <c r="BF36" t="s">
        <v>6148</v>
      </c>
    </row>
    <row r="37" spans="1:58" x14ac:dyDescent="0.35">
      <c r="A37" t="s">
        <v>6151</v>
      </c>
      <c r="B37">
        <v>10000</v>
      </c>
      <c r="C37">
        <v>10000</v>
      </c>
      <c r="D37" s="2">
        <v>45749</v>
      </c>
      <c r="E37" t="s">
        <v>61</v>
      </c>
      <c r="F37" t="s">
        <v>6146</v>
      </c>
      <c r="G37" t="s">
        <v>6065</v>
      </c>
      <c r="I37">
        <v>1</v>
      </c>
      <c r="J37" t="s">
        <v>63</v>
      </c>
      <c r="K37">
        <v>72</v>
      </c>
      <c r="L37" t="s">
        <v>528</v>
      </c>
      <c r="M37" s="4">
        <v>1750</v>
      </c>
      <c r="P37" s="2">
        <v>45745</v>
      </c>
      <c r="R37">
        <v>4</v>
      </c>
      <c r="S37" s="4">
        <v>7000</v>
      </c>
      <c r="T37" t="s">
        <v>65</v>
      </c>
      <c r="U37">
        <v>5000579970001</v>
      </c>
      <c r="V37">
        <v>0</v>
      </c>
      <c r="W37" s="4">
        <v>5000</v>
      </c>
      <c r="X37" s="4">
        <v>2000</v>
      </c>
      <c r="Y37">
        <v>0</v>
      </c>
      <c r="Z37">
        <v>0</v>
      </c>
      <c r="AA37">
        <v>0</v>
      </c>
      <c r="AD37">
        <v>0</v>
      </c>
      <c r="AM37">
        <v>500057997</v>
      </c>
      <c r="AN37" t="s">
        <v>91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6152</v>
      </c>
      <c r="BA37">
        <v>0</v>
      </c>
      <c r="BC37" t="s">
        <v>91</v>
      </c>
      <c r="BF37" t="s">
        <v>6148</v>
      </c>
    </row>
    <row r="38" spans="1:58" x14ac:dyDescent="0.35">
      <c r="A38" t="s">
        <v>6153</v>
      </c>
      <c r="B38">
        <v>10000</v>
      </c>
      <c r="C38">
        <v>10000</v>
      </c>
      <c r="D38" s="2">
        <v>45749</v>
      </c>
      <c r="E38" t="s">
        <v>61</v>
      </c>
      <c r="F38" t="s">
        <v>6146</v>
      </c>
      <c r="G38" t="s">
        <v>6065</v>
      </c>
      <c r="I38">
        <v>1</v>
      </c>
      <c r="J38" t="s">
        <v>63</v>
      </c>
      <c r="K38">
        <v>72</v>
      </c>
      <c r="L38" t="s">
        <v>528</v>
      </c>
      <c r="M38" s="4">
        <v>1750</v>
      </c>
      <c r="P38" s="2">
        <v>45745</v>
      </c>
      <c r="R38">
        <v>4</v>
      </c>
      <c r="S38" s="4">
        <v>7000</v>
      </c>
      <c r="T38" t="s">
        <v>65</v>
      </c>
      <c r="U38">
        <v>5000595780001</v>
      </c>
      <c r="V38">
        <v>0</v>
      </c>
      <c r="W38" s="4">
        <v>5000</v>
      </c>
      <c r="X38" s="4">
        <v>2000</v>
      </c>
      <c r="Y38">
        <v>0</v>
      </c>
      <c r="Z38">
        <v>0</v>
      </c>
      <c r="AA38">
        <v>0</v>
      </c>
      <c r="AD38">
        <v>0</v>
      </c>
      <c r="AM38">
        <v>500059578</v>
      </c>
      <c r="AN38" t="s">
        <v>91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6154</v>
      </c>
      <c r="BA38">
        <v>0</v>
      </c>
      <c r="BC38" t="s">
        <v>91</v>
      </c>
      <c r="BF38" t="s">
        <v>6148</v>
      </c>
    </row>
    <row r="39" spans="1:58" x14ac:dyDescent="0.35">
      <c r="A39" t="s">
        <v>5925</v>
      </c>
      <c r="B39">
        <v>10000</v>
      </c>
      <c r="C39">
        <v>20000</v>
      </c>
      <c r="D39" s="2">
        <v>45748</v>
      </c>
      <c r="E39" t="s">
        <v>61</v>
      </c>
      <c r="F39" t="s">
        <v>5846</v>
      </c>
      <c r="G39" t="s">
        <v>5717</v>
      </c>
      <c r="I39">
        <v>2</v>
      </c>
      <c r="J39" t="s">
        <v>63</v>
      </c>
      <c r="K39">
        <v>71</v>
      </c>
      <c r="L39" t="s">
        <v>135</v>
      </c>
      <c r="M39" s="4">
        <v>4167</v>
      </c>
      <c r="P39" s="2">
        <v>45745</v>
      </c>
      <c r="R39">
        <v>6</v>
      </c>
      <c r="S39" s="4">
        <v>25002</v>
      </c>
      <c r="T39" t="s">
        <v>65</v>
      </c>
      <c r="U39">
        <v>83615250001</v>
      </c>
      <c r="V39">
        <v>0</v>
      </c>
      <c r="W39" s="4">
        <v>25000</v>
      </c>
      <c r="X39">
        <v>2</v>
      </c>
      <c r="Y39">
        <v>0</v>
      </c>
      <c r="Z39">
        <v>0</v>
      </c>
      <c r="AA39">
        <v>0</v>
      </c>
      <c r="AD39">
        <v>0</v>
      </c>
      <c r="AM39">
        <v>8361525</v>
      </c>
      <c r="AN39" t="s">
        <v>91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5926</v>
      </c>
      <c r="BA39">
        <v>0</v>
      </c>
      <c r="BC39" t="s">
        <v>91</v>
      </c>
      <c r="BF39" t="s">
        <v>5922</v>
      </c>
    </row>
    <row r="40" spans="1:58" x14ac:dyDescent="0.35">
      <c r="A40" t="s">
        <v>5927</v>
      </c>
      <c r="B40">
        <v>10000</v>
      </c>
      <c r="C40">
        <v>20000</v>
      </c>
      <c r="D40" s="2">
        <v>45748</v>
      </c>
      <c r="E40" t="s">
        <v>61</v>
      </c>
      <c r="F40" t="s">
        <v>5852</v>
      </c>
      <c r="G40" t="s">
        <v>5717</v>
      </c>
      <c r="I40">
        <v>2</v>
      </c>
      <c r="J40" t="s">
        <v>63</v>
      </c>
      <c r="K40">
        <v>71</v>
      </c>
      <c r="L40" t="s">
        <v>135</v>
      </c>
      <c r="M40" s="4">
        <v>4167</v>
      </c>
      <c r="P40" s="2">
        <v>45745</v>
      </c>
      <c r="R40">
        <v>6</v>
      </c>
      <c r="S40" s="4">
        <v>25002</v>
      </c>
      <c r="T40" t="s">
        <v>65</v>
      </c>
      <c r="U40">
        <v>5000444460001</v>
      </c>
      <c r="V40">
        <v>0</v>
      </c>
      <c r="W40" s="4">
        <v>25000</v>
      </c>
      <c r="X40">
        <v>2</v>
      </c>
      <c r="Y40">
        <v>0</v>
      </c>
      <c r="Z40">
        <v>0</v>
      </c>
      <c r="AA40">
        <v>0</v>
      </c>
      <c r="AD40">
        <v>0</v>
      </c>
      <c r="AM40">
        <v>500044446</v>
      </c>
      <c r="AN40" t="s">
        <v>91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5928</v>
      </c>
      <c r="BA40">
        <v>0</v>
      </c>
      <c r="BC40" t="s">
        <v>91</v>
      </c>
      <c r="BF40" t="s">
        <v>5922</v>
      </c>
    </row>
    <row r="41" spans="1:58" x14ac:dyDescent="0.35">
      <c r="A41" t="s">
        <v>6155</v>
      </c>
      <c r="B41">
        <v>10000</v>
      </c>
      <c r="C41">
        <v>10000</v>
      </c>
      <c r="D41" s="2">
        <v>45748</v>
      </c>
      <c r="E41" t="s">
        <v>61</v>
      </c>
      <c r="F41" t="s">
        <v>6156</v>
      </c>
      <c r="G41" t="s">
        <v>6065</v>
      </c>
      <c r="I41">
        <v>1</v>
      </c>
      <c r="J41" t="s">
        <v>63</v>
      </c>
      <c r="K41">
        <v>72</v>
      </c>
      <c r="L41" t="s">
        <v>528</v>
      </c>
      <c r="M41" s="4">
        <v>4125</v>
      </c>
      <c r="P41" s="2">
        <v>45745</v>
      </c>
      <c r="R41">
        <v>4</v>
      </c>
      <c r="S41" s="4">
        <v>16500</v>
      </c>
      <c r="T41" t="s">
        <v>65</v>
      </c>
      <c r="U41">
        <v>5000562920001</v>
      </c>
      <c r="V41">
        <v>0</v>
      </c>
      <c r="W41" s="4">
        <v>15000</v>
      </c>
      <c r="X41" s="4">
        <v>1500</v>
      </c>
      <c r="Y41">
        <v>0</v>
      </c>
      <c r="Z41">
        <v>0</v>
      </c>
      <c r="AA41">
        <v>0</v>
      </c>
      <c r="AD41">
        <v>0</v>
      </c>
      <c r="AM41">
        <v>500056292</v>
      </c>
      <c r="AN41" t="s">
        <v>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6157</v>
      </c>
      <c r="BA41">
        <v>0</v>
      </c>
      <c r="BC41" t="s">
        <v>91</v>
      </c>
      <c r="BF41" t="s">
        <v>5922</v>
      </c>
    </row>
    <row r="42" spans="1:58" x14ac:dyDescent="0.35">
      <c r="A42" t="s">
        <v>6158</v>
      </c>
      <c r="B42">
        <v>10000</v>
      </c>
      <c r="C42">
        <v>10000</v>
      </c>
      <c r="D42" s="2">
        <v>45748</v>
      </c>
      <c r="E42" t="s">
        <v>61</v>
      </c>
      <c r="F42" t="s">
        <v>6159</v>
      </c>
      <c r="G42" t="s">
        <v>6065</v>
      </c>
      <c r="I42">
        <v>1</v>
      </c>
      <c r="J42" t="s">
        <v>63</v>
      </c>
      <c r="K42">
        <v>72</v>
      </c>
      <c r="L42" t="s">
        <v>528</v>
      </c>
      <c r="M42" s="4">
        <v>4500</v>
      </c>
      <c r="P42" s="2">
        <v>45745</v>
      </c>
      <c r="R42">
        <v>4</v>
      </c>
      <c r="S42" s="4">
        <v>18000</v>
      </c>
      <c r="T42" t="s">
        <v>65</v>
      </c>
      <c r="U42">
        <v>5000769160001</v>
      </c>
      <c r="V42">
        <v>0</v>
      </c>
      <c r="W42" s="4">
        <v>15000</v>
      </c>
      <c r="X42" s="4">
        <v>3000</v>
      </c>
      <c r="Y42">
        <v>0</v>
      </c>
      <c r="Z42">
        <v>0</v>
      </c>
      <c r="AA42">
        <v>0</v>
      </c>
      <c r="AD42">
        <v>0</v>
      </c>
      <c r="AM42">
        <v>500076916</v>
      </c>
      <c r="AN42" t="s">
        <v>91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6160</v>
      </c>
      <c r="BA42">
        <v>0</v>
      </c>
      <c r="BC42" t="s">
        <v>91</v>
      </c>
      <c r="BF42" t="s">
        <v>5922</v>
      </c>
    </row>
    <row r="43" spans="1:58" x14ac:dyDescent="0.35">
      <c r="A43" t="s">
        <v>5929</v>
      </c>
      <c r="B43">
        <v>10000</v>
      </c>
      <c r="C43">
        <v>20000</v>
      </c>
      <c r="D43" s="2">
        <v>45748</v>
      </c>
      <c r="E43" t="s">
        <v>61</v>
      </c>
      <c r="F43" t="s">
        <v>5846</v>
      </c>
      <c r="G43" t="s">
        <v>5717</v>
      </c>
      <c r="I43">
        <v>2</v>
      </c>
      <c r="J43" t="s">
        <v>63</v>
      </c>
      <c r="K43">
        <v>71</v>
      </c>
      <c r="L43" t="s">
        <v>135</v>
      </c>
      <c r="M43" s="4">
        <v>4167</v>
      </c>
      <c r="P43" s="2">
        <v>45745</v>
      </c>
      <c r="R43">
        <v>6</v>
      </c>
      <c r="S43" s="4">
        <v>25002</v>
      </c>
      <c r="T43" t="s">
        <v>65</v>
      </c>
      <c r="U43">
        <v>83615250001</v>
      </c>
      <c r="V43">
        <v>0</v>
      </c>
      <c r="W43" s="4">
        <v>25000</v>
      </c>
      <c r="X43">
        <v>2</v>
      </c>
      <c r="Y43">
        <v>0</v>
      </c>
      <c r="Z43">
        <v>0</v>
      </c>
      <c r="AA43">
        <v>0</v>
      </c>
      <c r="AD43">
        <v>0</v>
      </c>
      <c r="AM43">
        <v>8361525</v>
      </c>
      <c r="AN43" t="s">
        <v>91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5930</v>
      </c>
      <c r="BA43">
        <v>0</v>
      </c>
      <c r="BC43" t="s">
        <v>91</v>
      </c>
      <c r="BF43" t="s">
        <v>5931</v>
      </c>
    </row>
    <row r="44" spans="1:58" x14ac:dyDescent="0.35">
      <c r="A44" t="s">
        <v>5932</v>
      </c>
      <c r="B44">
        <v>10000</v>
      </c>
      <c r="C44">
        <v>20000</v>
      </c>
      <c r="D44" s="2">
        <v>45748</v>
      </c>
      <c r="E44" t="s">
        <v>61</v>
      </c>
      <c r="F44" t="s">
        <v>5852</v>
      </c>
      <c r="G44" t="s">
        <v>5717</v>
      </c>
      <c r="I44">
        <v>2</v>
      </c>
      <c r="J44" t="s">
        <v>63</v>
      </c>
      <c r="K44">
        <v>71</v>
      </c>
      <c r="L44" t="s">
        <v>135</v>
      </c>
      <c r="M44" s="4">
        <v>5000</v>
      </c>
      <c r="P44" s="2">
        <v>45745</v>
      </c>
      <c r="R44">
        <v>6</v>
      </c>
      <c r="S44" s="4">
        <v>30000</v>
      </c>
      <c r="T44" t="s">
        <v>65</v>
      </c>
      <c r="U44">
        <v>5000444460001</v>
      </c>
      <c r="V44">
        <v>0</v>
      </c>
      <c r="W44" s="4">
        <v>30000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500044446</v>
      </c>
      <c r="AN44" t="s">
        <v>91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5933</v>
      </c>
      <c r="BA44">
        <v>0</v>
      </c>
      <c r="BC44" t="s">
        <v>91</v>
      </c>
      <c r="BF44" t="s">
        <v>5931</v>
      </c>
    </row>
    <row r="45" spans="1:58" x14ac:dyDescent="0.35">
      <c r="A45" t="s">
        <v>6161</v>
      </c>
      <c r="B45">
        <v>10000</v>
      </c>
      <c r="C45">
        <v>10000</v>
      </c>
      <c r="D45" s="2">
        <v>45749</v>
      </c>
      <c r="E45" t="s">
        <v>61</v>
      </c>
      <c r="F45" t="s">
        <v>6146</v>
      </c>
      <c r="G45" t="s">
        <v>6065</v>
      </c>
      <c r="I45">
        <v>1</v>
      </c>
      <c r="J45" t="s">
        <v>63</v>
      </c>
      <c r="K45">
        <v>72</v>
      </c>
      <c r="L45" t="s">
        <v>528</v>
      </c>
      <c r="M45">
        <v>750</v>
      </c>
      <c r="P45" s="2">
        <v>45745</v>
      </c>
      <c r="R45">
        <v>4</v>
      </c>
      <c r="S45" s="4">
        <v>3000</v>
      </c>
      <c r="T45" t="s">
        <v>65</v>
      </c>
      <c r="U45">
        <v>5000444000001</v>
      </c>
      <c r="V45">
        <v>0</v>
      </c>
      <c r="W45" s="4">
        <v>1000</v>
      </c>
      <c r="X45" s="4">
        <v>2000</v>
      </c>
      <c r="Y45">
        <v>0</v>
      </c>
      <c r="Z45">
        <v>0</v>
      </c>
      <c r="AA45">
        <v>0</v>
      </c>
      <c r="AD45">
        <v>0</v>
      </c>
      <c r="AM45">
        <v>500044400</v>
      </c>
      <c r="AN45" t="s">
        <v>91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6162</v>
      </c>
      <c r="BA45">
        <v>0</v>
      </c>
      <c r="BC45" t="s">
        <v>91</v>
      </c>
      <c r="BF45" t="s">
        <v>6048</v>
      </c>
    </row>
    <row r="46" spans="1:58" x14ac:dyDescent="0.35">
      <c r="A46" t="s">
        <v>6163</v>
      </c>
      <c r="B46">
        <v>10000</v>
      </c>
      <c r="C46">
        <v>10000</v>
      </c>
      <c r="D46" s="2">
        <v>45749</v>
      </c>
      <c r="E46" t="s">
        <v>61</v>
      </c>
      <c r="F46" t="s">
        <v>6164</v>
      </c>
      <c r="G46" t="s">
        <v>6065</v>
      </c>
      <c r="I46">
        <v>1</v>
      </c>
      <c r="J46" t="s">
        <v>63</v>
      </c>
      <c r="K46">
        <v>72</v>
      </c>
      <c r="L46" t="s">
        <v>528</v>
      </c>
      <c r="M46" s="4">
        <v>1750</v>
      </c>
      <c r="P46" s="2">
        <v>45745</v>
      </c>
      <c r="R46">
        <v>4</v>
      </c>
      <c r="S46" s="4">
        <v>7000</v>
      </c>
      <c r="T46" t="s">
        <v>65</v>
      </c>
      <c r="U46">
        <v>5000444260001</v>
      </c>
      <c r="V46">
        <v>0</v>
      </c>
      <c r="W46" s="4">
        <v>5000</v>
      </c>
      <c r="X46" s="4">
        <v>2000</v>
      </c>
      <c r="Y46">
        <v>0</v>
      </c>
      <c r="Z46">
        <v>0</v>
      </c>
      <c r="AA46">
        <v>0</v>
      </c>
      <c r="AD46">
        <v>0</v>
      </c>
      <c r="AM46">
        <v>500044426</v>
      </c>
      <c r="AN46" t="s">
        <v>91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6165</v>
      </c>
      <c r="BA46">
        <v>0</v>
      </c>
      <c r="BC46" t="s">
        <v>91</v>
      </c>
      <c r="BF46" t="s">
        <v>6048</v>
      </c>
    </row>
    <row r="47" spans="1:58" x14ac:dyDescent="0.35">
      <c r="A47" t="s">
        <v>6166</v>
      </c>
      <c r="B47">
        <v>10000</v>
      </c>
      <c r="C47">
        <v>10000</v>
      </c>
      <c r="D47" s="2">
        <v>45748</v>
      </c>
      <c r="E47" t="s">
        <v>61</v>
      </c>
      <c r="F47" t="s">
        <v>6167</v>
      </c>
      <c r="G47" t="s">
        <v>6065</v>
      </c>
      <c r="I47">
        <v>1</v>
      </c>
      <c r="J47" t="s">
        <v>63</v>
      </c>
      <c r="K47">
        <v>72</v>
      </c>
      <c r="L47" t="s">
        <v>528</v>
      </c>
      <c r="M47" s="4">
        <v>2000</v>
      </c>
      <c r="P47" s="2">
        <v>45745</v>
      </c>
      <c r="R47">
        <v>4</v>
      </c>
      <c r="S47" s="4">
        <v>8000</v>
      </c>
      <c r="T47" t="s">
        <v>65</v>
      </c>
      <c r="U47">
        <v>5000580730001</v>
      </c>
      <c r="V47">
        <v>0</v>
      </c>
      <c r="W47" s="4">
        <v>6000</v>
      </c>
      <c r="X47" s="4">
        <v>2000</v>
      </c>
      <c r="Y47">
        <v>0</v>
      </c>
      <c r="Z47">
        <v>0</v>
      </c>
      <c r="AA47">
        <v>0</v>
      </c>
      <c r="AD47">
        <v>0</v>
      </c>
      <c r="AM47">
        <v>500058073</v>
      </c>
      <c r="AN47" t="s">
        <v>91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6168</v>
      </c>
      <c r="BA47">
        <v>0</v>
      </c>
      <c r="BC47" t="s">
        <v>91</v>
      </c>
      <c r="BF47" t="s">
        <v>6169</v>
      </c>
    </row>
    <row r="48" spans="1:58" x14ac:dyDescent="0.35">
      <c r="A48" t="s">
        <v>6170</v>
      </c>
      <c r="B48">
        <v>10000</v>
      </c>
      <c r="C48">
        <v>10000</v>
      </c>
      <c r="D48" s="2">
        <v>45748</v>
      </c>
      <c r="E48" t="s">
        <v>61</v>
      </c>
      <c r="F48" t="s">
        <v>6171</v>
      </c>
      <c r="G48" t="s">
        <v>6065</v>
      </c>
      <c r="I48">
        <v>1</v>
      </c>
      <c r="J48" t="s">
        <v>63</v>
      </c>
      <c r="K48">
        <v>72</v>
      </c>
      <c r="L48" t="s">
        <v>528</v>
      </c>
      <c r="M48" s="4">
        <v>3750</v>
      </c>
      <c r="P48" s="2">
        <v>45745</v>
      </c>
      <c r="R48">
        <v>4</v>
      </c>
      <c r="S48" s="4">
        <v>15000</v>
      </c>
      <c r="T48" t="s">
        <v>65</v>
      </c>
      <c r="U48">
        <v>5000582200001</v>
      </c>
      <c r="V48">
        <v>0</v>
      </c>
      <c r="W48" s="4">
        <v>12000</v>
      </c>
      <c r="X48" s="4">
        <v>3000</v>
      </c>
      <c r="Y48">
        <v>0</v>
      </c>
      <c r="Z48">
        <v>0</v>
      </c>
      <c r="AA48">
        <v>0</v>
      </c>
      <c r="AD48">
        <v>0</v>
      </c>
      <c r="AM48">
        <v>500058220</v>
      </c>
      <c r="AN48" t="s">
        <v>91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6172</v>
      </c>
      <c r="BA48">
        <v>0</v>
      </c>
      <c r="BC48" t="s">
        <v>91</v>
      </c>
      <c r="BF48" t="s">
        <v>6169</v>
      </c>
    </row>
    <row r="49" spans="1:58" x14ac:dyDescent="0.35">
      <c r="A49" t="s">
        <v>6173</v>
      </c>
      <c r="B49">
        <v>10000</v>
      </c>
      <c r="C49">
        <v>10000</v>
      </c>
      <c r="D49" s="2">
        <v>45748</v>
      </c>
      <c r="E49" t="s">
        <v>61</v>
      </c>
      <c r="F49" t="s">
        <v>6174</v>
      </c>
      <c r="G49" t="s">
        <v>6065</v>
      </c>
      <c r="I49">
        <v>1</v>
      </c>
      <c r="J49" t="s">
        <v>63</v>
      </c>
      <c r="K49">
        <v>72</v>
      </c>
      <c r="L49" t="s">
        <v>528</v>
      </c>
      <c r="M49" s="4">
        <v>1750</v>
      </c>
      <c r="P49" s="2">
        <v>45745</v>
      </c>
      <c r="R49">
        <v>4</v>
      </c>
      <c r="S49" s="4">
        <v>7000</v>
      </c>
      <c r="T49" t="s">
        <v>65</v>
      </c>
      <c r="U49">
        <v>5000582250001</v>
      </c>
      <c r="V49">
        <v>0</v>
      </c>
      <c r="W49" s="4">
        <v>5000</v>
      </c>
      <c r="X49" s="4">
        <v>2000</v>
      </c>
      <c r="Y49">
        <v>0</v>
      </c>
      <c r="Z49">
        <v>0</v>
      </c>
      <c r="AA49">
        <v>0</v>
      </c>
      <c r="AD49">
        <v>0</v>
      </c>
      <c r="AM49">
        <v>500058225</v>
      </c>
      <c r="AN49" t="s">
        <v>91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6175</v>
      </c>
      <c r="BA49">
        <v>0</v>
      </c>
      <c r="BC49" t="s">
        <v>91</v>
      </c>
      <c r="BF49" t="s">
        <v>6169</v>
      </c>
    </row>
    <row r="60" spans="1:58" x14ac:dyDescent="0.35">
      <c r="A60">
        <f>COUNTA(A5:A59)</f>
        <v>45</v>
      </c>
      <c r="B60">
        <f>'28-Mar'!B70+'29-Mar'!A60</f>
        <v>1942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7E3F-6D5B-4BE4-81A7-6D364CB08E88}">
  <dimension ref="A1:BF100"/>
  <sheetViews>
    <sheetView topLeftCell="A85" workbookViewId="0">
      <selection activeCell="F97" sqref="F9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5256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5257</v>
      </c>
      <c r="B5">
        <v>10000</v>
      </c>
      <c r="C5">
        <v>10000</v>
      </c>
      <c r="D5" s="2">
        <v>45743</v>
      </c>
      <c r="E5" t="s">
        <v>61</v>
      </c>
      <c r="F5" t="s">
        <v>2187</v>
      </c>
      <c r="G5" t="s">
        <v>89</v>
      </c>
      <c r="H5" t="s">
        <v>5258</v>
      </c>
      <c r="I5">
        <v>1</v>
      </c>
      <c r="J5" t="s">
        <v>69</v>
      </c>
      <c r="K5" t="s">
        <v>97</v>
      </c>
      <c r="L5" t="s">
        <v>98</v>
      </c>
      <c r="M5" s="4">
        <v>18000</v>
      </c>
      <c r="P5" s="2">
        <v>45741</v>
      </c>
      <c r="R5">
        <v>12</v>
      </c>
      <c r="S5" s="4">
        <v>216000</v>
      </c>
      <c r="T5" t="s">
        <v>65</v>
      </c>
      <c r="U5">
        <v>80256220001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>
        <v>8025622</v>
      </c>
      <c r="AN5" t="s">
        <v>91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91</v>
      </c>
      <c r="BF5" t="s">
        <v>5259</v>
      </c>
    </row>
    <row r="6" spans="1:58" x14ac:dyDescent="0.35">
      <c r="A6" t="s">
        <v>5260</v>
      </c>
      <c r="B6">
        <v>10000</v>
      </c>
      <c r="C6">
        <v>20000</v>
      </c>
      <c r="D6" s="2">
        <v>45741</v>
      </c>
      <c r="E6" t="s">
        <v>61</v>
      </c>
      <c r="F6" t="s">
        <v>5261</v>
      </c>
      <c r="G6" t="s">
        <v>5084</v>
      </c>
      <c r="H6" t="s">
        <v>5262</v>
      </c>
      <c r="I6">
        <v>1</v>
      </c>
      <c r="J6" t="s">
        <v>69</v>
      </c>
      <c r="K6">
        <v>78</v>
      </c>
      <c r="L6" t="s">
        <v>188</v>
      </c>
      <c r="M6" s="4">
        <v>5000</v>
      </c>
      <c r="P6" s="2">
        <v>45741</v>
      </c>
      <c r="R6">
        <v>3</v>
      </c>
      <c r="S6" s="4">
        <v>15000</v>
      </c>
      <c r="T6" t="s">
        <v>65</v>
      </c>
      <c r="U6" t="s">
        <v>5263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 t="s">
        <v>5264</v>
      </c>
      <c r="AN6" t="s">
        <v>5087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5087</v>
      </c>
      <c r="BF6" t="s">
        <v>5265</v>
      </c>
    </row>
    <row r="7" spans="1:58" x14ac:dyDescent="0.35">
      <c r="A7" t="s">
        <v>5266</v>
      </c>
      <c r="B7">
        <v>10000</v>
      </c>
      <c r="C7">
        <v>10000</v>
      </c>
      <c r="D7" s="2">
        <v>45742</v>
      </c>
      <c r="E7" t="s">
        <v>61</v>
      </c>
      <c r="F7" t="s">
        <v>5267</v>
      </c>
      <c r="G7" t="s">
        <v>4939</v>
      </c>
      <c r="H7" t="s">
        <v>5268</v>
      </c>
      <c r="I7">
        <v>1</v>
      </c>
      <c r="J7" t="s">
        <v>69</v>
      </c>
      <c r="K7">
        <v>32</v>
      </c>
      <c r="L7" t="s">
        <v>553</v>
      </c>
      <c r="M7" s="4">
        <v>5860</v>
      </c>
      <c r="P7" s="2">
        <v>45741</v>
      </c>
      <c r="R7">
        <v>1</v>
      </c>
      <c r="S7" s="4">
        <v>5860</v>
      </c>
      <c r="T7" t="s">
        <v>65</v>
      </c>
      <c r="U7" t="s">
        <v>2059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 t="s">
        <v>2060</v>
      </c>
      <c r="AN7" t="s">
        <v>116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116</v>
      </c>
      <c r="BF7" t="s">
        <v>4941</v>
      </c>
    </row>
    <row r="8" spans="1:58" x14ac:dyDescent="0.35">
      <c r="A8" t="s">
        <v>5269</v>
      </c>
      <c r="B8">
        <v>10000</v>
      </c>
      <c r="C8">
        <v>10000</v>
      </c>
      <c r="D8" s="2">
        <v>45742</v>
      </c>
      <c r="E8" t="s">
        <v>61</v>
      </c>
      <c r="F8" t="s">
        <v>5270</v>
      </c>
      <c r="G8" t="s">
        <v>3487</v>
      </c>
      <c r="H8" t="s">
        <v>5271</v>
      </c>
      <c r="I8">
        <v>1</v>
      </c>
      <c r="J8" t="s">
        <v>69</v>
      </c>
      <c r="K8">
        <v>31</v>
      </c>
      <c r="L8" t="s">
        <v>361</v>
      </c>
      <c r="M8">
        <v>500</v>
      </c>
      <c r="P8" s="2">
        <v>45741</v>
      </c>
      <c r="R8">
        <v>1</v>
      </c>
      <c r="S8">
        <v>500</v>
      </c>
      <c r="T8" t="s">
        <v>65</v>
      </c>
      <c r="U8" t="s">
        <v>1312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1313</v>
      </c>
      <c r="AN8" t="s">
        <v>1314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1314</v>
      </c>
      <c r="BF8" t="s">
        <v>5181</v>
      </c>
    </row>
    <row r="9" spans="1:58" x14ac:dyDescent="0.35">
      <c r="A9" t="s">
        <v>5272</v>
      </c>
      <c r="B9">
        <v>10000</v>
      </c>
      <c r="C9">
        <v>10000</v>
      </c>
      <c r="D9" s="2">
        <v>45742</v>
      </c>
      <c r="E9" t="s">
        <v>61</v>
      </c>
      <c r="F9" t="s">
        <v>5270</v>
      </c>
      <c r="G9" t="s">
        <v>3487</v>
      </c>
      <c r="H9" t="s">
        <v>5271</v>
      </c>
      <c r="I9">
        <v>1</v>
      </c>
      <c r="J9" t="s">
        <v>69</v>
      </c>
      <c r="K9">
        <v>31</v>
      </c>
      <c r="L9" t="s">
        <v>361</v>
      </c>
      <c r="M9" s="4">
        <v>1000</v>
      </c>
      <c r="P9" s="2">
        <v>45741</v>
      </c>
      <c r="R9">
        <v>1</v>
      </c>
      <c r="S9" s="4">
        <v>1000</v>
      </c>
      <c r="T9" t="s">
        <v>65</v>
      </c>
      <c r="U9" t="s">
        <v>1312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1313</v>
      </c>
      <c r="AN9" t="s">
        <v>1314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1314</v>
      </c>
      <c r="BF9" t="s">
        <v>5238</v>
      </c>
    </row>
    <row r="10" spans="1:58" x14ac:dyDescent="0.35">
      <c r="A10" t="s">
        <v>5273</v>
      </c>
      <c r="B10">
        <v>10000</v>
      </c>
      <c r="C10">
        <v>10000</v>
      </c>
      <c r="D10" s="2">
        <v>45751</v>
      </c>
      <c r="E10" t="s">
        <v>61</v>
      </c>
      <c r="F10" t="s">
        <v>5274</v>
      </c>
      <c r="G10" t="s">
        <v>5275</v>
      </c>
      <c r="H10" t="s">
        <v>5276</v>
      </c>
      <c r="I10">
        <v>1</v>
      </c>
      <c r="J10" t="s">
        <v>69</v>
      </c>
      <c r="K10">
        <v>79</v>
      </c>
      <c r="L10" t="s">
        <v>573</v>
      </c>
      <c r="M10">
        <v>217</v>
      </c>
      <c r="P10" s="2">
        <v>45741</v>
      </c>
      <c r="R10">
        <v>60</v>
      </c>
      <c r="S10" s="4">
        <v>13020</v>
      </c>
      <c r="T10" t="s">
        <v>65</v>
      </c>
      <c r="U10" t="s">
        <v>5277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 t="s">
        <v>5278</v>
      </c>
      <c r="AN10" t="s">
        <v>2173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2173</v>
      </c>
      <c r="BF10" t="s">
        <v>5279</v>
      </c>
    </row>
    <row r="11" spans="1:58" x14ac:dyDescent="0.35">
      <c r="A11" t="s">
        <v>5280</v>
      </c>
      <c r="B11">
        <v>10000</v>
      </c>
      <c r="C11">
        <v>10000</v>
      </c>
      <c r="D11" s="2">
        <v>45741</v>
      </c>
      <c r="E11" t="s">
        <v>61</v>
      </c>
      <c r="F11" s="3">
        <v>0.47651620370370368</v>
      </c>
      <c r="G11" t="s">
        <v>5084</v>
      </c>
      <c r="I11">
        <v>1</v>
      </c>
      <c r="J11" t="s">
        <v>63</v>
      </c>
      <c r="K11">
        <v>78</v>
      </c>
      <c r="L11" t="s">
        <v>188</v>
      </c>
      <c r="M11" s="4">
        <v>3667</v>
      </c>
      <c r="P11" s="2">
        <v>45741</v>
      </c>
      <c r="R11">
        <v>3</v>
      </c>
      <c r="S11" s="4">
        <v>11001</v>
      </c>
      <c r="T11" t="s">
        <v>65</v>
      </c>
      <c r="U11" t="s">
        <v>5281</v>
      </c>
      <c r="V11">
        <v>0</v>
      </c>
      <c r="W11" s="4">
        <v>11000</v>
      </c>
      <c r="X11">
        <v>1</v>
      </c>
      <c r="Y11">
        <v>0</v>
      </c>
      <c r="Z11">
        <v>0</v>
      </c>
      <c r="AA11">
        <v>0</v>
      </c>
      <c r="AD11">
        <v>0</v>
      </c>
      <c r="AM11" t="s">
        <v>5282</v>
      </c>
      <c r="AN11" t="s">
        <v>5087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AZ11" t="s">
        <v>5283</v>
      </c>
      <c r="BA11">
        <v>0</v>
      </c>
      <c r="BC11" t="s">
        <v>5087</v>
      </c>
      <c r="BF11" t="s">
        <v>5284</v>
      </c>
    </row>
    <row r="12" spans="1:58" x14ac:dyDescent="0.35">
      <c r="A12" t="s">
        <v>5285</v>
      </c>
      <c r="B12">
        <v>10000</v>
      </c>
      <c r="C12">
        <v>20000</v>
      </c>
      <c r="D12" s="2">
        <v>45741</v>
      </c>
      <c r="E12" t="s">
        <v>61</v>
      </c>
      <c r="F12" s="3">
        <v>0.44246527777777778</v>
      </c>
      <c r="G12" t="s">
        <v>387</v>
      </c>
      <c r="I12">
        <v>1</v>
      </c>
      <c r="J12" t="s">
        <v>63</v>
      </c>
      <c r="K12">
        <v>59</v>
      </c>
      <c r="L12" t="s">
        <v>745</v>
      </c>
      <c r="M12" s="4">
        <v>2500</v>
      </c>
      <c r="P12" s="2">
        <v>45741</v>
      </c>
      <c r="R12">
        <v>2</v>
      </c>
      <c r="S12" s="4">
        <v>5000</v>
      </c>
      <c r="T12" t="s">
        <v>65</v>
      </c>
      <c r="U12" t="s">
        <v>5286</v>
      </c>
      <c r="V12">
        <v>0</v>
      </c>
      <c r="W12" s="4">
        <v>5000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5287</v>
      </c>
      <c r="AN12" t="s">
        <v>206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AZ12" t="s">
        <v>5288</v>
      </c>
      <c r="BA12">
        <v>0</v>
      </c>
      <c r="BC12" t="s">
        <v>206</v>
      </c>
      <c r="BF12" t="s">
        <v>5289</v>
      </c>
    </row>
    <row r="13" spans="1:58" x14ac:dyDescent="0.35">
      <c r="A13" t="s">
        <v>5290</v>
      </c>
      <c r="B13">
        <v>10000</v>
      </c>
      <c r="C13">
        <v>10000</v>
      </c>
      <c r="D13" s="2">
        <v>45742</v>
      </c>
      <c r="E13" t="s">
        <v>61</v>
      </c>
      <c r="F13" t="s">
        <v>4464</v>
      </c>
      <c r="G13" t="s">
        <v>1852</v>
      </c>
      <c r="I13">
        <v>1</v>
      </c>
      <c r="J13" t="s">
        <v>63</v>
      </c>
      <c r="K13">
        <v>86</v>
      </c>
      <c r="L13" t="s">
        <v>64</v>
      </c>
      <c r="M13" s="4">
        <v>10500</v>
      </c>
      <c r="P13" s="2">
        <v>45741</v>
      </c>
      <c r="R13">
        <v>4</v>
      </c>
      <c r="S13" s="4">
        <v>42000</v>
      </c>
      <c r="T13" t="s">
        <v>65</v>
      </c>
      <c r="U13" t="s">
        <v>5291</v>
      </c>
      <c r="V13">
        <v>0</v>
      </c>
      <c r="W13" s="4">
        <v>42000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5292</v>
      </c>
      <c r="AN13" t="s">
        <v>271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AZ13" t="s">
        <v>5293</v>
      </c>
      <c r="BA13">
        <v>0</v>
      </c>
      <c r="BC13" t="s">
        <v>271</v>
      </c>
      <c r="BF13" t="s">
        <v>5294</v>
      </c>
    </row>
    <row r="14" spans="1:58" x14ac:dyDescent="0.35">
      <c r="A14" t="s">
        <v>5295</v>
      </c>
      <c r="B14">
        <v>10000</v>
      </c>
      <c r="C14">
        <v>10000</v>
      </c>
      <c r="D14" s="2">
        <v>45743</v>
      </c>
      <c r="E14" t="s">
        <v>61</v>
      </c>
      <c r="F14" s="3">
        <v>0.46777777777777779</v>
      </c>
      <c r="G14" t="s">
        <v>5296</v>
      </c>
      <c r="I14">
        <v>1</v>
      </c>
      <c r="J14" t="s">
        <v>63</v>
      </c>
      <c r="K14">
        <v>78</v>
      </c>
      <c r="L14" t="s">
        <v>188</v>
      </c>
      <c r="M14" s="4">
        <v>4000</v>
      </c>
      <c r="P14" s="2">
        <v>45741</v>
      </c>
      <c r="R14">
        <v>8</v>
      </c>
      <c r="S14" s="4">
        <v>32000</v>
      </c>
      <c r="T14" t="s">
        <v>65</v>
      </c>
      <c r="U14" t="s">
        <v>5297</v>
      </c>
      <c r="V14">
        <v>0</v>
      </c>
      <c r="W14" s="4">
        <v>5000</v>
      </c>
      <c r="X14" s="4">
        <v>27000</v>
      </c>
      <c r="Y14">
        <v>0</v>
      </c>
      <c r="Z14">
        <v>0</v>
      </c>
      <c r="AA14">
        <v>0</v>
      </c>
      <c r="AD14">
        <v>0</v>
      </c>
      <c r="AM14" t="s">
        <v>5298</v>
      </c>
      <c r="AN14" t="s">
        <v>206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AZ14" t="s">
        <v>5299</v>
      </c>
      <c r="BA14">
        <v>0</v>
      </c>
      <c r="BC14" t="s">
        <v>206</v>
      </c>
      <c r="BF14" t="s">
        <v>5300</v>
      </c>
    </row>
    <row r="15" spans="1:58" x14ac:dyDescent="0.35">
      <c r="A15" t="s">
        <v>5301</v>
      </c>
      <c r="B15">
        <v>10000</v>
      </c>
      <c r="C15">
        <v>10000</v>
      </c>
      <c r="D15" s="2">
        <v>45741</v>
      </c>
      <c r="E15" t="s">
        <v>61</v>
      </c>
      <c r="F15" t="s">
        <v>5302</v>
      </c>
      <c r="G15" t="s">
        <v>4340</v>
      </c>
      <c r="I15">
        <v>1</v>
      </c>
      <c r="J15" t="s">
        <v>63</v>
      </c>
      <c r="K15">
        <v>72</v>
      </c>
      <c r="L15" t="s">
        <v>163</v>
      </c>
      <c r="M15" s="4">
        <v>9400</v>
      </c>
      <c r="P15" s="2">
        <v>45741</v>
      </c>
      <c r="R15">
        <v>5</v>
      </c>
      <c r="S15" s="4">
        <v>47000</v>
      </c>
      <c r="T15" t="s">
        <v>65</v>
      </c>
      <c r="U15">
        <v>83624430001</v>
      </c>
      <c r="V15">
        <v>0</v>
      </c>
      <c r="W15" s="4">
        <v>40000</v>
      </c>
      <c r="X15" s="4">
        <v>7000</v>
      </c>
      <c r="Y15">
        <v>0</v>
      </c>
      <c r="Z15">
        <v>0</v>
      </c>
      <c r="AA15">
        <v>0</v>
      </c>
      <c r="AD15">
        <v>0</v>
      </c>
      <c r="AM15">
        <v>8362443</v>
      </c>
      <c r="AN15" t="s">
        <v>91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AZ15" t="s">
        <v>5303</v>
      </c>
      <c r="BA15">
        <v>0</v>
      </c>
      <c r="BC15" t="s">
        <v>91</v>
      </c>
      <c r="BF15" t="s">
        <v>893</v>
      </c>
    </row>
    <row r="16" spans="1:58" x14ac:dyDescent="0.35">
      <c r="A16" t="s">
        <v>5301</v>
      </c>
      <c r="B16">
        <v>10000</v>
      </c>
      <c r="C16">
        <v>20000</v>
      </c>
      <c r="D16" s="2">
        <v>45741</v>
      </c>
      <c r="E16" t="s">
        <v>61</v>
      </c>
      <c r="F16" t="s">
        <v>5304</v>
      </c>
      <c r="G16" t="s">
        <v>4340</v>
      </c>
      <c r="I16">
        <v>2</v>
      </c>
      <c r="J16" t="s">
        <v>63</v>
      </c>
      <c r="K16">
        <v>71</v>
      </c>
      <c r="L16" t="s">
        <v>135</v>
      </c>
      <c r="M16" s="4">
        <v>4445</v>
      </c>
      <c r="P16" s="2">
        <v>45741</v>
      </c>
      <c r="R16">
        <v>9</v>
      </c>
      <c r="S16" s="4">
        <v>40005</v>
      </c>
      <c r="T16" t="s">
        <v>65</v>
      </c>
      <c r="U16">
        <v>83624430001</v>
      </c>
      <c r="V16">
        <v>0</v>
      </c>
      <c r="W16" s="4">
        <v>40000</v>
      </c>
      <c r="X16">
        <v>5</v>
      </c>
      <c r="Y16">
        <v>0</v>
      </c>
      <c r="Z16">
        <v>0</v>
      </c>
      <c r="AA16">
        <v>0</v>
      </c>
      <c r="AD16">
        <v>0</v>
      </c>
      <c r="AM16">
        <v>8362443</v>
      </c>
      <c r="AN16" t="s">
        <v>91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AZ16" t="s">
        <v>5303</v>
      </c>
      <c r="BA16">
        <v>0</v>
      </c>
      <c r="BC16" t="s">
        <v>91</v>
      </c>
      <c r="BF16" t="s">
        <v>893</v>
      </c>
    </row>
    <row r="17" spans="1:58" x14ac:dyDescent="0.35">
      <c r="A17" t="s">
        <v>4968</v>
      </c>
      <c r="B17">
        <v>10000</v>
      </c>
      <c r="C17">
        <v>20000</v>
      </c>
      <c r="D17" s="2">
        <v>45741</v>
      </c>
      <c r="E17" t="s">
        <v>61</v>
      </c>
      <c r="F17" t="s">
        <v>4969</v>
      </c>
      <c r="G17" t="s">
        <v>4340</v>
      </c>
      <c r="I17">
        <v>2</v>
      </c>
      <c r="J17" t="s">
        <v>63</v>
      </c>
      <c r="K17">
        <v>71</v>
      </c>
      <c r="L17" t="s">
        <v>135</v>
      </c>
      <c r="M17" s="4">
        <v>1112</v>
      </c>
      <c r="P17" s="2">
        <v>45741</v>
      </c>
      <c r="R17">
        <v>9</v>
      </c>
      <c r="S17" s="4">
        <v>10008</v>
      </c>
      <c r="T17" t="s">
        <v>65</v>
      </c>
      <c r="U17">
        <v>83634500001</v>
      </c>
      <c r="V17">
        <v>0</v>
      </c>
      <c r="W17" s="4">
        <v>10000</v>
      </c>
      <c r="X17">
        <v>8</v>
      </c>
      <c r="Y17">
        <v>0</v>
      </c>
      <c r="Z17">
        <v>0</v>
      </c>
      <c r="AA17">
        <v>0</v>
      </c>
      <c r="AD17">
        <v>0</v>
      </c>
      <c r="AM17">
        <v>8363450</v>
      </c>
      <c r="AN17" t="s">
        <v>91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AZ17" t="s">
        <v>4970</v>
      </c>
      <c r="BA17">
        <v>0</v>
      </c>
      <c r="BC17" t="s">
        <v>91</v>
      </c>
      <c r="BF17" t="s">
        <v>893</v>
      </c>
    </row>
    <row r="18" spans="1:58" x14ac:dyDescent="0.35">
      <c r="A18" t="s">
        <v>4971</v>
      </c>
      <c r="B18">
        <v>10000</v>
      </c>
      <c r="C18">
        <v>20000</v>
      </c>
      <c r="D18" s="2">
        <v>45741</v>
      </c>
      <c r="E18" t="s">
        <v>61</v>
      </c>
      <c r="F18" t="s">
        <v>4972</v>
      </c>
      <c r="G18" t="s">
        <v>4340</v>
      </c>
      <c r="I18">
        <v>2</v>
      </c>
      <c r="J18" t="s">
        <v>63</v>
      </c>
      <c r="K18">
        <v>71</v>
      </c>
      <c r="L18" t="s">
        <v>135</v>
      </c>
      <c r="M18" s="4">
        <v>1112</v>
      </c>
      <c r="P18" s="2">
        <v>45741</v>
      </c>
      <c r="R18">
        <v>9</v>
      </c>
      <c r="S18" s="4">
        <v>10008</v>
      </c>
      <c r="T18" t="s">
        <v>65</v>
      </c>
      <c r="U18">
        <v>83635750001</v>
      </c>
      <c r="V18">
        <v>0</v>
      </c>
      <c r="W18" s="4">
        <v>10000</v>
      </c>
      <c r="X18">
        <v>8</v>
      </c>
      <c r="Y18">
        <v>0</v>
      </c>
      <c r="Z18">
        <v>0</v>
      </c>
      <c r="AA18">
        <v>0</v>
      </c>
      <c r="AD18">
        <v>0</v>
      </c>
      <c r="AM18">
        <v>8363575</v>
      </c>
      <c r="AN18" t="s">
        <v>91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4973</v>
      </c>
      <c r="BA18">
        <v>0</v>
      </c>
      <c r="BC18" t="s">
        <v>91</v>
      </c>
      <c r="BF18" t="s">
        <v>893</v>
      </c>
    </row>
    <row r="19" spans="1:58" x14ac:dyDescent="0.35">
      <c r="A19" t="s">
        <v>4974</v>
      </c>
      <c r="B19">
        <v>10000</v>
      </c>
      <c r="C19">
        <v>20000</v>
      </c>
      <c r="D19" s="2">
        <v>45741</v>
      </c>
      <c r="E19" t="s">
        <v>61</v>
      </c>
      <c r="F19" t="s">
        <v>4975</v>
      </c>
      <c r="G19" t="s">
        <v>4340</v>
      </c>
      <c r="I19">
        <v>2</v>
      </c>
      <c r="J19" t="s">
        <v>63</v>
      </c>
      <c r="K19">
        <v>71</v>
      </c>
      <c r="L19" t="s">
        <v>135</v>
      </c>
      <c r="M19" s="4">
        <v>1112</v>
      </c>
      <c r="P19" s="2">
        <v>45741</v>
      </c>
      <c r="R19">
        <v>9</v>
      </c>
      <c r="S19" s="4">
        <v>10008</v>
      </c>
      <c r="T19" t="s">
        <v>65</v>
      </c>
      <c r="U19">
        <v>83635760001</v>
      </c>
      <c r="V19">
        <v>0</v>
      </c>
      <c r="W19" s="4">
        <v>10000</v>
      </c>
      <c r="X19">
        <v>8</v>
      </c>
      <c r="Y19">
        <v>0</v>
      </c>
      <c r="Z19">
        <v>0</v>
      </c>
      <c r="AA19">
        <v>0</v>
      </c>
      <c r="AD19">
        <v>0</v>
      </c>
      <c r="AM19">
        <v>8363576</v>
      </c>
      <c r="AN19" t="s">
        <v>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4976</v>
      </c>
      <c r="BA19">
        <v>0</v>
      </c>
      <c r="BC19" t="s">
        <v>91</v>
      </c>
      <c r="BF19" t="s">
        <v>893</v>
      </c>
    </row>
    <row r="20" spans="1:58" x14ac:dyDescent="0.35">
      <c r="A20" t="s">
        <v>5305</v>
      </c>
      <c r="B20">
        <v>10000</v>
      </c>
      <c r="C20">
        <v>10000</v>
      </c>
      <c r="D20" s="2">
        <v>45742</v>
      </c>
      <c r="E20" t="s">
        <v>95</v>
      </c>
      <c r="F20" t="s">
        <v>5306</v>
      </c>
      <c r="G20" t="s">
        <v>387</v>
      </c>
      <c r="I20">
        <v>1</v>
      </c>
      <c r="J20" t="s">
        <v>63</v>
      </c>
      <c r="K20">
        <v>61</v>
      </c>
      <c r="L20" t="s">
        <v>216</v>
      </c>
      <c r="M20" s="4">
        <v>5000</v>
      </c>
      <c r="P20" s="2">
        <v>45741</v>
      </c>
      <c r="R20">
        <v>1</v>
      </c>
      <c r="S20" s="4">
        <v>5000</v>
      </c>
      <c r="T20" t="s">
        <v>65</v>
      </c>
      <c r="U20" t="s">
        <v>5307</v>
      </c>
      <c r="V20">
        <v>0</v>
      </c>
      <c r="W20" s="4">
        <v>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5308</v>
      </c>
      <c r="AN20" t="s">
        <v>206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5309</v>
      </c>
      <c r="BA20">
        <v>0</v>
      </c>
      <c r="BC20" t="s">
        <v>206</v>
      </c>
      <c r="BF20" t="s">
        <v>5310</v>
      </c>
    </row>
    <row r="21" spans="1:58" x14ac:dyDescent="0.35">
      <c r="A21" t="s">
        <v>5311</v>
      </c>
      <c r="B21">
        <v>10000</v>
      </c>
      <c r="C21">
        <v>20000</v>
      </c>
      <c r="D21" s="2">
        <v>45742</v>
      </c>
      <c r="E21" t="s">
        <v>61</v>
      </c>
      <c r="F21" s="3">
        <v>0.54011574074074076</v>
      </c>
      <c r="G21" t="s">
        <v>5112</v>
      </c>
      <c r="I21">
        <v>1</v>
      </c>
      <c r="J21" t="s">
        <v>63</v>
      </c>
      <c r="K21">
        <v>94</v>
      </c>
      <c r="L21" t="s">
        <v>181</v>
      </c>
      <c r="M21" s="4">
        <v>9000</v>
      </c>
      <c r="P21" s="2">
        <v>45741</v>
      </c>
      <c r="R21">
        <v>4</v>
      </c>
      <c r="S21" s="4">
        <v>36000</v>
      </c>
      <c r="T21" t="s">
        <v>65</v>
      </c>
      <c r="U21" t="s">
        <v>2537</v>
      </c>
      <c r="V21">
        <v>0</v>
      </c>
      <c r="W21" s="4">
        <v>36000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2538</v>
      </c>
      <c r="AN21" t="s">
        <v>364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5312</v>
      </c>
      <c r="BA21">
        <v>0</v>
      </c>
      <c r="BC21" t="s">
        <v>364</v>
      </c>
      <c r="BF21" t="s">
        <v>5313</v>
      </c>
    </row>
    <row r="22" spans="1:58" x14ac:dyDescent="0.35">
      <c r="A22" t="s">
        <v>5314</v>
      </c>
      <c r="B22">
        <v>10000</v>
      </c>
      <c r="C22">
        <v>10000</v>
      </c>
      <c r="D22" s="2">
        <v>45743</v>
      </c>
      <c r="E22" t="s">
        <v>61</v>
      </c>
      <c r="F22" t="s">
        <v>5315</v>
      </c>
      <c r="G22" t="s">
        <v>5316</v>
      </c>
      <c r="I22">
        <v>1</v>
      </c>
      <c r="J22" t="s">
        <v>63</v>
      </c>
      <c r="K22">
        <v>29</v>
      </c>
      <c r="L22" t="s">
        <v>249</v>
      </c>
      <c r="M22" s="4">
        <v>24000</v>
      </c>
      <c r="P22" s="2">
        <v>45741</v>
      </c>
      <c r="R22">
        <v>2</v>
      </c>
      <c r="S22" s="4">
        <v>48000</v>
      </c>
      <c r="T22" t="s">
        <v>65</v>
      </c>
      <c r="U22" t="s">
        <v>250</v>
      </c>
      <c r="V22">
        <v>0</v>
      </c>
      <c r="W22" s="4">
        <v>48000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251</v>
      </c>
      <c r="AN22" t="s">
        <v>175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5317</v>
      </c>
      <c r="BA22">
        <v>0</v>
      </c>
      <c r="BC22" t="s">
        <v>175</v>
      </c>
      <c r="BF22" t="s">
        <v>5318</v>
      </c>
    </row>
    <row r="23" spans="1:58" x14ac:dyDescent="0.35">
      <c r="A23" t="s">
        <v>5319</v>
      </c>
      <c r="B23">
        <v>10000</v>
      </c>
      <c r="C23">
        <v>20000</v>
      </c>
      <c r="D23" s="2">
        <v>45742</v>
      </c>
      <c r="E23" t="s">
        <v>61</v>
      </c>
      <c r="F23" t="s">
        <v>5130</v>
      </c>
      <c r="G23" t="s">
        <v>3767</v>
      </c>
      <c r="I23">
        <v>1</v>
      </c>
      <c r="J23" t="s">
        <v>63</v>
      </c>
      <c r="K23">
        <v>46</v>
      </c>
      <c r="L23" t="s">
        <v>113</v>
      </c>
      <c r="M23" s="4">
        <v>3000</v>
      </c>
      <c r="P23" s="2">
        <v>45741</v>
      </c>
      <c r="R23">
        <v>1</v>
      </c>
      <c r="S23" s="4">
        <v>3000</v>
      </c>
      <c r="T23" t="s">
        <v>65</v>
      </c>
      <c r="U23" t="s">
        <v>5320</v>
      </c>
      <c r="V23">
        <v>0</v>
      </c>
      <c r="W23" s="4">
        <v>3000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5321</v>
      </c>
      <c r="AN23" t="s">
        <v>116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5322</v>
      </c>
      <c r="BA23">
        <v>0</v>
      </c>
      <c r="BC23" t="s">
        <v>116</v>
      </c>
      <c r="BF23" t="s">
        <v>4586</v>
      </c>
    </row>
    <row r="24" spans="1:58" x14ac:dyDescent="0.35">
      <c r="A24" t="s">
        <v>5323</v>
      </c>
      <c r="B24">
        <v>10000</v>
      </c>
      <c r="C24">
        <v>10000</v>
      </c>
      <c r="D24" s="2">
        <v>45741</v>
      </c>
      <c r="E24" t="s">
        <v>61</v>
      </c>
      <c r="F24" t="s">
        <v>5004</v>
      </c>
      <c r="G24" t="s">
        <v>3767</v>
      </c>
      <c r="I24">
        <v>1</v>
      </c>
      <c r="J24" t="s">
        <v>63</v>
      </c>
      <c r="K24">
        <v>46</v>
      </c>
      <c r="L24" t="s">
        <v>113</v>
      </c>
      <c r="M24" s="4">
        <v>1000</v>
      </c>
      <c r="P24" s="2">
        <v>45741</v>
      </c>
      <c r="R24">
        <v>1</v>
      </c>
      <c r="S24" s="4">
        <v>1000</v>
      </c>
      <c r="T24" t="s">
        <v>65</v>
      </c>
      <c r="U24" t="s">
        <v>5324</v>
      </c>
      <c r="V24">
        <v>0</v>
      </c>
      <c r="W24" s="4">
        <v>1000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5325</v>
      </c>
      <c r="AN24" t="s">
        <v>116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5326</v>
      </c>
      <c r="BA24">
        <v>0</v>
      </c>
      <c r="BC24" t="s">
        <v>116</v>
      </c>
      <c r="BF24" t="s">
        <v>3506</v>
      </c>
    </row>
    <row r="25" spans="1:58" x14ac:dyDescent="0.35">
      <c r="A25" t="s">
        <v>5327</v>
      </c>
      <c r="B25">
        <v>10000</v>
      </c>
      <c r="C25">
        <v>10000</v>
      </c>
      <c r="D25" s="2">
        <v>45744</v>
      </c>
      <c r="E25" t="s">
        <v>95</v>
      </c>
      <c r="F25" t="s">
        <v>5328</v>
      </c>
      <c r="G25" t="s">
        <v>5329</v>
      </c>
      <c r="I25">
        <v>1</v>
      </c>
      <c r="J25" t="s">
        <v>63</v>
      </c>
      <c r="K25">
        <v>12</v>
      </c>
      <c r="L25" t="s">
        <v>478</v>
      </c>
      <c r="M25" s="4">
        <v>45000</v>
      </c>
      <c r="P25" s="2">
        <v>45741</v>
      </c>
      <c r="R25">
        <v>1</v>
      </c>
      <c r="S25" s="4">
        <v>45000</v>
      </c>
      <c r="T25" t="s">
        <v>65</v>
      </c>
      <c r="U25" t="s">
        <v>2608</v>
      </c>
      <c r="V25">
        <v>0</v>
      </c>
      <c r="W25" s="4">
        <v>45000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2609</v>
      </c>
      <c r="AN25" t="s">
        <v>116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5330</v>
      </c>
      <c r="BA25">
        <v>0</v>
      </c>
      <c r="BC25" t="s">
        <v>116</v>
      </c>
      <c r="BF25" t="s">
        <v>3816</v>
      </c>
    </row>
    <row r="26" spans="1:58" x14ac:dyDescent="0.35">
      <c r="A26" t="s">
        <v>5331</v>
      </c>
      <c r="B26">
        <v>10000</v>
      </c>
      <c r="C26">
        <v>10000</v>
      </c>
      <c r="D26" s="2">
        <v>45742</v>
      </c>
      <c r="E26" t="s">
        <v>61</v>
      </c>
      <c r="F26" s="3">
        <v>0.46068287037037037</v>
      </c>
      <c r="G26" t="s">
        <v>5332</v>
      </c>
      <c r="I26">
        <v>1</v>
      </c>
      <c r="J26" t="s">
        <v>63</v>
      </c>
      <c r="K26">
        <v>22</v>
      </c>
      <c r="L26" t="s">
        <v>466</v>
      </c>
      <c r="M26" s="4">
        <v>15000</v>
      </c>
      <c r="P26" s="2">
        <v>45741</v>
      </c>
      <c r="R26">
        <v>1</v>
      </c>
      <c r="S26" s="4">
        <v>15000</v>
      </c>
      <c r="T26" t="s">
        <v>65</v>
      </c>
      <c r="U26" t="s">
        <v>841</v>
      </c>
      <c r="V26">
        <v>0</v>
      </c>
      <c r="W26" s="4">
        <v>15000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842</v>
      </c>
      <c r="AN26" t="s">
        <v>116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5333</v>
      </c>
      <c r="BA26">
        <v>0</v>
      </c>
      <c r="BC26" t="s">
        <v>116</v>
      </c>
      <c r="BF26" t="s">
        <v>3816</v>
      </c>
    </row>
    <row r="27" spans="1:58" x14ac:dyDescent="0.35">
      <c r="A27" t="s">
        <v>5334</v>
      </c>
      <c r="B27">
        <v>10000</v>
      </c>
      <c r="C27">
        <v>10000</v>
      </c>
      <c r="D27" s="2">
        <v>45742</v>
      </c>
      <c r="E27" t="s">
        <v>95</v>
      </c>
      <c r="F27" t="s">
        <v>5306</v>
      </c>
      <c r="G27" t="s">
        <v>5140</v>
      </c>
      <c r="I27">
        <v>1</v>
      </c>
      <c r="J27" t="s">
        <v>63</v>
      </c>
      <c r="K27">
        <v>61</v>
      </c>
      <c r="L27" t="s">
        <v>197</v>
      </c>
      <c r="M27" s="4">
        <v>2000</v>
      </c>
      <c r="P27" s="2">
        <v>45741</v>
      </c>
      <c r="R27">
        <v>4</v>
      </c>
      <c r="S27" s="4">
        <v>8000</v>
      </c>
      <c r="T27" t="s">
        <v>65</v>
      </c>
      <c r="U27" t="s">
        <v>1711</v>
      </c>
      <c r="V27">
        <v>0</v>
      </c>
      <c r="W27" s="4">
        <v>8000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1712</v>
      </c>
      <c r="AN27" t="s">
        <v>116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5335</v>
      </c>
      <c r="BA27">
        <v>0</v>
      </c>
      <c r="BC27" t="s">
        <v>116</v>
      </c>
      <c r="BF27" t="s">
        <v>3323</v>
      </c>
    </row>
    <row r="28" spans="1:58" x14ac:dyDescent="0.35">
      <c r="A28" t="s">
        <v>5336</v>
      </c>
      <c r="B28">
        <v>10000</v>
      </c>
      <c r="C28">
        <v>10000</v>
      </c>
      <c r="D28" s="2">
        <v>45744</v>
      </c>
      <c r="E28" t="s">
        <v>95</v>
      </c>
      <c r="F28" t="s">
        <v>2194</v>
      </c>
      <c r="G28" t="s">
        <v>5337</v>
      </c>
      <c r="I28">
        <v>1</v>
      </c>
      <c r="J28" t="s">
        <v>63</v>
      </c>
      <c r="K28">
        <v>61</v>
      </c>
      <c r="L28" t="s">
        <v>216</v>
      </c>
      <c r="M28" s="4">
        <v>15000</v>
      </c>
      <c r="P28" s="2">
        <v>45741</v>
      </c>
      <c r="R28">
        <v>1</v>
      </c>
      <c r="S28" s="4">
        <v>15000</v>
      </c>
      <c r="T28" t="s">
        <v>65</v>
      </c>
      <c r="U28" t="s">
        <v>5338</v>
      </c>
      <c r="V28">
        <v>0</v>
      </c>
      <c r="W28" s="4">
        <v>10000</v>
      </c>
      <c r="X28" s="4">
        <v>5000</v>
      </c>
      <c r="Y28">
        <v>0</v>
      </c>
      <c r="Z28">
        <v>0</v>
      </c>
      <c r="AA28">
        <v>0</v>
      </c>
      <c r="AD28">
        <v>0</v>
      </c>
      <c r="AM28" t="s">
        <v>5339</v>
      </c>
      <c r="AN28" t="s">
        <v>4812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5340</v>
      </c>
      <c r="BA28">
        <v>0</v>
      </c>
      <c r="BC28" t="s">
        <v>4812</v>
      </c>
      <c r="BF28" t="s">
        <v>5341</v>
      </c>
    </row>
    <row r="29" spans="1:58" x14ac:dyDescent="0.35">
      <c r="A29" t="s">
        <v>5342</v>
      </c>
      <c r="B29">
        <v>10000</v>
      </c>
      <c r="C29">
        <v>10000</v>
      </c>
      <c r="D29" s="2">
        <v>45741</v>
      </c>
      <c r="E29" t="s">
        <v>61</v>
      </c>
      <c r="F29" t="s">
        <v>5343</v>
      </c>
      <c r="G29" t="s">
        <v>418</v>
      </c>
      <c r="I29">
        <v>1</v>
      </c>
      <c r="J29" t="s">
        <v>63</v>
      </c>
      <c r="K29">
        <v>59</v>
      </c>
      <c r="L29" t="s">
        <v>745</v>
      </c>
      <c r="M29">
        <v>860</v>
      </c>
      <c r="P29" s="2">
        <v>45741</v>
      </c>
      <c r="R29">
        <v>1</v>
      </c>
      <c r="S29">
        <v>860</v>
      </c>
      <c r="T29" t="s">
        <v>65</v>
      </c>
      <c r="U29">
        <v>150034910001</v>
      </c>
      <c r="V29">
        <v>0</v>
      </c>
      <c r="W29">
        <v>860</v>
      </c>
      <c r="X29">
        <v>0</v>
      </c>
      <c r="Y29">
        <v>0</v>
      </c>
      <c r="Z29">
        <v>0</v>
      </c>
      <c r="AA29">
        <v>0</v>
      </c>
      <c r="AD29">
        <v>0</v>
      </c>
      <c r="AM29">
        <v>15003491</v>
      </c>
      <c r="AN29" t="s">
        <v>182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5344</v>
      </c>
      <c r="BA29">
        <v>0</v>
      </c>
      <c r="BC29" t="s">
        <v>182</v>
      </c>
      <c r="BF29" t="s">
        <v>5345</v>
      </c>
    </row>
    <row r="30" spans="1:58" x14ac:dyDescent="0.35">
      <c r="A30" t="s">
        <v>5342</v>
      </c>
      <c r="B30">
        <v>20000</v>
      </c>
      <c r="C30">
        <v>10000</v>
      </c>
      <c r="D30" s="2">
        <v>45741</v>
      </c>
      <c r="E30" t="s">
        <v>61</v>
      </c>
      <c r="F30" t="s">
        <v>5343</v>
      </c>
      <c r="G30" t="s">
        <v>418</v>
      </c>
      <c r="I30">
        <v>1</v>
      </c>
      <c r="J30" t="s">
        <v>63</v>
      </c>
      <c r="K30">
        <v>59</v>
      </c>
      <c r="L30" t="s">
        <v>745</v>
      </c>
      <c r="M30">
        <v>860</v>
      </c>
      <c r="P30" s="2">
        <v>45741</v>
      </c>
      <c r="R30">
        <v>1</v>
      </c>
      <c r="S30">
        <v>860</v>
      </c>
      <c r="T30" t="s">
        <v>65</v>
      </c>
      <c r="U30">
        <v>150034910001</v>
      </c>
      <c r="V30">
        <v>0</v>
      </c>
      <c r="W30">
        <v>860</v>
      </c>
      <c r="X30">
        <v>0</v>
      </c>
      <c r="Y30">
        <v>0</v>
      </c>
      <c r="Z30">
        <v>0</v>
      </c>
      <c r="AA30">
        <v>0</v>
      </c>
      <c r="AD30">
        <v>0</v>
      </c>
      <c r="AM30">
        <v>15003491</v>
      </c>
      <c r="AN30" t="s">
        <v>182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5344</v>
      </c>
      <c r="BA30">
        <v>0</v>
      </c>
      <c r="BC30" t="s">
        <v>182</v>
      </c>
      <c r="BF30" t="s">
        <v>5345</v>
      </c>
    </row>
    <row r="31" spans="1:58" x14ac:dyDescent="0.35">
      <c r="A31" t="s">
        <v>5346</v>
      </c>
      <c r="B31">
        <v>10000</v>
      </c>
      <c r="C31">
        <v>10000</v>
      </c>
      <c r="D31" s="2">
        <v>45741</v>
      </c>
      <c r="E31" t="s">
        <v>61</v>
      </c>
      <c r="F31" t="s">
        <v>5261</v>
      </c>
      <c r="G31" t="s">
        <v>5105</v>
      </c>
      <c r="I31">
        <v>1</v>
      </c>
      <c r="J31" t="s">
        <v>63</v>
      </c>
      <c r="K31">
        <v>59</v>
      </c>
      <c r="L31" t="s">
        <v>745</v>
      </c>
      <c r="M31" s="4">
        <v>1245</v>
      </c>
      <c r="P31" s="2">
        <v>45741</v>
      </c>
      <c r="R31">
        <v>2</v>
      </c>
      <c r="S31" s="4">
        <v>2490</v>
      </c>
      <c r="T31" t="s">
        <v>65</v>
      </c>
      <c r="U31">
        <v>112887240001</v>
      </c>
      <c r="V31">
        <v>0</v>
      </c>
      <c r="W31" s="4">
        <v>2490</v>
      </c>
      <c r="X31">
        <v>0</v>
      </c>
      <c r="Y31">
        <v>0</v>
      </c>
      <c r="Z31">
        <v>0</v>
      </c>
      <c r="AA31">
        <v>0</v>
      </c>
      <c r="AD31">
        <v>0</v>
      </c>
      <c r="AM31">
        <v>11288724</v>
      </c>
      <c r="AN31" t="s">
        <v>182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5347</v>
      </c>
      <c r="BA31">
        <v>0</v>
      </c>
      <c r="BC31" t="s">
        <v>182</v>
      </c>
      <c r="BF31" t="s">
        <v>5348</v>
      </c>
    </row>
    <row r="32" spans="1:58" x14ac:dyDescent="0.35">
      <c r="A32" t="s">
        <v>5346</v>
      </c>
      <c r="B32">
        <v>20000</v>
      </c>
      <c r="C32">
        <v>10000</v>
      </c>
      <c r="D32" s="2">
        <v>45741</v>
      </c>
      <c r="E32" t="s">
        <v>61</v>
      </c>
      <c r="F32" t="s">
        <v>5261</v>
      </c>
      <c r="G32" t="s">
        <v>5105</v>
      </c>
      <c r="I32">
        <v>1</v>
      </c>
      <c r="J32" t="s">
        <v>63</v>
      </c>
      <c r="K32">
        <v>59</v>
      </c>
      <c r="L32" t="s">
        <v>745</v>
      </c>
      <c r="M32" s="4">
        <v>1245</v>
      </c>
      <c r="P32" s="2">
        <v>45741</v>
      </c>
      <c r="R32">
        <v>2</v>
      </c>
      <c r="S32" s="4">
        <v>2490</v>
      </c>
      <c r="T32" t="s">
        <v>65</v>
      </c>
      <c r="U32">
        <v>112887240001</v>
      </c>
      <c r="V32">
        <v>0</v>
      </c>
      <c r="W32" s="4">
        <v>2490</v>
      </c>
      <c r="X32">
        <v>0</v>
      </c>
      <c r="Y32">
        <v>0</v>
      </c>
      <c r="Z32">
        <v>0</v>
      </c>
      <c r="AA32">
        <v>0</v>
      </c>
      <c r="AD32">
        <v>0</v>
      </c>
      <c r="AM32">
        <v>11288724</v>
      </c>
      <c r="AN32" t="s">
        <v>182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5347</v>
      </c>
      <c r="BA32">
        <v>0</v>
      </c>
      <c r="BC32" t="s">
        <v>182</v>
      </c>
      <c r="BF32" t="s">
        <v>5348</v>
      </c>
    </row>
    <row r="33" spans="1:58" x14ac:dyDescent="0.35">
      <c r="A33" t="s">
        <v>5346</v>
      </c>
      <c r="B33">
        <v>30000</v>
      </c>
      <c r="C33">
        <v>10000</v>
      </c>
      <c r="D33" s="2">
        <v>45741</v>
      </c>
      <c r="E33" t="s">
        <v>61</v>
      </c>
      <c r="F33" t="s">
        <v>5261</v>
      </c>
      <c r="G33" t="s">
        <v>5105</v>
      </c>
      <c r="I33">
        <v>1</v>
      </c>
      <c r="J33" t="s">
        <v>63</v>
      </c>
      <c r="K33">
        <v>59</v>
      </c>
      <c r="L33" t="s">
        <v>745</v>
      </c>
      <c r="M33" s="4">
        <v>1245</v>
      </c>
      <c r="P33" s="2">
        <v>45741</v>
      </c>
      <c r="R33">
        <v>2</v>
      </c>
      <c r="S33" s="4">
        <v>2490</v>
      </c>
      <c r="T33" t="s">
        <v>65</v>
      </c>
      <c r="U33">
        <v>112887240001</v>
      </c>
      <c r="V33">
        <v>0</v>
      </c>
      <c r="W33" s="4">
        <v>2490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11288724</v>
      </c>
      <c r="AN33" t="s">
        <v>182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5347</v>
      </c>
      <c r="BA33">
        <v>0</v>
      </c>
      <c r="BC33" t="s">
        <v>182</v>
      </c>
      <c r="BF33" t="s">
        <v>5348</v>
      </c>
    </row>
    <row r="34" spans="1:58" x14ac:dyDescent="0.35">
      <c r="A34" t="s">
        <v>5349</v>
      </c>
      <c r="B34">
        <v>10000</v>
      </c>
      <c r="C34">
        <v>10000</v>
      </c>
      <c r="D34" s="2">
        <v>45741</v>
      </c>
      <c r="E34" t="s">
        <v>61</v>
      </c>
      <c r="F34" t="s">
        <v>5151</v>
      </c>
      <c r="G34" t="s">
        <v>5112</v>
      </c>
      <c r="I34">
        <v>1</v>
      </c>
      <c r="J34" t="s">
        <v>63</v>
      </c>
      <c r="K34">
        <v>94</v>
      </c>
      <c r="L34" t="s">
        <v>181</v>
      </c>
      <c r="M34" s="4">
        <v>1250</v>
      </c>
      <c r="P34" s="2">
        <v>45741</v>
      </c>
      <c r="R34">
        <v>4</v>
      </c>
      <c r="S34" s="4">
        <v>5000</v>
      </c>
      <c r="T34" t="s">
        <v>65</v>
      </c>
      <c r="U34" t="s">
        <v>5113</v>
      </c>
      <c r="V34">
        <v>0</v>
      </c>
      <c r="W34" s="4">
        <v>5000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5114</v>
      </c>
      <c r="AN34" t="s">
        <v>3615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5350</v>
      </c>
      <c r="BA34">
        <v>0</v>
      </c>
      <c r="BC34" t="s">
        <v>3615</v>
      </c>
      <c r="BF34" t="s">
        <v>3617</v>
      </c>
    </row>
    <row r="35" spans="1:58" x14ac:dyDescent="0.35">
      <c r="A35" t="s">
        <v>5351</v>
      </c>
      <c r="B35">
        <v>10000</v>
      </c>
      <c r="C35">
        <v>10000</v>
      </c>
      <c r="D35" s="2">
        <v>45743</v>
      </c>
      <c r="E35" t="s">
        <v>61</v>
      </c>
      <c r="F35" t="s">
        <v>1357</v>
      </c>
      <c r="G35" t="s">
        <v>4340</v>
      </c>
      <c r="I35">
        <v>1</v>
      </c>
      <c r="J35" t="s">
        <v>63</v>
      </c>
      <c r="K35">
        <v>72</v>
      </c>
      <c r="L35" t="s">
        <v>163</v>
      </c>
      <c r="M35">
        <v>375</v>
      </c>
      <c r="P35" s="2">
        <v>45741</v>
      </c>
      <c r="R35">
        <v>24</v>
      </c>
      <c r="S35" s="4">
        <v>9000</v>
      </c>
      <c r="T35" t="s">
        <v>65</v>
      </c>
      <c r="U35">
        <v>5000422940001</v>
      </c>
      <c r="V35">
        <v>0</v>
      </c>
      <c r="W35" s="4">
        <v>5000</v>
      </c>
      <c r="X35" s="4">
        <v>4000</v>
      </c>
      <c r="Y35">
        <v>0</v>
      </c>
      <c r="Z35">
        <v>0</v>
      </c>
      <c r="AA35">
        <v>0</v>
      </c>
      <c r="AD35">
        <v>0</v>
      </c>
      <c r="AM35">
        <v>500042294</v>
      </c>
      <c r="AN35" t="s">
        <v>91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5352</v>
      </c>
      <c r="BA35">
        <v>0</v>
      </c>
      <c r="BC35" t="s">
        <v>91</v>
      </c>
      <c r="BF35" t="s">
        <v>5353</v>
      </c>
    </row>
    <row r="36" spans="1:58" x14ac:dyDescent="0.35">
      <c r="A36" t="s">
        <v>5354</v>
      </c>
      <c r="B36">
        <v>10000</v>
      </c>
      <c r="C36">
        <v>10000</v>
      </c>
      <c r="D36" s="2">
        <v>45743</v>
      </c>
      <c r="E36" t="s">
        <v>61</v>
      </c>
      <c r="F36" t="s">
        <v>4727</v>
      </c>
      <c r="G36" t="s">
        <v>4340</v>
      </c>
      <c r="I36">
        <v>1</v>
      </c>
      <c r="J36" t="s">
        <v>63</v>
      </c>
      <c r="K36">
        <v>72</v>
      </c>
      <c r="L36" t="s">
        <v>163</v>
      </c>
      <c r="M36">
        <v>375</v>
      </c>
      <c r="P36" s="2">
        <v>45741</v>
      </c>
      <c r="R36">
        <v>24</v>
      </c>
      <c r="S36" s="4">
        <v>9000</v>
      </c>
      <c r="T36" t="s">
        <v>65</v>
      </c>
      <c r="U36">
        <v>5000422950001</v>
      </c>
      <c r="V36">
        <v>0</v>
      </c>
      <c r="W36" s="4">
        <v>5000</v>
      </c>
      <c r="X36" s="4">
        <v>4000</v>
      </c>
      <c r="Y36">
        <v>0</v>
      </c>
      <c r="Z36">
        <v>0</v>
      </c>
      <c r="AA36">
        <v>0</v>
      </c>
      <c r="AD36">
        <v>0</v>
      </c>
      <c r="AM36">
        <v>500042295</v>
      </c>
      <c r="AN36" t="s">
        <v>91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5355</v>
      </c>
      <c r="BA36">
        <v>0</v>
      </c>
      <c r="BC36" t="s">
        <v>91</v>
      </c>
      <c r="BF36" t="s">
        <v>5353</v>
      </c>
    </row>
    <row r="37" spans="1:58" x14ac:dyDescent="0.35">
      <c r="A37" t="s">
        <v>5356</v>
      </c>
      <c r="B37">
        <v>10000</v>
      </c>
      <c r="C37">
        <v>20000</v>
      </c>
      <c r="D37" s="2">
        <v>45742</v>
      </c>
      <c r="E37" t="s">
        <v>61</v>
      </c>
      <c r="F37" t="s">
        <v>5357</v>
      </c>
      <c r="G37" t="s">
        <v>3029</v>
      </c>
      <c r="I37">
        <v>1</v>
      </c>
      <c r="J37" t="s">
        <v>63</v>
      </c>
      <c r="K37">
        <v>86</v>
      </c>
      <c r="L37" t="s">
        <v>64</v>
      </c>
      <c r="M37" s="4">
        <v>3000</v>
      </c>
      <c r="P37" s="2">
        <v>45741</v>
      </c>
      <c r="R37">
        <v>4</v>
      </c>
      <c r="S37" s="4">
        <v>12000</v>
      </c>
      <c r="T37" t="s">
        <v>65</v>
      </c>
      <c r="U37" t="s">
        <v>5358</v>
      </c>
      <c r="V37">
        <v>0</v>
      </c>
      <c r="W37" s="4">
        <v>12000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5359</v>
      </c>
      <c r="AN37" t="s">
        <v>271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5360</v>
      </c>
      <c r="BA37">
        <v>0</v>
      </c>
      <c r="BC37" t="s">
        <v>271</v>
      </c>
      <c r="BF37" t="s">
        <v>5361</v>
      </c>
    </row>
    <row r="38" spans="1:58" x14ac:dyDescent="0.35">
      <c r="A38" t="s">
        <v>5362</v>
      </c>
      <c r="B38">
        <v>10000</v>
      </c>
      <c r="C38">
        <v>10000</v>
      </c>
      <c r="D38" s="2">
        <v>45742</v>
      </c>
      <c r="E38" t="s">
        <v>61</v>
      </c>
      <c r="F38" t="s">
        <v>5267</v>
      </c>
      <c r="G38" t="s">
        <v>5363</v>
      </c>
      <c r="I38">
        <v>1</v>
      </c>
      <c r="J38" t="s">
        <v>63</v>
      </c>
      <c r="K38">
        <v>32</v>
      </c>
      <c r="L38" t="s">
        <v>553</v>
      </c>
      <c r="M38" s="4">
        <v>5860</v>
      </c>
      <c r="P38" s="2">
        <v>45741</v>
      </c>
      <c r="R38">
        <v>1</v>
      </c>
      <c r="S38" s="4">
        <v>5860</v>
      </c>
      <c r="T38" t="s">
        <v>65</v>
      </c>
      <c r="U38" t="s">
        <v>1774</v>
      </c>
      <c r="V38">
        <v>0</v>
      </c>
      <c r="W38" s="4">
        <v>5360</v>
      </c>
      <c r="X38">
        <v>500</v>
      </c>
      <c r="Y38">
        <v>0</v>
      </c>
      <c r="Z38">
        <v>0</v>
      </c>
      <c r="AA38">
        <v>0</v>
      </c>
      <c r="AD38">
        <v>0</v>
      </c>
      <c r="AM38" t="s">
        <v>1775</v>
      </c>
      <c r="AN38" t="s">
        <v>116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5364</v>
      </c>
      <c r="BA38">
        <v>0</v>
      </c>
      <c r="BC38" t="s">
        <v>116</v>
      </c>
      <c r="BF38" t="s">
        <v>4862</v>
      </c>
    </row>
    <row r="39" spans="1:58" x14ac:dyDescent="0.35">
      <c r="A39" t="s">
        <v>5365</v>
      </c>
      <c r="B39">
        <v>10000</v>
      </c>
      <c r="C39">
        <v>10000</v>
      </c>
      <c r="D39" s="2">
        <v>45742</v>
      </c>
      <c r="E39" t="s">
        <v>61</v>
      </c>
      <c r="F39" t="s">
        <v>5267</v>
      </c>
      <c r="G39" t="s">
        <v>5363</v>
      </c>
      <c r="I39">
        <v>1</v>
      </c>
      <c r="J39" t="s">
        <v>63</v>
      </c>
      <c r="K39">
        <v>32</v>
      </c>
      <c r="L39" t="s">
        <v>553</v>
      </c>
      <c r="M39" s="4">
        <v>5860</v>
      </c>
      <c r="P39" s="2">
        <v>45741</v>
      </c>
      <c r="R39">
        <v>1</v>
      </c>
      <c r="S39" s="4">
        <v>5860</v>
      </c>
      <c r="T39" t="s">
        <v>65</v>
      </c>
      <c r="U39" t="s">
        <v>1774</v>
      </c>
      <c r="V39">
        <v>0</v>
      </c>
      <c r="W39" s="4">
        <v>5360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1775</v>
      </c>
      <c r="AN39" t="s">
        <v>116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5366</v>
      </c>
      <c r="BA39">
        <v>0</v>
      </c>
      <c r="BC39" t="s">
        <v>116</v>
      </c>
      <c r="BF39" t="s">
        <v>5043</v>
      </c>
    </row>
    <row r="40" spans="1:58" x14ac:dyDescent="0.35">
      <c r="A40" t="s">
        <v>5186</v>
      </c>
      <c r="B40">
        <v>10000</v>
      </c>
      <c r="C40">
        <v>20000</v>
      </c>
      <c r="D40" s="2">
        <v>45742</v>
      </c>
      <c r="E40" t="s">
        <v>61</v>
      </c>
      <c r="F40" t="s">
        <v>5187</v>
      </c>
      <c r="G40" t="s">
        <v>4865</v>
      </c>
      <c r="I40">
        <v>2</v>
      </c>
      <c r="J40" t="s">
        <v>63</v>
      </c>
      <c r="K40">
        <v>92</v>
      </c>
      <c r="L40" t="s">
        <v>424</v>
      </c>
      <c r="M40" s="4">
        <v>1800</v>
      </c>
      <c r="P40" s="2">
        <v>45741</v>
      </c>
      <c r="R40">
        <v>3</v>
      </c>
      <c r="S40" s="4">
        <v>5400</v>
      </c>
      <c r="T40" t="s">
        <v>65</v>
      </c>
      <c r="U40" t="s">
        <v>5188</v>
      </c>
      <c r="V40">
        <v>0</v>
      </c>
      <c r="W40" s="4">
        <v>5000</v>
      </c>
      <c r="X40">
        <v>400</v>
      </c>
      <c r="Y40">
        <v>0</v>
      </c>
      <c r="Z40">
        <v>0</v>
      </c>
      <c r="AA40">
        <v>0</v>
      </c>
      <c r="AD40">
        <v>0</v>
      </c>
      <c r="AM40" t="s">
        <v>5189</v>
      </c>
      <c r="AN40" t="s">
        <v>4868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5190</v>
      </c>
      <c r="BA40">
        <v>0</v>
      </c>
      <c r="BC40" t="s">
        <v>4868</v>
      </c>
      <c r="BF40" t="s">
        <v>4870</v>
      </c>
    </row>
    <row r="41" spans="1:58" x14ac:dyDescent="0.35">
      <c r="A41" t="s">
        <v>5367</v>
      </c>
      <c r="B41">
        <v>10000</v>
      </c>
      <c r="C41">
        <v>10000</v>
      </c>
      <c r="D41" s="2">
        <v>45742</v>
      </c>
      <c r="E41" t="s">
        <v>61</v>
      </c>
      <c r="F41" t="s">
        <v>5368</v>
      </c>
      <c r="G41" t="s">
        <v>518</v>
      </c>
      <c r="I41">
        <v>1</v>
      </c>
      <c r="J41" t="s">
        <v>63</v>
      </c>
      <c r="K41">
        <v>63</v>
      </c>
      <c r="L41" t="s">
        <v>519</v>
      </c>
      <c r="M41" s="4">
        <v>3000</v>
      </c>
      <c r="P41" s="2">
        <v>45741</v>
      </c>
      <c r="R41">
        <v>40</v>
      </c>
      <c r="S41" s="4">
        <v>120000</v>
      </c>
      <c r="T41" t="s">
        <v>65</v>
      </c>
      <c r="U41" t="s">
        <v>2662</v>
      </c>
      <c r="V41">
        <v>0</v>
      </c>
      <c r="W41" s="4">
        <v>120000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2663</v>
      </c>
      <c r="AN41" t="s">
        <v>157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5369</v>
      </c>
      <c r="BA41">
        <v>0</v>
      </c>
      <c r="BC41" t="s">
        <v>157</v>
      </c>
      <c r="BF41" t="s">
        <v>5370</v>
      </c>
    </row>
    <row r="42" spans="1:58" x14ac:dyDescent="0.35">
      <c r="A42" t="s">
        <v>5371</v>
      </c>
      <c r="B42">
        <v>10000</v>
      </c>
      <c r="C42">
        <v>10000</v>
      </c>
      <c r="D42" s="2">
        <v>45742</v>
      </c>
      <c r="E42" t="s">
        <v>61</v>
      </c>
      <c r="F42" t="s">
        <v>5368</v>
      </c>
      <c r="G42" t="s">
        <v>518</v>
      </c>
      <c r="I42">
        <v>1</v>
      </c>
      <c r="J42" t="s">
        <v>63</v>
      </c>
      <c r="K42">
        <v>63</v>
      </c>
      <c r="L42" t="s">
        <v>519</v>
      </c>
      <c r="M42" s="4">
        <v>3000</v>
      </c>
      <c r="P42" s="2">
        <v>45741</v>
      </c>
      <c r="R42">
        <v>40</v>
      </c>
      <c r="S42" s="4">
        <v>120000</v>
      </c>
      <c r="T42" t="s">
        <v>65</v>
      </c>
      <c r="U42" t="s">
        <v>2662</v>
      </c>
      <c r="V42">
        <v>0</v>
      </c>
      <c r="W42" s="4">
        <v>120000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2663</v>
      </c>
      <c r="AN42" t="s">
        <v>157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5372</v>
      </c>
      <c r="BA42">
        <v>0</v>
      </c>
      <c r="BC42" t="s">
        <v>157</v>
      </c>
      <c r="BF42" t="s">
        <v>5373</v>
      </c>
    </row>
    <row r="43" spans="1:58" x14ac:dyDescent="0.35">
      <c r="A43" t="s">
        <v>5374</v>
      </c>
      <c r="B43">
        <v>10000</v>
      </c>
      <c r="C43">
        <v>10000</v>
      </c>
      <c r="D43" s="2">
        <v>45743</v>
      </c>
      <c r="E43" t="s">
        <v>61</v>
      </c>
      <c r="F43" t="s">
        <v>5375</v>
      </c>
      <c r="G43" t="s">
        <v>5376</v>
      </c>
      <c r="I43">
        <v>1</v>
      </c>
      <c r="J43" t="s">
        <v>63</v>
      </c>
      <c r="K43">
        <v>70</v>
      </c>
      <c r="L43" t="s">
        <v>795</v>
      </c>
      <c r="M43" s="4">
        <v>22500</v>
      </c>
      <c r="P43" s="2">
        <v>45741</v>
      </c>
      <c r="R43">
        <v>4</v>
      </c>
      <c r="S43" s="4">
        <v>90000</v>
      </c>
      <c r="T43" t="s">
        <v>65</v>
      </c>
      <c r="U43" t="s">
        <v>1259</v>
      </c>
      <c r="V43">
        <v>0</v>
      </c>
      <c r="W43" s="4">
        <v>90000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1260</v>
      </c>
      <c r="AN43" t="s">
        <v>157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5377</v>
      </c>
      <c r="BA43">
        <v>0</v>
      </c>
      <c r="BC43" t="s">
        <v>157</v>
      </c>
      <c r="BF43" t="s">
        <v>5378</v>
      </c>
    </row>
    <row r="44" spans="1:58" x14ac:dyDescent="0.35">
      <c r="A44" t="s">
        <v>5379</v>
      </c>
      <c r="B44">
        <v>10000</v>
      </c>
      <c r="C44">
        <v>10000</v>
      </c>
      <c r="D44" s="2">
        <v>45743</v>
      </c>
      <c r="E44" t="s">
        <v>61</v>
      </c>
      <c r="F44" t="s">
        <v>5380</v>
      </c>
      <c r="G44" t="s">
        <v>4245</v>
      </c>
      <c r="I44">
        <v>1</v>
      </c>
      <c r="J44" t="s">
        <v>63</v>
      </c>
      <c r="K44">
        <v>63</v>
      </c>
      <c r="L44" t="s">
        <v>519</v>
      </c>
      <c r="M44" s="4">
        <v>1334</v>
      </c>
      <c r="P44" s="2">
        <v>45741</v>
      </c>
      <c r="R44">
        <v>30</v>
      </c>
      <c r="S44" s="4">
        <v>40020</v>
      </c>
      <c r="T44" t="s">
        <v>65</v>
      </c>
      <c r="U44" t="s">
        <v>5381</v>
      </c>
      <c r="V44">
        <v>0</v>
      </c>
      <c r="W44" s="4">
        <v>40000</v>
      </c>
      <c r="X44">
        <v>20</v>
      </c>
      <c r="Y44">
        <v>0</v>
      </c>
      <c r="Z44">
        <v>0</v>
      </c>
      <c r="AA44">
        <v>0</v>
      </c>
      <c r="AD44">
        <v>0</v>
      </c>
      <c r="AM44" t="s">
        <v>5382</v>
      </c>
      <c r="AN44" t="s">
        <v>157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5383</v>
      </c>
      <c r="BA44">
        <v>0</v>
      </c>
      <c r="BC44" t="s">
        <v>157</v>
      </c>
      <c r="BF44" t="s">
        <v>5384</v>
      </c>
    </row>
    <row r="45" spans="1:58" x14ac:dyDescent="0.35">
      <c r="A45" t="s">
        <v>5385</v>
      </c>
      <c r="B45">
        <v>10000</v>
      </c>
      <c r="C45">
        <v>10000</v>
      </c>
      <c r="D45" s="2">
        <v>45742</v>
      </c>
      <c r="E45" t="s">
        <v>61</v>
      </c>
      <c r="F45" t="s">
        <v>5368</v>
      </c>
      <c r="G45">
        <v>1006323</v>
      </c>
      <c r="I45">
        <v>1</v>
      </c>
      <c r="J45" t="s">
        <v>63</v>
      </c>
      <c r="K45">
        <v>63</v>
      </c>
      <c r="L45" t="s">
        <v>519</v>
      </c>
      <c r="M45" s="4">
        <v>5000</v>
      </c>
      <c r="P45" s="2">
        <v>45741</v>
      </c>
      <c r="R45">
        <v>40</v>
      </c>
      <c r="S45" s="4">
        <v>200000</v>
      </c>
      <c r="T45" t="s">
        <v>65</v>
      </c>
      <c r="U45" t="s">
        <v>2466</v>
      </c>
      <c r="V45">
        <v>0</v>
      </c>
      <c r="W45" s="4">
        <v>200000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2467</v>
      </c>
      <c r="AN45" t="s">
        <v>157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5386</v>
      </c>
      <c r="BA45">
        <v>0</v>
      </c>
      <c r="BC45" t="s">
        <v>157</v>
      </c>
      <c r="BF45" t="s">
        <v>5387</v>
      </c>
    </row>
    <row r="46" spans="1:58" x14ac:dyDescent="0.35">
      <c r="A46" t="s">
        <v>5388</v>
      </c>
      <c r="B46">
        <v>10000</v>
      </c>
      <c r="C46">
        <v>10000</v>
      </c>
      <c r="D46" s="2">
        <v>45743</v>
      </c>
      <c r="E46" t="s">
        <v>61</v>
      </c>
      <c r="F46" t="s">
        <v>5380</v>
      </c>
      <c r="G46" t="s">
        <v>4245</v>
      </c>
      <c r="I46">
        <v>1</v>
      </c>
      <c r="J46" t="s">
        <v>63</v>
      </c>
      <c r="K46">
        <v>63</v>
      </c>
      <c r="L46" t="s">
        <v>519</v>
      </c>
      <c r="M46" s="4">
        <v>1334</v>
      </c>
      <c r="P46" s="2">
        <v>45741</v>
      </c>
      <c r="R46">
        <v>60</v>
      </c>
      <c r="S46" s="4">
        <v>80040</v>
      </c>
      <c r="T46" t="s">
        <v>65</v>
      </c>
      <c r="U46" t="s">
        <v>2642</v>
      </c>
      <c r="V46">
        <v>0</v>
      </c>
      <c r="W46" s="4">
        <v>80000</v>
      </c>
      <c r="X46">
        <v>40</v>
      </c>
      <c r="Y46">
        <v>0</v>
      </c>
      <c r="Z46">
        <v>0</v>
      </c>
      <c r="AA46">
        <v>0</v>
      </c>
      <c r="AD46">
        <v>0</v>
      </c>
      <c r="AM46" t="s">
        <v>2643</v>
      </c>
      <c r="AN46" t="s">
        <v>157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5389</v>
      </c>
      <c r="BA46">
        <v>0</v>
      </c>
      <c r="BC46" t="s">
        <v>157</v>
      </c>
      <c r="BF46" t="s">
        <v>5390</v>
      </c>
    </row>
    <row r="47" spans="1:58" x14ac:dyDescent="0.35">
      <c r="A47" t="s">
        <v>5391</v>
      </c>
      <c r="B47">
        <v>10000</v>
      </c>
      <c r="C47">
        <v>10000</v>
      </c>
      <c r="D47" s="2">
        <v>45743</v>
      </c>
      <c r="E47" t="s">
        <v>61</v>
      </c>
      <c r="F47" t="s">
        <v>5375</v>
      </c>
      <c r="G47" t="s">
        <v>4245</v>
      </c>
      <c r="I47">
        <v>1</v>
      </c>
      <c r="J47" t="s">
        <v>63</v>
      </c>
      <c r="K47">
        <v>63</v>
      </c>
      <c r="L47" t="s">
        <v>519</v>
      </c>
      <c r="M47" s="4">
        <v>2000</v>
      </c>
      <c r="P47" s="2">
        <v>45741</v>
      </c>
      <c r="R47">
        <v>40</v>
      </c>
      <c r="S47" s="4">
        <v>80000</v>
      </c>
      <c r="T47" t="s">
        <v>65</v>
      </c>
      <c r="U47" t="s">
        <v>2471</v>
      </c>
      <c r="V47">
        <v>0</v>
      </c>
      <c r="W47" s="4">
        <v>80000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2472</v>
      </c>
      <c r="AN47" t="s">
        <v>157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5392</v>
      </c>
      <c r="BA47">
        <v>0</v>
      </c>
      <c r="BC47" t="s">
        <v>157</v>
      </c>
      <c r="BF47" t="s">
        <v>5393</v>
      </c>
    </row>
    <row r="48" spans="1:58" x14ac:dyDescent="0.35">
      <c r="A48" t="s">
        <v>5394</v>
      </c>
      <c r="B48">
        <v>10000</v>
      </c>
      <c r="C48">
        <v>10000</v>
      </c>
      <c r="D48" s="2">
        <v>45743</v>
      </c>
      <c r="E48" t="s">
        <v>61</v>
      </c>
      <c r="F48" t="s">
        <v>5380</v>
      </c>
      <c r="G48">
        <v>1006323</v>
      </c>
      <c r="I48">
        <v>1</v>
      </c>
      <c r="J48" t="s">
        <v>63</v>
      </c>
      <c r="K48" t="s">
        <v>770</v>
      </c>
      <c r="L48" t="s">
        <v>154</v>
      </c>
      <c r="M48" s="4">
        <v>5264</v>
      </c>
      <c r="P48" s="2">
        <v>45741</v>
      </c>
      <c r="R48">
        <v>38</v>
      </c>
      <c r="S48" s="4">
        <v>200032</v>
      </c>
      <c r="T48" t="s">
        <v>65</v>
      </c>
      <c r="U48" t="s">
        <v>2953</v>
      </c>
      <c r="V48">
        <v>0</v>
      </c>
      <c r="W48" s="4">
        <v>200000</v>
      </c>
      <c r="X48">
        <v>32</v>
      </c>
      <c r="Y48">
        <v>0</v>
      </c>
      <c r="Z48">
        <v>0</v>
      </c>
      <c r="AA48">
        <v>0</v>
      </c>
      <c r="AD48">
        <v>0</v>
      </c>
      <c r="AM48" t="s">
        <v>2954</v>
      </c>
      <c r="AN48" t="s">
        <v>157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5395</v>
      </c>
      <c r="BA48">
        <v>0</v>
      </c>
      <c r="BC48" t="s">
        <v>157</v>
      </c>
      <c r="BF48" t="s">
        <v>5396</v>
      </c>
    </row>
    <row r="49" spans="1:58" x14ac:dyDescent="0.35">
      <c r="A49" t="s">
        <v>5397</v>
      </c>
      <c r="B49">
        <v>10000</v>
      </c>
      <c r="C49">
        <v>10000</v>
      </c>
      <c r="D49" s="2">
        <v>45743</v>
      </c>
      <c r="E49" t="s">
        <v>61</v>
      </c>
      <c r="F49" t="s">
        <v>5398</v>
      </c>
      <c r="G49">
        <v>8613409</v>
      </c>
      <c r="I49">
        <v>1</v>
      </c>
      <c r="J49" t="s">
        <v>63</v>
      </c>
      <c r="K49">
        <v>63</v>
      </c>
      <c r="L49" t="s">
        <v>519</v>
      </c>
      <c r="M49" s="4">
        <v>1334</v>
      </c>
      <c r="P49" s="2">
        <v>45741</v>
      </c>
      <c r="R49">
        <v>60</v>
      </c>
      <c r="S49" s="4">
        <v>80040</v>
      </c>
      <c r="T49" t="s">
        <v>65</v>
      </c>
      <c r="U49" t="s">
        <v>2959</v>
      </c>
      <c r="V49">
        <v>0</v>
      </c>
      <c r="W49" s="4">
        <v>80000</v>
      </c>
      <c r="X49">
        <v>40</v>
      </c>
      <c r="Y49">
        <v>0</v>
      </c>
      <c r="Z49">
        <v>0</v>
      </c>
      <c r="AA49">
        <v>0</v>
      </c>
      <c r="AD49">
        <v>0</v>
      </c>
      <c r="AM49" t="s">
        <v>2960</v>
      </c>
      <c r="AN49" t="s">
        <v>157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5399</v>
      </c>
      <c r="BA49">
        <v>0</v>
      </c>
      <c r="BC49" t="s">
        <v>157</v>
      </c>
      <c r="BF49" t="s">
        <v>5400</v>
      </c>
    </row>
    <row r="50" spans="1:58" x14ac:dyDescent="0.35">
      <c r="A50" t="s">
        <v>5205</v>
      </c>
      <c r="B50">
        <v>10000</v>
      </c>
      <c r="C50">
        <v>20000</v>
      </c>
      <c r="D50" s="2">
        <v>45742</v>
      </c>
      <c r="E50" t="s">
        <v>61</v>
      </c>
      <c r="F50" t="s">
        <v>5206</v>
      </c>
      <c r="G50" t="s">
        <v>5207</v>
      </c>
      <c r="I50">
        <v>2</v>
      </c>
      <c r="J50" t="s">
        <v>63</v>
      </c>
      <c r="K50">
        <v>86</v>
      </c>
      <c r="L50" t="s">
        <v>64</v>
      </c>
      <c r="M50" s="4">
        <v>4750</v>
      </c>
      <c r="P50" s="2">
        <v>45741</v>
      </c>
      <c r="R50">
        <v>8</v>
      </c>
      <c r="S50" s="4">
        <v>38000</v>
      </c>
      <c r="T50" t="s">
        <v>65</v>
      </c>
      <c r="U50" t="s">
        <v>5208</v>
      </c>
      <c r="V50">
        <v>0</v>
      </c>
      <c r="W50" s="4">
        <v>33000</v>
      </c>
      <c r="X50" s="4">
        <v>5000</v>
      </c>
      <c r="Y50">
        <v>0</v>
      </c>
      <c r="Z50">
        <v>0</v>
      </c>
      <c r="AA50">
        <v>0</v>
      </c>
      <c r="AD50">
        <v>0</v>
      </c>
      <c r="AM50" t="s">
        <v>5209</v>
      </c>
      <c r="AN50" t="s">
        <v>243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5210</v>
      </c>
      <c r="BA50">
        <v>0</v>
      </c>
      <c r="BC50" t="s">
        <v>243</v>
      </c>
      <c r="BF50" t="s">
        <v>5211</v>
      </c>
    </row>
    <row r="51" spans="1:58" x14ac:dyDescent="0.35">
      <c r="A51" t="s">
        <v>5212</v>
      </c>
      <c r="B51">
        <v>10000</v>
      </c>
      <c r="C51">
        <v>20000</v>
      </c>
      <c r="D51" s="2">
        <v>45741</v>
      </c>
      <c r="E51" t="s">
        <v>61</v>
      </c>
      <c r="F51" t="s">
        <v>5213</v>
      </c>
      <c r="G51" t="s">
        <v>3250</v>
      </c>
      <c r="I51">
        <v>2</v>
      </c>
      <c r="J51" t="s">
        <v>63</v>
      </c>
      <c r="K51">
        <v>100</v>
      </c>
      <c r="L51" t="s">
        <v>424</v>
      </c>
      <c r="M51" s="4">
        <v>5000</v>
      </c>
      <c r="P51" s="2">
        <v>45741</v>
      </c>
      <c r="R51">
        <v>1</v>
      </c>
      <c r="S51" s="4">
        <v>5000</v>
      </c>
      <c r="T51" t="s">
        <v>65</v>
      </c>
      <c r="U51" t="s">
        <v>5214</v>
      </c>
      <c r="V51">
        <v>0</v>
      </c>
      <c r="W51" s="4">
        <v>5000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5215</v>
      </c>
      <c r="AN51" t="s">
        <v>508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5216</v>
      </c>
      <c r="BA51">
        <v>0</v>
      </c>
      <c r="BC51" t="s">
        <v>508</v>
      </c>
      <c r="BF51" t="s">
        <v>4657</v>
      </c>
    </row>
    <row r="52" spans="1:58" x14ac:dyDescent="0.35">
      <c r="A52" t="s">
        <v>5401</v>
      </c>
      <c r="B52">
        <v>10000</v>
      </c>
      <c r="C52">
        <v>10000</v>
      </c>
      <c r="D52" s="2">
        <v>45742</v>
      </c>
      <c r="E52" t="s">
        <v>61</v>
      </c>
      <c r="F52" t="s">
        <v>5402</v>
      </c>
      <c r="G52" t="s">
        <v>5403</v>
      </c>
      <c r="I52">
        <v>1</v>
      </c>
      <c r="J52" t="s">
        <v>63</v>
      </c>
      <c r="K52">
        <v>60</v>
      </c>
      <c r="L52" t="s">
        <v>277</v>
      </c>
      <c r="M52">
        <v>160</v>
      </c>
      <c r="P52" s="2">
        <v>45741</v>
      </c>
      <c r="R52">
        <v>5</v>
      </c>
      <c r="S52">
        <v>800</v>
      </c>
      <c r="T52" t="s">
        <v>65</v>
      </c>
      <c r="U52" t="s">
        <v>5404</v>
      </c>
      <c r="V52">
        <v>0</v>
      </c>
      <c r="W52">
        <v>800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5405</v>
      </c>
      <c r="AN52" t="s">
        <v>321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5406</v>
      </c>
      <c r="BA52">
        <v>0</v>
      </c>
      <c r="BC52" t="s">
        <v>321</v>
      </c>
      <c r="BF52" t="s">
        <v>4693</v>
      </c>
    </row>
    <row r="53" spans="1:58" x14ac:dyDescent="0.35">
      <c r="A53" t="s">
        <v>5407</v>
      </c>
      <c r="B53">
        <v>10000</v>
      </c>
      <c r="C53">
        <v>20000</v>
      </c>
      <c r="D53" s="2">
        <v>45741</v>
      </c>
      <c r="E53" t="s">
        <v>61</v>
      </c>
      <c r="F53" t="s">
        <v>5408</v>
      </c>
      <c r="G53" t="s">
        <v>5409</v>
      </c>
      <c r="I53">
        <v>1</v>
      </c>
      <c r="J53" t="s">
        <v>63</v>
      </c>
      <c r="K53">
        <v>112</v>
      </c>
      <c r="L53" t="s">
        <v>533</v>
      </c>
      <c r="M53">
        <v>15</v>
      </c>
      <c r="P53" s="2">
        <v>45741</v>
      </c>
      <c r="R53">
        <v>10</v>
      </c>
      <c r="S53">
        <v>150</v>
      </c>
      <c r="T53" t="s">
        <v>65</v>
      </c>
      <c r="U53" t="s">
        <v>5410</v>
      </c>
      <c r="V53">
        <v>0</v>
      </c>
      <c r="W53">
        <v>120</v>
      </c>
      <c r="X53">
        <v>30</v>
      </c>
      <c r="Y53">
        <v>0</v>
      </c>
      <c r="Z53">
        <v>0</v>
      </c>
      <c r="AA53">
        <v>0</v>
      </c>
      <c r="AD53">
        <v>0</v>
      </c>
      <c r="AM53" t="s">
        <v>5411</v>
      </c>
      <c r="AN53" t="s">
        <v>321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5412</v>
      </c>
      <c r="BA53">
        <v>0</v>
      </c>
      <c r="BC53" t="s">
        <v>321</v>
      </c>
      <c r="BF53" t="s">
        <v>4693</v>
      </c>
    </row>
    <row r="54" spans="1:58" x14ac:dyDescent="0.35">
      <c r="A54" t="s">
        <v>5413</v>
      </c>
      <c r="B54">
        <v>10000</v>
      </c>
      <c r="C54">
        <v>10000</v>
      </c>
      <c r="D54" s="2">
        <v>45742</v>
      </c>
      <c r="E54" t="s">
        <v>61</v>
      </c>
      <c r="F54" t="s">
        <v>5414</v>
      </c>
      <c r="G54" t="s">
        <v>5415</v>
      </c>
      <c r="I54">
        <v>1</v>
      </c>
      <c r="J54" t="s">
        <v>63</v>
      </c>
      <c r="K54">
        <v>60</v>
      </c>
      <c r="L54" t="s">
        <v>277</v>
      </c>
      <c r="M54">
        <v>50</v>
      </c>
      <c r="P54" s="2">
        <v>45741</v>
      </c>
      <c r="R54">
        <v>5</v>
      </c>
      <c r="S54">
        <v>250</v>
      </c>
      <c r="T54" t="s">
        <v>65</v>
      </c>
      <c r="U54" t="s">
        <v>5416</v>
      </c>
      <c r="V54">
        <v>0</v>
      </c>
      <c r="W54">
        <v>250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5417</v>
      </c>
      <c r="AN54" t="s">
        <v>321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5418</v>
      </c>
      <c r="BA54">
        <v>0</v>
      </c>
      <c r="BC54" t="s">
        <v>321</v>
      </c>
      <c r="BF54" t="s">
        <v>4693</v>
      </c>
    </row>
    <row r="55" spans="1:58" x14ac:dyDescent="0.35">
      <c r="A55" t="s">
        <v>5419</v>
      </c>
      <c r="B55">
        <v>10000</v>
      </c>
      <c r="C55">
        <v>10000</v>
      </c>
      <c r="D55" s="2">
        <v>45741</v>
      </c>
      <c r="E55" t="s">
        <v>61</v>
      </c>
      <c r="F55" t="s">
        <v>5261</v>
      </c>
      <c r="G55" t="s">
        <v>5084</v>
      </c>
      <c r="I55">
        <v>1</v>
      </c>
      <c r="J55" t="s">
        <v>63</v>
      </c>
      <c r="K55">
        <v>78</v>
      </c>
      <c r="L55" t="s">
        <v>188</v>
      </c>
      <c r="M55">
        <v>67</v>
      </c>
      <c r="P55" s="2">
        <v>45741</v>
      </c>
      <c r="R55">
        <v>3</v>
      </c>
      <c r="S55">
        <v>201</v>
      </c>
      <c r="T55" t="s">
        <v>65</v>
      </c>
      <c r="U55" t="s">
        <v>5420</v>
      </c>
      <c r="V55">
        <v>0</v>
      </c>
      <c r="W55">
        <v>200</v>
      </c>
      <c r="X55">
        <v>1</v>
      </c>
      <c r="Y55">
        <v>0</v>
      </c>
      <c r="Z55">
        <v>0</v>
      </c>
      <c r="AA55">
        <v>0</v>
      </c>
      <c r="AD55">
        <v>0</v>
      </c>
      <c r="AM55" t="s">
        <v>5421</v>
      </c>
      <c r="AN55" t="s">
        <v>5087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5422</v>
      </c>
      <c r="BA55">
        <v>0</v>
      </c>
      <c r="BC55" t="s">
        <v>5087</v>
      </c>
      <c r="BF55" t="s">
        <v>5423</v>
      </c>
    </row>
    <row r="56" spans="1:58" x14ac:dyDescent="0.35">
      <c r="A56" t="s">
        <v>5233</v>
      </c>
      <c r="B56">
        <v>10000</v>
      </c>
      <c r="C56">
        <v>20000</v>
      </c>
      <c r="D56" s="2">
        <v>45742</v>
      </c>
      <c r="E56" t="s">
        <v>61</v>
      </c>
      <c r="F56" s="3">
        <v>0.42387731481481483</v>
      </c>
      <c r="G56">
        <v>59470</v>
      </c>
      <c r="I56">
        <v>1</v>
      </c>
      <c r="J56" t="s">
        <v>63</v>
      </c>
      <c r="K56">
        <v>73</v>
      </c>
      <c r="L56" t="s">
        <v>90</v>
      </c>
      <c r="M56" s="4">
        <v>15167</v>
      </c>
      <c r="P56" s="2">
        <v>45741</v>
      </c>
      <c r="R56">
        <v>12</v>
      </c>
      <c r="S56" s="4">
        <v>182004</v>
      </c>
      <c r="T56" t="s">
        <v>65</v>
      </c>
      <c r="U56" t="s">
        <v>999</v>
      </c>
      <c r="V56">
        <v>0</v>
      </c>
      <c r="W56" s="4">
        <v>180678</v>
      </c>
      <c r="X56" s="4">
        <v>1326</v>
      </c>
      <c r="Y56">
        <v>0</v>
      </c>
      <c r="Z56">
        <v>0</v>
      </c>
      <c r="AA56">
        <v>0</v>
      </c>
      <c r="AD56">
        <v>0</v>
      </c>
      <c r="AM56" t="s">
        <v>1000</v>
      </c>
      <c r="AN56" t="s">
        <v>321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5234</v>
      </c>
      <c r="BA56">
        <v>0</v>
      </c>
      <c r="BC56" t="s">
        <v>321</v>
      </c>
      <c r="BF56" t="s">
        <v>5235</v>
      </c>
    </row>
    <row r="57" spans="1:58" x14ac:dyDescent="0.35">
      <c r="A57" t="s">
        <v>5233</v>
      </c>
      <c r="B57">
        <v>10000</v>
      </c>
      <c r="C57">
        <v>30000</v>
      </c>
      <c r="D57" s="2">
        <v>45742</v>
      </c>
      <c r="E57" t="s">
        <v>61</v>
      </c>
      <c r="F57" s="3">
        <v>0.42387731481481483</v>
      </c>
      <c r="G57">
        <v>59470</v>
      </c>
      <c r="I57">
        <v>2</v>
      </c>
      <c r="J57" t="s">
        <v>63</v>
      </c>
      <c r="K57">
        <v>96</v>
      </c>
      <c r="L57" t="s">
        <v>2144</v>
      </c>
      <c r="M57" s="4">
        <v>84000</v>
      </c>
      <c r="P57" s="2">
        <v>45741</v>
      </c>
      <c r="R57">
        <v>6</v>
      </c>
      <c r="S57" s="4">
        <v>504000</v>
      </c>
      <c r="T57" t="s">
        <v>65</v>
      </c>
      <c r="U57" t="s">
        <v>999</v>
      </c>
      <c r="V57">
        <v>0</v>
      </c>
      <c r="W57" s="4">
        <v>504000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1000</v>
      </c>
      <c r="AN57" t="s">
        <v>321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5234</v>
      </c>
      <c r="BA57">
        <v>0</v>
      </c>
      <c r="BC57" t="s">
        <v>321</v>
      </c>
      <c r="BF57" t="s">
        <v>5235</v>
      </c>
    </row>
    <row r="58" spans="1:58" x14ac:dyDescent="0.35">
      <c r="A58" t="s">
        <v>5424</v>
      </c>
      <c r="B58">
        <v>10000</v>
      </c>
      <c r="C58">
        <v>10000</v>
      </c>
      <c r="D58" s="2">
        <v>45741</v>
      </c>
      <c r="E58" t="s">
        <v>61</v>
      </c>
      <c r="F58" s="3">
        <v>0.44246527777777778</v>
      </c>
      <c r="G58" t="s">
        <v>5247</v>
      </c>
      <c r="I58">
        <v>1</v>
      </c>
      <c r="J58" t="s">
        <v>63</v>
      </c>
      <c r="K58">
        <v>65</v>
      </c>
      <c r="L58" t="s">
        <v>268</v>
      </c>
      <c r="M58">
        <v>667</v>
      </c>
      <c r="P58" s="2">
        <v>45741</v>
      </c>
      <c r="R58">
        <v>6</v>
      </c>
      <c r="S58" s="4">
        <v>4002</v>
      </c>
      <c r="T58" t="s">
        <v>65</v>
      </c>
      <c r="U58">
        <v>200467500001</v>
      </c>
      <c r="V58">
        <v>0</v>
      </c>
      <c r="W58" s="4">
        <v>4000</v>
      </c>
      <c r="X58">
        <v>2</v>
      </c>
      <c r="Y58">
        <v>0</v>
      </c>
      <c r="Z58">
        <v>0</v>
      </c>
      <c r="AA58">
        <v>0</v>
      </c>
      <c r="AD58">
        <v>0</v>
      </c>
      <c r="AM58">
        <v>20046750</v>
      </c>
      <c r="AN58" t="s">
        <v>182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5425</v>
      </c>
      <c r="BA58">
        <v>0</v>
      </c>
      <c r="BC58" t="s">
        <v>182</v>
      </c>
      <c r="BF58" t="s">
        <v>5426</v>
      </c>
    </row>
    <row r="59" spans="1:58" x14ac:dyDescent="0.35">
      <c r="A59" t="s">
        <v>5427</v>
      </c>
      <c r="B59">
        <v>10000</v>
      </c>
      <c r="C59">
        <v>10000</v>
      </c>
      <c r="D59" s="2">
        <v>45742</v>
      </c>
      <c r="E59" t="s">
        <v>61</v>
      </c>
      <c r="F59" t="s">
        <v>5428</v>
      </c>
      <c r="G59" t="s">
        <v>3292</v>
      </c>
      <c r="I59">
        <v>1</v>
      </c>
      <c r="J59" t="s">
        <v>63</v>
      </c>
      <c r="K59">
        <v>65</v>
      </c>
      <c r="L59" t="s">
        <v>268</v>
      </c>
      <c r="M59" s="4">
        <v>6667</v>
      </c>
      <c r="P59" s="2">
        <v>45741</v>
      </c>
      <c r="R59">
        <v>3</v>
      </c>
      <c r="S59" s="4">
        <v>20001</v>
      </c>
      <c r="T59" t="s">
        <v>65</v>
      </c>
      <c r="U59" t="s">
        <v>5429</v>
      </c>
      <c r="V59">
        <v>0</v>
      </c>
      <c r="W59" s="4">
        <v>20000</v>
      </c>
      <c r="X59">
        <v>1</v>
      </c>
      <c r="Y59">
        <v>0</v>
      </c>
      <c r="Z59">
        <v>0</v>
      </c>
      <c r="AA59">
        <v>0</v>
      </c>
      <c r="AD59">
        <v>0</v>
      </c>
      <c r="AM59" t="s">
        <v>5430</v>
      </c>
      <c r="AN59" t="s">
        <v>427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5431</v>
      </c>
      <c r="BA59">
        <v>0</v>
      </c>
      <c r="BC59" t="s">
        <v>427</v>
      </c>
      <c r="BF59" t="s">
        <v>5432</v>
      </c>
    </row>
    <row r="60" spans="1:58" x14ac:dyDescent="0.35">
      <c r="A60" t="s">
        <v>5433</v>
      </c>
      <c r="B60">
        <v>10000</v>
      </c>
      <c r="C60">
        <v>10000</v>
      </c>
      <c r="D60" s="2">
        <v>45749</v>
      </c>
      <c r="E60" t="s">
        <v>61</v>
      </c>
      <c r="F60" t="s">
        <v>5434</v>
      </c>
      <c r="G60" t="s">
        <v>4420</v>
      </c>
      <c r="I60">
        <v>1</v>
      </c>
      <c r="J60" t="s">
        <v>63</v>
      </c>
      <c r="K60">
        <v>88</v>
      </c>
      <c r="L60" t="s">
        <v>630</v>
      </c>
      <c r="M60">
        <v>800</v>
      </c>
      <c r="P60" s="2">
        <v>45741</v>
      </c>
      <c r="R60">
        <v>1</v>
      </c>
      <c r="S60">
        <v>800</v>
      </c>
      <c r="T60" t="s">
        <v>65</v>
      </c>
      <c r="U60">
        <v>107449670001</v>
      </c>
      <c r="V60">
        <v>0</v>
      </c>
      <c r="W60">
        <v>500</v>
      </c>
      <c r="X60">
        <v>300</v>
      </c>
      <c r="Y60">
        <v>0</v>
      </c>
      <c r="Z60">
        <v>0</v>
      </c>
      <c r="AA60">
        <v>0</v>
      </c>
      <c r="AD60">
        <v>0</v>
      </c>
      <c r="AM60">
        <v>10744967</v>
      </c>
      <c r="AN60" t="s">
        <v>487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5435</v>
      </c>
      <c r="BA60">
        <v>0</v>
      </c>
      <c r="BC60" t="s">
        <v>487</v>
      </c>
      <c r="BF60" t="s">
        <v>5436</v>
      </c>
    </row>
    <row r="61" spans="1:58" x14ac:dyDescent="0.35">
      <c r="A61" t="s">
        <v>5433</v>
      </c>
      <c r="B61">
        <v>10000</v>
      </c>
      <c r="C61">
        <v>20000</v>
      </c>
      <c r="D61" s="2">
        <v>45749</v>
      </c>
      <c r="E61" t="s">
        <v>61</v>
      </c>
      <c r="F61" t="s">
        <v>5434</v>
      </c>
      <c r="G61" t="s">
        <v>4420</v>
      </c>
      <c r="I61">
        <v>2</v>
      </c>
      <c r="J61" t="s">
        <v>63</v>
      </c>
      <c r="K61">
        <v>92</v>
      </c>
      <c r="L61" t="s">
        <v>424</v>
      </c>
      <c r="M61">
        <v>600</v>
      </c>
      <c r="P61" s="2">
        <v>45741</v>
      </c>
      <c r="R61">
        <v>1</v>
      </c>
      <c r="S61">
        <v>600</v>
      </c>
      <c r="T61" t="s">
        <v>65</v>
      </c>
      <c r="U61">
        <v>107449670001</v>
      </c>
      <c r="V61">
        <v>0</v>
      </c>
      <c r="W61">
        <v>500</v>
      </c>
      <c r="X61">
        <v>100</v>
      </c>
      <c r="Y61">
        <v>0</v>
      </c>
      <c r="Z61">
        <v>0</v>
      </c>
      <c r="AA61">
        <v>0</v>
      </c>
      <c r="AD61">
        <v>0</v>
      </c>
      <c r="AM61">
        <v>10744967</v>
      </c>
      <c r="AN61" t="s">
        <v>487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5435</v>
      </c>
      <c r="BA61">
        <v>0</v>
      </c>
      <c r="BC61" t="s">
        <v>487</v>
      </c>
      <c r="BF61" t="s">
        <v>5436</v>
      </c>
    </row>
    <row r="62" spans="1:58" x14ac:dyDescent="0.35">
      <c r="A62" t="s">
        <v>5437</v>
      </c>
      <c r="B62">
        <v>10000</v>
      </c>
      <c r="C62">
        <v>10000</v>
      </c>
      <c r="D62" s="2">
        <v>45749</v>
      </c>
      <c r="E62" t="s">
        <v>61</v>
      </c>
      <c r="F62" t="s">
        <v>5434</v>
      </c>
      <c r="G62" t="s">
        <v>4420</v>
      </c>
      <c r="I62">
        <v>1</v>
      </c>
      <c r="J62" t="s">
        <v>63</v>
      </c>
      <c r="K62">
        <v>88</v>
      </c>
      <c r="L62" t="s">
        <v>630</v>
      </c>
      <c r="M62">
        <v>20</v>
      </c>
      <c r="P62" s="2">
        <v>45741</v>
      </c>
      <c r="R62">
        <v>1</v>
      </c>
      <c r="S62">
        <v>20</v>
      </c>
      <c r="T62" t="s">
        <v>65</v>
      </c>
      <c r="U62">
        <v>107449670001</v>
      </c>
      <c r="V62">
        <v>0</v>
      </c>
      <c r="W62">
        <v>20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10744967</v>
      </c>
      <c r="AN62" t="s">
        <v>487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5438</v>
      </c>
      <c r="BA62">
        <v>0</v>
      </c>
      <c r="BC62" t="s">
        <v>487</v>
      </c>
      <c r="BF62" t="s">
        <v>5439</v>
      </c>
    </row>
    <row r="63" spans="1:58" x14ac:dyDescent="0.35">
      <c r="A63" t="s">
        <v>5437</v>
      </c>
      <c r="B63">
        <v>10000</v>
      </c>
      <c r="C63">
        <v>20000</v>
      </c>
      <c r="D63" s="2">
        <v>45749</v>
      </c>
      <c r="E63" t="s">
        <v>61</v>
      </c>
      <c r="F63" t="s">
        <v>5434</v>
      </c>
      <c r="G63" t="s">
        <v>4420</v>
      </c>
      <c r="I63">
        <v>2</v>
      </c>
      <c r="J63" t="s">
        <v>63</v>
      </c>
      <c r="K63">
        <v>92</v>
      </c>
      <c r="L63" t="s">
        <v>424</v>
      </c>
      <c r="M63">
        <v>20</v>
      </c>
      <c r="P63" s="2">
        <v>45741</v>
      </c>
      <c r="R63">
        <v>1</v>
      </c>
      <c r="S63">
        <v>20</v>
      </c>
      <c r="T63" t="s">
        <v>65</v>
      </c>
      <c r="U63">
        <v>107449670001</v>
      </c>
      <c r="V63">
        <v>0</v>
      </c>
      <c r="W63">
        <v>20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10744967</v>
      </c>
      <c r="AN63" t="s">
        <v>487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5438</v>
      </c>
      <c r="BA63">
        <v>0</v>
      </c>
      <c r="BC63" t="s">
        <v>487</v>
      </c>
      <c r="BF63" t="s">
        <v>5439</v>
      </c>
    </row>
    <row r="64" spans="1:58" x14ac:dyDescent="0.35">
      <c r="A64" t="s">
        <v>5440</v>
      </c>
      <c r="B64">
        <v>10000</v>
      </c>
      <c r="C64">
        <v>10000</v>
      </c>
      <c r="D64" s="2">
        <v>45741</v>
      </c>
      <c r="E64" t="s">
        <v>61</v>
      </c>
      <c r="F64" s="3">
        <v>0.47559027777777779</v>
      </c>
      <c r="G64">
        <v>40718205</v>
      </c>
      <c r="I64">
        <v>1</v>
      </c>
      <c r="J64" t="s">
        <v>63</v>
      </c>
      <c r="K64">
        <v>65</v>
      </c>
      <c r="L64" t="s">
        <v>268</v>
      </c>
      <c r="M64">
        <v>385</v>
      </c>
      <c r="P64" s="2">
        <v>45741</v>
      </c>
      <c r="R64">
        <v>26</v>
      </c>
      <c r="S64" s="4">
        <v>10020</v>
      </c>
      <c r="T64" t="s">
        <v>65</v>
      </c>
      <c r="U64" t="s">
        <v>5441</v>
      </c>
      <c r="V64">
        <v>0</v>
      </c>
      <c r="W64" s="4">
        <v>10000</v>
      </c>
      <c r="X64">
        <v>20</v>
      </c>
      <c r="Y64">
        <v>0</v>
      </c>
      <c r="Z64">
        <v>0</v>
      </c>
      <c r="AA64">
        <v>0</v>
      </c>
      <c r="AD64">
        <v>0</v>
      </c>
      <c r="AM64" t="s">
        <v>5442</v>
      </c>
      <c r="AN64" t="s">
        <v>1424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5443</v>
      </c>
      <c r="BA64">
        <v>0</v>
      </c>
      <c r="BC64" t="s">
        <v>1424</v>
      </c>
      <c r="BF64" t="s">
        <v>5444</v>
      </c>
    </row>
    <row r="65" spans="1:58" x14ac:dyDescent="0.35">
      <c r="A65" t="s">
        <v>5440</v>
      </c>
      <c r="B65">
        <v>20000</v>
      </c>
      <c r="C65">
        <v>10000</v>
      </c>
      <c r="D65" s="2">
        <v>45741</v>
      </c>
      <c r="E65" t="s">
        <v>61</v>
      </c>
      <c r="F65" s="3">
        <v>0.47559027777777779</v>
      </c>
      <c r="G65">
        <v>40718205</v>
      </c>
      <c r="I65">
        <v>1</v>
      </c>
      <c r="J65" t="s">
        <v>63</v>
      </c>
      <c r="K65">
        <v>65</v>
      </c>
      <c r="L65" t="s">
        <v>268</v>
      </c>
      <c r="M65">
        <v>385</v>
      </c>
      <c r="P65" s="2">
        <v>45741</v>
      </c>
      <c r="R65">
        <v>26</v>
      </c>
      <c r="S65" s="4">
        <v>10000</v>
      </c>
      <c r="T65" t="s">
        <v>65</v>
      </c>
      <c r="U65" t="s">
        <v>5441</v>
      </c>
      <c r="V65">
        <v>0</v>
      </c>
      <c r="W65" s="4">
        <v>10000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5442</v>
      </c>
      <c r="AN65" t="s">
        <v>1424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5443</v>
      </c>
      <c r="BA65">
        <v>0</v>
      </c>
      <c r="BC65" t="s">
        <v>1424</v>
      </c>
      <c r="BF65" t="s">
        <v>5444</v>
      </c>
    </row>
    <row r="66" spans="1:58" x14ac:dyDescent="0.35">
      <c r="A66" t="s">
        <v>5445</v>
      </c>
      <c r="B66">
        <v>10000</v>
      </c>
      <c r="C66">
        <v>10000</v>
      </c>
      <c r="D66" s="2">
        <v>45749</v>
      </c>
      <c r="E66" t="s">
        <v>61</v>
      </c>
      <c r="F66" t="s">
        <v>4036</v>
      </c>
      <c r="G66" t="s">
        <v>4420</v>
      </c>
      <c r="I66">
        <v>1</v>
      </c>
      <c r="J66" t="s">
        <v>63</v>
      </c>
      <c r="K66">
        <v>88</v>
      </c>
      <c r="L66" t="s">
        <v>630</v>
      </c>
      <c r="M66">
        <v>800</v>
      </c>
      <c r="P66" s="2">
        <v>45741</v>
      </c>
      <c r="R66">
        <v>1</v>
      </c>
      <c r="S66">
        <v>800</v>
      </c>
      <c r="T66" t="s">
        <v>65</v>
      </c>
      <c r="U66">
        <v>107472350001</v>
      </c>
      <c r="V66">
        <v>0</v>
      </c>
      <c r="W66">
        <v>500</v>
      </c>
      <c r="X66">
        <v>300</v>
      </c>
      <c r="Y66">
        <v>0</v>
      </c>
      <c r="Z66">
        <v>0</v>
      </c>
      <c r="AA66">
        <v>0</v>
      </c>
      <c r="AD66">
        <v>0</v>
      </c>
      <c r="AM66">
        <v>10747235</v>
      </c>
      <c r="AN66" t="s">
        <v>487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5446</v>
      </c>
      <c r="BA66">
        <v>0</v>
      </c>
      <c r="BC66" t="s">
        <v>487</v>
      </c>
      <c r="BF66" t="s">
        <v>5447</v>
      </c>
    </row>
    <row r="67" spans="1:58" x14ac:dyDescent="0.35">
      <c r="A67" t="s">
        <v>5448</v>
      </c>
      <c r="B67">
        <v>10000</v>
      </c>
      <c r="C67">
        <v>10000</v>
      </c>
      <c r="D67" s="2">
        <v>45749</v>
      </c>
      <c r="E67" t="s">
        <v>61</v>
      </c>
      <c r="F67" t="s">
        <v>4036</v>
      </c>
      <c r="G67" t="s">
        <v>4420</v>
      </c>
      <c r="I67">
        <v>1</v>
      </c>
      <c r="J67" t="s">
        <v>63</v>
      </c>
      <c r="K67">
        <v>88</v>
      </c>
      <c r="L67" t="s">
        <v>630</v>
      </c>
      <c r="M67">
        <v>800</v>
      </c>
      <c r="P67" s="2">
        <v>45741</v>
      </c>
      <c r="R67">
        <v>1</v>
      </c>
      <c r="S67">
        <v>800</v>
      </c>
      <c r="T67" t="s">
        <v>65</v>
      </c>
      <c r="U67">
        <v>107472360001</v>
      </c>
      <c r="V67">
        <v>0</v>
      </c>
      <c r="W67">
        <v>500</v>
      </c>
      <c r="X67">
        <v>300</v>
      </c>
      <c r="Y67">
        <v>0</v>
      </c>
      <c r="Z67">
        <v>0</v>
      </c>
      <c r="AA67">
        <v>0</v>
      </c>
      <c r="AD67">
        <v>0</v>
      </c>
      <c r="AM67">
        <v>10747236</v>
      </c>
      <c r="AN67" t="s">
        <v>487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5449</v>
      </c>
      <c r="BA67">
        <v>0</v>
      </c>
      <c r="BC67" t="s">
        <v>487</v>
      </c>
      <c r="BF67" t="s">
        <v>5447</v>
      </c>
    </row>
    <row r="68" spans="1:58" x14ac:dyDescent="0.35">
      <c r="A68" t="s">
        <v>5448</v>
      </c>
      <c r="B68">
        <v>10000</v>
      </c>
      <c r="C68">
        <v>20000</v>
      </c>
      <c r="D68" s="2">
        <v>45749</v>
      </c>
      <c r="E68" t="s">
        <v>61</v>
      </c>
      <c r="F68" t="s">
        <v>5450</v>
      </c>
      <c r="G68" t="s">
        <v>4420</v>
      </c>
      <c r="I68">
        <v>2</v>
      </c>
      <c r="J68" t="s">
        <v>63</v>
      </c>
      <c r="K68">
        <v>92</v>
      </c>
      <c r="L68" t="s">
        <v>424</v>
      </c>
      <c r="M68">
        <v>600</v>
      </c>
      <c r="P68" s="2">
        <v>45741</v>
      </c>
      <c r="R68">
        <v>1</v>
      </c>
      <c r="S68">
        <v>600</v>
      </c>
      <c r="T68" t="s">
        <v>65</v>
      </c>
      <c r="U68">
        <v>107472360001</v>
      </c>
      <c r="V68">
        <v>0</v>
      </c>
      <c r="W68">
        <v>500</v>
      </c>
      <c r="X68">
        <v>100</v>
      </c>
      <c r="Y68">
        <v>0</v>
      </c>
      <c r="Z68">
        <v>0</v>
      </c>
      <c r="AA68">
        <v>0</v>
      </c>
      <c r="AD68">
        <v>0</v>
      </c>
      <c r="AM68">
        <v>10747236</v>
      </c>
      <c r="AN68" t="s">
        <v>487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5449</v>
      </c>
      <c r="BA68">
        <v>0</v>
      </c>
      <c r="BC68" t="s">
        <v>487</v>
      </c>
      <c r="BF68" t="s">
        <v>5447</v>
      </c>
    </row>
    <row r="69" spans="1:58" x14ac:dyDescent="0.35">
      <c r="A69" t="s">
        <v>5451</v>
      </c>
      <c r="B69">
        <v>10000</v>
      </c>
      <c r="C69">
        <v>10000</v>
      </c>
      <c r="D69" s="2">
        <v>45749</v>
      </c>
      <c r="E69" t="s">
        <v>61</v>
      </c>
      <c r="F69" t="s">
        <v>4036</v>
      </c>
      <c r="G69" t="s">
        <v>4420</v>
      </c>
      <c r="I69">
        <v>1</v>
      </c>
      <c r="J69" t="s">
        <v>63</v>
      </c>
      <c r="K69">
        <v>88</v>
      </c>
      <c r="L69" t="s">
        <v>630</v>
      </c>
      <c r="M69">
        <v>20</v>
      </c>
      <c r="P69" s="2">
        <v>45741</v>
      </c>
      <c r="R69">
        <v>1</v>
      </c>
      <c r="S69">
        <v>20</v>
      </c>
      <c r="T69" t="s">
        <v>65</v>
      </c>
      <c r="U69">
        <v>107472350001</v>
      </c>
      <c r="V69">
        <v>0</v>
      </c>
      <c r="W69">
        <v>20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10747235</v>
      </c>
      <c r="AN69" t="s">
        <v>487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5452</v>
      </c>
      <c r="BA69">
        <v>0</v>
      </c>
      <c r="BC69" t="s">
        <v>487</v>
      </c>
      <c r="BF69" t="s">
        <v>5453</v>
      </c>
    </row>
    <row r="70" spans="1:58" x14ac:dyDescent="0.35">
      <c r="A70" t="s">
        <v>5454</v>
      </c>
      <c r="B70">
        <v>10000</v>
      </c>
      <c r="C70">
        <v>10000</v>
      </c>
      <c r="D70" s="2">
        <v>45749</v>
      </c>
      <c r="E70" t="s">
        <v>61</v>
      </c>
      <c r="F70" t="s">
        <v>5450</v>
      </c>
      <c r="G70" t="s">
        <v>4420</v>
      </c>
      <c r="I70">
        <v>1</v>
      </c>
      <c r="J70" t="s">
        <v>63</v>
      </c>
      <c r="K70">
        <v>88</v>
      </c>
      <c r="L70" t="s">
        <v>630</v>
      </c>
      <c r="M70">
        <v>20</v>
      </c>
      <c r="P70" s="2">
        <v>45741</v>
      </c>
      <c r="R70">
        <v>1</v>
      </c>
      <c r="S70">
        <v>20</v>
      </c>
      <c r="T70" t="s">
        <v>65</v>
      </c>
      <c r="U70">
        <v>107472360001</v>
      </c>
      <c r="V70">
        <v>0</v>
      </c>
      <c r="W70">
        <v>20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10747236</v>
      </c>
      <c r="AN70" t="s">
        <v>487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5455</v>
      </c>
      <c r="BA70">
        <v>0</v>
      </c>
      <c r="BC70" t="s">
        <v>487</v>
      </c>
      <c r="BF70" t="s">
        <v>5453</v>
      </c>
    </row>
    <row r="71" spans="1:58" x14ac:dyDescent="0.35">
      <c r="A71" t="s">
        <v>5454</v>
      </c>
      <c r="B71">
        <v>10000</v>
      </c>
      <c r="C71">
        <v>20000</v>
      </c>
      <c r="D71" s="2">
        <v>45749</v>
      </c>
      <c r="E71" t="s">
        <v>61</v>
      </c>
      <c r="F71" t="s">
        <v>5450</v>
      </c>
      <c r="G71" t="s">
        <v>4420</v>
      </c>
      <c r="I71">
        <v>2</v>
      </c>
      <c r="J71" t="s">
        <v>63</v>
      </c>
      <c r="K71">
        <v>92</v>
      </c>
      <c r="L71" t="s">
        <v>424</v>
      </c>
      <c r="M71">
        <v>20</v>
      </c>
      <c r="P71" s="2">
        <v>45741</v>
      </c>
      <c r="R71">
        <v>1</v>
      </c>
      <c r="S71">
        <v>20</v>
      </c>
      <c r="T71" t="s">
        <v>65</v>
      </c>
      <c r="U71">
        <v>107472360001</v>
      </c>
      <c r="V71">
        <v>0</v>
      </c>
      <c r="W71">
        <v>20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10747236</v>
      </c>
      <c r="AN71" t="s">
        <v>487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5455</v>
      </c>
      <c r="BA71">
        <v>0</v>
      </c>
      <c r="BC71" t="s">
        <v>487</v>
      </c>
      <c r="BF71" t="s">
        <v>5453</v>
      </c>
    </row>
    <row r="72" spans="1:58" x14ac:dyDescent="0.35">
      <c r="A72" t="s">
        <v>5456</v>
      </c>
      <c r="B72">
        <v>10000</v>
      </c>
      <c r="C72">
        <v>10000</v>
      </c>
      <c r="D72" s="2">
        <v>45741</v>
      </c>
      <c r="E72" t="s">
        <v>61</v>
      </c>
      <c r="F72" t="s">
        <v>5457</v>
      </c>
      <c r="G72" t="s">
        <v>5458</v>
      </c>
      <c r="I72">
        <v>1</v>
      </c>
      <c r="J72" t="s">
        <v>63</v>
      </c>
      <c r="K72">
        <v>65</v>
      </c>
      <c r="L72" t="s">
        <v>268</v>
      </c>
      <c r="M72" s="4">
        <v>6667</v>
      </c>
      <c r="P72" s="2">
        <v>45741</v>
      </c>
      <c r="R72">
        <v>30</v>
      </c>
      <c r="S72" s="4">
        <v>200010</v>
      </c>
      <c r="T72" t="s">
        <v>65</v>
      </c>
      <c r="U72" t="s">
        <v>5459</v>
      </c>
      <c r="V72">
        <v>0</v>
      </c>
      <c r="W72" s="4">
        <v>200000</v>
      </c>
      <c r="X72">
        <v>10</v>
      </c>
      <c r="Y72">
        <v>0</v>
      </c>
      <c r="Z72">
        <v>0</v>
      </c>
      <c r="AA72">
        <v>0</v>
      </c>
      <c r="AD72">
        <v>0</v>
      </c>
      <c r="AM72" t="s">
        <v>5460</v>
      </c>
      <c r="AN72" t="s">
        <v>5461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5462</v>
      </c>
      <c r="BA72">
        <v>0</v>
      </c>
      <c r="BC72" t="s">
        <v>5461</v>
      </c>
      <c r="BF72" t="s">
        <v>5463</v>
      </c>
    </row>
    <row r="73" spans="1:58" x14ac:dyDescent="0.35">
      <c r="A73" t="s">
        <v>5464</v>
      </c>
      <c r="B73">
        <v>10000</v>
      </c>
      <c r="C73">
        <v>10000</v>
      </c>
      <c r="D73" s="2">
        <v>45742</v>
      </c>
      <c r="E73" t="s">
        <v>61</v>
      </c>
      <c r="F73" t="s">
        <v>5465</v>
      </c>
      <c r="G73" t="s">
        <v>5466</v>
      </c>
      <c r="I73">
        <v>1</v>
      </c>
      <c r="J73" t="s">
        <v>63</v>
      </c>
      <c r="K73">
        <v>88</v>
      </c>
      <c r="L73" t="s">
        <v>630</v>
      </c>
      <c r="M73">
        <v>800</v>
      </c>
      <c r="P73" s="2">
        <v>45741</v>
      </c>
      <c r="R73">
        <v>1</v>
      </c>
      <c r="S73">
        <v>800</v>
      </c>
      <c r="T73" t="s">
        <v>65</v>
      </c>
      <c r="U73">
        <v>190073640001</v>
      </c>
      <c r="V73">
        <v>0</v>
      </c>
      <c r="W73">
        <v>500</v>
      </c>
      <c r="X73">
        <v>300</v>
      </c>
      <c r="Y73">
        <v>0</v>
      </c>
      <c r="Z73">
        <v>0</v>
      </c>
      <c r="AA73">
        <v>0</v>
      </c>
      <c r="AD73">
        <v>0</v>
      </c>
      <c r="AM73">
        <v>19007364</v>
      </c>
      <c r="AN73" t="s">
        <v>487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5467</v>
      </c>
      <c r="BA73">
        <v>0</v>
      </c>
      <c r="BC73" t="s">
        <v>487</v>
      </c>
      <c r="BF73" t="s">
        <v>5468</v>
      </c>
    </row>
    <row r="74" spans="1:58" x14ac:dyDescent="0.35">
      <c r="A74" t="s">
        <v>5464</v>
      </c>
      <c r="B74">
        <v>10000</v>
      </c>
      <c r="C74">
        <v>20000</v>
      </c>
      <c r="D74" s="2">
        <v>45742</v>
      </c>
      <c r="E74" t="s">
        <v>61</v>
      </c>
      <c r="F74" t="s">
        <v>5465</v>
      </c>
      <c r="G74" t="s">
        <v>5466</v>
      </c>
      <c r="I74">
        <v>2</v>
      </c>
      <c r="J74" t="s">
        <v>63</v>
      </c>
      <c r="K74">
        <v>100</v>
      </c>
      <c r="L74" t="s">
        <v>424</v>
      </c>
      <c r="M74">
        <v>600</v>
      </c>
      <c r="P74" s="2">
        <v>45741</v>
      </c>
      <c r="R74">
        <v>1</v>
      </c>
      <c r="S74">
        <v>600</v>
      </c>
      <c r="T74" t="s">
        <v>65</v>
      </c>
      <c r="U74">
        <v>190073640001</v>
      </c>
      <c r="V74">
        <v>0</v>
      </c>
      <c r="W74">
        <v>500</v>
      </c>
      <c r="X74">
        <v>100</v>
      </c>
      <c r="Y74">
        <v>0</v>
      </c>
      <c r="Z74">
        <v>0</v>
      </c>
      <c r="AA74">
        <v>0</v>
      </c>
      <c r="AD74">
        <v>0</v>
      </c>
      <c r="AM74">
        <v>19007364</v>
      </c>
      <c r="AN74" t="s">
        <v>487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5467</v>
      </c>
      <c r="BA74">
        <v>0</v>
      </c>
      <c r="BC74" t="s">
        <v>487</v>
      </c>
      <c r="BF74" t="s">
        <v>5468</v>
      </c>
    </row>
    <row r="75" spans="1:58" x14ac:dyDescent="0.35">
      <c r="A75" t="s">
        <v>5469</v>
      </c>
      <c r="B75">
        <v>10000</v>
      </c>
      <c r="C75">
        <v>10000</v>
      </c>
      <c r="D75" s="2">
        <v>45742</v>
      </c>
      <c r="E75" t="s">
        <v>61</v>
      </c>
      <c r="F75" t="s">
        <v>5470</v>
      </c>
      <c r="G75" t="s">
        <v>5466</v>
      </c>
      <c r="I75">
        <v>1</v>
      </c>
      <c r="J75" t="s">
        <v>63</v>
      </c>
      <c r="K75">
        <v>88</v>
      </c>
      <c r="L75" t="s">
        <v>630</v>
      </c>
      <c r="M75">
        <v>800</v>
      </c>
      <c r="P75" s="2">
        <v>45741</v>
      </c>
      <c r="R75">
        <v>1</v>
      </c>
      <c r="S75">
        <v>800</v>
      </c>
      <c r="T75" t="s">
        <v>65</v>
      </c>
      <c r="U75">
        <v>190073660001</v>
      </c>
      <c r="V75">
        <v>0</v>
      </c>
      <c r="W75">
        <v>500</v>
      </c>
      <c r="X75">
        <v>300</v>
      </c>
      <c r="Y75">
        <v>0</v>
      </c>
      <c r="Z75">
        <v>0</v>
      </c>
      <c r="AA75">
        <v>0</v>
      </c>
      <c r="AD75">
        <v>0</v>
      </c>
      <c r="AM75">
        <v>19007366</v>
      </c>
      <c r="AN75" t="s">
        <v>487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5471</v>
      </c>
      <c r="BA75">
        <v>0</v>
      </c>
      <c r="BC75" t="s">
        <v>487</v>
      </c>
      <c r="BF75" t="s">
        <v>5468</v>
      </c>
    </row>
    <row r="76" spans="1:58" x14ac:dyDescent="0.35">
      <c r="A76" t="s">
        <v>5469</v>
      </c>
      <c r="B76">
        <v>10000</v>
      </c>
      <c r="C76">
        <v>20000</v>
      </c>
      <c r="D76" s="2">
        <v>45742</v>
      </c>
      <c r="E76" t="s">
        <v>61</v>
      </c>
      <c r="F76" t="s">
        <v>5470</v>
      </c>
      <c r="G76" t="s">
        <v>5466</v>
      </c>
      <c r="I76">
        <v>2</v>
      </c>
      <c r="J76" t="s">
        <v>63</v>
      </c>
      <c r="K76">
        <v>100</v>
      </c>
      <c r="L76" t="s">
        <v>424</v>
      </c>
      <c r="M76">
        <v>600</v>
      </c>
      <c r="P76" s="2">
        <v>45741</v>
      </c>
      <c r="R76">
        <v>1</v>
      </c>
      <c r="S76">
        <v>600</v>
      </c>
      <c r="T76" t="s">
        <v>65</v>
      </c>
      <c r="U76">
        <v>190073660001</v>
      </c>
      <c r="V76">
        <v>0</v>
      </c>
      <c r="W76">
        <v>500</v>
      </c>
      <c r="X76">
        <v>100</v>
      </c>
      <c r="Y76">
        <v>0</v>
      </c>
      <c r="Z76">
        <v>0</v>
      </c>
      <c r="AA76">
        <v>0</v>
      </c>
      <c r="AD76">
        <v>0</v>
      </c>
      <c r="AM76">
        <v>19007366</v>
      </c>
      <c r="AN76" t="s">
        <v>487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5471</v>
      </c>
      <c r="BA76">
        <v>0</v>
      </c>
      <c r="BC76" t="s">
        <v>487</v>
      </c>
      <c r="BF76" t="s">
        <v>5468</v>
      </c>
    </row>
    <row r="77" spans="1:58" x14ac:dyDescent="0.35">
      <c r="A77" t="s">
        <v>5472</v>
      </c>
      <c r="B77">
        <v>10000</v>
      </c>
      <c r="C77">
        <v>10000</v>
      </c>
      <c r="D77" s="2">
        <v>45742</v>
      </c>
      <c r="E77" t="s">
        <v>61</v>
      </c>
      <c r="F77" t="s">
        <v>5473</v>
      </c>
      <c r="G77" t="s">
        <v>5466</v>
      </c>
      <c r="I77">
        <v>1</v>
      </c>
      <c r="J77" t="s">
        <v>63</v>
      </c>
      <c r="K77">
        <v>88</v>
      </c>
      <c r="L77" t="s">
        <v>630</v>
      </c>
      <c r="M77">
        <v>20</v>
      </c>
      <c r="P77" s="2">
        <v>45741</v>
      </c>
      <c r="R77">
        <v>1</v>
      </c>
      <c r="S77">
        <v>20</v>
      </c>
      <c r="T77" t="s">
        <v>65</v>
      </c>
      <c r="U77">
        <v>190073640001</v>
      </c>
      <c r="V77">
        <v>0</v>
      </c>
      <c r="W77">
        <v>20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19007364</v>
      </c>
      <c r="AN77" t="s">
        <v>487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5474</v>
      </c>
      <c r="BA77">
        <v>0</v>
      </c>
      <c r="BC77" t="s">
        <v>487</v>
      </c>
      <c r="BF77" t="s">
        <v>5475</v>
      </c>
    </row>
    <row r="78" spans="1:58" x14ac:dyDescent="0.35">
      <c r="A78" t="s">
        <v>5472</v>
      </c>
      <c r="B78">
        <v>10000</v>
      </c>
      <c r="C78">
        <v>20000</v>
      </c>
      <c r="D78" s="2">
        <v>45742</v>
      </c>
      <c r="E78" t="s">
        <v>61</v>
      </c>
      <c r="F78" t="s">
        <v>5473</v>
      </c>
      <c r="G78" t="s">
        <v>5466</v>
      </c>
      <c r="I78">
        <v>2</v>
      </c>
      <c r="J78" t="s">
        <v>63</v>
      </c>
      <c r="K78">
        <v>100</v>
      </c>
      <c r="L78" t="s">
        <v>424</v>
      </c>
      <c r="M78">
        <v>20</v>
      </c>
      <c r="P78" s="2">
        <v>45741</v>
      </c>
      <c r="R78">
        <v>1</v>
      </c>
      <c r="S78">
        <v>20</v>
      </c>
      <c r="T78" t="s">
        <v>65</v>
      </c>
      <c r="U78">
        <v>190073640001</v>
      </c>
      <c r="V78">
        <v>0</v>
      </c>
      <c r="W78">
        <v>20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19007364</v>
      </c>
      <c r="AN78" t="s">
        <v>487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5474</v>
      </c>
      <c r="BA78">
        <v>0</v>
      </c>
      <c r="BC78" t="s">
        <v>487</v>
      </c>
      <c r="BF78" t="s">
        <v>5475</v>
      </c>
    </row>
    <row r="79" spans="1:58" x14ac:dyDescent="0.35">
      <c r="A79" t="s">
        <v>5476</v>
      </c>
      <c r="B79">
        <v>10000</v>
      </c>
      <c r="C79">
        <v>10000</v>
      </c>
      <c r="D79" s="2">
        <v>45742</v>
      </c>
      <c r="E79" t="s">
        <v>61</v>
      </c>
      <c r="F79" t="s">
        <v>5477</v>
      </c>
      <c r="G79" t="s">
        <v>5466</v>
      </c>
      <c r="I79">
        <v>1</v>
      </c>
      <c r="J79" t="s">
        <v>63</v>
      </c>
      <c r="K79">
        <v>88</v>
      </c>
      <c r="L79" t="s">
        <v>630</v>
      </c>
      <c r="M79">
        <v>20</v>
      </c>
      <c r="P79" s="2">
        <v>45741</v>
      </c>
      <c r="R79">
        <v>1</v>
      </c>
      <c r="S79">
        <v>20</v>
      </c>
      <c r="T79" t="s">
        <v>65</v>
      </c>
      <c r="U79">
        <v>190073660001</v>
      </c>
      <c r="V79">
        <v>0</v>
      </c>
      <c r="W79">
        <v>20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19007366</v>
      </c>
      <c r="AN79" t="s">
        <v>487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5478</v>
      </c>
      <c r="BA79">
        <v>0</v>
      </c>
      <c r="BC79" t="s">
        <v>487</v>
      </c>
      <c r="BF79" t="s">
        <v>5475</v>
      </c>
    </row>
    <row r="80" spans="1:58" x14ac:dyDescent="0.35">
      <c r="A80" t="s">
        <v>5476</v>
      </c>
      <c r="B80">
        <v>10000</v>
      </c>
      <c r="C80">
        <v>20000</v>
      </c>
      <c r="D80" s="2">
        <v>45742</v>
      </c>
      <c r="E80" t="s">
        <v>61</v>
      </c>
      <c r="F80" t="s">
        <v>5477</v>
      </c>
      <c r="G80" t="s">
        <v>5466</v>
      </c>
      <c r="I80">
        <v>2</v>
      </c>
      <c r="J80" t="s">
        <v>63</v>
      </c>
      <c r="K80">
        <v>100</v>
      </c>
      <c r="L80" t="s">
        <v>424</v>
      </c>
      <c r="M80">
        <v>20</v>
      </c>
      <c r="P80" s="2">
        <v>45741</v>
      </c>
      <c r="R80">
        <v>1</v>
      </c>
      <c r="S80">
        <v>20</v>
      </c>
      <c r="T80" t="s">
        <v>65</v>
      </c>
      <c r="U80">
        <v>190073660001</v>
      </c>
      <c r="V80">
        <v>0</v>
      </c>
      <c r="W80">
        <v>20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19007366</v>
      </c>
      <c r="AN80" t="s">
        <v>487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5478</v>
      </c>
      <c r="BA80">
        <v>0</v>
      </c>
      <c r="BC80" t="s">
        <v>487</v>
      </c>
      <c r="BF80" t="s">
        <v>5475</v>
      </c>
    </row>
    <row r="81" spans="1:58" x14ac:dyDescent="0.35">
      <c r="A81" t="s">
        <v>5479</v>
      </c>
      <c r="B81">
        <v>10000</v>
      </c>
      <c r="C81">
        <v>10000</v>
      </c>
      <c r="D81" s="2">
        <v>45742</v>
      </c>
      <c r="E81" t="s">
        <v>61</v>
      </c>
      <c r="F81" t="s">
        <v>5480</v>
      </c>
      <c r="G81" t="s">
        <v>4340</v>
      </c>
      <c r="I81">
        <v>1</v>
      </c>
      <c r="J81" t="s">
        <v>63</v>
      </c>
      <c r="K81">
        <v>72</v>
      </c>
      <c r="L81" t="s">
        <v>163</v>
      </c>
      <c r="M81" s="4">
        <v>9000</v>
      </c>
      <c r="P81" s="2">
        <v>45741</v>
      </c>
      <c r="R81">
        <v>4</v>
      </c>
      <c r="S81" s="4">
        <v>36000</v>
      </c>
      <c r="T81" t="s">
        <v>65</v>
      </c>
      <c r="U81" t="s">
        <v>5481</v>
      </c>
      <c r="V81">
        <v>0</v>
      </c>
      <c r="W81" s="4">
        <v>30000</v>
      </c>
      <c r="X81" s="4">
        <v>6000</v>
      </c>
      <c r="Y81">
        <v>0</v>
      </c>
      <c r="Z81">
        <v>0</v>
      </c>
      <c r="AA81">
        <v>0</v>
      </c>
      <c r="AD81">
        <v>0</v>
      </c>
      <c r="AM81" t="s">
        <v>5482</v>
      </c>
      <c r="AN81" t="s">
        <v>91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5483</v>
      </c>
      <c r="BA81">
        <v>0</v>
      </c>
      <c r="BC81" t="s">
        <v>91</v>
      </c>
      <c r="BF81" t="s">
        <v>5484</v>
      </c>
    </row>
    <row r="82" spans="1:58" x14ac:dyDescent="0.35">
      <c r="A82" t="s">
        <v>5485</v>
      </c>
      <c r="B82">
        <v>10000</v>
      </c>
      <c r="C82">
        <v>10000</v>
      </c>
      <c r="D82" s="2">
        <v>45742</v>
      </c>
      <c r="E82" t="s">
        <v>61</v>
      </c>
      <c r="F82" s="3">
        <v>0.46181712962962962</v>
      </c>
      <c r="G82" t="s">
        <v>4340</v>
      </c>
      <c r="I82">
        <v>1</v>
      </c>
      <c r="J82" t="s">
        <v>63</v>
      </c>
      <c r="K82">
        <v>72</v>
      </c>
      <c r="L82" t="s">
        <v>163</v>
      </c>
      <c r="M82" s="4">
        <v>3000</v>
      </c>
      <c r="P82" s="2">
        <v>45741</v>
      </c>
      <c r="R82">
        <v>4</v>
      </c>
      <c r="S82" s="4">
        <v>12000</v>
      </c>
      <c r="T82" t="s">
        <v>65</v>
      </c>
      <c r="U82" t="s">
        <v>5486</v>
      </c>
      <c r="V82">
        <v>0</v>
      </c>
      <c r="W82" s="4">
        <v>10000</v>
      </c>
      <c r="X82" s="4">
        <v>2000</v>
      </c>
      <c r="Y82">
        <v>0</v>
      </c>
      <c r="Z82">
        <v>0</v>
      </c>
      <c r="AA82">
        <v>0</v>
      </c>
      <c r="AD82">
        <v>0</v>
      </c>
      <c r="AM82" t="s">
        <v>5487</v>
      </c>
      <c r="AN82" t="s">
        <v>91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69</v>
      </c>
      <c r="AZ82" t="s">
        <v>5488</v>
      </c>
      <c r="BA82">
        <v>0</v>
      </c>
      <c r="BC82" t="s">
        <v>91</v>
      </c>
      <c r="BF82" t="s">
        <v>5484</v>
      </c>
    </row>
    <row r="83" spans="1:58" x14ac:dyDescent="0.35">
      <c r="A83" t="s">
        <v>5485</v>
      </c>
      <c r="B83">
        <v>10000</v>
      </c>
      <c r="C83">
        <v>20000</v>
      </c>
      <c r="D83" s="2">
        <v>45742</v>
      </c>
      <c r="E83" t="s">
        <v>61</v>
      </c>
      <c r="F83" s="3">
        <v>0.46181712962962962</v>
      </c>
      <c r="G83" t="s">
        <v>4340</v>
      </c>
      <c r="I83">
        <v>2</v>
      </c>
      <c r="J83" t="s">
        <v>63</v>
      </c>
      <c r="K83">
        <v>71</v>
      </c>
      <c r="L83" t="s">
        <v>135</v>
      </c>
      <c r="M83" s="4">
        <v>2500</v>
      </c>
      <c r="P83" s="2">
        <v>45741</v>
      </c>
      <c r="R83">
        <v>4</v>
      </c>
      <c r="S83" s="4">
        <v>10000</v>
      </c>
      <c r="T83" t="s">
        <v>65</v>
      </c>
      <c r="U83" t="s">
        <v>5486</v>
      </c>
      <c r="V83">
        <v>0</v>
      </c>
      <c r="W83" s="4">
        <v>10000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5487</v>
      </c>
      <c r="AN83" t="s">
        <v>91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69</v>
      </c>
      <c r="AZ83" t="s">
        <v>5488</v>
      </c>
      <c r="BA83">
        <v>0</v>
      </c>
      <c r="BC83" t="s">
        <v>91</v>
      </c>
      <c r="BF83" t="s">
        <v>5484</v>
      </c>
    </row>
    <row r="84" spans="1:58" x14ac:dyDescent="0.35">
      <c r="A84" t="s">
        <v>5489</v>
      </c>
      <c r="B84">
        <v>10000</v>
      </c>
      <c r="C84">
        <v>10000</v>
      </c>
      <c r="D84" s="2">
        <v>45742</v>
      </c>
      <c r="E84" t="s">
        <v>61</v>
      </c>
      <c r="F84" s="3">
        <v>0.46135416666666668</v>
      </c>
      <c r="G84" t="s">
        <v>4340</v>
      </c>
      <c r="I84">
        <v>1</v>
      </c>
      <c r="J84" t="s">
        <v>63</v>
      </c>
      <c r="K84">
        <v>72</v>
      </c>
      <c r="L84" t="s">
        <v>163</v>
      </c>
      <c r="M84" s="4">
        <v>3000</v>
      </c>
      <c r="P84" s="2">
        <v>45741</v>
      </c>
      <c r="R84">
        <v>4</v>
      </c>
      <c r="S84" s="4">
        <v>12000</v>
      </c>
      <c r="T84" t="s">
        <v>65</v>
      </c>
      <c r="U84" t="s">
        <v>5490</v>
      </c>
      <c r="V84">
        <v>0</v>
      </c>
      <c r="W84" s="4">
        <v>10000</v>
      </c>
      <c r="X84" s="4">
        <v>2000</v>
      </c>
      <c r="Y84">
        <v>0</v>
      </c>
      <c r="Z84">
        <v>0</v>
      </c>
      <c r="AA84">
        <v>0</v>
      </c>
      <c r="AD84">
        <v>0</v>
      </c>
      <c r="AM84" t="s">
        <v>5491</v>
      </c>
      <c r="AN84" t="s">
        <v>91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69</v>
      </c>
      <c r="AZ84" t="s">
        <v>5492</v>
      </c>
      <c r="BA84">
        <v>0</v>
      </c>
      <c r="BC84" t="s">
        <v>91</v>
      </c>
      <c r="BF84" t="s">
        <v>5484</v>
      </c>
    </row>
    <row r="85" spans="1:58" x14ac:dyDescent="0.35">
      <c r="A85" t="s">
        <v>5493</v>
      </c>
      <c r="B85">
        <v>10000</v>
      </c>
      <c r="C85">
        <v>10000</v>
      </c>
      <c r="D85" s="2">
        <v>45742</v>
      </c>
      <c r="E85" t="s">
        <v>61</v>
      </c>
      <c r="F85" t="s">
        <v>5494</v>
      </c>
      <c r="G85" t="s">
        <v>4340</v>
      </c>
      <c r="I85">
        <v>1</v>
      </c>
      <c r="J85" t="s">
        <v>63</v>
      </c>
      <c r="K85">
        <v>72</v>
      </c>
      <c r="L85" t="s">
        <v>163</v>
      </c>
      <c r="M85" s="4">
        <v>6000</v>
      </c>
      <c r="P85" s="2">
        <v>45741</v>
      </c>
      <c r="R85">
        <v>4</v>
      </c>
      <c r="S85" s="4">
        <v>24000</v>
      </c>
      <c r="T85" t="s">
        <v>65</v>
      </c>
      <c r="U85" t="s">
        <v>5481</v>
      </c>
      <c r="V85">
        <v>0</v>
      </c>
      <c r="W85" s="4">
        <v>20000</v>
      </c>
      <c r="X85" s="4">
        <v>4000</v>
      </c>
      <c r="Y85">
        <v>0</v>
      </c>
      <c r="Z85">
        <v>0</v>
      </c>
      <c r="AA85">
        <v>0</v>
      </c>
      <c r="AD85">
        <v>0</v>
      </c>
      <c r="AM85" t="s">
        <v>5482</v>
      </c>
      <c r="AN85" t="s">
        <v>91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69</v>
      </c>
      <c r="AZ85" t="s">
        <v>5495</v>
      </c>
      <c r="BA85">
        <v>0</v>
      </c>
      <c r="BC85" t="s">
        <v>91</v>
      </c>
      <c r="BF85" t="s">
        <v>5496</v>
      </c>
    </row>
    <row r="86" spans="1:58" x14ac:dyDescent="0.35">
      <c r="A86" t="s">
        <v>5497</v>
      </c>
      <c r="B86">
        <v>10000</v>
      </c>
      <c r="C86">
        <v>10000</v>
      </c>
      <c r="D86" s="2">
        <v>45742</v>
      </c>
      <c r="E86" t="s">
        <v>61</v>
      </c>
      <c r="F86" s="3">
        <v>0.46219907407407407</v>
      </c>
      <c r="G86" t="s">
        <v>4340</v>
      </c>
      <c r="I86">
        <v>1</v>
      </c>
      <c r="J86" t="s">
        <v>63</v>
      </c>
      <c r="K86">
        <v>72</v>
      </c>
      <c r="L86" t="s">
        <v>163</v>
      </c>
      <c r="M86" s="4">
        <v>3000</v>
      </c>
      <c r="P86" s="2">
        <v>45741</v>
      </c>
      <c r="R86">
        <v>4</v>
      </c>
      <c r="S86" s="4">
        <v>12000</v>
      </c>
      <c r="T86" t="s">
        <v>65</v>
      </c>
      <c r="U86" t="s">
        <v>5486</v>
      </c>
      <c r="V86">
        <v>0</v>
      </c>
      <c r="W86" s="4">
        <v>10000</v>
      </c>
      <c r="X86" s="4">
        <v>2000</v>
      </c>
      <c r="Y86">
        <v>0</v>
      </c>
      <c r="Z86">
        <v>0</v>
      </c>
      <c r="AA86">
        <v>0</v>
      </c>
      <c r="AD86">
        <v>0</v>
      </c>
      <c r="AM86" t="s">
        <v>5487</v>
      </c>
      <c r="AN86" t="s">
        <v>91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69</v>
      </c>
      <c r="AZ86" t="s">
        <v>5498</v>
      </c>
      <c r="BA86">
        <v>0</v>
      </c>
      <c r="BC86" t="s">
        <v>91</v>
      </c>
      <c r="BF86" t="s">
        <v>5496</v>
      </c>
    </row>
    <row r="87" spans="1:58" x14ac:dyDescent="0.35">
      <c r="A87" t="s">
        <v>5497</v>
      </c>
      <c r="B87">
        <v>10000</v>
      </c>
      <c r="C87">
        <v>20000</v>
      </c>
      <c r="D87" s="2">
        <v>45742</v>
      </c>
      <c r="E87" t="s">
        <v>61</v>
      </c>
      <c r="F87" s="3">
        <v>0.46219907407407407</v>
      </c>
      <c r="G87" t="s">
        <v>4340</v>
      </c>
      <c r="I87">
        <v>2</v>
      </c>
      <c r="J87" t="s">
        <v>63</v>
      </c>
      <c r="K87">
        <v>71</v>
      </c>
      <c r="L87" t="s">
        <v>135</v>
      </c>
      <c r="M87" s="4">
        <v>2500</v>
      </c>
      <c r="P87" s="2">
        <v>45741</v>
      </c>
      <c r="R87">
        <v>4</v>
      </c>
      <c r="S87" s="4">
        <v>10000</v>
      </c>
      <c r="T87" t="s">
        <v>65</v>
      </c>
      <c r="U87" t="s">
        <v>5486</v>
      </c>
      <c r="V87">
        <v>0</v>
      </c>
      <c r="W87" s="4">
        <v>10000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5487</v>
      </c>
      <c r="AN87" t="s">
        <v>91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69</v>
      </c>
      <c r="AZ87" t="s">
        <v>5498</v>
      </c>
      <c r="BA87">
        <v>0</v>
      </c>
      <c r="BC87" t="s">
        <v>91</v>
      </c>
      <c r="BF87" t="s">
        <v>5496</v>
      </c>
    </row>
    <row r="88" spans="1:58" x14ac:dyDescent="0.35">
      <c r="A88" t="s">
        <v>5499</v>
      </c>
      <c r="B88">
        <v>10000</v>
      </c>
      <c r="C88">
        <v>10000</v>
      </c>
      <c r="D88" s="2">
        <v>45741</v>
      </c>
      <c r="E88" t="s">
        <v>61</v>
      </c>
      <c r="F88" t="s">
        <v>5500</v>
      </c>
      <c r="G88" t="s">
        <v>3767</v>
      </c>
      <c r="I88">
        <v>1</v>
      </c>
      <c r="J88" t="s">
        <v>63</v>
      </c>
      <c r="K88">
        <v>46</v>
      </c>
      <c r="L88" t="s">
        <v>113</v>
      </c>
      <c r="M88" s="4">
        <v>1000</v>
      </c>
      <c r="P88" s="2">
        <v>45741</v>
      </c>
      <c r="R88">
        <v>1</v>
      </c>
      <c r="S88" s="4">
        <v>1000</v>
      </c>
      <c r="T88" t="s">
        <v>65</v>
      </c>
      <c r="U88" t="s">
        <v>5501</v>
      </c>
      <c r="V88">
        <v>0</v>
      </c>
      <c r="W88" s="4">
        <v>1000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5502</v>
      </c>
      <c r="AN88" t="s">
        <v>116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69</v>
      </c>
      <c r="AZ88" t="s">
        <v>5503</v>
      </c>
      <c r="BA88">
        <v>0</v>
      </c>
      <c r="BC88" t="s">
        <v>116</v>
      </c>
      <c r="BF88" t="s">
        <v>5504</v>
      </c>
    </row>
    <row r="89" spans="1:58" x14ac:dyDescent="0.35">
      <c r="A89" t="s">
        <v>5505</v>
      </c>
      <c r="B89">
        <v>10000</v>
      </c>
      <c r="C89">
        <v>10000</v>
      </c>
      <c r="D89" s="2">
        <v>45741</v>
      </c>
      <c r="E89" t="s">
        <v>61</v>
      </c>
      <c r="F89" s="3">
        <v>0.53589120370370369</v>
      </c>
      <c r="G89" t="s">
        <v>1387</v>
      </c>
      <c r="I89">
        <v>1</v>
      </c>
      <c r="J89" t="s">
        <v>63</v>
      </c>
      <c r="K89">
        <v>65</v>
      </c>
      <c r="L89" t="s">
        <v>268</v>
      </c>
      <c r="M89" s="4">
        <v>1000</v>
      </c>
      <c r="P89" s="2">
        <v>45741</v>
      </c>
      <c r="R89">
        <v>10</v>
      </c>
      <c r="S89" s="4">
        <v>10000</v>
      </c>
      <c r="T89" t="s">
        <v>65</v>
      </c>
      <c r="U89" t="s">
        <v>5506</v>
      </c>
      <c r="V89">
        <v>0</v>
      </c>
      <c r="W89" s="4">
        <v>10000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5507</v>
      </c>
      <c r="AN89" t="s">
        <v>206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69</v>
      </c>
      <c r="AZ89" t="s">
        <v>5508</v>
      </c>
      <c r="BA89">
        <v>0</v>
      </c>
      <c r="BC89" t="s">
        <v>206</v>
      </c>
      <c r="BF89" t="s">
        <v>5509</v>
      </c>
    </row>
    <row r="90" spans="1:58" x14ac:dyDescent="0.35">
      <c r="A90" t="s">
        <v>5510</v>
      </c>
      <c r="B90">
        <v>10000</v>
      </c>
      <c r="C90">
        <v>10000</v>
      </c>
      <c r="D90" s="2">
        <v>45748</v>
      </c>
      <c r="E90" t="s">
        <v>61</v>
      </c>
      <c r="F90" t="s">
        <v>5511</v>
      </c>
      <c r="G90" t="s">
        <v>5512</v>
      </c>
      <c r="I90">
        <v>1</v>
      </c>
      <c r="J90" t="s">
        <v>63</v>
      </c>
      <c r="K90">
        <v>79</v>
      </c>
      <c r="L90" t="s">
        <v>573</v>
      </c>
      <c r="M90">
        <v>100</v>
      </c>
      <c r="P90" s="2">
        <v>45741</v>
      </c>
      <c r="R90">
        <v>8</v>
      </c>
      <c r="S90">
        <v>800</v>
      </c>
      <c r="T90" t="s">
        <v>65</v>
      </c>
      <c r="U90" t="s">
        <v>5513</v>
      </c>
      <c r="V90">
        <v>0</v>
      </c>
      <c r="W90">
        <v>250</v>
      </c>
      <c r="X90">
        <v>550</v>
      </c>
      <c r="Y90">
        <v>0</v>
      </c>
      <c r="Z90">
        <v>0</v>
      </c>
      <c r="AA90">
        <v>0</v>
      </c>
      <c r="AD90">
        <v>0</v>
      </c>
      <c r="AM90" t="s">
        <v>5514</v>
      </c>
      <c r="AN90" t="s">
        <v>5515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69</v>
      </c>
      <c r="AZ90" t="s">
        <v>5516</v>
      </c>
      <c r="BA90">
        <v>0</v>
      </c>
      <c r="BC90" t="s">
        <v>5515</v>
      </c>
      <c r="BF90" t="s">
        <v>5517</v>
      </c>
    </row>
    <row r="91" spans="1:58" x14ac:dyDescent="0.35">
      <c r="A91" t="s">
        <v>5518</v>
      </c>
      <c r="B91">
        <v>10000</v>
      </c>
      <c r="C91">
        <v>10000</v>
      </c>
      <c r="D91" s="2">
        <v>45741</v>
      </c>
      <c r="E91" t="s">
        <v>61</v>
      </c>
      <c r="F91" t="s">
        <v>5519</v>
      </c>
      <c r="G91" t="s">
        <v>5512</v>
      </c>
      <c r="I91">
        <v>1</v>
      </c>
      <c r="J91" t="s">
        <v>63</v>
      </c>
      <c r="K91">
        <v>79</v>
      </c>
      <c r="L91" t="s">
        <v>573</v>
      </c>
      <c r="M91">
        <v>200</v>
      </c>
      <c r="P91" s="2">
        <v>45741</v>
      </c>
      <c r="R91">
        <v>4</v>
      </c>
      <c r="S91">
        <v>800</v>
      </c>
      <c r="T91" t="s">
        <v>65</v>
      </c>
      <c r="U91" t="s">
        <v>5520</v>
      </c>
      <c r="V91">
        <v>0</v>
      </c>
      <c r="W91">
        <v>250</v>
      </c>
      <c r="X91">
        <v>550</v>
      </c>
      <c r="Y91">
        <v>0</v>
      </c>
      <c r="Z91">
        <v>0</v>
      </c>
      <c r="AA91">
        <v>0</v>
      </c>
      <c r="AD91">
        <v>0</v>
      </c>
      <c r="AM91" t="s">
        <v>5521</v>
      </c>
      <c r="AN91" t="s">
        <v>5515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69</v>
      </c>
      <c r="AZ91" t="s">
        <v>5522</v>
      </c>
      <c r="BA91">
        <v>0</v>
      </c>
      <c r="BC91" t="s">
        <v>5515</v>
      </c>
      <c r="BF91" t="s">
        <v>5517</v>
      </c>
    </row>
    <row r="92" spans="1:58" x14ac:dyDescent="0.35">
      <c r="A92" t="s">
        <v>5518</v>
      </c>
      <c r="B92">
        <v>10000</v>
      </c>
      <c r="C92">
        <v>20000</v>
      </c>
      <c r="D92" s="2">
        <v>45741</v>
      </c>
      <c r="E92" t="s">
        <v>61</v>
      </c>
      <c r="F92" t="s">
        <v>5519</v>
      </c>
      <c r="G92" t="s">
        <v>5512</v>
      </c>
      <c r="I92">
        <v>2</v>
      </c>
      <c r="J92" t="s">
        <v>63</v>
      </c>
      <c r="K92">
        <v>73</v>
      </c>
      <c r="L92" t="s">
        <v>90</v>
      </c>
      <c r="M92">
        <v>700</v>
      </c>
      <c r="P92" s="2">
        <v>45741</v>
      </c>
      <c r="R92">
        <v>1</v>
      </c>
      <c r="S92">
        <v>700</v>
      </c>
      <c r="T92" t="s">
        <v>65</v>
      </c>
      <c r="U92" t="s">
        <v>5520</v>
      </c>
      <c r="V92">
        <v>0</v>
      </c>
      <c r="W92">
        <v>250</v>
      </c>
      <c r="X92">
        <v>450</v>
      </c>
      <c r="Y92">
        <v>0</v>
      </c>
      <c r="Z92">
        <v>0</v>
      </c>
      <c r="AA92">
        <v>0</v>
      </c>
      <c r="AD92">
        <v>0</v>
      </c>
      <c r="AM92" t="s">
        <v>5521</v>
      </c>
      <c r="AN92" t="s">
        <v>5515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69</v>
      </c>
      <c r="AZ92" t="s">
        <v>5522</v>
      </c>
      <c r="BA92">
        <v>0</v>
      </c>
      <c r="BC92" t="s">
        <v>5515</v>
      </c>
      <c r="BF92" t="s">
        <v>5517</v>
      </c>
    </row>
    <row r="93" spans="1:58" x14ac:dyDescent="0.35">
      <c r="A93" t="s">
        <v>5523</v>
      </c>
      <c r="B93">
        <v>10000</v>
      </c>
      <c r="C93">
        <v>10000</v>
      </c>
      <c r="D93" s="2">
        <v>45741</v>
      </c>
      <c r="E93" t="s">
        <v>61</v>
      </c>
      <c r="F93" t="s">
        <v>5524</v>
      </c>
      <c r="G93" t="s">
        <v>4340</v>
      </c>
      <c r="I93">
        <v>1</v>
      </c>
      <c r="J93" t="s">
        <v>63</v>
      </c>
      <c r="K93">
        <v>72</v>
      </c>
      <c r="L93" t="s">
        <v>163</v>
      </c>
      <c r="M93" s="4">
        <v>9000</v>
      </c>
      <c r="P93" s="2">
        <v>45741</v>
      </c>
      <c r="R93">
        <v>5</v>
      </c>
      <c r="S93" s="4">
        <v>45000</v>
      </c>
      <c r="T93" t="s">
        <v>65</v>
      </c>
      <c r="U93">
        <v>83624430001</v>
      </c>
      <c r="V93">
        <v>0</v>
      </c>
      <c r="W93" s="4">
        <v>40000</v>
      </c>
      <c r="X93" s="4">
        <v>5000</v>
      </c>
      <c r="Y93">
        <v>0</v>
      </c>
      <c r="Z93">
        <v>0</v>
      </c>
      <c r="AA93">
        <v>0</v>
      </c>
      <c r="AD93">
        <v>0</v>
      </c>
      <c r="AM93">
        <v>8362443</v>
      </c>
      <c r="AN93" t="s">
        <v>91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69</v>
      </c>
      <c r="AZ93" t="s">
        <v>5525</v>
      </c>
      <c r="BA93">
        <v>0</v>
      </c>
      <c r="BC93" t="s">
        <v>91</v>
      </c>
      <c r="BF93" t="s">
        <v>5526</v>
      </c>
    </row>
    <row r="94" spans="1:58" x14ac:dyDescent="0.35">
      <c r="A94" t="s">
        <v>5523</v>
      </c>
      <c r="B94">
        <v>10000</v>
      </c>
      <c r="C94">
        <v>20000</v>
      </c>
      <c r="D94" s="2">
        <v>45741</v>
      </c>
      <c r="E94" t="s">
        <v>61</v>
      </c>
      <c r="F94" t="s">
        <v>5524</v>
      </c>
      <c r="G94" t="s">
        <v>4340</v>
      </c>
      <c r="I94">
        <v>2</v>
      </c>
      <c r="J94" t="s">
        <v>63</v>
      </c>
      <c r="K94">
        <v>71</v>
      </c>
      <c r="L94" t="s">
        <v>135</v>
      </c>
      <c r="M94" s="4">
        <v>4445</v>
      </c>
      <c r="P94" s="2">
        <v>45741</v>
      </c>
      <c r="R94">
        <v>9</v>
      </c>
      <c r="S94" s="4">
        <v>40005</v>
      </c>
      <c r="T94" t="s">
        <v>65</v>
      </c>
      <c r="U94">
        <v>83624430001</v>
      </c>
      <c r="V94">
        <v>0</v>
      </c>
      <c r="W94" s="4">
        <v>40000</v>
      </c>
      <c r="X94">
        <v>5</v>
      </c>
      <c r="Y94">
        <v>0</v>
      </c>
      <c r="Z94">
        <v>0</v>
      </c>
      <c r="AA94">
        <v>0</v>
      </c>
      <c r="AD94">
        <v>0</v>
      </c>
      <c r="AM94">
        <v>8362443</v>
      </c>
      <c r="AN94" t="s">
        <v>91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69</v>
      </c>
      <c r="AZ94" t="s">
        <v>5525</v>
      </c>
      <c r="BA94">
        <v>0</v>
      </c>
      <c r="BC94" t="s">
        <v>91</v>
      </c>
      <c r="BF94" t="s">
        <v>5526</v>
      </c>
    </row>
    <row r="100" spans="1:2" x14ac:dyDescent="0.35">
      <c r="A100">
        <f>COUNTA(A5:A99)</f>
        <v>90</v>
      </c>
      <c r="B100">
        <f>'24-Mar'!B105+'25-Mar'!A100</f>
        <v>1686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6E4A-7AC8-415D-A837-7002B0EC3A2E}">
  <dimension ref="A1:BF90"/>
  <sheetViews>
    <sheetView topLeftCell="A70" workbookViewId="0">
      <selection activeCell="I89" sqref="I8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5527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5257</v>
      </c>
      <c r="B5">
        <v>10000</v>
      </c>
      <c r="C5">
        <v>20000</v>
      </c>
      <c r="D5" s="2">
        <v>45743</v>
      </c>
      <c r="E5" t="s">
        <v>61</v>
      </c>
      <c r="F5" t="s">
        <v>2187</v>
      </c>
      <c r="G5" t="s">
        <v>89</v>
      </c>
      <c r="H5" t="s">
        <v>5258</v>
      </c>
      <c r="I5">
        <v>2</v>
      </c>
      <c r="J5" t="s">
        <v>69</v>
      </c>
      <c r="K5">
        <v>73</v>
      </c>
      <c r="L5" t="s">
        <v>90</v>
      </c>
      <c r="M5" s="4">
        <v>18000</v>
      </c>
      <c r="P5" s="2">
        <v>45742</v>
      </c>
      <c r="R5">
        <v>12</v>
      </c>
      <c r="S5" s="4">
        <v>216000</v>
      </c>
      <c r="T5" t="s">
        <v>65</v>
      </c>
      <c r="U5">
        <v>80256220001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69</v>
      </c>
      <c r="AI5">
        <v>0</v>
      </c>
      <c r="AJ5" t="s">
        <v>69</v>
      </c>
      <c r="AM5">
        <v>8025622</v>
      </c>
      <c r="AN5" t="s">
        <v>91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69</v>
      </c>
      <c r="BC5" t="s">
        <v>91</v>
      </c>
      <c r="BF5" t="s">
        <v>5259</v>
      </c>
    </row>
    <row r="6" spans="1:58" x14ac:dyDescent="0.35">
      <c r="A6" t="s">
        <v>5528</v>
      </c>
      <c r="B6">
        <v>10000</v>
      </c>
      <c r="C6">
        <v>10000</v>
      </c>
      <c r="D6" s="2">
        <v>45743</v>
      </c>
      <c r="E6" t="s">
        <v>61</v>
      </c>
      <c r="F6" t="s">
        <v>3858</v>
      </c>
      <c r="G6" t="s">
        <v>89</v>
      </c>
      <c r="H6" t="s">
        <v>5529</v>
      </c>
      <c r="I6">
        <v>1</v>
      </c>
      <c r="J6" t="s">
        <v>69</v>
      </c>
      <c r="K6">
        <v>73</v>
      </c>
      <c r="L6" t="s">
        <v>90</v>
      </c>
      <c r="M6" s="4">
        <v>12000</v>
      </c>
      <c r="P6" s="2">
        <v>45742</v>
      </c>
      <c r="R6">
        <v>12</v>
      </c>
      <c r="S6" s="4">
        <v>144000</v>
      </c>
      <c r="T6" t="s">
        <v>65</v>
      </c>
      <c r="U6">
        <v>80256240001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69</v>
      </c>
      <c r="AI6">
        <v>0</v>
      </c>
      <c r="AJ6" t="s">
        <v>69</v>
      </c>
      <c r="AM6">
        <v>8025624</v>
      </c>
      <c r="AN6" t="s">
        <v>91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69</v>
      </c>
      <c r="BC6" t="s">
        <v>91</v>
      </c>
      <c r="BF6" t="s">
        <v>5530</v>
      </c>
    </row>
    <row r="7" spans="1:58" x14ac:dyDescent="0.35">
      <c r="A7" t="s">
        <v>5528</v>
      </c>
      <c r="B7">
        <v>10000</v>
      </c>
      <c r="C7">
        <v>20000</v>
      </c>
      <c r="D7" s="2">
        <v>45743</v>
      </c>
      <c r="E7" t="s">
        <v>61</v>
      </c>
      <c r="F7" t="s">
        <v>3858</v>
      </c>
      <c r="G7" t="s">
        <v>89</v>
      </c>
      <c r="H7" t="s">
        <v>5529</v>
      </c>
      <c r="I7">
        <v>1</v>
      </c>
      <c r="J7" t="s">
        <v>69</v>
      </c>
      <c r="K7" t="s">
        <v>97</v>
      </c>
      <c r="L7" t="s">
        <v>98</v>
      </c>
      <c r="M7" s="4">
        <v>12000</v>
      </c>
      <c r="P7" s="2">
        <v>45742</v>
      </c>
      <c r="R7">
        <v>12</v>
      </c>
      <c r="S7" s="4">
        <v>144000</v>
      </c>
      <c r="T7" t="s">
        <v>65</v>
      </c>
      <c r="U7">
        <v>80256240001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69</v>
      </c>
      <c r="AI7">
        <v>0</v>
      </c>
      <c r="AJ7" t="s">
        <v>69</v>
      </c>
      <c r="AM7">
        <v>8025624</v>
      </c>
      <c r="AN7" t="s">
        <v>91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69</v>
      </c>
      <c r="BC7" t="s">
        <v>91</v>
      </c>
      <c r="BF7" t="s">
        <v>5530</v>
      </c>
    </row>
    <row r="8" spans="1:58" x14ac:dyDescent="0.35">
      <c r="A8" t="s">
        <v>2788</v>
      </c>
      <c r="B8">
        <v>10000</v>
      </c>
      <c r="C8">
        <v>30000</v>
      </c>
      <c r="D8" s="2">
        <v>45748</v>
      </c>
      <c r="E8" t="s">
        <v>61</v>
      </c>
      <c r="F8" t="s">
        <v>2789</v>
      </c>
      <c r="G8" t="s">
        <v>2790</v>
      </c>
      <c r="H8" t="s">
        <v>2791</v>
      </c>
      <c r="I8">
        <v>3</v>
      </c>
      <c r="J8" t="s">
        <v>69</v>
      </c>
      <c r="K8">
        <v>85</v>
      </c>
      <c r="L8" t="s">
        <v>327</v>
      </c>
      <c r="M8" s="4">
        <v>27273</v>
      </c>
      <c r="P8" s="2">
        <v>45742</v>
      </c>
      <c r="R8">
        <v>11</v>
      </c>
      <c r="S8" s="4">
        <v>300003</v>
      </c>
      <c r="T8" t="s">
        <v>65</v>
      </c>
      <c r="U8" t="s">
        <v>328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69</v>
      </c>
      <c r="AI8">
        <v>0</v>
      </c>
      <c r="AJ8" t="s">
        <v>69</v>
      </c>
      <c r="AM8" t="s">
        <v>329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69</v>
      </c>
      <c r="BC8" t="s">
        <v>107</v>
      </c>
      <c r="BF8" t="s">
        <v>2792</v>
      </c>
    </row>
    <row r="9" spans="1:58" x14ac:dyDescent="0.35">
      <c r="A9" t="s">
        <v>5531</v>
      </c>
      <c r="B9">
        <v>10000</v>
      </c>
      <c r="C9">
        <v>10000</v>
      </c>
      <c r="D9" s="2">
        <v>45744</v>
      </c>
      <c r="E9" t="s">
        <v>95</v>
      </c>
      <c r="F9" t="s">
        <v>5532</v>
      </c>
      <c r="G9" t="s">
        <v>5533</v>
      </c>
      <c r="H9" t="s">
        <v>5534</v>
      </c>
      <c r="I9">
        <v>1</v>
      </c>
      <c r="J9" t="s">
        <v>69</v>
      </c>
      <c r="K9">
        <v>82</v>
      </c>
      <c r="L9" t="s">
        <v>341</v>
      </c>
      <c r="M9" s="4">
        <v>33334</v>
      </c>
      <c r="P9" s="2">
        <v>45742</v>
      </c>
      <c r="R9">
        <v>15</v>
      </c>
      <c r="S9" s="4">
        <v>500010</v>
      </c>
      <c r="T9" t="s">
        <v>65</v>
      </c>
      <c r="U9" t="s">
        <v>3676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69</v>
      </c>
      <c r="AI9">
        <v>0</v>
      </c>
      <c r="AJ9" t="s">
        <v>69</v>
      </c>
      <c r="AM9" t="s">
        <v>3677</v>
      </c>
      <c r="AN9" t="s">
        <v>271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69</v>
      </c>
      <c r="BC9" t="s">
        <v>271</v>
      </c>
      <c r="BF9" t="s">
        <v>5535</v>
      </c>
    </row>
    <row r="10" spans="1:58" x14ac:dyDescent="0.35">
      <c r="A10" t="s">
        <v>5536</v>
      </c>
      <c r="B10">
        <v>10000</v>
      </c>
      <c r="C10">
        <v>10000</v>
      </c>
      <c r="D10" s="2">
        <v>45748</v>
      </c>
      <c r="E10" t="s">
        <v>61</v>
      </c>
      <c r="F10" t="s">
        <v>5537</v>
      </c>
      <c r="G10" t="s">
        <v>5538</v>
      </c>
      <c r="H10" t="s">
        <v>4487</v>
      </c>
      <c r="I10">
        <v>1</v>
      </c>
      <c r="J10" t="s">
        <v>69</v>
      </c>
      <c r="K10" t="s">
        <v>97</v>
      </c>
      <c r="L10" t="s">
        <v>98</v>
      </c>
      <c r="M10" s="4">
        <v>54000</v>
      </c>
      <c r="P10" s="2">
        <v>45742</v>
      </c>
      <c r="R10">
        <v>12</v>
      </c>
      <c r="S10" s="4">
        <v>648000</v>
      </c>
      <c r="T10" t="s">
        <v>65</v>
      </c>
      <c r="U10">
        <v>80256230001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69</v>
      </c>
      <c r="AI10">
        <v>0</v>
      </c>
      <c r="AJ10" t="s">
        <v>69</v>
      </c>
      <c r="AM10">
        <v>8025623</v>
      </c>
      <c r="AN10" t="s">
        <v>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69</v>
      </c>
      <c r="BC10" t="s">
        <v>91</v>
      </c>
      <c r="BF10" t="s">
        <v>5539</v>
      </c>
    </row>
    <row r="11" spans="1:58" x14ac:dyDescent="0.35">
      <c r="A11" t="s">
        <v>5540</v>
      </c>
      <c r="B11">
        <v>10000</v>
      </c>
      <c r="C11">
        <v>10000</v>
      </c>
      <c r="D11" s="2">
        <v>45743</v>
      </c>
      <c r="E11" t="s">
        <v>61</v>
      </c>
      <c r="F11" t="s">
        <v>5541</v>
      </c>
      <c r="G11" t="s">
        <v>5363</v>
      </c>
      <c r="H11" t="s">
        <v>5542</v>
      </c>
      <c r="I11">
        <v>1</v>
      </c>
      <c r="J11" t="s">
        <v>69</v>
      </c>
      <c r="K11">
        <v>32</v>
      </c>
      <c r="L11" t="s">
        <v>553</v>
      </c>
      <c r="M11" s="4">
        <v>5860</v>
      </c>
      <c r="P11" s="2">
        <v>45742</v>
      </c>
      <c r="R11">
        <v>1</v>
      </c>
      <c r="S11" s="4">
        <v>5860</v>
      </c>
      <c r="T11" t="s">
        <v>65</v>
      </c>
      <c r="U11" t="s">
        <v>1774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69</v>
      </c>
      <c r="AI11">
        <v>0</v>
      </c>
      <c r="AJ11" t="s">
        <v>69</v>
      </c>
      <c r="AM11" t="s">
        <v>1775</v>
      </c>
      <c r="AN11" t="s">
        <v>116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69</v>
      </c>
      <c r="BC11" t="s">
        <v>116</v>
      </c>
      <c r="BF11" t="s">
        <v>4941</v>
      </c>
    </row>
    <row r="12" spans="1:58" x14ac:dyDescent="0.35">
      <c r="A12" t="s">
        <v>5543</v>
      </c>
      <c r="B12">
        <v>10000</v>
      </c>
      <c r="C12">
        <v>10000</v>
      </c>
      <c r="D12" s="2">
        <v>45743</v>
      </c>
      <c r="E12" t="s">
        <v>61</v>
      </c>
      <c r="F12" s="3">
        <v>0.48944444444444446</v>
      </c>
      <c r="G12" t="s">
        <v>5544</v>
      </c>
      <c r="H12" t="s">
        <v>5545</v>
      </c>
      <c r="I12">
        <v>1</v>
      </c>
      <c r="J12" t="s">
        <v>69</v>
      </c>
      <c r="K12">
        <v>65</v>
      </c>
      <c r="L12" t="s">
        <v>268</v>
      </c>
      <c r="M12" s="4">
        <v>22500</v>
      </c>
      <c r="P12" s="2">
        <v>45742</v>
      </c>
      <c r="R12">
        <v>4</v>
      </c>
      <c r="S12" s="4">
        <v>90000</v>
      </c>
      <c r="T12" t="s">
        <v>65</v>
      </c>
      <c r="U12" t="s">
        <v>3865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69</v>
      </c>
      <c r="AI12">
        <v>0</v>
      </c>
      <c r="AJ12" t="s">
        <v>69</v>
      </c>
      <c r="AM12" t="s">
        <v>3866</v>
      </c>
      <c r="AN12" t="s">
        <v>829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69</v>
      </c>
      <c r="BC12" t="s">
        <v>829</v>
      </c>
      <c r="BF12" t="s">
        <v>5546</v>
      </c>
    </row>
    <row r="13" spans="1:58" x14ac:dyDescent="0.35">
      <c r="A13" t="s">
        <v>5547</v>
      </c>
      <c r="B13">
        <v>10000</v>
      </c>
      <c r="C13">
        <v>10000</v>
      </c>
      <c r="D13" s="2">
        <v>45755</v>
      </c>
      <c r="E13" t="s">
        <v>61</v>
      </c>
      <c r="F13" t="s">
        <v>3943</v>
      </c>
      <c r="G13">
        <v>10656256085</v>
      </c>
      <c r="H13" t="s">
        <v>2791</v>
      </c>
      <c r="I13">
        <v>1</v>
      </c>
      <c r="J13" t="s">
        <v>69</v>
      </c>
      <c r="K13" t="s">
        <v>295</v>
      </c>
      <c r="L13" t="s">
        <v>296</v>
      </c>
      <c r="M13">
        <v>336</v>
      </c>
      <c r="P13" s="2">
        <v>45742</v>
      </c>
      <c r="R13">
        <v>352</v>
      </c>
      <c r="S13" s="4">
        <v>118272</v>
      </c>
      <c r="T13" t="s">
        <v>65</v>
      </c>
      <c r="U13" t="s">
        <v>4455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69</v>
      </c>
      <c r="AI13">
        <v>0</v>
      </c>
      <c r="AJ13" t="s">
        <v>69</v>
      </c>
      <c r="AM13" t="s">
        <v>4456</v>
      </c>
      <c r="AN13" t="s">
        <v>107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69</v>
      </c>
      <c r="BC13" t="s">
        <v>107</v>
      </c>
      <c r="BF13" t="s">
        <v>5548</v>
      </c>
    </row>
    <row r="14" spans="1:58" x14ac:dyDescent="0.35">
      <c r="A14" t="s">
        <v>5549</v>
      </c>
      <c r="B14">
        <v>10000</v>
      </c>
      <c r="C14">
        <v>10000</v>
      </c>
      <c r="D14" s="2">
        <v>45757</v>
      </c>
      <c r="E14" t="s">
        <v>61</v>
      </c>
      <c r="F14" t="s">
        <v>5550</v>
      </c>
      <c r="G14">
        <v>10656256091</v>
      </c>
      <c r="H14" t="s">
        <v>4146</v>
      </c>
      <c r="I14">
        <v>1</v>
      </c>
      <c r="J14" t="s">
        <v>69</v>
      </c>
      <c r="K14">
        <v>79</v>
      </c>
      <c r="L14" t="s">
        <v>573</v>
      </c>
      <c r="M14" s="4">
        <v>1352</v>
      </c>
      <c r="P14" s="2">
        <v>45742</v>
      </c>
      <c r="R14">
        <v>176</v>
      </c>
      <c r="S14" s="4">
        <v>237952</v>
      </c>
      <c r="T14" t="s">
        <v>65</v>
      </c>
      <c r="U14" t="s">
        <v>611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69</v>
      </c>
      <c r="AI14">
        <v>0</v>
      </c>
      <c r="AJ14" t="s">
        <v>69</v>
      </c>
      <c r="AM14" t="s">
        <v>612</v>
      </c>
      <c r="AN14" t="s">
        <v>107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69</v>
      </c>
      <c r="BC14" t="s">
        <v>107</v>
      </c>
      <c r="BF14" t="s">
        <v>5551</v>
      </c>
    </row>
    <row r="15" spans="1:58" x14ac:dyDescent="0.35">
      <c r="A15" t="s">
        <v>5552</v>
      </c>
      <c r="B15">
        <v>10000</v>
      </c>
      <c r="C15">
        <v>10000</v>
      </c>
      <c r="D15" s="2">
        <v>45755</v>
      </c>
      <c r="E15" t="s">
        <v>61</v>
      </c>
      <c r="F15" t="s">
        <v>5553</v>
      </c>
      <c r="G15">
        <v>10656256092</v>
      </c>
      <c r="H15" t="s">
        <v>2791</v>
      </c>
      <c r="I15">
        <v>1</v>
      </c>
      <c r="J15" t="s">
        <v>69</v>
      </c>
      <c r="K15" t="s">
        <v>295</v>
      </c>
      <c r="L15" t="s">
        <v>296</v>
      </c>
      <c r="M15">
        <v>605</v>
      </c>
      <c r="P15" s="2">
        <v>45742</v>
      </c>
      <c r="R15">
        <v>352</v>
      </c>
      <c r="S15" s="4">
        <v>212960</v>
      </c>
      <c r="T15" t="s">
        <v>65</v>
      </c>
      <c r="U15" t="s">
        <v>1634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69</v>
      </c>
      <c r="AI15">
        <v>0</v>
      </c>
      <c r="AJ15" t="s">
        <v>69</v>
      </c>
      <c r="AM15" t="s">
        <v>1635</v>
      </c>
      <c r="AN15" t="s">
        <v>107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69</v>
      </c>
      <c r="BC15" t="s">
        <v>107</v>
      </c>
      <c r="BF15" t="s">
        <v>5554</v>
      </c>
    </row>
    <row r="16" spans="1:58" x14ac:dyDescent="0.35">
      <c r="A16" t="s">
        <v>5555</v>
      </c>
      <c r="B16">
        <v>10000</v>
      </c>
      <c r="C16">
        <v>10000</v>
      </c>
      <c r="D16" s="2">
        <v>45755</v>
      </c>
      <c r="E16" t="s">
        <v>61</v>
      </c>
      <c r="F16" t="s">
        <v>5556</v>
      </c>
      <c r="G16">
        <v>10656256091</v>
      </c>
      <c r="H16" t="s">
        <v>2791</v>
      </c>
      <c r="I16">
        <v>1</v>
      </c>
      <c r="J16" t="s">
        <v>69</v>
      </c>
      <c r="K16" t="s">
        <v>295</v>
      </c>
      <c r="L16" t="s">
        <v>296</v>
      </c>
      <c r="M16">
        <v>175</v>
      </c>
      <c r="P16" s="2">
        <v>45742</v>
      </c>
      <c r="R16">
        <v>352</v>
      </c>
      <c r="S16" s="4">
        <v>61600</v>
      </c>
      <c r="T16" t="s">
        <v>65</v>
      </c>
      <c r="U16" t="s">
        <v>5557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69</v>
      </c>
      <c r="AI16">
        <v>0</v>
      </c>
      <c r="AJ16" t="s">
        <v>69</v>
      </c>
      <c r="AM16" t="s">
        <v>5558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69</v>
      </c>
      <c r="BC16" t="s">
        <v>107</v>
      </c>
      <c r="BF16" t="s">
        <v>5559</v>
      </c>
    </row>
    <row r="17" spans="1:58" x14ac:dyDescent="0.35">
      <c r="A17" t="s">
        <v>5560</v>
      </c>
      <c r="B17">
        <v>10000</v>
      </c>
      <c r="C17">
        <v>10000</v>
      </c>
      <c r="D17" s="2">
        <v>45751</v>
      </c>
      <c r="E17" t="s">
        <v>61</v>
      </c>
      <c r="F17" t="s">
        <v>5561</v>
      </c>
      <c r="G17" t="s">
        <v>5562</v>
      </c>
      <c r="H17" t="s">
        <v>5563</v>
      </c>
      <c r="I17">
        <v>1</v>
      </c>
      <c r="J17" t="s">
        <v>69</v>
      </c>
      <c r="K17">
        <v>88</v>
      </c>
      <c r="L17" t="s">
        <v>630</v>
      </c>
      <c r="M17">
        <v>500</v>
      </c>
      <c r="P17" s="2">
        <v>45742</v>
      </c>
      <c r="R17">
        <v>3</v>
      </c>
      <c r="S17" s="4">
        <v>1500</v>
      </c>
      <c r="T17" t="s">
        <v>65</v>
      </c>
      <c r="U17" t="s">
        <v>5564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69</v>
      </c>
      <c r="AI17">
        <v>0</v>
      </c>
      <c r="AJ17" t="s">
        <v>69</v>
      </c>
      <c r="AM17" t="s">
        <v>5565</v>
      </c>
      <c r="AN17" t="s">
        <v>5566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69</v>
      </c>
      <c r="BC17" t="s">
        <v>5566</v>
      </c>
      <c r="BF17" t="s">
        <v>5567</v>
      </c>
    </row>
    <row r="18" spans="1:58" x14ac:dyDescent="0.35">
      <c r="A18" t="s">
        <v>5568</v>
      </c>
      <c r="B18">
        <v>10000</v>
      </c>
      <c r="C18">
        <v>20000</v>
      </c>
      <c r="D18" s="2">
        <v>45743</v>
      </c>
      <c r="E18" t="s">
        <v>61</v>
      </c>
      <c r="F18" t="s">
        <v>3444</v>
      </c>
      <c r="G18" t="s">
        <v>5569</v>
      </c>
      <c r="I18">
        <v>1</v>
      </c>
      <c r="J18" t="s">
        <v>63</v>
      </c>
      <c r="K18">
        <v>72</v>
      </c>
      <c r="L18" t="s">
        <v>163</v>
      </c>
      <c r="M18" s="4">
        <v>7085</v>
      </c>
      <c r="P18" s="2">
        <v>45742</v>
      </c>
      <c r="R18">
        <v>12</v>
      </c>
      <c r="S18" s="4">
        <v>85020</v>
      </c>
      <c r="T18" t="s">
        <v>65</v>
      </c>
      <c r="U18" t="s">
        <v>5570</v>
      </c>
      <c r="V18">
        <v>0</v>
      </c>
      <c r="W18" s="4">
        <v>75000</v>
      </c>
      <c r="X18" s="4">
        <v>10020</v>
      </c>
      <c r="Y18">
        <v>0</v>
      </c>
      <c r="Z18">
        <v>0</v>
      </c>
      <c r="AA18">
        <v>0</v>
      </c>
      <c r="AD18">
        <v>0</v>
      </c>
      <c r="AM18" t="s">
        <v>5571</v>
      </c>
      <c r="AN18" t="s">
        <v>5572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69</v>
      </c>
      <c r="AZ18" t="s">
        <v>5573</v>
      </c>
      <c r="BA18">
        <v>0</v>
      </c>
      <c r="BC18" t="s">
        <v>5572</v>
      </c>
      <c r="BF18" t="s">
        <v>5574</v>
      </c>
    </row>
    <row r="19" spans="1:58" x14ac:dyDescent="0.35">
      <c r="A19" t="s">
        <v>5568</v>
      </c>
      <c r="B19">
        <v>10000</v>
      </c>
      <c r="C19">
        <v>30000</v>
      </c>
      <c r="D19" s="2">
        <v>45743</v>
      </c>
      <c r="E19" t="s">
        <v>61</v>
      </c>
      <c r="F19" t="s">
        <v>3444</v>
      </c>
      <c r="G19" t="s">
        <v>5569</v>
      </c>
      <c r="I19">
        <v>2</v>
      </c>
      <c r="J19" t="s">
        <v>63</v>
      </c>
      <c r="K19">
        <v>86</v>
      </c>
      <c r="L19" t="s">
        <v>64</v>
      </c>
      <c r="M19" s="4">
        <v>4612</v>
      </c>
      <c r="P19" s="2">
        <v>45742</v>
      </c>
      <c r="R19">
        <v>18</v>
      </c>
      <c r="S19" s="4">
        <v>83016</v>
      </c>
      <c r="T19" t="s">
        <v>65</v>
      </c>
      <c r="U19" t="s">
        <v>5570</v>
      </c>
      <c r="V19">
        <v>0</v>
      </c>
      <c r="W19" s="4">
        <v>75000</v>
      </c>
      <c r="X19" s="4">
        <v>8016</v>
      </c>
      <c r="Y19">
        <v>0</v>
      </c>
      <c r="Z19">
        <v>0</v>
      </c>
      <c r="AA19">
        <v>0</v>
      </c>
      <c r="AD19">
        <v>0</v>
      </c>
      <c r="AM19" t="s">
        <v>5571</v>
      </c>
      <c r="AN19" t="s">
        <v>5572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69</v>
      </c>
      <c r="AZ19" t="s">
        <v>5573</v>
      </c>
      <c r="BA19">
        <v>0</v>
      </c>
      <c r="BC19" t="s">
        <v>5572</v>
      </c>
      <c r="BF19" t="s">
        <v>5574</v>
      </c>
    </row>
    <row r="20" spans="1:58" x14ac:dyDescent="0.35">
      <c r="A20" t="s">
        <v>5575</v>
      </c>
      <c r="B20">
        <v>10000</v>
      </c>
      <c r="C20">
        <v>10000</v>
      </c>
      <c r="D20" s="2">
        <v>45743</v>
      </c>
      <c r="E20" t="s">
        <v>61</v>
      </c>
      <c r="F20" t="s">
        <v>4640</v>
      </c>
      <c r="G20" t="s">
        <v>89</v>
      </c>
      <c r="I20">
        <v>1</v>
      </c>
      <c r="J20" t="s">
        <v>63</v>
      </c>
      <c r="K20">
        <v>73</v>
      </c>
      <c r="L20" t="s">
        <v>90</v>
      </c>
      <c r="M20" s="4">
        <v>24000</v>
      </c>
      <c r="P20" s="2">
        <v>45742</v>
      </c>
      <c r="R20">
        <v>12</v>
      </c>
      <c r="S20" s="4">
        <v>288000</v>
      </c>
      <c r="T20" t="s">
        <v>65</v>
      </c>
      <c r="U20">
        <v>80256240001</v>
      </c>
      <c r="V20">
        <v>0</v>
      </c>
      <c r="W20" s="4">
        <v>288000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8025624</v>
      </c>
      <c r="AN20" t="s">
        <v>91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69</v>
      </c>
      <c r="AZ20" t="s">
        <v>5576</v>
      </c>
      <c r="BA20">
        <v>0</v>
      </c>
      <c r="BC20" t="s">
        <v>91</v>
      </c>
      <c r="BF20" t="s">
        <v>5577</v>
      </c>
    </row>
    <row r="21" spans="1:58" x14ac:dyDescent="0.35">
      <c r="A21" t="s">
        <v>5578</v>
      </c>
      <c r="B21">
        <v>10000</v>
      </c>
      <c r="C21">
        <v>20000</v>
      </c>
      <c r="D21" s="2">
        <v>45742</v>
      </c>
      <c r="E21" t="s">
        <v>61</v>
      </c>
      <c r="F21" t="s">
        <v>1962</v>
      </c>
      <c r="G21" t="s">
        <v>5569</v>
      </c>
      <c r="I21">
        <v>1</v>
      </c>
      <c r="J21" t="s">
        <v>63</v>
      </c>
      <c r="K21">
        <v>72</v>
      </c>
      <c r="L21" t="s">
        <v>163</v>
      </c>
      <c r="M21" s="4">
        <v>6500</v>
      </c>
      <c r="P21" s="2">
        <v>45742</v>
      </c>
      <c r="R21">
        <v>8</v>
      </c>
      <c r="S21" s="4">
        <v>52000</v>
      </c>
      <c r="T21" t="s">
        <v>65</v>
      </c>
      <c r="U21" t="s">
        <v>5579</v>
      </c>
      <c r="V21">
        <v>0</v>
      </c>
      <c r="W21" s="4">
        <v>45000</v>
      </c>
      <c r="X21" s="4">
        <v>7000</v>
      </c>
      <c r="Y21">
        <v>0</v>
      </c>
      <c r="Z21">
        <v>0</v>
      </c>
      <c r="AA21">
        <v>0</v>
      </c>
      <c r="AD21">
        <v>0</v>
      </c>
      <c r="AM21" t="s">
        <v>5580</v>
      </c>
      <c r="AN21" t="s">
        <v>5572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69</v>
      </c>
      <c r="AZ21" t="s">
        <v>5581</v>
      </c>
      <c r="BA21">
        <v>0</v>
      </c>
      <c r="BC21" t="s">
        <v>5572</v>
      </c>
      <c r="BF21" t="s">
        <v>5582</v>
      </c>
    </row>
    <row r="22" spans="1:58" x14ac:dyDescent="0.35">
      <c r="A22" t="s">
        <v>5578</v>
      </c>
      <c r="B22">
        <v>10000</v>
      </c>
      <c r="C22">
        <v>30000</v>
      </c>
      <c r="D22" s="2">
        <v>45742</v>
      </c>
      <c r="E22" t="s">
        <v>61</v>
      </c>
      <c r="F22" t="s">
        <v>1962</v>
      </c>
      <c r="G22" t="s">
        <v>5569</v>
      </c>
      <c r="I22">
        <v>2</v>
      </c>
      <c r="J22" t="s">
        <v>63</v>
      </c>
      <c r="K22">
        <v>86</v>
      </c>
      <c r="L22" t="s">
        <v>64</v>
      </c>
      <c r="M22" s="4">
        <v>6250</v>
      </c>
      <c r="P22" s="2">
        <v>45742</v>
      </c>
      <c r="R22">
        <v>8</v>
      </c>
      <c r="S22" s="4">
        <v>50000</v>
      </c>
      <c r="T22" t="s">
        <v>65</v>
      </c>
      <c r="U22" t="s">
        <v>5579</v>
      </c>
      <c r="V22">
        <v>0</v>
      </c>
      <c r="W22" s="4">
        <v>45000</v>
      </c>
      <c r="X22" s="4">
        <v>5000</v>
      </c>
      <c r="Y22">
        <v>0</v>
      </c>
      <c r="Z22">
        <v>0</v>
      </c>
      <c r="AA22">
        <v>0</v>
      </c>
      <c r="AD22">
        <v>0</v>
      </c>
      <c r="AM22" t="s">
        <v>5580</v>
      </c>
      <c r="AN22" t="s">
        <v>5572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69</v>
      </c>
      <c r="AZ22" t="s">
        <v>5581</v>
      </c>
      <c r="BA22">
        <v>0</v>
      </c>
      <c r="BC22" t="s">
        <v>5572</v>
      </c>
      <c r="BF22" t="s">
        <v>5582</v>
      </c>
    </row>
    <row r="23" spans="1:58" x14ac:dyDescent="0.35">
      <c r="A23" t="s">
        <v>5071</v>
      </c>
      <c r="B23">
        <v>10000</v>
      </c>
      <c r="C23">
        <v>30000</v>
      </c>
      <c r="D23" s="2">
        <v>45748</v>
      </c>
      <c r="E23" t="s">
        <v>61</v>
      </c>
      <c r="F23" t="s">
        <v>5072</v>
      </c>
      <c r="G23" t="s">
        <v>5073</v>
      </c>
      <c r="I23">
        <v>1</v>
      </c>
      <c r="J23" t="s">
        <v>63</v>
      </c>
      <c r="K23">
        <v>111</v>
      </c>
      <c r="L23" t="s">
        <v>286</v>
      </c>
      <c r="M23" s="4">
        <v>31875</v>
      </c>
      <c r="P23" s="2">
        <v>45742</v>
      </c>
      <c r="R23">
        <v>8</v>
      </c>
      <c r="S23" s="4">
        <v>255000</v>
      </c>
      <c r="T23" t="s">
        <v>65</v>
      </c>
      <c r="U23" t="s">
        <v>3920</v>
      </c>
      <c r="V23">
        <v>0</v>
      </c>
      <c r="W23" s="4">
        <v>254692</v>
      </c>
      <c r="X23">
        <v>308</v>
      </c>
      <c r="Y23">
        <v>0</v>
      </c>
      <c r="Z23">
        <v>0</v>
      </c>
      <c r="AA23">
        <v>0</v>
      </c>
      <c r="AD23">
        <v>0</v>
      </c>
      <c r="AM23" t="s">
        <v>3921</v>
      </c>
      <c r="AN23" t="s">
        <v>271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69</v>
      </c>
      <c r="AZ23" t="s">
        <v>5074</v>
      </c>
      <c r="BA23">
        <v>0</v>
      </c>
      <c r="BC23" t="s">
        <v>271</v>
      </c>
      <c r="BF23" t="s">
        <v>5075</v>
      </c>
    </row>
    <row r="24" spans="1:58" x14ac:dyDescent="0.35">
      <c r="A24" t="s">
        <v>5583</v>
      </c>
      <c r="B24">
        <v>10000</v>
      </c>
      <c r="C24">
        <v>10000</v>
      </c>
      <c r="D24" s="2">
        <v>45742</v>
      </c>
      <c r="E24" t="s">
        <v>61</v>
      </c>
      <c r="F24" t="s">
        <v>5584</v>
      </c>
      <c r="G24" t="s">
        <v>1852</v>
      </c>
      <c r="I24">
        <v>1</v>
      </c>
      <c r="J24" t="s">
        <v>63</v>
      </c>
      <c r="K24">
        <v>86</v>
      </c>
      <c r="L24" t="s">
        <v>64</v>
      </c>
      <c r="M24" s="4">
        <v>7500</v>
      </c>
      <c r="P24" s="2">
        <v>45742</v>
      </c>
      <c r="R24">
        <v>8</v>
      </c>
      <c r="S24" s="4">
        <v>60000</v>
      </c>
      <c r="T24" t="s">
        <v>65</v>
      </c>
      <c r="U24" t="s">
        <v>5585</v>
      </c>
      <c r="V24">
        <v>0</v>
      </c>
      <c r="W24" s="4">
        <v>60000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5586</v>
      </c>
      <c r="AN24" t="s">
        <v>271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69</v>
      </c>
      <c r="AZ24" t="s">
        <v>5587</v>
      </c>
      <c r="BA24">
        <v>0</v>
      </c>
      <c r="BC24" t="s">
        <v>271</v>
      </c>
      <c r="BF24" t="s">
        <v>5588</v>
      </c>
    </row>
    <row r="25" spans="1:58" x14ac:dyDescent="0.35">
      <c r="A25" t="s">
        <v>5589</v>
      </c>
      <c r="B25">
        <v>10000</v>
      </c>
      <c r="C25">
        <v>10000</v>
      </c>
      <c r="D25" s="2">
        <v>45743</v>
      </c>
      <c r="E25" t="s">
        <v>61</v>
      </c>
      <c r="F25" t="s">
        <v>5590</v>
      </c>
      <c r="G25" t="s">
        <v>5591</v>
      </c>
      <c r="I25">
        <v>1</v>
      </c>
      <c r="J25" t="s">
        <v>63</v>
      </c>
      <c r="K25">
        <v>61</v>
      </c>
      <c r="L25" t="s">
        <v>216</v>
      </c>
      <c r="M25" s="4">
        <v>8500</v>
      </c>
      <c r="P25" s="2">
        <v>45742</v>
      </c>
      <c r="R25">
        <v>2</v>
      </c>
      <c r="S25" s="4">
        <v>17000</v>
      </c>
      <c r="T25" t="s">
        <v>65</v>
      </c>
      <c r="U25" t="s">
        <v>5592</v>
      </c>
      <c r="V25">
        <v>0</v>
      </c>
      <c r="W25" s="4">
        <v>17000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5593</v>
      </c>
      <c r="AN25" t="s">
        <v>206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69</v>
      </c>
      <c r="AZ25" t="s">
        <v>5594</v>
      </c>
      <c r="BA25">
        <v>0</v>
      </c>
      <c r="BC25" t="s">
        <v>206</v>
      </c>
      <c r="BF25" t="s">
        <v>1077</v>
      </c>
    </row>
    <row r="26" spans="1:58" x14ac:dyDescent="0.35">
      <c r="A26" t="s">
        <v>5595</v>
      </c>
      <c r="B26">
        <v>10000</v>
      </c>
      <c r="C26">
        <v>10000</v>
      </c>
      <c r="D26" s="2">
        <v>45743</v>
      </c>
      <c r="E26" t="s">
        <v>61</v>
      </c>
      <c r="F26" s="3">
        <v>0.48943287037037037</v>
      </c>
      <c r="G26" t="s">
        <v>5591</v>
      </c>
      <c r="I26">
        <v>1</v>
      </c>
      <c r="J26" t="s">
        <v>63</v>
      </c>
      <c r="K26">
        <v>61</v>
      </c>
      <c r="L26" t="s">
        <v>216</v>
      </c>
      <c r="M26" s="4">
        <v>6000</v>
      </c>
      <c r="P26" s="2">
        <v>45742</v>
      </c>
      <c r="R26">
        <v>3</v>
      </c>
      <c r="S26" s="4">
        <v>18000</v>
      </c>
      <c r="T26" t="s">
        <v>65</v>
      </c>
      <c r="U26" t="s">
        <v>5596</v>
      </c>
      <c r="V26">
        <v>0</v>
      </c>
      <c r="W26" s="4">
        <v>18000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5597</v>
      </c>
      <c r="AN26" t="s">
        <v>206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69</v>
      </c>
      <c r="AZ26" t="s">
        <v>5598</v>
      </c>
      <c r="BA26">
        <v>0</v>
      </c>
      <c r="BC26" t="s">
        <v>206</v>
      </c>
      <c r="BF26" t="s">
        <v>1077</v>
      </c>
    </row>
    <row r="27" spans="1:58" x14ac:dyDescent="0.35">
      <c r="A27" t="s">
        <v>5599</v>
      </c>
      <c r="B27">
        <v>10000</v>
      </c>
      <c r="C27">
        <v>10000</v>
      </c>
      <c r="D27" s="2">
        <v>45744</v>
      </c>
      <c r="E27" t="s">
        <v>61</v>
      </c>
      <c r="F27" t="s">
        <v>5600</v>
      </c>
      <c r="G27">
        <v>502200327</v>
      </c>
      <c r="I27">
        <v>1</v>
      </c>
      <c r="J27" t="s">
        <v>63</v>
      </c>
      <c r="K27">
        <v>59</v>
      </c>
      <c r="L27" t="s">
        <v>745</v>
      </c>
      <c r="M27" s="4">
        <v>55200</v>
      </c>
      <c r="P27" s="2">
        <v>45742</v>
      </c>
      <c r="R27">
        <v>15</v>
      </c>
      <c r="S27" s="4">
        <v>828000</v>
      </c>
      <c r="T27" t="s">
        <v>65</v>
      </c>
      <c r="U27">
        <v>7062440001</v>
      </c>
      <c r="V27">
        <v>0</v>
      </c>
      <c r="W27" s="4">
        <v>828000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5601</v>
      </c>
      <c r="AN27" t="s">
        <v>481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69</v>
      </c>
      <c r="AZ27" t="s">
        <v>5602</v>
      </c>
      <c r="BA27">
        <v>0</v>
      </c>
      <c r="BC27" t="s">
        <v>481</v>
      </c>
      <c r="BF27" t="s">
        <v>3748</v>
      </c>
    </row>
    <row r="28" spans="1:58" x14ac:dyDescent="0.35">
      <c r="A28" t="s">
        <v>2425</v>
      </c>
      <c r="B28">
        <v>10000</v>
      </c>
      <c r="C28">
        <v>40000</v>
      </c>
      <c r="D28" s="2">
        <v>45742</v>
      </c>
      <c r="E28" t="s">
        <v>61</v>
      </c>
      <c r="F28" t="s">
        <v>2426</v>
      </c>
      <c r="G28" t="s">
        <v>2427</v>
      </c>
      <c r="I28">
        <v>3</v>
      </c>
      <c r="J28" t="s">
        <v>63</v>
      </c>
      <c r="K28">
        <v>91</v>
      </c>
      <c r="L28" t="s">
        <v>104</v>
      </c>
      <c r="M28" s="4">
        <v>2000</v>
      </c>
      <c r="P28" s="2">
        <v>45742</v>
      </c>
      <c r="R28">
        <v>3</v>
      </c>
      <c r="S28" s="4">
        <v>6000</v>
      </c>
      <c r="T28" t="s">
        <v>65</v>
      </c>
      <c r="U28" t="s">
        <v>2428</v>
      </c>
      <c r="V28">
        <v>0</v>
      </c>
      <c r="W28" s="4">
        <v>5000</v>
      </c>
      <c r="X28" s="4">
        <v>1000</v>
      </c>
      <c r="Y28">
        <v>0</v>
      </c>
      <c r="Z28">
        <v>0</v>
      </c>
      <c r="AA28">
        <v>0</v>
      </c>
      <c r="AD28">
        <v>0</v>
      </c>
      <c r="AM28" t="s">
        <v>2429</v>
      </c>
      <c r="AN28" t="s">
        <v>107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69</v>
      </c>
      <c r="AZ28" t="s">
        <v>2430</v>
      </c>
      <c r="BA28">
        <v>0</v>
      </c>
      <c r="BC28" t="s">
        <v>107</v>
      </c>
      <c r="BF28" t="s">
        <v>2431</v>
      </c>
    </row>
    <row r="29" spans="1:58" x14ac:dyDescent="0.35">
      <c r="A29" t="s">
        <v>1521</v>
      </c>
      <c r="B29">
        <v>10000</v>
      </c>
      <c r="C29">
        <v>40000</v>
      </c>
      <c r="D29" s="2">
        <v>45742</v>
      </c>
      <c r="E29" t="s">
        <v>61</v>
      </c>
      <c r="F29" t="s">
        <v>5603</v>
      </c>
      <c r="G29">
        <v>10620258036</v>
      </c>
      <c r="I29">
        <v>3</v>
      </c>
      <c r="J29" t="s">
        <v>63</v>
      </c>
      <c r="K29">
        <v>85</v>
      </c>
      <c r="L29" t="s">
        <v>327</v>
      </c>
      <c r="M29" s="4">
        <v>31819</v>
      </c>
      <c r="P29" s="2">
        <v>45742</v>
      </c>
      <c r="R29">
        <v>11</v>
      </c>
      <c r="S29" s="4">
        <v>350009</v>
      </c>
      <c r="T29" t="s">
        <v>65</v>
      </c>
      <c r="U29" t="s">
        <v>328</v>
      </c>
      <c r="V29">
        <v>0</v>
      </c>
      <c r="W29" s="4">
        <v>360000</v>
      </c>
      <c r="X29" s="4">
        <v>-9991</v>
      </c>
      <c r="Y29">
        <v>0</v>
      </c>
      <c r="Z29">
        <v>0</v>
      </c>
      <c r="AA29">
        <v>0</v>
      </c>
      <c r="AD29">
        <v>0</v>
      </c>
      <c r="AM29" t="s">
        <v>329</v>
      </c>
      <c r="AN29" t="s">
        <v>107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69</v>
      </c>
      <c r="AZ29" t="s">
        <v>1523</v>
      </c>
      <c r="BA29">
        <v>0</v>
      </c>
      <c r="BC29" t="s">
        <v>107</v>
      </c>
      <c r="BF29" t="s">
        <v>1524</v>
      </c>
    </row>
    <row r="30" spans="1:58" x14ac:dyDescent="0.35">
      <c r="A30" t="s">
        <v>5604</v>
      </c>
      <c r="B30">
        <v>10000</v>
      </c>
      <c r="C30">
        <v>20000</v>
      </c>
      <c r="D30" s="2">
        <v>45743</v>
      </c>
      <c r="E30" t="s">
        <v>61</v>
      </c>
      <c r="F30" t="s">
        <v>5541</v>
      </c>
      <c r="G30" t="s">
        <v>2069</v>
      </c>
      <c r="I30">
        <v>1</v>
      </c>
      <c r="J30" t="s">
        <v>63</v>
      </c>
      <c r="K30">
        <v>94</v>
      </c>
      <c r="L30" t="s">
        <v>181</v>
      </c>
      <c r="M30" s="4">
        <v>4000</v>
      </c>
      <c r="P30" s="2">
        <v>45742</v>
      </c>
      <c r="R30">
        <v>6</v>
      </c>
      <c r="S30" s="4">
        <v>24000</v>
      </c>
      <c r="T30" t="s">
        <v>65</v>
      </c>
      <c r="U30" t="s">
        <v>1405</v>
      </c>
      <c r="V30">
        <v>0</v>
      </c>
      <c r="W30" s="4">
        <v>24000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1406</v>
      </c>
      <c r="AN30" t="s">
        <v>364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69</v>
      </c>
      <c r="AZ30" t="s">
        <v>5605</v>
      </c>
      <c r="BA30">
        <v>0</v>
      </c>
      <c r="BC30" t="s">
        <v>364</v>
      </c>
      <c r="BF30" t="s">
        <v>5606</v>
      </c>
    </row>
    <row r="31" spans="1:58" x14ac:dyDescent="0.35">
      <c r="A31" t="s">
        <v>4779</v>
      </c>
      <c r="B31">
        <v>10000</v>
      </c>
      <c r="C31">
        <v>50000</v>
      </c>
      <c r="D31" s="2">
        <v>45742</v>
      </c>
      <c r="E31" t="s">
        <v>61</v>
      </c>
      <c r="F31" t="s">
        <v>4780</v>
      </c>
      <c r="G31" t="s">
        <v>4781</v>
      </c>
      <c r="I31">
        <v>3</v>
      </c>
      <c r="J31" t="s">
        <v>63</v>
      </c>
      <c r="K31">
        <v>91</v>
      </c>
      <c r="L31" t="s">
        <v>104</v>
      </c>
      <c r="M31" s="4">
        <v>6667</v>
      </c>
      <c r="P31" s="2">
        <v>45742</v>
      </c>
      <c r="R31">
        <v>3</v>
      </c>
      <c r="S31" s="4">
        <v>20001</v>
      </c>
      <c r="T31" t="s">
        <v>65</v>
      </c>
      <c r="U31" t="s">
        <v>334</v>
      </c>
      <c r="V31">
        <v>0</v>
      </c>
      <c r="W31" s="4">
        <v>20000</v>
      </c>
      <c r="X31">
        <v>1</v>
      </c>
      <c r="Y31">
        <v>0</v>
      </c>
      <c r="Z31">
        <v>0</v>
      </c>
      <c r="AA31">
        <v>0</v>
      </c>
      <c r="AD31">
        <v>0</v>
      </c>
      <c r="AM31" t="s">
        <v>335</v>
      </c>
      <c r="AN31" t="s">
        <v>107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69</v>
      </c>
      <c r="AZ31" t="s">
        <v>4782</v>
      </c>
      <c r="BA31">
        <v>0</v>
      </c>
      <c r="BC31" t="s">
        <v>107</v>
      </c>
      <c r="BF31" t="s">
        <v>4783</v>
      </c>
    </row>
    <row r="32" spans="1:58" x14ac:dyDescent="0.35">
      <c r="A32" t="s">
        <v>5607</v>
      </c>
      <c r="B32">
        <v>10000</v>
      </c>
      <c r="C32">
        <v>20000</v>
      </c>
      <c r="D32" s="2">
        <v>45742</v>
      </c>
      <c r="E32" t="s">
        <v>61</v>
      </c>
      <c r="F32" t="s">
        <v>5584</v>
      </c>
      <c r="G32" t="s">
        <v>3934</v>
      </c>
      <c r="I32">
        <v>1</v>
      </c>
      <c r="J32" t="s">
        <v>63</v>
      </c>
      <c r="K32">
        <v>60</v>
      </c>
      <c r="L32" t="s">
        <v>277</v>
      </c>
      <c r="M32" s="4">
        <v>5200</v>
      </c>
      <c r="P32" s="2">
        <v>45742</v>
      </c>
      <c r="R32">
        <v>10</v>
      </c>
      <c r="S32" s="4">
        <v>52000</v>
      </c>
      <c r="T32" t="s">
        <v>65</v>
      </c>
      <c r="U32" t="s">
        <v>2153</v>
      </c>
      <c r="V32">
        <v>0</v>
      </c>
      <c r="W32" s="4">
        <v>57000</v>
      </c>
      <c r="X32" s="4">
        <v>-5000</v>
      </c>
      <c r="Y32">
        <v>0</v>
      </c>
      <c r="Z32">
        <v>0</v>
      </c>
      <c r="AA32">
        <v>0</v>
      </c>
      <c r="AD32">
        <v>0</v>
      </c>
      <c r="AM32" t="s">
        <v>2154</v>
      </c>
      <c r="AN32" t="s">
        <v>321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69</v>
      </c>
      <c r="AZ32" t="s">
        <v>5608</v>
      </c>
      <c r="BA32">
        <v>0</v>
      </c>
      <c r="BC32" t="s">
        <v>321</v>
      </c>
      <c r="BF32" t="s">
        <v>2142</v>
      </c>
    </row>
    <row r="33" spans="1:58" x14ac:dyDescent="0.35">
      <c r="A33" t="s">
        <v>3966</v>
      </c>
      <c r="B33">
        <v>10000</v>
      </c>
      <c r="C33">
        <v>30000</v>
      </c>
      <c r="D33" s="2">
        <v>45749</v>
      </c>
      <c r="E33" t="s">
        <v>61</v>
      </c>
      <c r="F33" t="s">
        <v>4966</v>
      </c>
      <c r="G33" t="s">
        <v>3968</v>
      </c>
      <c r="I33">
        <v>1</v>
      </c>
      <c r="J33" t="s">
        <v>63</v>
      </c>
      <c r="K33">
        <v>78</v>
      </c>
      <c r="L33" t="s">
        <v>188</v>
      </c>
      <c r="M33" s="4">
        <v>1500</v>
      </c>
      <c r="P33" s="2">
        <v>45742</v>
      </c>
      <c r="R33">
        <v>2</v>
      </c>
      <c r="S33" s="4">
        <v>3000</v>
      </c>
      <c r="T33" t="s">
        <v>65</v>
      </c>
      <c r="U33" t="s">
        <v>3969</v>
      </c>
      <c r="V33">
        <v>0</v>
      </c>
      <c r="W33">
        <v>600</v>
      </c>
      <c r="X33" s="4">
        <v>2400</v>
      </c>
      <c r="Y33">
        <v>0</v>
      </c>
      <c r="Z33">
        <v>0</v>
      </c>
      <c r="AA33">
        <v>0</v>
      </c>
      <c r="AD33">
        <v>0</v>
      </c>
      <c r="AM33" t="s">
        <v>3970</v>
      </c>
      <c r="AN33" t="s">
        <v>508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69</v>
      </c>
      <c r="AZ33" t="s">
        <v>3971</v>
      </c>
      <c r="BA33">
        <v>0</v>
      </c>
      <c r="BC33" t="s">
        <v>508</v>
      </c>
      <c r="BF33" t="s">
        <v>2990</v>
      </c>
    </row>
    <row r="34" spans="1:58" x14ac:dyDescent="0.35">
      <c r="A34" t="s">
        <v>5609</v>
      </c>
      <c r="B34">
        <v>10000</v>
      </c>
      <c r="C34">
        <v>10000</v>
      </c>
      <c r="D34" s="2">
        <v>45742</v>
      </c>
      <c r="E34" t="s">
        <v>61</v>
      </c>
      <c r="F34" t="s">
        <v>5610</v>
      </c>
      <c r="G34" t="s">
        <v>3767</v>
      </c>
      <c r="I34">
        <v>1</v>
      </c>
      <c r="J34" t="s">
        <v>63</v>
      </c>
      <c r="K34">
        <v>46</v>
      </c>
      <c r="L34" t="s">
        <v>113</v>
      </c>
      <c r="M34" s="4">
        <v>1000</v>
      </c>
      <c r="P34" s="2">
        <v>45742</v>
      </c>
      <c r="R34">
        <v>1</v>
      </c>
      <c r="S34" s="4">
        <v>1000</v>
      </c>
      <c r="T34" t="s">
        <v>65</v>
      </c>
      <c r="U34" t="s">
        <v>5611</v>
      </c>
      <c r="V34">
        <v>0</v>
      </c>
      <c r="W34" s="4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5612</v>
      </c>
      <c r="AN34" t="s">
        <v>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69</v>
      </c>
      <c r="AZ34" t="s">
        <v>5613</v>
      </c>
      <c r="BA34">
        <v>0</v>
      </c>
      <c r="BC34" t="s">
        <v>116</v>
      </c>
      <c r="BF34" t="s">
        <v>4586</v>
      </c>
    </row>
    <row r="35" spans="1:58" x14ac:dyDescent="0.35">
      <c r="A35" t="s">
        <v>5614</v>
      </c>
      <c r="B35">
        <v>10000</v>
      </c>
      <c r="C35">
        <v>10000</v>
      </c>
      <c r="D35" s="2">
        <v>45742</v>
      </c>
      <c r="E35" t="s">
        <v>61</v>
      </c>
      <c r="F35" s="3">
        <v>0.54053240740740738</v>
      </c>
      <c r="G35" t="s">
        <v>3767</v>
      </c>
      <c r="I35">
        <v>1</v>
      </c>
      <c r="J35" t="s">
        <v>63</v>
      </c>
      <c r="K35">
        <v>46</v>
      </c>
      <c r="L35" t="s">
        <v>113</v>
      </c>
      <c r="M35" s="4">
        <v>1000</v>
      </c>
      <c r="P35" s="2">
        <v>45742</v>
      </c>
      <c r="R35">
        <v>1</v>
      </c>
      <c r="S35" s="4">
        <v>1000</v>
      </c>
      <c r="T35" t="s">
        <v>65</v>
      </c>
      <c r="U35" t="s">
        <v>5615</v>
      </c>
      <c r="V35">
        <v>0</v>
      </c>
      <c r="W35" s="4">
        <v>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5616</v>
      </c>
      <c r="AN35" t="s">
        <v>116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69</v>
      </c>
      <c r="AZ35" t="s">
        <v>5617</v>
      </c>
      <c r="BA35">
        <v>0</v>
      </c>
      <c r="BC35" t="s">
        <v>116</v>
      </c>
      <c r="BF35" t="s">
        <v>4586</v>
      </c>
    </row>
    <row r="36" spans="1:58" x14ac:dyDescent="0.35">
      <c r="A36" t="s">
        <v>5618</v>
      </c>
      <c r="B36">
        <v>10000</v>
      </c>
      <c r="C36">
        <v>10000</v>
      </c>
      <c r="D36" s="2">
        <v>45743</v>
      </c>
      <c r="E36" t="s">
        <v>61</v>
      </c>
      <c r="F36" t="s">
        <v>5590</v>
      </c>
      <c r="G36" t="s">
        <v>5140</v>
      </c>
      <c r="I36">
        <v>1</v>
      </c>
      <c r="J36" t="s">
        <v>63</v>
      </c>
      <c r="K36">
        <v>61</v>
      </c>
      <c r="L36" t="s">
        <v>197</v>
      </c>
      <c r="M36" s="4">
        <v>2000</v>
      </c>
      <c r="P36" s="2">
        <v>45742</v>
      </c>
      <c r="R36">
        <v>4</v>
      </c>
      <c r="S36" s="4">
        <v>8000</v>
      </c>
      <c r="T36" t="s">
        <v>65</v>
      </c>
      <c r="U36" t="s">
        <v>1715</v>
      </c>
      <c r="V36">
        <v>0</v>
      </c>
      <c r="W36" s="4">
        <v>8000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1716</v>
      </c>
      <c r="AN36" t="s">
        <v>116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69</v>
      </c>
      <c r="AZ36" t="s">
        <v>5619</v>
      </c>
      <c r="BA36">
        <v>0</v>
      </c>
      <c r="BC36" t="s">
        <v>116</v>
      </c>
      <c r="BF36" t="s">
        <v>3323</v>
      </c>
    </row>
    <row r="37" spans="1:58" x14ac:dyDescent="0.35">
      <c r="A37" t="s">
        <v>5620</v>
      </c>
      <c r="B37">
        <v>10000</v>
      </c>
      <c r="C37">
        <v>10000</v>
      </c>
      <c r="D37" s="2">
        <v>45743</v>
      </c>
      <c r="E37" t="s">
        <v>61</v>
      </c>
      <c r="F37" t="s">
        <v>5621</v>
      </c>
      <c r="G37" t="s">
        <v>5622</v>
      </c>
      <c r="I37">
        <v>1</v>
      </c>
      <c r="J37" t="s">
        <v>63</v>
      </c>
      <c r="K37">
        <v>22</v>
      </c>
      <c r="L37" t="s">
        <v>466</v>
      </c>
      <c r="M37" s="4">
        <v>27000</v>
      </c>
      <c r="P37" s="2">
        <v>45742</v>
      </c>
      <c r="R37">
        <v>1</v>
      </c>
      <c r="S37" s="4">
        <v>27000</v>
      </c>
      <c r="T37" t="s">
        <v>65</v>
      </c>
      <c r="U37" t="s">
        <v>2628</v>
      </c>
      <c r="V37">
        <v>0</v>
      </c>
      <c r="W37" s="4">
        <v>27000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2629</v>
      </c>
      <c r="AN37" t="s">
        <v>116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69</v>
      </c>
      <c r="AZ37" t="s">
        <v>5623</v>
      </c>
      <c r="BA37">
        <v>0</v>
      </c>
      <c r="BC37" t="s">
        <v>116</v>
      </c>
      <c r="BF37" t="s">
        <v>3532</v>
      </c>
    </row>
    <row r="38" spans="1:58" x14ac:dyDescent="0.35">
      <c r="A38" t="s">
        <v>3537</v>
      </c>
      <c r="B38">
        <v>10000</v>
      </c>
      <c r="C38">
        <v>30000</v>
      </c>
      <c r="D38" s="2">
        <v>45743</v>
      </c>
      <c r="E38" t="s">
        <v>61</v>
      </c>
      <c r="F38" t="s">
        <v>3538</v>
      </c>
      <c r="G38">
        <v>10639931025</v>
      </c>
      <c r="I38">
        <v>3</v>
      </c>
      <c r="J38" t="s">
        <v>63</v>
      </c>
      <c r="K38">
        <v>85</v>
      </c>
      <c r="L38" t="s">
        <v>327</v>
      </c>
      <c r="M38" s="4">
        <v>20000</v>
      </c>
      <c r="P38" s="2">
        <v>45742</v>
      </c>
      <c r="R38">
        <v>11</v>
      </c>
      <c r="S38" s="4">
        <v>220000</v>
      </c>
      <c r="T38" t="s">
        <v>65</v>
      </c>
      <c r="U38" t="s">
        <v>3539</v>
      </c>
      <c r="V38">
        <v>0</v>
      </c>
      <c r="W38" s="4">
        <v>200000</v>
      </c>
      <c r="X38" s="4">
        <v>20000</v>
      </c>
      <c r="Y38">
        <v>0</v>
      </c>
      <c r="Z38">
        <v>0</v>
      </c>
      <c r="AA38">
        <v>0</v>
      </c>
      <c r="AD38">
        <v>0</v>
      </c>
      <c r="AM38" t="s">
        <v>3540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69</v>
      </c>
      <c r="AZ38" t="s">
        <v>3541</v>
      </c>
      <c r="BA38">
        <v>0</v>
      </c>
      <c r="BC38" t="s">
        <v>107</v>
      </c>
      <c r="BF38" t="s">
        <v>3542</v>
      </c>
    </row>
    <row r="39" spans="1:58" x14ac:dyDescent="0.35">
      <c r="A39" t="s">
        <v>5624</v>
      </c>
      <c r="B39">
        <v>10000</v>
      </c>
      <c r="C39">
        <v>10000</v>
      </c>
      <c r="D39" s="2">
        <v>45742</v>
      </c>
      <c r="E39" t="s">
        <v>61</v>
      </c>
      <c r="F39" s="3">
        <v>0.54011574074074076</v>
      </c>
      <c r="G39" t="s">
        <v>5112</v>
      </c>
      <c r="I39">
        <v>1</v>
      </c>
      <c r="J39" t="s">
        <v>63</v>
      </c>
      <c r="K39">
        <v>94</v>
      </c>
      <c r="L39" t="s">
        <v>181</v>
      </c>
      <c r="M39" s="4">
        <v>1000</v>
      </c>
      <c r="P39" s="2">
        <v>45742</v>
      </c>
      <c r="R39">
        <v>4</v>
      </c>
      <c r="S39" s="4">
        <v>4000</v>
      </c>
      <c r="T39" t="s">
        <v>65</v>
      </c>
      <c r="U39" t="s">
        <v>2537</v>
      </c>
      <c r="V39">
        <v>0</v>
      </c>
      <c r="W39" s="4">
        <v>4000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2538</v>
      </c>
      <c r="AN39" t="s">
        <v>3615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69</v>
      </c>
      <c r="AZ39" t="s">
        <v>5625</v>
      </c>
      <c r="BA39">
        <v>0</v>
      </c>
      <c r="BC39" t="s">
        <v>3615</v>
      </c>
      <c r="BF39" t="s">
        <v>3617</v>
      </c>
    </row>
    <row r="40" spans="1:58" x14ac:dyDescent="0.35">
      <c r="A40" t="s">
        <v>5351</v>
      </c>
      <c r="B40">
        <v>10000</v>
      </c>
      <c r="C40">
        <v>20000</v>
      </c>
      <c r="D40" s="2">
        <v>45743</v>
      </c>
      <c r="E40" t="s">
        <v>61</v>
      </c>
      <c r="F40" t="s">
        <v>1357</v>
      </c>
      <c r="G40" t="s">
        <v>4340</v>
      </c>
      <c r="I40">
        <v>2</v>
      </c>
      <c r="J40" t="s">
        <v>63</v>
      </c>
      <c r="K40">
        <v>71</v>
      </c>
      <c r="L40" t="s">
        <v>135</v>
      </c>
      <c r="M40">
        <v>417</v>
      </c>
      <c r="P40" s="2">
        <v>45742</v>
      </c>
      <c r="R40">
        <v>12</v>
      </c>
      <c r="S40" s="4">
        <v>5004</v>
      </c>
      <c r="T40" t="s">
        <v>65</v>
      </c>
      <c r="U40">
        <v>5000422940001</v>
      </c>
      <c r="V40">
        <v>0</v>
      </c>
      <c r="W40" s="4">
        <v>5000</v>
      </c>
      <c r="X40">
        <v>4</v>
      </c>
      <c r="Y40">
        <v>0</v>
      </c>
      <c r="Z40">
        <v>0</v>
      </c>
      <c r="AA40">
        <v>0</v>
      </c>
      <c r="AD40">
        <v>0</v>
      </c>
      <c r="AM40">
        <v>500042294</v>
      </c>
      <c r="AN40" t="s">
        <v>91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69</v>
      </c>
      <c r="AZ40" t="s">
        <v>5352</v>
      </c>
      <c r="BA40">
        <v>0</v>
      </c>
      <c r="BC40" t="s">
        <v>91</v>
      </c>
      <c r="BF40" t="s">
        <v>5353</v>
      </c>
    </row>
    <row r="41" spans="1:58" x14ac:dyDescent="0.35">
      <c r="A41" t="s">
        <v>5354</v>
      </c>
      <c r="B41">
        <v>10000</v>
      </c>
      <c r="C41">
        <v>20000</v>
      </c>
      <c r="D41" s="2">
        <v>45743</v>
      </c>
      <c r="E41" t="s">
        <v>61</v>
      </c>
      <c r="F41" t="s">
        <v>4727</v>
      </c>
      <c r="G41" t="s">
        <v>4340</v>
      </c>
      <c r="I41">
        <v>2</v>
      </c>
      <c r="J41" t="s">
        <v>63</v>
      </c>
      <c r="K41">
        <v>71</v>
      </c>
      <c r="L41" t="s">
        <v>135</v>
      </c>
      <c r="M41">
        <v>417</v>
      </c>
      <c r="P41" s="2">
        <v>45742</v>
      </c>
      <c r="R41">
        <v>12</v>
      </c>
      <c r="S41" s="4">
        <v>5004</v>
      </c>
      <c r="T41" t="s">
        <v>65</v>
      </c>
      <c r="U41">
        <v>5000422950001</v>
      </c>
      <c r="V41">
        <v>0</v>
      </c>
      <c r="W41" s="4">
        <v>5000</v>
      </c>
      <c r="X41">
        <v>4</v>
      </c>
      <c r="Y41">
        <v>0</v>
      </c>
      <c r="Z41">
        <v>0</v>
      </c>
      <c r="AA41">
        <v>0</v>
      </c>
      <c r="AD41">
        <v>0</v>
      </c>
      <c r="AM41">
        <v>500042295</v>
      </c>
      <c r="AN41" t="s">
        <v>91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69</v>
      </c>
      <c r="AZ41" t="s">
        <v>5355</v>
      </c>
      <c r="BA41">
        <v>0</v>
      </c>
      <c r="BC41" t="s">
        <v>91</v>
      </c>
      <c r="BF41" t="s">
        <v>5353</v>
      </c>
    </row>
    <row r="42" spans="1:58" x14ac:dyDescent="0.35">
      <c r="A42" t="s">
        <v>5626</v>
      </c>
      <c r="B42">
        <v>10000</v>
      </c>
      <c r="C42">
        <v>10000</v>
      </c>
      <c r="D42" s="2">
        <v>45749</v>
      </c>
      <c r="E42" t="s">
        <v>61</v>
      </c>
      <c r="F42" t="s">
        <v>5627</v>
      </c>
      <c r="G42" t="s">
        <v>5628</v>
      </c>
      <c r="I42">
        <v>1</v>
      </c>
      <c r="J42" t="s">
        <v>63</v>
      </c>
      <c r="K42">
        <v>90</v>
      </c>
      <c r="L42" t="s">
        <v>405</v>
      </c>
      <c r="M42" s="4">
        <v>22728</v>
      </c>
      <c r="P42" s="2">
        <v>45742</v>
      </c>
      <c r="R42">
        <v>132</v>
      </c>
      <c r="S42" s="4">
        <v>3000096</v>
      </c>
      <c r="T42" t="s">
        <v>65</v>
      </c>
      <c r="U42" t="s">
        <v>2019</v>
      </c>
      <c r="V42">
        <v>0</v>
      </c>
      <c r="W42" s="4">
        <v>3000008</v>
      </c>
      <c r="X42">
        <v>88</v>
      </c>
      <c r="Y42">
        <v>0</v>
      </c>
      <c r="Z42">
        <v>0</v>
      </c>
      <c r="AA42">
        <v>0</v>
      </c>
      <c r="AD42">
        <v>0</v>
      </c>
      <c r="AM42" t="s">
        <v>2020</v>
      </c>
      <c r="AN42" t="s">
        <v>1672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69</v>
      </c>
      <c r="AZ42" t="s">
        <v>5629</v>
      </c>
      <c r="BA42">
        <v>0</v>
      </c>
      <c r="BC42" t="s">
        <v>1672</v>
      </c>
      <c r="BF42" t="s">
        <v>4845</v>
      </c>
    </row>
    <row r="43" spans="1:58" x14ac:dyDescent="0.35">
      <c r="A43" t="s">
        <v>5630</v>
      </c>
      <c r="B43">
        <v>10000</v>
      </c>
      <c r="C43">
        <v>10000</v>
      </c>
      <c r="D43" s="2">
        <v>45743</v>
      </c>
      <c r="E43" t="s">
        <v>61</v>
      </c>
      <c r="F43" t="s">
        <v>5631</v>
      </c>
      <c r="G43" t="s">
        <v>3980</v>
      </c>
      <c r="I43">
        <v>1</v>
      </c>
      <c r="J43" t="s">
        <v>63</v>
      </c>
      <c r="K43">
        <v>46</v>
      </c>
      <c r="L43" t="s">
        <v>113</v>
      </c>
      <c r="M43" s="4">
        <v>3000</v>
      </c>
      <c r="P43" s="2">
        <v>45742</v>
      </c>
      <c r="R43">
        <v>1</v>
      </c>
      <c r="S43" s="4">
        <v>3000</v>
      </c>
      <c r="T43" t="s">
        <v>65</v>
      </c>
      <c r="U43" t="s">
        <v>5632</v>
      </c>
      <c r="V43">
        <v>0</v>
      </c>
      <c r="W43" s="4">
        <v>3000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5633</v>
      </c>
      <c r="AN43" t="s">
        <v>116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69</v>
      </c>
      <c r="AZ43" t="s">
        <v>5634</v>
      </c>
      <c r="BA43">
        <v>0</v>
      </c>
      <c r="BC43" t="s">
        <v>116</v>
      </c>
      <c r="BF43" t="s">
        <v>4631</v>
      </c>
    </row>
    <row r="44" spans="1:58" x14ac:dyDescent="0.35">
      <c r="A44" t="s">
        <v>5635</v>
      </c>
      <c r="B44">
        <v>10000</v>
      </c>
      <c r="C44">
        <v>10000</v>
      </c>
      <c r="D44" s="2">
        <v>45743</v>
      </c>
      <c r="E44" t="s">
        <v>61</v>
      </c>
      <c r="F44" t="s">
        <v>5541</v>
      </c>
      <c r="G44" t="s">
        <v>5636</v>
      </c>
      <c r="I44">
        <v>1</v>
      </c>
      <c r="J44" t="s">
        <v>63</v>
      </c>
      <c r="K44">
        <v>32</v>
      </c>
      <c r="L44" t="s">
        <v>553</v>
      </c>
      <c r="M44" s="4">
        <v>5860</v>
      </c>
      <c r="P44" s="2">
        <v>45742</v>
      </c>
      <c r="R44">
        <v>1</v>
      </c>
      <c r="S44" s="4">
        <v>5860</v>
      </c>
      <c r="T44" t="s">
        <v>65</v>
      </c>
      <c r="U44" t="s">
        <v>554</v>
      </c>
      <c r="V44">
        <v>0</v>
      </c>
      <c r="W44" s="4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555</v>
      </c>
      <c r="AN44" t="s">
        <v>116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69</v>
      </c>
      <c r="AZ44" t="s">
        <v>5637</v>
      </c>
      <c r="BA44">
        <v>0</v>
      </c>
      <c r="BC44" t="s">
        <v>116</v>
      </c>
      <c r="BF44" t="s">
        <v>4862</v>
      </c>
    </row>
    <row r="45" spans="1:58" x14ac:dyDescent="0.35">
      <c r="A45" t="s">
        <v>5638</v>
      </c>
      <c r="B45">
        <v>10000</v>
      </c>
      <c r="C45">
        <v>10000</v>
      </c>
      <c r="D45" s="2">
        <v>45743</v>
      </c>
      <c r="E45" t="s">
        <v>61</v>
      </c>
      <c r="F45" t="s">
        <v>5541</v>
      </c>
      <c r="G45" t="s">
        <v>5636</v>
      </c>
      <c r="I45">
        <v>1</v>
      </c>
      <c r="J45" t="s">
        <v>63</v>
      </c>
      <c r="K45">
        <v>32</v>
      </c>
      <c r="L45" t="s">
        <v>553</v>
      </c>
      <c r="M45" s="4">
        <v>5860</v>
      </c>
      <c r="P45" s="2">
        <v>45742</v>
      </c>
      <c r="R45">
        <v>1</v>
      </c>
      <c r="S45" s="4">
        <v>5860</v>
      </c>
      <c r="T45" t="s">
        <v>65</v>
      </c>
      <c r="U45" t="s">
        <v>554</v>
      </c>
      <c r="V45">
        <v>0</v>
      </c>
      <c r="W45" s="4">
        <v>5360</v>
      </c>
      <c r="X45">
        <v>500</v>
      </c>
      <c r="Y45">
        <v>0</v>
      </c>
      <c r="Z45">
        <v>0</v>
      </c>
      <c r="AA45">
        <v>0</v>
      </c>
      <c r="AD45">
        <v>0</v>
      </c>
      <c r="AM45" t="s">
        <v>555</v>
      </c>
      <c r="AN45" t="s">
        <v>116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69</v>
      </c>
      <c r="AZ45" t="s">
        <v>5639</v>
      </c>
      <c r="BA45">
        <v>0</v>
      </c>
      <c r="BC45" t="s">
        <v>116</v>
      </c>
      <c r="BF45" t="s">
        <v>5043</v>
      </c>
    </row>
    <row r="46" spans="1:58" x14ac:dyDescent="0.35">
      <c r="A46" t="s">
        <v>5640</v>
      </c>
      <c r="B46">
        <v>10000</v>
      </c>
      <c r="C46">
        <v>10000</v>
      </c>
      <c r="D46" s="2">
        <v>45742</v>
      </c>
      <c r="E46" t="s">
        <v>61</v>
      </c>
      <c r="F46" t="s">
        <v>5641</v>
      </c>
      <c r="G46" t="s">
        <v>5642</v>
      </c>
      <c r="I46">
        <v>1</v>
      </c>
      <c r="J46" t="s">
        <v>63</v>
      </c>
      <c r="K46">
        <v>26</v>
      </c>
      <c r="L46" t="s">
        <v>249</v>
      </c>
      <c r="M46" s="4">
        <v>4500</v>
      </c>
      <c r="P46" s="2">
        <v>45742</v>
      </c>
      <c r="R46">
        <v>4</v>
      </c>
      <c r="S46" s="4">
        <v>18000</v>
      </c>
      <c r="T46" t="s">
        <v>65</v>
      </c>
      <c r="U46" t="s">
        <v>5643</v>
      </c>
      <c r="V46">
        <v>0</v>
      </c>
      <c r="W46" s="4">
        <v>18000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5644</v>
      </c>
      <c r="AN46" t="s">
        <v>157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69</v>
      </c>
      <c r="AZ46" t="s">
        <v>5645</v>
      </c>
      <c r="BA46">
        <v>0</v>
      </c>
      <c r="BC46" t="s">
        <v>157</v>
      </c>
      <c r="BF46" t="s">
        <v>5646</v>
      </c>
    </row>
    <row r="47" spans="1:58" x14ac:dyDescent="0.35">
      <c r="A47" t="s">
        <v>5647</v>
      </c>
      <c r="B47">
        <v>10000</v>
      </c>
      <c r="C47">
        <v>10000</v>
      </c>
      <c r="D47" s="2">
        <v>45744</v>
      </c>
      <c r="E47" t="s">
        <v>61</v>
      </c>
      <c r="F47" t="s">
        <v>5648</v>
      </c>
      <c r="G47">
        <v>1006323</v>
      </c>
      <c r="I47">
        <v>1</v>
      </c>
      <c r="J47" t="s">
        <v>63</v>
      </c>
      <c r="K47">
        <v>63</v>
      </c>
      <c r="L47" t="s">
        <v>519</v>
      </c>
      <c r="M47" s="4">
        <v>2400</v>
      </c>
      <c r="P47" s="2">
        <v>45742</v>
      </c>
      <c r="R47">
        <v>50</v>
      </c>
      <c r="S47" s="4">
        <v>120000</v>
      </c>
      <c r="T47" t="s">
        <v>65</v>
      </c>
      <c r="U47" t="s">
        <v>4233</v>
      </c>
      <c r="V47">
        <v>0</v>
      </c>
      <c r="W47" s="4">
        <v>120000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4234</v>
      </c>
      <c r="AN47" t="s">
        <v>157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69</v>
      </c>
      <c r="AZ47" t="s">
        <v>5649</v>
      </c>
      <c r="BA47">
        <v>0</v>
      </c>
      <c r="BC47" t="s">
        <v>157</v>
      </c>
      <c r="BF47" t="s">
        <v>5650</v>
      </c>
    </row>
    <row r="48" spans="1:58" x14ac:dyDescent="0.35">
      <c r="A48" t="s">
        <v>5651</v>
      </c>
      <c r="B48">
        <v>10000</v>
      </c>
      <c r="C48">
        <v>10000</v>
      </c>
      <c r="D48" s="2">
        <v>45744</v>
      </c>
      <c r="E48" t="s">
        <v>61</v>
      </c>
      <c r="F48" t="s">
        <v>5652</v>
      </c>
      <c r="G48" t="s">
        <v>5642</v>
      </c>
      <c r="I48">
        <v>1</v>
      </c>
      <c r="J48" t="s">
        <v>63</v>
      </c>
      <c r="K48">
        <v>70</v>
      </c>
      <c r="L48" t="s">
        <v>795</v>
      </c>
      <c r="M48" s="4">
        <v>9000</v>
      </c>
      <c r="P48" s="2">
        <v>45742</v>
      </c>
      <c r="R48">
        <v>6</v>
      </c>
      <c r="S48" s="4">
        <v>54000</v>
      </c>
      <c r="T48" t="s">
        <v>65</v>
      </c>
      <c r="U48" t="s">
        <v>5653</v>
      </c>
      <c r="V48">
        <v>0</v>
      </c>
      <c r="W48" s="4">
        <v>54000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5654</v>
      </c>
      <c r="AN48" t="s">
        <v>157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69</v>
      </c>
      <c r="AZ48" t="s">
        <v>5655</v>
      </c>
      <c r="BA48">
        <v>0</v>
      </c>
      <c r="BC48" t="s">
        <v>157</v>
      </c>
      <c r="BF48" t="s">
        <v>5656</v>
      </c>
    </row>
    <row r="49" spans="1:58" x14ac:dyDescent="0.35">
      <c r="A49" t="s">
        <v>5657</v>
      </c>
      <c r="B49">
        <v>10000</v>
      </c>
      <c r="C49">
        <v>10000</v>
      </c>
      <c r="D49" s="2">
        <v>45744</v>
      </c>
      <c r="E49" t="s">
        <v>61</v>
      </c>
      <c r="F49" t="s">
        <v>5648</v>
      </c>
      <c r="G49">
        <v>8613409</v>
      </c>
      <c r="I49">
        <v>1</v>
      </c>
      <c r="J49" t="s">
        <v>63</v>
      </c>
      <c r="K49">
        <v>63</v>
      </c>
      <c r="L49" t="s">
        <v>519</v>
      </c>
      <c r="M49" s="4">
        <v>8572</v>
      </c>
      <c r="P49" s="2">
        <v>45742</v>
      </c>
      <c r="R49">
        <v>14</v>
      </c>
      <c r="S49" s="4">
        <v>120008</v>
      </c>
      <c r="T49" t="s">
        <v>65</v>
      </c>
      <c r="U49" t="s">
        <v>3962</v>
      </c>
      <c r="V49">
        <v>0</v>
      </c>
      <c r="W49" s="4">
        <v>120000</v>
      </c>
      <c r="X49">
        <v>8</v>
      </c>
      <c r="Y49">
        <v>0</v>
      </c>
      <c r="Z49">
        <v>0</v>
      </c>
      <c r="AA49">
        <v>0</v>
      </c>
      <c r="AD49">
        <v>0</v>
      </c>
      <c r="AM49" t="s">
        <v>3963</v>
      </c>
      <c r="AN49" t="s">
        <v>157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69</v>
      </c>
      <c r="AZ49" t="s">
        <v>5658</v>
      </c>
      <c r="BA49">
        <v>0</v>
      </c>
      <c r="BC49" t="s">
        <v>157</v>
      </c>
      <c r="BF49" t="s">
        <v>5659</v>
      </c>
    </row>
    <row r="50" spans="1:58" x14ac:dyDescent="0.35">
      <c r="A50" t="s">
        <v>4907</v>
      </c>
      <c r="B50">
        <v>10000</v>
      </c>
      <c r="C50">
        <v>20000</v>
      </c>
      <c r="D50" s="2">
        <v>45742</v>
      </c>
      <c r="E50" t="s">
        <v>61</v>
      </c>
      <c r="F50" s="3">
        <v>0.42465277777777777</v>
      </c>
      <c r="G50">
        <v>860909190840</v>
      </c>
      <c r="I50">
        <v>2</v>
      </c>
      <c r="J50" t="s">
        <v>63</v>
      </c>
      <c r="K50">
        <v>86</v>
      </c>
      <c r="L50" t="s">
        <v>64</v>
      </c>
      <c r="M50">
        <v>167</v>
      </c>
      <c r="P50" s="2">
        <v>45742</v>
      </c>
      <c r="R50">
        <v>24</v>
      </c>
      <c r="S50" s="4">
        <v>4008</v>
      </c>
      <c r="T50" t="s">
        <v>65</v>
      </c>
      <c r="U50">
        <v>200641280001</v>
      </c>
      <c r="V50">
        <v>0</v>
      </c>
      <c r="W50" s="4">
        <v>6000</v>
      </c>
      <c r="X50" s="4">
        <v>-1992</v>
      </c>
      <c r="Y50">
        <v>0</v>
      </c>
      <c r="Z50">
        <v>0</v>
      </c>
      <c r="AA50">
        <v>0</v>
      </c>
      <c r="AD50">
        <v>0</v>
      </c>
      <c r="AM50">
        <v>20064128</v>
      </c>
      <c r="AN50" t="s">
        <v>182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69</v>
      </c>
      <c r="AZ50" t="s">
        <v>4908</v>
      </c>
      <c r="BA50">
        <v>0</v>
      </c>
      <c r="BC50" t="s">
        <v>182</v>
      </c>
      <c r="BF50" t="s">
        <v>4909</v>
      </c>
    </row>
    <row r="51" spans="1:58" x14ac:dyDescent="0.35">
      <c r="A51" t="s">
        <v>5660</v>
      </c>
      <c r="B51">
        <v>10000</v>
      </c>
      <c r="C51">
        <v>10000</v>
      </c>
      <c r="D51" s="2">
        <v>45742</v>
      </c>
      <c r="E51" t="s">
        <v>61</v>
      </c>
      <c r="F51" s="3">
        <v>0.44906249999999998</v>
      </c>
      <c r="G51" t="s">
        <v>5661</v>
      </c>
      <c r="I51">
        <v>1</v>
      </c>
      <c r="J51" t="s">
        <v>63</v>
      </c>
      <c r="K51">
        <v>112</v>
      </c>
      <c r="L51" t="s">
        <v>597</v>
      </c>
      <c r="M51">
        <v>15</v>
      </c>
      <c r="P51" s="2">
        <v>45742</v>
      </c>
      <c r="R51">
        <v>4</v>
      </c>
      <c r="S51">
        <v>60</v>
      </c>
      <c r="T51" t="s">
        <v>65</v>
      </c>
      <c r="U51" t="s">
        <v>5662</v>
      </c>
      <c r="V51">
        <v>0</v>
      </c>
      <c r="W51">
        <v>60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5663</v>
      </c>
      <c r="AN51" t="s">
        <v>321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69</v>
      </c>
      <c r="AZ51" t="s">
        <v>5664</v>
      </c>
      <c r="BA51">
        <v>0</v>
      </c>
      <c r="BC51" t="s">
        <v>321</v>
      </c>
      <c r="BF51" t="s">
        <v>4693</v>
      </c>
    </row>
    <row r="52" spans="1:58" x14ac:dyDescent="0.35">
      <c r="A52" t="s">
        <v>5665</v>
      </c>
      <c r="B52">
        <v>10000</v>
      </c>
      <c r="C52">
        <v>10000</v>
      </c>
      <c r="D52" s="2">
        <v>45742</v>
      </c>
      <c r="E52" t="s">
        <v>61</v>
      </c>
      <c r="F52" t="s">
        <v>5414</v>
      </c>
      <c r="G52" t="s">
        <v>5666</v>
      </c>
      <c r="I52">
        <v>1</v>
      </c>
      <c r="J52" t="s">
        <v>63</v>
      </c>
      <c r="K52">
        <v>60</v>
      </c>
      <c r="L52" t="s">
        <v>277</v>
      </c>
      <c r="M52">
        <v>20</v>
      </c>
      <c r="P52" s="2">
        <v>45742</v>
      </c>
      <c r="R52">
        <v>6</v>
      </c>
      <c r="S52">
        <v>120</v>
      </c>
      <c r="T52" t="s">
        <v>65</v>
      </c>
      <c r="U52" t="s">
        <v>3385</v>
      </c>
      <c r="V52">
        <v>0</v>
      </c>
      <c r="W52">
        <v>120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3386</v>
      </c>
      <c r="AN52" t="s">
        <v>321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69</v>
      </c>
      <c r="AZ52" t="s">
        <v>5667</v>
      </c>
      <c r="BA52">
        <v>0</v>
      </c>
      <c r="BC52" t="s">
        <v>321</v>
      </c>
      <c r="BF52" t="s">
        <v>4693</v>
      </c>
    </row>
    <row r="53" spans="1:58" x14ac:dyDescent="0.35">
      <c r="A53" t="s">
        <v>5668</v>
      </c>
      <c r="B53">
        <v>10000</v>
      </c>
      <c r="C53">
        <v>10000</v>
      </c>
      <c r="D53" s="2">
        <v>45742</v>
      </c>
      <c r="E53" t="s">
        <v>61</v>
      </c>
      <c r="F53" t="s">
        <v>5414</v>
      </c>
      <c r="G53" t="s">
        <v>3934</v>
      </c>
      <c r="I53">
        <v>1</v>
      </c>
      <c r="J53" t="s">
        <v>63</v>
      </c>
      <c r="K53">
        <v>60</v>
      </c>
      <c r="L53" t="s">
        <v>277</v>
      </c>
      <c r="M53">
        <v>70</v>
      </c>
      <c r="P53" s="2">
        <v>45742</v>
      </c>
      <c r="R53">
        <v>10</v>
      </c>
      <c r="S53">
        <v>700</v>
      </c>
      <c r="T53" t="s">
        <v>65</v>
      </c>
      <c r="U53" t="s">
        <v>2153</v>
      </c>
      <c r="V53">
        <v>0</v>
      </c>
      <c r="W53">
        <v>700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2154</v>
      </c>
      <c r="AN53" t="s">
        <v>321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69</v>
      </c>
      <c r="AZ53" t="s">
        <v>5669</v>
      </c>
      <c r="BA53">
        <v>0</v>
      </c>
      <c r="BC53" t="s">
        <v>321</v>
      </c>
      <c r="BF53" t="s">
        <v>4693</v>
      </c>
    </row>
    <row r="54" spans="1:58" x14ac:dyDescent="0.35">
      <c r="A54" t="s">
        <v>5670</v>
      </c>
      <c r="B54">
        <v>10000</v>
      </c>
      <c r="C54">
        <v>10000</v>
      </c>
      <c r="D54" s="2">
        <v>45742</v>
      </c>
      <c r="E54" t="s">
        <v>61</v>
      </c>
      <c r="F54" t="s">
        <v>5402</v>
      </c>
      <c r="G54" t="s">
        <v>5415</v>
      </c>
      <c r="I54">
        <v>1</v>
      </c>
      <c r="J54" t="s">
        <v>63</v>
      </c>
      <c r="K54">
        <v>60</v>
      </c>
      <c r="L54" t="s">
        <v>277</v>
      </c>
      <c r="M54">
        <v>70</v>
      </c>
      <c r="P54" s="2">
        <v>45742</v>
      </c>
      <c r="R54">
        <v>10</v>
      </c>
      <c r="S54">
        <v>700</v>
      </c>
      <c r="T54" t="s">
        <v>65</v>
      </c>
      <c r="U54" t="s">
        <v>2025</v>
      </c>
      <c r="V54">
        <v>0</v>
      </c>
      <c r="W54">
        <v>700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2026</v>
      </c>
      <c r="AN54" t="s">
        <v>321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69</v>
      </c>
      <c r="AZ54" t="s">
        <v>5671</v>
      </c>
      <c r="BA54">
        <v>0</v>
      </c>
      <c r="BC54" t="s">
        <v>321</v>
      </c>
      <c r="BF54" t="s">
        <v>4693</v>
      </c>
    </row>
    <row r="55" spans="1:58" x14ac:dyDescent="0.35">
      <c r="A55" t="s">
        <v>5672</v>
      </c>
      <c r="B55">
        <v>10000</v>
      </c>
      <c r="C55">
        <v>10000</v>
      </c>
      <c r="D55" s="2">
        <v>45742</v>
      </c>
      <c r="E55" t="s">
        <v>61</v>
      </c>
      <c r="F55" t="s">
        <v>5402</v>
      </c>
      <c r="G55" t="s">
        <v>5673</v>
      </c>
      <c r="I55">
        <v>1</v>
      </c>
      <c r="J55" t="s">
        <v>63</v>
      </c>
      <c r="K55">
        <v>60</v>
      </c>
      <c r="L55" t="s">
        <v>277</v>
      </c>
      <c r="M55">
        <v>25</v>
      </c>
      <c r="P55" s="2">
        <v>45742</v>
      </c>
      <c r="R55">
        <v>10</v>
      </c>
      <c r="S55">
        <v>250</v>
      </c>
      <c r="T55" t="s">
        <v>65</v>
      </c>
      <c r="U55" t="s">
        <v>3935</v>
      </c>
      <c r="V55">
        <v>0</v>
      </c>
      <c r="W55">
        <v>250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3936</v>
      </c>
      <c r="AN55" t="s">
        <v>321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69</v>
      </c>
      <c r="AZ55" t="s">
        <v>5674</v>
      </c>
      <c r="BA55">
        <v>0</v>
      </c>
      <c r="BC55" t="s">
        <v>321</v>
      </c>
      <c r="BF55" t="s">
        <v>4693</v>
      </c>
    </row>
    <row r="56" spans="1:58" x14ac:dyDescent="0.35">
      <c r="A56" t="s">
        <v>5675</v>
      </c>
      <c r="B56">
        <v>10000</v>
      </c>
      <c r="C56">
        <v>10000</v>
      </c>
      <c r="D56" s="2">
        <v>45743</v>
      </c>
      <c r="E56" t="s">
        <v>61</v>
      </c>
      <c r="F56" t="s">
        <v>5676</v>
      </c>
      <c r="G56" t="s">
        <v>1733</v>
      </c>
      <c r="I56">
        <v>1</v>
      </c>
      <c r="J56" t="s">
        <v>63</v>
      </c>
      <c r="K56">
        <v>78</v>
      </c>
      <c r="L56" t="s">
        <v>188</v>
      </c>
      <c r="M56" s="4">
        <v>2750</v>
      </c>
      <c r="P56" s="2">
        <v>45742</v>
      </c>
      <c r="R56">
        <v>16</v>
      </c>
      <c r="S56" s="4">
        <v>44000</v>
      </c>
      <c r="T56" t="s">
        <v>65</v>
      </c>
      <c r="U56" t="s">
        <v>5677</v>
      </c>
      <c r="V56">
        <v>0</v>
      </c>
      <c r="W56" s="4">
        <v>40000</v>
      </c>
      <c r="X56" s="4">
        <v>4000</v>
      </c>
      <c r="Y56">
        <v>0</v>
      </c>
      <c r="Z56">
        <v>0</v>
      </c>
      <c r="AA56">
        <v>0</v>
      </c>
      <c r="AD56">
        <v>0</v>
      </c>
      <c r="AM56" t="s">
        <v>5678</v>
      </c>
      <c r="AN56" t="s">
        <v>175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69</v>
      </c>
      <c r="AZ56" t="s">
        <v>5679</v>
      </c>
      <c r="BA56">
        <v>0</v>
      </c>
      <c r="BC56" t="s">
        <v>175</v>
      </c>
      <c r="BF56" t="s">
        <v>5680</v>
      </c>
    </row>
    <row r="57" spans="1:58" x14ac:dyDescent="0.35">
      <c r="A57" t="s">
        <v>5675</v>
      </c>
      <c r="B57">
        <v>10000</v>
      </c>
      <c r="C57">
        <v>20000</v>
      </c>
      <c r="D57" s="2">
        <v>45743</v>
      </c>
      <c r="E57" t="s">
        <v>61</v>
      </c>
      <c r="F57" t="s">
        <v>5676</v>
      </c>
      <c r="G57" t="s">
        <v>1733</v>
      </c>
      <c r="I57">
        <v>2</v>
      </c>
      <c r="J57" t="s">
        <v>63</v>
      </c>
      <c r="K57">
        <v>63</v>
      </c>
      <c r="L57" t="s">
        <v>519</v>
      </c>
      <c r="M57" s="4">
        <v>2500</v>
      </c>
      <c r="P57" s="2">
        <v>45742</v>
      </c>
      <c r="R57">
        <v>16</v>
      </c>
      <c r="S57" s="4">
        <v>40000</v>
      </c>
      <c r="T57" t="s">
        <v>65</v>
      </c>
      <c r="U57" t="s">
        <v>5677</v>
      </c>
      <c r="V57">
        <v>0</v>
      </c>
      <c r="W57" s="4">
        <v>40000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5678</v>
      </c>
      <c r="AN57" t="s">
        <v>175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69</v>
      </c>
      <c r="AZ57" t="s">
        <v>5679</v>
      </c>
      <c r="BA57">
        <v>0</v>
      </c>
      <c r="BC57" t="s">
        <v>175</v>
      </c>
      <c r="BF57" t="s">
        <v>5680</v>
      </c>
    </row>
    <row r="58" spans="1:58" x14ac:dyDescent="0.35">
      <c r="A58" t="s">
        <v>5681</v>
      </c>
      <c r="B58">
        <v>10000</v>
      </c>
      <c r="C58">
        <v>10000</v>
      </c>
      <c r="D58" s="2">
        <v>45744</v>
      </c>
      <c r="E58" t="s">
        <v>61</v>
      </c>
      <c r="F58" t="s">
        <v>5682</v>
      </c>
      <c r="G58" t="s">
        <v>1733</v>
      </c>
      <c r="I58">
        <v>1</v>
      </c>
      <c r="J58" t="s">
        <v>63</v>
      </c>
      <c r="K58">
        <v>78</v>
      </c>
      <c r="L58" t="s">
        <v>188</v>
      </c>
      <c r="M58" s="4">
        <v>2750</v>
      </c>
      <c r="P58" s="2">
        <v>45742</v>
      </c>
      <c r="R58">
        <v>16</v>
      </c>
      <c r="S58" s="4">
        <v>44000</v>
      </c>
      <c r="T58" t="s">
        <v>65</v>
      </c>
      <c r="U58" t="s">
        <v>5677</v>
      </c>
      <c r="V58">
        <v>0</v>
      </c>
      <c r="W58" s="4">
        <v>40000</v>
      </c>
      <c r="X58" s="4">
        <v>4000</v>
      </c>
      <c r="Y58">
        <v>0</v>
      </c>
      <c r="Z58">
        <v>0</v>
      </c>
      <c r="AA58">
        <v>0</v>
      </c>
      <c r="AD58">
        <v>0</v>
      </c>
      <c r="AM58" t="s">
        <v>5678</v>
      </c>
      <c r="AN58" t="s">
        <v>175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69</v>
      </c>
      <c r="AZ58" t="s">
        <v>5683</v>
      </c>
      <c r="BA58">
        <v>0</v>
      </c>
      <c r="BC58" t="s">
        <v>175</v>
      </c>
      <c r="BF58" t="s">
        <v>5684</v>
      </c>
    </row>
    <row r="59" spans="1:58" x14ac:dyDescent="0.35">
      <c r="A59" t="s">
        <v>5681</v>
      </c>
      <c r="B59">
        <v>10000</v>
      </c>
      <c r="C59">
        <v>20000</v>
      </c>
      <c r="D59" s="2">
        <v>45744</v>
      </c>
      <c r="E59" t="s">
        <v>61</v>
      </c>
      <c r="F59" t="s">
        <v>5682</v>
      </c>
      <c r="G59" t="s">
        <v>1733</v>
      </c>
      <c r="I59">
        <v>2</v>
      </c>
      <c r="J59" t="s">
        <v>63</v>
      </c>
      <c r="K59">
        <v>63</v>
      </c>
      <c r="L59" t="s">
        <v>519</v>
      </c>
      <c r="M59" s="4">
        <v>2500</v>
      </c>
      <c r="P59" s="2">
        <v>45742</v>
      </c>
      <c r="R59">
        <v>16</v>
      </c>
      <c r="S59" s="4">
        <v>40000</v>
      </c>
      <c r="T59" t="s">
        <v>65</v>
      </c>
      <c r="U59" t="s">
        <v>5677</v>
      </c>
      <c r="V59">
        <v>0</v>
      </c>
      <c r="W59" s="4">
        <v>40000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5678</v>
      </c>
      <c r="AN59" t="s">
        <v>175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69</v>
      </c>
      <c r="AZ59" t="s">
        <v>5683</v>
      </c>
      <c r="BA59">
        <v>0</v>
      </c>
      <c r="BC59" t="s">
        <v>175</v>
      </c>
      <c r="BF59" t="s">
        <v>5684</v>
      </c>
    </row>
    <row r="60" spans="1:58" x14ac:dyDescent="0.35">
      <c r="A60" t="s">
        <v>5685</v>
      </c>
      <c r="B60">
        <v>10000</v>
      </c>
      <c r="C60">
        <v>20000</v>
      </c>
      <c r="D60" s="2">
        <v>45750</v>
      </c>
      <c r="E60" t="s">
        <v>61</v>
      </c>
      <c r="F60" t="s">
        <v>5686</v>
      </c>
      <c r="G60" t="s">
        <v>5687</v>
      </c>
      <c r="I60">
        <v>1</v>
      </c>
      <c r="J60" t="s">
        <v>63</v>
      </c>
      <c r="K60">
        <v>70</v>
      </c>
      <c r="L60" t="s">
        <v>795</v>
      </c>
      <c r="M60" s="4">
        <v>60000</v>
      </c>
      <c r="P60" s="2">
        <v>45742</v>
      </c>
      <c r="R60">
        <v>2</v>
      </c>
      <c r="S60" s="4">
        <v>120000</v>
      </c>
      <c r="T60" t="s">
        <v>65</v>
      </c>
      <c r="U60" t="s">
        <v>5688</v>
      </c>
      <c r="V60">
        <v>0</v>
      </c>
      <c r="W60" s="4">
        <v>120000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5689</v>
      </c>
      <c r="AN60" t="s">
        <v>175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69</v>
      </c>
      <c r="AZ60" t="s">
        <v>5690</v>
      </c>
      <c r="BA60">
        <v>0</v>
      </c>
      <c r="BC60" t="s">
        <v>175</v>
      </c>
      <c r="BF60" t="s">
        <v>5691</v>
      </c>
    </row>
    <row r="61" spans="1:58" x14ac:dyDescent="0.35">
      <c r="A61" t="s">
        <v>5233</v>
      </c>
      <c r="B61">
        <v>10000</v>
      </c>
      <c r="C61">
        <v>40000</v>
      </c>
      <c r="D61" s="2">
        <v>45742</v>
      </c>
      <c r="E61" t="s">
        <v>61</v>
      </c>
      <c r="F61" s="3">
        <v>0.42387731481481483</v>
      </c>
      <c r="G61">
        <v>59470</v>
      </c>
      <c r="I61">
        <v>2</v>
      </c>
      <c r="J61" t="s">
        <v>63</v>
      </c>
      <c r="K61">
        <v>96</v>
      </c>
      <c r="L61" t="s">
        <v>2433</v>
      </c>
      <c r="M61" s="4">
        <v>7000</v>
      </c>
      <c r="P61" s="2">
        <v>45742</v>
      </c>
      <c r="R61">
        <v>6</v>
      </c>
      <c r="S61" s="4">
        <v>42000</v>
      </c>
      <c r="T61" t="s">
        <v>65</v>
      </c>
      <c r="U61" t="s">
        <v>999</v>
      </c>
      <c r="V61">
        <v>0</v>
      </c>
      <c r="W61" s="4">
        <v>42000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1000</v>
      </c>
      <c r="AN61" t="s">
        <v>321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69</v>
      </c>
      <c r="AZ61" t="s">
        <v>5234</v>
      </c>
      <c r="BA61">
        <v>0</v>
      </c>
      <c r="BC61" t="s">
        <v>321</v>
      </c>
      <c r="BF61" t="s">
        <v>5235</v>
      </c>
    </row>
    <row r="62" spans="1:58" x14ac:dyDescent="0.35">
      <c r="A62" t="s">
        <v>5692</v>
      </c>
      <c r="B62">
        <v>10000</v>
      </c>
      <c r="C62">
        <v>10000</v>
      </c>
      <c r="D62" s="2">
        <v>45749</v>
      </c>
      <c r="E62" t="s">
        <v>61</v>
      </c>
      <c r="F62" t="s">
        <v>5693</v>
      </c>
      <c r="G62" t="s">
        <v>4415</v>
      </c>
      <c r="I62">
        <v>1</v>
      </c>
      <c r="J62" t="s">
        <v>63</v>
      </c>
      <c r="K62">
        <v>88</v>
      </c>
      <c r="L62" t="s">
        <v>630</v>
      </c>
      <c r="M62">
        <v>800</v>
      </c>
      <c r="P62" s="2">
        <v>45742</v>
      </c>
      <c r="R62">
        <v>1</v>
      </c>
      <c r="S62">
        <v>800</v>
      </c>
      <c r="T62" t="s">
        <v>65</v>
      </c>
      <c r="U62">
        <v>104489220001</v>
      </c>
      <c r="V62">
        <v>0</v>
      </c>
      <c r="W62">
        <v>500</v>
      </c>
      <c r="X62">
        <v>300</v>
      </c>
      <c r="Y62">
        <v>0</v>
      </c>
      <c r="Z62">
        <v>0</v>
      </c>
      <c r="AA62">
        <v>0</v>
      </c>
      <c r="AD62">
        <v>0</v>
      </c>
      <c r="AM62">
        <v>10448922</v>
      </c>
      <c r="AN62" t="s">
        <v>487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69</v>
      </c>
      <c r="AZ62" t="s">
        <v>5694</v>
      </c>
      <c r="BA62">
        <v>0</v>
      </c>
      <c r="BC62" t="s">
        <v>487</v>
      </c>
      <c r="BF62" t="s">
        <v>5436</v>
      </c>
    </row>
    <row r="63" spans="1:58" x14ac:dyDescent="0.35">
      <c r="A63" t="s">
        <v>5695</v>
      </c>
      <c r="B63">
        <v>10000</v>
      </c>
      <c r="C63">
        <v>10000</v>
      </c>
      <c r="D63" s="2">
        <v>45749</v>
      </c>
      <c r="E63" t="s">
        <v>61</v>
      </c>
      <c r="F63" t="s">
        <v>5693</v>
      </c>
      <c r="G63" t="s">
        <v>4415</v>
      </c>
      <c r="I63">
        <v>1</v>
      </c>
      <c r="J63" t="s">
        <v>63</v>
      </c>
      <c r="K63">
        <v>88</v>
      </c>
      <c r="L63" t="s">
        <v>630</v>
      </c>
      <c r="M63">
        <v>20</v>
      </c>
      <c r="P63" s="2">
        <v>45742</v>
      </c>
      <c r="R63">
        <v>1</v>
      </c>
      <c r="S63">
        <v>20</v>
      </c>
      <c r="T63" t="s">
        <v>65</v>
      </c>
      <c r="U63">
        <v>104489220001</v>
      </c>
      <c r="V63">
        <v>0</v>
      </c>
      <c r="W63">
        <v>20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10448922</v>
      </c>
      <c r="AN63" t="s">
        <v>487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69</v>
      </c>
      <c r="AZ63" t="s">
        <v>5696</v>
      </c>
      <c r="BA63">
        <v>0</v>
      </c>
      <c r="BC63" t="s">
        <v>487</v>
      </c>
      <c r="BF63" t="s">
        <v>5439</v>
      </c>
    </row>
    <row r="64" spans="1:58" x14ac:dyDescent="0.35">
      <c r="A64" t="s">
        <v>5697</v>
      </c>
      <c r="B64">
        <v>10000</v>
      </c>
      <c r="C64">
        <v>10000</v>
      </c>
      <c r="D64" s="2">
        <v>45744</v>
      </c>
      <c r="E64" t="s">
        <v>61</v>
      </c>
      <c r="F64" t="s">
        <v>5698</v>
      </c>
      <c r="G64" t="s">
        <v>5699</v>
      </c>
      <c r="I64">
        <v>1</v>
      </c>
      <c r="J64" t="s">
        <v>63</v>
      </c>
      <c r="K64">
        <v>72</v>
      </c>
      <c r="L64" t="s">
        <v>163</v>
      </c>
      <c r="M64" s="4">
        <v>1000</v>
      </c>
      <c r="P64" s="2">
        <v>45742</v>
      </c>
      <c r="R64">
        <v>10</v>
      </c>
      <c r="S64" s="4">
        <v>10000</v>
      </c>
      <c r="T64" t="s">
        <v>65</v>
      </c>
      <c r="U64" t="s">
        <v>5700</v>
      </c>
      <c r="V64">
        <v>0</v>
      </c>
      <c r="W64" s="4">
        <v>5000</v>
      </c>
      <c r="X64" s="4">
        <v>5000</v>
      </c>
      <c r="Y64">
        <v>0</v>
      </c>
      <c r="Z64">
        <v>0</v>
      </c>
      <c r="AA64">
        <v>0</v>
      </c>
      <c r="AD64">
        <v>0</v>
      </c>
      <c r="AM64" t="s">
        <v>5701</v>
      </c>
      <c r="AN64" t="s">
        <v>909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69</v>
      </c>
      <c r="AZ64" t="s">
        <v>5702</v>
      </c>
      <c r="BA64">
        <v>0</v>
      </c>
      <c r="BC64" t="s">
        <v>909</v>
      </c>
      <c r="BF64" t="s">
        <v>5703</v>
      </c>
    </row>
    <row r="65" spans="1:58" x14ac:dyDescent="0.35">
      <c r="A65" t="s">
        <v>5704</v>
      </c>
      <c r="B65">
        <v>10000</v>
      </c>
      <c r="C65">
        <v>10000</v>
      </c>
      <c r="D65" s="2">
        <v>45749</v>
      </c>
      <c r="E65" t="s">
        <v>61</v>
      </c>
      <c r="F65" t="s">
        <v>5705</v>
      </c>
      <c r="G65" t="s">
        <v>5706</v>
      </c>
      <c r="I65">
        <v>1</v>
      </c>
      <c r="J65" t="s">
        <v>63</v>
      </c>
      <c r="K65">
        <v>88</v>
      </c>
      <c r="L65" t="s">
        <v>630</v>
      </c>
      <c r="M65">
        <v>800</v>
      </c>
      <c r="P65" s="2">
        <v>45742</v>
      </c>
      <c r="R65">
        <v>1</v>
      </c>
      <c r="S65">
        <v>800</v>
      </c>
      <c r="T65" t="s">
        <v>65</v>
      </c>
      <c r="U65">
        <v>107355880001</v>
      </c>
      <c r="V65">
        <v>0</v>
      </c>
      <c r="W65">
        <v>500</v>
      </c>
      <c r="X65">
        <v>300</v>
      </c>
      <c r="Y65">
        <v>0</v>
      </c>
      <c r="Z65">
        <v>0</v>
      </c>
      <c r="AA65">
        <v>0</v>
      </c>
      <c r="AD65">
        <v>0</v>
      </c>
      <c r="AM65">
        <v>10735588</v>
      </c>
      <c r="AN65" t="s">
        <v>487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69</v>
      </c>
      <c r="AZ65" t="s">
        <v>5707</v>
      </c>
      <c r="BA65">
        <v>0</v>
      </c>
      <c r="BC65" t="s">
        <v>487</v>
      </c>
      <c r="BF65" t="s">
        <v>5447</v>
      </c>
    </row>
    <row r="66" spans="1:58" x14ac:dyDescent="0.35">
      <c r="A66" t="s">
        <v>5708</v>
      </c>
      <c r="B66">
        <v>10000</v>
      </c>
      <c r="C66">
        <v>10000</v>
      </c>
      <c r="D66" s="2">
        <v>45749</v>
      </c>
      <c r="E66" t="s">
        <v>61</v>
      </c>
      <c r="F66" t="s">
        <v>5709</v>
      </c>
      <c r="G66" t="s">
        <v>5706</v>
      </c>
      <c r="I66">
        <v>1</v>
      </c>
      <c r="J66" t="s">
        <v>63</v>
      </c>
      <c r="K66">
        <v>88</v>
      </c>
      <c r="L66" t="s">
        <v>630</v>
      </c>
      <c r="M66">
        <v>800</v>
      </c>
      <c r="P66" s="2">
        <v>45742</v>
      </c>
      <c r="R66">
        <v>1</v>
      </c>
      <c r="S66">
        <v>800</v>
      </c>
      <c r="T66" t="s">
        <v>65</v>
      </c>
      <c r="U66">
        <v>107355890001</v>
      </c>
      <c r="V66">
        <v>0</v>
      </c>
      <c r="W66">
        <v>500</v>
      </c>
      <c r="X66">
        <v>300</v>
      </c>
      <c r="Y66">
        <v>0</v>
      </c>
      <c r="Z66">
        <v>0</v>
      </c>
      <c r="AA66">
        <v>0</v>
      </c>
      <c r="AD66">
        <v>0</v>
      </c>
      <c r="AM66">
        <v>10735589</v>
      </c>
      <c r="AN66" t="s">
        <v>487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69</v>
      </c>
      <c r="AZ66" t="s">
        <v>5710</v>
      </c>
      <c r="BA66">
        <v>0</v>
      </c>
      <c r="BC66" t="s">
        <v>487</v>
      </c>
      <c r="BF66" t="s">
        <v>5447</v>
      </c>
    </row>
    <row r="67" spans="1:58" x14ac:dyDescent="0.35">
      <c r="A67" t="s">
        <v>5711</v>
      </c>
      <c r="B67">
        <v>10000</v>
      </c>
      <c r="C67">
        <v>10000</v>
      </c>
      <c r="D67" s="2">
        <v>45749</v>
      </c>
      <c r="E67" t="s">
        <v>61</v>
      </c>
      <c r="F67" t="s">
        <v>5705</v>
      </c>
      <c r="G67" t="s">
        <v>5706</v>
      </c>
      <c r="I67">
        <v>1</v>
      </c>
      <c r="J67" t="s">
        <v>63</v>
      </c>
      <c r="K67">
        <v>88</v>
      </c>
      <c r="L67" t="s">
        <v>630</v>
      </c>
      <c r="M67">
        <v>20</v>
      </c>
      <c r="P67" s="2">
        <v>45742</v>
      </c>
      <c r="R67">
        <v>1</v>
      </c>
      <c r="S67">
        <v>20</v>
      </c>
      <c r="T67" t="s">
        <v>65</v>
      </c>
      <c r="U67">
        <v>107355880001</v>
      </c>
      <c r="V67">
        <v>0</v>
      </c>
      <c r="W67">
        <v>20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10735588</v>
      </c>
      <c r="AN67" t="s">
        <v>487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69</v>
      </c>
      <c r="AZ67" t="s">
        <v>5712</v>
      </c>
      <c r="BA67">
        <v>0</v>
      </c>
      <c r="BC67" t="s">
        <v>487</v>
      </c>
      <c r="BF67" t="s">
        <v>5453</v>
      </c>
    </row>
    <row r="68" spans="1:58" x14ac:dyDescent="0.35">
      <c r="A68" t="s">
        <v>5713</v>
      </c>
      <c r="B68">
        <v>10000</v>
      </c>
      <c r="C68">
        <v>10000</v>
      </c>
      <c r="D68" s="2">
        <v>45749</v>
      </c>
      <c r="E68" t="s">
        <v>61</v>
      </c>
      <c r="F68" t="s">
        <v>5709</v>
      </c>
      <c r="G68" t="s">
        <v>5706</v>
      </c>
      <c r="I68">
        <v>1</v>
      </c>
      <c r="J68" t="s">
        <v>63</v>
      </c>
      <c r="K68">
        <v>88</v>
      </c>
      <c r="L68" t="s">
        <v>630</v>
      </c>
      <c r="M68">
        <v>20</v>
      </c>
      <c r="P68" s="2">
        <v>45742</v>
      </c>
      <c r="R68">
        <v>1</v>
      </c>
      <c r="S68">
        <v>20</v>
      </c>
      <c r="T68" t="s">
        <v>65</v>
      </c>
      <c r="U68">
        <v>107355890001</v>
      </c>
      <c r="V68">
        <v>0</v>
      </c>
      <c r="W68">
        <v>20</v>
      </c>
      <c r="X68">
        <v>0</v>
      </c>
      <c r="Y68">
        <v>0</v>
      </c>
      <c r="Z68">
        <v>0</v>
      </c>
      <c r="AA68">
        <v>0</v>
      </c>
      <c r="AD68">
        <v>0</v>
      </c>
      <c r="AM68">
        <v>10735589</v>
      </c>
      <c r="AN68" t="s">
        <v>487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69</v>
      </c>
      <c r="AZ68" t="s">
        <v>5714</v>
      </c>
      <c r="BA68">
        <v>0</v>
      </c>
      <c r="BC68" t="s">
        <v>487</v>
      </c>
      <c r="BF68" t="s">
        <v>5453</v>
      </c>
    </row>
    <row r="69" spans="1:58" x14ac:dyDescent="0.35">
      <c r="A69" t="s">
        <v>5715</v>
      </c>
      <c r="B69">
        <v>10000</v>
      </c>
      <c r="C69">
        <v>10000</v>
      </c>
      <c r="D69" s="2">
        <v>45744</v>
      </c>
      <c r="E69" t="s">
        <v>61</v>
      </c>
      <c r="F69" t="s">
        <v>5716</v>
      </c>
      <c r="G69" t="s">
        <v>5717</v>
      </c>
      <c r="I69">
        <v>1</v>
      </c>
      <c r="J69" t="s">
        <v>63</v>
      </c>
      <c r="K69">
        <v>72</v>
      </c>
      <c r="L69" t="s">
        <v>163</v>
      </c>
      <c r="M69" s="4">
        <v>2000</v>
      </c>
      <c r="P69" s="2">
        <v>45742</v>
      </c>
      <c r="R69">
        <v>6</v>
      </c>
      <c r="S69" s="4">
        <v>12000</v>
      </c>
      <c r="T69" t="s">
        <v>65</v>
      </c>
      <c r="U69">
        <v>83014520001</v>
      </c>
      <c r="V69">
        <v>0</v>
      </c>
      <c r="W69" s="4">
        <v>10000</v>
      </c>
      <c r="X69" s="4">
        <v>2000</v>
      </c>
      <c r="Y69">
        <v>0</v>
      </c>
      <c r="Z69">
        <v>0</v>
      </c>
      <c r="AA69">
        <v>0</v>
      </c>
      <c r="AD69">
        <v>0</v>
      </c>
      <c r="AM69">
        <v>8301452</v>
      </c>
      <c r="AN69" t="s">
        <v>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69</v>
      </c>
      <c r="AZ69" t="s">
        <v>5718</v>
      </c>
      <c r="BA69">
        <v>0</v>
      </c>
      <c r="BC69" t="s">
        <v>91</v>
      </c>
      <c r="BF69" t="s">
        <v>5484</v>
      </c>
    </row>
    <row r="70" spans="1:58" x14ac:dyDescent="0.35">
      <c r="A70" t="s">
        <v>5719</v>
      </c>
      <c r="B70">
        <v>10000</v>
      </c>
      <c r="C70">
        <v>10000</v>
      </c>
      <c r="D70" s="2">
        <v>45744</v>
      </c>
      <c r="E70" t="s">
        <v>61</v>
      </c>
      <c r="F70" t="s">
        <v>5720</v>
      </c>
      <c r="G70" t="s">
        <v>4340</v>
      </c>
      <c r="I70">
        <v>1</v>
      </c>
      <c r="J70" t="s">
        <v>63</v>
      </c>
      <c r="K70">
        <v>72</v>
      </c>
      <c r="L70" t="s">
        <v>163</v>
      </c>
      <c r="M70" s="4">
        <v>14000</v>
      </c>
      <c r="P70" s="2">
        <v>45742</v>
      </c>
      <c r="R70">
        <v>6</v>
      </c>
      <c r="S70" s="4">
        <v>84000</v>
      </c>
      <c r="T70" t="s">
        <v>65</v>
      </c>
      <c r="U70" t="s">
        <v>5721</v>
      </c>
      <c r="V70">
        <v>0</v>
      </c>
      <c r="W70" s="4">
        <v>80000</v>
      </c>
      <c r="X70" s="4">
        <v>4000</v>
      </c>
      <c r="Y70">
        <v>0</v>
      </c>
      <c r="Z70">
        <v>0</v>
      </c>
      <c r="AA70">
        <v>0</v>
      </c>
      <c r="AD70">
        <v>0</v>
      </c>
      <c r="AM70" t="s">
        <v>5722</v>
      </c>
      <c r="AN70" t="s">
        <v>91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69</v>
      </c>
      <c r="AZ70" t="s">
        <v>5723</v>
      </c>
      <c r="BA70">
        <v>0</v>
      </c>
      <c r="BC70" t="s">
        <v>91</v>
      </c>
      <c r="BF70" t="s">
        <v>5484</v>
      </c>
    </row>
    <row r="71" spans="1:58" x14ac:dyDescent="0.35">
      <c r="A71" t="s">
        <v>5479</v>
      </c>
      <c r="B71">
        <v>10000</v>
      </c>
      <c r="C71">
        <v>20000</v>
      </c>
      <c r="D71" s="2">
        <v>45742</v>
      </c>
      <c r="E71" t="s">
        <v>61</v>
      </c>
      <c r="F71" t="s">
        <v>5480</v>
      </c>
      <c r="G71" t="s">
        <v>4340</v>
      </c>
      <c r="I71">
        <v>2</v>
      </c>
      <c r="J71" t="s">
        <v>63</v>
      </c>
      <c r="K71">
        <v>71</v>
      </c>
      <c r="L71" t="s">
        <v>135</v>
      </c>
      <c r="M71" s="4">
        <v>7500</v>
      </c>
      <c r="P71" s="2">
        <v>45742</v>
      </c>
      <c r="R71">
        <v>4</v>
      </c>
      <c r="S71" s="4">
        <v>30000</v>
      </c>
      <c r="T71" t="s">
        <v>65</v>
      </c>
      <c r="U71" t="s">
        <v>5481</v>
      </c>
      <c r="V71">
        <v>0</v>
      </c>
      <c r="W71" s="4">
        <v>30000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5482</v>
      </c>
      <c r="AN71" t="s">
        <v>91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69</v>
      </c>
      <c r="AZ71" t="s">
        <v>5483</v>
      </c>
      <c r="BA71">
        <v>0</v>
      </c>
      <c r="BC71" t="s">
        <v>91</v>
      </c>
      <c r="BF71" t="s">
        <v>5484</v>
      </c>
    </row>
    <row r="72" spans="1:58" x14ac:dyDescent="0.35">
      <c r="A72" t="s">
        <v>5724</v>
      </c>
      <c r="B72">
        <v>10000</v>
      </c>
      <c r="C72">
        <v>10000</v>
      </c>
      <c r="D72" s="2">
        <v>45743</v>
      </c>
      <c r="E72" t="s">
        <v>61</v>
      </c>
      <c r="F72" t="s">
        <v>5725</v>
      </c>
      <c r="G72" t="s">
        <v>5717</v>
      </c>
      <c r="I72">
        <v>1</v>
      </c>
      <c r="J72" t="s">
        <v>63</v>
      </c>
      <c r="K72">
        <v>72</v>
      </c>
      <c r="L72" t="s">
        <v>163</v>
      </c>
      <c r="M72" s="4">
        <v>7500</v>
      </c>
      <c r="P72" s="2">
        <v>45742</v>
      </c>
      <c r="R72">
        <v>6</v>
      </c>
      <c r="S72" s="4">
        <v>45000</v>
      </c>
      <c r="T72" t="s">
        <v>65</v>
      </c>
      <c r="U72" t="s">
        <v>5726</v>
      </c>
      <c r="V72">
        <v>0</v>
      </c>
      <c r="W72" s="4">
        <v>40000</v>
      </c>
      <c r="X72" s="4">
        <v>5000</v>
      </c>
      <c r="Y72">
        <v>0</v>
      </c>
      <c r="Z72">
        <v>0</v>
      </c>
      <c r="AA72">
        <v>0</v>
      </c>
      <c r="AD72">
        <v>0</v>
      </c>
      <c r="AM72" t="s">
        <v>5727</v>
      </c>
      <c r="AN72" t="s">
        <v>91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69</v>
      </c>
      <c r="AZ72" t="s">
        <v>5728</v>
      </c>
      <c r="BA72">
        <v>0</v>
      </c>
      <c r="BC72" t="s">
        <v>91</v>
      </c>
      <c r="BF72" t="s">
        <v>5484</v>
      </c>
    </row>
    <row r="73" spans="1:58" x14ac:dyDescent="0.35">
      <c r="A73" t="s">
        <v>5489</v>
      </c>
      <c r="B73">
        <v>10000</v>
      </c>
      <c r="C73">
        <v>20000</v>
      </c>
      <c r="D73" s="2">
        <v>45742</v>
      </c>
      <c r="E73" t="s">
        <v>61</v>
      </c>
      <c r="F73" s="3">
        <v>0.46135416666666668</v>
      </c>
      <c r="G73" t="s">
        <v>4340</v>
      </c>
      <c r="I73">
        <v>2</v>
      </c>
      <c r="J73" t="s">
        <v>63</v>
      </c>
      <c r="K73">
        <v>71</v>
      </c>
      <c r="L73" t="s">
        <v>135</v>
      </c>
      <c r="M73" s="4">
        <v>2500</v>
      </c>
      <c r="P73" s="2">
        <v>45742</v>
      </c>
      <c r="R73">
        <v>4</v>
      </c>
      <c r="S73" s="4">
        <v>10000</v>
      </c>
      <c r="T73" t="s">
        <v>65</v>
      </c>
      <c r="U73" t="s">
        <v>5490</v>
      </c>
      <c r="V73">
        <v>0</v>
      </c>
      <c r="W73" s="4">
        <v>10000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5491</v>
      </c>
      <c r="AN73" t="s">
        <v>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69</v>
      </c>
      <c r="AZ73" t="s">
        <v>5492</v>
      </c>
      <c r="BA73">
        <v>0</v>
      </c>
      <c r="BC73" t="s">
        <v>91</v>
      </c>
      <c r="BF73" t="s">
        <v>5484</v>
      </c>
    </row>
    <row r="74" spans="1:58" x14ac:dyDescent="0.35">
      <c r="A74" t="s">
        <v>5729</v>
      </c>
      <c r="B74">
        <v>10000</v>
      </c>
      <c r="C74">
        <v>10000</v>
      </c>
      <c r="D74" s="2">
        <v>45744</v>
      </c>
      <c r="E74" t="s">
        <v>61</v>
      </c>
      <c r="F74" t="s">
        <v>5716</v>
      </c>
      <c r="G74" t="s">
        <v>5717</v>
      </c>
      <c r="I74">
        <v>1</v>
      </c>
      <c r="J74" t="s">
        <v>63</v>
      </c>
      <c r="K74">
        <v>72</v>
      </c>
      <c r="L74" t="s">
        <v>163</v>
      </c>
      <c r="M74" s="4">
        <v>1167</v>
      </c>
      <c r="P74" s="2">
        <v>45742</v>
      </c>
      <c r="R74">
        <v>6</v>
      </c>
      <c r="S74" s="4">
        <v>7002</v>
      </c>
      <c r="T74" t="s">
        <v>65</v>
      </c>
      <c r="U74">
        <v>83014520001</v>
      </c>
      <c r="V74">
        <v>0</v>
      </c>
      <c r="W74" s="4">
        <v>5000</v>
      </c>
      <c r="X74" s="4">
        <v>2002</v>
      </c>
      <c r="Y74">
        <v>0</v>
      </c>
      <c r="Z74">
        <v>0</v>
      </c>
      <c r="AA74">
        <v>0</v>
      </c>
      <c r="AD74">
        <v>0</v>
      </c>
      <c r="AM74">
        <v>8301452</v>
      </c>
      <c r="AN74" t="s">
        <v>91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69</v>
      </c>
      <c r="AZ74" t="s">
        <v>5730</v>
      </c>
      <c r="BA74">
        <v>0</v>
      </c>
      <c r="BC74" t="s">
        <v>91</v>
      </c>
      <c r="BF74" t="s">
        <v>5496</v>
      </c>
    </row>
    <row r="75" spans="1:58" x14ac:dyDescent="0.35">
      <c r="A75" t="s">
        <v>5731</v>
      </c>
      <c r="B75">
        <v>10000</v>
      </c>
      <c r="C75">
        <v>10000</v>
      </c>
      <c r="D75" s="2">
        <v>45744</v>
      </c>
      <c r="E75" t="s">
        <v>61</v>
      </c>
      <c r="F75" t="s">
        <v>5732</v>
      </c>
      <c r="G75" t="s">
        <v>4340</v>
      </c>
      <c r="I75">
        <v>1</v>
      </c>
      <c r="J75" t="s">
        <v>63</v>
      </c>
      <c r="K75">
        <v>72</v>
      </c>
      <c r="L75" t="s">
        <v>163</v>
      </c>
      <c r="M75" s="4">
        <v>11000</v>
      </c>
      <c r="P75" s="2">
        <v>45742</v>
      </c>
      <c r="R75">
        <v>6</v>
      </c>
      <c r="S75" s="4">
        <v>66000</v>
      </c>
      <c r="T75" t="s">
        <v>65</v>
      </c>
      <c r="U75" t="s">
        <v>5721</v>
      </c>
      <c r="V75">
        <v>0</v>
      </c>
      <c r="W75" s="4">
        <v>60000</v>
      </c>
      <c r="X75" s="4">
        <v>6000</v>
      </c>
      <c r="Y75">
        <v>0</v>
      </c>
      <c r="Z75">
        <v>0</v>
      </c>
      <c r="AA75">
        <v>0</v>
      </c>
      <c r="AD75">
        <v>0</v>
      </c>
      <c r="AM75" t="s">
        <v>5722</v>
      </c>
      <c r="AN75" t="s">
        <v>91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69</v>
      </c>
      <c r="AZ75" t="s">
        <v>5733</v>
      </c>
      <c r="BA75">
        <v>0</v>
      </c>
      <c r="BC75" t="s">
        <v>91</v>
      </c>
      <c r="BF75" t="s">
        <v>5496</v>
      </c>
    </row>
    <row r="76" spans="1:58" x14ac:dyDescent="0.35">
      <c r="A76" t="s">
        <v>5493</v>
      </c>
      <c r="B76">
        <v>10000</v>
      </c>
      <c r="C76">
        <v>20000</v>
      </c>
      <c r="D76" s="2">
        <v>45742</v>
      </c>
      <c r="E76" t="s">
        <v>61</v>
      </c>
      <c r="F76" t="s">
        <v>5494</v>
      </c>
      <c r="G76" t="s">
        <v>4340</v>
      </c>
      <c r="I76">
        <v>2</v>
      </c>
      <c r="J76" t="s">
        <v>63</v>
      </c>
      <c r="K76">
        <v>71</v>
      </c>
      <c r="L76" t="s">
        <v>135</v>
      </c>
      <c r="M76" s="4">
        <v>5000</v>
      </c>
      <c r="P76" s="2">
        <v>45742</v>
      </c>
      <c r="R76">
        <v>4</v>
      </c>
      <c r="S76" s="4">
        <v>20000</v>
      </c>
      <c r="T76" t="s">
        <v>65</v>
      </c>
      <c r="U76" t="s">
        <v>5481</v>
      </c>
      <c r="V76">
        <v>0</v>
      </c>
      <c r="W76" s="4">
        <v>20000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5482</v>
      </c>
      <c r="AN76" t="s">
        <v>91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69</v>
      </c>
      <c r="AZ76" t="s">
        <v>5495</v>
      </c>
      <c r="BA76">
        <v>0</v>
      </c>
      <c r="BC76" t="s">
        <v>91</v>
      </c>
      <c r="BF76" t="s">
        <v>5496</v>
      </c>
    </row>
    <row r="77" spans="1:58" x14ac:dyDescent="0.35">
      <c r="A77" t="s">
        <v>5734</v>
      </c>
      <c r="B77">
        <v>10000</v>
      </c>
      <c r="C77">
        <v>10000</v>
      </c>
      <c r="D77" s="2">
        <v>45743</v>
      </c>
      <c r="E77" t="s">
        <v>61</v>
      </c>
      <c r="F77" t="s">
        <v>5735</v>
      </c>
      <c r="G77" t="s">
        <v>5717</v>
      </c>
      <c r="I77">
        <v>1</v>
      </c>
      <c r="J77" t="s">
        <v>63</v>
      </c>
      <c r="K77">
        <v>72</v>
      </c>
      <c r="L77" t="s">
        <v>163</v>
      </c>
      <c r="M77" s="4">
        <v>6000</v>
      </c>
      <c r="P77" s="2">
        <v>45742</v>
      </c>
      <c r="R77">
        <v>6</v>
      </c>
      <c r="S77" s="4">
        <v>36000</v>
      </c>
      <c r="T77" t="s">
        <v>65</v>
      </c>
      <c r="U77" t="s">
        <v>5726</v>
      </c>
      <c r="V77">
        <v>0</v>
      </c>
      <c r="W77" s="4">
        <v>30000</v>
      </c>
      <c r="X77" s="4">
        <v>6000</v>
      </c>
      <c r="Y77">
        <v>0</v>
      </c>
      <c r="Z77">
        <v>0</v>
      </c>
      <c r="AA77">
        <v>0</v>
      </c>
      <c r="AD77">
        <v>0</v>
      </c>
      <c r="AM77" t="s">
        <v>5727</v>
      </c>
      <c r="AN77" t="s">
        <v>91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69</v>
      </c>
      <c r="AZ77" t="s">
        <v>5736</v>
      </c>
      <c r="BA77">
        <v>0</v>
      </c>
      <c r="BC77" t="s">
        <v>91</v>
      </c>
      <c r="BF77" t="s">
        <v>5496</v>
      </c>
    </row>
    <row r="78" spans="1:58" x14ac:dyDescent="0.35">
      <c r="A78" t="s">
        <v>5737</v>
      </c>
      <c r="B78">
        <v>10000</v>
      </c>
      <c r="C78">
        <v>10000</v>
      </c>
      <c r="D78" s="2">
        <v>45750</v>
      </c>
      <c r="E78" t="s">
        <v>61</v>
      </c>
      <c r="F78" t="s">
        <v>5738</v>
      </c>
      <c r="G78" t="s">
        <v>486</v>
      </c>
      <c r="I78">
        <v>1</v>
      </c>
      <c r="J78" t="s">
        <v>63</v>
      </c>
      <c r="K78">
        <v>88</v>
      </c>
      <c r="L78" t="s">
        <v>630</v>
      </c>
      <c r="M78" s="4">
        <v>3000</v>
      </c>
      <c r="P78" s="2">
        <v>45742</v>
      </c>
      <c r="R78">
        <v>1</v>
      </c>
      <c r="S78" s="4">
        <v>3000</v>
      </c>
      <c r="T78" t="s">
        <v>65</v>
      </c>
      <c r="U78">
        <v>107431990001</v>
      </c>
      <c r="V78">
        <v>0</v>
      </c>
      <c r="W78" s="4">
        <v>2400</v>
      </c>
      <c r="X78">
        <v>600</v>
      </c>
      <c r="Y78">
        <v>0</v>
      </c>
      <c r="Z78">
        <v>0</v>
      </c>
      <c r="AA78">
        <v>0</v>
      </c>
      <c r="AD78">
        <v>0</v>
      </c>
      <c r="AM78">
        <v>10743199</v>
      </c>
      <c r="AN78" t="s">
        <v>487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69</v>
      </c>
      <c r="AZ78" t="s">
        <v>5739</v>
      </c>
      <c r="BA78">
        <v>0</v>
      </c>
      <c r="BC78" t="s">
        <v>487</v>
      </c>
      <c r="BF78" t="s">
        <v>5740</v>
      </c>
    </row>
    <row r="79" spans="1:58" x14ac:dyDescent="0.35">
      <c r="A79" t="s">
        <v>5741</v>
      </c>
      <c r="B79">
        <v>10000</v>
      </c>
      <c r="C79">
        <v>10000</v>
      </c>
      <c r="D79" s="2">
        <v>45749</v>
      </c>
      <c r="E79" t="s">
        <v>61</v>
      </c>
      <c r="F79" s="3">
        <v>0.47629629629629627</v>
      </c>
      <c r="G79" t="s">
        <v>5742</v>
      </c>
      <c r="I79">
        <v>1</v>
      </c>
      <c r="J79" t="s">
        <v>63</v>
      </c>
      <c r="K79">
        <v>88</v>
      </c>
      <c r="L79" t="s">
        <v>630</v>
      </c>
      <c r="M79">
        <v>800</v>
      </c>
      <c r="P79" s="2">
        <v>45742</v>
      </c>
      <c r="R79">
        <v>1</v>
      </c>
      <c r="S79">
        <v>800</v>
      </c>
      <c r="T79" t="s">
        <v>65</v>
      </c>
      <c r="U79">
        <v>107343730001</v>
      </c>
      <c r="V79">
        <v>0</v>
      </c>
      <c r="W79">
        <v>500</v>
      </c>
      <c r="X79">
        <v>300</v>
      </c>
      <c r="Y79">
        <v>0</v>
      </c>
      <c r="Z79">
        <v>0</v>
      </c>
      <c r="AA79">
        <v>0</v>
      </c>
      <c r="AD79">
        <v>0</v>
      </c>
      <c r="AM79">
        <v>10734373</v>
      </c>
      <c r="AN79" t="s">
        <v>487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69</v>
      </c>
      <c r="AZ79" t="s">
        <v>5743</v>
      </c>
      <c r="BA79">
        <v>0</v>
      </c>
      <c r="BC79" t="s">
        <v>487</v>
      </c>
      <c r="BF79" t="s">
        <v>5744</v>
      </c>
    </row>
    <row r="80" spans="1:58" x14ac:dyDescent="0.35">
      <c r="A80" t="s">
        <v>5745</v>
      </c>
      <c r="B80">
        <v>10000</v>
      </c>
      <c r="C80">
        <v>10000</v>
      </c>
      <c r="D80" s="2">
        <v>45749</v>
      </c>
      <c r="E80" t="s">
        <v>61</v>
      </c>
      <c r="F80" s="3">
        <v>0.47629629629629627</v>
      </c>
      <c r="G80" t="s">
        <v>5742</v>
      </c>
      <c r="I80">
        <v>1</v>
      </c>
      <c r="J80" t="s">
        <v>63</v>
      </c>
      <c r="K80">
        <v>88</v>
      </c>
      <c r="L80" t="s">
        <v>630</v>
      </c>
      <c r="M80">
        <v>20</v>
      </c>
      <c r="P80" s="2">
        <v>45742</v>
      </c>
      <c r="R80">
        <v>1</v>
      </c>
      <c r="S80">
        <v>20</v>
      </c>
      <c r="T80" t="s">
        <v>65</v>
      </c>
      <c r="U80">
        <v>107343730001</v>
      </c>
      <c r="V80">
        <v>0</v>
      </c>
      <c r="W80">
        <v>20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10734373</v>
      </c>
      <c r="AN80" t="s">
        <v>487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69</v>
      </c>
      <c r="AZ80" t="s">
        <v>5746</v>
      </c>
      <c r="BA80">
        <v>0</v>
      </c>
      <c r="BC80" t="s">
        <v>487</v>
      </c>
      <c r="BF80" t="s">
        <v>5747</v>
      </c>
    </row>
    <row r="81" spans="1:58" x14ac:dyDescent="0.35">
      <c r="A81" t="s">
        <v>5748</v>
      </c>
      <c r="B81">
        <v>10000</v>
      </c>
      <c r="C81">
        <v>10000</v>
      </c>
      <c r="D81" s="2">
        <v>45743</v>
      </c>
      <c r="E81" t="s">
        <v>61</v>
      </c>
      <c r="F81" t="s">
        <v>4640</v>
      </c>
      <c r="G81" t="s">
        <v>5642</v>
      </c>
      <c r="I81">
        <v>1</v>
      </c>
      <c r="J81" t="s">
        <v>63</v>
      </c>
      <c r="K81">
        <v>26</v>
      </c>
      <c r="L81" t="s">
        <v>249</v>
      </c>
      <c r="M81" s="4">
        <v>4500</v>
      </c>
      <c r="P81" s="2">
        <v>45742</v>
      </c>
      <c r="R81">
        <v>4</v>
      </c>
      <c r="S81" s="4">
        <v>18000</v>
      </c>
      <c r="T81" t="s">
        <v>65</v>
      </c>
      <c r="U81" t="s">
        <v>5643</v>
      </c>
      <c r="V81">
        <v>0</v>
      </c>
      <c r="W81" s="4">
        <v>18000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5644</v>
      </c>
      <c r="AN81" t="s">
        <v>175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69</v>
      </c>
      <c r="AZ81" t="s">
        <v>5749</v>
      </c>
      <c r="BA81">
        <v>0</v>
      </c>
      <c r="BC81" t="s">
        <v>175</v>
      </c>
      <c r="BF81" t="s">
        <v>5750</v>
      </c>
    </row>
    <row r="90" spans="1:58" x14ac:dyDescent="0.35">
      <c r="A90">
        <f>COUNTA(A5:A89)</f>
        <v>77</v>
      </c>
      <c r="B90">
        <f>'25-Mar'!B100+'26-Mar'!A90</f>
        <v>1763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1230-EE42-409E-98A6-594075C3FE38}">
  <dimension ref="A3:F13"/>
  <sheetViews>
    <sheetView tabSelected="1" workbookViewId="0">
      <selection activeCell="B16" sqref="B16"/>
    </sheetView>
  </sheetViews>
  <sheetFormatPr defaultRowHeight="14.5" x14ac:dyDescent="0.35"/>
  <cols>
    <col min="1" max="1" width="20.90625" bestFit="1" customWidth="1"/>
    <col min="2" max="2" width="15.6328125" bestFit="1" customWidth="1"/>
    <col min="3" max="4" width="3.81640625" bestFit="1" customWidth="1"/>
    <col min="5" max="5" width="1.81640625" bestFit="1" customWidth="1"/>
    <col min="6" max="6" width="10.36328125" bestFit="1" customWidth="1"/>
  </cols>
  <sheetData>
    <row r="3" spans="1:6" x14ac:dyDescent="0.35">
      <c r="A3" s="14" t="s">
        <v>6752</v>
      </c>
      <c r="B3" s="14" t="s">
        <v>6751</v>
      </c>
    </row>
    <row r="4" spans="1:6" x14ac:dyDescent="0.35">
      <c r="A4" s="14" t="s">
        <v>6749</v>
      </c>
      <c r="B4">
        <v>1</v>
      </c>
      <c r="C4">
        <v>2</v>
      </c>
      <c r="D4">
        <v>3</v>
      </c>
      <c r="E4">
        <v>4</v>
      </c>
      <c r="F4" t="s">
        <v>6750</v>
      </c>
    </row>
    <row r="5" spans="1:6" x14ac:dyDescent="0.35">
      <c r="A5" s="15" t="s">
        <v>6628</v>
      </c>
      <c r="B5" s="16"/>
      <c r="C5" s="16">
        <v>18</v>
      </c>
      <c r="D5" s="16">
        <v>119</v>
      </c>
      <c r="E5" s="16"/>
      <c r="F5" s="16">
        <v>137</v>
      </c>
    </row>
    <row r="6" spans="1:6" x14ac:dyDescent="0.35">
      <c r="A6" s="15" t="s">
        <v>6630</v>
      </c>
      <c r="B6" s="16">
        <v>338</v>
      </c>
      <c r="C6" s="16">
        <v>153</v>
      </c>
      <c r="D6" s="16">
        <v>4</v>
      </c>
      <c r="E6" s="16">
        <v>1</v>
      </c>
      <c r="F6" s="16">
        <v>496</v>
      </c>
    </row>
    <row r="7" spans="1:6" x14ac:dyDescent="0.35">
      <c r="A7" s="15" t="s">
        <v>6633</v>
      </c>
      <c r="B7" s="16"/>
      <c r="C7" s="16">
        <v>56</v>
      </c>
      <c r="D7" s="16"/>
      <c r="E7" s="16"/>
      <c r="F7" s="16">
        <v>56</v>
      </c>
    </row>
    <row r="8" spans="1:6" x14ac:dyDescent="0.35">
      <c r="A8" s="15" t="s">
        <v>6632</v>
      </c>
      <c r="B8" s="16"/>
      <c r="C8" s="16">
        <v>26</v>
      </c>
      <c r="D8" s="16"/>
      <c r="E8" s="16"/>
      <c r="F8" s="16">
        <v>26</v>
      </c>
    </row>
    <row r="9" spans="1:6" x14ac:dyDescent="0.35">
      <c r="A9" s="15" t="s">
        <v>6631</v>
      </c>
      <c r="B9" s="16">
        <v>407</v>
      </c>
      <c r="C9" s="16">
        <v>2</v>
      </c>
      <c r="D9" s="16"/>
      <c r="E9" s="16"/>
      <c r="F9" s="16">
        <v>409</v>
      </c>
    </row>
    <row r="10" spans="1:6" x14ac:dyDescent="0.35">
      <c r="A10" s="15" t="s">
        <v>6627</v>
      </c>
      <c r="B10" s="16">
        <v>79</v>
      </c>
      <c r="C10" s="16">
        <v>163</v>
      </c>
      <c r="D10" s="16">
        <v>4</v>
      </c>
      <c r="E10" s="16"/>
      <c r="F10" s="16">
        <v>246</v>
      </c>
    </row>
    <row r="11" spans="1:6" x14ac:dyDescent="0.35">
      <c r="A11" s="15" t="s">
        <v>6634</v>
      </c>
      <c r="B11" s="16"/>
      <c r="C11" s="16">
        <v>1</v>
      </c>
      <c r="D11" s="16"/>
      <c r="E11" s="16"/>
      <c r="F11" s="16">
        <v>1</v>
      </c>
    </row>
    <row r="12" spans="1:6" x14ac:dyDescent="0.35">
      <c r="A12" s="15" t="s">
        <v>6629</v>
      </c>
      <c r="B12" s="16">
        <v>541</v>
      </c>
      <c r="C12" s="16">
        <v>1</v>
      </c>
      <c r="D12" s="16">
        <v>3</v>
      </c>
      <c r="E12" s="16"/>
      <c r="F12" s="16">
        <v>545</v>
      </c>
    </row>
    <row r="13" spans="1:6" x14ac:dyDescent="0.35">
      <c r="A13" s="15" t="s">
        <v>6750</v>
      </c>
      <c r="B13" s="16">
        <v>1365</v>
      </c>
      <c r="C13" s="16">
        <v>420</v>
      </c>
      <c r="D13" s="16">
        <v>130</v>
      </c>
      <c r="E13" s="16">
        <v>1</v>
      </c>
      <c r="F13" s="16">
        <v>1916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FA3A-4C03-4A7F-A0A7-B9C00E21CB53}">
  <dimension ref="A1:BJ1929"/>
  <sheetViews>
    <sheetView workbookViewId="0"/>
  </sheetViews>
  <sheetFormatPr defaultRowHeight="14.5" x14ac:dyDescent="0.35"/>
  <cols>
    <col min="1" max="1" width="11.90625" customWidth="1"/>
    <col min="2" max="2" width="18.54296875" bestFit="1" customWidth="1"/>
    <col min="3" max="3" width="18.36328125" bestFit="1" customWidth="1"/>
    <col min="4" max="4" width="9.08984375" bestFit="1" customWidth="1"/>
    <col min="5" max="5" width="10.7265625" bestFit="1" customWidth="1"/>
    <col min="6" max="6" width="10.90625" bestFit="1" customWidth="1"/>
    <col min="7" max="7" width="34.1796875" customWidth="1"/>
    <col min="8" max="8" width="7.453125" bestFit="1" customWidth="1"/>
    <col min="9" max="9" width="11.1796875" bestFit="1" customWidth="1"/>
    <col min="10" max="10" width="6.90625" bestFit="1" customWidth="1"/>
    <col min="11" max="11" width="13.36328125" style="8" bestFit="1" customWidth="1"/>
    <col min="12" max="13" width="13.36328125" style="8" customWidth="1"/>
    <col min="14" max="14" width="10.08984375" bestFit="1" customWidth="1"/>
    <col min="15" max="15" width="23" bestFit="1" customWidth="1"/>
    <col min="16" max="16" width="11.26953125" bestFit="1" customWidth="1"/>
    <col min="17" max="17" width="11.7265625" bestFit="1" customWidth="1"/>
    <col min="18" max="18" width="11.81640625" bestFit="1" customWidth="1"/>
    <col min="19" max="19" width="15.26953125" bestFit="1" customWidth="1"/>
    <col min="20" max="20" width="15.36328125" bestFit="1" customWidth="1"/>
    <col min="21" max="21" width="9.81640625" bestFit="1" customWidth="1"/>
    <col min="22" max="22" width="15.08984375" bestFit="1" customWidth="1"/>
    <col min="23" max="23" width="11.54296875" bestFit="1" customWidth="1"/>
    <col min="24" max="24" width="20.81640625" bestFit="1" customWidth="1"/>
    <col min="25" max="25" width="8.26953125" bestFit="1" customWidth="1"/>
    <col min="26" max="26" width="20.453125" bestFit="1" customWidth="1"/>
    <col min="27" max="27" width="16.7265625" bestFit="1" customWidth="1"/>
    <col min="28" max="28" width="4.36328125" bestFit="1" customWidth="1"/>
    <col min="29" max="29" width="6.81640625" bestFit="1" customWidth="1"/>
    <col min="30" max="30" width="6.08984375" bestFit="1" customWidth="1"/>
    <col min="31" max="31" width="11.26953125" bestFit="1" customWidth="1"/>
    <col min="32" max="32" width="10.6328125" bestFit="1" customWidth="1"/>
    <col min="33" max="33" width="11.453125" bestFit="1" customWidth="1"/>
    <col min="34" max="34" width="13.08984375" bestFit="1" customWidth="1"/>
    <col min="35" max="35" width="12" bestFit="1" customWidth="1"/>
    <col min="36" max="36" width="20.7265625" bestFit="1" customWidth="1"/>
    <col min="37" max="38" width="14.26953125" bestFit="1" customWidth="1"/>
    <col min="39" max="39" width="7.6328125" bestFit="1" customWidth="1"/>
    <col min="40" max="40" width="10.90625" bestFit="1" customWidth="1"/>
    <col min="41" max="41" width="12.6328125" bestFit="1" customWidth="1"/>
    <col min="42" max="42" width="21.08984375" bestFit="1" customWidth="1"/>
    <col min="43" max="43" width="14.7265625" bestFit="1" customWidth="1"/>
    <col min="44" max="44" width="14.7265625" customWidth="1"/>
    <col min="45" max="45" width="6.36328125" bestFit="1" customWidth="1"/>
    <col min="46" max="46" width="22.08984375" bestFit="1" customWidth="1"/>
    <col min="47" max="47" width="14.81640625" bestFit="1" customWidth="1"/>
    <col min="48" max="48" width="22.08984375" bestFit="1" customWidth="1"/>
    <col min="49" max="49" width="14.81640625" bestFit="1" customWidth="1"/>
    <col min="50" max="50" width="22.08984375" bestFit="1" customWidth="1"/>
    <col min="51" max="51" width="14.81640625" bestFit="1" customWidth="1"/>
    <col min="52" max="52" width="20.453125" bestFit="1" customWidth="1"/>
    <col min="53" max="53" width="12.26953125" bestFit="1" customWidth="1"/>
    <col min="54" max="54" width="18" bestFit="1" customWidth="1"/>
    <col min="55" max="55" width="11.7265625" bestFit="1" customWidth="1"/>
    <col min="56" max="56" width="21" bestFit="1" customWidth="1"/>
    <col min="57" max="57" width="6.81640625" bestFit="1" customWidth="1"/>
    <col min="58" max="58" width="8.81640625" bestFit="1" customWidth="1"/>
    <col min="59" max="59" width="13.08984375" bestFit="1" customWidth="1"/>
    <col min="60" max="60" width="6.26953125" bestFit="1" customWidth="1"/>
    <col min="61" max="61" width="3.36328125" bestFit="1" customWidth="1"/>
    <col min="62" max="62" width="14.81640625" bestFit="1" customWidth="1"/>
  </cols>
  <sheetData>
    <row r="1" spans="1:62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3" t="s">
        <v>12</v>
      </c>
      <c r="L1" s="13" t="s">
        <v>6583</v>
      </c>
      <c r="M1" s="13" t="s">
        <v>6179</v>
      </c>
      <c r="N1" s="9" t="s">
        <v>13</v>
      </c>
      <c r="O1" s="9" t="s">
        <v>6582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6635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35">
      <c r="A2" t="s">
        <v>60</v>
      </c>
      <c r="B2">
        <v>10000</v>
      </c>
      <c r="C2">
        <v>40000</v>
      </c>
      <c r="D2" s="2">
        <v>45720</v>
      </c>
      <c r="E2" t="s">
        <v>61</v>
      </c>
      <c r="F2" s="3">
        <v>0.46662037037037035</v>
      </c>
      <c r="G2" t="s">
        <v>62</v>
      </c>
      <c r="I2">
        <v>2</v>
      </c>
      <c r="J2" t="s">
        <v>63</v>
      </c>
      <c r="K2" s="8">
        <v>86</v>
      </c>
      <c r="L2" s="8" t="s">
        <v>6584</v>
      </c>
      <c r="M2" s="8" t="s">
        <v>6627</v>
      </c>
      <c r="N2" t="s">
        <v>64</v>
      </c>
      <c r="O2" t="s">
        <v>6559</v>
      </c>
      <c r="P2" s="4">
        <v>8334</v>
      </c>
      <c r="Q2">
        <f>(P2/60)+45</f>
        <v>183.9</v>
      </c>
      <c r="R2">
        <f>Q2/60</f>
        <v>3.0649999999999999</v>
      </c>
      <c r="S2" s="2">
        <v>45717</v>
      </c>
      <c r="U2">
        <v>36</v>
      </c>
      <c r="V2" s="4">
        <v>300024</v>
      </c>
      <c r="W2" t="s">
        <v>65</v>
      </c>
      <c r="X2" t="s">
        <v>66</v>
      </c>
      <c r="Y2">
        <v>0</v>
      </c>
      <c r="Z2" s="4">
        <v>280379</v>
      </c>
      <c r="AA2" s="4">
        <v>19645</v>
      </c>
      <c r="AB2">
        <v>0</v>
      </c>
      <c r="AC2">
        <v>0</v>
      </c>
      <c r="AD2">
        <v>0</v>
      </c>
      <c r="AG2">
        <v>0</v>
      </c>
      <c r="AP2" t="s">
        <v>67</v>
      </c>
      <c r="AQ2" t="s">
        <v>68</v>
      </c>
      <c r="AR2" t="s">
        <v>6636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C2" t="s">
        <v>69</v>
      </c>
      <c r="BD2" t="s">
        <v>70</v>
      </c>
      <c r="BE2">
        <v>0</v>
      </c>
      <c r="BG2" t="s">
        <v>68</v>
      </c>
      <c r="BJ2" t="s">
        <v>71</v>
      </c>
    </row>
    <row r="3" spans="1:62" x14ac:dyDescent="0.35">
      <c r="A3" t="s">
        <v>72</v>
      </c>
      <c r="B3">
        <v>10000</v>
      </c>
      <c r="C3">
        <v>30000</v>
      </c>
      <c r="D3" s="2">
        <v>45719</v>
      </c>
      <c r="E3" t="s">
        <v>61</v>
      </c>
      <c r="F3" t="s">
        <v>73</v>
      </c>
      <c r="G3" t="s">
        <v>74</v>
      </c>
      <c r="I3">
        <v>3</v>
      </c>
      <c r="J3" t="s">
        <v>63</v>
      </c>
      <c r="K3" s="8">
        <v>91</v>
      </c>
      <c r="L3" s="8" t="s">
        <v>6585</v>
      </c>
      <c r="M3" s="8" t="s">
        <v>6628</v>
      </c>
      <c r="N3" t="s">
        <v>75</v>
      </c>
      <c r="O3" t="s">
        <v>6581</v>
      </c>
      <c r="P3" s="4">
        <v>56000</v>
      </c>
      <c r="S3" s="2">
        <v>45717</v>
      </c>
      <c r="U3">
        <v>9</v>
      </c>
      <c r="V3" s="4">
        <v>504000</v>
      </c>
      <c r="W3" t="s">
        <v>65</v>
      </c>
      <c r="X3" t="s">
        <v>76</v>
      </c>
      <c r="Y3">
        <v>0</v>
      </c>
      <c r="Z3" s="4">
        <v>500000</v>
      </c>
      <c r="AA3" s="4">
        <v>4000</v>
      </c>
      <c r="AB3">
        <v>0</v>
      </c>
      <c r="AC3">
        <v>0</v>
      </c>
      <c r="AD3">
        <v>0</v>
      </c>
      <c r="AG3">
        <v>0</v>
      </c>
      <c r="AP3" t="s">
        <v>77</v>
      </c>
      <c r="AQ3" t="s">
        <v>68</v>
      </c>
      <c r="AR3" t="s">
        <v>6636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C3" t="s">
        <v>69</v>
      </c>
      <c r="BD3" t="s">
        <v>78</v>
      </c>
      <c r="BE3">
        <v>0</v>
      </c>
      <c r="BG3" t="s">
        <v>68</v>
      </c>
      <c r="BJ3" t="s">
        <v>79</v>
      </c>
    </row>
    <row r="4" spans="1:62" x14ac:dyDescent="0.35">
      <c r="A4" t="s">
        <v>80</v>
      </c>
      <c r="B4">
        <v>10000</v>
      </c>
      <c r="C4">
        <v>30000</v>
      </c>
      <c r="D4" s="2">
        <v>45730</v>
      </c>
      <c r="E4" t="s">
        <v>61</v>
      </c>
      <c r="F4" t="s">
        <v>81</v>
      </c>
      <c r="G4" t="s">
        <v>82</v>
      </c>
      <c r="I4">
        <v>2</v>
      </c>
      <c r="J4" t="s">
        <v>63</v>
      </c>
      <c r="K4" s="8">
        <v>86</v>
      </c>
      <c r="L4" s="8" t="s">
        <v>6584</v>
      </c>
      <c r="M4" s="8" t="s">
        <v>6627</v>
      </c>
      <c r="N4" t="s">
        <v>64</v>
      </c>
      <c r="O4" t="s">
        <v>6559</v>
      </c>
      <c r="P4" s="4">
        <v>29723</v>
      </c>
      <c r="Q4">
        <f t="shared" ref="Q4:Q5" si="0">(P4/60)+45</f>
        <v>540.38333333333333</v>
      </c>
      <c r="R4">
        <f t="shared" ref="R4:R5" si="1">Q4/60</f>
        <v>9.006388888888889</v>
      </c>
      <c r="S4" s="2">
        <v>45717</v>
      </c>
      <c r="U4">
        <v>36</v>
      </c>
      <c r="V4" s="4">
        <v>1070028</v>
      </c>
      <c r="W4" t="s">
        <v>65</v>
      </c>
      <c r="X4" t="s">
        <v>83</v>
      </c>
      <c r="Y4">
        <v>0</v>
      </c>
      <c r="Z4" s="4">
        <v>1000000</v>
      </c>
      <c r="AA4" s="4">
        <v>70028</v>
      </c>
      <c r="AB4">
        <v>0</v>
      </c>
      <c r="AC4">
        <v>0</v>
      </c>
      <c r="AD4">
        <v>0</v>
      </c>
      <c r="AG4">
        <v>0</v>
      </c>
      <c r="AP4" t="s">
        <v>84</v>
      </c>
      <c r="AQ4" t="s">
        <v>68</v>
      </c>
      <c r="AR4" t="s">
        <v>6636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C4" t="s">
        <v>69</v>
      </c>
      <c r="BD4" t="s">
        <v>85</v>
      </c>
      <c r="BE4">
        <v>0</v>
      </c>
      <c r="BG4" t="s">
        <v>68</v>
      </c>
      <c r="BJ4" t="s">
        <v>86</v>
      </c>
    </row>
    <row r="5" spans="1:62" x14ac:dyDescent="0.35">
      <c r="A5" t="s">
        <v>87</v>
      </c>
      <c r="B5">
        <v>10000</v>
      </c>
      <c r="C5">
        <v>20000</v>
      </c>
      <c r="D5" s="2">
        <v>45719</v>
      </c>
      <c r="E5" t="s">
        <v>61</v>
      </c>
      <c r="F5" t="s">
        <v>88</v>
      </c>
      <c r="G5" t="s">
        <v>89</v>
      </c>
      <c r="I5">
        <v>1</v>
      </c>
      <c r="J5" t="s">
        <v>63</v>
      </c>
      <c r="K5" s="8">
        <v>73</v>
      </c>
      <c r="L5" s="8" t="s">
        <v>6586</v>
      </c>
      <c r="M5" s="8" t="s">
        <v>6627</v>
      </c>
      <c r="N5" t="s">
        <v>90</v>
      </c>
      <c r="O5" t="s">
        <v>6564</v>
      </c>
      <c r="P5" s="4">
        <v>24000</v>
      </c>
      <c r="Q5">
        <f t="shared" si="0"/>
        <v>445</v>
      </c>
      <c r="R5">
        <f t="shared" si="1"/>
        <v>7.416666666666667</v>
      </c>
      <c r="S5" s="2">
        <v>45717</v>
      </c>
      <c r="U5">
        <v>12</v>
      </c>
      <c r="V5" s="4">
        <v>288000</v>
      </c>
      <c r="W5" t="s">
        <v>65</v>
      </c>
      <c r="X5">
        <v>80256220001</v>
      </c>
      <c r="Y5">
        <v>0</v>
      </c>
      <c r="Z5" s="4">
        <v>288000</v>
      </c>
      <c r="AA5">
        <v>0</v>
      </c>
      <c r="AB5">
        <v>0</v>
      </c>
      <c r="AC5">
        <v>0</v>
      </c>
      <c r="AD5">
        <v>0</v>
      </c>
      <c r="AG5">
        <v>0</v>
      </c>
      <c r="AP5">
        <v>8025622</v>
      </c>
      <c r="AQ5" t="s">
        <v>91</v>
      </c>
      <c r="AR5" t="s">
        <v>6637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C5" t="s">
        <v>69</v>
      </c>
      <c r="BD5" t="s">
        <v>92</v>
      </c>
      <c r="BE5">
        <v>0</v>
      </c>
      <c r="BG5" t="s">
        <v>91</v>
      </c>
      <c r="BJ5" t="s">
        <v>93</v>
      </c>
    </row>
    <row r="6" spans="1:62" x14ac:dyDescent="0.35">
      <c r="A6" t="s">
        <v>94</v>
      </c>
      <c r="B6">
        <v>10000</v>
      </c>
      <c r="C6">
        <v>10000</v>
      </c>
      <c r="D6" s="2">
        <v>45719</v>
      </c>
      <c r="E6" t="s">
        <v>95</v>
      </c>
      <c r="F6" t="s">
        <v>96</v>
      </c>
      <c r="G6" t="s">
        <v>89</v>
      </c>
      <c r="I6">
        <v>1</v>
      </c>
      <c r="J6" t="s">
        <v>63</v>
      </c>
      <c r="K6" s="8">
        <v>73</v>
      </c>
      <c r="L6" t="s">
        <v>6586</v>
      </c>
      <c r="M6" s="8" t="s">
        <v>6627</v>
      </c>
      <c r="N6" t="s">
        <v>98</v>
      </c>
      <c r="O6" t="s">
        <v>6549</v>
      </c>
      <c r="P6" s="4">
        <v>36000</v>
      </c>
      <c r="S6" s="2">
        <v>45717</v>
      </c>
      <c r="U6">
        <v>12</v>
      </c>
      <c r="V6" s="4">
        <v>432000</v>
      </c>
      <c r="W6" t="s">
        <v>65</v>
      </c>
      <c r="X6">
        <v>80256220001</v>
      </c>
      <c r="Y6">
        <v>0</v>
      </c>
      <c r="Z6" s="4">
        <v>432000</v>
      </c>
      <c r="AA6">
        <v>0</v>
      </c>
      <c r="AB6">
        <v>0</v>
      </c>
      <c r="AC6">
        <v>0</v>
      </c>
      <c r="AD6">
        <v>0</v>
      </c>
      <c r="AG6">
        <v>0</v>
      </c>
      <c r="AP6">
        <v>8025622</v>
      </c>
      <c r="AQ6" t="s">
        <v>91</v>
      </c>
      <c r="AR6" t="s">
        <v>6637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C6" t="s">
        <v>69</v>
      </c>
      <c r="BD6" t="s">
        <v>99</v>
      </c>
      <c r="BE6">
        <v>0</v>
      </c>
      <c r="BG6" t="s">
        <v>91</v>
      </c>
      <c r="BJ6" t="s">
        <v>100</v>
      </c>
    </row>
    <row r="7" spans="1:62" x14ac:dyDescent="0.35">
      <c r="A7" t="s">
        <v>101</v>
      </c>
      <c r="B7">
        <v>10000</v>
      </c>
      <c r="C7">
        <v>30000</v>
      </c>
      <c r="D7" s="2">
        <v>45719</v>
      </c>
      <c r="E7" t="s">
        <v>61</v>
      </c>
      <c r="F7" t="s">
        <v>102</v>
      </c>
      <c r="G7" t="s">
        <v>103</v>
      </c>
      <c r="I7">
        <v>3</v>
      </c>
      <c r="J7" t="s">
        <v>63</v>
      </c>
      <c r="K7" s="8">
        <v>101</v>
      </c>
      <c r="L7" t="s">
        <v>6585</v>
      </c>
      <c r="M7" s="8" t="s">
        <v>6628</v>
      </c>
      <c r="N7" t="s">
        <v>104</v>
      </c>
      <c r="O7" t="s">
        <v>6579</v>
      </c>
      <c r="P7" s="4">
        <v>34000</v>
      </c>
      <c r="S7" s="2">
        <v>45717</v>
      </c>
      <c r="U7">
        <v>3</v>
      </c>
      <c r="V7" s="4">
        <v>102000</v>
      </c>
      <c r="W7" t="s">
        <v>65</v>
      </c>
      <c r="X7" t="s">
        <v>105</v>
      </c>
      <c r="Y7">
        <v>0</v>
      </c>
      <c r="Z7" s="4">
        <v>110000</v>
      </c>
      <c r="AA7" s="4">
        <v>-8000</v>
      </c>
      <c r="AB7">
        <v>0</v>
      </c>
      <c r="AC7">
        <v>0</v>
      </c>
      <c r="AD7">
        <v>0</v>
      </c>
      <c r="AG7">
        <v>0</v>
      </c>
      <c r="AP7" t="s">
        <v>106</v>
      </c>
      <c r="AQ7" t="s">
        <v>107</v>
      </c>
      <c r="AR7" t="s">
        <v>6638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69</v>
      </c>
      <c r="BD7" t="s">
        <v>108</v>
      </c>
      <c r="BE7">
        <v>0</v>
      </c>
      <c r="BG7" t="s">
        <v>107</v>
      </c>
      <c r="BJ7" t="s">
        <v>109</v>
      </c>
    </row>
    <row r="8" spans="1:62" x14ac:dyDescent="0.35">
      <c r="A8" t="s">
        <v>110</v>
      </c>
      <c r="B8">
        <v>10000</v>
      </c>
      <c r="C8">
        <v>10000</v>
      </c>
      <c r="D8" s="2">
        <v>45719</v>
      </c>
      <c r="E8" t="s">
        <v>61</v>
      </c>
      <c r="F8" t="s">
        <v>111</v>
      </c>
      <c r="G8" t="s">
        <v>112</v>
      </c>
      <c r="I8">
        <v>1</v>
      </c>
      <c r="J8" t="s">
        <v>63</v>
      </c>
      <c r="K8" s="8">
        <v>46</v>
      </c>
      <c r="L8" s="8" t="s">
        <v>6587</v>
      </c>
      <c r="M8" s="8" t="s">
        <v>6629</v>
      </c>
      <c r="N8" t="s">
        <v>113</v>
      </c>
      <c r="O8" t="s">
        <v>6499</v>
      </c>
      <c r="P8" s="4">
        <v>4000</v>
      </c>
      <c r="Q8">
        <f>(P8/40)+45</f>
        <v>145</v>
      </c>
      <c r="R8">
        <f>Q8/60</f>
        <v>2.4166666666666665</v>
      </c>
      <c r="S8" s="2">
        <v>45717</v>
      </c>
      <c r="U8">
        <v>1</v>
      </c>
      <c r="V8" s="4">
        <v>4000</v>
      </c>
      <c r="W8" t="s">
        <v>65</v>
      </c>
      <c r="X8" t="s">
        <v>114</v>
      </c>
      <c r="Y8">
        <v>0</v>
      </c>
      <c r="Z8" s="4">
        <v>4000</v>
      </c>
      <c r="AA8">
        <v>0</v>
      </c>
      <c r="AB8">
        <v>0</v>
      </c>
      <c r="AC8">
        <v>0</v>
      </c>
      <c r="AD8">
        <v>0</v>
      </c>
      <c r="AG8">
        <v>0</v>
      </c>
      <c r="AP8" t="s">
        <v>115</v>
      </c>
      <c r="AQ8" t="s">
        <v>116</v>
      </c>
      <c r="AR8" t="s">
        <v>6639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C8" t="s">
        <v>69</v>
      </c>
      <c r="BD8" t="s">
        <v>117</v>
      </c>
      <c r="BE8">
        <v>0</v>
      </c>
      <c r="BG8" t="s">
        <v>116</v>
      </c>
      <c r="BJ8" t="s">
        <v>118</v>
      </c>
    </row>
    <row r="9" spans="1:62" x14ac:dyDescent="0.35">
      <c r="A9" t="s">
        <v>119</v>
      </c>
      <c r="B9">
        <v>10000</v>
      </c>
      <c r="C9">
        <v>30000</v>
      </c>
      <c r="D9" s="2">
        <v>45721</v>
      </c>
      <c r="E9" t="s">
        <v>61</v>
      </c>
      <c r="F9" t="s">
        <v>120</v>
      </c>
      <c r="G9" t="s">
        <v>112</v>
      </c>
      <c r="I9">
        <v>1</v>
      </c>
      <c r="J9" t="s">
        <v>63</v>
      </c>
      <c r="K9" s="8">
        <v>46</v>
      </c>
      <c r="L9" s="8" t="s">
        <v>6587</v>
      </c>
      <c r="M9" s="8" t="s">
        <v>6629</v>
      </c>
      <c r="N9" t="s">
        <v>113</v>
      </c>
      <c r="O9" t="s">
        <v>6499</v>
      </c>
      <c r="P9" s="4">
        <v>2000</v>
      </c>
      <c r="Q9">
        <f>(P9/40)+45</f>
        <v>95</v>
      </c>
      <c r="R9">
        <f>Q9/60</f>
        <v>1.5833333333333333</v>
      </c>
      <c r="S9" s="2">
        <v>45717</v>
      </c>
      <c r="U9">
        <v>1</v>
      </c>
      <c r="V9" s="4">
        <v>2000</v>
      </c>
      <c r="W9" t="s">
        <v>65</v>
      </c>
      <c r="X9" t="s">
        <v>121</v>
      </c>
      <c r="Y9">
        <v>0</v>
      </c>
      <c r="Z9" s="4">
        <v>2000</v>
      </c>
      <c r="AA9">
        <v>0</v>
      </c>
      <c r="AB9">
        <v>0</v>
      </c>
      <c r="AC9">
        <v>0</v>
      </c>
      <c r="AD9">
        <v>0</v>
      </c>
      <c r="AG9">
        <v>0</v>
      </c>
      <c r="AP9" t="s">
        <v>122</v>
      </c>
      <c r="AQ9" t="s">
        <v>116</v>
      </c>
      <c r="AR9" t="s">
        <v>6639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C9" t="s">
        <v>69</v>
      </c>
      <c r="BD9" t="s">
        <v>123</v>
      </c>
      <c r="BE9">
        <v>0</v>
      </c>
      <c r="BG9" t="s">
        <v>116</v>
      </c>
      <c r="BJ9" t="s">
        <v>118</v>
      </c>
    </row>
    <row r="10" spans="1:62" x14ac:dyDescent="0.35">
      <c r="A10" t="s">
        <v>124</v>
      </c>
      <c r="B10">
        <v>10000</v>
      </c>
      <c r="C10">
        <v>20000</v>
      </c>
      <c r="D10" s="2">
        <v>45720</v>
      </c>
      <c r="E10" t="s">
        <v>61</v>
      </c>
      <c r="F10" t="s">
        <v>125</v>
      </c>
      <c r="G10" t="s">
        <v>126</v>
      </c>
      <c r="I10">
        <v>2</v>
      </c>
      <c r="J10" t="s">
        <v>63</v>
      </c>
      <c r="K10" s="8">
        <v>77</v>
      </c>
      <c r="L10" s="8" t="s">
        <v>6584</v>
      </c>
      <c r="M10" s="8" t="s">
        <v>6627</v>
      </c>
      <c r="N10" t="s">
        <v>127</v>
      </c>
      <c r="O10" t="s">
        <v>6567</v>
      </c>
      <c r="P10" s="4">
        <v>10600</v>
      </c>
      <c r="Q10">
        <f>(P10/60)+45</f>
        <v>221.66666666666666</v>
      </c>
      <c r="R10">
        <f>Q10/60</f>
        <v>3.6944444444444442</v>
      </c>
      <c r="S10" s="2">
        <v>45717</v>
      </c>
      <c r="U10">
        <v>10</v>
      </c>
      <c r="V10" s="4">
        <v>106000</v>
      </c>
      <c r="W10" t="s">
        <v>65</v>
      </c>
      <c r="X10" t="s">
        <v>128</v>
      </c>
      <c r="Y10">
        <v>0</v>
      </c>
      <c r="Z10" s="4">
        <v>100000</v>
      </c>
      <c r="AA10" s="4">
        <v>6000</v>
      </c>
      <c r="AB10">
        <v>0</v>
      </c>
      <c r="AC10">
        <v>0</v>
      </c>
      <c r="AD10">
        <v>0</v>
      </c>
      <c r="AG10">
        <v>0</v>
      </c>
      <c r="AP10" t="s">
        <v>129</v>
      </c>
      <c r="AQ10" t="s">
        <v>107</v>
      </c>
      <c r="AR10" t="s">
        <v>6638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C10" t="s">
        <v>69</v>
      </c>
      <c r="BD10" t="s">
        <v>130</v>
      </c>
      <c r="BE10">
        <v>0</v>
      </c>
      <c r="BG10" t="s">
        <v>107</v>
      </c>
      <c r="BJ10" t="s">
        <v>131</v>
      </c>
    </row>
    <row r="11" spans="1:62" x14ac:dyDescent="0.35">
      <c r="A11" t="s">
        <v>132</v>
      </c>
      <c r="B11">
        <v>10000</v>
      </c>
      <c r="C11">
        <v>20000</v>
      </c>
      <c r="D11" s="2">
        <v>45719</v>
      </c>
      <c r="E11" t="s">
        <v>61</v>
      </c>
      <c r="F11" t="s">
        <v>133</v>
      </c>
      <c r="G11" t="s">
        <v>134</v>
      </c>
      <c r="I11">
        <v>2</v>
      </c>
      <c r="J11" t="s">
        <v>63</v>
      </c>
      <c r="K11" s="8">
        <v>71</v>
      </c>
      <c r="L11" s="8" t="s">
        <v>6588</v>
      </c>
      <c r="M11" s="8" t="s">
        <v>6630</v>
      </c>
      <c r="N11" t="s">
        <v>135</v>
      </c>
      <c r="O11" t="s">
        <v>6573</v>
      </c>
      <c r="P11" s="4">
        <v>4167</v>
      </c>
      <c r="S11" s="2">
        <v>45717</v>
      </c>
      <c r="U11">
        <v>6</v>
      </c>
      <c r="V11" s="4">
        <v>25002</v>
      </c>
      <c r="W11" t="s">
        <v>65</v>
      </c>
      <c r="X11">
        <v>86090880001</v>
      </c>
      <c r="Y11">
        <v>0</v>
      </c>
      <c r="Z11" s="4">
        <v>25000</v>
      </c>
      <c r="AA11">
        <v>2</v>
      </c>
      <c r="AB11">
        <v>0</v>
      </c>
      <c r="AC11">
        <v>0</v>
      </c>
      <c r="AD11">
        <v>0</v>
      </c>
      <c r="AG11">
        <v>0</v>
      </c>
      <c r="AP11">
        <v>8609088</v>
      </c>
      <c r="AQ11" t="s">
        <v>91</v>
      </c>
      <c r="AR11" t="s">
        <v>6637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C11" t="s">
        <v>69</v>
      </c>
      <c r="BD11" t="s">
        <v>136</v>
      </c>
      <c r="BE11">
        <v>0</v>
      </c>
      <c r="BG11" t="s">
        <v>91</v>
      </c>
      <c r="BJ11" t="s">
        <v>137</v>
      </c>
    </row>
    <row r="12" spans="1:62" x14ac:dyDescent="0.35">
      <c r="A12" t="s">
        <v>138</v>
      </c>
      <c r="B12">
        <v>10000</v>
      </c>
      <c r="C12">
        <v>20000</v>
      </c>
      <c r="D12" s="2">
        <v>45719</v>
      </c>
      <c r="E12" t="s">
        <v>61</v>
      </c>
      <c r="F12" t="s">
        <v>139</v>
      </c>
      <c r="G12" t="s">
        <v>134</v>
      </c>
      <c r="I12">
        <v>2</v>
      </c>
      <c r="J12" t="s">
        <v>63</v>
      </c>
      <c r="K12" s="8">
        <v>71</v>
      </c>
      <c r="L12" s="8" t="s">
        <v>6588</v>
      </c>
      <c r="M12" s="8" t="s">
        <v>6630</v>
      </c>
      <c r="N12" t="s">
        <v>135</v>
      </c>
      <c r="O12" t="s">
        <v>6573</v>
      </c>
      <c r="P12" s="4">
        <v>1667</v>
      </c>
      <c r="S12" s="2">
        <v>45717</v>
      </c>
      <c r="U12">
        <v>6</v>
      </c>
      <c r="V12" s="4">
        <v>10002</v>
      </c>
      <c r="W12" t="s">
        <v>65</v>
      </c>
      <c r="X12">
        <v>86090890001</v>
      </c>
      <c r="Y12">
        <v>0</v>
      </c>
      <c r="Z12" s="4">
        <v>10000</v>
      </c>
      <c r="AA12">
        <v>2</v>
      </c>
      <c r="AB12">
        <v>0</v>
      </c>
      <c r="AC12">
        <v>0</v>
      </c>
      <c r="AD12">
        <v>0</v>
      </c>
      <c r="AG12">
        <v>0</v>
      </c>
      <c r="AP12">
        <v>8609089</v>
      </c>
      <c r="AQ12" t="s">
        <v>91</v>
      </c>
      <c r="AR12" t="s">
        <v>6637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C12" t="s">
        <v>69</v>
      </c>
      <c r="BD12" t="s">
        <v>140</v>
      </c>
      <c r="BE12">
        <v>0</v>
      </c>
      <c r="BG12" t="s">
        <v>91</v>
      </c>
      <c r="BJ12" t="s">
        <v>137</v>
      </c>
    </row>
    <row r="13" spans="1:62" x14ac:dyDescent="0.35">
      <c r="A13" t="s">
        <v>141</v>
      </c>
      <c r="B13">
        <v>10000</v>
      </c>
      <c r="C13">
        <v>20000</v>
      </c>
      <c r="D13" s="2">
        <v>45719</v>
      </c>
      <c r="E13" t="s">
        <v>61</v>
      </c>
      <c r="F13" t="s">
        <v>142</v>
      </c>
      <c r="G13" t="s">
        <v>134</v>
      </c>
      <c r="I13">
        <v>2</v>
      </c>
      <c r="J13" t="s">
        <v>63</v>
      </c>
      <c r="K13" s="8">
        <v>71</v>
      </c>
      <c r="L13" s="8" t="s">
        <v>6588</v>
      </c>
      <c r="M13" s="8" t="s">
        <v>6630</v>
      </c>
      <c r="N13" t="s">
        <v>135</v>
      </c>
      <c r="O13" t="s">
        <v>6573</v>
      </c>
      <c r="P13" s="4">
        <v>1667</v>
      </c>
      <c r="S13" s="2">
        <v>45717</v>
      </c>
      <c r="U13">
        <v>6</v>
      </c>
      <c r="V13" s="4">
        <v>10002</v>
      </c>
      <c r="W13" t="s">
        <v>65</v>
      </c>
      <c r="X13">
        <v>86090900001</v>
      </c>
      <c r="Y13">
        <v>0</v>
      </c>
      <c r="Z13" s="4">
        <v>10000</v>
      </c>
      <c r="AA13">
        <v>2</v>
      </c>
      <c r="AB13">
        <v>0</v>
      </c>
      <c r="AC13">
        <v>0</v>
      </c>
      <c r="AD13">
        <v>0</v>
      </c>
      <c r="AG13">
        <v>0</v>
      </c>
      <c r="AP13">
        <v>8609090</v>
      </c>
      <c r="AQ13" t="s">
        <v>91</v>
      </c>
      <c r="AR13" t="s">
        <v>6637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C13" t="s">
        <v>69</v>
      </c>
      <c r="BD13" t="s">
        <v>143</v>
      </c>
      <c r="BE13">
        <v>0</v>
      </c>
      <c r="BG13" t="s">
        <v>91</v>
      </c>
      <c r="BJ13" t="s">
        <v>137</v>
      </c>
    </row>
    <row r="14" spans="1:62" x14ac:dyDescent="0.35">
      <c r="A14" t="s">
        <v>144</v>
      </c>
      <c r="B14">
        <v>10000</v>
      </c>
      <c r="C14">
        <v>20000</v>
      </c>
      <c r="D14" s="2">
        <v>45719</v>
      </c>
      <c r="E14" t="s">
        <v>61</v>
      </c>
      <c r="F14" t="s">
        <v>145</v>
      </c>
      <c r="G14" t="s">
        <v>146</v>
      </c>
      <c r="I14">
        <v>2</v>
      </c>
      <c r="J14" t="s">
        <v>63</v>
      </c>
      <c r="K14" s="8">
        <v>77</v>
      </c>
      <c r="L14" s="8" t="s">
        <v>6584</v>
      </c>
      <c r="M14" s="8" t="s">
        <v>6627</v>
      </c>
      <c r="N14" t="s">
        <v>127</v>
      </c>
      <c r="O14" t="s">
        <v>6567</v>
      </c>
      <c r="P14" s="4">
        <v>18500</v>
      </c>
      <c r="Q14">
        <f>(P14/60)+45</f>
        <v>353.33333333333331</v>
      </c>
      <c r="R14">
        <f>Q14/60</f>
        <v>5.8888888888888884</v>
      </c>
      <c r="S14" s="2">
        <v>45717</v>
      </c>
      <c r="U14">
        <v>10</v>
      </c>
      <c r="V14" s="4">
        <v>185000</v>
      </c>
      <c r="W14" t="s">
        <v>65</v>
      </c>
      <c r="X14" t="s">
        <v>147</v>
      </c>
      <c r="Y14">
        <v>0</v>
      </c>
      <c r="Z14" s="4">
        <v>175000</v>
      </c>
      <c r="AA14" s="4">
        <v>10000</v>
      </c>
      <c r="AB14">
        <v>0</v>
      </c>
      <c r="AC14">
        <v>0</v>
      </c>
      <c r="AD14">
        <v>0</v>
      </c>
      <c r="AG14">
        <v>0</v>
      </c>
      <c r="AP14" t="s">
        <v>148</v>
      </c>
      <c r="AQ14" t="s">
        <v>107</v>
      </c>
      <c r="AR14" t="s">
        <v>6638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C14" t="s">
        <v>69</v>
      </c>
      <c r="BD14" t="s">
        <v>149</v>
      </c>
      <c r="BE14">
        <v>0</v>
      </c>
      <c r="BG14" t="s">
        <v>107</v>
      </c>
      <c r="BJ14" t="s">
        <v>150</v>
      </c>
    </row>
    <row r="15" spans="1:62" x14ac:dyDescent="0.35">
      <c r="A15" t="s">
        <v>151</v>
      </c>
      <c r="B15">
        <v>10000</v>
      </c>
      <c r="C15">
        <v>10000</v>
      </c>
      <c r="D15" s="2">
        <v>45719</v>
      </c>
      <c r="E15" t="s">
        <v>61</v>
      </c>
      <c r="F15" t="s">
        <v>152</v>
      </c>
      <c r="G15" t="s">
        <v>153</v>
      </c>
      <c r="I15">
        <v>1</v>
      </c>
      <c r="J15" t="s">
        <v>63</v>
      </c>
      <c r="K15" s="8">
        <v>90</v>
      </c>
      <c r="L15" s="8" t="s">
        <v>6589</v>
      </c>
      <c r="M15" s="8" t="s">
        <v>6630</v>
      </c>
      <c r="N15" t="s">
        <v>154</v>
      </c>
      <c r="O15" t="s">
        <v>6575</v>
      </c>
      <c r="P15" s="4">
        <v>27000</v>
      </c>
      <c r="Q15">
        <f>(P15/20)+45</f>
        <v>1395</v>
      </c>
      <c r="R15">
        <f>Q15/60</f>
        <v>23.25</v>
      </c>
      <c r="S15" s="2">
        <v>45717</v>
      </c>
      <c r="U15">
        <v>2</v>
      </c>
      <c r="V15" s="4">
        <v>54000</v>
      </c>
      <c r="W15" t="s">
        <v>65</v>
      </c>
      <c r="X15" t="s">
        <v>155</v>
      </c>
      <c r="Y15">
        <v>0</v>
      </c>
      <c r="Z15" s="4">
        <v>54000</v>
      </c>
      <c r="AA15">
        <v>0</v>
      </c>
      <c r="AB15">
        <v>0</v>
      </c>
      <c r="AC15">
        <v>0</v>
      </c>
      <c r="AD15">
        <v>0</v>
      </c>
      <c r="AG15">
        <v>0</v>
      </c>
      <c r="AP15" t="s">
        <v>156</v>
      </c>
      <c r="AQ15" t="s">
        <v>157</v>
      </c>
      <c r="AR15" t="s">
        <v>6640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C15" t="s">
        <v>69</v>
      </c>
      <c r="BD15" t="s">
        <v>158</v>
      </c>
      <c r="BE15">
        <v>0</v>
      </c>
      <c r="BG15" t="s">
        <v>157</v>
      </c>
      <c r="BJ15" t="s">
        <v>159</v>
      </c>
    </row>
    <row r="16" spans="1:62" x14ac:dyDescent="0.35">
      <c r="A16" t="s">
        <v>160</v>
      </c>
      <c r="B16">
        <v>10000</v>
      </c>
      <c r="C16">
        <v>30000</v>
      </c>
      <c r="D16" s="2">
        <v>45719</v>
      </c>
      <c r="E16" t="s">
        <v>61</v>
      </c>
      <c r="F16" t="s">
        <v>161</v>
      </c>
      <c r="G16" t="s">
        <v>162</v>
      </c>
      <c r="I16">
        <v>2</v>
      </c>
      <c r="J16" t="s">
        <v>63</v>
      </c>
      <c r="K16" s="8">
        <v>60</v>
      </c>
      <c r="L16" s="8" t="s">
        <v>6590</v>
      </c>
      <c r="M16" s="8" t="s">
        <v>6630</v>
      </c>
      <c r="N16" t="s">
        <v>163</v>
      </c>
      <c r="O16" t="s">
        <v>6548</v>
      </c>
      <c r="P16" s="4">
        <v>5000</v>
      </c>
      <c r="Q16">
        <f>(P16/50)+45</f>
        <v>145</v>
      </c>
      <c r="R16">
        <f>Q16/60</f>
        <v>2.4166666666666665</v>
      </c>
      <c r="S16" s="2">
        <v>45717</v>
      </c>
      <c r="U16">
        <v>1</v>
      </c>
      <c r="V16" s="4">
        <v>5000</v>
      </c>
      <c r="W16" t="s">
        <v>65</v>
      </c>
      <c r="X16" t="s">
        <v>164</v>
      </c>
      <c r="Y16">
        <v>0</v>
      </c>
      <c r="Z16" s="4">
        <v>3378</v>
      </c>
      <c r="AA16" s="4">
        <v>1622</v>
      </c>
      <c r="AB16">
        <v>0</v>
      </c>
      <c r="AC16">
        <v>0</v>
      </c>
      <c r="AD16">
        <v>0</v>
      </c>
      <c r="AG16">
        <v>0</v>
      </c>
      <c r="AP16" t="s">
        <v>165</v>
      </c>
      <c r="AQ16" t="s">
        <v>166</v>
      </c>
      <c r="AR16" t="s">
        <v>6641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C16" t="s">
        <v>69</v>
      </c>
      <c r="BD16" t="s">
        <v>167</v>
      </c>
      <c r="BE16">
        <v>0</v>
      </c>
      <c r="BG16" t="s">
        <v>166</v>
      </c>
      <c r="BJ16" t="s">
        <v>168</v>
      </c>
    </row>
    <row r="17" spans="1:62" x14ac:dyDescent="0.35">
      <c r="A17" t="s">
        <v>169</v>
      </c>
      <c r="B17">
        <v>10000</v>
      </c>
      <c r="C17">
        <v>10000</v>
      </c>
      <c r="D17" s="2">
        <v>45720</v>
      </c>
      <c r="E17" t="s">
        <v>61</v>
      </c>
      <c r="F17" t="s">
        <v>170</v>
      </c>
      <c r="G17" t="s">
        <v>171</v>
      </c>
      <c r="I17">
        <v>1</v>
      </c>
      <c r="J17" t="s">
        <v>63</v>
      </c>
      <c r="K17" s="8">
        <v>87</v>
      </c>
      <c r="L17" s="8" t="s">
        <v>6591</v>
      </c>
      <c r="M17" s="8" t="s">
        <v>6630</v>
      </c>
      <c r="N17" t="s">
        <v>172</v>
      </c>
      <c r="O17" t="s">
        <v>6546</v>
      </c>
      <c r="P17" s="4">
        <v>20250</v>
      </c>
      <c r="S17" s="2">
        <v>45717</v>
      </c>
      <c r="U17">
        <v>2</v>
      </c>
      <c r="V17" s="4">
        <v>40500</v>
      </c>
      <c r="W17" t="s">
        <v>65</v>
      </c>
      <c r="X17" t="s">
        <v>173</v>
      </c>
      <c r="Y17">
        <v>0</v>
      </c>
      <c r="Z17" s="4">
        <v>40500</v>
      </c>
      <c r="AA17">
        <v>0</v>
      </c>
      <c r="AB17">
        <v>0</v>
      </c>
      <c r="AC17">
        <v>0</v>
      </c>
      <c r="AD17">
        <v>0</v>
      </c>
      <c r="AG17">
        <v>0</v>
      </c>
      <c r="AP17" t="s">
        <v>174</v>
      </c>
      <c r="AQ17" t="s">
        <v>175</v>
      </c>
      <c r="AR17" t="s">
        <v>6642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C17" t="s">
        <v>69</v>
      </c>
      <c r="BD17" t="s">
        <v>176</v>
      </c>
      <c r="BE17">
        <v>0</v>
      </c>
      <c r="BG17" t="s">
        <v>175</v>
      </c>
      <c r="BJ17" t="s">
        <v>177</v>
      </c>
    </row>
    <row r="18" spans="1:62" x14ac:dyDescent="0.35">
      <c r="A18" t="s">
        <v>178</v>
      </c>
      <c r="B18">
        <v>10000</v>
      </c>
      <c r="C18">
        <v>10000</v>
      </c>
      <c r="D18" s="2">
        <v>45719</v>
      </c>
      <c r="E18" t="s">
        <v>61</v>
      </c>
      <c r="F18" t="s">
        <v>179</v>
      </c>
      <c r="G18" t="s">
        <v>180</v>
      </c>
      <c r="I18">
        <v>1</v>
      </c>
      <c r="J18" t="s">
        <v>63</v>
      </c>
      <c r="K18" s="8">
        <v>59</v>
      </c>
      <c r="L18" s="8" t="s">
        <v>6592</v>
      </c>
      <c r="M18" s="8" t="s">
        <v>6629</v>
      </c>
      <c r="N18" t="s">
        <v>181</v>
      </c>
      <c r="O18" t="s">
        <v>6544</v>
      </c>
      <c r="P18">
        <v>258</v>
      </c>
      <c r="Q18">
        <f t="shared" ref="Q18:Q19" si="2">(P18/40)+45</f>
        <v>51.45</v>
      </c>
      <c r="R18">
        <f t="shared" ref="R18:R19" si="3">Q18/60</f>
        <v>0.85750000000000004</v>
      </c>
      <c r="S18" s="2">
        <v>45717</v>
      </c>
      <c r="U18">
        <v>4</v>
      </c>
      <c r="V18" s="4">
        <v>1032</v>
      </c>
      <c r="W18" t="s">
        <v>65</v>
      </c>
      <c r="X18">
        <v>112887750001</v>
      </c>
      <c r="Y18">
        <v>0</v>
      </c>
      <c r="Z18" s="4">
        <v>1030</v>
      </c>
      <c r="AA18">
        <v>2</v>
      </c>
      <c r="AB18">
        <v>0</v>
      </c>
      <c r="AC18">
        <v>0</v>
      </c>
      <c r="AD18">
        <v>0</v>
      </c>
      <c r="AG18">
        <v>0</v>
      </c>
      <c r="AP18">
        <v>11288775</v>
      </c>
      <c r="AQ18" t="s">
        <v>182</v>
      </c>
      <c r="AR18" t="s">
        <v>6643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69</v>
      </c>
      <c r="BD18" t="s">
        <v>183</v>
      </c>
      <c r="BE18">
        <v>0</v>
      </c>
      <c r="BG18" t="s">
        <v>182</v>
      </c>
      <c r="BJ18" t="s">
        <v>184</v>
      </c>
    </row>
    <row r="19" spans="1:62" x14ac:dyDescent="0.35">
      <c r="A19" t="s">
        <v>185</v>
      </c>
      <c r="B19">
        <v>10000</v>
      </c>
      <c r="C19">
        <v>10000</v>
      </c>
      <c r="D19" s="2">
        <v>45719</v>
      </c>
      <c r="E19" t="s">
        <v>61</v>
      </c>
      <c r="F19" t="s">
        <v>186</v>
      </c>
      <c r="G19" t="s">
        <v>187</v>
      </c>
      <c r="I19">
        <v>1</v>
      </c>
      <c r="J19" t="s">
        <v>63</v>
      </c>
      <c r="K19" s="8">
        <v>78</v>
      </c>
      <c r="L19" s="8" t="s">
        <v>6593</v>
      </c>
      <c r="M19" s="8" t="s">
        <v>6629</v>
      </c>
      <c r="N19" t="s">
        <v>188</v>
      </c>
      <c r="O19" t="s">
        <v>6410</v>
      </c>
      <c r="P19" s="4">
        <v>1667</v>
      </c>
      <c r="Q19">
        <f t="shared" si="2"/>
        <v>86.674999999999997</v>
      </c>
      <c r="R19">
        <f t="shared" si="3"/>
        <v>1.4445833333333333</v>
      </c>
      <c r="S19" s="2">
        <v>45717</v>
      </c>
      <c r="U19">
        <v>3</v>
      </c>
      <c r="V19" s="4">
        <v>5001</v>
      </c>
      <c r="W19" t="s">
        <v>65</v>
      </c>
      <c r="X19" t="s">
        <v>189</v>
      </c>
      <c r="Y19">
        <v>0</v>
      </c>
      <c r="Z19" s="4">
        <v>5000</v>
      </c>
      <c r="AA19">
        <v>1</v>
      </c>
      <c r="AB19">
        <v>0</v>
      </c>
      <c r="AC19">
        <v>0</v>
      </c>
      <c r="AD19">
        <v>0</v>
      </c>
      <c r="AG19">
        <v>0</v>
      </c>
      <c r="AP19" t="s">
        <v>190</v>
      </c>
      <c r="AQ19" t="s">
        <v>191</v>
      </c>
      <c r="AR19" t="s">
        <v>6644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C19" t="s">
        <v>69</v>
      </c>
      <c r="BD19" t="s">
        <v>192</v>
      </c>
      <c r="BE19">
        <v>0</v>
      </c>
      <c r="BG19" t="s">
        <v>191</v>
      </c>
      <c r="BJ19" t="s">
        <v>193</v>
      </c>
    </row>
    <row r="20" spans="1:62" x14ac:dyDescent="0.35">
      <c r="A20" t="s">
        <v>194</v>
      </c>
      <c r="B20">
        <v>10000</v>
      </c>
      <c r="C20">
        <v>10000</v>
      </c>
      <c r="D20" s="2">
        <v>45719</v>
      </c>
      <c r="E20" t="s">
        <v>61</v>
      </c>
      <c r="F20" t="s">
        <v>195</v>
      </c>
      <c r="G20" t="s">
        <v>196</v>
      </c>
      <c r="I20">
        <v>1</v>
      </c>
      <c r="J20" t="s">
        <v>63</v>
      </c>
      <c r="K20" s="8">
        <v>61</v>
      </c>
      <c r="L20" s="8" t="s">
        <v>6594</v>
      </c>
      <c r="M20" s="8" t="s">
        <v>6629</v>
      </c>
      <c r="N20" t="s">
        <v>197</v>
      </c>
      <c r="O20" t="s">
        <v>6565</v>
      </c>
      <c r="P20" s="4">
        <v>8334</v>
      </c>
      <c r="Q20">
        <f>(P20/50)+45</f>
        <v>211.68</v>
      </c>
      <c r="R20">
        <f>Q20/60</f>
        <v>3.528</v>
      </c>
      <c r="S20" s="2">
        <v>45717</v>
      </c>
      <c r="U20">
        <v>6</v>
      </c>
      <c r="V20" s="4">
        <v>50004</v>
      </c>
      <c r="W20" t="s">
        <v>65</v>
      </c>
      <c r="X20" t="s">
        <v>198</v>
      </c>
      <c r="Y20">
        <v>0</v>
      </c>
      <c r="Z20" s="4">
        <v>50000</v>
      </c>
      <c r="AA20">
        <v>4</v>
      </c>
      <c r="AB20">
        <v>0</v>
      </c>
      <c r="AC20">
        <v>0</v>
      </c>
      <c r="AD20">
        <v>0</v>
      </c>
      <c r="AG20">
        <v>0</v>
      </c>
      <c r="AP20" t="s">
        <v>199</v>
      </c>
      <c r="AQ20" t="s">
        <v>116</v>
      </c>
      <c r="AR20" t="s">
        <v>6639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C20" t="s">
        <v>69</v>
      </c>
      <c r="BD20" t="s">
        <v>200</v>
      </c>
      <c r="BE20">
        <v>0</v>
      </c>
      <c r="BG20" t="s">
        <v>116</v>
      </c>
      <c r="BJ20" t="s">
        <v>201</v>
      </c>
    </row>
    <row r="21" spans="1:62" x14ac:dyDescent="0.35">
      <c r="A21" t="s">
        <v>202</v>
      </c>
      <c r="B21">
        <v>10000</v>
      </c>
      <c r="C21">
        <v>10000</v>
      </c>
      <c r="D21" s="2">
        <v>45719</v>
      </c>
      <c r="E21" t="s">
        <v>61</v>
      </c>
      <c r="F21" t="s">
        <v>186</v>
      </c>
      <c r="G21" t="s">
        <v>203</v>
      </c>
      <c r="I21">
        <v>1</v>
      </c>
      <c r="J21" t="s">
        <v>63</v>
      </c>
      <c r="K21" s="8">
        <v>78</v>
      </c>
      <c r="L21" s="8" t="s">
        <v>6593</v>
      </c>
      <c r="M21" s="8" t="s">
        <v>6629</v>
      </c>
      <c r="N21" t="s">
        <v>188</v>
      </c>
      <c r="O21" t="s">
        <v>6410</v>
      </c>
      <c r="P21" s="4">
        <v>6000</v>
      </c>
      <c r="Q21">
        <f>(P21/40)+45</f>
        <v>195</v>
      </c>
      <c r="R21">
        <f>Q21/60</f>
        <v>3.25</v>
      </c>
      <c r="S21" s="2">
        <v>45717</v>
      </c>
      <c r="U21">
        <v>1</v>
      </c>
      <c r="V21" s="4">
        <v>6000</v>
      </c>
      <c r="W21" t="s">
        <v>65</v>
      </c>
      <c r="X21" t="s">
        <v>204</v>
      </c>
      <c r="Y21">
        <v>0</v>
      </c>
      <c r="Z21" s="4">
        <v>6000</v>
      </c>
      <c r="AA21">
        <v>0</v>
      </c>
      <c r="AB21">
        <v>0</v>
      </c>
      <c r="AC21">
        <v>0</v>
      </c>
      <c r="AD21">
        <v>0</v>
      </c>
      <c r="AG21">
        <v>0</v>
      </c>
      <c r="AP21" t="s">
        <v>205</v>
      </c>
      <c r="AQ21" t="s">
        <v>206</v>
      </c>
      <c r="AR21" t="s">
        <v>6645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C21" t="s">
        <v>69</v>
      </c>
      <c r="BD21" t="s">
        <v>207</v>
      </c>
      <c r="BE21">
        <v>0</v>
      </c>
      <c r="BG21" t="s">
        <v>206</v>
      </c>
      <c r="BJ21" t="s">
        <v>208</v>
      </c>
    </row>
    <row r="22" spans="1:62" x14ac:dyDescent="0.35">
      <c r="A22" t="s">
        <v>209</v>
      </c>
      <c r="B22">
        <v>10000</v>
      </c>
      <c r="C22">
        <v>20000</v>
      </c>
      <c r="D22" s="2">
        <v>45719</v>
      </c>
      <c r="E22" t="s">
        <v>61</v>
      </c>
      <c r="F22" t="s">
        <v>210</v>
      </c>
      <c r="G22" t="s">
        <v>134</v>
      </c>
      <c r="I22">
        <v>2</v>
      </c>
      <c r="J22" t="s">
        <v>63</v>
      </c>
      <c r="K22" s="8">
        <v>71</v>
      </c>
      <c r="L22" s="8" t="s">
        <v>6588</v>
      </c>
      <c r="M22" s="8" t="s">
        <v>6630</v>
      </c>
      <c r="N22" t="s">
        <v>135</v>
      </c>
      <c r="O22" t="s">
        <v>6573</v>
      </c>
      <c r="P22" s="4">
        <v>1667</v>
      </c>
      <c r="S22" s="2">
        <v>45717</v>
      </c>
      <c r="U22">
        <v>6</v>
      </c>
      <c r="V22" s="4">
        <v>10002</v>
      </c>
      <c r="W22" t="s">
        <v>65</v>
      </c>
      <c r="X22">
        <v>80834720001</v>
      </c>
      <c r="Y22">
        <v>0</v>
      </c>
      <c r="Z22" s="4">
        <v>10000</v>
      </c>
      <c r="AA22">
        <v>2</v>
      </c>
      <c r="AB22">
        <v>0</v>
      </c>
      <c r="AC22">
        <v>0</v>
      </c>
      <c r="AD22">
        <v>0</v>
      </c>
      <c r="AG22">
        <v>0</v>
      </c>
      <c r="AP22">
        <v>8083472</v>
      </c>
      <c r="AQ22" t="s">
        <v>91</v>
      </c>
      <c r="AR22" t="s">
        <v>6637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69</v>
      </c>
      <c r="BD22" t="s">
        <v>211</v>
      </c>
      <c r="BE22">
        <v>0</v>
      </c>
      <c r="BG22" t="s">
        <v>91</v>
      </c>
      <c r="BJ22" t="s">
        <v>212</v>
      </c>
    </row>
    <row r="23" spans="1:62" x14ac:dyDescent="0.35">
      <c r="A23" t="s">
        <v>213</v>
      </c>
      <c r="B23">
        <v>10000</v>
      </c>
      <c r="C23">
        <v>10000</v>
      </c>
      <c r="D23" s="2">
        <v>45719</v>
      </c>
      <c r="E23" t="s">
        <v>61</v>
      </c>
      <c r="F23" t="s">
        <v>214</v>
      </c>
      <c r="G23" t="s">
        <v>215</v>
      </c>
      <c r="I23">
        <v>1</v>
      </c>
      <c r="J23" t="s">
        <v>63</v>
      </c>
      <c r="K23" s="8">
        <v>61</v>
      </c>
      <c r="L23" s="8" t="s">
        <v>6594</v>
      </c>
      <c r="M23" s="8" t="s">
        <v>6629</v>
      </c>
      <c r="N23" t="s">
        <v>216</v>
      </c>
      <c r="O23" t="s">
        <v>6394</v>
      </c>
      <c r="P23" s="4">
        <v>1250</v>
      </c>
      <c r="Q23">
        <f>(P23/50)+45</f>
        <v>70</v>
      </c>
      <c r="R23">
        <f>Q23/60</f>
        <v>1.1666666666666667</v>
      </c>
      <c r="S23" s="2">
        <v>45717</v>
      </c>
      <c r="U23">
        <v>8</v>
      </c>
      <c r="V23" s="4">
        <v>10000</v>
      </c>
      <c r="W23" t="s">
        <v>65</v>
      </c>
      <c r="X23" t="s">
        <v>217</v>
      </c>
      <c r="Y23">
        <v>0</v>
      </c>
      <c r="Z23" s="4">
        <v>10000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218</v>
      </c>
      <c r="AQ23" t="s">
        <v>206</v>
      </c>
      <c r="AR23" t="s">
        <v>6645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C23" t="s">
        <v>69</v>
      </c>
      <c r="BD23" t="s">
        <v>219</v>
      </c>
      <c r="BE23">
        <v>0</v>
      </c>
      <c r="BG23" t="s">
        <v>206</v>
      </c>
      <c r="BJ23" t="s">
        <v>220</v>
      </c>
    </row>
    <row r="24" spans="1:62" x14ac:dyDescent="0.35">
      <c r="A24" t="s">
        <v>221</v>
      </c>
      <c r="B24">
        <v>10000</v>
      </c>
      <c r="C24">
        <v>10000</v>
      </c>
      <c r="D24" s="2">
        <v>45719</v>
      </c>
      <c r="E24" t="s">
        <v>61</v>
      </c>
      <c r="F24" t="s">
        <v>222</v>
      </c>
      <c r="G24" t="s">
        <v>180</v>
      </c>
      <c r="I24">
        <v>1</v>
      </c>
      <c r="J24" t="s">
        <v>63</v>
      </c>
      <c r="K24" s="8">
        <v>59</v>
      </c>
      <c r="L24" s="8" t="s">
        <v>6592</v>
      </c>
      <c r="M24" s="8" t="s">
        <v>6629</v>
      </c>
      <c r="N24" t="s">
        <v>181</v>
      </c>
      <c r="O24" t="s">
        <v>6544</v>
      </c>
      <c r="P24" s="4">
        <v>2130</v>
      </c>
      <c r="Q24">
        <f>(P24/40)+45</f>
        <v>98.25</v>
      </c>
      <c r="R24">
        <f>Q24/60</f>
        <v>1.6375</v>
      </c>
      <c r="S24" s="2">
        <v>45717</v>
      </c>
      <c r="U24">
        <v>2</v>
      </c>
      <c r="V24" s="4">
        <v>4260</v>
      </c>
      <c r="W24" t="s">
        <v>65</v>
      </c>
      <c r="X24">
        <v>150281190001</v>
      </c>
      <c r="Y24">
        <v>0</v>
      </c>
      <c r="Z24" s="4">
        <v>4260</v>
      </c>
      <c r="AA24">
        <v>0</v>
      </c>
      <c r="AB24">
        <v>0</v>
      </c>
      <c r="AC24">
        <v>0</v>
      </c>
      <c r="AD24">
        <v>0</v>
      </c>
      <c r="AG24">
        <v>0</v>
      </c>
      <c r="AP24">
        <v>15028119</v>
      </c>
      <c r="AQ24" t="s">
        <v>182</v>
      </c>
      <c r="AR24" t="s">
        <v>6643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C24" t="s">
        <v>69</v>
      </c>
      <c r="BD24" t="s">
        <v>223</v>
      </c>
      <c r="BE24">
        <v>0</v>
      </c>
      <c r="BG24" t="s">
        <v>182</v>
      </c>
      <c r="BJ24" t="s">
        <v>224</v>
      </c>
    </row>
    <row r="25" spans="1:62" x14ac:dyDescent="0.35">
      <c r="A25" t="s">
        <v>225</v>
      </c>
      <c r="B25">
        <v>10000</v>
      </c>
      <c r="C25">
        <v>30000</v>
      </c>
      <c r="D25" s="2">
        <v>45720</v>
      </c>
      <c r="E25" t="s">
        <v>61</v>
      </c>
      <c r="F25" t="s">
        <v>226</v>
      </c>
      <c r="G25" t="s">
        <v>227</v>
      </c>
      <c r="I25">
        <v>3</v>
      </c>
      <c r="J25" t="s">
        <v>63</v>
      </c>
      <c r="K25" s="8">
        <v>73</v>
      </c>
      <c r="L25" s="8" t="s">
        <v>6586</v>
      </c>
      <c r="M25" s="8" t="s">
        <v>6627</v>
      </c>
      <c r="N25" t="s">
        <v>228</v>
      </c>
      <c r="O25" t="s">
        <v>6574</v>
      </c>
      <c r="P25" s="4">
        <v>207000</v>
      </c>
      <c r="Q25">
        <f>(P25/60)+45</f>
        <v>3495</v>
      </c>
      <c r="R25">
        <f>Q25/60</f>
        <v>58.25</v>
      </c>
      <c r="S25" s="2">
        <v>45717</v>
      </c>
      <c r="U25">
        <v>1</v>
      </c>
      <c r="V25" s="4">
        <v>207000</v>
      </c>
      <c r="W25" t="s">
        <v>65</v>
      </c>
      <c r="X25">
        <v>150370360001</v>
      </c>
      <c r="Y25">
        <v>0</v>
      </c>
      <c r="Z25" s="4">
        <v>122826</v>
      </c>
      <c r="AA25" s="4">
        <v>84174</v>
      </c>
      <c r="AB25">
        <v>0</v>
      </c>
      <c r="AC25">
        <v>0</v>
      </c>
      <c r="AD25">
        <v>0</v>
      </c>
      <c r="AG25">
        <v>0</v>
      </c>
      <c r="AP25">
        <v>15037036</v>
      </c>
      <c r="AQ25" t="s">
        <v>182</v>
      </c>
      <c r="AR25" t="s">
        <v>6643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C25" t="s">
        <v>69</v>
      </c>
      <c r="BD25" t="s">
        <v>229</v>
      </c>
      <c r="BE25">
        <v>0</v>
      </c>
      <c r="BG25" t="s">
        <v>182</v>
      </c>
      <c r="BJ25" t="s">
        <v>230</v>
      </c>
    </row>
    <row r="26" spans="1:62" x14ac:dyDescent="0.35">
      <c r="A26" t="s">
        <v>231</v>
      </c>
      <c r="B26">
        <v>10000</v>
      </c>
      <c r="C26">
        <v>20000</v>
      </c>
      <c r="D26" s="2">
        <v>45719</v>
      </c>
      <c r="E26" t="s">
        <v>61</v>
      </c>
      <c r="F26" t="s">
        <v>232</v>
      </c>
      <c r="G26" t="s">
        <v>134</v>
      </c>
      <c r="I26">
        <v>2</v>
      </c>
      <c r="J26" t="s">
        <v>63</v>
      </c>
      <c r="K26" s="8">
        <v>71</v>
      </c>
      <c r="L26" s="8" t="s">
        <v>6588</v>
      </c>
      <c r="M26" s="8" t="s">
        <v>6630</v>
      </c>
      <c r="N26" t="s">
        <v>135</v>
      </c>
      <c r="O26" t="s">
        <v>6573</v>
      </c>
      <c r="P26">
        <v>834</v>
      </c>
      <c r="S26" s="2">
        <v>45717</v>
      </c>
      <c r="U26">
        <v>6</v>
      </c>
      <c r="V26" s="4">
        <v>5004</v>
      </c>
      <c r="W26" t="s">
        <v>65</v>
      </c>
      <c r="X26">
        <v>5000582250001</v>
      </c>
      <c r="Y26">
        <v>0</v>
      </c>
      <c r="Z26" s="4">
        <v>5000</v>
      </c>
      <c r="AA26">
        <v>4</v>
      </c>
      <c r="AB26">
        <v>0</v>
      </c>
      <c r="AC26">
        <v>0</v>
      </c>
      <c r="AD26">
        <v>0</v>
      </c>
      <c r="AG26">
        <v>0</v>
      </c>
      <c r="AP26">
        <v>500058225</v>
      </c>
      <c r="AQ26" t="s">
        <v>91</v>
      </c>
      <c r="AR26" t="s">
        <v>6637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C26" t="s">
        <v>69</v>
      </c>
      <c r="BD26" t="s">
        <v>233</v>
      </c>
      <c r="BE26">
        <v>0</v>
      </c>
      <c r="BG26" t="s">
        <v>91</v>
      </c>
      <c r="BJ26" t="s">
        <v>234</v>
      </c>
    </row>
    <row r="27" spans="1:62" x14ac:dyDescent="0.35">
      <c r="A27" t="s">
        <v>235</v>
      </c>
      <c r="B27">
        <v>10000</v>
      </c>
      <c r="C27">
        <v>20000</v>
      </c>
      <c r="D27" s="2">
        <v>45719</v>
      </c>
      <c r="E27" t="s">
        <v>61</v>
      </c>
      <c r="F27" t="s">
        <v>236</v>
      </c>
      <c r="G27" t="s">
        <v>134</v>
      </c>
      <c r="I27">
        <v>2</v>
      </c>
      <c r="J27" t="s">
        <v>63</v>
      </c>
      <c r="K27" s="8">
        <v>71</v>
      </c>
      <c r="L27" s="8" t="s">
        <v>6588</v>
      </c>
      <c r="M27" s="8" t="s">
        <v>6630</v>
      </c>
      <c r="N27" t="s">
        <v>135</v>
      </c>
      <c r="O27" t="s">
        <v>6573</v>
      </c>
      <c r="P27">
        <v>834</v>
      </c>
      <c r="S27" s="2">
        <v>45717</v>
      </c>
      <c r="U27">
        <v>6</v>
      </c>
      <c r="V27" s="4">
        <v>5004</v>
      </c>
      <c r="W27" t="s">
        <v>65</v>
      </c>
      <c r="X27">
        <v>5000596240001</v>
      </c>
      <c r="Y27">
        <v>0</v>
      </c>
      <c r="Z27" s="4">
        <v>5000</v>
      </c>
      <c r="AA27">
        <v>4</v>
      </c>
      <c r="AB27">
        <v>0</v>
      </c>
      <c r="AC27">
        <v>0</v>
      </c>
      <c r="AD27">
        <v>0</v>
      </c>
      <c r="AG27">
        <v>0</v>
      </c>
      <c r="AP27">
        <v>500059624</v>
      </c>
      <c r="AQ27" t="s">
        <v>91</v>
      </c>
      <c r="AR27" t="s">
        <v>6637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C27" t="s">
        <v>69</v>
      </c>
      <c r="BD27" t="s">
        <v>237</v>
      </c>
      <c r="BE27">
        <v>0</v>
      </c>
      <c r="BG27" t="s">
        <v>91</v>
      </c>
      <c r="BJ27" t="s">
        <v>234</v>
      </c>
    </row>
    <row r="28" spans="1:62" x14ac:dyDescent="0.35">
      <c r="A28" t="s">
        <v>238</v>
      </c>
      <c r="B28">
        <v>10000</v>
      </c>
      <c r="C28">
        <v>20000</v>
      </c>
      <c r="D28" s="2">
        <v>45719</v>
      </c>
      <c r="E28" t="s">
        <v>95</v>
      </c>
      <c r="F28" t="s">
        <v>239</v>
      </c>
      <c r="G28" t="s">
        <v>240</v>
      </c>
      <c r="I28">
        <v>2</v>
      </c>
      <c r="J28" t="s">
        <v>63</v>
      </c>
      <c r="K28" s="8">
        <v>86</v>
      </c>
      <c r="L28" s="8" t="s">
        <v>6584</v>
      </c>
      <c r="M28" s="8" t="s">
        <v>6627</v>
      </c>
      <c r="N28" t="s">
        <v>64</v>
      </c>
      <c r="O28" t="s">
        <v>6559</v>
      </c>
      <c r="P28" s="4">
        <v>1400</v>
      </c>
      <c r="Q28">
        <f>(P28/60)+45</f>
        <v>68.333333333333329</v>
      </c>
      <c r="R28">
        <f>Q28/60</f>
        <v>1.1388888888888888</v>
      </c>
      <c r="S28" s="2">
        <v>45717</v>
      </c>
      <c r="U28">
        <v>1</v>
      </c>
      <c r="V28" s="4">
        <v>1400</v>
      </c>
      <c r="W28" t="s">
        <v>65</v>
      </c>
      <c r="X28" t="s">
        <v>241</v>
      </c>
      <c r="Y28">
        <v>0</v>
      </c>
      <c r="Z28" s="4">
        <v>1000</v>
      </c>
      <c r="AA28">
        <v>400</v>
      </c>
      <c r="AB28">
        <v>0</v>
      </c>
      <c r="AC28">
        <v>0</v>
      </c>
      <c r="AD28">
        <v>0</v>
      </c>
      <c r="AG28">
        <v>0</v>
      </c>
      <c r="AP28" t="s">
        <v>242</v>
      </c>
      <c r="AQ28" t="s">
        <v>243</v>
      </c>
      <c r="AR28" t="s">
        <v>6646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C28" t="s">
        <v>69</v>
      </c>
      <c r="BD28" t="s">
        <v>244</v>
      </c>
      <c r="BE28">
        <v>0</v>
      </c>
      <c r="BG28" t="s">
        <v>243</v>
      </c>
      <c r="BJ28" t="s">
        <v>245</v>
      </c>
    </row>
    <row r="29" spans="1:62" x14ac:dyDescent="0.35">
      <c r="A29" t="s">
        <v>246</v>
      </c>
      <c r="B29">
        <v>10000</v>
      </c>
      <c r="C29">
        <v>10000</v>
      </c>
      <c r="D29" s="2">
        <v>45719</v>
      </c>
      <c r="E29" t="s">
        <v>61</v>
      </c>
      <c r="F29" t="s">
        <v>247</v>
      </c>
      <c r="G29" t="s">
        <v>248</v>
      </c>
      <c r="I29">
        <v>1</v>
      </c>
      <c r="J29" t="s">
        <v>63</v>
      </c>
      <c r="K29" s="8">
        <v>29</v>
      </c>
      <c r="L29" s="8" t="s">
        <v>6595</v>
      </c>
      <c r="M29" s="8" t="s">
        <v>6629</v>
      </c>
      <c r="N29" t="s">
        <v>249</v>
      </c>
      <c r="O29" t="s">
        <v>6500</v>
      </c>
      <c r="P29" s="4">
        <v>24000</v>
      </c>
      <c r="Q29">
        <f t="shared" ref="Q29:Q30" si="4">(P29/40)+45</f>
        <v>645</v>
      </c>
      <c r="R29">
        <f t="shared" ref="R29:R30" si="5">Q29/60</f>
        <v>10.75</v>
      </c>
      <c r="S29" s="2">
        <v>45717</v>
      </c>
      <c r="U29">
        <v>2</v>
      </c>
      <c r="V29" s="4">
        <v>48000</v>
      </c>
      <c r="W29" t="s">
        <v>65</v>
      </c>
      <c r="X29" t="s">
        <v>250</v>
      </c>
      <c r="Y29">
        <v>0</v>
      </c>
      <c r="Z29" s="4">
        <v>48000</v>
      </c>
      <c r="AA29">
        <v>0</v>
      </c>
      <c r="AB29">
        <v>0</v>
      </c>
      <c r="AC29">
        <v>0</v>
      </c>
      <c r="AD29">
        <v>0</v>
      </c>
      <c r="AG29">
        <v>0</v>
      </c>
      <c r="AP29" t="s">
        <v>251</v>
      </c>
      <c r="AQ29" t="s">
        <v>175</v>
      </c>
      <c r="AR29" t="s">
        <v>6642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C29" t="s">
        <v>69</v>
      </c>
      <c r="BD29" t="s">
        <v>252</v>
      </c>
      <c r="BE29">
        <v>0</v>
      </c>
      <c r="BG29" t="s">
        <v>175</v>
      </c>
      <c r="BJ29" t="s">
        <v>253</v>
      </c>
    </row>
    <row r="30" spans="1:62" x14ac:dyDescent="0.35">
      <c r="A30" t="s">
        <v>254</v>
      </c>
      <c r="B30">
        <v>10000</v>
      </c>
      <c r="C30">
        <v>10000</v>
      </c>
      <c r="D30" s="2">
        <v>45719</v>
      </c>
      <c r="E30" t="s">
        <v>61</v>
      </c>
      <c r="F30" t="s">
        <v>222</v>
      </c>
      <c r="G30" t="s">
        <v>180</v>
      </c>
      <c r="I30">
        <v>1</v>
      </c>
      <c r="J30" t="s">
        <v>63</v>
      </c>
      <c r="K30" s="8">
        <v>59</v>
      </c>
      <c r="L30" s="8" t="s">
        <v>6592</v>
      </c>
      <c r="M30" s="8" t="s">
        <v>6629</v>
      </c>
      <c r="N30" t="s">
        <v>181</v>
      </c>
      <c r="O30" t="s">
        <v>6544</v>
      </c>
      <c r="P30">
        <v>258</v>
      </c>
      <c r="Q30">
        <f t="shared" si="4"/>
        <v>51.45</v>
      </c>
      <c r="R30">
        <f t="shared" si="5"/>
        <v>0.85750000000000004</v>
      </c>
      <c r="S30" s="2">
        <v>45717</v>
      </c>
      <c r="U30">
        <v>4</v>
      </c>
      <c r="V30" s="4">
        <v>1032</v>
      </c>
      <c r="W30" t="s">
        <v>65</v>
      </c>
      <c r="X30">
        <v>112887410001</v>
      </c>
      <c r="Y30">
        <v>0</v>
      </c>
      <c r="Z30" s="4">
        <v>1030</v>
      </c>
      <c r="AA30">
        <v>2</v>
      </c>
      <c r="AB30">
        <v>0</v>
      </c>
      <c r="AC30">
        <v>0</v>
      </c>
      <c r="AD30">
        <v>0</v>
      </c>
      <c r="AG30">
        <v>0</v>
      </c>
      <c r="AP30">
        <v>11288741</v>
      </c>
      <c r="AQ30" t="s">
        <v>182</v>
      </c>
      <c r="AR30" t="s">
        <v>6643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C30" t="s">
        <v>69</v>
      </c>
      <c r="BD30" t="s">
        <v>255</v>
      </c>
      <c r="BE30">
        <v>0</v>
      </c>
      <c r="BG30" t="s">
        <v>182</v>
      </c>
      <c r="BJ30" t="s">
        <v>256</v>
      </c>
    </row>
    <row r="31" spans="1:62" x14ac:dyDescent="0.35">
      <c r="A31" t="s">
        <v>258</v>
      </c>
      <c r="B31">
        <v>10000</v>
      </c>
      <c r="C31">
        <v>10000</v>
      </c>
      <c r="D31" s="2">
        <v>45719</v>
      </c>
      <c r="E31" t="s">
        <v>61</v>
      </c>
      <c r="F31" t="s">
        <v>259</v>
      </c>
      <c r="G31" t="s">
        <v>260</v>
      </c>
      <c r="I31">
        <v>1</v>
      </c>
      <c r="J31" t="s">
        <v>63</v>
      </c>
      <c r="K31" s="8">
        <v>86</v>
      </c>
      <c r="L31" s="8" t="s">
        <v>6584</v>
      </c>
      <c r="M31" s="8" t="s">
        <v>6627</v>
      </c>
      <c r="N31" t="s">
        <v>64</v>
      </c>
      <c r="O31" t="s">
        <v>6559</v>
      </c>
      <c r="P31">
        <v>632</v>
      </c>
      <c r="Q31">
        <f>(P31/60)+45</f>
        <v>55.533333333333331</v>
      </c>
      <c r="R31">
        <f>Q31/60</f>
        <v>0.92555555555555558</v>
      </c>
      <c r="S31" s="2">
        <v>45719</v>
      </c>
      <c r="U31">
        <v>8</v>
      </c>
      <c r="V31" s="4">
        <v>5056</v>
      </c>
      <c r="W31" t="s">
        <v>65</v>
      </c>
      <c r="X31" t="s">
        <v>261</v>
      </c>
      <c r="Y31">
        <v>0</v>
      </c>
      <c r="Z31" s="4">
        <v>5050</v>
      </c>
      <c r="AA31">
        <v>6</v>
      </c>
      <c r="AB31">
        <v>0</v>
      </c>
      <c r="AC31">
        <v>0</v>
      </c>
      <c r="AD31">
        <v>0</v>
      </c>
      <c r="AG31">
        <v>0</v>
      </c>
      <c r="AP31" t="s">
        <v>262</v>
      </c>
      <c r="AQ31" t="s">
        <v>263</v>
      </c>
      <c r="AR31" t="s">
        <v>6647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C31" t="s">
        <v>69</v>
      </c>
      <c r="BD31" t="s">
        <v>264</v>
      </c>
      <c r="BE31">
        <v>0</v>
      </c>
      <c r="BG31" t="s">
        <v>263</v>
      </c>
      <c r="BJ31" t="s">
        <v>265</v>
      </c>
    </row>
    <row r="32" spans="1:62" x14ac:dyDescent="0.35">
      <c r="A32" t="s">
        <v>266</v>
      </c>
      <c r="B32">
        <v>10000</v>
      </c>
      <c r="C32">
        <v>10000</v>
      </c>
      <c r="D32" s="2">
        <v>45719</v>
      </c>
      <c r="E32" t="s">
        <v>95</v>
      </c>
      <c r="F32" t="s">
        <v>96</v>
      </c>
      <c r="G32" t="s">
        <v>267</v>
      </c>
      <c r="I32">
        <v>1</v>
      </c>
      <c r="J32" t="s">
        <v>63</v>
      </c>
      <c r="K32" s="8">
        <v>65</v>
      </c>
      <c r="L32" s="8" t="s">
        <v>6596</v>
      </c>
      <c r="M32" s="8" t="s">
        <v>6630</v>
      </c>
      <c r="N32" t="s">
        <v>268</v>
      </c>
      <c r="O32" t="s">
        <v>6543</v>
      </c>
      <c r="P32" s="4">
        <v>18000</v>
      </c>
      <c r="Q32">
        <f>(P32/40)+45</f>
        <v>495</v>
      </c>
      <c r="R32">
        <f>Q32/60</f>
        <v>8.25</v>
      </c>
      <c r="S32" s="2">
        <v>45719</v>
      </c>
      <c r="U32">
        <v>12</v>
      </c>
      <c r="V32" s="4">
        <v>216000</v>
      </c>
      <c r="W32" t="s">
        <v>65</v>
      </c>
      <c r="X32" t="s">
        <v>269</v>
      </c>
      <c r="Y32">
        <v>0</v>
      </c>
      <c r="Z32" s="4">
        <v>216000</v>
      </c>
      <c r="AA32">
        <v>0</v>
      </c>
      <c r="AB32">
        <v>0</v>
      </c>
      <c r="AC32">
        <v>0</v>
      </c>
      <c r="AD32">
        <v>0</v>
      </c>
      <c r="AG32">
        <v>0</v>
      </c>
      <c r="AP32" t="s">
        <v>270</v>
      </c>
      <c r="AQ32" t="s">
        <v>271</v>
      </c>
      <c r="AR32" t="s">
        <v>6648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C32" t="s">
        <v>69</v>
      </c>
      <c r="BD32" t="s">
        <v>272</v>
      </c>
      <c r="BE32">
        <v>0</v>
      </c>
      <c r="BG32" t="s">
        <v>271</v>
      </c>
      <c r="BJ32" t="s">
        <v>273</v>
      </c>
    </row>
    <row r="33" spans="1:62" x14ac:dyDescent="0.35">
      <c r="A33" t="s">
        <v>274</v>
      </c>
      <c r="B33">
        <v>10000</v>
      </c>
      <c r="C33">
        <v>20000</v>
      </c>
      <c r="D33" s="2">
        <v>45720</v>
      </c>
      <c r="E33" t="s">
        <v>61</v>
      </c>
      <c r="F33" t="s">
        <v>275</v>
      </c>
      <c r="G33" t="s">
        <v>276</v>
      </c>
      <c r="I33">
        <v>1</v>
      </c>
      <c r="J33" t="s">
        <v>63</v>
      </c>
      <c r="K33" s="8">
        <v>60</v>
      </c>
      <c r="L33" s="8" t="s">
        <v>6590</v>
      </c>
      <c r="M33" s="8" t="s">
        <v>6630</v>
      </c>
      <c r="N33" t="s">
        <v>277</v>
      </c>
      <c r="O33" t="s">
        <v>6554</v>
      </c>
      <c r="P33" s="4">
        <v>6000</v>
      </c>
      <c r="Q33">
        <f>(P33/50)+45</f>
        <v>165</v>
      </c>
      <c r="R33">
        <f>Q33/60</f>
        <v>2.75</v>
      </c>
      <c r="S33" s="2">
        <v>45719</v>
      </c>
      <c r="U33">
        <v>1</v>
      </c>
      <c r="V33" s="4">
        <v>6000</v>
      </c>
      <c r="W33" t="s">
        <v>65</v>
      </c>
      <c r="X33" t="s">
        <v>278</v>
      </c>
      <c r="Y33">
        <v>0</v>
      </c>
      <c r="Z33" s="4">
        <v>6000</v>
      </c>
      <c r="AA33">
        <v>0</v>
      </c>
      <c r="AB33">
        <v>0</v>
      </c>
      <c r="AC33">
        <v>0</v>
      </c>
      <c r="AD33">
        <v>0</v>
      </c>
      <c r="AG33">
        <v>0</v>
      </c>
      <c r="AP33" t="s">
        <v>279</v>
      </c>
      <c r="AQ33" t="s">
        <v>280</v>
      </c>
      <c r="AR33" t="s">
        <v>6649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C33" t="s">
        <v>69</v>
      </c>
      <c r="BD33" t="s">
        <v>281</v>
      </c>
      <c r="BE33">
        <v>0</v>
      </c>
      <c r="BG33" t="s">
        <v>280</v>
      </c>
      <c r="BJ33" t="s">
        <v>282</v>
      </c>
    </row>
    <row r="34" spans="1:62" x14ac:dyDescent="0.35">
      <c r="A34" t="s">
        <v>283</v>
      </c>
      <c r="B34">
        <v>10000</v>
      </c>
      <c r="C34">
        <v>20000</v>
      </c>
      <c r="D34" s="2">
        <v>45719</v>
      </c>
      <c r="E34" t="s">
        <v>61</v>
      </c>
      <c r="F34" t="s">
        <v>284</v>
      </c>
      <c r="G34" t="s">
        <v>285</v>
      </c>
      <c r="I34">
        <v>1</v>
      </c>
      <c r="J34" t="s">
        <v>63</v>
      </c>
      <c r="K34" s="8">
        <v>111</v>
      </c>
      <c r="L34" s="8" t="s">
        <v>6597</v>
      </c>
      <c r="M34" s="8" t="s">
        <v>6627</v>
      </c>
      <c r="N34" t="s">
        <v>286</v>
      </c>
      <c r="O34" t="s">
        <v>6560</v>
      </c>
      <c r="P34" s="4">
        <v>15000</v>
      </c>
      <c r="Q34">
        <f>(P34/60)+45</f>
        <v>295</v>
      </c>
      <c r="R34">
        <f>Q34/60</f>
        <v>4.916666666666667</v>
      </c>
      <c r="S34" s="2">
        <v>45719</v>
      </c>
      <c r="U34">
        <v>10</v>
      </c>
      <c r="V34" s="4">
        <v>150000</v>
      </c>
      <c r="W34" t="s">
        <v>65</v>
      </c>
      <c r="X34" t="s">
        <v>287</v>
      </c>
      <c r="Y34">
        <v>0</v>
      </c>
      <c r="Z34" s="4">
        <v>150000</v>
      </c>
      <c r="AA34">
        <v>0</v>
      </c>
      <c r="AB34">
        <v>0</v>
      </c>
      <c r="AC34">
        <v>0</v>
      </c>
      <c r="AD34">
        <v>0</v>
      </c>
      <c r="AG34">
        <v>0</v>
      </c>
      <c r="AP34" t="s">
        <v>288</v>
      </c>
      <c r="AQ34" t="s">
        <v>289</v>
      </c>
      <c r="AR34" t="s">
        <v>6650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C34" t="s">
        <v>69</v>
      </c>
      <c r="BD34" t="s">
        <v>290</v>
      </c>
      <c r="BE34">
        <v>0</v>
      </c>
      <c r="BG34" t="s">
        <v>289</v>
      </c>
      <c r="BJ34" t="s">
        <v>291</v>
      </c>
    </row>
    <row r="35" spans="1:62" x14ac:dyDescent="0.35">
      <c r="A35" t="s">
        <v>292</v>
      </c>
      <c r="B35">
        <v>10000</v>
      </c>
      <c r="C35">
        <v>20000</v>
      </c>
      <c r="D35" s="2">
        <v>45749</v>
      </c>
      <c r="E35" t="s">
        <v>61</v>
      </c>
      <c r="F35" t="s">
        <v>293</v>
      </c>
      <c r="G35" t="s">
        <v>294</v>
      </c>
      <c r="I35">
        <v>1</v>
      </c>
      <c r="J35" t="s">
        <v>63</v>
      </c>
      <c r="K35" s="8">
        <v>79</v>
      </c>
      <c r="L35" t="s">
        <v>6608</v>
      </c>
      <c r="M35" s="8" t="s">
        <v>6631</v>
      </c>
      <c r="N35" t="s">
        <v>296</v>
      </c>
      <c r="O35" t="s">
        <v>6550</v>
      </c>
      <c r="P35" s="4">
        <v>10093</v>
      </c>
      <c r="S35" s="2">
        <v>45719</v>
      </c>
      <c r="U35">
        <v>108</v>
      </c>
      <c r="V35" s="4">
        <v>1090044</v>
      </c>
      <c r="W35" t="s">
        <v>65</v>
      </c>
      <c r="X35" t="s">
        <v>66</v>
      </c>
      <c r="Y35">
        <v>0</v>
      </c>
      <c r="Z35" s="4">
        <v>1000000</v>
      </c>
      <c r="AA35" s="4">
        <v>90044</v>
      </c>
      <c r="AB35">
        <v>0</v>
      </c>
      <c r="AC35">
        <v>0</v>
      </c>
      <c r="AD35">
        <v>0</v>
      </c>
      <c r="AG35">
        <v>0</v>
      </c>
      <c r="AP35" t="s">
        <v>67</v>
      </c>
      <c r="AQ35" t="s">
        <v>68</v>
      </c>
      <c r="AR35" t="s">
        <v>6636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C35" t="s">
        <v>69</v>
      </c>
      <c r="BD35" t="s">
        <v>297</v>
      </c>
      <c r="BE35">
        <v>0</v>
      </c>
      <c r="BG35" t="s">
        <v>68</v>
      </c>
      <c r="BJ35" t="s">
        <v>298</v>
      </c>
    </row>
    <row r="36" spans="1:62" x14ac:dyDescent="0.35">
      <c r="A36" t="s">
        <v>299</v>
      </c>
      <c r="B36">
        <v>10000</v>
      </c>
      <c r="C36">
        <v>10000</v>
      </c>
      <c r="D36" s="2">
        <v>45723</v>
      </c>
      <c r="E36" t="s">
        <v>61</v>
      </c>
      <c r="F36" s="3">
        <v>0.47342592592592592</v>
      </c>
      <c r="G36" t="s">
        <v>300</v>
      </c>
      <c r="I36">
        <v>1</v>
      </c>
      <c r="J36" t="s">
        <v>63</v>
      </c>
      <c r="K36" s="8">
        <v>111</v>
      </c>
      <c r="L36" s="8" t="s">
        <v>6597</v>
      </c>
      <c r="M36" s="8" t="s">
        <v>6627</v>
      </c>
      <c r="N36" t="s">
        <v>286</v>
      </c>
      <c r="O36" t="s">
        <v>6560</v>
      </c>
      <c r="P36" s="4">
        <v>60000</v>
      </c>
      <c r="Q36">
        <f t="shared" ref="Q36:Q37" si="6">(P36/60)+45</f>
        <v>1045</v>
      </c>
      <c r="R36">
        <f t="shared" ref="R36:R37" si="7">Q36/60</f>
        <v>17.416666666666668</v>
      </c>
      <c r="S36" s="2">
        <v>45719</v>
      </c>
      <c r="U36">
        <v>10</v>
      </c>
      <c r="V36" s="4">
        <v>600000</v>
      </c>
      <c r="W36" t="s">
        <v>65</v>
      </c>
      <c r="X36" t="s">
        <v>287</v>
      </c>
      <c r="Y36">
        <v>0</v>
      </c>
      <c r="Z36" s="4">
        <v>600000</v>
      </c>
      <c r="AA36">
        <v>0</v>
      </c>
      <c r="AB36">
        <v>0</v>
      </c>
      <c r="AC36">
        <v>0</v>
      </c>
      <c r="AD36">
        <v>0</v>
      </c>
      <c r="AG36">
        <v>0</v>
      </c>
      <c r="AP36" t="s">
        <v>288</v>
      </c>
      <c r="AQ36" t="s">
        <v>289</v>
      </c>
      <c r="AR36" t="s">
        <v>6650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C36" t="s">
        <v>69</v>
      </c>
      <c r="BD36" t="s">
        <v>301</v>
      </c>
      <c r="BE36">
        <v>0</v>
      </c>
      <c r="BG36" t="s">
        <v>289</v>
      </c>
      <c r="BJ36" t="s">
        <v>302</v>
      </c>
    </row>
    <row r="37" spans="1:62" x14ac:dyDescent="0.35">
      <c r="A37" t="s">
        <v>303</v>
      </c>
      <c r="B37">
        <v>10000</v>
      </c>
      <c r="C37">
        <v>10000</v>
      </c>
      <c r="D37" s="2">
        <v>45719</v>
      </c>
      <c r="E37" t="s">
        <v>61</v>
      </c>
      <c r="F37" t="s">
        <v>259</v>
      </c>
      <c r="G37" t="s">
        <v>304</v>
      </c>
      <c r="I37">
        <v>1</v>
      </c>
      <c r="J37" t="s">
        <v>63</v>
      </c>
      <c r="K37" s="8">
        <v>73</v>
      </c>
      <c r="L37" s="8" t="s">
        <v>6586</v>
      </c>
      <c r="M37" s="8" t="s">
        <v>6627</v>
      </c>
      <c r="N37" t="s">
        <v>90</v>
      </c>
      <c r="O37" t="s">
        <v>6564</v>
      </c>
      <c r="P37" s="4">
        <v>10500</v>
      </c>
      <c r="Q37">
        <f t="shared" si="6"/>
        <v>220</v>
      </c>
      <c r="R37">
        <f t="shared" si="7"/>
        <v>3.6666666666666665</v>
      </c>
      <c r="S37" s="2">
        <v>45719</v>
      </c>
      <c r="U37">
        <v>8</v>
      </c>
      <c r="V37" s="4">
        <v>84000</v>
      </c>
      <c r="W37" t="s">
        <v>65</v>
      </c>
      <c r="X37" t="s">
        <v>305</v>
      </c>
      <c r="Y37">
        <v>0</v>
      </c>
      <c r="Z37" s="4">
        <v>84000</v>
      </c>
      <c r="AA37">
        <v>0</v>
      </c>
      <c r="AB37">
        <v>0</v>
      </c>
      <c r="AC37">
        <v>0</v>
      </c>
      <c r="AD37">
        <v>0</v>
      </c>
      <c r="AG37">
        <v>0</v>
      </c>
      <c r="AP37" t="s">
        <v>306</v>
      </c>
      <c r="AQ37" t="s">
        <v>271</v>
      </c>
      <c r="AR37" t="s">
        <v>6648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C37" t="s">
        <v>69</v>
      </c>
      <c r="BD37" t="s">
        <v>307</v>
      </c>
      <c r="BE37">
        <v>0</v>
      </c>
      <c r="BG37" t="s">
        <v>271</v>
      </c>
      <c r="BJ37" t="s">
        <v>308</v>
      </c>
    </row>
    <row r="38" spans="1:62" x14ac:dyDescent="0.35">
      <c r="A38" t="s">
        <v>309</v>
      </c>
      <c r="B38">
        <v>10000</v>
      </c>
      <c r="C38">
        <v>10000</v>
      </c>
      <c r="D38" s="2">
        <v>45719</v>
      </c>
      <c r="E38" t="s">
        <v>95</v>
      </c>
      <c r="F38" t="s">
        <v>310</v>
      </c>
      <c r="G38" t="s">
        <v>180</v>
      </c>
      <c r="I38">
        <v>1</v>
      </c>
      <c r="J38" t="s">
        <v>63</v>
      </c>
      <c r="K38" s="8">
        <v>59</v>
      </c>
      <c r="L38" s="8" t="s">
        <v>6592</v>
      </c>
      <c r="M38" s="8" t="s">
        <v>6629</v>
      </c>
      <c r="N38" t="s">
        <v>181</v>
      </c>
      <c r="O38" t="s">
        <v>6544</v>
      </c>
      <c r="P38" s="4">
        <v>4150</v>
      </c>
      <c r="Q38">
        <f>(P38/40)+45</f>
        <v>148.75</v>
      </c>
      <c r="R38">
        <f>Q38/60</f>
        <v>2.4791666666666665</v>
      </c>
      <c r="S38" s="2">
        <v>45719</v>
      </c>
      <c r="U38">
        <v>2</v>
      </c>
      <c r="V38" s="4">
        <v>8300</v>
      </c>
      <c r="W38" t="s">
        <v>65</v>
      </c>
      <c r="X38">
        <v>112887240001</v>
      </c>
      <c r="Y38">
        <v>0</v>
      </c>
      <c r="Z38" s="4">
        <v>8300</v>
      </c>
      <c r="AA38">
        <v>0</v>
      </c>
      <c r="AB38">
        <v>0</v>
      </c>
      <c r="AC38">
        <v>0</v>
      </c>
      <c r="AD38">
        <v>0</v>
      </c>
      <c r="AG38">
        <v>0</v>
      </c>
      <c r="AP38">
        <v>11288724</v>
      </c>
      <c r="AQ38" t="s">
        <v>311</v>
      </c>
      <c r="AR38" t="s">
        <v>6651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C38" t="s">
        <v>69</v>
      </c>
      <c r="BD38" t="s">
        <v>312</v>
      </c>
      <c r="BE38">
        <v>0</v>
      </c>
      <c r="BG38" t="s">
        <v>311</v>
      </c>
      <c r="BJ38" t="s">
        <v>313</v>
      </c>
    </row>
    <row r="39" spans="1:62" x14ac:dyDescent="0.35">
      <c r="A39" t="s">
        <v>314</v>
      </c>
      <c r="B39">
        <v>10000</v>
      </c>
      <c r="C39">
        <v>10000</v>
      </c>
      <c r="D39" s="2">
        <v>45728</v>
      </c>
      <c r="E39" t="s">
        <v>61</v>
      </c>
      <c r="F39" t="s">
        <v>315</v>
      </c>
      <c r="G39" t="s">
        <v>316</v>
      </c>
      <c r="I39">
        <v>1</v>
      </c>
      <c r="J39" t="s">
        <v>63</v>
      </c>
      <c r="K39" s="8">
        <v>103</v>
      </c>
      <c r="L39" s="8" t="s">
        <v>6589</v>
      </c>
      <c r="M39" s="8" t="s">
        <v>6630</v>
      </c>
      <c r="N39" t="s">
        <v>318</v>
      </c>
      <c r="O39" t="s">
        <v>6557</v>
      </c>
      <c r="P39" s="4">
        <v>39375</v>
      </c>
      <c r="S39" s="2">
        <v>45719</v>
      </c>
      <c r="U39">
        <v>8</v>
      </c>
      <c r="V39" s="4">
        <v>315000</v>
      </c>
      <c r="W39" t="s">
        <v>65</v>
      </c>
      <c r="X39" t="s">
        <v>319</v>
      </c>
      <c r="Y39">
        <v>0</v>
      </c>
      <c r="Z39" s="4">
        <v>315000</v>
      </c>
      <c r="AA39">
        <v>0</v>
      </c>
      <c r="AB39">
        <v>0</v>
      </c>
      <c r="AC39">
        <v>0</v>
      </c>
      <c r="AD39">
        <v>0</v>
      </c>
      <c r="AG39">
        <v>0</v>
      </c>
      <c r="AP39" t="s">
        <v>320</v>
      </c>
      <c r="AQ39" t="s">
        <v>321</v>
      </c>
      <c r="AR39" t="s">
        <v>6652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C39" t="s">
        <v>69</v>
      </c>
      <c r="BD39" t="s">
        <v>322</v>
      </c>
      <c r="BE39">
        <v>0</v>
      </c>
      <c r="BG39" t="s">
        <v>321</v>
      </c>
      <c r="BJ39" t="s">
        <v>323</v>
      </c>
    </row>
    <row r="40" spans="1:62" x14ac:dyDescent="0.35">
      <c r="A40" t="s">
        <v>338</v>
      </c>
      <c r="B40">
        <v>10000</v>
      </c>
      <c r="C40">
        <v>10000</v>
      </c>
      <c r="D40" s="2">
        <v>45719</v>
      </c>
      <c r="E40" t="s">
        <v>61</v>
      </c>
      <c r="F40" t="s">
        <v>339</v>
      </c>
      <c r="G40" t="s">
        <v>340</v>
      </c>
      <c r="I40">
        <v>1</v>
      </c>
      <c r="J40" t="s">
        <v>63</v>
      </c>
      <c r="K40" s="8">
        <v>82</v>
      </c>
      <c r="L40" s="8" t="s">
        <v>6598</v>
      </c>
      <c r="M40" s="8" t="s">
        <v>6630</v>
      </c>
      <c r="N40" t="s">
        <v>341</v>
      </c>
      <c r="O40" t="s">
        <v>6346</v>
      </c>
      <c r="P40" s="4">
        <v>6667</v>
      </c>
      <c r="S40" s="2">
        <v>45719</v>
      </c>
      <c r="U40">
        <v>15</v>
      </c>
      <c r="V40" s="4">
        <v>100005</v>
      </c>
      <c r="W40" t="s">
        <v>65</v>
      </c>
      <c r="X40" t="s">
        <v>342</v>
      </c>
      <c r="Y40">
        <v>0</v>
      </c>
      <c r="Z40" s="4">
        <v>100000</v>
      </c>
      <c r="AA40">
        <v>5</v>
      </c>
      <c r="AB40">
        <v>0</v>
      </c>
      <c r="AC40">
        <v>0</v>
      </c>
      <c r="AD40">
        <v>0</v>
      </c>
      <c r="AG40">
        <v>0</v>
      </c>
      <c r="AP40" t="s">
        <v>343</v>
      </c>
      <c r="AQ40" t="s">
        <v>91</v>
      </c>
      <c r="AR40" t="s">
        <v>6637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C40" t="s">
        <v>69</v>
      </c>
      <c r="BD40" t="s">
        <v>344</v>
      </c>
      <c r="BE40">
        <v>0</v>
      </c>
      <c r="BG40" t="s">
        <v>91</v>
      </c>
      <c r="BJ40" t="s">
        <v>345</v>
      </c>
    </row>
    <row r="41" spans="1:62" x14ac:dyDescent="0.35">
      <c r="A41" t="s">
        <v>346</v>
      </c>
      <c r="B41">
        <v>10000</v>
      </c>
      <c r="C41">
        <v>10000</v>
      </c>
      <c r="D41" s="2">
        <v>45720</v>
      </c>
      <c r="E41" t="s">
        <v>61</v>
      </c>
      <c r="F41" t="s">
        <v>347</v>
      </c>
      <c r="G41" t="s">
        <v>348</v>
      </c>
      <c r="I41">
        <v>1</v>
      </c>
      <c r="J41" t="s">
        <v>63</v>
      </c>
      <c r="K41" s="8">
        <v>46</v>
      </c>
      <c r="L41" s="8" t="s">
        <v>6587</v>
      </c>
      <c r="M41" s="8" t="s">
        <v>6629</v>
      </c>
      <c r="N41" t="s">
        <v>113</v>
      </c>
      <c r="O41" t="s">
        <v>6499</v>
      </c>
      <c r="P41" s="4">
        <v>3000</v>
      </c>
      <c r="Q41">
        <f t="shared" ref="Q41:Q42" si="8">(P41/40)+45</f>
        <v>120</v>
      </c>
      <c r="R41">
        <f t="shared" ref="R41:R42" si="9">Q41/60</f>
        <v>2</v>
      </c>
      <c r="S41" s="2">
        <v>45719</v>
      </c>
      <c r="U41">
        <v>1</v>
      </c>
      <c r="V41" s="4">
        <v>3000</v>
      </c>
      <c r="W41" t="s">
        <v>65</v>
      </c>
      <c r="X41" t="s">
        <v>349</v>
      </c>
      <c r="Y41">
        <v>0</v>
      </c>
      <c r="Z41" s="4">
        <v>3000</v>
      </c>
      <c r="AA41">
        <v>0</v>
      </c>
      <c r="AB41">
        <v>0</v>
      </c>
      <c r="AC41">
        <v>0</v>
      </c>
      <c r="AD41">
        <v>0</v>
      </c>
      <c r="AG41">
        <v>0</v>
      </c>
      <c r="AP41" t="s">
        <v>350</v>
      </c>
      <c r="AQ41" t="s">
        <v>116</v>
      </c>
      <c r="AR41" t="s">
        <v>6639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C41" t="s">
        <v>69</v>
      </c>
      <c r="BD41" t="s">
        <v>351</v>
      </c>
      <c r="BE41">
        <v>0</v>
      </c>
      <c r="BG41" t="s">
        <v>116</v>
      </c>
      <c r="BJ41" t="s">
        <v>352</v>
      </c>
    </row>
    <row r="42" spans="1:62" x14ac:dyDescent="0.35">
      <c r="A42" t="s">
        <v>353</v>
      </c>
      <c r="B42">
        <v>10000</v>
      </c>
      <c r="C42">
        <v>10000</v>
      </c>
      <c r="D42" s="2">
        <v>45719</v>
      </c>
      <c r="E42" t="s">
        <v>61</v>
      </c>
      <c r="F42" t="s">
        <v>354</v>
      </c>
      <c r="G42" t="s">
        <v>112</v>
      </c>
      <c r="I42">
        <v>1</v>
      </c>
      <c r="J42" t="s">
        <v>63</v>
      </c>
      <c r="K42" s="8">
        <v>46</v>
      </c>
      <c r="L42" s="8" t="s">
        <v>6587</v>
      </c>
      <c r="M42" s="8" t="s">
        <v>6629</v>
      </c>
      <c r="N42" t="s">
        <v>113</v>
      </c>
      <c r="O42" t="s">
        <v>6499</v>
      </c>
      <c r="P42" s="4">
        <v>4000</v>
      </c>
      <c r="Q42">
        <f t="shared" si="8"/>
        <v>145</v>
      </c>
      <c r="R42">
        <f t="shared" si="9"/>
        <v>2.4166666666666665</v>
      </c>
      <c r="S42" s="2">
        <v>45719</v>
      </c>
      <c r="U42">
        <v>1</v>
      </c>
      <c r="V42" s="4">
        <v>4000</v>
      </c>
      <c r="W42" t="s">
        <v>65</v>
      </c>
      <c r="X42" t="s">
        <v>355</v>
      </c>
      <c r="Y42">
        <v>0</v>
      </c>
      <c r="Z42" s="4">
        <v>4000</v>
      </c>
      <c r="AA42">
        <v>0</v>
      </c>
      <c r="AB42">
        <v>0</v>
      </c>
      <c r="AC42">
        <v>0</v>
      </c>
      <c r="AD42">
        <v>0</v>
      </c>
      <c r="AG42">
        <v>0</v>
      </c>
      <c r="AP42" t="s">
        <v>356</v>
      </c>
      <c r="AQ42" t="s">
        <v>116</v>
      </c>
      <c r="AR42" t="s">
        <v>6639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C42" t="s">
        <v>69</v>
      </c>
      <c r="BD42" t="s">
        <v>357</v>
      </c>
      <c r="BE42">
        <v>0</v>
      </c>
      <c r="BG42" t="s">
        <v>116</v>
      </c>
      <c r="BJ42" t="s">
        <v>118</v>
      </c>
    </row>
    <row r="43" spans="1:62" x14ac:dyDescent="0.35">
      <c r="A43" t="s">
        <v>358</v>
      </c>
      <c r="B43">
        <v>10000</v>
      </c>
      <c r="C43">
        <v>20000</v>
      </c>
      <c r="D43" s="2">
        <v>45719</v>
      </c>
      <c r="E43" t="s">
        <v>95</v>
      </c>
      <c r="F43" t="s">
        <v>359</v>
      </c>
      <c r="G43" t="s">
        <v>360</v>
      </c>
      <c r="I43">
        <v>1</v>
      </c>
      <c r="J43" t="s">
        <v>63</v>
      </c>
      <c r="K43" s="8">
        <v>94</v>
      </c>
      <c r="L43" s="8" t="s">
        <v>6599</v>
      </c>
      <c r="M43" s="8" t="s">
        <v>6629</v>
      </c>
      <c r="N43" t="s">
        <v>361</v>
      </c>
      <c r="O43" t="s">
        <v>6485</v>
      </c>
      <c r="P43" s="4">
        <v>3000</v>
      </c>
      <c r="S43" s="2">
        <v>45719</v>
      </c>
      <c r="U43">
        <v>4</v>
      </c>
      <c r="V43" s="4">
        <v>12000</v>
      </c>
      <c r="W43" t="s">
        <v>65</v>
      </c>
      <c r="X43" t="s">
        <v>362</v>
      </c>
      <c r="Y43">
        <v>0</v>
      </c>
      <c r="Z43" s="4">
        <v>6000</v>
      </c>
      <c r="AA43" s="4">
        <v>6000</v>
      </c>
      <c r="AB43">
        <v>0</v>
      </c>
      <c r="AC43">
        <v>0</v>
      </c>
      <c r="AD43">
        <v>0</v>
      </c>
      <c r="AG43">
        <v>0</v>
      </c>
      <c r="AP43" t="s">
        <v>363</v>
      </c>
      <c r="AQ43" t="s">
        <v>364</v>
      </c>
      <c r="AR43" t="s">
        <v>6653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C43" t="s">
        <v>69</v>
      </c>
      <c r="BD43" t="s">
        <v>365</v>
      </c>
      <c r="BE43">
        <v>0</v>
      </c>
      <c r="BG43" t="s">
        <v>364</v>
      </c>
      <c r="BJ43" t="s">
        <v>366</v>
      </c>
    </row>
    <row r="44" spans="1:62" x14ac:dyDescent="0.35">
      <c r="A44" t="s">
        <v>377</v>
      </c>
      <c r="B44">
        <v>10000</v>
      </c>
      <c r="C44">
        <v>10000</v>
      </c>
      <c r="D44" s="2">
        <v>45720</v>
      </c>
      <c r="E44" t="s">
        <v>61</v>
      </c>
      <c r="F44" t="s">
        <v>378</v>
      </c>
      <c r="G44" t="s">
        <v>379</v>
      </c>
      <c r="I44">
        <v>1</v>
      </c>
      <c r="J44" t="s">
        <v>63</v>
      </c>
      <c r="K44" s="8">
        <v>67</v>
      </c>
      <c r="L44" s="8" t="s">
        <v>6601</v>
      </c>
      <c r="M44" s="8" t="s">
        <v>6630</v>
      </c>
      <c r="N44" t="s">
        <v>380</v>
      </c>
      <c r="O44" t="s">
        <v>6558</v>
      </c>
      <c r="P44" s="4">
        <v>10000</v>
      </c>
      <c r="S44" s="2">
        <v>45719</v>
      </c>
      <c r="U44">
        <v>1</v>
      </c>
      <c r="V44" s="4">
        <v>10000</v>
      </c>
      <c r="W44" t="s">
        <v>65</v>
      </c>
      <c r="X44" t="s">
        <v>381</v>
      </c>
      <c r="Y44">
        <v>0</v>
      </c>
      <c r="Z44" s="4">
        <v>10000</v>
      </c>
      <c r="AA44">
        <v>0</v>
      </c>
      <c r="AB44">
        <v>0</v>
      </c>
      <c r="AC44">
        <v>0</v>
      </c>
      <c r="AD44">
        <v>0</v>
      </c>
      <c r="AG44">
        <v>0</v>
      </c>
      <c r="AP44" t="s">
        <v>382</v>
      </c>
      <c r="AQ44" t="s">
        <v>157</v>
      </c>
      <c r="AR44" t="s">
        <v>6640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C44" t="s">
        <v>69</v>
      </c>
      <c r="BD44" t="s">
        <v>383</v>
      </c>
      <c r="BE44">
        <v>0</v>
      </c>
      <c r="BG44" t="s">
        <v>157</v>
      </c>
      <c r="BJ44" t="s">
        <v>384</v>
      </c>
    </row>
    <row r="45" spans="1:62" x14ac:dyDescent="0.35">
      <c r="A45" t="s">
        <v>377</v>
      </c>
      <c r="B45">
        <v>10000</v>
      </c>
      <c r="C45">
        <v>20000</v>
      </c>
      <c r="D45" s="2">
        <v>45720</v>
      </c>
      <c r="E45" t="s">
        <v>61</v>
      </c>
      <c r="F45" t="s">
        <v>378</v>
      </c>
      <c r="G45" t="s">
        <v>379</v>
      </c>
      <c r="I45">
        <v>1</v>
      </c>
      <c r="J45" t="s">
        <v>63</v>
      </c>
      <c r="K45" s="8">
        <v>66</v>
      </c>
      <c r="L45" s="8" t="s">
        <v>6600</v>
      </c>
      <c r="M45" s="8" t="s">
        <v>6630</v>
      </c>
      <c r="N45" t="s">
        <v>385</v>
      </c>
      <c r="O45" t="s">
        <v>6541</v>
      </c>
      <c r="P45" s="4">
        <v>50000</v>
      </c>
      <c r="Q45">
        <f>(P45/50)+45</f>
        <v>1045</v>
      </c>
      <c r="R45">
        <f>Q45/60</f>
        <v>17.416666666666668</v>
      </c>
      <c r="S45" s="2">
        <v>45719</v>
      </c>
      <c r="U45">
        <v>1</v>
      </c>
      <c r="V45" s="4">
        <v>50000</v>
      </c>
      <c r="W45" t="s">
        <v>65</v>
      </c>
      <c r="X45" t="s">
        <v>381</v>
      </c>
      <c r="Y45">
        <v>0</v>
      </c>
      <c r="Z45" s="4">
        <v>50000</v>
      </c>
      <c r="AA45">
        <v>0</v>
      </c>
      <c r="AB45">
        <v>0</v>
      </c>
      <c r="AC45">
        <v>0</v>
      </c>
      <c r="AD45">
        <v>0</v>
      </c>
      <c r="AG45">
        <v>0</v>
      </c>
      <c r="AP45" t="s">
        <v>382</v>
      </c>
      <c r="AQ45" t="s">
        <v>157</v>
      </c>
      <c r="AR45" t="s">
        <v>6640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C45" t="s">
        <v>69</v>
      </c>
      <c r="BD45" t="s">
        <v>383</v>
      </c>
      <c r="BE45">
        <v>0</v>
      </c>
      <c r="BG45" t="s">
        <v>157</v>
      </c>
      <c r="BJ45" t="s">
        <v>384</v>
      </c>
    </row>
    <row r="46" spans="1:62" x14ac:dyDescent="0.35">
      <c r="A46" t="s">
        <v>386</v>
      </c>
      <c r="B46">
        <v>10000</v>
      </c>
      <c r="C46">
        <v>10000</v>
      </c>
      <c r="D46" s="2">
        <v>45720</v>
      </c>
      <c r="E46" t="s">
        <v>61</v>
      </c>
      <c r="F46" s="3">
        <v>0.42090277777777779</v>
      </c>
      <c r="G46" t="s">
        <v>387</v>
      </c>
      <c r="I46">
        <v>1</v>
      </c>
      <c r="J46" t="s">
        <v>63</v>
      </c>
      <c r="K46" s="8">
        <v>78</v>
      </c>
      <c r="L46" s="8" t="s">
        <v>6593</v>
      </c>
      <c r="M46" s="8" t="s">
        <v>6629</v>
      </c>
      <c r="N46" t="s">
        <v>188</v>
      </c>
      <c r="O46" t="s">
        <v>6410</v>
      </c>
      <c r="P46" s="4">
        <v>5000</v>
      </c>
      <c r="Q46">
        <f>(P46/40)+45</f>
        <v>170</v>
      </c>
      <c r="R46">
        <f>Q46/60</f>
        <v>2.8333333333333335</v>
      </c>
      <c r="S46" s="2">
        <v>45719</v>
      </c>
      <c r="U46">
        <v>2</v>
      </c>
      <c r="V46" s="4">
        <v>10000</v>
      </c>
      <c r="W46" t="s">
        <v>65</v>
      </c>
      <c r="X46" t="s">
        <v>388</v>
      </c>
      <c r="Y46">
        <v>0</v>
      </c>
      <c r="Z46" s="4">
        <v>10000</v>
      </c>
      <c r="AA46">
        <v>0</v>
      </c>
      <c r="AB46">
        <v>0</v>
      </c>
      <c r="AC46">
        <v>0</v>
      </c>
      <c r="AD46">
        <v>0</v>
      </c>
      <c r="AG46">
        <v>0</v>
      </c>
      <c r="AP46" t="s">
        <v>389</v>
      </c>
      <c r="AQ46" t="s">
        <v>206</v>
      </c>
      <c r="AR46" t="s">
        <v>6645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C46" t="s">
        <v>69</v>
      </c>
      <c r="BD46" t="s">
        <v>390</v>
      </c>
      <c r="BE46">
        <v>0</v>
      </c>
      <c r="BG46" t="s">
        <v>206</v>
      </c>
      <c r="BJ46" t="s">
        <v>391</v>
      </c>
    </row>
    <row r="47" spans="1:62" x14ac:dyDescent="0.35">
      <c r="A47" t="s">
        <v>392</v>
      </c>
      <c r="B47">
        <v>10000</v>
      </c>
      <c r="C47">
        <v>50000</v>
      </c>
      <c r="D47" s="2">
        <v>45720</v>
      </c>
      <c r="E47" t="s">
        <v>61</v>
      </c>
      <c r="F47" t="s">
        <v>393</v>
      </c>
      <c r="G47" t="s">
        <v>394</v>
      </c>
      <c r="I47">
        <v>1</v>
      </c>
      <c r="J47" t="s">
        <v>63</v>
      </c>
      <c r="K47" s="8">
        <v>66</v>
      </c>
      <c r="L47" s="8" t="s">
        <v>6600</v>
      </c>
      <c r="M47" s="8" t="s">
        <v>6630</v>
      </c>
      <c r="N47" t="s">
        <v>385</v>
      </c>
      <c r="O47" t="s">
        <v>6541</v>
      </c>
      <c r="P47" s="4">
        <v>5000</v>
      </c>
      <c r="Q47">
        <f t="shared" ref="Q47:Q48" si="10">(P47/50)+45</f>
        <v>145</v>
      </c>
      <c r="R47">
        <f t="shared" ref="R47:R50" si="11">Q47/60</f>
        <v>2.4166666666666665</v>
      </c>
      <c r="S47" s="2">
        <v>45719</v>
      </c>
      <c r="U47">
        <v>1</v>
      </c>
      <c r="V47" s="4">
        <v>5000</v>
      </c>
      <c r="W47" t="s">
        <v>65</v>
      </c>
      <c r="X47" t="s">
        <v>381</v>
      </c>
      <c r="Y47">
        <v>0</v>
      </c>
      <c r="Z47" s="4">
        <v>5000</v>
      </c>
      <c r="AA47">
        <v>0</v>
      </c>
      <c r="AB47">
        <v>0</v>
      </c>
      <c r="AC47">
        <v>0</v>
      </c>
      <c r="AD47">
        <v>0</v>
      </c>
      <c r="AG47">
        <v>0</v>
      </c>
      <c r="AP47" t="s">
        <v>382</v>
      </c>
      <c r="AQ47" t="s">
        <v>175</v>
      </c>
      <c r="AR47" t="s">
        <v>6642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C47" t="s">
        <v>69</v>
      </c>
      <c r="BD47" t="s">
        <v>395</v>
      </c>
      <c r="BE47">
        <v>0</v>
      </c>
      <c r="BG47" t="s">
        <v>175</v>
      </c>
      <c r="BJ47" t="s">
        <v>396</v>
      </c>
    </row>
    <row r="48" spans="1:62" x14ac:dyDescent="0.35">
      <c r="A48" t="s">
        <v>397</v>
      </c>
      <c r="B48">
        <v>10000</v>
      </c>
      <c r="C48">
        <v>10000</v>
      </c>
      <c r="D48" s="2">
        <v>45722</v>
      </c>
      <c r="E48" t="s">
        <v>61</v>
      </c>
      <c r="F48" t="s">
        <v>398</v>
      </c>
      <c r="G48" t="s">
        <v>394</v>
      </c>
      <c r="I48">
        <v>1</v>
      </c>
      <c r="J48" t="s">
        <v>63</v>
      </c>
      <c r="K48" s="8">
        <v>67</v>
      </c>
      <c r="L48" s="8" t="s">
        <v>6601</v>
      </c>
      <c r="M48" s="8" t="s">
        <v>6630</v>
      </c>
      <c r="N48" t="s">
        <v>380</v>
      </c>
      <c r="O48" t="s">
        <v>6558</v>
      </c>
      <c r="P48" s="4">
        <v>120000</v>
      </c>
      <c r="Q48">
        <f t="shared" si="10"/>
        <v>2445</v>
      </c>
      <c r="R48">
        <f t="shared" si="11"/>
        <v>40.75</v>
      </c>
      <c r="S48" s="2">
        <v>45719</v>
      </c>
      <c r="U48">
        <v>1</v>
      </c>
      <c r="V48" s="4">
        <v>120000</v>
      </c>
      <c r="W48" t="s">
        <v>65</v>
      </c>
      <c r="X48" t="s">
        <v>381</v>
      </c>
      <c r="Y48">
        <v>0</v>
      </c>
      <c r="Z48" s="4">
        <v>120000</v>
      </c>
      <c r="AA48">
        <v>0</v>
      </c>
      <c r="AB48">
        <v>0</v>
      </c>
      <c r="AC48">
        <v>0</v>
      </c>
      <c r="AD48">
        <v>0</v>
      </c>
      <c r="AG48">
        <v>0</v>
      </c>
      <c r="AP48" t="s">
        <v>382</v>
      </c>
      <c r="AQ48" t="s">
        <v>175</v>
      </c>
      <c r="AR48" t="s">
        <v>6642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C48" t="s">
        <v>69</v>
      </c>
      <c r="BD48" t="s">
        <v>400</v>
      </c>
      <c r="BE48">
        <v>0</v>
      </c>
      <c r="BG48" t="s">
        <v>175</v>
      </c>
      <c r="BJ48" t="s">
        <v>401</v>
      </c>
    </row>
    <row r="49" spans="1:62" x14ac:dyDescent="0.35">
      <c r="A49" t="s">
        <v>402</v>
      </c>
      <c r="B49">
        <v>10000</v>
      </c>
      <c r="C49">
        <v>10000</v>
      </c>
      <c r="D49" s="2">
        <v>45720</v>
      </c>
      <c r="E49" t="s">
        <v>61</v>
      </c>
      <c r="F49" t="s">
        <v>403</v>
      </c>
      <c r="G49" t="s">
        <v>404</v>
      </c>
      <c r="I49">
        <v>1</v>
      </c>
      <c r="J49" t="s">
        <v>63</v>
      </c>
      <c r="K49" s="8">
        <v>90</v>
      </c>
      <c r="L49" s="8" t="s">
        <v>6589</v>
      </c>
      <c r="M49" s="8" t="s">
        <v>6630</v>
      </c>
      <c r="N49" t="s">
        <v>405</v>
      </c>
      <c r="O49" t="s">
        <v>6555</v>
      </c>
      <c r="P49" s="4">
        <v>29700</v>
      </c>
      <c r="Q49">
        <f t="shared" ref="Q49:Q50" si="12">(P49/20)+45</f>
        <v>1530</v>
      </c>
      <c r="R49">
        <f t="shared" si="11"/>
        <v>25.5</v>
      </c>
      <c r="S49" s="2">
        <v>45719</v>
      </c>
      <c r="U49">
        <v>2</v>
      </c>
      <c r="V49" s="4">
        <v>59400</v>
      </c>
      <c r="W49" t="s">
        <v>65</v>
      </c>
      <c r="X49" t="s">
        <v>155</v>
      </c>
      <c r="Y49">
        <v>0</v>
      </c>
      <c r="Z49" s="4">
        <v>59400</v>
      </c>
      <c r="AA49">
        <v>0</v>
      </c>
      <c r="AB49">
        <v>0</v>
      </c>
      <c r="AC49">
        <v>0</v>
      </c>
      <c r="AD49">
        <v>0</v>
      </c>
      <c r="AG49">
        <v>0</v>
      </c>
      <c r="AP49" t="s">
        <v>156</v>
      </c>
      <c r="AQ49" t="s">
        <v>175</v>
      </c>
      <c r="AR49" t="s">
        <v>6642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C49" t="s">
        <v>69</v>
      </c>
      <c r="BD49" t="s">
        <v>406</v>
      </c>
      <c r="BE49">
        <v>0</v>
      </c>
      <c r="BG49" t="s">
        <v>175</v>
      </c>
      <c r="BJ49" t="s">
        <v>407</v>
      </c>
    </row>
    <row r="50" spans="1:62" x14ac:dyDescent="0.35">
      <c r="A50" t="s">
        <v>402</v>
      </c>
      <c r="B50">
        <v>10000</v>
      </c>
      <c r="C50">
        <v>20000</v>
      </c>
      <c r="D50" s="2">
        <v>45720</v>
      </c>
      <c r="E50" t="s">
        <v>61</v>
      </c>
      <c r="F50" t="s">
        <v>403</v>
      </c>
      <c r="G50" t="s">
        <v>404</v>
      </c>
      <c r="I50">
        <v>1</v>
      </c>
      <c r="J50" t="s">
        <v>63</v>
      </c>
      <c r="K50" s="8">
        <v>90</v>
      </c>
      <c r="L50" s="8" t="s">
        <v>6589</v>
      </c>
      <c r="M50" s="8" t="s">
        <v>6630</v>
      </c>
      <c r="N50" t="s">
        <v>154</v>
      </c>
      <c r="O50" t="s">
        <v>6575</v>
      </c>
      <c r="P50" s="4">
        <v>24300</v>
      </c>
      <c r="Q50">
        <f t="shared" si="12"/>
        <v>1260</v>
      </c>
      <c r="R50">
        <f t="shared" si="11"/>
        <v>21</v>
      </c>
      <c r="S50" s="2">
        <v>45719</v>
      </c>
      <c r="U50">
        <v>2</v>
      </c>
      <c r="V50" s="4">
        <v>48600</v>
      </c>
      <c r="W50" t="s">
        <v>65</v>
      </c>
      <c r="X50" t="s">
        <v>155</v>
      </c>
      <c r="Y50">
        <v>0</v>
      </c>
      <c r="Z50" s="4">
        <v>48600</v>
      </c>
      <c r="AA50">
        <v>0</v>
      </c>
      <c r="AB50">
        <v>0</v>
      </c>
      <c r="AC50">
        <v>0</v>
      </c>
      <c r="AD50">
        <v>0</v>
      </c>
      <c r="AG50">
        <v>0</v>
      </c>
      <c r="AP50" t="s">
        <v>156</v>
      </c>
      <c r="AQ50" t="s">
        <v>175</v>
      </c>
      <c r="AR50" t="s">
        <v>6642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C50" t="s">
        <v>69</v>
      </c>
      <c r="BD50" t="s">
        <v>406</v>
      </c>
      <c r="BE50">
        <v>0</v>
      </c>
      <c r="BG50" t="s">
        <v>175</v>
      </c>
      <c r="BJ50" t="s">
        <v>407</v>
      </c>
    </row>
    <row r="51" spans="1:62" x14ac:dyDescent="0.35">
      <c r="A51" t="s">
        <v>408</v>
      </c>
      <c r="B51">
        <v>10000</v>
      </c>
      <c r="C51">
        <v>10000</v>
      </c>
      <c r="D51" s="2">
        <v>45721</v>
      </c>
      <c r="E51" t="s">
        <v>61</v>
      </c>
      <c r="F51" t="s">
        <v>409</v>
      </c>
      <c r="G51" t="s">
        <v>410</v>
      </c>
      <c r="I51">
        <v>1</v>
      </c>
      <c r="J51" t="s">
        <v>63</v>
      </c>
      <c r="K51" s="8">
        <v>87</v>
      </c>
      <c r="L51" s="8" t="s">
        <v>6591</v>
      </c>
      <c r="M51" s="8" t="s">
        <v>6630</v>
      </c>
      <c r="N51" t="s">
        <v>172</v>
      </c>
      <c r="O51" t="s">
        <v>6546</v>
      </c>
      <c r="P51" s="4">
        <v>20250</v>
      </c>
      <c r="S51" s="2">
        <v>45719</v>
      </c>
      <c r="U51">
        <v>2</v>
      </c>
      <c r="V51" s="4">
        <v>40500</v>
      </c>
      <c r="W51" t="s">
        <v>65</v>
      </c>
      <c r="X51" t="s">
        <v>173</v>
      </c>
      <c r="Y51">
        <v>0</v>
      </c>
      <c r="Z51" s="4">
        <v>40500</v>
      </c>
      <c r="AA51">
        <v>0</v>
      </c>
      <c r="AB51">
        <v>0</v>
      </c>
      <c r="AC51">
        <v>0</v>
      </c>
      <c r="AD51">
        <v>0</v>
      </c>
      <c r="AG51">
        <v>0</v>
      </c>
      <c r="AP51" t="s">
        <v>174</v>
      </c>
      <c r="AQ51" t="s">
        <v>175</v>
      </c>
      <c r="AR51" t="s">
        <v>6642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C51" t="s">
        <v>69</v>
      </c>
      <c r="BD51" t="s">
        <v>411</v>
      </c>
      <c r="BE51">
        <v>0</v>
      </c>
      <c r="BG51" t="s">
        <v>175</v>
      </c>
      <c r="BJ51" t="s">
        <v>412</v>
      </c>
    </row>
    <row r="52" spans="1:62" x14ac:dyDescent="0.35">
      <c r="A52" t="s">
        <v>413</v>
      </c>
      <c r="B52">
        <v>10000</v>
      </c>
      <c r="C52">
        <v>10000</v>
      </c>
      <c r="D52" s="2">
        <v>45719</v>
      </c>
      <c r="E52" t="s">
        <v>61</v>
      </c>
      <c r="F52" t="s">
        <v>247</v>
      </c>
      <c r="G52" t="s">
        <v>180</v>
      </c>
      <c r="I52">
        <v>1</v>
      </c>
      <c r="J52" t="s">
        <v>63</v>
      </c>
      <c r="K52" s="8">
        <v>59</v>
      </c>
      <c r="L52" s="8" t="s">
        <v>6592</v>
      </c>
      <c r="M52" s="8" t="s">
        <v>6629</v>
      </c>
      <c r="N52" t="s">
        <v>181</v>
      </c>
      <c r="O52" t="s">
        <v>6544</v>
      </c>
      <c r="P52" s="4">
        <v>1660</v>
      </c>
      <c r="Q52">
        <f t="shared" ref="Q52:Q57" si="13">(P52/40)+45</f>
        <v>86.5</v>
      </c>
      <c r="R52">
        <f t="shared" ref="R52:R57" si="14">Q52/60</f>
        <v>1.4416666666666667</v>
      </c>
      <c r="S52" s="2">
        <v>45719</v>
      </c>
      <c r="U52">
        <v>2</v>
      </c>
      <c r="V52" s="4">
        <v>3320</v>
      </c>
      <c r="W52" t="s">
        <v>65</v>
      </c>
      <c r="X52">
        <v>112887240001</v>
      </c>
      <c r="Y52">
        <v>0</v>
      </c>
      <c r="Z52" s="4">
        <v>3320</v>
      </c>
      <c r="AA52">
        <v>0</v>
      </c>
      <c r="AB52">
        <v>0</v>
      </c>
      <c r="AC52">
        <v>0</v>
      </c>
      <c r="AD52">
        <v>0</v>
      </c>
      <c r="AG52">
        <v>0</v>
      </c>
      <c r="AP52">
        <v>11288724</v>
      </c>
      <c r="AQ52" t="s">
        <v>182</v>
      </c>
      <c r="AR52" t="s">
        <v>6643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C52" t="s">
        <v>69</v>
      </c>
      <c r="BD52" t="s">
        <v>414</v>
      </c>
      <c r="BE52">
        <v>0</v>
      </c>
      <c r="BG52" t="s">
        <v>182</v>
      </c>
      <c r="BJ52" t="s">
        <v>415</v>
      </c>
    </row>
    <row r="53" spans="1:62" x14ac:dyDescent="0.35">
      <c r="A53" t="s">
        <v>413</v>
      </c>
      <c r="B53">
        <v>20000</v>
      </c>
      <c r="C53">
        <v>10000</v>
      </c>
      <c r="D53" s="2">
        <v>45719</v>
      </c>
      <c r="E53" t="s">
        <v>61</v>
      </c>
      <c r="F53" t="s">
        <v>247</v>
      </c>
      <c r="G53" t="s">
        <v>180</v>
      </c>
      <c r="I53">
        <v>1</v>
      </c>
      <c r="J53" t="s">
        <v>63</v>
      </c>
      <c r="K53" s="8">
        <v>59</v>
      </c>
      <c r="L53" s="8" t="s">
        <v>6592</v>
      </c>
      <c r="M53" s="8" t="s">
        <v>6629</v>
      </c>
      <c r="N53" t="s">
        <v>181</v>
      </c>
      <c r="O53" t="s">
        <v>6544</v>
      </c>
      <c r="P53" s="4">
        <v>1245</v>
      </c>
      <c r="Q53">
        <f t="shared" si="13"/>
        <v>76.125</v>
      </c>
      <c r="R53">
        <f t="shared" si="14"/>
        <v>1.26875</v>
      </c>
      <c r="S53" s="2">
        <v>45719</v>
      </c>
      <c r="U53">
        <v>2</v>
      </c>
      <c r="V53" s="4">
        <v>2490</v>
      </c>
      <c r="W53" t="s">
        <v>65</v>
      </c>
      <c r="X53">
        <v>112887240001</v>
      </c>
      <c r="Y53">
        <v>0</v>
      </c>
      <c r="Z53" s="4">
        <v>2490</v>
      </c>
      <c r="AA53">
        <v>0</v>
      </c>
      <c r="AB53">
        <v>0</v>
      </c>
      <c r="AC53">
        <v>0</v>
      </c>
      <c r="AD53">
        <v>0</v>
      </c>
      <c r="AG53">
        <v>0</v>
      </c>
      <c r="AP53">
        <v>11288724</v>
      </c>
      <c r="AQ53" t="s">
        <v>182</v>
      </c>
      <c r="AR53" t="s">
        <v>6643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C53" t="s">
        <v>69</v>
      </c>
      <c r="BD53" t="s">
        <v>414</v>
      </c>
      <c r="BE53">
        <v>0</v>
      </c>
      <c r="BG53" t="s">
        <v>182</v>
      </c>
      <c r="BJ53" t="s">
        <v>415</v>
      </c>
    </row>
    <row r="54" spans="1:62" x14ac:dyDescent="0.35">
      <c r="A54" t="s">
        <v>416</v>
      </c>
      <c r="B54">
        <v>10000</v>
      </c>
      <c r="C54">
        <v>10000</v>
      </c>
      <c r="D54" s="2">
        <v>45719</v>
      </c>
      <c r="E54" t="s">
        <v>61</v>
      </c>
      <c r="F54" t="s">
        <v>417</v>
      </c>
      <c r="G54" t="s">
        <v>418</v>
      </c>
      <c r="I54">
        <v>1</v>
      </c>
      <c r="J54" t="s">
        <v>63</v>
      </c>
      <c r="K54" s="8">
        <v>59</v>
      </c>
      <c r="L54" s="8" t="s">
        <v>6592</v>
      </c>
      <c r="M54" s="8" t="s">
        <v>6629</v>
      </c>
      <c r="N54" t="s">
        <v>181</v>
      </c>
      <c r="O54" t="s">
        <v>6544</v>
      </c>
      <c r="P54">
        <v>860</v>
      </c>
      <c r="Q54">
        <f t="shared" si="13"/>
        <v>66.5</v>
      </c>
      <c r="R54">
        <f t="shared" si="14"/>
        <v>1.1083333333333334</v>
      </c>
      <c r="S54" s="2">
        <v>45719</v>
      </c>
      <c r="U54">
        <v>1</v>
      </c>
      <c r="V54">
        <v>860</v>
      </c>
      <c r="W54" t="s">
        <v>65</v>
      </c>
      <c r="X54">
        <v>150034910001</v>
      </c>
      <c r="Y54">
        <v>0</v>
      </c>
      <c r="Z54">
        <v>860</v>
      </c>
      <c r="AA54">
        <v>0</v>
      </c>
      <c r="AB54">
        <v>0</v>
      </c>
      <c r="AC54">
        <v>0</v>
      </c>
      <c r="AD54">
        <v>0</v>
      </c>
      <c r="AG54">
        <v>0</v>
      </c>
      <c r="AP54">
        <v>15003491</v>
      </c>
      <c r="AQ54" t="s">
        <v>182</v>
      </c>
      <c r="AR54" t="s">
        <v>6643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BC54" t="s">
        <v>69</v>
      </c>
      <c r="BD54" t="s">
        <v>419</v>
      </c>
      <c r="BE54">
        <v>0</v>
      </c>
      <c r="BG54" t="s">
        <v>182</v>
      </c>
      <c r="BJ54" t="s">
        <v>420</v>
      </c>
    </row>
    <row r="55" spans="1:62" x14ac:dyDescent="0.35">
      <c r="A55" t="s">
        <v>416</v>
      </c>
      <c r="B55">
        <v>20000</v>
      </c>
      <c r="C55">
        <v>10000</v>
      </c>
      <c r="D55" s="2">
        <v>45719</v>
      </c>
      <c r="E55" t="s">
        <v>61</v>
      </c>
      <c r="F55" t="s">
        <v>417</v>
      </c>
      <c r="G55" t="s">
        <v>418</v>
      </c>
      <c r="I55">
        <v>1</v>
      </c>
      <c r="J55" t="s">
        <v>63</v>
      </c>
      <c r="K55" s="8">
        <v>59</v>
      </c>
      <c r="L55" s="8" t="s">
        <v>6592</v>
      </c>
      <c r="M55" s="8" t="s">
        <v>6629</v>
      </c>
      <c r="N55" t="s">
        <v>181</v>
      </c>
      <c r="O55" t="s">
        <v>6544</v>
      </c>
      <c r="P55">
        <v>860</v>
      </c>
      <c r="Q55">
        <f t="shared" si="13"/>
        <v>66.5</v>
      </c>
      <c r="R55">
        <f t="shared" si="14"/>
        <v>1.1083333333333334</v>
      </c>
      <c r="S55" s="2">
        <v>45719</v>
      </c>
      <c r="U55">
        <v>1</v>
      </c>
      <c r="V55">
        <v>860</v>
      </c>
      <c r="W55" t="s">
        <v>65</v>
      </c>
      <c r="X55">
        <v>150034910001</v>
      </c>
      <c r="Y55">
        <v>0</v>
      </c>
      <c r="Z55">
        <v>860</v>
      </c>
      <c r="AA55">
        <v>0</v>
      </c>
      <c r="AB55">
        <v>0</v>
      </c>
      <c r="AC55">
        <v>0</v>
      </c>
      <c r="AD55">
        <v>0</v>
      </c>
      <c r="AG55">
        <v>0</v>
      </c>
      <c r="AP55">
        <v>15003491</v>
      </c>
      <c r="AQ55" t="s">
        <v>182</v>
      </c>
      <c r="AR55" t="s">
        <v>6643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C55" t="s">
        <v>69</v>
      </c>
      <c r="BD55" t="s">
        <v>419</v>
      </c>
      <c r="BE55">
        <v>0</v>
      </c>
      <c r="BG55" t="s">
        <v>182</v>
      </c>
      <c r="BJ55" t="s">
        <v>420</v>
      </c>
    </row>
    <row r="56" spans="1:62" x14ac:dyDescent="0.35">
      <c r="A56" t="s">
        <v>444</v>
      </c>
      <c r="B56">
        <v>10000</v>
      </c>
      <c r="C56">
        <v>10000</v>
      </c>
      <c r="D56" s="2">
        <v>45719</v>
      </c>
      <c r="E56" t="s">
        <v>61</v>
      </c>
      <c r="F56" t="s">
        <v>445</v>
      </c>
      <c r="G56" t="s">
        <v>446</v>
      </c>
      <c r="I56">
        <v>1</v>
      </c>
      <c r="J56" t="s">
        <v>63</v>
      </c>
      <c r="K56" s="8">
        <v>78</v>
      </c>
      <c r="L56" s="8" t="s">
        <v>6593</v>
      </c>
      <c r="M56" s="8" t="s">
        <v>6629</v>
      </c>
      <c r="N56" t="s">
        <v>188</v>
      </c>
      <c r="O56" t="s">
        <v>6410</v>
      </c>
      <c r="P56" s="4">
        <v>1000</v>
      </c>
      <c r="Q56">
        <f t="shared" si="13"/>
        <v>70</v>
      </c>
      <c r="R56">
        <f t="shared" si="14"/>
        <v>1.1666666666666667</v>
      </c>
      <c r="S56" s="2">
        <v>45719</v>
      </c>
      <c r="U56">
        <v>1</v>
      </c>
      <c r="V56" s="4">
        <v>1000</v>
      </c>
      <c r="W56" t="s">
        <v>65</v>
      </c>
      <c r="X56" s="6" t="s">
        <v>447</v>
      </c>
      <c r="Y56">
        <v>0</v>
      </c>
      <c r="Z56" s="4">
        <v>1000</v>
      </c>
      <c r="AA56">
        <v>0</v>
      </c>
      <c r="AB56">
        <v>0</v>
      </c>
      <c r="AC56">
        <v>0</v>
      </c>
      <c r="AD56">
        <v>0</v>
      </c>
      <c r="AG56">
        <v>0</v>
      </c>
      <c r="AP56" s="6" t="s">
        <v>448</v>
      </c>
      <c r="AQ56" t="s">
        <v>449</v>
      </c>
      <c r="AR56" t="s">
        <v>6654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C56" t="s">
        <v>69</v>
      </c>
      <c r="BD56" t="s">
        <v>450</v>
      </c>
      <c r="BE56">
        <v>0</v>
      </c>
      <c r="BG56" t="s">
        <v>449</v>
      </c>
      <c r="BJ56" t="s">
        <v>451</v>
      </c>
    </row>
    <row r="57" spans="1:62" x14ac:dyDescent="0.35">
      <c r="A57" t="s">
        <v>452</v>
      </c>
      <c r="B57">
        <v>10000</v>
      </c>
      <c r="C57">
        <v>10000</v>
      </c>
      <c r="D57" s="2">
        <v>45719</v>
      </c>
      <c r="E57" t="s">
        <v>61</v>
      </c>
      <c r="F57" t="s">
        <v>453</v>
      </c>
      <c r="G57" t="s">
        <v>446</v>
      </c>
      <c r="I57">
        <v>1</v>
      </c>
      <c r="J57" t="s">
        <v>63</v>
      </c>
      <c r="K57" s="8">
        <v>78</v>
      </c>
      <c r="L57" s="8" t="s">
        <v>6593</v>
      </c>
      <c r="M57" s="8" t="s">
        <v>6629</v>
      </c>
      <c r="N57" t="s">
        <v>188</v>
      </c>
      <c r="O57" t="s">
        <v>6410</v>
      </c>
      <c r="P57">
        <v>50</v>
      </c>
      <c r="Q57">
        <f t="shared" si="13"/>
        <v>46.25</v>
      </c>
      <c r="R57">
        <f t="shared" si="14"/>
        <v>0.77083333333333337</v>
      </c>
      <c r="S57" s="2">
        <v>45719</v>
      </c>
      <c r="U57">
        <v>1</v>
      </c>
      <c r="V57">
        <v>50</v>
      </c>
      <c r="W57" t="s">
        <v>65</v>
      </c>
      <c r="X57" s="6" t="s">
        <v>447</v>
      </c>
      <c r="Y57">
        <v>0</v>
      </c>
      <c r="Z57">
        <v>50</v>
      </c>
      <c r="AA57">
        <v>0</v>
      </c>
      <c r="AB57">
        <v>0</v>
      </c>
      <c r="AC57">
        <v>0</v>
      </c>
      <c r="AD57">
        <v>0</v>
      </c>
      <c r="AG57">
        <v>0</v>
      </c>
      <c r="AP57" s="6" t="s">
        <v>448</v>
      </c>
      <c r="AQ57" t="s">
        <v>449</v>
      </c>
      <c r="AR57" t="s">
        <v>6654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C57" t="s">
        <v>69</v>
      </c>
      <c r="BD57" t="s">
        <v>454</v>
      </c>
      <c r="BE57">
        <v>0</v>
      </c>
      <c r="BG57" t="s">
        <v>449</v>
      </c>
      <c r="BJ57" t="s">
        <v>455</v>
      </c>
    </row>
    <row r="58" spans="1:62" x14ac:dyDescent="0.35">
      <c r="A58" t="s">
        <v>456</v>
      </c>
      <c r="B58">
        <v>10000</v>
      </c>
      <c r="C58">
        <v>20000</v>
      </c>
      <c r="D58" s="2">
        <v>45720</v>
      </c>
      <c r="E58" t="s">
        <v>61</v>
      </c>
      <c r="F58" t="s">
        <v>457</v>
      </c>
      <c r="G58" t="s">
        <v>458</v>
      </c>
      <c r="I58">
        <v>1</v>
      </c>
      <c r="J58" t="s">
        <v>63</v>
      </c>
      <c r="K58" s="8">
        <v>75</v>
      </c>
      <c r="L58" s="8" t="s">
        <v>6602</v>
      </c>
      <c r="M58" s="8" t="s">
        <v>6630</v>
      </c>
      <c r="N58" t="s">
        <v>459</v>
      </c>
      <c r="O58" t="s">
        <v>6568</v>
      </c>
      <c r="P58" s="4">
        <v>18462</v>
      </c>
      <c r="Q58">
        <f>(P58/20)+45</f>
        <v>968.1</v>
      </c>
      <c r="R58">
        <f>Q58/60</f>
        <v>16.135000000000002</v>
      </c>
      <c r="S58" s="2">
        <v>45719</v>
      </c>
      <c r="U58">
        <v>13</v>
      </c>
      <c r="V58" s="4">
        <v>240006</v>
      </c>
      <c r="W58" t="s">
        <v>65</v>
      </c>
      <c r="X58" t="s">
        <v>460</v>
      </c>
      <c r="Y58">
        <v>0</v>
      </c>
      <c r="Z58" s="4">
        <v>240000</v>
      </c>
      <c r="AA58">
        <v>6</v>
      </c>
      <c r="AB58">
        <v>0</v>
      </c>
      <c r="AC58">
        <v>0</v>
      </c>
      <c r="AD58">
        <v>0</v>
      </c>
      <c r="AG58">
        <v>0</v>
      </c>
      <c r="AP58" t="s">
        <v>461</v>
      </c>
      <c r="AQ58" t="s">
        <v>175</v>
      </c>
      <c r="AR58" t="s">
        <v>6642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C58" t="s">
        <v>69</v>
      </c>
      <c r="BD58" t="s">
        <v>462</v>
      </c>
      <c r="BE58">
        <v>0</v>
      </c>
      <c r="BG58" t="s">
        <v>175</v>
      </c>
      <c r="BJ58" t="s">
        <v>463</v>
      </c>
    </row>
    <row r="59" spans="1:62" x14ac:dyDescent="0.35">
      <c r="A59" t="s">
        <v>464</v>
      </c>
      <c r="B59">
        <v>10000</v>
      </c>
      <c r="C59">
        <v>10000</v>
      </c>
      <c r="D59" s="2">
        <v>45719</v>
      </c>
      <c r="E59" t="s">
        <v>95</v>
      </c>
      <c r="F59" t="s">
        <v>96</v>
      </c>
      <c r="G59" t="s">
        <v>465</v>
      </c>
      <c r="I59">
        <v>1</v>
      </c>
      <c r="J59" t="s">
        <v>63</v>
      </c>
      <c r="K59" s="8">
        <v>22</v>
      </c>
      <c r="L59" s="8" t="s">
        <v>6603</v>
      </c>
      <c r="M59" s="8" t="s">
        <v>6629</v>
      </c>
      <c r="N59" t="s">
        <v>466</v>
      </c>
      <c r="O59" t="s">
        <v>6474</v>
      </c>
      <c r="P59" s="4">
        <v>16000</v>
      </c>
      <c r="Q59">
        <f t="shared" ref="Q59:Q62" si="15">(P59/50)+45</f>
        <v>365</v>
      </c>
      <c r="R59">
        <f t="shared" ref="R59:R66" si="16">Q59/60</f>
        <v>6.083333333333333</v>
      </c>
      <c r="S59" s="2">
        <v>45719</v>
      </c>
      <c r="U59">
        <v>1</v>
      </c>
      <c r="V59" s="4">
        <v>16000</v>
      </c>
      <c r="W59" t="s">
        <v>65</v>
      </c>
      <c r="X59" t="s">
        <v>467</v>
      </c>
      <c r="Y59">
        <v>0</v>
      </c>
      <c r="Z59" s="4">
        <v>16000</v>
      </c>
      <c r="AA59">
        <v>0</v>
      </c>
      <c r="AB59">
        <v>0</v>
      </c>
      <c r="AC59">
        <v>0</v>
      </c>
      <c r="AD59">
        <v>0</v>
      </c>
      <c r="AG59">
        <v>0</v>
      </c>
      <c r="AP59" t="s">
        <v>468</v>
      </c>
      <c r="AQ59" t="s">
        <v>116</v>
      </c>
      <c r="AR59" t="s">
        <v>6639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C59" t="s">
        <v>69</v>
      </c>
      <c r="BD59" t="s">
        <v>469</v>
      </c>
      <c r="BE59">
        <v>0</v>
      </c>
      <c r="BG59" t="s">
        <v>116</v>
      </c>
      <c r="BJ59" t="s">
        <v>470</v>
      </c>
    </row>
    <row r="60" spans="1:62" x14ac:dyDescent="0.35">
      <c r="A60" t="s">
        <v>471</v>
      </c>
      <c r="B60">
        <v>10000</v>
      </c>
      <c r="C60">
        <v>10000</v>
      </c>
      <c r="D60" s="2">
        <v>45720</v>
      </c>
      <c r="E60" t="s">
        <v>61</v>
      </c>
      <c r="F60" t="s">
        <v>347</v>
      </c>
      <c r="G60" t="s">
        <v>472</v>
      </c>
      <c r="I60">
        <v>1</v>
      </c>
      <c r="J60" t="s">
        <v>63</v>
      </c>
      <c r="K60" s="8">
        <v>61</v>
      </c>
      <c r="L60" s="8" t="s">
        <v>6594</v>
      </c>
      <c r="M60" s="8" t="s">
        <v>6629</v>
      </c>
      <c r="N60" t="s">
        <v>197</v>
      </c>
      <c r="O60" t="s">
        <v>6565</v>
      </c>
      <c r="P60" s="4">
        <v>6667</v>
      </c>
      <c r="Q60">
        <f t="shared" si="15"/>
        <v>178.34</v>
      </c>
      <c r="R60">
        <f t="shared" si="16"/>
        <v>2.9723333333333333</v>
      </c>
      <c r="S60" s="2">
        <v>45719</v>
      </c>
      <c r="U60">
        <v>6</v>
      </c>
      <c r="V60" s="4">
        <v>40002</v>
      </c>
      <c r="W60" t="s">
        <v>65</v>
      </c>
      <c r="X60" t="s">
        <v>198</v>
      </c>
      <c r="Y60">
        <v>0</v>
      </c>
      <c r="Z60" s="4">
        <v>40000</v>
      </c>
      <c r="AA60">
        <v>2</v>
      </c>
      <c r="AB60">
        <v>0</v>
      </c>
      <c r="AC60">
        <v>0</v>
      </c>
      <c r="AD60">
        <v>0</v>
      </c>
      <c r="AG60">
        <v>0</v>
      </c>
      <c r="AP60" t="s">
        <v>199</v>
      </c>
      <c r="AQ60" t="s">
        <v>116</v>
      </c>
      <c r="AR60" t="s">
        <v>6639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C60" t="s">
        <v>69</v>
      </c>
      <c r="BD60" t="s">
        <v>473</v>
      </c>
      <c r="BE60">
        <v>0</v>
      </c>
      <c r="BG60" t="s">
        <v>116</v>
      </c>
      <c r="BJ60" t="s">
        <v>474</v>
      </c>
    </row>
    <row r="61" spans="1:62" x14ac:dyDescent="0.35">
      <c r="A61" t="s">
        <v>475</v>
      </c>
      <c r="B61">
        <v>10000</v>
      </c>
      <c r="C61">
        <v>10000</v>
      </c>
      <c r="D61" s="2">
        <v>45719</v>
      </c>
      <c r="E61" t="s">
        <v>95</v>
      </c>
      <c r="F61" t="s">
        <v>476</v>
      </c>
      <c r="G61" t="s">
        <v>477</v>
      </c>
      <c r="I61">
        <v>1</v>
      </c>
      <c r="J61" t="s">
        <v>63</v>
      </c>
      <c r="K61" s="8">
        <v>12</v>
      </c>
      <c r="L61" s="8" t="s">
        <v>6604</v>
      </c>
      <c r="M61" s="8" t="s">
        <v>6629</v>
      </c>
      <c r="N61" t="s">
        <v>478</v>
      </c>
      <c r="O61" t="s">
        <v>6434</v>
      </c>
      <c r="P61" s="4">
        <v>10000</v>
      </c>
      <c r="Q61">
        <f t="shared" si="15"/>
        <v>245</v>
      </c>
      <c r="R61">
        <f t="shared" si="16"/>
        <v>4.083333333333333</v>
      </c>
      <c r="S61" s="2">
        <v>45719</v>
      </c>
      <c r="U61">
        <v>10</v>
      </c>
      <c r="V61" s="4">
        <v>100000</v>
      </c>
      <c r="W61" t="s">
        <v>65</v>
      </c>
      <c r="X61" t="s">
        <v>479</v>
      </c>
      <c r="Y61">
        <v>0</v>
      </c>
      <c r="Z61" s="4">
        <v>100000</v>
      </c>
      <c r="AA61">
        <v>0</v>
      </c>
      <c r="AB61">
        <v>0</v>
      </c>
      <c r="AC61">
        <v>0</v>
      </c>
      <c r="AD61">
        <v>0</v>
      </c>
      <c r="AG61">
        <v>0</v>
      </c>
      <c r="AP61" t="s">
        <v>480</v>
      </c>
      <c r="AQ61" t="s">
        <v>481</v>
      </c>
      <c r="AR61" t="s">
        <v>6655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C61" t="s">
        <v>69</v>
      </c>
      <c r="BD61" t="s">
        <v>482</v>
      </c>
      <c r="BE61">
        <v>0</v>
      </c>
      <c r="BG61" t="s">
        <v>481</v>
      </c>
      <c r="BJ61" t="s">
        <v>483</v>
      </c>
    </row>
    <row r="62" spans="1:62" x14ac:dyDescent="0.35">
      <c r="A62" t="s">
        <v>490</v>
      </c>
      <c r="B62">
        <v>10000</v>
      </c>
      <c r="C62">
        <v>10000</v>
      </c>
      <c r="D62" s="2">
        <v>45720</v>
      </c>
      <c r="E62" t="s">
        <v>61</v>
      </c>
      <c r="F62" t="s">
        <v>491</v>
      </c>
      <c r="G62" t="s">
        <v>492</v>
      </c>
      <c r="I62">
        <v>1</v>
      </c>
      <c r="J62" t="s">
        <v>63</v>
      </c>
      <c r="K62" s="8">
        <v>12</v>
      </c>
      <c r="L62" s="8" t="s">
        <v>6604</v>
      </c>
      <c r="M62" s="8" t="s">
        <v>6629</v>
      </c>
      <c r="N62" t="s">
        <v>478</v>
      </c>
      <c r="O62" t="s">
        <v>6434</v>
      </c>
      <c r="P62" s="4">
        <v>4000</v>
      </c>
      <c r="Q62">
        <f t="shared" si="15"/>
        <v>125</v>
      </c>
      <c r="R62">
        <f t="shared" si="16"/>
        <v>2.0833333333333335</v>
      </c>
      <c r="S62" s="2">
        <v>45719</v>
      </c>
      <c r="U62">
        <v>1</v>
      </c>
      <c r="V62" s="4">
        <v>4000</v>
      </c>
      <c r="W62" t="s">
        <v>65</v>
      </c>
      <c r="X62" t="s">
        <v>493</v>
      </c>
      <c r="Y62">
        <v>0</v>
      </c>
      <c r="Z62" s="4">
        <v>4000</v>
      </c>
      <c r="AA62">
        <v>0</v>
      </c>
      <c r="AB62">
        <v>0</v>
      </c>
      <c r="AC62">
        <v>0</v>
      </c>
      <c r="AD62">
        <v>0</v>
      </c>
      <c r="AG62">
        <v>0</v>
      </c>
      <c r="AP62" t="s">
        <v>494</v>
      </c>
      <c r="AQ62" t="s">
        <v>206</v>
      </c>
      <c r="AR62" t="s">
        <v>6645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C62" t="s">
        <v>69</v>
      </c>
      <c r="BD62" t="s">
        <v>495</v>
      </c>
      <c r="BE62">
        <v>0</v>
      </c>
      <c r="BG62" t="s">
        <v>206</v>
      </c>
      <c r="BJ62" t="s">
        <v>208</v>
      </c>
    </row>
    <row r="63" spans="1:62" x14ac:dyDescent="0.35">
      <c r="A63" t="s">
        <v>496</v>
      </c>
      <c r="B63">
        <v>10000</v>
      </c>
      <c r="C63">
        <v>10000</v>
      </c>
      <c r="D63" s="2">
        <v>45719</v>
      </c>
      <c r="E63" t="s">
        <v>95</v>
      </c>
      <c r="F63" t="s">
        <v>497</v>
      </c>
      <c r="G63" t="s">
        <v>498</v>
      </c>
      <c r="I63">
        <v>1</v>
      </c>
      <c r="J63" t="s">
        <v>63</v>
      </c>
      <c r="K63" s="8">
        <v>78</v>
      </c>
      <c r="L63" s="8" t="s">
        <v>6593</v>
      </c>
      <c r="M63" s="8" t="s">
        <v>6629</v>
      </c>
      <c r="N63" t="s">
        <v>188</v>
      </c>
      <c r="O63" t="s">
        <v>6410</v>
      </c>
      <c r="P63">
        <v>100</v>
      </c>
      <c r="Q63">
        <f t="shared" ref="Q63:Q66" si="17">(P63/40)+45</f>
        <v>47.5</v>
      </c>
      <c r="R63">
        <f t="shared" si="16"/>
        <v>0.79166666666666663</v>
      </c>
      <c r="S63" s="2">
        <v>45719</v>
      </c>
      <c r="U63">
        <v>1</v>
      </c>
      <c r="V63">
        <v>100</v>
      </c>
      <c r="W63" t="s">
        <v>65</v>
      </c>
      <c r="X63">
        <v>107314450001</v>
      </c>
      <c r="Y63">
        <v>0</v>
      </c>
      <c r="Z63">
        <v>100</v>
      </c>
      <c r="AA63">
        <v>0</v>
      </c>
      <c r="AB63">
        <v>0</v>
      </c>
      <c r="AC63">
        <v>0</v>
      </c>
      <c r="AD63">
        <v>0</v>
      </c>
      <c r="AG63">
        <v>0</v>
      </c>
      <c r="AP63">
        <v>10731445</v>
      </c>
      <c r="AQ63" t="s">
        <v>487</v>
      </c>
      <c r="AR63" t="s">
        <v>6656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C63" t="s">
        <v>69</v>
      </c>
      <c r="BD63" t="s">
        <v>499</v>
      </c>
      <c r="BE63">
        <v>0</v>
      </c>
      <c r="BG63" t="s">
        <v>487</v>
      </c>
      <c r="BJ63" t="s">
        <v>500</v>
      </c>
    </row>
    <row r="64" spans="1:62" x14ac:dyDescent="0.35">
      <c r="A64" t="s">
        <v>501</v>
      </c>
      <c r="B64">
        <v>10000</v>
      </c>
      <c r="C64">
        <v>10000</v>
      </c>
      <c r="D64" s="2">
        <v>45719</v>
      </c>
      <c r="E64" t="s">
        <v>95</v>
      </c>
      <c r="F64" t="s">
        <v>497</v>
      </c>
      <c r="G64" t="s">
        <v>498</v>
      </c>
      <c r="I64">
        <v>1</v>
      </c>
      <c r="J64" t="s">
        <v>63</v>
      </c>
      <c r="K64" s="8">
        <v>78</v>
      </c>
      <c r="L64" s="8" t="s">
        <v>6593</v>
      </c>
      <c r="M64" s="8" t="s">
        <v>6629</v>
      </c>
      <c r="N64" t="s">
        <v>188</v>
      </c>
      <c r="O64" t="s">
        <v>6410</v>
      </c>
      <c r="P64">
        <v>5</v>
      </c>
      <c r="Q64">
        <f t="shared" si="17"/>
        <v>45.125</v>
      </c>
      <c r="R64">
        <f t="shared" si="16"/>
        <v>0.75208333333333333</v>
      </c>
      <c r="S64" s="2">
        <v>45719</v>
      </c>
      <c r="U64">
        <v>1</v>
      </c>
      <c r="V64">
        <v>5</v>
      </c>
      <c r="W64" t="s">
        <v>65</v>
      </c>
      <c r="X64">
        <v>107314450001</v>
      </c>
      <c r="Y64">
        <v>0</v>
      </c>
      <c r="Z64">
        <v>5</v>
      </c>
      <c r="AA64">
        <v>0</v>
      </c>
      <c r="AB64">
        <v>0</v>
      </c>
      <c r="AC64">
        <v>0</v>
      </c>
      <c r="AD64">
        <v>0</v>
      </c>
      <c r="AG64">
        <v>0</v>
      </c>
      <c r="AP64">
        <v>10731445</v>
      </c>
      <c r="AQ64" t="s">
        <v>487</v>
      </c>
      <c r="AR64" t="s">
        <v>6656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C64" t="s">
        <v>69</v>
      </c>
      <c r="BD64" t="s">
        <v>502</v>
      </c>
      <c r="BE64">
        <v>0</v>
      </c>
      <c r="BG64" t="s">
        <v>487</v>
      </c>
      <c r="BJ64" t="s">
        <v>503</v>
      </c>
    </row>
    <row r="65" spans="1:62" x14ac:dyDescent="0.35">
      <c r="A65" t="s">
        <v>504</v>
      </c>
      <c r="B65">
        <v>10000</v>
      </c>
      <c r="C65">
        <v>10000</v>
      </c>
      <c r="D65" s="2">
        <v>45720</v>
      </c>
      <c r="E65" t="s">
        <v>61</v>
      </c>
      <c r="F65" s="3">
        <v>0.42174768518518518</v>
      </c>
      <c r="G65" t="s">
        <v>505</v>
      </c>
      <c r="I65">
        <v>1</v>
      </c>
      <c r="J65" t="s">
        <v>63</v>
      </c>
      <c r="K65" s="8">
        <v>65</v>
      </c>
      <c r="L65" s="8" t="s">
        <v>6596</v>
      </c>
      <c r="M65" s="8" t="s">
        <v>6630</v>
      </c>
      <c r="N65" t="s">
        <v>268</v>
      </c>
      <c r="O65" t="s">
        <v>6543</v>
      </c>
      <c r="P65">
        <v>250</v>
      </c>
      <c r="Q65">
        <f t="shared" si="17"/>
        <v>51.25</v>
      </c>
      <c r="R65">
        <f t="shared" si="16"/>
        <v>0.85416666666666663</v>
      </c>
      <c r="S65" s="2">
        <v>45719</v>
      </c>
      <c r="U65">
        <v>80</v>
      </c>
      <c r="V65" s="4">
        <v>20000</v>
      </c>
      <c r="W65" t="s">
        <v>65</v>
      </c>
      <c r="X65" t="s">
        <v>506</v>
      </c>
      <c r="Y65">
        <v>0</v>
      </c>
      <c r="Z65" s="4">
        <v>20000</v>
      </c>
      <c r="AA65">
        <v>0</v>
      </c>
      <c r="AB65">
        <v>0</v>
      </c>
      <c r="AC65">
        <v>0</v>
      </c>
      <c r="AD65">
        <v>0</v>
      </c>
      <c r="AG65">
        <v>0</v>
      </c>
      <c r="AP65" t="s">
        <v>507</v>
      </c>
      <c r="AQ65" t="s">
        <v>508</v>
      </c>
      <c r="AR65" t="s">
        <v>6657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C65" t="s">
        <v>69</v>
      </c>
      <c r="BD65" t="s">
        <v>509</v>
      </c>
      <c r="BE65">
        <v>0</v>
      </c>
      <c r="BG65" t="s">
        <v>508</v>
      </c>
      <c r="BJ65" t="s">
        <v>510</v>
      </c>
    </row>
    <row r="66" spans="1:62" x14ac:dyDescent="0.35">
      <c r="A66" t="s">
        <v>517</v>
      </c>
      <c r="B66">
        <v>10000</v>
      </c>
      <c r="C66">
        <v>10000</v>
      </c>
      <c r="D66" s="2">
        <v>45720</v>
      </c>
      <c r="E66" t="s">
        <v>61</v>
      </c>
      <c r="F66" t="s">
        <v>457</v>
      </c>
      <c r="G66" t="s">
        <v>518</v>
      </c>
      <c r="I66">
        <v>1</v>
      </c>
      <c r="J66" t="s">
        <v>63</v>
      </c>
      <c r="K66" s="8">
        <v>63</v>
      </c>
      <c r="L66" s="8" t="s">
        <v>6605</v>
      </c>
      <c r="M66" s="8" t="s">
        <v>6630</v>
      </c>
      <c r="N66" t="s">
        <v>519</v>
      </c>
      <c r="O66" t="s">
        <v>6569</v>
      </c>
      <c r="P66" s="4">
        <v>1000</v>
      </c>
      <c r="Q66">
        <f t="shared" si="17"/>
        <v>70</v>
      </c>
      <c r="R66">
        <f t="shared" si="16"/>
        <v>1.1666666666666667</v>
      </c>
      <c r="S66" s="2">
        <v>45719</v>
      </c>
      <c r="U66">
        <v>20</v>
      </c>
      <c r="V66" s="4">
        <v>20000</v>
      </c>
      <c r="W66" t="s">
        <v>65</v>
      </c>
      <c r="X66" t="s">
        <v>520</v>
      </c>
      <c r="Y66">
        <v>0</v>
      </c>
      <c r="Z66" s="4">
        <v>20000</v>
      </c>
      <c r="AA66">
        <v>0</v>
      </c>
      <c r="AB66">
        <v>0</v>
      </c>
      <c r="AC66">
        <v>0</v>
      </c>
      <c r="AD66">
        <v>0</v>
      </c>
      <c r="AG66">
        <v>0</v>
      </c>
      <c r="AP66" t="s">
        <v>521</v>
      </c>
      <c r="AQ66" t="s">
        <v>522</v>
      </c>
      <c r="AR66" t="s">
        <v>6658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C66" t="s">
        <v>69</v>
      </c>
      <c r="BD66" t="s">
        <v>523</v>
      </c>
      <c r="BE66">
        <v>0</v>
      </c>
      <c r="BG66" t="s">
        <v>522</v>
      </c>
      <c r="BJ66" t="s">
        <v>524</v>
      </c>
    </row>
    <row r="67" spans="1:62" x14ac:dyDescent="0.35">
      <c r="A67" t="s">
        <v>525</v>
      </c>
      <c r="B67">
        <v>10000</v>
      </c>
      <c r="C67">
        <v>10000</v>
      </c>
      <c r="D67" s="2">
        <v>45723</v>
      </c>
      <c r="E67" t="s">
        <v>61</v>
      </c>
      <c r="F67" t="s">
        <v>526</v>
      </c>
      <c r="G67" t="s">
        <v>527</v>
      </c>
      <c r="I67">
        <v>1</v>
      </c>
      <c r="J67" t="s">
        <v>63</v>
      </c>
      <c r="K67" s="8">
        <v>72</v>
      </c>
      <c r="L67" s="8" t="s">
        <v>6606</v>
      </c>
      <c r="M67" s="8" t="s">
        <v>6631</v>
      </c>
      <c r="N67" t="s">
        <v>528</v>
      </c>
      <c r="O67" t="s">
        <v>6542</v>
      </c>
      <c r="P67">
        <v>667</v>
      </c>
      <c r="S67" s="2">
        <v>45719</v>
      </c>
      <c r="U67">
        <v>6</v>
      </c>
      <c r="V67" s="4">
        <v>4002</v>
      </c>
      <c r="W67" t="s">
        <v>65</v>
      </c>
      <c r="X67" t="s">
        <v>529</v>
      </c>
      <c r="Y67">
        <v>0</v>
      </c>
      <c r="Z67" s="4">
        <v>3000</v>
      </c>
      <c r="AA67" s="4">
        <v>1002</v>
      </c>
      <c r="AB67">
        <v>0</v>
      </c>
      <c r="AC67">
        <v>0</v>
      </c>
      <c r="AD67">
        <v>0</v>
      </c>
      <c r="AG67">
        <v>0</v>
      </c>
      <c r="AP67" t="s">
        <v>530</v>
      </c>
      <c r="AQ67" t="s">
        <v>271</v>
      </c>
      <c r="AR67" t="s">
        <v>6648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BC67" t="s">
        <v>69</v>
      </c>
      <c r="BD67" t="s">
        <v>531</v>
      </c>
      <c r="BE67">
        <v>0</v>
      </c>
      <c r="BG67" t="s">
        <v>271</v>
      </c>
      <c r="BJ67" t="s">
        <v>532</v>
      </c>
    </row>
    <row r="68" spans="1:62" x14ac:dyDescent="0.35">
      <c r="A68" t="s">
        <v>550</v>
      </c>
      <c r="B68">
        <v>10000</v>
      </c>
      <c r="C68">
        <v>10000</v>
      </c>
      <c r="D68" s="2">
        <v>45722</v>
      </c>
      <c r="E68" t="s">
        <v>61</v>
      </c>
      <c r="F68" t="s">
        <v>551</v>
      </c>
      <c r="G68" t="s">
        <v>552</v>
      </c>
      <c r="I68">
        <v>1</v>
      </c>
      <c r="J68" t="s">
        <v>63</v>
      </c>
      <c r="K68" s="8">
        <v>32</v>
      </c>
      <c r="L68" s="8" t="s">
        <v>6607</v>
      </c>
      <c r="M68" s="8" t="s">
        <v>6629</v>
      </c>
      <c r="N68" t="s">
        <v>553</v>
      </c>
      <c r="O68" t="s">
        <v>6552</v>
      </c>
      <c r="P68" s="4">
        <v>5860</v>
      </c>
      <c r="S68" s="2">
        <v>45719</v>
      </c>
      <c r="U68">
        <v>1</v>
      </c>
      <c r="V68" s="4">
        <v>5860</v>
      </c>
      <c r="W68" t="s">
        <v>65</v>
      </c>
      <c r="X68" t="s">
        <v>554</v>
      </c>
      <c r="Y68">
        <v>0</v>
      </c>
      <c r="Z68" s="4">
        <v>5360</v>
      </c>
      <c r="AA68">
        <v>500</v>
      </c>
      <c r="AB68">
        <v>0</v>
      </c>
      <c r="AC68">
        <v>0</v>
      </c>
      <c r="AD68">
        <v>0</v>
      </c>
      <c r="AG68">
        <v>0</v>
      </c>
      <c r="AP68" t="s">
        <v>555</v>
      </c>
      <c r="AQ68" t="s">
        <v>116</v>
      </c>
      <c r="AR68" t="s">
        <v>6639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BC68" t="s">
        <v>69</v>
      </c>
      <c r="BD68" t="s">
        <v>556</v>
      </c>
      <c r="BE68">
        <v>0</v>
      </c>
      <c r="BG68" t="s">
        <v>116</v>
      </c>
      <c r="BJ68" t="s">
        <v>557</v>
      </c>
    </row>
    <row r="69" spans="1:62" x14ac:dyDescent="0.35">
      <c r="A69" t="s">
        <v>570</v>
      </c>
      <c r="B69">
        <v>10000</v>
      </c>
      <c r="C69">
        <v>30000</v>
      </c>
      <c r="D69" s="2">
        <v>45737</v>
      </c>
      <c r="E69" t="s">
        <v>61</v>
      </c>
      <c r="F69" t="s">
        <v>571</v>
      </c>
      <c r="G69" t="s">
        <v>572</v>
      </c>
      <c r="I69">
        <v>1</v>
      </c>
      <c r="J69" t="s">
        <v>63</v>
      </c>
      <c r="K69" s="8">
        <v>79</v>
      </c>
      <c r="L69" s="8" t="s">
        <v>6608</v>
      </c>
      <c r="M69" s="8" t="s">
        <v>6631</v>
      </c>
      <c r="N69" t="s">
        <v>573</v>
      </c>
      <c r="O69" t="s">
        <v>6547</v>
      </c>
      <c r="P69" s="4">
        <v>1836</v>
      </c>
      <c r="Q69">
        <f>(P69/20)+30</f>
        <v>121.8</v>
      </c>
      <c r="R69">
        <f>Q69/60</f>
        <v>2.0299999999999998</v>
      </c>
      <c r="S69" s="2">
        <v>45719</v>
      </c>
      <c r="U69">
        <v>297</v>
      </c>
      <c r="V69" s="4">
        <v>545292</v>
      </c>
      <c r="W69" t="s">
        <v>65</v>
      </c>
      <c r="X69" t="s">
        <v>574</v>
      </c>
      <c r="Y69">
        <v>0</v>
      </c>
      <c r="Z69" s="4">
        <v>500000</v>
      </c>
      <c r="AA69" s="4">
        <v>45292</v>
      </c>
      <c r="AB69">
        <v>0</v>
      </c>
      <c r="AC69">
        <v>0</v>
      </c>
      <c r="AD69">
        <v>0</v>
      </c>
      <c r="AG69">
        <v>0</v>
      </c>
      <c r="AP69" t="s">
        <v>575</v>
      </c>
      <c r="AQ69" t="s">
        <v>107</v>
      </c>
      <c r="AR69" t="s">
        <v>6638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C69" t="s">
        <v>69</v>
      </c>
      <c r="BD69" t="s">
        <v>576</v>
      </c>
      <c r="BE69">
        <v>0</v>
      </c>
      <c r="BG69" t="s">
        <v>107</v>
      </c>
      <c r="BJ69" t="s">
        <v>577</v>
      </c>
    </row>
    <row r="70" spans="1:62" x14ac:dyDescent="0.35">
      <c r="A70" t="s">
        <v>585</v>
      </c>
      <c r="B70">
        <v>10000</v>
      </c>
      <c r="C70">
        <v>10000</v>
      </c>
      <c r="D70" s="2">
        <v>45720</v>
      </c>
      <c r="E70" t="s">
        <v>61</v>
      </c>
      <c r="F70" t="s">
        <v>457</v>
      </c>
      <c r="G70" t="s">
        <v>586</v>
      </c>
      <c r="I70">
        <v>1</v>
      </c>
      <c r="J70" t="s">
        <v>63</v>
      </c>
      <c r="K70" s="8">
        <v>63</v>
      </c>
      <c r="L70" s="8" t="s">
        <v>6605</v>
      </c>
      <c r="M70" s="8" t="s">
        <v>6630</v>
      </c>
      <c r="N70" t="s">
        <v>519</v>
      </c>
      <c r="O70" t="s">
        <v>6569</v>
      </c>
      <c r="P70" s="4">
        <v>10000</v>
      </c>
      <c r="Q70">
        <f t="shared" ref="Q70:Q71" si="18">(P70/40)+45</f>
        <v>295</v>
      </c>
      <c r="R70">
        <f t="shared" ref="R70:R71" si="19">Q70/60</f>
        <v>4.916666666666667</v>
      </c>
      <c r="S70" s="2">
        <v>45719</v>
      </c>
      <c r="U70">
        <v>60</v>
      </c>
      <c r="V70" s="4">
        <v>600000</v>
      </c>
      <c r="W70" t="s">
        <v>65</v>
      </c>
      <c r="X70" t="s">
        <v>587</v>
      </c>
      <c r="Y70">
        <v>0</v>
      </c>
      <c r="Z70" s="4">
        <v>600000</v>
      </c>
      <c r="AA70">
        <v>0</v>
      </c>
      <c r="AB70">
        <v>0</v>
      </c>
      <c r="AC70">
        <v>0</v>
      </c>
      <c r="AD70">
        <v>0</v>
      </c>
      <c r="AG70">
        <v>0</v>
      </c>
      <c r="AP70" t="s">
        <v>588</v>
      </c>
      <c r="AQ70" t="s">
        <v>175</v>
      </c>
      <c r="AR70" t="s">
        <v>6642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C70" t="s">
        <v>69</v>
      </c>
      <c r="BD70" t="s">
        <v>589</v>
      </c>
      <c r="BE70">
        <v>0</v>
      </c>
      <c r="BG70" t="s">
        <v>175</v>
      </c>
      <c r="BJ70" t="s">
        <v>590</v>
      </c>
    </row>
    <row r="71" spans="1:62" x14ac:dyDescent="0.35">
      <c r="A71" t="s">
        <v>591</v>
      </c>
      <c r="B71">
        <v>10000</v>
      </c>
      <c r="C71">
        <v>10000</v>
      </c>
      <c r="D71" s="2">
        <v>45720</v>
      </c>
      <c r="E71" t="s">
        <v>61</v>
      </c>
      <c r="F71" t="s">
        <v>457</v>
      </c>
      <c r="G71" t="s">
        <v>586</v>
      </c>
      <c r="I71">
        <v>1</v>
      </c>
      <c r="J71" t="s">
        <v>63</v>
      </c>
      <c r="K71" s="8">
        <v>63</v>
      </c>
      <c r="L71" s="8" t="s">
        <v>6605</v>
      </c>
      <c r="M71" s="8" t="s">
        <v>6630</v>
      </c>
      <c r="N71" t="s">
        <v>519</v>
      </c>
      <c r="O71" t="s">
        <v>6569</v>
      </c>
      <c r="P71" s="4">
        <v>10000</v>
      </c>
      <c r="Q71">
        <f t="shared" si="18"/>
        <v>295</v>
      </c>
      <c r="R71">
        <f t="shared" si="19"/>
        <v>4.916666666666667</v>
      </c>
      <c r="S71" s="2">
        <v>45719</v>
      </c>
      <c r="U71">
        <v>60</v>
      </c>
      <c r="V71" s="4">
        <v>600000</v>
      </c>
      <c r="W71" t="s">
        <v>65</v>
      </c>
      <c r="X71" t="s">
        <v>587</v>
      </c>
      <c r="Y71">
        <v>0</v>
      </c>
      <c r="Z71" s="4">
        <v>600000</v>
      </c>
      <c r="AA71">
        <v>0</v>
      </c>
      <c r="AB71">
        <v>0</v>
      </c>
      <c r="AC71">
        <v>0</v>
      </c>
      <c r="AD71">
        <v>0</v>
      </c>
      <c r="AG71">
        <v>0</v>
      </c>
      <c r="AP71" t="s">
        <v>588</v>
      </c>
      <c r="AQ71" t="s">
        <v>175</v>
      </c>
      <c r="AR71" t="s">
        <v>6642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C71" t="s">
        <v>69</v>
      </c>
      <c r="BD71" t="s">
        <v>592</v>
      </c>
      <c r="BE71">
        <v>0</v>
      </c>
      <c r="BG71" t="s">
        <v>175</v>
      </c>
      <c r="BJ71" t="s">
        <v>593</v>
      </c>
    </row>
    <row r="72" spans="1:62" x14ac:dyDescent="0.35">
      <c r="A72" t="s">
        <v>594</v>
      </c>
      <c r="B72">
        <v>10000</v>
      </c>
      <c r="C72">
        <v>10000</v>
      </c>
      <c r="D72" s="2">
        <v>45720</v>
      </c>
      <c r="E72" t="s">
        <v>61</v>
      </c>
      <c r="F72" t="s">
        <v>595</v>
      </c>
      <c r="G72" t="s">
        <v>596</v>
      </c>
      <c r="I72">
        <v>1</v>
      </c>
      <c r="J72" t="s">
        <v>63</v>
      </c>
      <c r="K72" s="8">
        <v>95</v>
      </c>
      <c r="L72" s="8" t="s">
        <v>6609</v>
      </c>
      <c r="M72" s="8" t="s">
        <v>6630</v>
      </c>
      <c r="N72" t="s">
        <v>597</v>
      </c>
      <c r="O72" t="s">
        <v>6556</v>
      </c>
      <c r="P72" s="4">
        <v>36286</v>
      </c>
      <c r="Q72">
        <f>(P72/20)+45</f>
        <v>1859.3</v>
      </c>
      <c r="R72">
        <f>Q72/60</f>
        <v>30.988333333333333</v>
      </c>
      <c r="S72" s="2">
        <v>45719</v>
      </c>
      <c r="U72">
        <v>7</v>
      </c>
      <c r="V72" s="4">
        <v>254002</v>
      </c>
      <c r="W72" t="s">
        <v>65</v>
      </c>
      <c r="X72">
        <v>86.915900010000001</v>
      </c>
      <c r="Y72">
        <v>0</v>
      </c>
      <c r="Z72" s="4">
        <v>259500</v>
      </c>
      <c r="AA72" s="4">
        <v>-5498</v>
      </c>
      <c r="AB72">
        <v>0</v>
      </c>
      <c r="AC72">
        <v>0</v>
      </c>
      <c r="AD72">
        <v>0</v>
      </c>
      <c r="AG72">
        <v>0</v>
      </c>
      <c r="AP72">
        <v>86.915899999999993</v>
      </c>
      <c r="AQ72" t="s">
        <v>449</v>
      </c>
      <c r="AR72" t="s">
        <v>6654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C72" t="s">
        <v>69</v>
      </c>
      <c r="BD72" t="s">
        <v>598</v>
      </c>
      <c r="BE72">
        <v>0</v>
      </c>
      <c r="BG72" t="s">
        <v>449</v>
      </c>
      <c r="BJ72" t="s">
        <v>599</v>
      </c>
    </row>
    <row r="73" spans="1:62" x14ac:dyDescent="0.35">
      <c r="A73" t="s">
        <v>609</v>
      </c>
      <c r="B73">
        <v>10000</v>
      </c>
      <c r="C73">
        <v>10000</v>
      </c>
      <c r="D73" s="2">
        <v>45730</v>
      </c>
      <c r="E73" t="s">
        <v>61</v>
      </c>
      <c r="F73" t="s">
        <v>610</v>
      </c>
      <c r="G73">
        <v>10639931002</v>
      </c>
      <c r="I73">
        <v>1</v>
      </c>
      <c r="J73" t="s">
        <v>63</v>
      </c>
      <c r="K73" s="8">
        <v>79</v>
      </c>
      <c r="L73" s="8" t="s">
        <v>6608</v>
      </c>
      <c r="M73" s="8" t="s">
        <v>6631</v>
      </c>
      <c r="N73" t="s">
        <v>573</v>
      </c>
      <c r="O73" t="s">
        <v>6547</v>
      </c>
      <c r="P73" s="4">
        <v>1714</v>
      </c>
      <c r="Q73">
        <f>(P73/20)+30</f>
        <v>115.7</v>
      </c>
      <c r="R73">
        <f>Q73/60</f>
        <v>1.9283333333333335</v>
      </c>
      <c r="S73" s="2">
        <v>45719</v>
      </c>
      <c r="U73">
        <v>176</v>
      </c>
      <c r="V73" s="4">
        <v>301664</v>
      </c>
      <c r="W73" t="s">
        <v>65</v>
      </c>
      <c r="X73" t="s">
        <v>611</v>
      </c>
      <c r="Y73">
        <v>0</v>
      </c>
      <c r="Z73" s="4">
        <v>260000</v>
      </c>
      <c r="AA73" s="4">
        <v>41664</v>
      </c>
      <c r="AB73">
        <v>0</v>
      </c>
      <c r="AC73">
        <v>0</v>
      </c>
      <c r="AD73">
        <v>0</v>
      </c>
      <c r="AG73">
        <v>0</v>
      </c>
      <c r="AP73" t="s">
        <v>612</v>
      </c>
      <c r="AQ73" t="s">
        <v>107</v>
      </c>
      <c r="AR73" t="s">
        <v>6638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C73" t="s">
        <v>69</v>
      </c>
      <c r="BD73" t="s">
        <v>613</v>
      </c>
      <c r="BE73">
        <v>0</v>
      </c>
      <c r="BG73" t="s">
        <v>107</v>
      </c>
      <c r="BJ73" t="s">
        <v>614</v>
      </c>
    </row>
    <row r="74" spans="1:62" x14ac:dyDescent="0.35">
      <c r="A74" t="s">
        <v>615</v>
      </c>
      <c r="B74">
        <v>10000</v>
      </c>
      <c r="C74">
        <v>10000</v>
      </c>
      <c r="D74" s="2">
        <v>45720</v>
      </c>
      <c r="E74" t="s">
        <v>61</v>
      </c>
      <c r="F74" t="s">
        <v>616</v>
      </c>
      <c r="G74" t="s">
        <v>617</v>
      </c>
      <c r="I74">
        <v>1</v>
      </c>
      <c r="J74" t="s">
        <v>63</v>
      </c>
      <c r="K74" s="8">
        <v>61</v>
      </c>
      <c r="L74" s="8" t="s">
        <v>6594</v>
      </c>
      <c r="M74" s="8" t="s">
        <v>6629</v>
      </c>
      <c r="N74" t="s">
        <v>216</v>
      </c>
      <c r="O74" t="s">
        <v>6394</v>
      </c>
      <c r="P74">
        <v>100</v>
      </c>
      <c r="Q74">
        <f>(P74/50)+45</f>
        <v>47</v>
      </c>
      <c r="R74">
        <f>Q74/60</f>
        <v>0.78333333333333333</v>
      </c>
      <c r="S74" s="2">
        <v>45719</v>
      </c>
      <c r="U74">
        <v>2</v>
      </c>
      <c r="V74">
        <v>200</v>
      </c>
      <c r="W74" t="s">
        <v>65</v>
      </c>
      <c r="X74" t="s">
        <v>618</v>
      </c>
      <c r="Y74">
        <v>0</v>
      </c>
      <c r="Z74">
        <v>200</v>
      </c>
      <c r="AA74">
        <v>0</v>
      </c>
      <c r="AB74">
        <v>0</v>
      </c>
      <c r="AC74">
        <v>0</v>
      </c>
      <c r="AD74">
        <v>0</v>
      </c>
      <c r="AG74">
        <v>0</v>
      </c>
      <c r="AP74" t="s">
        <v>619</v>
      </c>
      <c r="AQ74" t="s">
        <v>508</v>
      </c>
      <c r="AR74" t="s">
        <v>6657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C74" t="s">
        <v>69</v>
      </c>
      <c r="BD74" t="s">
        <v>620</v>
      </c>
      <c r="BE74">
        <v>0</v>
      </c>
      <c r="BG74" t="s">
        <v>508</v>
      </c>
      <c r="BJ74" t="s">
        <v>621</v>
      </c>
    </row>
    <row r="75" spans="1:62" x14ac:dyDescent="0.35">
      <c r="A75" t="s">
        <v>622</v>
      </c>
      <c r="B75">
        <v>10000</v>
      </c>
      <c r="C75">
        <v>10000</v>
      </c>
      <c r="D75" s="2">
        <v>45737</v>
      </c>
      <c r="E75" t="s">
        <v>61</v>
      </c>
      <c r="F75" s="3">
        <v>0.48247685185185185</v>
      </c>
      <c r="G75">
        <v>10639931001</v>
      </c>
      <c r="I75">
        <v>1</v>
      </c>
      <c r="J75" t="s">
        <v>63</v>
      </c>
      <c r="K75" s="8">
        <v>79</v>
      </c>
      <c r="L75" s="8" t="s">
        <v>6608</v>
      </c>
      <c r="M75" s="8" t="s">
        <v>6631</v>
      </c>
      <c r="N75" t="s">
        <v>573</v>
      </c>
      <c r="O75" t="s">
        <v>6547</v>
      </c>
      <c r="P75">
        <v>228</v>
      </c>
      <c r="Q75">
        <f>(P75/20)+30</f>
        <v>41.4</v>
      </c>
      <c r="R75">
        <f>Q75/60</f>
        <v>0.69</v>
      </c>
      <c r="S75" s="2">
        <v>45719</v>
      </c>
      <c r="U75">
        <v>308</v>
      </c>
      <c r="V75" s="4">
        <v>70224</v>
      </c>
      <c r="W75" t="s">
        <v>65</v>
      </c>
      <c r="X75" t="s">
        <v>623</v>
      </c>
      <c r="Y75">
        <v>0</v>
      </c>
      <c r="Z75" s="4">
        <v>50000</v>
      </c>
      <c r="AA75" s="4">
        <v>20224</v>
      </c>
      <c r="AB75">
        <v>0</v>
      </c>
      <c r="AC75">
        <v>0</v>
      </c>
      <c r="AD75">
        <v>0</v>
      </c>
      <c r="AG75">
        <v>0</v>
      </c>
      <c r="AP75" t="s">
        <v>624</v>
      </c>
      <c r="AQ75" t="s">
        <v>107</v>
      </c>
      <c r="AR75" t="s">
        <v>6638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C75" t="s">
        <v>69</v>
      </c>
      <c r="BD75" t="s">
        <v>625</v>
      </c>
      <c r="BE75">
        <v>0</v>
      </c>
      <c r="BG75" t="s">
        <v>107</v>
      </c>
      <c r="BJ75" t="s">
        <v>626</v>
      </c>
    </row>
    <row r="76" spans="1:62" x14ac:dyDescent="0.35">
      <c r="A76" t="s">
        <v>627</v>
      </c>
      <c r="B76">
        <v>10000</v>
      </c>
      <c r="C76">
        <v>10000</v>
      </c>
      <c r="D76" s="2">
        <v>45721</v>
      </c>
      <c r="E76" t="s">
        <v>61</v>
      </c>
      <c r="F76" t="s">
        <v>628</v>
      </c>
      <c r="G76" t="s">
        <v>629</v>
      </c>
      <c r="I76">
        <v>1</v>
      </c>
      <c r="J76" t="s">
        <v>63</v>
      </c>
      <c r="K76" s="8">
        <v>88</v>
      </c>
      <c r="L76" s="8" t="s">
        <v>6610</v>
      </c>
      <c r="M76" s="8" t="s">
        <v>6631</v>
      </c>
      <c r="N76" t="s">
        <v>630</v>
      </c>
      <c r="O76" t="s">
        <v>6571</v>
      </c>
      <c r="P76" s="4">
        <v>2500</v>
      </c>
      <c r="S76" s="2">
        <v>45719</v>
      </c>
      <c r="U76">
        <v>1</v>
      </c>
      <c r="V76" s="4">
        <v>2500</v>
      </c>
      <c r="W76" t="s">
        <v>65</v>
      </c>
      <c r="X76" t="s">
        <v>631</v>
      </c>
      <c r="Y76">
        <v>0</v>
      </c>
      <c r="Z76" s="4">
        <v>2500</v>
      </c>
      <c r="AA76">
        <v>0</v>
      </c>
      <c r="AB76">
        <v>0</v>
      </c>
      <c r="AC76">
        <v>0</v>
      </c>
      <c r="AD76">
        <v>0</v>
      </c>
      <c r="AG76">
        <v>0</v>
      </c>
      <c r="AP76" t="s">
        <v>632</v>
      </c>
      <c r="AQ76" t="s">
        <v>633</v>
      </c>
      <c r="AR76" t="s">
        <v>6659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C76" t="s">
        <v>69</v>
      </c>
      <c r="BD76" t="s">
        <v>634</v>
      </c>
      <c r="BE76">
        <v>0</v>
      </c>
      <c r="BG76" t="s">
        <v>633</v>
      </c>
      <c r="BJ76" t="s">
        <v>635</v>
      </c>
    </row>
    <row r="77" spans="1:62" x14ac:dyDescent="0.35">
      <c r="A77" t="s">
        <v>636</v>
      </c>
      <c r="B77">
        <v>10000</v>
      </c>
      <c r="C77">
        <v>10000</v>
      </c>
      <c r="D77" s="2">
        <v>45721</v>
      </c>
      <c r="E77" t="s">
        <v>61</v>
      </c>
      <c r="F77" t="s">
        <v>637</v>
      </c>
      <c r="G77" t="s">
        <v>638</v>
      </c>
      <c r="I77">
        <v>1</v>
      </c>
      <c r="J77" t="s">
        <v>63</v>
      </c>
      <c r="K77" s="8">
        <v>88</v>
      </c>
      <c r="L77" s="8" t="s">
        <v>6610</v>
      </c>
      <c r="M77" s="8" t="s">
        <v>6631</v>
      </c>
      <c r="N77" t="s">
        <v>630</v>
      </c>
      <c r="O77" t="s">
        <v>6571</v>
      </c>
      <c r="P77" s="4">
        <v>3000</v>
      </c>
      <c r="S77" s="2">
        <v>45719</v>
      </c>
      <c r="U77">
        <v>1</v>
      </c>
      <c r="V77" s="4">
        <v>3000</v>
      </c>
      <c r="W77" t="s">
        <v>65</v>
      </c>
      <c r="X77" t="s">
        <v>639</v>
      </c>
      <c r="Y77">
        <v>0</v>
      </c>
      <c r="Z77" s="4">
        <v>2500</v>
      </c>
      <c r="AA77">
        <v>500</v>
      </c>
      <c r="AB77">
        <v>0</v>
      </c>
      <c r="AC77">
        <v>0</v>
      </c>
      <c r="AD77">
        <v>0</v>
      </c>
      <c r="AG77">
        <v>0</v>
      </c>
      <c r="AP77" t="s">
        <v>640</v>
      </c>
      <c r="AQ77" t="s">
        <v>633</v>
      </c>
      <c r="AR77" t="s">
        <v>6659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C77" t="s">
        <v>69</v>
      </c>
      <c r="BD77" t="s">
        <v>641</v>
      </c>
      <c r="BE77">
        <v>0</v>
      </c>
      <c r="BG77" t="s">
        <v>633</v>
      </c>
      <c r="BJ77" t="s">
        <v>635</v>
      </c>
    </row>
    <row r="78" spans="1:62" x14ac:dyDescent="0.35">
      <c r="A78" t="s">
        <v>642</v>
      </c>
      <c r="B78">
        <v>10000</v>
      </c>
      <c r="C78">
        <v>10000</v>
      </c>
      <c r="D78" s="2">
        <v>45721</v>
      </c>
      <c r="E78" t="s">
        <v>61</v>
      </c>
      <c r="F78" t="s">
        <v>643</v>
      </c>
      <c r="G78" t="s">
        <v>629</v>
      </c>
      <c r="I78">
        <v>1</v>
      </c>
      <c r="J78" t="s">
        <v>63</v>
      </c>
      <c r="K78" s="8">
        <v>88</v>
      </c>
      <c r="L78" s="8" t="s">
        <v>6610</v>
      </c>
      <c r="M78" s="8" t="s">
        <v>6631</v>
      </c>
      <c r="N78" t="s">
        <v>630</v>
      </c>
      <c r="O78" t="s">
        <v>6571</v>
      </c>
      <c r="P78">
        <v>500</v>
      </c>
      <c r="S78" s="2">
        <v>45719</v>
      </c>
      <c r="U78">
        <v>1</v>
      </c>
      <c r="V78">
        <v>500</v>
      </c>
      <c r="W78" t="s">
        <v>65</v>
      </c>
      <c r="X78" t="s">
        <v>631</v>
      </c>
      <c r="Y78">
        <v>0</v>
      </c>
      <c r="Z78">
        <v>500</v>
      </c>
      <c r="AA78">
        <v>0</v>
      </c>
      <c r="AB78">
        <v>0</v>
      </c>
      <c r="AC78">
        <v>0</v>
      </c>
      <c r="AD78">
        <v>0</v>
      </c>
      <c r="AG78">
        <v>0</v>
      </c>
      <c r="AP78" t="s">
        <v>632</v>
      </c>
      <c r="AQ78" t="s">
        <v>633</v>
      </c>
      <c r="AR78" t="s">
        <v>6659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C78" t="s">
        <v>69</v>
      </c>
      <c r="BD78" t="s">
        <v>644</v>
      </c>
      <c r="BE78">
        <v>0</v>
      </c>
      <c r="BG78" t="s">
        <v>633</v>
      </c>
      <c r="BJ78" t="s">
        <v>645</v>
      </c>
    </row>
    <row r="79" spans="1:62" x14ac:dyDescent="0.35">
      <c r="A79" t="s">
        <v>646</v>
      </c>
      <c r="B79">
        <v>10000</v>
      </c>
      <c r="C79">
        <v>10000</v>
      </c>
      <c r="D79" s="2">
        <v>45720</v>
      </c>
      <c r="E79" t="s">
        <v>61</v>
      </c>
      <c r="F79" t="s">
        <v>647</v>
      </c>
      <c r="G79" t="s">
        <v>648</v>
      </c>
      <c r="I79">
        <v>1</v>
      </c>
      <c r="J79" t="s">
        <v>63</v>
      </c>
      <c r="K79" s="8">
        <v>93</v>
      </c>
      <c r="L79" s="8" t="s">
        <v>6611</v>
      </c>
      <c r="M79" s="8" t="s">
        <v>6631</v>
      </c>
      <c r="N79" t="s">
        <v>163</v>
      </c>
      <c r="O79" t="s">
        <v>6548</v>
      </c>
      <c r="P79">
        <v>100</v>
      </c>
      <c r="Q79">
        <f t="shared" ref="Q79:Q81" si="20">(P79/20)+30</f>
        <v>35</v>
      </c>
      <c r="R79">
        <f t="shared" ref="R79:R81" si="21">Q79/60</f>
        <v>0.58333333333333337</v>
      </c>
      <c r="S79" s="2">
        <v>45719</v>
      </c>
      <c r="U79">
        <v>49</v>
      </c>
      <c r="V79" s="4">
        <v>4900</v>
      </c>
      <c r="W79" t="s">
        <v>65</v>
      </c>
      <c r="X79">
        <v>200715740001</v>
      </c>
      <c r="Y79">
        <v>0</v>
      </c>
      <c r="Z79" s="4">
        <v>3000</v>
      </c>
      <c r="AA79" s="4">
        <v>1900</v>
      </c>
      <c r="AB79">
        <v>0</v>
      </c>
      <c r="AC79">
        <v>0</v>
      </c>
      <c r="AD79">
        <v>0</v>
      </c>
      <c r="AG79">
        <v>0</v>
      </c>
      <c r="AP79">
        <v>20071574</v>
      </c>
      <c r="AQ79" t="s">
        <v>182</v>
      </c>
      <c r="AR79" t="s">
        <v>6643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C79" t="s">
        <v>69</v>
      </c>
      <c r="BD79" t="s">
        <v>649</v>
      </c>
      <c r="BE79">
        <v>0</v>
      </c>
      <c r="BG79" t="s">
        <v>182</v>
      </c>
      <c r="BJ79" t="s">
        <v>650</v>
      </c>
    </row>
    <row r="80" spans="1:62" x14ac:dyDescent="0.35">
      <c r="A80" t="s">
        <v>651</v>
      </c>
      <c r="B80">
        <v>10000</v>
      </c>
      <c r="C80">
        <v>10000</v>
      </c>
      <c r="D80" s="2">
        <v>45720</v>
      </c>
      <c r="E80" t="s">
        <v>61</v>
      </c>
      <c r="F80" t="s">
        <v>652</v>
      </c>
      <c r="G80" t="s">
        <v>648</v>
      </c>
      <c r="I80">
        <v>1</v>
      </c>
      <c r="J80" t="s">
        <v>63</v>
      </c>
      <c r="K80" s="8">
        <v>93</v>
      </c>
      <c r="L80" s="8" t="s">
        <v>6611</v>
      </c>
      <c r="M80" s="8" t="s">
        <v>6631</v>
      </c>
      <c r="N80" t="s">
        <v>163</v>
      </c>
      <c r="O80" t="s">
        <v>6548</v>
      </c>
      <c r="P80">
        <v>124</v>
      </c>
      <c r="Q80">
        <f t="shared" si="20"/>
        <v>36.200000000000003</v>
      </c>
      <c r="R80">
        <f t="shared" si="21"/>
        <v>0.60333333333333339</v>
      </c>
      <c r="S80" s="2">
        <v>45719</v>
      </c>
      <c r="U80">
        <v>49</v>
      </c>
      <c r="V80" s="4">
        <v>6085</v>
      </c>
      <c r="W80" t="s">
        <v>65</v>
      </c>
      <c r="X80">
        <v>200715740001</v>
      </c>
      <c r="Y80">
        <v>0</v>
      </c>
      <c r="Z80" s="4">
        <v>13000</v>
      </c>
      <c r="AA80" s="4">
        <v>-6915</v>
      </c>
      <c r="AB80">
        <v>0</v>
      </c>
      <c r="AC80">
        <v>0</v>
      </c>
      <c r="AD80">
        <v>0</v>
      </c>
      <c r="AG80">
        <v>0</v>
      </c>
      <c r="AP80">
        <v>20071574</v>
      </c>
      <c r="AQ80" t="s">
        <v>182</v>
      </c>
      <c r="AR80" t="s">
        <v>6643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C80" t="s">
        <v>69</v>
      </c>
      <c r="BD80" t="s">
        <v>653</v>
      </c>
      <c r="BE80">
        <v>0</v>
      </c>
      <c r="BG80" t="s">
        <v>182</v>
      </c>
      <c r="BJ80" t="s">
        <v>654</v>
      </c>
    </row>
    <row r="81" spans="1:62" x14ac:dyDescent="0.35">
      <c r="A81" t="s">
        <v>651</v>
      </c>
      <c r="B81">
        <v>20000</v>
      </c>
      <c r="C81">
        <v>10000</v>
      </c>
      <c r="D81" s="2">
        <v>45720</v>
      </c>
      <c r="E81" t="s">
        <v>61</v>
      </c>
      <c r="F81" t="s">
        <v>652</v>
      </c>
      <c r="G81" t="s">
        <v>648</v>
      </c>
      <c r="I81">
        <v>1</v>
      </c>
      <c r="J81" t="s">
        <v>63</v>
      </c>
      <c r="K81" s="8">
        <v>93</v>
      </c>
      <c r="L81" s="8" t="s">
        <v>6611</v>
      </c>
      <c r="M81" s="8" t="s">
        <v>6631</v>
      </c>
      <c r="N81" t="s">
        <v>163</v>
      </c>
      <c r="O81" t="s">
        <v>6548</v>
      </c>
      <c r="P81">
        <v>41</v>
      </c>
      <c r="Q81">
        <f t="shared" si="20"/>
        <v>32.049999999999997</v>
      </c>
      <c r="R81">
        <f t="shared" si="21"/>
        <v>0.53416666666666657</v>
      </c>
      <c r="S81" s="2">
        <v>45719</v>
      </c>
      <c r="U81">
        <v>49</v>
      </c>
      <c r="V81" s="4">
        <v>2000</v>
      </c>
      <c r="W81" t="s">
        <v>65</v>
      </c>
      <c r="X81">
        <v>200715740001</v>
      </c>
      <c r="Y81">
        <v>0</v>
      </c>
      <c r="Z81" s="4">
        <v>2000</v>
      </c>
      <c r="AA81">
        <v>0</v>
      </c>
      <c r="AB81">
        <v>0</v>
      </c>
      <c r="AC81">
        <v>0</v>
      </c>
      <c r="AD81">
        <v>0</v>
      </c>
      <c r="AG81">
        <v>0</v>
      </c>
      <c r="AP81">
        <v>20071574</v>
      </c>
      <c r="AQ81" t="s">
        <v>182</v>
      </c>
      <c r="AR81" t="s">
        <v>6643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C81" t="s">
        <v>69</v>
      </c>
      <c r="BD81" t="s">
        <v>653</v>
      </c>
      <c r="BE81">
        <v>0</v>
      </c>
      <c r="BG81" t="s">
        <v>182</v>
      </c>
      <c r="BJ81" t="s">
        <v>654</v>
      </c>
    </row>
    <row r="82" spans="1:62" x14ac:dyDescent="0.35">
      <c r="A82" t="s">
        <v>655</v>
      </c>
      <c r="B82">
        <v>10000</v>
      </c>
      <c r="C82">
        <v>10000</v>
      </c>
      <c r="D82" s="2">
        <v>45720</v>
      </c>
      <c r="E82" t="s">
        <v>61</v>
      </c>
      <c r="F82" t="s">
        <v>656</v>
      </c>
      <c r="G82" t="s">
        <v>657</v>
      </c>
      <c r="I82">
        <v>1</v>
      </c>
      <c r="J82" t="s">
        <v>63</v>
      </c>
      <c r="K82" s="8">
        <v>87</v>
      </c>
      <c r="L82" s="8" t="s">
        <v>6591</v>
      </c>
      <c r="M82" s="8" t="s">
        <v>6630</v>
      </c>
      <c r="N82" t="s">
        <v>658</v>
      </c>
      <c r="O82" t="s">
        <v>6545</v>
      </c>
      <c r="P82">
        <v>100</v>
      </c>
      <c r="S82" s="2">
        <v>45719</v>
      </c>
      <c r="U82">
        <v>2</v>
      </c>
      <c r="V82">
        <v>200</v>
      </c>
      <c r="W82" t="s">
        <v>65</v>
      </c>
      <c r="X82" t="s">
        <v>659</v>
      </c>
      <c r="Y82">
        <v>0</v>
      </c>
      <c r="Z82">
        <v>200</v>
      </c>
      <c r="AA82">
        <v>0</v>
      </c>
      <c r="AB82">
        <v>0</v>
      </c>
      <c r="AC82">
        <v>0</v>
      </c>
      <c r="AD82">
        <v>0</v>
      </c>
      <c r="AG82">
        <v>0</v>
      </c>
      <c r="AP82" t="s">
        <v>660</v>
      </c>
      <c r="AQ82" t="s">
        <v>661</v>
      </c>
      <c r="AR82" t="s">
        <v>6660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C82" t="s">
        <v>69</v>
      </c>
      <c r="BD82" t="s">
        <v>662</v>
      </c>
      <c r="BE82">
        <v>0</v>
      </c>
      <c r="BG82" t="s">
        <v>661</v>
      </c>
      <c r="BJ82" t="s">
        <v>663</v>
      </c>
    </row>
    <row r="83" spans="1:62" x14ac:dyDescent="0.35">
      <c r="A83" t="s">
        <v>664</v>
      </c>
      <c r="B83">
        <v>10000</v>
      </c>
      <c r="C83">
        <v>10000</v>
      </c>
      <c r="D83" s="2">
        <v>45734</v>
      </c>
      <c r="E83" t="s">
        <v>61</v>
      </c>
      <c r="F83" t="s">
        <v>665</v>
      </c>
      <c r="G83">
        <v>10639931060</v>
      </c>
      <c r="I83">
        <v>1</v>
      </c>
      <c r="J83" t="s">
        <v>63</v>
      </c>
      <c r="K83" s="8">
        <v>79</v>
      </c>
      <c r="L83" s="8" t="s">
        <v>6608</v>
      </c>
      <c r="M83" s="8" t="s">
        <v>6631</v>
      </c>
      <c r="N83" t="s">
        <v>573</v>
      </c>
      <c r="O83" t="s">
        <v>6547</v>
      </c>
      <c r="P83">
        <v>133</v>
      </c>
      <c r="Q83">
        <f t="shared" ref="Q83:Q87" si="22">(P83/20)+30</f>
        <v>36.65</v>
      </c>
      <c r="R83">
        <f t="shared" ref="R83:R87" si="23">Q83/60</f>
        <v>0.61083333333333334</v>
      </c>
      <c r="S83" s="2">
        <v>45719</v>
      </c>
      <c r="U83">
        <v>264</v>
      </c>
      <c r="V83" s="4">
        <v>35112</v>
      </c>
      <c r="W83" t="s">
        <v>65</v>
      </c>
      <c r="X83" t="s">
        <v>666</v>
      </c>
      <c r="Y83">
        <v>0</v>
      </c>
      <c r="Z83" s="4">
        <v>20000</v>
      </c>
      <c r="AA83" s="4">
        <v>15112</v>
      </c>
      <c r="AB83">
        <v>0</v>
      </c>
      <c r="AC83">
        <v>0</v>
      </c>
      <c r="AD83">
        <v>0</v>
      </c>
      <c r="AG83">
        <v>0</v>
      </c>
      <c r="AP83" t="s">
        <v>667</v>
      </c>
      <c r="AQ83" t="s">
        <v>107</v>
      </c>
      <c r="AR83" t="s">
        <v>6638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C83" t="s">
        <v>69</v>
      </c>
      <c r="BD83" t="s">
        <v>668</v>
      </c>
      <c r="BE83">
        <v>0</v>
      </c>
      <c r="BG83" t="s">
        <v>107</v>
      </c>
      <c r="BJ83" t="s">
        <v>669</v>
      </c>
    </row>
    <row r="84" spans="1:62" x14ac:dyDescent="0.35">
      <c r="A84" t="s">
        <v>670</v>
      </c>
      <c r="B84">
        <v>10000</v>
      </c>
      <c r="C84">
        <v>10000</v>
      </c>
      <c r="D84" s="2">
        <v>45729</v>
      </c>
      <c r="E84" t="s">
        <v>61</v>
      </c>
      <c r="F84" t="s">
        <v>671</v>
      </c>
      <c r="G84">
        <v>10639931060</v>
      </c>
      <c r="I84">
        <v>1</v>
      </c>
      <c r="J84" t="s">
        <v>63</v>
      </c>
      <c r="K84" s="8">
        <v>79</v>
      </c>
      <c r="L84" s="8" t="s">
        <v>6608</v>
      </c>
      <c r="M84" s="8" t="s">
        <v>6631</v>
      </c>
      <c r="N84" t="s">
        <v>573</v>
      </c>
      <c r="O84" t="s">
        <v>6547</v>
      </c>
      <c r="P84">
        <v>304</v>
      </c>
      <c r="Q84">
        <f t="shared" si="22"/>
        <v>45.2</v>
      </c>
      <c r="R84">
        <f t="shared" si="23"/>
        <v>0.75333333333333341</v>
      </c>
      <c r="S84" s="2">
        <v>45719</v>
      </c>
      <c r="U84">
        <v>264</v>
      </c>
      <c r="V84" s="4">
        <v>80256</v>
      </c>
      <c r="W84" t="s">
        <v>65</v>
      </c>
      <c r="X84" t="s">
        <v>672</v>
      </c>
      <c r="Y84">
        <v>0</v>
      </c>
      <c r="Z84" s="4">
        <v>50000</v>
      </c>
      <c r="AA84" s="4">
        <v>30256</v>
      </c>
      <c r="AB84">
        <v>0</v>
      </c>
      <c r="AC84">
        <v>0</v>
      </c>
      <c r="AD84">
        <v>0</v>
      </c>
      <c r="AG84">
        <v>0</v>
      </c>
      <c r="AP84" t="s">
        <v>673</v>
      </c>
      <c r="AQ84" t="s">
        <v>107</v>
      </c>
      <c r="AR84" t="s">
        <v>6638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C84" t="s">
        <v>69</v>
      </c>
      <c r="BD84" t="s">
        <v>674</v>
      </c>
      <c r="BE84">
        <v>0</v>
      </c>
      <c r="BG84" t="s">
        <v>107</v>
      </c>
      <c r="BJ84" t="s">
        <v>675</v>
      </c>
    </row>
    <row r="85" spans="1:62" x14ac:dyDescent="0.35">
      <c r="A85" t="s">
        <v>676</v>
      </c>
      <c r="B85">
        <v>10000</v>
      </c>
      <c r="C85">
        <v>10000</v>
      </c>
      <c r="D85" s="2">
        <v>45729</v>
      </c>
      <c r="E85" t="s">
        <v>61</v>
      </c>
      <c r="F85" t="s">
        <v>677</v>
      </c>
      <c r="G85">
        <v>10639931060</v>
      </c>
      <c r="I85">
        <v>1</v>
      </c>
      <c r="J85" t="s">
        <v>63</v>
      </c>
      <c r="K85" s="8">
        <v>79</v>
      </c>
      <c r="L85" s="8" t="s">
        <v>6608</v>
      </c>
      <c r="M85" s="8" t="s">
        <v>6631</v>
      </c>
      <c r="N85" t="s">
        <v>573</v>
      </c>
      <c r="O85" t="s">
        <v>6547</v>
      </c>
      <c r="P85">
        <v>171</v>
      </c>
      <c r="Q85">
        <f t="shared" si="22"/>
        <v>38.549999999999997</v>
      </c>
      <c r="R85">
        <f t="shared" si="23"/>
        <v>0.64249999999999996</v>
      </c>
      <c r="S85" s="2">
        <v>45719</v>
      </c>
      <c r="U85">
        <v>176</v>
      </c>
      <c r="V85" s="4">
        <v>30096</v>
      </c>
      <c r="W85" t="s">
        <v>65</v>
      </c>
      <c r="X85" t="s">
        <v>678</v>
      </c>
      <c r="Y85">
        <v>0</v>
      </c>
      <c r="Z85" s="4">
        <v>20000</v>
      </c>
      <c r="AA85" s="4">
        <v>10096</v>
      </c>
      <c r="AB85">
        <v>0</v>
      </c>
      <c r="AC85">
        <v>0</v>
      </c>
      <c r="AD85">
        <v>0</v>
      </c>
      <c r="AG85">
        <v>0</v>
      </c>
      <c r="AP85" t="s">
        <v>679</v>
      </c>
      <c r="AQ85" t="s">
        <v>107</v>
      </c>
      <c r="AR85" t="s">
        <v>6638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C85" t="s">
        <v>69</v>
      </c>
      <c r="BD85" t="s">
        <v>680</v>
      </c>
      <c r="BE85">
        <v>0</v>
      </c>
      <c r="BG85" t="s">
        <v>107</v>
      </c>
      <c r="BJ85" t="s">
        <v>681</v>
      </c>
    </row>
    <row r="86" spans="1:62" x14ac:dyDescent="0.35">
      <c r="A86" t="s">
        <v>682</v>
      </c>
      <c r="B86">
        <v>10000</v>
      </c>
      <c r="C86">
        <v>10000</v>
      </c>
      <c r="D86" s="2">
        <v>45729</v>
      </c>
      <c r="E86" t="s">
        <v>61</v>
      </c>
      <c r="F86" t="s">
        <v>683</v>
      </c>
      <c r="G86">
        <v>10639931060</v>
      </c>
      <c r="I86">
        <v>1</v>
      </c>
      <c r="J86" t="s">
        <v>63</v>
      </c>
      <c r="K86" s="8">
        <v>79</v>
      </c>
      <c r="L86" s="8" t="s">
        <v>6608</v>
      </c>
      <c r="M86" s="8" t="s">
        <v>6631</v>
      </c>
      <c r="N86" t="s">
        <v>573</v>
      </c>
      <c r="O86" t="s">
        <v>6547</v>
      </c>
      <c r="P86">
        <v>133</v>
      </c>
      <c r="Q86">
        <f t="shared" si="22"/>
        <v>36.65</v>
      </c>
      <c r="R86">
        <f t="shared" si="23"/>
        <v>0.61083333333333334</v>
      </c>
      <c r="S86" s="2">
        <v>45719</v>
      </c>
      <c r="U86">
        <v>264</v>
      </c>
      <c r="V86" s="4">
        <v>35112</v>
      </c>
      <c r="W86" t="s">
        <v>65</v>
      </c>
      <c r="X86" t="s">
        <v>684</v>
      </c>
      <c r="Y86">
        <v>0</v>
      </c>
      <c r="Z86" s="4">
        <v>20000</v>
      </c>
      <c r="AA86" s="4">
        <v>15112</v>
      </c>
      <c r="AB86">
        <v>0</v>
      </c>
      <c r="AC86">
        <v>0</v>
      </c>
      <c r="AD86">
        <v>0</v>
      </c>
      <c r="AG86">
        <v>0</v>
      </c>
      <c r="AP86" t="s">
        <v>685</v>
      </c>
      <c r="AQ86" t="s">
        <v>107</v>
      </c>
      <c r="AR86" t="s">
        <v>6638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C86" t="s">
        <v>69</v>
      </c>
      <c r="BD86" t="s">
        <v>686</v>
      </c>
      <c r="BE86">
        <v>0</v>
      </c>
      <c r="BG86" t="s">
        <v>107</v>
      </c>
      <c r="BJ86" t="s">
        <v>687</v>
      </c>
    </row>
    <row r="87" spans="1:62" x14ac:dyDescent="0.35">
      <c r="A87" t="s">
        <v>688</v>
      </c>
      <c r="B87">
        <v>10000</v>
      </c>
      <c r="C87">
        <v>10000</v>
      </c>
      <c r="D87" s="2">
        <v>45729</v>
      </c>
      <c r="E87" t="s">
        <v>61</v>
      </c>
      <c r="F87" t="s">
        <v>689</v>
      </c>
      <c r="G87">
        <v>10639931060</v>
      </c>
      <c r="I87">
        <v>1</v>
      </c>
      <c r="J87" t="s">
        <v>63</v>
      </c>
      <c r="K87" s="8">
        <v>79</v>
      </c>
      <c r="L87" s="8" t="s">
        <v>6608</v>
      </c>
      <c r="M87" s="8" t="s">
        <v>6631</v>
      </c>
      <c r="N87" t="s">
        <v>573</v>
      </c>
      <c r="O87" t="s">
        <v>6547</v>
      </c>
      <c r="P87">
        <v>133</v>
      </c>
      <c r="Q87">
        <f t="shared" si="22"/>
        <v>36.65</v>
      </c>
      <c r="R87">
        <f t="shared" si="23"/>
        <v>0.61083333333333334</v>
      </c>
      <c r="S87" s="2">
        <v>45719</v>
      </c>
      <c r="U87">
        <v>264</v>
      </c>
      <c r="V87" s="4">
        <v>35112</v>
      </c>
      <c r="W87" t="s">
        <v>65</v>
      </c>
      <c r="X87" t="s">
        <v>690</v>
      </c>
      <c r="Y87">
        <v>0</v>
      </c>
      <c r="Z87" s="4">
        <v>20000</v>
      </c>
      <c r="AA87" s="4">
        <v>15112</v>
      </c>
      <c r="AB87">
        <v>0</v>
      </c>
      <c r="AC87">
        <v>0</v>
      </c>
      <c r="AD87">
        <v>0</v>
      </c>
      <c r="AG87">
        <v>0</v>
      </c>
      <c r="AP87" t="s">
        <v>691</v>
      </c>
      <c r="AQ87" t="s">
        <v>107</v>
      </c>
      <c r="AR87" t="s">
        <v>6638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C87" t="s">
        <v>69</v>
      </c>
      <c r="BD87" t="s">
        <v>692</v>
      </c>
      <c r="BE87">
        <v>0</v>
      </c>
      <c r="BG87" t="s">
        <v>107</v>
      </c>
      <c r="BJ87" t="s">
        <v>693</v>
      </c>
    </row>
    <row r="88" spans="1:62" x14ac:dyDescent="0.35">
      <c r="A88" t="s">
        <v>694</v>
      </c>
      <c r="B88">
        <v>10000</v>
      </c>
      <c r="C88">
        <v>10000</v>
      </c>
      <c r="D88" s="2">
        <v>45719</v>
      </c>
      <c r="E88" t="s">
        <v>61</v>
      </c>
      <c r="F88" t="s">
        <v>247</v>
      </c>
      <c r="G88" t="s">
        <v>695</v>
      </c>
      <c r="I88">
        <v>1</v>
      </c>
      <c r="J88" t="s">
        <v>63</v>
      </c>
      <c r="K88" s="8">
        <v>82</v>
      </c>
      <c r="L88" s="8" t="s">
        <v>6598</v>
      </c>
      <c r="M88" s="8" t="s">
        <v>6630</v>
      </c>
      <c r="N88" t="s">
        <v>341</v>
      </c>
      <c r="O88" t="s">
        <v>6346</v>
      </c>
      <c r="P88">
        <v>560</v>
      </c>
      <c r="S88" s="2">
        <v>45719</v>
      </c>
      <c r="U88">
        <v>44</v>
      </c>
      <c r="V88" s="4">
        <v>24640</v>
      </c>
      <c r="W88" t="s">
        <v>65</v>
      </c>
      <c r="X88">
        <v>111699440001</v>
      </c>
      <c r="Y88">
        <v>0</v>
      </c>
      <c r="Z88" s="4">
        <v>24640</v>
      </c>
      <c r="AA88">
        <v>0</v>
      </c>
      <c r="AB88">
        <v>0</v>
      </c>
      <c r="AC88">
        <v>0</v>
      </c>
      <c r="AD88">
        <v>0</v>
      </c>
      <c r="AG88">
        <v>0</v>
      </c>
      <c r="AP88">
        <v>11169944</v>
      </c>
      <c r="AQ88" t="s">
        <v>182</v>
      </c>
      <c r="AR88" t="s">
        <v>6643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C88" t="s">
        <v>69</v>
      </c>
      <c r="BD88" t="s">
        <v>696</v>
      </c>
      <c r="BE88">
        <v>0</v>
      </c>
      <c r="BG88" t="s">
        <v>182</v>
      </c>
      <c r="BJ88" t="s">
        <v>697</v>
      </c>
    </row>
    <row r="89" spans="1:62" x14ac:dyDescent="0.35">
      <c r="A89" t="s">
        <v>698</v>
      </c>
      <c r="B89">
        <v>10000</v>
      </c>
      <c r="C89">
        <v>10000</v>
      </c>
      <c r="D89" s="2">
        <v>45719</v>
      </c>
      <c r="E89" t="s">
        <v>61</v>
      </c>
      <c r="F89" t="s">
        <v>354</v>
      </c>
      <c r="G89" t="s">
        <v>699</v>
      </c>
      <c r="I89">
        <v>1</v>
      </c>
      <c r="J89" t="s">
        <v>63</v>
      </c>
      <c r="K89" s="8">
        <v>82</v>
      </c>
      <c r="L89" s="8" t="s">
        <v>6598</v>
      </c>
      <c r="M89" s="8" t="s">
        <v>6630</v>
      </c>
      <c r="N89" t="s">
        <v>341</v>
      </c>
      <c r="O89" t="s">
        <v>6346</v>
      </c>
      <c r="P89">
        <v>385</v>
      </c>
      <c r="S89" s="2">
        <v>45719</v>
      </c>
      <c r="U89">
        <v>26</v>
      </c>
      <c r="V89" s="4">
        <v>10020</v>
      </c>
      <c r="W89" t="s">
        <v>65</v>
      </c>
      <c r="X89">
        <v>112023880001</v>
      </c>
      <c r="Y89">
        <v>0</v>
      </c>
      <c r="Z89" s="4">
        <v>10000</v>
      </c>
      <c r="AA89">
        <v>20</v>
      </c>
      <c r="AB89">
        <v>0</v>
      </c>
      <c r="AC89">
        <v>0</v>
      </c>
      <c r="AD89">
        <v>0</v>
      </c>
      <c r="AG89">
        <v>0</v>
      </c>
      <c r="AP89">
        <v>11202388</v>
      </c>
      <c r="AQ89" t="s">
        <v>182</v>
      </c>
      <c r="AR89" t="s">
        <v>6643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C89" t="s">
        <v>69</v>
      </c>
      <c r="BD89" t="s">
        <v>700</v>
      </c>
      <c r="BE89">
        <v>0</v>
      </c>
      <c r="BG89" t="s">
        <v>182</v>
      </c>
      <c r="BJ89" t="s">
        <v>701</v>
      </c>
    </row>
    <row r="90" spans="1:62" x14ac:dyDescent="0.35">
      <c r="A90" t="s">
        <v>698</v>
      </c>
      <c r="B90">
        <v>20000</v>
      </c>
      <c r="C90">
        <v>10000</v>
      </c>
      <c r="D90" s="2">
        <v>45719</v>
      </c>
      <c r="E90" t="s">
        <v>61</v>
      </c>
      <c r="F90" t="s">
        <v>354</v>
      </c>
      <c r="G90" t="s">
        <v>699</v>
      </c>
      <c r="I90">
        <v>1</v>
      </c>
      <c r="J90" t="s">
        <v>63</v>
      </c>
      <c r="K90" s="8">
        <v>82</v>
      </c>
      <c r="L90" s="8" t="s">
        <v>6598</v>
      </c>
      <c r="M90" s="8" t="s">
        <v>6630</v>
      </c>
      <c r="N90" t="s">
        <v>341</v>
      </c>
      <c r="O90" t="s">
        <v>6346</v>
      </c>
      <c r="P90">
        <v>385</v>
      </c>
      <c r="S90" s="2">
        <v>45719</v>
      </c>
      <c r="U90">
        <v>26</v>
      </c>
      <c r="V90" s="4">
        <v>10000</v>
      </c>
      <c r="W90" t="s">
        <v>65</v>
      </c>
      <c r="X90">
        <v>112023880001</v>
      </c>
      <c r="Y90">
        <v>0</v>
      </c>
      <c r="Z90" s="4">
        <v>10000</v>
      </c>
      <c r="AA90">
        <v>0</v>
      </c>
      <c r="AB90">
        <v>0</v>
      </c>
      <c r="AC90">
        <v>0</v>
      </c>
      <c r="AD90">
        <v>0</v>
      </c>
      <c r="AG90">
        <v>0</v>
      </c>
      <c r="AP90">
        <v>11202388</v>
      </c>
      <c r="AQ90" t="s">
        <v>182</v>
      </c>
      <c r="AR90" t="s">
        <v>6643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C90" t="s">
        <v>69</v>
      </c>
      <c r="BD90" t="s">
        <v>700</v>
      </c>
      <c r="BE90">
        <v>0</v>
      </c>
      <c r="BG90" t="s">
        <v>182</v>
      </c>
      <c r="BJ90" t="s">
        <v>701</v>
      </c>
    </row>
    <row r="91" spans="1:62" x14ac:dyDescent="0.35">
      <c r="A91" t="s">
        <v>702</v>
      </c>
      <c r="B91">
        <v>10000</v>
      </c>
      <c r="C91">
        <v>10000</v>
      </c>
      <c r="D91" s="2">
        <v>45720</v>
      </c>
      <c r="E91" t="s">
        <v>61</v>
      </c>
      <c r="F91" t="s">
        <v>703</v>
      </c>
      <c r="G91" t="s">
        <v>648</v>
      </c>
      <c r="I91">
        <v>1</v>
      </c>
      <c r="J91" t="s">
        <v>63</v>
      </c>
      <c r="K91" s="8">
        <v>93</v>
      </c>
      <c r="L91" s="8" t="s">
        <v>6611</v>
      </c>
      <c r="M91" s="8" t="s">
        <v>6631</v>
      </c>
      <c r="N91" t="s">
        <v>163</v>
      </c>
      <c r="O91" t="s">
        <v>6548</v>
      </c>
      <c r="P91">
        <v>50</v>
      </c>
      <c r="Q91">
        <f t="shared" ref="Q91:Q96" si="24">(P91/20)+30</f>
        <v>32.5</v>
      </c>
      <c r="R91">
        <f t="shared" ref="R91:R96" si="25">Q91/60</f>
        <v>0.54166666666666663</v>
      </c>
      <c r="S91" s="2">
        <v>45719</v>
      </c>
      <c r="U91">
        <v>224</v>
      </c>
      <c r="V91" s="4">
        <v>11200</v>
      </c>
      <c r="W91" t="s">
        <v>65</v>
      </c>
      <c r="X91">
        <v>201088630001</v>
      </c>
      <c r="Y91">
        <v>0</v>
      </c>
      <c r="Z91" s="4">
        <v>8000</v>
      </c>
      <c r="AA91" s="4">
        <v>3200</v>
      </c>
      <c r="AB91">
        <v>0</v>
      </c>
      <c r="AC91">
        <v>0</v>
      </c>
      <c r="AD91">
        <v>0</v>
      </c>
      <c r="AG91">
        <v>0</v>
      </c>
      <c r="AP91">
        <v>20108863</v>
      </c>
      <c r="AQ91" t="s">
        <v>182</v>
      </c>
      <c r="AR91" t="s">
        <v>6643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C91" t="s">
        <v>69</v>
      </c>
      <c r="BD91" t="s">
        <v>704</v>
      </c>
      <c r="BE91">
        <v>0</v>
      </c>
      <c r="BG91" t="s">
        <v>182</v>
      </c>
      <c r="BJ91" t="s">
        <v>705</v>
      </c>
    </row>
    <row r="92" spans="1:62" x14ac:dyDescent="0.35">
      <c r="A92" t="s">
        <v>706</v>
      </c>
      <c r="B92">
        <v>10000</v>
      </c>
      <c r="C92">
        <v>10000</v>
      </c>
      <c r="D92" s="2">
        <v>45720</v>
      </c>
      <c r="E92" t="s">
        <v>61</v>
      </c>
      <c r="F92" t="s">
        <v>707</v>
      </c>
      <c r="G92" t="s">
        <v>648</v>
      </c>
      <c r="I92">
        <v>1</v>
      </c>
      <c r="J92" t="s">
        <v>63</v>
      </c>
      <c r="K92" s="8">
        <v>93</v>
      </c>
      <c r="L92" s="8" t="s">
        <v>6611</v>
      </c>
      <c r="M92" s="8" t="s">
        <v>6631</v>
      </c>
      <c r="N92" t="s">
        <v>163</v>
      </c>
      <c r="O92" t="s">
        <v>6548</v>
      </c>
      <c r="P92">
        <v>52</v>
      </c>
      <c r="Q92">
        <f t="shared" si="24"/>
        <v>32.6</v>
      </c>
      <c r="R92">
        <f t="shared" si="25"/>
        <v>0.54333333333333333</v>
      </c>
      <c r="S92" s="2">
        <v>45719</v>
      </c>
      <c r="U92">
        <v>224</v>
      </c>
      <c r="V92" s="4">
        <v>11680</v>
      </c>
      <c r="W92" t="s">
        <v>65</v>
      </c>
      <c r="X92">
        <v>201088630001</v>
      </c>
      <c r="Y92">
        <v>0</v>
      </c>
      <c r="Z92" s="4">
        <v>8000</v>
      </c>
      <c r="AA92" s="4">
        <v>3680</v>
      </c>
      <c r="AB92">
        <v>0</v>
      </c>
      <c r="AC92">
        <v>0</v>
      </c>
      <c r="AD92">
        <v>0</v>
      </c>
      <c r="AG92">
        <v>0</v>
      </c>
      <c r="AP92">
        <v>20108863</v>
      </c>
      <c r="AQ92" t="s">
        <v>182</v>
      </c>
      <c r="AR92" t="s">
        <v>6643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C92" t="s">
        <v>69</v>
      </c>
      <c r="BD92" t="s">
        <v>708</v>
      </c>
      <c r="BE92">
        <v>0</v>
      </c>
      <c r="BG92" t="s">
        <v>182</v>
      </c>
      <c r="BJ92" t="s">
        <v>709</v>
      </c>
    </row>
    <row r="93" spans="1:62" x14ac:dyDescent="0.35">
      <c r="A93" t="s">
        <v>706</v>
      </c>
      <c r="B93">
        <v>20000</v>
      </c>
      <c r="C93">
        <v>10000</v>
      </c>
      <c r="D93" s="2">
        <v>45720</v>
      </c>
      <c r="E93" t="s">
        <v>61</v>
      </c>
      <c r="F93" t="s">
        <v>707</v>
      </c>
      <c r="G93" t="s">
        <v>648</v>
      </c>
      <c r="I93">
        <v>1</v>
      </c>
      <c r="J93" t="s">
        <v>63</v>
      </c>
      <c r="K93" s="8">
        <v>93</v>
      </c>
      <c r="L93" s="8" t="s">
        <v>6611</v>
      </c>
      <c r="M93" s="8" t="s">
        <v>6631</v>
      </c>
      <c r="N93" t="s">
        <v>163</v>
      </c>
      <c r="O93" t="s">
        <v>6548</v>
      </c>
      <c r="P93">
        <v>18</v>
      </c>
      <c r="Q93">
        <f t="shared" si="24"/>
        <v>30.9</v>
      </c>
      <c r="R93">
        <f t="shared" si="25"/>
        <v>0.51500000000000001</v>
      </c>
      <c r="S93" s="2">
        <v>45719</v>
      </c>
      <c r="U93">
        <v>224</v>
      </c>
      <c r="V93" s="4">
        <v>4000</v>
      </c>
      <c r="W93" t="s">
        <v>65</v>
      </c>
      <c r="X93">
        <v>201088630001</v>
      </c>
      <c r="Y93">
        <v>0</v>
      </c>
      <c r="Z93" s="4">
        <v>4000</v>
      </c>
      <c r="AA93">
        <v>0</v>
      </c>
      <c r="AB93">
        <v>0</v>
      </c>
      <c r="AC93">
        <v>0</v>
      </c>
      <c r="AD93">
        <v>0</v>
      </c>
      <c r="AG93">
        <v>0</v>
      </c>
      <c r="AP93">
        <v>20108863</v>
      </c>
      <c r="AQ93" t="s">
        <v>182</v>
      </c>
      <c r="AR93" t="s">
        <v>6643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C93" t="s">
        <v>69</v>
      </c>
      <c r="BD93" t="s">
        <v>708</v>
      </c>
      <c r="BE93">
        <v>0</v>
      </c>
      <c r="BG93" t="s">
        <v>182</v>
      </c>
      <c r="BJ93" t="s">
        <v>709</v>
      </c>
    </row>
    <row r="94" spans="1:62" x14ac:dyDescent="0.35">
      <c r="A94" t="s">
        <v>710</v>
      </c>
      <c r="B94">
        <v>10000</v>
      </c>
      <c r="C94">
        <v>10000</v>
      </c>
      <c r="D94" s="2">
        <v>45720</v>
      </c>
      <c r="E94" t="s">
        <v>61</v>
      </c>
      <c r="F94" s="3">
        <v>0.42364583333333333</v>
      </c>
      <c r="G94" t="s">
        <v>711</v>
      </c>
      <c r="I94">
        <v>1</v>
      </c>
      <c r="J94" t="s">
        <v>63</v>
      </c>
      <c r="K94" s="8">
        <v>93</v>
      </c>
      <c r="L94" s="8" t="s">
        <v>6611</v>
      </c>
      <c r="M94" s="8" t="s">
        <v>6631</v>
      </c>
      <c r="N94" t="s">
        <v>163</v>
      </c>
      <c r="O94" t="s">
        <v>6548</v>
      </c>
      <c r="P94">
        <v>100</v>
      </c>
      <c r="Q94">
        <f t="shared" si="24"/>
        <v>35</v>
      </c>
      <c r="R94">
        <f t="shared" si="25"/>
        <v>0.58333333333333337</v>
      </c>
      <c r="S94" s="2">
        <v>45719</v>
      </c>
      <c r="U94">
        <v>144</v>
      </c>
      <c r="V94" s="4">
        <v>14400</v>
      </c>
      <c r="W94" t="s">
        <v>65</v>
      </c>
      <c r="X94">
        <v>52028070001</v>
      </c>
      <c r="Y94">
        <v>0</v>
      </c>
      <c r="Z94" s="4">
        <v>10000</v>
      </c>
      <c r="AA94" s="4">
        <v>4400</v>
      </c>
      <c r="AB94">
        <v>0</v>
      </c>
      <c r="AC94">
        <v>0</v>
      </c>
      <c r="AD94">
        <v>0</v>
      </c>
      <c r="AG94">
        <v>0</v>
      </c>
      <c r="AP94">
        <v>5202807</v>
      </c>
      <c r="AQ94" t="s">
        <v>712</v>
      </c>
      <c r="AR94" t="s">
        <v>6661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C94" t="s">
        <v>69</v>
      </c>
      <c r="BD94" t="s">
        <v>713</v>
      </c>
      <c r="BE94">
        <v>0</v>
      </c>
      <c r="BG94" t="s">
        <v>712</v>
      </c>
      <c r="BJ94" t="s">
        <v>714</v>
      </c>
    </row>
    <row r="95" spans="1:62" x14ac:dyDescent="0.35">
      <c r="A95" t="s">
        <v>715</v>
      </c>
      <c r="B95">
        <v>10000</v>
      </c>
      <c r="C95">
        <v>10000</v>
      </c>
      <c r="D95" s="2">
        <v>45720</v>
      </c>
      <c r="E95" t="s">
        <v>61</v>
      </c>
      <c r="F95" t="s">
        <v>716</v>
      </c>
      <c r="G95" t="s">
        <v>648</v>
      </c>
      <c r="I95">
        <v>1</v>
      </c>
      <c r="J95" t="s">
        <v>63</v>
      </c>
      <c r="K95" s="8">
        <v>93</v>
      </c>
      <c r="L95" s="8" t="s">
        <v>6611</v>
      </c>
      <c r="M95" s="8" t="s">
        <v>6631</v>
      </c>
      <c r="N95" t="s">
        <v>163</v>
      </c>
      <c r="O95" t="s">
        <v>6548</v>
      </c>
      <c r="P95">
        <v>140</v>
      </c>
      <c r="Q95">
        <f t="shared" si="24"/>
        <v>37</v>
      </c>
      <c r="R95">
        <f t="shared" si="25"/>
        <v>0.6166666666666667</v>
      </c>
      <c r="S95" s="2">
        <v>45719</v>
      </c>
      <c r="U95">
        <v>108</v>
      </c>
      <c r="V95" s="4">
        <v>15120</v>
      </c>
      <c r="W95" t="s">
        <v>65</v>
      </c>
      <c r="X95">
        <v>200900090001</v>
      </c>
      <c r="Y95">
        <v>0</v>
      </c>
      <c r="Z95" s="4">
        <v>40000</v>
      </c>
      <c r="AA95" s="4">
        <v>-24880</v>
      </c>
      <c r="AB95">
        <v>0</v>
      </c>
      <c r="AC95">
        <v>0</v>
      </c>
      <c r="AD95">
        <v>0</v>
      </c>
      <c r="AG95">
        <v>0</v>
      </c>
      <c r="AP95">
        <v>20090009</v>
      </c>
      <c r="AQ95" t="s">
        <v>182</v>
      </c>
      <c r="AR95" t="s">
        <v>6643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C95" t="s">
        <v>69</v>
      </c>
      <c r="BD95" t="s">
        <v>717</v>
      </c>
      <c r="BE95">
        <v>0</v>
      </c>
      <c r="BG95" t="s">
        <v>182</v>
      </c>
      <c r="BJ95" t="s">
        <v>718</v>
      </c>
    </row>
    <row r="96" spans="1:62" x14ac:dyDescent="0.35">
      <c r="A96" t="s">
        <v>719</v>
      </c>
      <c r="B96">
        <v>10000</v>
      </c>
      <c r="C96">
        <v>10000</v>
      </c>
      <c r="D96" s="2">
        <v>45720</v>
      </c>
      <c r="E96" t="s">
        <v>61</v>
      </c>
      <c r="F96" t="s">
        <v>720</v>
      </c>
      <c r="G96" t="s">
        <v>648</v>
      </c>
      <c r="I96">
        <v>1</v>
      </c>
      <c r="J96" t="s">
        <v>63</v>
      </c>
      <c r="K96" s="8">
        <v>93</v>
      </c>
      <c r="L96" s="8" t="s">
        <v>6611</v>
      </c>
      <c r="M96" s="8" t="s">
        <v>6631</v>
      </c>
      <c r="N96" t="s">
        <v>163</v>
      </c>
      <c r="O96" t="s">
        <v>6548</v>
      </c>
      <c r="P96">
        <v>171</v>
      </c>
      <c r="Q96">
        <f t="shared" si="24"/>
        <v>38.549999999999997</v>
      </c>
      <c r="R96">
        <f t="shared" si="25"/>
        <v>0.64249999999999996</v>
      </c>
      <c r="S96" s="2">
        <v>45719</v>
      </c>
      <c r="U96">
        <v>88</v>
      </c>
      <c r="V96" s="4">
        <v>15048</v>
      </c>
      <c r="W96" t="s">
        <v>65</v>
      </c>
      <c r="X96">
        <v>200689890001</v>
      </c>
      <c r="Y96">
        <v>0</v>
      </c>
      <c r="Z96" s="4">
        <v>12000</v>
      </c>
      <c r="AA96" s="4">
        <v>3048</v>
      </c>
      <c r="AB96">
        <v>0</v>
      </c>
      <c r="AC96">
        <v>0</v>
      </c>
      <c r="AD96">
        <v>0</v>
      </c>
      <c r="AG96">
        <v>0</v>
      </c>
      <c r="AP96">
        <v>20068989</v>
      </c>
      <c r="AQ96" t="s">
        <v>721</v>
      </c>
      <c r="AR96" t="s">
        <v>6662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C96" t="s">
        <v>69</v>
      </c>
      <c r="BD96" t="s">
        <v>722</v>
      </c>
      <c r="BE96">
        <v>0</v>
      </c>
      <c r="BG96" t="s">
        <v>721</v>
      </c>
      <c r="BJ96" t="s">
        <v>723</v>
      </c>
    </row>
    <row r="97" spans="1:62" x14ac:dyDescent="0.35">
      <c r="A97" t="s">
        <v>725</v>
      </c>
      <c r="B97">
        <v>10000</v>
      </c>
      <c r="C97">
        <v>30000</v>
      </c>
      <c r="D97" s="2">
        <v>45730</v>
      </c>
      <c r="E97" t="s">
        <v>61</v>
      </c>
      <c r="F97" t="s">
        <v>726</v>
      </c>
      <c r="G97" t="s">
        <v>727</v>
      </c>
      <c r="I97">
        <v>2</v>
      </c>
      <c r="J97" t="s">
        <v>63</v>
      </c>
      <c r="K97" s="8">
        <v>86</v>
      </c>
      <c r="L97" s="8" t="s">
        <v>6584</v>
      </c>
      <c r="M97" s="8" t="s">
        <v>6627</v>
      </c>
      <c r="N97" t="s">
        <v>64</v>
      </c>
      <c r="O97" t="s">
        <v>6559</v>
      </c>
      <c r="P97" s="4">
        <v>29800</v>
      </c>
      <c r="Q97">
        <f>(P97/60)+45</f>
        <v>541.66666666666674</v>
      </c>
      <c r="R97">
        <f>Q97/60</f>
        <v>9.0277777777777786</v>
      </c>
      <c r="S97" s="2">
        <v>45720</v>
      </c>
      <c r="U97">
        <v>36</v>
      </c>
      <c r="V97" s="4">
        <v>1072800</v>
      </c>
      <c r="W97" t="s">
        <v>65</v>
      </c>
      <c r="X97" t="s">
        <v>728</v>
      </c>
      <c r="Y97">
        <v>0</v>
      </c>
      <c r="Z97" s="4">
        <v>1000000</v>
      </c>
      <c r="AA97" s="4">
        <v>72800</v>
      </c>
      <c r="AB97">
        <v>0</v>
      </c>
      <c r="AC97">
        <v>0</v>
      </c>
      <c r="AD97">
        <v>0</v>
      </c>
      <c r="AG97">
        <v>0</v>
      </c>
      <c r="AP97" t="s">
        <v>729</v>
      </c>
      <c r="AQ97" t="s">
        <v>68</v>
      </c>
      <c r="AR97" t="s">
        <v>6636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BC97" t="s">
        <v>69</v>
      </c>
      <c r="BD97" t="s">
        <v>730</v>
      </c>
      <c r="BE97">
        <v>0</v>
      </c>
      <c r="BG97" t="s">
        <v>68</v>
      </c>
      <c r="BJ97" t="s">
        <v>731</v>
      </c>
    </row>
    <row r="98" spans="1:62" x14ac:dyDescent="0.35">
      <c r="A98" t="s">
        <v>314</v>
      </c>
      <c r="B98">
        <v>10000</v>
      </c>
      <c r="C98">
        <v>20000</v>
      </c>
      <c r="D98" s="2">
        <v>45728</v>
      </c>
      <c r="E98" t="s">
        <v>61</v>
      </c>
      <c r="F98" t="s">
        <v>315</v>
      </c>
      <c r="G98" t="s">
        <v>316</v>
      </c>
      <c r="I98">
        <v>1</v>
      </c>
      <c r="J98" t="s">
        <v>63</v>
      </c>
      <c r="K98" s="8">
        <v>103</v>
      </c>
      <c r="L98" s="8" t="s">
        <v>6589</v>
      </c>
      <c r="M98" s="8" t="s">
        <v>6630</v>
      </c>
      <c r="N98" t="s">
        <v>732</v>
      </c>
      <c r="O98" t="s">
        <v>6563</v>
      </c>
      <c r="P98" s="4">
        <v>35000</v>
      </c>
      <c r="S98" s="2">
        <v>45720</v>
      </c>
      <c r="U98">
        <v>8</v>
      </c>
      <c r="V98" s="4">
        <v>280000</v>
      </c>
      <c r="W98" t="s">
        <v>65</v>
      </c>
      <c r="X98" t="s">
        <v>319</v>
      </c>
      <c r="Y98">
        <v>0</v>
      </c>
      <c r="Z98" s="4">
        <v>280000</v>
      </c>
      <c r="AA98">
        <v>0</v>
      </c>
      <c r="AB98">
        <v>0</v>
      </c>
      <c r="AC98">
        <v>0</v>
      </c>
      <c r="AD98">
        <v>0</v>
      </c>
      <c r="AG98">
        <v>0</v>
      </c>
      <c r="AP98" t="s">
        <v>320</v>
      </c>
      <c r="AQ98" t="s">
        <v>321</v>
      </c>
      <c r="AR98" t="s">
        <v>6652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C98" t="s">
        <v>69</v>
      </c>
      <c r="BD98" t="s">
        <v>322</v>
      </c>
      <c r="BE98">
        <v>0</v>
      </c>
      <c r="BG98" t="s">
        <v>321</v>
      </c>
      <c r="BJ98" t="s">
        <v>323</v>
      </c>
    </row>
    <row r="99" spans="1:62" x14ac:dyDescent="0.35">
      <c r="A99" t="s">
        <v>314</v>
      </c>
      <c r="B99">
        <v>10000</v>
      </c>
      <c r="C99">
        <v>30000</v>
      </c>
      <c r="D99" s="2">
        <v>45728</v>
      </c>
      <c r="E99" t="s">
        <v>61</v>
      </c>
      <c r="F99" t="s">
        <v>315</v>
      </c>
      <c r="G99" t="s">
        <v>316</v>
      </c>
      <c r="I99">
        <v>1</v>
      </c>
      <c r="J99" t="s">
        <v>63</v>
      </c>
      <c r="K99" s="8">
        <v>103</v>
      </c>
      <c r="L99" s="8" t="s">
        <v>6589</v>
      </c>
      <c r="M99" s="8" t="s">
        <v>6630</v>
      </c>
      <c r="N99" t="s">
        <v>733</v>
      </c>
      <c r="O99" t="s">
        <v>6561</v>
      </c>
      <c r="P99" s="4">
        <v>15625</v>
      </c>
      <c r="Q99">
        <f>(P99/20)+45</f>
        <v>826.25</v>
      </c>
      <c r="R99">
        <f>Q99/60</f>
        <v>13.770833333333334</v>
      </c>
      <c r="S99" s="2">
        <v>45720</v>
      </c>
      <c r="U99">
        <v>8</v>
      </c>
      <c r="V99" s="4">
        <v>125000</v>
      </c>
      <c r="W99" t="s">
        <v>65</v>
      </c>
      <c r="X99" s="12" t="s">
        <v>319</v>
      </c>
      <c r="Y99">
        <v>0</v>
      </c>
      <c r="Z99" s="4">
        <v>125000</v>
      </c>
      <c r="AA99">
        <v>0</v>
      </c>
      <c r="AB99">
        <v>0</v>
      </c>
      <c r="AC99">
        <v>0</v>
      </c>
      <c r="AD99">
        <v>0</v>
      </c>
      <c r="AG99">
        <v>0</v>
      </c>
      <c r="AP99" t="s">
        <v>320</v>
      </c>
      <c r="AQ99" t="s">
        <v>321</v>
      </c>
      <c r="AR99" t="s">
        <v>6652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C99" t="s">
        <v>69</v>
      </c>
      <c r="BD99" t="s">
        <v>322</v>
      </c>
      <c r="BE99">
        <v>0</v>
      </c>
      <c r="BG99" t="s">
        <v>321</v>
      </c>
      <c r="BJ99" t="s">
        <v>323</v>
      </c>
    </row>
    <row r="100" spans="1:62" x14ac:dyDescent="0.35">
      <c r="A100" t="s">
        <v>314</v>
      </c>
      <c r="B100">
        <v>20000</v>
      </c>
      <c r="C100">
        <v>10000</v>
      </c>
      <c r="D100" s="2">
        <v>45728</v>
      </c>
      <c r="E100" t="s">
        <v>61</v>
      </c>
      <c r="F100" t="s">
        <v>315</v>
      </c>
      <c r="G100" t="s">
        <v>316</v>
      </c>
      <c r="I100">
        <v>1</v>
      </c>
      <c r="J100" t="s">
        <v>63</v>
      </c>
      <c r="K100" s="8">
        <v>103</v>
      </c>
      <c r="L100" s="8" t="s">
        <v>6589</v>
      </c>
      <c r="M100" s="8" t="s">
        <v>6630</v>
      </c>
      <c r="N100" t="s">
        <v>733</v>
      </c>
      <c r="O100" t="s">
        <v>6561</v>
      </c>
      <c r="P100" s="4">
        <v>43125</v>
      </c>
      <c r="Q100">
        <f>(P100/20)+45</f>
        <v>2201.25</v>
      </c>
      <c r="R100">
        <f>Q100/60</f>
        <v>36.6875</v>
      </c>
      <c r="S100" s="2">
        <v>45720</v>
      </c>
      <c r="U100">
        <v>8</v>
      </c>
      <c r="V100" s="4">
        <v>345000</v>
      </c>
      <c r="W100" t="s">
        <v>65</v>
      </c>
      <c r="X100" s="12" t="s">
        <v>319</v>
      </c>
      <c r="Y100">
        <v>0</v>
      </c>
      <c r="Z100" s="4">
        <v>345000</v>
      </c>
      <c r="AA100">
        <v>0</v>
      </c>
      <c r="AB100">
        <v>0</v>
      </c>
      <c r="AC100">
        <v>0</v>
      </c>
      <c r="AD100">
        <v>0</v>
      </c>
      <c r="AG100">
        <v>0</v>
      </c>
      <c r="AP100" t="s">
        <v>320</v>
      </c>
      <c r="AQ100" t="s">
        <v>321</v>
      </c>
      <c r="AR100" t="s">
        <v>6652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C100" t="s">
        <v>69</v>
      </c>
      <c r="BD100" t="s">
        <v>322</v>
      </c>
      <c r="BE100">
        <v>0</v>
      </c>
      <c r="BG100" t="s">
        <v>321</v>
      </c>
      <c r="BJ100" t="s">
        <v>323</v>
      </c>
    </row>
    <row r="101" spans="1:62" x14ac:dyDescent="0.35">
      <c r="A101" t="s">
        <v>734</v>
      </c>
      <c r="B101">
        <v>10000</v>
      </c>
      <c r="C101">
        <v>10000</v>
      </c>
      <c r="D101" s="2">
        <v>45728</v>
      </c>
      <c r="E101" t="s">
        <v>61</v>
      </c>
      <c r="F101" t="s">
        <v>735</v>
      </c>
      <c r="G101" t="s">
        <v>89</v>
      </c>
      <c r="I101">
        <v>1</v>
      </c>
      <c r="J101" t="s">
        <v>63</v>
      </c>
      <c r="K101" s="8">
        <v>73</v>
      </c>
      <c r="L101" t="s">
        <v>6586</v>
      </c>
      <c r="M101" s="8" t="s">
        <v>6627</v>
      </c>
      <c r="N101" t="s">
        <v>98</v>
      </c>
      <c r="O101" t="s">
        <v>6549</v>
      </c>
      <c r="P101" s="4">
        <v>60000</v>
      </c>
      <c r="S101" s="2">
        <v>45720</v>
      </c>
      <c r="U101">
        <v>12</v>
      </c>
      <c r="V101" s="4">
        <v>720000</v>
      </c>
      <c r="W101" t="s">
        <v>65</v>
      </c>
      <c r="X101">
        <v>80256230001</v>
      </c>
      <c r="Y101">
        <v>0</v>
      </c>
      <c r="Z101" s="4">
        <v>720000</v>
      </c>
      <c r="AA101">
        <v>0</v>
      </c>
      <c r="AB101">
        <v>0</v>
      </c>
      <c r="AC101">
        <v>0</v>
      </c>
      <c r="AD101">
        <v>0</v>
      </c>
      <c r="AG101">
        <v>0</v>
      </c>
      <c r="AP101">
        <v>8025623</v>
      </c>
      <c r="AQ101" t="s">
        <v>91</v>
      </c>
      <c r="AR101" t="s">
        <v>6637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C101" t="s">
        <v>69</v>
      </c>
      <c r="BD101" t="s">
        <v>736</v>
      </c>
      <c r="BE101">
        <v>0</v>
      </c>
      <c r="BG101" t="s">
        <v>91</v>
      </c>
      <c r="BJ101" t="s">
        <v>737</v>
      </c>
    </row>
    <row r="102" spans="1:62" x14ac:dyDescent="0.35">
      <c r="A102" t="s">
        <v>738</v>
      </c>
      <c r="B102">
        <v>10000</v>
      </c>
      <c r="C102">
        <v>20000</v>
      </c>
      <c r="D102" s="2">
        <v>45721</v>
      </c>
      <c r="E102" t="s">
        <v>61</v>
      </c>
      <c r="F102" t="s">
        <v>431</v>
      </c>
      <c r="G102" t="s">
        <v>387</v>
      </c>
      <c r="I102">
        <v>1</v>
      </c>
      <c r="J102" t="s">
        <v>63</v>
      </c>
      <c r="K102" s="8">
        <v>12</v>
      </c>
      <c r="L102" s="8" t="s">
        <v>6604</v>
      </c>
      <c r="M102" s="8" t="s">
        <v>6629</v>
      </c>
      <c r="N102" t="s">
        <v>478</v>
      </c>
      <c r="O102" t="s">
        <v>6434</v>
      </c>
      <c r="P102" s="4">
        <v>5000</v>
      </c>
      <c r="Q102">
        <f>(P102/50)+45</f>
        <v>145</v>
      </c>
      <c r="R102">
        <f>Q102/60</f>
        <v>2.4166666666666665</v>
      </c>
      <c r="S102" s="2">
        <v>45720</v>
      </c>
      <c r="U102">
        <v>1</v>
      </c>
      <c r="V102" s="4">
        <v>5000</v>
      </c>
      <c r="W102" t="s">
        <v>65</v>
      </c>
      <c r="X102" t="s">
        <v>739</v>
      </c>
      <c r="Y102">
        <v>0</v>
      </c>
      <c r="Z102" s="4">
        <v>5000</v>
      </c>
      <c r="AA102">
        <v>0</v>
      </c>
      <c r="AB102">
        <v>0</v>
      </c>
      <c r="AC102">
        <v>0</v>
      </c>
      <c r="AD102">
        <v>0</v>
      </c>
      <c r="AG102">
        <v>0</v>
      </c>
      <c r="AP102" t="s">
        <v>740</v>
      </c>
      <c r="AQ102" t="s">
        <v>206</v>
      </c>
      <c r="AR102" t="s">
        <v>6645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C102" t="s">
        <v>69</v>
      </c>
      <c r="BD102" t="s">
        <v>741</v>
      </c>
      <c r="BE102">
        <v>0</v>
      </c>
      <c r="BG102" t="s">
        <v>206</v>
      </c>
      <c r="BJ102" t="s">
        <v>742</v>
      </c>
    </row>
    <row r="103" spans="1:62" x14ac:dyDescent="0.35">
      <c r="A103" t="s">
        <v>743</v>
      </c>
      <c r="B103">
        <v>10000</v>
      </c>
      <c r="C103">
        <v>10000</v>
      </c>
      <c r="D103" s="2">
        <v>45720</v>
      </c>
      <c r="E103" t="s">
        <v>61</v>
      </c>
      <c r="F103" t="s">
        <v>744</v>
      </c>
      <c r="G103" t="s">
        <v>418</v>
      </c>
      <c r="I103">
        <v>1</v>
      </c>
      <c r="J103" t="s">
        <v>63</v>
      </c>
      <c r="K103" s="8">
        <v>59</v>
      </c>
      <c r="L103" s="8" t="s">
        <v>6592</v>
      </c>
      <c r="M103" s="8" t="s">
        <v>6629</v>
      </c>
      <c r="N103" t="s">
        <v>745</v>
      </c>
      <c r="O103" t="s">
        <v>6501</v>
      </c>
      <c r="P103" s="4">
        <v>10000</v>
      </c>
      <c r="Q103">
        <f t="shared" ref="Q103:Q104" si="26">(P103/40)+45</f>
        <v>295</v>
      </c>
      <c r="R103">
        <f t="shared" ref="R103:R104" si="27">Q103/60</f>
        <v>4.916666666666667</v>
      </c>
      <c r="S103" s="2">
        <v>45720</v>
      </c>
      <c r="U103">
        <v>6</v>
      </c>
      <c r="V103" s="4">
        <v>60000</v>
      </c>
      <c r="W103" t="s">
        <v>65</v>
      </c>
      <c r="X103" t="s">
        <v>746</v>
      </c>
      <c r="Y103">
        <v>0</v>
      </c>
      <c r="Z103" s="4">
        <v>60000</v>
      </c>
      <c r="AA103">
        <v>0</v>
      </c>
      <c r="AB103">
        <v>0</v>
      </c>
      <c r="AC103">
        <v>0</v>
      </c>
      <c r="AD103">
        <v>0</v>
      </c>
      <c r="AG103">
        <v>0</v>
      </c>
      <c r="AP103" t="s">
        <v>747</v>
      </c>
      <c r="AQ103" t="s">
        <v>311</v>
      </c>
      <c r="AR103" t="s">
        <v>6651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C103" t="s">
        <v>69</v>
      </c>
      <c r="BD103" t="s">
        <v>748</v>
      </c>
      <c r="BE103">
        <v>0</v>
      </c>
      <c r="BG103" t="s">
        <v>311</v>
      </c>
      <c r="BJ103" t="s">
        <v>749</v>
      </c>
    </row>
    <row r="104" spans="1:62" x14ac:dyDescent="0.35">
      <c r="A104" t="s">
        <v>750</v>
      </c>
      <c r="B104">
        <v>10000</v>
      </c>
      <c r="C104">
        <v>10000</v>
      </c>
      <c r="D104" s="2">
        <v>45721</v>
      </c>
      <c r="E104" t="s">
        <v>61</v>
      </c>
      <c r="F104" s="3">
        <v>0.48003472222222221</v>
      </c>
      <c r="G104" t="s">
        <v>348</v>
      </c>
      <c r="I104">
        <v>1</v>
      </c>
      <c r="J104" t="s">
        <v>63</v>
      </c>
      <c r="K104" s="8">
        <v>46</v>
      </c>
      <c r="L104" s="8" t="s">
        <v>6587</v>
      </c>
      <c r="M104" s="8" t="s">
        <v>6629</v>
      </c>
      <c r="N104" t="s">
        <v>113</v>
      </c>
      <c r="O104" t="s">
        <v>6499</v>
      </c>
      <c r="P104" s="4">
        <v>27000</v>
      </c>
      <c r="Q104">
        <f t="shared" si="26"/>
        <v>720</v>
      </c>
      <c r="R104">
        <f t="shared" si="27"/>
        <v>12</v>
      </c>
      <c r="S104" s="2">
        <v>45720</v>
      </c>
      <c r="U104">
        <v>1</v>
      </c>
      <c r="V104" s="4">
        <v>27000</v>
      </c>
      <c r="W104" t="s">
        <v>65</v>
      </c>
      <c r="X104" t="s">
        <v>349</v>
      </c>
      <c r="Y104">
        <v>0</v>
      </c>
      <c r="Z104" s="4">
        <v>27000</v>
      </c>
      <c r="AA104">
        <v>0</v>
      </c>
      <c r="AB104">
        <v>0</v>
      </c>
      <c r="AC104">
        <v>0</v>
      </c>
      <c r="AD104">
        <v>0</v>
      </c>
      <c r="AG104">
        <v>0</v>
      </c>
      <c r="AP104" t="s">
        <v>350</v>
      </c>
      <c r="AQ104" t="s">
        <v>751</v>
      </c>
      <c r="AR104" t="s">
        <v>6639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BC104" t="s">
        <v>69</v>
      </c>
      <c r="BD104" t="s">
        <v>752</v>
      </c>
      <c r="BE104">
        <v>0</v>
      </c>
      <c r="BG104" t="s">
        <v>751</v>
      </c>
      <c r="BJ104" t="s">
        <v>753</v>
      </c>
    </row>
    <row r="105" spans="1:62" x14ac:dyDescent="0.35">
      <c r="A105" t="s">
        <v>754</v>
      </c>
      <c r="B105">
        <v>10000</v>
      </c>
      <c r="C105">
        <v>20000</v>
      </c>
      <c r="D105" s="2">
        <v>45720</v>
      </c>
      <c r="E105" t="s">
        <v>61</v>
      </c>
      <c r="F105" t="s">
        <v>755</v>
      </c>
      <c r="G105" t="s">
        <v>756</v>
      </c>
      <c r="I105">
        <v>1</v>
      </c>
      <c r="J105" t="s">
        <v>63</v>
      </c>
      <c r="K105" s="8">
        <v>82</v>
      </c>
      <c r="L105" s="8" t="s">
        <v>6598</v>
      </c>
      <c r="M105" s="8" t="s">
        <v>6630</v>
      </c>
      <c r="N105" t="s">
        <v>341</v>
      </c>
      <c r="O105" t="s">
        <v>6346</v>
      </c>
      <c r="P105" s="4">
        <v>5143</v>
      </c>
      <c r="S105" s="2">
        <v>45720</v>
      </c>
      <c r="U105">
        <v>140</v>
      </c>
      <c r="V105" s="4">
        <v>720020</v>
      </c>
      <c r="W105" t="s">
        <v>65</v>
      </c>
      <c r="X105" t="s">
        <v>757</v>
      </c>
      <c r="Y105">
        <v>0</v>
      </c>
      <c r="Z105" s="4">
        <v>720000</v>
      </c>
      <c r="AA105">
        <v>20</v>
      </c>
      <c r="AB105">
        <v>0</v>
      </c>
      <c r="AC105">
        <v>0</v>
      </c>
      <c r="AD105">
        <v>0</v>
      </c>
      <c r="AG105">
        <v>0</v>
      </c>
      <c r="AP105" t="s">
        <v>758</v>
      </c>
      <c r="AQ105" t="s">
        <v>759</v>
      </c>
      <c r="AR105" t="s">
        <v>6663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C105" t="s">
        <v>69</v>
      </c>
      <c r="BD105" t="s">
        <v>760</v>
      </c>
      <c r="BE105">
        <v>0</v>
      </c>
      <c r="BG105" t="s">
        <v>759</v>
      </c>
      <c r="BJ105" t="s">
        <v>761</v>
      </c>
    </row>
    <row r="106" spans="1:62" x14ac:dyDescent="0.35">
      <c r="A106" t="s">
        <v>762</v>
      </c>
      <c r="B106">
        <v>10000</v>
      </c>
      <c r="C106">
        <v>30000</v>
      </c>
      <c r="D106" s="2">
        <v>45723</v>
      </c>
      <c r="E106" t="s">
        <v>61</v>
      </c>
      <c r="F106" t="s">
        <v>763</v>
      </c>
      <c r="G106" t="s">
        <v>764</v>
      </c>
      <c r="I106">
        <v>1</v>
      </c>
      <c r="J106" t="s">
        <v>63</v>
      </c>
      <c r="K106" s="8">
        <v>90</v>
      </c>
      <c r="L106" s="8" t="s">
        <v>6589</v>
      </c>
      <c r="M106" s="8" t="s">
        <v>6630</v>
      </c>
      <c r="N106" t="s">
        <v>405</v>
      </c>
      <c r="O106" t="s">
        <v>6555</v>
      </c>
      <c r="P106" s="4">
        <v>11000</v>
      </c>
      <c r="Q106">
        <f>(P106/20)+45</f>
        <v>595</v>
      </c>
      <c r="R106">
        <f>Q106/60</f>
        <v>9.9166666666666661</v>
      </c>
      <c r="S106" s="2">
        <v>45720</v>
      </c>
      <c r="U106">
        <v>4</v>
      </c>
      <c r="V106" s="4">
        <v>44000</v>
      </c>
      <c r="W106" t="s">
        <v>65</v>
      </c>
      <c r="X106" t="s">
        <v>765</v>
      </c>
      <c r="Y106">
        <v>0</v>
      </c>
      <c r="Z106" s="4">
        <v>44000</v>
      </c>
      <c r="AA106">
        <v>0</v>
      </c>
      <c r="AB106">
        <v>0</v>
      </c>
      <c r="AC106">
        <v>0</v>
      </c>
      <c r="AD106">
        <v>0</v>
      </c>
      <c r="AG106">
        <v>0</v>
      </c>
      <c r="AP106" t="s">
        <v>766</v>
      </c>
      <c r="AQ106" t="s">
        <v>767</v>
      </c>
      <c r="AR106" t="s">
        <v>6664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C106" t="s">
        <v>69</v>
      </c>
      <c r="BD106" t="s">
        <v>768</v>
      </c>
      <c r="BE106">
        <v>0</v>
      </c>
      <c r="BG106" t="s">
        <v>767</v>
      </c>
      <c r="BJ106" t="s">
        <v>769</v>
      </c>
    </row>
    <row r="107" spans="1:62" x14ac:dyDescent="0.35">
      <c r="A107" t="s">
        <v>762</v>
      </c>
      <c r="B107">
        <v>10000</v>
      </c>
      <c r="C107">
        <v>40000</v>
      </c>
      <c r="D107" s="2">
        <v>45723</v>
      </c>
      <c r="E107" t="s">
        <v>61</v>
      </c>
      <c r="F107" t="s">
        <v>763</v>
      </c>
      <c r="G107" t="s">
        <v>764</v>
      </c>
      <c r="I107">
        <v>1</v>
      </c>
      <c r="J107" t="s">
        <v>63</v>
      </c>
      <c r="K107" s="8">
        <v>90</v>
      </c>
      <c r="L107" t="s">
        <v>6589</v>
      </c>
      <c r="M107" s="8" t="s">
        <v>6630</v>
      </c>
      <c r="N107" t="s">
        <v>154</v>
      </c>
      <c r="O107" t="s">
        <v>6575</v>
      </c>
      <c r="P107" s="4">
        <v>6500</v>
      </c>
      <c r="S107" s="2">
        <v>45720</v>
      </c>
      <c r="U107">
        <v>4</v>
      </c>
      <c r="V107" s="4">
        <v>26000</v>
      </c>
      <c r="W107" t="s">
        <v>65</v>
      </c>
      <c r="X107" t="s">
        <v>765</v>
      </c>
      <c r="Y107">
        <v>0</v>
      </c>
      <c r="Z107" s="4">
        <v>26000</v>
      </c>
      <c r="AA107">
        <v>0</v>
      </c>
      <c r="AB107">
        <v>0</v>
      </c>
      <c r="AC107">
        <v>0</v>
      </c>
      <c r="AD107">
        <v>0</v>
      </c>
      <c r="AG107">
        <v>0</v>
      </c>
      <c r="AP107" t="s">
        <v>766</v>
      </c>
      <c r="AQ107" t="s">
        <v>767</v>
      </c>
      <c r="AR107" t="s">
        <v>6664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BC107" t="s">
        <v>69</v>
      </c>
      <c r="BD107" t="s">
        <v>768</v>
      </c>
      <c r="BE107">
        <v>0</v>
      </c>
      <c r="BG107" t="s">
        <v>767</v>
      </c>
      <c r="BJ107" t="s">
        <v>769</v>
      </c>
    </row>
    <row r="108" spans="1:62" x14ac:dyDescent="0.35">
      <c r="A108" t="s">
        <v>771</v>
      </c>
      <c r="B108">
        <v>10000</v>
      </c>
      <c r="C108">
        <v>20000</v>
      </c>
      <c r="D108" s="2">
        <v>45721</v>
      </c>
      <c r="E108" t="s">
        <v>61</v>
      </c>
      <c r="F108" t="s">
        <v>772</v>
      </c>
      <c r="G108">
        <v>10639931010</v>
      </c>
      <c r="I108">
        <v>2</v>
      </c>
      <c r="J108" t="s">
        <v>63</v>
      </c>
      <c r="K108" s="8">
        <v>77</v>
      </c>
      <c r="L108" s="8" t="s">
        <v>6584</v>
      </c>
      <c r="M108" s="8" t="s">
        <v>6627</v>
      </c>
      <c r="N108" t="s">
        <v>127</v>
      </c>
      <c r="O108" t="s">
        <v>6567</v>
      </c>
      <c r="P108" s="4">
        <v>1705</v>
      </c>
      <c r="Q108">
        <f t="shared" ref="Q108:Q111" si="28">(P108/60)+45</f>
        <v>73.416666666666671</v>
      </c>
      <c r="R108">
        <f t="shared" ref="R108:R111" si="29">Q108/60</f>
        <v>1.2236111111111112</v>
      </c>
      <c r="S108" s="2">
        <v>45720</v>
      </c>
      <c r="U108">
        <v>88</v>
      </c>
      <c r="V108" s="4">
        <v>150040</v>
      </c>
      <c r="W108" t="s">
        <v>65</v>
      </c>
      <c r="X108" t="s">
        <v>773</v>
      </c>
      <c r="Y108">
        <v>0</v>
      </c>
      <c r="Z108" s="4">
        <v>140000</v>
      </c>
      <c r="AA108" s="4">
        <v>10040</v>
      </c>
      <c r="AB108">
        <v>0</v>
      </c>
      <c r="AC108">
        <v>0</v>
      </c>
      <c r="AD108">
        <v>0</v>
      </c>
      <c r="AG108">
        <v>0</v>
      </c>
      <c r="AP108" t="s">
        <v>774</v>
      </c>
      <c r="AQ108" t="s">
        <v>107</v>
      </c>
      <c r="AR108" t="s">
        <v>6638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C108" t="s">
        <v>69</v>
      </c>
      <c r="BD108" t="s">
        <v>775</v>
      </c>
      <c r="BE108">
        <v>0</v>
      </c>
      <c r="BG108" t="s">
        <v>107</v>
      </c>
      <c r="BJ108" t="s">
        <v>776</v>
      </c>
    </row>
    <row r="109" spans="1:62" x14ac:dyDescent="0.35">
      <c r="A109" t="s">
        <v>777</v>
      </c>
      <c r="B109">
        <v>10000</v>
      </c>
      <c r="C109">
        <v>20000</v>
      </c>
      <c r="D109" s="2">
        <v>45721</v>
      </c>
      <c r="E109" t="s">
        <v>61</v>
      </c>
      <c r="F109" s="3">
        <v>0.45700231481481479</v>
      </c>
      <c r="G109" t="s">
        <v>778</v>
      </c>
      <c r="I109">
        <v>2</v>
      </c>
      <c r="J109" t="s">
        <v>63</v>
      </c>
      <c r="K109" s="8">
        <v>77</v>
      </c>
      <c r="L109" s="8" t="s">
        <v>6584</v>
      </c>
      <c r="M109" s="8" t="s">
        <v>6627</v>
      </c>
      <c r="N109" t="s">
        <v>127</v>
      </c>
      <c r="O109" t="s">
        <v>6567</v>
      </c>
      <c r="P109" s="4">
        <v>4807</v>
      </c>
      <c r="Q109">
        <f t="shared" si="28"/>
        <v>125.11666666666666</v>
      </c>
      <c r="R109">
        <f t="shared" si="29"/>
        <v>2.0852777777777778</v>
      </c>
      <c r="S109" s="2">
        <v>45720</v>
      </c>
      <c r="U109">
        <v>88</v>
      </c>
      <c r="V109" s="4">
        <v>423016</v>
      </c>
      <c r="W109" t="s">
        <v>65</v>
      </c>
      <c r="X109" t="s">
        <v>328</v>
      </c>
      <c r="Y109">
        <v>0</v>
      </c>
      <c r="Z109" s="4">
        <v>440000</v>
      </c>
      <c r="AA109" s="4">
        <v>-16984</v>
      </c>
      <c r="AB109">
        <v>0</v>
      </c>
      <c r="AC109">
        <v>0</v>
      </c>
      <c r="AD109">
        <v>0</v>
      </c>
      <c r="AG109">
        <v>0</v>
      </c>
      <c r="AP109" t="s">
        <v>329</v>
      </c>
      <c r="AQ109" t="s">
        <v>107</v>
      </c>
      <c r="AR109" t="s">
        <v>6638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C109" t="s">
        <v>69</v>
      </c>
      <c r="BD109" t="s">
        <v>779</v>
      </c>
      <c r="BE109">
        <v>0</v>
      </c>
      <c r="BG109" t="s">
        <v>107</v>
      </c>
      <c r="BJ109" t="s">
        <v>780</v>
      </c>
    </row>
    <row r="110" spans="1:62" x14ac:dyDescent="0.35">
      <c r="A110" t="s">
        <v>781</v>
      </c>
      <c r="B110">
        <v>10000</v>
      </c>
      <c r="C110">
        <v>20000</v>
      </c>
      <c r="D110" s="2">
        <v>45722</v>
      </c>
      <c r="E110" t="s">
        <v>61</v>
      </c>
      <c r="F110" t="s">
        <v>782</v>
      </c>
      <c r="G110" t="s">
        <v>783</v>
      </c>
      <c r="I110">
        <v>2</v>
      </c>
      <c r="J110" t="s">
        <v>63</v>
      </c>
      <c r="K110" s="8">
        <v>77</v>
      </c>
      <c r="L110" s="8" t="s">
        <v>6584</v>
      </c>
      <c r="M110" s="8" t="s">
        <v>6627</v>
      </c>
      <c r="N110" t="s">
        <v>127</v>
      </c>
      <c r="O110" t="s">
        <v>6567</v>
      </c>
      <c r="P110" s="4">
        <v>2500</v>
      </c>
      <c r="Q110">
        <f t="shared" si="28"/>
        <v>86.666666666666657</v>
      </c>
      <c r="R110">
        <f t="shared" si="29"/>
        <v>1.4444444444444442</v>
      </c>
      <c r="S110" s="2">
        <v>45720</v>
      </c>
      <c r="U110">
        <v>88</v>
      </c>
      <c r="V110" s="4">
        <v>220000</v>
      </c>
      <c r="W110" t="s">
        <v>65</v>
      </c>
      <c r="X110" t="s">
        <v>784</v>
      </c>
      <c r="Y110">
        <v>0</v>
      </c>
      <c r="Z110" s="4">
        <v>200000</v>
      </c>
      <c r="AA110" s="4">
        <v>20000</v>
      </c>
      <c r="AB110">
        <v>0</v>
      </c>
      <c r="AC110">
        <v>0</v>
      </c>
      <c r="AD110">
        <v>0</v>
      </c>
      <c r="AG110">
        <v>0</v>
      </c>
      <c r="AP110" t="s">
        <v>785</v>
      </c>
      <c r="AQ110" t="s">
        <v>107</v>
      </c>
      <c r="AR110" t="s">
        <v>6638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C110" t="s">
        <v>69</v>
      </c>
      <c r="BD110" t="s">
        <v>786</v>
      </c>
      <c r="BE110">
        <v>0</v>
      </c>
      <c r="BG110" t="s">
        <v>107</v>
      </c>
      <c r="BJ110" t="s">
        <v>787</v>
      </c>
    </row>
    <row r="111" spans="1:62" x14ac:dyDescent="0.35">
      <c r="A111" t="s">
        <v>788</v>
      </c>
      <c r="B111">
        <v>10000</v>
      </c>
      <c r="C111">
        <v>20000</v>
      </c>
      <c r="D111" s="2">
        <v>45722</v>
      </c>
      <c r="E111" t="s">
        <v>61</v>
      </c>
      <c r="F111" t="s">
        <v>789</v>
      </c>
      <c r="G111">
        <v>10639931010</v>
      </c>
      <c r="I111">
        <v>2</v>
      </c>
      <c r="J111" t="s">
        <v>63</v>
      </c>
      <c r="K111" s="8">
        <v>77</v>
      </c>
      <c r="L111" s="8" t="s">
        <v>6584</v>
      </c>
      <c r="M111" s="8" t="s">
        <v>6627</v>
      </c>
      <c r="N111" t="s">
        <v>127</v>
      </c>
      <c r="O111" t="s">
        <v>6567</v>
      </c>
      <c r="P111" s="4">
        <v>1250</v>
      </c>
      <c r="Q111">
        <f t="shared" si="28"/>
        <v>65.833333333333329</v>
      </c>
      <c r="R111">
        <f t="shared" si="29"/>
        <v>1.0972222222222221</v>
      </c>
      <c r="S111" s="2">
        <v>45720</v>
      </c>
      <c r="U111">
        <v>88</v>
      </c>
      <c r="V111" s="4">
        <v>110000</v>
      </c>
      <c r="W111" t="s">
        <v>65</v>
      </c>
      <c r="X111" t="s">
        <v>784</v>
      </c>
      <c r="Y111">
        <v>0</v>
      </c>
      <c r="Z111" s="4">
        <v>100000</v>
      </c>
      <c r="AA111" s="4">
        <v>10000</v>
      </c>
      <c r="AB111">
        <v>0</v>
      </c>
      <c r="AC111">
        <v>0</v>
      </c>
      <c r="AD111">
        <v>0</v>
      </c>
      <c r="AG111">
        <v>0</v>
      </c>
      <c r="AP111" t="s">
        <v>785</v>
      </c>
      <c r="AQ111" t="s">
        <v>107</v>
      </c>
      <c r="AR111" t="s">
        <v>6638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C111" t="s">
        <v>69</v>
      </c>
      <c r="BD111" t="s">
        <v>790</v>
      </c>
      <c r="BE111">
        <v>0</v>
      </c>
      <c r="BG111" t="s">
        <v>107</v>
      </c>
      <c r="BJ111" t="s">
        <v>791</v>
      </c>
    </row>
    <row r="112" spans="1:62" x14ac:dyDescent="0.35">
      <c r="A112" t="s">
        <v>792</v>
      </c>
      <c r="B112">
        <v>10000</v>
      </c>
      <c r="C112">
        <v>10000</v>
      </c>
      <c r="D112" s="2">
        <v>45722</v>
      </c>
      <c r="E112" t="s">
        <v>61</v>
      </c>
      <c r="F112" t="s">
        <v>793</v>
      </c>
      <c r="G112" t="s">
        <v>794</v>
      </c>
      <c r="I112">
        <v>1</v>
      </c>
      <c r="J112" t="s">
        <v>63</v>
      </c>
      <c r="K112" s="8">
        <v>70</v>
      </c>
      <c r="L112" s="8" t="s">
        <v>6605</v>
      </c>
      <c r="M112" s="8" t="s">
        <v>6630</v>
      </c>
      <c r="N112" t="s">
        <v>795</v>
      </c>
      <c r="O112" t="s">
        <v>6508</v>
      </c>
      <c r="P112" s="4">
        <v>10000</v>
      </c>
      <c r="Q112">
        <f>(P112/40)+45</f>
        <v>295</v>
      </c>
      <c r="R112">
        <f>Q112/60</f>
        <v>4.916666666666667</v>
      </c>
      <c r="S112" s="2">
        <v>45720</v>
      </c>
      <c r="U112">
        <v>6</v>
      </c>
      <c r="V112" s="4">
        <v>60000</v>
      </c>
      <c r="W112" t="s">
        <v>65</v>
      </c>
      <c r="X112" t="s">
        <v>796</v>
      </c>
      <c r="Y112">
        <v>0</v>
      </c>
      <c r="Z112" s="4">
        <v>60000</v>
      </c>
      <c r="AA112">
        <v>0</v>
      </c>
      <c r="AB112">
        <v>0</v>
      </c>
      <c r="AC112">
        <v>0</v>
      </c>
      <c r="AD112">
        <v>0</v>
      </c>
      <c r="AG112">
        <v>0</v>
      </c>
      <c r="AP112" t="s">
        <v>797</v>
      </c>
      <c r="AQ112" t="s">
        <v>175</v>
      </c>
      <c r="AR112" t="s">
        <v>6642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C112" t="s">
        <v>69</v>
      </c>
      <c r="BD112" t="s">
        <v>798</v>
      </c>
      <c r="BE112">
        <v>0</v>
      </c>
      <c r="BG112" t="s">
        <v>175</v>
      </c>
      <c r="BJ112" t="s">
        <v>799</v>
      </c>
    </row>
    <row r="113" spans="1:62" x14ac:dyDescent="0.35">
      <c r="A113" t="s">
        <v>397</v>
      </c>
      <c r="B113">
        <v>10000</v>
      </c>
      <c r="C113">
        <v>20000</v>
      </c>
      <c r="D113" s="2">
        <v>45722</v>
      </c>
      <c r="E113" t="s">
        <v>61</v>
      </c>
      <c r="F113" t="s">
        <v>398</v>
      </c>
      <c r="G113" t="s">
        <v>394</v>
      </c>
      <c r="I113">
        <v>1</v>
      </c>
      <c r="J113" t="s">
        <v>63</v>
      </c>
      <c r="K113" s="8">
        <v>66</v>
      </c>
      <c r="L113" s="8" t="s">
        <v>6600</v>
      </c>
      <c r="M113" s="8" t="s">
        <v>6630</v>
      </c>
      <c r="N113" t="s">
        <v>800</v>
      </c>
      <c r="O113" t="s">
        <v>6562</v>
      </c>
      <c r="P113" s="4">
        <v>110000</v>
      </c>
      <c r="Q113">
        <f>(P113/50)+45</f>
        <v>2245</v>
      </c>
      <c r="R113">
        <f>Q113/60</f>
        <v>37.416666666666664</v>
      </c>
      <c r="S113" s="2">
        <v>45720</v>
      </c>
      <c r="U113">
        <v>1</v>
      </c>
      <c r="V113" s="4">
        <v>110000</v>
      </c>
      <c r="W113" t="s">
        <v>65</v>
      </c>
      <c r="X113" t="s">
        <v>381</v>
      </c>
      <c r="Y113">
        <v>0</v>
      </c>
      <c r="Z113" s="4">
        <v>110000</v>
      </c>
      <c r="AA113">
        <v>0</v>
      </c>
      <c r="AB113">
        <v>0</v>
      </c>
      <c r="AC113">
        <v>0</v>
      </c>
      <c r="AD113">
        <v>0</v>
      </c>
      <c r="AG113">
        <v>0</v>
      </c>
      <c r="AP113" t="s">
        <v>382</v>
      </c>
      <c r="AQ113" t="s">
        <v>175</v>
      </c>
      <c r="AR113" t="s">
        <v>6642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C113" t="s">
        <v>69</v>
      </c>
      <c r="BD113" t="s">
        <v>400</v>
      </c>
      <c r="BE113">
        <v>0</v>
      </c>
      <c r="BG113" t="s">
        <v>175</v>
      </c>
      <c r="BJ113" t="s">
        <v>401</v>
      </c>
    </row>
    <row r="114" spans="1:62" x14ac:dyDescent="0.35">
      <c r="A114" t="s">
        <v>801</v>
      </c>
      <c r="B114">
        <v>10000</v>
      </c>
      <c r="C114">
        <v>10000</v>
      </c>
      <c r="D114" s="2">
        <v>45722</v>
      </c>
      <c r="E114" t="s">
        <v>61</v>
      </c>
      <c r="F114" t="s">
        <v>802</v>
      </c>
      <c r="G114">
        <v>12190705006</v>
      </c>
      <c r="I114">
        <v>1</v>
      </c>
      <c r="J114" t="s">
        <v>63</v>
      </c>
      <c r="K114" s="8">
        <v>68</v>
      </c>
      <c r="L114" s="8" t="s">
        <v>6605</v>
      </c>
      <c r="M114" s="8" t="s">
        <v>6630</v>
      </c>
      <c r="N114" t="s">
        <v>385</v>
      </c>
      <c r="O114" t="s">
        <v>6541</v>
      </c>
      <c r="P114" s="4">
        <v>19000</v>
      </c>
      <c r="Q114">
        <f>(P114/40)+45</f>
        <v>520</v>
      </c>
      <c r="R114">
        <f>Q114/60</f>
        <v>8.6666666666666661</v>
      </c>
      <c r="S114" s="2">
        <v>45720</v>
      </c>
      <c r="U114">
        <v>2</v>
      </c>
      <c r="V114" s="4">
        <v>38000</v>
      </c>
      <c r="W114" t="s">
        <v>65</v>
      </c>
      <c r="X114" t="s">
        <v>803</v>
      </c>
      <c r="Y114">
        <v>0</v>
      </c>
      <c r="Z114" s="4">
        <v>38000</v>
      </c>
      <c r="AA114">
        <v>0</v>
      </c>
      <c r="AB114">
        <v>0</v>
      </c>
      <c r="AC114">
        <v>0</v>
      </c>
      <c r="AD114">
        <v>0</v>
      </c>
      <c r="AG114">
        <v>0</v>
      </c>
      <c r="AP114" t="s">
        <v>804</v>
      </c>
      <c r="AQ114" t="s">
        <v>175</v>
      </c>
      <c r="AR114" t="s">
        <v>6642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BC114" t="s">
        <v>69</v>
      </c>
      <c r="BD114" t="s">
        <v>805</v>
      </c>
      <c r="BE114">
        <v>0</v>
      </c>
      <c r="BG114" t="s">
        <v>175</v>
      </c>
      <c r="BJ114" t="s">
        <v>806</v>
      </c>
    </row>
    <row r="115" spans="1:62" x14ac:dyDescent="0.35">
      <c r="A115" t="s">
        <v>807</v>
      </c>
      <c r="B115">
        <v>10000</v>
      </c>
      <c r="C115">
        <v>10000</v>
      </c>
      <c r="D115" s="2">
        <v>45722</v>
      </c>
      <c r="E115" t="s">
        <v>61</v>
      </c>
      <c r="F115" t="s">
        <v>808</v>
      </c>
      <c r="G115" t="s">
        <v>809</v>
      </c>
      <c r="I115">
        <v>1</v>
      </c>
      <c r="J115" t="s">
        <v>63</v>
      </c>
      <c r="K115" s="8">
        <v>87</v>
      </c>
      <c r="L115" s="8" t="s">
        <v>6591</v>
      </c>
      <c r="M115" s="8" t="s">
        <v>6630</v>
      </c>
      <c r="N115" t="s">
        <v>172</v>
      </c>
      <c r="O115" t="s">
        <v>6546</v>
      </c>
      <c r="P115" s="4">
        <v>20250</v>
      </c>
      <c r="S115" s="2">
        <v>45720</v>
      </c>
      <c r="U115">
        <v>2</v>
      </c>
      <c r="V115" s="4">
        <v>40500</v>
      </c>
      <c r="W115" t="s">
        <v>65</v>
      </c>
      <c r="X115" t="s">
        <v>173</v>
      </c>
      <c r="Y115">
        <v>0</v>
      </c>
      <c r="Z115" s="4">
        <v>40500</v>
      </c>
      <c r="AA115">
        <v>0</v>
      </c>
      <c r="AB115">
        <v>0</v>
      </c>
      <c r="AC115">
        <v>0</v>
      </c>
      <c r="AD115">
        <v>0</v>
      </c>
      <c r="AG115">
        <v>0</v>
      </c>
      <c r="AP115" t="s">
        <v>174</v>
      </c>
      <c r="AQ115" t="s">
        <v>175</v>
      </c>
      <c r="AR115" t="s">
        <v>6642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C115" t="s">
        <v>69</v>
      </c>
      <c r="BD115" t="s">
        <v>810</v>
      </c>
      <c r="BE115">
        <v>0</v>
      </c>
      <c r="BG115" t="s">
        <v>175</v>
      </c>
      <c r="BJ115" t="s">
        <v>811</v>
      </c>
    </row>
    <row r="116" spans="1:62" x14ac:dyDescent="0.35">
      <c r="A116" t="s">
        <v>812</v>
      </c>
      <c r="B116">
        <v>10000</v>
      </c>
      <c r="C116">
        <v>20000</v>
      </c>
      <c r="D116" s="2">
        <v>45729</v>
      </c>
      <c r="E116" t="s">
        <v>61</v>
      </c>
      <c r="F116" t="s">
        <v>813</v>
      </c>
      <c r="G116">
        <v>10639931052</v>
      </c>
      <c r="I116">
        <v>1</v>
      </c>
      <c r="J116" t="s">
        <v>63</v>
      </c>
      <c r="K116" s="8">
        <v>79</v>
      </c>
      <c r="L116" s="8" t="s">
        <v>6608</v>
      </c>
      <c r="M116" s="8" t="s">
        <v>6631</v>
      </c>
      <c r="N116" t="s">
        <v>573</v>
      </c>
      <c r="O116" t="s">
        <v>6547</v>
      </c>
      <c r="P116">
        <v>304</v>
      </c>
      <c r="Q116">
        <f>(P116/20)+30</f>
        <v>45.2</v>
      </c>
      <c r="R116">
        <f>Q116/60</f>
        <v>0.75333333333333341</v>
      </c>
      <c r="S116" s="2">
        <v>45720</v>
      </c>
      <c r="U116">
        <v>297</v>
      </c>
      <c r="V116" s="4">
        <v>90288</v>
      </c>
      <c r="W116" t="s">
        <v>65</v>
      </c>
      <c r="X116" t="s">
        <v>814</v>
      </c>
      <c r="Y116">
        <v>0</v>
      </c>
      <c r="Z116" s="4">
        <v>70000</v>
      </c>
      <c r="AA116" s="4">
        <v>20288</v>
      </c>
      <c r="AB116">
        <v>0</v>
      </c>
      <c r="AC116">
        <v>0</v>
      </c>
      <c r="AD116">
        <v>0</v>
      </c>
      <c r="AG116">
        <v>0</v>
      </c>
      <c r="AP116" t="s">
        <v>815</v>
      </c>
      <c r="AQ116" t="s">
        <v>107</v>
      </c>
      <c r="AR116" t="s">
        <v>6638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C116" t="s">
        <v>69</v>
      </c>
      <c r="BD116" t="s">
        <v>816</v>
      </c>
      <c r="BE116">
        <v>0</v>
      </c>
      <c r="BG116" t="s">
        <v>107</v>
      </c>
      <c r="BJ116" t="s">
        <v>817</v>
      </c>
    </row>
    <row r="117" spans="1:62" x14ac:dyDescent="0.35">
      <c r="A117" t="s">
        <v>437</v>
      </c>
      <c r="B117">
        <v>10000</v>
      </c>
      <c r="C117">
        <v>30000</v>
      </c>
      <c r="D117" s="2">
        <v>45720</v>
      </c>
      <c r="E117" t="s">
        <v>61</v>
      </c>
      <c r="F117" t="s">
        <v>438</v>
      </c>
      <c r="G117" t="s">
        <v>439</v>
      </c>
      <c r="I117">
        <v>3</v>
      </c>
      <c r="J117" t="s">
        <v>63</v>
      </c>
      <c r="K117" s="8">
        <v>101</v>
      </c>
      <c r="L117" t="s">
        <v>6585</v>
      </c>
      <c r="M117" s="8" t="s">
        <v>6628</v>
      </c>
      <c r="N117" t="s">
        <v>104</v>
      </c>
      <c r="O117" t="s">
        <v>6579</v>
      </c>
      <c r="P117" s="4">
        <v>42000</v>
      </c>
      <c r="S117" s="2">
        <v>45720</v>
      </c>
      <c r="U117">
        <v>3</v>
      </c>
      <c r="V117" s="4">
        <v>126000</v>
      </c>
      <c r="W117" t="s">
        <v>65</v>
      </c>
      <c r="X117" t="s">
        <v>440</v>
      </c>
      <c r="Y117">
        <v>0</v>
      </c>
      <c r="Z117" s="4">
        <v>200000</v>
      </c>
      <c r="AA117" s="4">
        <v>-74000</v>
      </c>
      <c r="AB117">
        <v>0</v>
      </c>
      <c r="AC117">
        <v>0</v>
      </c>
      <c r="AD117">
        <v>0</v>
      </c>
      <c r="AG117">
        <v>0</v>
      </c>
      <c r="AP117" t="s">
        <v>441</v>
      </c>
      <c r="AQ117" t="s">
        <v>107</v>
      </c>
      <c r="AR117" t="s">
        <v>6638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C117" t="s">
        <v>69</v>
      </c>
      <c r="BD117" t="s">
        <v>442</v>
      </c>
      <c r="BE117">
        <v>0</v>
      </c>
      <c r="BG117" t="s">
        <v>107</v>
      </c>
      <c r="BJ117" t="s">
        <v>443</v>
      </c>
    </row>
    <row r="118" spans="1:62" x14ac:dyDescent="0.35">
      <c r="A118" t="s">
        <v>818</v>
      </c>
      <c r="B118">
        <v>10000</v>
      </c>
      <c r="C118">
        <v>20000</v>
      </c>
      <c r="D118" s="2">
        <v>45729</v>
      </c>
      <c r="E118" t="s">
        <v>61</v>
      </c>
      <c r="F118" t="s">
        <v>819</v>
      </c>
      <c r="G118">
        <v>10639931052</v>
      </c>
      <c r="I118">
        <v>1</v>
      </c>
      <c r="J118" t="s">
        <v>63</v>
      </c>
      <c r="K118" s="8">
        <v>79</v>
      </c>
      <c r="L118" s="8" t="s">
        <v>6608</v>
      </c>
      <c r="M118" s="8" t="s">
        <v>6631</v>
      </c>
      <c r="N118" t="s">
        <v>573</v>
      </c>
      <c r="O118" t="s">
        <v>6547</v>
      </c>
      <c r="P118">
        <v>337</v>
      </c>
      <c r="Q118">
        <f>(P118/20)+30</f>
        <v>46.85</v>
      </c>
      <c r="R118">
        <f>Q118/60</f>
        <v>0.78083333333333338</v>
      </c>
      <c r="S118" s="2">
        <v>45720</v>
      </c>
      <c r="U118">
        <v>297</v>
      </c>
      <c r="V118" s="4">
        <v>100089</v>
      </c>
      <c r="W118" t="s">
        <v>65</v>
      </c>
      <c r="X118" t="s">
        <v>820</v>
      </c>
      <c r="Y118">
        <v>0</v>
      </c>
      <c r="Z118" s="4">
        <v>80000</v>
      </c>
      <c r="AA118" s="4">
        <v>20089</v>
      </c>
      <c r="AB118">
        <v>0</v>
      </c>
      <c r="AC118">
        <v>0</v>
      </c>
      <c r="AD118">
        <v>0</v>
      </c>
      <c r="AG118">
        <v>0</v>
      </c>
      <c r="AP118" t="s">
        <v>821</v>
      </c>
      <c r="AQ118" t="s">
        <v>107</v>
      </c>
      <c r="AR118" t="s">
        <v>6638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C118" t="s">
        <v>69</v>
      </c>
      <c r="BD118" t="s">
        <v>822</v>
      </c>
      <c r="BE118">
        <v>0</v>
      </c>
      <c r="BG118" t="s">
        <v>107</v>
      </c>
      <c r="BJ118" t="s">
        <v>823</v>
      </c>
    </row>
    <row r="119" spans="1:62" x14ac:dyDescent="0.35">
      <c r="A119" t="s">
        <v>824</v>
      </c>
      <c r="B119">
        <v>10000</v>
      </c>
      <c r="C119">
        <v>20000</v>
      </c>
      <c r="D119" s="2">
        <v>45720</v>
      </c>
      <c r="E119" t="s">
        <v>61</v>
      </c>
      <c r="F119" t="s">
        <v>825</v>
      </c>
      <c r="G119" t="s">
        <v>826</v>
      </c>
      <c r="I119">
        <v>1</v>
      </c>
      <c r="J119" t="s">
        <v>63</v>
      </c>
      <c r="K119" s="8">
        <v>94</v>
      </c>
      <c r="L119" s="8" t="s">
        <v>6599</v>
      </c>
      <c r="M119" s="8" t="s">
        <v>6629</v>
      </c>
      <c r="N119" t="s">
        <v>181</v>
      </c>
      <c r="O119" t="s">
        <v>6544</v>
      </c>
      <c r="P119">
        <v>500</v>
      </c>
      <c r="S119" s="2">
        <v>45720</v>
      </c>
      <c r="U119">
        <v>4</v>
      </c>
      <c r="V119" s="4">
        <v>2000</v>
      </c>
      <c r="W119" t="s">
        <v>65</v>
      </c>
      <c r="X119" t="s">
        <v>827</v>
      </c>
      <c r="Y119">
        <v>0</v>
      </c>
      <c r="Z119" s="4">
        <v>2000</v>
      </c>
      <c r="AA119">
        <v>0</v>
      </c>
      <c r="AB119">
        <v>0</v>
      </c>
      <c r="AC119">
        <v>0</v>
      </c>
      <c r="AD119">
        <v>0</v>
      </c>
      <c r="AG119">
        <v>0</v>
      </c>
      <c r="AP119" t="s">
        <v>828</v>
      </c>
      <c r="AQ119" t="s">
        <v>829</v>
      </c>
      <c r="AR119" t="s">
        <v>6653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C119" t="s">
        <v>69</v>
      </c>
      <c r="BD119" t="s">
        <v>830</v>
      </c>
      <c r="BE119">
        <v>0</v>
      </c>
      <c r="BG119" t="s">
        <v>829</v>
      </c>
      <c r="BJ119" t="s">
        <v>831</v>
      </c>
    </row>
    <row r="120" spans="1:62" x14ac:dyDescent="0.35">
      <c r="A120" t="s">
        <v>832</v>
      </c>
      <c r="B120">
        <v>10000</v>
      </c>
      <c r="C120">
        <v>10000</v>
      </c>
      <c r="D120" s="2">
        <v>45721</v>
      </c>
      <c r="E120" t="s">
        <v>61</v>
      </c>
      <c r="F120" t="s">
        <v>833</v>
      </c>
      <c r="G120" t="s">
        <v>834</v>
      </c>
      <c r="I120">
        <v>1</v>
      </c>
      <c r="J120" t="s">
        <v>63</v>
      </c>
      <c r="K120" s="8">
        <v>22</v>
      </c>
      <c r="L120" s="8" t="s">
        <v>6603</v>
      </c>
      <c r="M120" s="8" t="s">
        <v>6629</v>
      </c>
      <c r="N120" t="s">
        <v>466</v>
      </c>
      <c r="O120" t="s">
        <v>6474</v>
      </c>
      <c r="P120" s="4">
        <v>15000</v>
      </c>
      <c r="Q120">
        <f t="shared" ref="Q120:Q123" si="30">(P120/50)+45</f>
        <v>345</v>
      </c>
      <c r="R120">
        <f t="shared" ref="R120:R126" si="31">Q120/60</f>
        <v>5.75</v>
      </c>
      <c r="S120" s="2">
        <v>45720</v>
      </c>
      <c r="U120">
        <v>2</v>
      </c>
      <c r="V120" s="4">
        <v>30000</v>
      </c>
      <c r="W120" t="s">
        <v>65</v>
      </c>
      <c r="X120" t="s">
        <v>835</v>
      </c>
      <c r="Y120">
        <v>0</v>
      </c>
      <c r="Z120" s="4">
        <v>30000</v>
      </c>
      <c r="AA120">
        <v>0</v>
      </c>
      <c r="AB120">
        <v>0</v>
      </c>
      <c r="AC120">
        <v>0</v>
      </c>
      <c r="AD120">
        <v>0</v>
      </c>
      <c r="AG120">
        <v>0</v>
      </c>
      <c r="AP120" t="s">
        <v>836</v>
      </c>
      <c r="AQ120" t="s">
        <v>116</v>
      </c>
      <c r="AR120" t="s">
        <v>6639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C120" t="s">
        <v>69</v>
      </c>
      <c r="BD120" t="s">
        <v>837</v>
      </c>
      <c r="BE120">
        <v>0</v>
      </c>
      <c r="BG120" t="s">
        <v>116</v>
      </c>
      <c r="BJ120" t="s">
        <v>838</v>
      </c>
    </row>
    <row r="121" spans="1:62" x14ac:dyDescent="0.35">
      <c r="A121" t="s">
        <v>839</v>
      </c>
      <c r="B121">
        <v>10000</v>
      </c>
      <c r="C121">
        <v>10000</v>
      </c>
      <c r="D121" s="2">
        <v>45720</v>
      </c>
      <c r="E121" t="s">
        <v>61</v>
      </c>
      <c r="F121" t="s">
        <v>840</v>
      </c>
      <c r="G121" t="s">
        <v>465</v>
      </c>
      <c r="I121">
        <v>1</v>
      </c>
      <c r="J121" t="s">
        <v>63</v>
      </c>
      <c r="K121" s="8">
        <v>22</v>
      </c>
      <c r="L121" s="8" t="s">
        <v>6603</v>
      </c>
      <c r="M121" s="8" t="s">
        <v>6629</v>
      </c>
      <c r="N121" t="s">
        <v>466</v>
      </c>
      <c r="O121" t="s">
        <v>6474</v>
      </c>
      <c r="P121" s="4">
        <v>15000</v>
      </c>
      <c r="Q121">
        <f t="shared" si="30"/>
        <v>345</v>
      </c>
      <c r="R121">
        <f t="shared" si="31"/>
        <v>5.75</v>
      </c>
      <c r="S121" s="2">
        <v>45720</v>
      </c>
      <c r="U121">
        <v>1</v>
      </c>
      <c r="V121" s="4">
        <v>15000</v>
      </c>
      <c r="W121" t="s">
        <v>65</v>
      </c>
      <c r="X121" t="s">
        <v>841</v>
      </c>
      <c r="Y121">
        <v>0</v>
      </c>
      <c r="Z121" s="4">
        <v>15000</v>
      </c>
      <c r="AA121">
        <v>0</v>
      </c>
      <c r="AB121">
        <v>0</v>
      </c>
      <c r="AC121">
        <v>0</v>
      </c>
      <c r="AD121">
        <v>0</v>
      </c>
      <c r="AG121">
        <v>0</v>
      </c>
      <c r="AP121" t="s">
        <v>842</v>
      </c>
      <c r="AQ121" t="s">
        <v>116</v>
      </c>
      <c r="AR121" t="s">
        <v>6639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C121" t="s">
        <v>69</v>
      </c>
      <c r="BD121" t="s">
        <v>843</v>
      </c>
      <c r="BE121">
        <v>0</v>
      </c>
      <c r="BG121" t="s">
        <v>116</v>
      </c>
      <c r="BJ121" t="s">
        <v>838</v>
      </c>
    </row>
    <row r="122" spans="1:62" x14ac:dyDescent="0.35">
      <c r="A122" t="s">
        <v>844</v>
      </c>
      <c r="B122">
        <v>10000</v>
      </c>
      <c r="C122">
        <v>10000</v>
      </c>
      <c r="D122" s="2">
        <v>45720</v>
      </c>
      <c r="E122" t="s">
        <v>61</v>
      </c>
      <c r="F122" t="s">
        <v>845</v>
      </c>
      <c r="G122" t="s">
        <v>472</v>
      </c>
      <c r="I122">
        <v>1</v>
      </c>
      <c r="J122" t="s">
        <v>63</v>
      </c>
      <c r="K122" s="8">
        <v>61</v>
      </c>
      <c r="L122" s="8" t="s">
        <v>6594</v>
      </c>
      <c r="M122" s="8" t="s">
        <v>6629</v>
      </c>
      <c r="N122" t="s">
        <v>197</v>
      </c>
      <c r="O122" t="s">
        <v>6565</v>
      </c>
      <c r="P122" s="4">
        <v>8334</v>
      </c>
      <c r="Q122">
        <f t="shared" si="30"/>
        <v>211.68</v>
      </c>
      <c r="R122">
        <f t="shared" si="31"/>
        <v>3.528</v>
      </c>
      <c r="S122" s="2">
        <v>45720</v>
      </c>
      <c r="U122">
        <v>6</v>
      </c>
      <c r="V122" s="4">
        <v>50004</v>
      </c>
      <c r="W122" t="s">
        <v>65</v>
      </c>
      <c r="X122" t="s">
        <v>198</v>
      </c>
      <c r="Y122">
        <v>0</v>
      </c>
      <c r="Z122" s="4">
        <v>50000</v>
      </c>
      <c r="AA122">
        <v>4</v>
      </c>
      <c r="AB122">
        <v>0</v>
      </c>
      <c r="AC122">
        <v>0</v>
      </c>
      <c r="AD122">
        <v>0</v>
      </c>
      <c r="AG122">
        <v>0</v>
      </c>
      <c r="AP122" t="s">
        <v>199</v>
      </c>
      <c r="AQ122" t="s">
        <v>116</v>
      </c>
      <c r="AR122" t="s">
        <v>6639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C122" t="s">
        <v>69</v>
      </c>
      <c r="BD122" t="s">
        <v>846</v>
      </c>
      <c r="BE122">
        <v>0</v>
      </c>
      <c r="BG122" t="s">
        <v>116</v>
      </c>
      <c r="BJ122" t="s">
        <v>847</v>
      </c>
    </row>
    <row r="123" spans="1:62" x14ac:dyDescent="0.35">
      <c r="A123" t="s">
        <v>848</v>
      </c>
      <c r="B123">
        <v>10000</v>
      </c>
      <c r="C123">
        <v>10000</v>
      </c>
      <c r="D123" s="2">
        <v>45720</v>
      </c>
      <c r="E123" t="s">
        <v>61</v>
      </c>
      <c r="F123" t="s">
        <v>849</v>
      </c>
      <c r="G123" t="s">
        <v>498</v>
      </c>
      <c r="I123">
        <v>1</v>
      </c>
      <c r="J123" t="s">
        <v>63</v>
      </c>
      <c r="K123" s="8">
        <v>12</v>
      </c>
      <c r="L123" s="8" t="s">
        <v>6604</v>
      </c>
      <c r="M123" s="8" t="s">
        <v>6629</v>
      </c>
      <c r="N123" t="s">
        <v>478</v>
      </c>
      <c r="O123" t="s">
        <v>6434</v>
      </c>
      <c r="P123" s="4">
        <v>3000</v>
      </c>
      <c r="Q123">
        <f t="shared" si="30"/>
        <v>105</v>
      </c>
      <c r="R123">
        <f t="shared" si="31"/>
        <v>1.75</v>
      </c>
      <c r="S123" s="2">
        <v>45720</v>
      </c>
      <c r="U123">
        <v>1</v>
      </c>
      <c r="V123" s="4">
        <v>3000</v>
      </c>
      <c r="W123" t="s">
        <v>65</v>
      </c>
      <c r="X123">
        <v>107475960001</v>
      </c>
      <c r="Y123">
        <v>0</v>
      </c>
      <c r="Z123" s="4">
        <v>3000</v>
      </c>
      <c r="AA123">
        <v>0</v>
      </c>
      <c r="AB123">
        <v>0</v>
      </c>
      <c r="AC123">
        <v>0</v>
      </c>
      <c r="AD123">
        <v>0</v>
      </c>
      <c r="AG123">
        <v>0</v>
      </c>
      <c r="AP123">
        <v>10747596</v>
      </c>
      <c r="AQ123" t="s">
        <v>487</v>
      </c>
      <c r="AR123" t="s">
        <v>6656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C123" t="s">
        <v>69</v>
      </c>
      <c r="BD123" t="s">
        <v>850</v>
      </c>
      <c r="BE123">
        <v>0</v>
      </c>
      <c r="BG123" t="s">
        <v>487</v>
      </c>
      <c r="BJ123" t="s">
        <v>851</v>
      </c>
    </row>
    <row r="124" spans="1:62" x14ac:dyDescent="0.35">
      <c r="A124" t="s">
        <v>852</v>
      </c>
      <c r="B124">
        <v>10000</v>
      </c>
      <c r="C124">
        <v>10000</v>
      </c>
      <c r="D124" s="2">
        <v>45720</v>
      </c>
      <c r="E124" t="s">
        <v>61</v>
      </c>
      <c r="F124" t="s">
        <v>853</v>
      </c>
      <c r="G124" t="s">
        <v>854</v>
      </c>
      <c r="I124">
        <v>1</v>
      </c>
      <c r="J124" t="s">
        <v>63</v>
      </c>
      <c r="K124" s="8">
        <v>78</v>
      </c>
      <c r="L124" s="8" t="s">
        <v>6593</v>
      </c>
      <c r="M124" s="8" t="s">
        <v>6629</v>
      </c>
      <c r="N124" t="s">
        <v>188</v>
      </c>
      <c r="O124" t="s">
        <v>6410</v>
      </c>
      <c r="P124" s="4">
        <v>4000</v>
      </c>
      <c r="Q124">
        <f t="shared" ref="Q124:Q126" si="32">(P124/40)+45</f>
        <v>145</v>
      </c>
      <c r="R124">
        <f t="shared" si="31"/>
        <v>2.4166666666666665</v>
      </c>
      <c r="S124" s="2">
        <v>45720</v>
      </c>
      <c r="U124">
        <v>5</v>
      </c>
      <c r="V124" s="4">
        <v>20000</v>
      </c>
      <c r="W124" t="s">
        <v>65</v>
      </c>
      <c r="X124" t="s">
        <v>855</v>
      </c>
      <c r="Y124">
        <v>0</v>
      </c>
      <c r="Z124" s="4">
        <v>20000</v>
      </c>
      <c r="AA124">
        <v>0</v>
      </c>
      <c r="AB124">
        <v>0</v>
      </c>
      <c r="AC124">
        <v>0</v>
      </c>
      <c r="AD124">
        <v>0</v>
      </c>
      <c r="AG124">
        <v>0</v>
      </c>
      <c r="AP124" t="s">
        <v>856</v>
      </c>
      <c r="AQ124" t="s">
        <v>206</v>
      </c>
      <c r="AR124" t="s">
        <v>6645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C124" t="s">
        <v>69</v>
      </c>
      <c r="BD124" t="s">
        <v>857</v>
      </c>
      <c r="BE124">
        <v>0</v>
      </c>
      <c r="BG124" t="s">
        <v>206</v>
      </c>
      <c r="BJ124" t="s">
        <v>208</v>
      </c>
    </row>
    <row r="125" spans="1:62" x14ac:dyDescent="0.35">
      <c r="A125" t="s">
        <v>858</v>
      </c>
      <c r="B125">
        <v>10000</v>
      </c>
      <c r="C125">
        <v>10000</v>
      </c>
      <c r="D125" s="2">
        <v>45721</v>
      </c>
      <c r="E125" t="s">
        <v>61</v>
      </c>
      <c r="F125" t="s">
        <v>859</v>
      </c>
      <c r="G125" t="s">
        <v>860</v>
      </c>
      <c r="I125">
        <v>1</v>
      </c>
      <c r="J125" t="s">
        <v>63</v>
      </c>
      <c r="K125" s="8">
        <v>26</v>
      </c>
      <c r="L125" s="8" t="s">
        <v>6595</v>
      </c>
      <c r="M125" s="8" t="s">
        <v>6629</v>
      </c>
      <c r="N125" t="s">
        <v>249</v>
      </c>
      <c r="O125" t="s">
        <v>6500</v>
      </c>
      <c r="P125" s="4">
        <v>13500</v>
      </c>
      <c r="Q125">
        <f t="shared" si="32"/>
        <v>382.5</v>
      </c>
      <c r="R125">
        <f t="shared" si="31"/>
        <v>6.375</v>
      </c>
      <c r="S125" s="2">
        <v>45720</v>
      </c>
      <c r="U125">
        <v>4</v>
      </c>
      <c r="V125" s="4">
        <v>54000</v>
      </c>
      <c r="W125" t="s">
        <v>65</v>
      </c>
      <c r="X125" t="s">
        <v>861</v>
      </c>
      <c r="Y125">
        <v>0</v>
      </c>
      <c r="Z125" s="4">
        <v>54000</v>
      </c>
      <c r="AA125">
        <v>0</v>
      </c>
      <c r="AB125">
        <v>0</v>
      </c>
      <c r="AC125">
        <v>0</v>
      </c>
      <c r="AD125">
        <v>0</v>
      </c>
      <c r="AG125">
        <v>0</v>
      </c>
      <c r="AP125" t="s">
        <v>862</v>
      </c>
      <c r="AQ125" t="s">
        <v>157</v>
      </c>
      <c r="AR125" t="s">
        <v>6640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C125" t="s">
        <v>69</v>
      </c>
      <c r="BD125" t="s">
        <v>863</v>
      </c>
      <c r="BE125">
        <v>0</v>
      </c>
      <c r="BG125" t="s">
        <v>157</v>
      </c>
      <c r="BJ125" t="s">
        <v>864</v>
      </c>
    </row>
    <row r="126" spans="1:62" x14ac:dyDescent="0.35">
      <c r="A126" t="s">
        <v>865</v>
      </c>
      <c r="B126">
        <v>10000</v>
      </c>
      <c r="C126">
        <v>10000</v>
      </c>
      <c r="D126" s="2">
        <v>45720</v>
      </c>
      <c r="E126" t="s">
        <v>61</v>
      </c>
      <c r="F126" s="3">
        <v>0.42174768518518518</v>
      </c>
      <c r="G126" t="s">
        <v>505</v>
      </c>
      <c r="I126">
        <v>1</v>
      </c>
      <c r="J126" t="s">
        <v>63</v>
      </c>
      <c r="K126" s="8">
        <v>65</v>
      </c>
      <c r="L126" s="8" t="s">
        <v>6596</v>
      </c>
      <c r="M126" s="8" t="s">
        <v>6630</v>
      </c>
      <c r="N126" t="s">
        <v>268</v>
      </c>
      <c r="O126" t="s">
        <v>6543</v>
      </c>
      <c r="P126" s="4">
        <v>2250</v>
      </c>
      <c r="Q126">
        <f t="shared" si="32"/>
        <v>101.25</v>
      </c>
      <c r="R126">
        <f t="shared" si="31"/>
        <v>1.6875</v>
      </c>
      <c r="S126" s="2">
        <v>45720</v>
      </c>
      <c r="U126">
        <v>80</v>
      </c>
      <c r="V126" s="4">
        <v>180000</v>
      </c>
      <c r="W126" t="s">
        <v>65</v>
      </c>
      <c r="X126" t="s">
        <v>506</v>
      </c>
      <c r="Y126">
        <v>0</v>
      </c>
      <c r="Z126" s="4">
        <v>180000</v>
      </c>
      <c r="AA126">
        <v>0</v>
      </c>
      <c r="AB126">
        <v>0</v>
      </c>
      <c r="AC126">
        <v>0</v>
      </c>
      <c r="AD126">
        <v>0</v>
      </c>
      <c r="AG126">
        <v>0</v>
      </c>
      <c r="AP126" t="s">
        <v>507</v>
      </c>
      <c r="AQ126" t="s">
        <v>508</v>
      </c>
      <c r="AR126" t="s">
        <v>6657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C126" t="s">
        <v>69</v>
      </c>
      <c r="BD126" t="s">
        <v>866</v>
      </c>
      <c r="BE126">
        <v>0</v>
      </c>
      <c r="BG126" t="s">
        <v>508</v>
      </c>
      <c r="BJ126" t="s">
        <v>867</v>
      </c>
    </row>
    <row r="127" spans="1:62" x14ac:dyDescent="0.35">
      <c r="A127" t="s">
        <v>868</v>
      </c>
      <c r="B127">
        <v>10000</v>
      </c>
      <c r="C127">
        <v>20000</v>
      </c>
      <c r="D127" s="2">
        <v>45721</v>
      </c>
      <c r="E127" t="s">
        <v>61</v>
      </c>
      <c r="F127" t="s">
        <v>869</v>
      </c>
      <c r="G127" t="s">
        <v>826</v>
      </c>
      <c r="I127">
        <v>1</v>
      </c>
      <c r="J127" t="s">
        <v>63</v>
      </c>
      <c r="K127" s="8">
        <v>94</v>
      </c>
      <c r="L127" s="8" t="s">
        <v>6599</v>
      </c>
      <c r="M127" s="8" t="s">
        <v>6629</v>
      </c>
      <c r="N127" t="s">
        <v>181</v>
      </c>
      <c r="O127" t="s">
        <v>6544</v>
      </c>
      <c r="P127" s="4">
        <v>3000</v>
      </c>
      <c r="S127" s="2">
        <v>45720</v>
      </c>
      <c r="U127">
        <v>4</v>
      </c>
      <c r="V127" s="4">
        <v>12000</v>
      </c>
      <c r="W127" t="s">
        <v>65</v>
      </c>
      <c r="X127" t="s">
        <v>870</v>
      </c>
      <c r="Y127">
        <v>0</v>
      </c>
      <c r="Z127" s="4">
        <v>12000</v>
      </c>
      <c r="AA127">
        <v>0</v>
      </c>
      <c r="AB127">
        <v>0</v>
      </c>
      <c r="AC127">
        <v>0</v>
      </c>
      <c r="AD127">
        <v>0</v>
      </c>
      <c r="AG127">
        <v>0</v>
      </c>
      <c r="AP127" t="s">
        <v>871</v>
      </c>
      <c r="AQ127" t="s">
        <v>364</v>
      </c>
      <c r="AR127" t="s">
        <v>6653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C127" t="s">
        <v>69</v>
      </c>
      <c r="BD127" t="s">
        <v>872</v>
      </c>
      <c r="BE127">
        <v>0</v>
      </c>
      <c r="BG127" t="s">
        <v>364</v>
      </c>
      <c r="BJ127" t="s">
        <v>873</v>
      </c>
    </row>
    <row r="128" spans="1:62" x14ac:dyDescent="0.35">
      <c r="A128" t="s">
        <v>874</v>
      </c>
      <c r="B128">
        <v>10000</v>
      </c>
      <c r="C128">
        <v>10000</v>
      </c>
      <c r="D128" s="2">
        <v>45722</v>
      </c>
      <c r="E128" t="s">
        <v>61</v>
      </c>
      <c r="F128" t="s">
        <v>875</v>
      </c>
      <c r="G128">
        <v>501222196</v>
      </c>
      <c r="I128">
        <v>1</v>
      </c>
      <c r="J128" t="s">
        <v>63</v>
      </c>
      <c r="K128" s="8">
        <v>72</v>
      </c>
      <c r="L128" s="8" t="s">
        <v>6606</v>
      </c>
      <c r="M128" s="8" t="s">
        <v>6631</v>
      </c>
      <c r="N128" t="s">
        <v>528</v>
      </c>
      <c r="O128" t="s">
        <v>6542</v>
      </c>
      <c r="P128" s="4">
        <v>1667</v>
      </c>
      <c r="S128" s="2">
        <v>45720</v>
      </c>
      <c r="U128">
        <v>30</v>
      </c>
      <c r="V128" s="4">
        <v>50010</v>
      </c>
      <c r="W128" t="s">
        <v>65</v>
      </c>
      <c r="X128" t="s">
        <v>876</v>
      </c>
      <c r="Y128">
        <v>0</v>
      </c>
      <c r="Z128" s="4">
        <v>40000</v>
      </c>
      <c r="AA128" s="4">
        <v>10010</v>
      </c>
      <c r="AB128">
        <v>0</v>
      </c>
      <c r="AC128">
        <v>0</v>
      </c>
      <c r="AD128">
        <v>0</v>
      </c>
      <c r="AG128">
        <v>0</v>
      </c>
      <c r="AP128" t="s">
        <v>877</v>
      </c>
      <c r="AQ128" t="s">
        <v>878</v>
      </c>
      <c r="AR128" t="s">
        <v>6665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C128" t="s">
        <v>69</v>
      </c>
      <c r="BD128" t="s">
        <v>879</v>
      </c>
      <c r="BE128">
        <v>0</v>
      </c>
      <c r="BG128" t="s">
        <v>878</v>
      </c>
      <c r="BJ128" t="s">
        <v>880</v>
      </c>
    </row>
    <row r="129" spans="1:62" x14ac:dyDescent="0.35">
      <c r="A129" t="s">
        <v>881</v>
      </c>
      <c r="B129">
        <v>10000</v>
      </c>
      <c r="C129">
        <v>10000</v>
      </c>
      <c r="D129" s="2">
        <v>45720</v>
      </c>
      <c r="E129" t="s">
        <v>61</v>
      </c>
      <c r="F129" t="s">
        <v>744</v>
      </c>
      <c r="G129" t="s">
        <v>418</v>
      </c>
      <c r="I129">
        <v>1</v>
      </c>
      <c r="J129" t="s">
        <v>63</v>
      </c>
      <c r="K129" s="8">
        <v>59</v>
      </c>
      <c r="L129" s="8" t="s">
        <v>6592</v>
      </c>
      <c r="M129" s="8" t="s">
        <v>6629</v>
      </c>
      <c r="N129" t="s">
        <v>745</v>
      </c>
      <c r="O129" t="s">
        <v>6501</v>
      </c>
      <c r="P129" s="4">
        <v>1000</v>
      </c>
      <c r="Q129">
        <f t="shared" ref="Q129:Q131" si="33">(P129/40)+45</f>
        <v>70</v>
      </c>
      <c r="R129">
        <f t="shared" ref="R129:R131" si="34">Q129/60</f>
        <v>1.1666666666666667</v>
      </c>
      <c r="S129" s="2">
        <v>45720</v>
      </c>
      <c r="U129">
        <v>6</v>
      </c>
      <c r="V129" s="4">
        <v>6000</v>
      </c>
      <c r="W129" t="s">
        <v>65</v>
      </c>
      <c r="X129" t="s">
        <v>746</v>
      </c>
      <c r="Y129">
        <v>0</v>
      </c>
      <c r="Z129" s="4">
        <v>6000</v>
      </c>
      <c r="AA129">
        <v>0</v>
      </c>
      <c r="AB129">
        <v>0</v>
      </c>
      <c r="AC129">
        <v>0</v>
      </c>
      <c r="AD129">
        <v>0</v>
      </c>
      <c r="AG129">
        <v>0</v>
      </c>
      <c r="AP129" t="s">
        <v>747</v>
      </c>
      <c r="AQ129" t="s">
        <v>182</v>
      </c>
      <c r="AR129" t="s">
        <v>6643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C129" t="s">
        <v>69</v>
      </c>
      <c r="BD129" t="s">
        <v>882</v>
      </c>
      <c r="BE129">
        <v>0</v>
      </c>
      <c r="BG129" t="s">
        <v>182</v>
      </c>
      <c r="BJ129" t="s">
        <v>883</v>
      </c>
    </row>
    <row r="130" spans="1:62" x14ac:dyDescent="0.35">
      <c r="A130" t="s">
        <v>881</v>
      </c>
      <c r="B130">
        <v>20000</v>
      </c>
      <c r="C130">
        <v>10000</v>
      </c>
      <c r="D130" s="2">
        <v>45720</v>
      </c>
      <c r="E130" t="s">
        <v>61</v>
      </c>
      <c r="F130" t="s">
        <v>744</v>
      </c>
      <c r="G130" t="s">
        <v>418</v>
      </c>
      <c r="I130">
        <v>1</v>
      </c>
      <c r="J130" t="s">
        <v>63</v>
      </c>
      <c r="K130" s="8">
        <v>59</v>
      </c>
      <c r="L130" s="8" t="s">
        <v>6592</v>
      </c>
      <c r="M130" s="8" t="s">
        <v>6629</v>
      </c>
      <c r="N130" t="s">
        <v>745</v>
      </c>
      <c r="O130" t="s">
        <v>6501</v>
      </c>
      <c r="P130">
        <v>500</v>
      </c>
      <c r="Q130">
        <f t="shared" si="33"/>
        <v>57.5</v>
      </c>
      <c r="R130">
        <f t="shared" si="34"/>
        <v>0.95833333333333337</v>
      </c>
      <c r="S130" s="2">
        <v>45720</v>
      </c>
      <c r="U130">
        <v>6</v>
      </c>
      <c r="V130" s="4">
        <v>3000</v>
      </c>
      <c r="W130" t="s">
        <v>65</v>
      </c>
      <c r="X130" t="s">
        <v>746</v>
      </c>
      <c r="Y130">
        <v>0</v>
      </c>
      <c r="Z130" s="4">
        <v>3000</v>
      </c>
      <c r="AA130">
        <v>0</v>
      </c>
      <c r="AB130">
        <v>0</v>
      </c>
      <c r="AC130">
        <v>0</v>
      </c>
      <c r="AD130">
        <v>0</v>
      </c>
      <c r="AG130">
        <v>0</v>
      </c>
      <c r="AP130" t="s">
        <v>747</v>
      </c>
      <c r="AQ130" t="s">
        <v>182</v>
      </c>
      <c r="AR130" t="s">
        <v>6643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C130" t="s">
        <v>69</v>
      </c>
      <c r="BD130" t="s">
        <v>882</v>
      </c>
      <c r="BE130">
        <v>0</v>
      </c>
      <c r="BG130" t="s">
        <v>182</v>
      </c>
      <c r="BJ130" t="s">
        <v>883</v>
      </c>
    </row>
    <row r="131" spans="1:62" x14ac:dyDescent="0.35">
      <c r="A131" t="s">
        <v>884</v>
      </c>
      <c r="B131">
        <v>10000</v>
      </c>
      <c r="C131">
        <v>10000</v>
      </c>
      <c r="D131" s="2">
        <v>45721</v>
      </c>
      <c r="E131" t="s">
        <v>61</v>
      </c>
      <c r="F131" s="3">
        <v>0.47946759259259258</v>
      </c>
      <c r="G131" t="s">
        <v>885</v>
      </c>
      <c r="I131">
        <v>1</v>
      </c>
      <c r="J131" t="s">
        <v>63</v>
      </c>
      <c r="K131" s="8">
        <v>59</v>
      </c>
      <c r="L131" s="8" t="s">
        <v>6592</v>
      </c>
      <c r="M131" s="8" t="s">
        <v>6629</v>
      </c>
      <c r="N131" t="s">
        <v>745</v>
      </c>
      <c r="O131" t="s">
        <v>6501</v>
      </c>
      <c r="P131" s="4">
        <v>5000</v>
      </c>
      <c r="Q131">
        <f t="shared" si="33"/>
        <v>170</v>
      </c>
      <c r="R131">
        <f t="shared" si="34"/>
        <v>2.8333333333333335</v>
      </c>
      <c r="S131" s="2">
        <v>45720</v>
      </c>
      <c r="U131">
        <v>6</v>
      </c>
      <c r="V131" s="4">
        <v>30000</v>
      </c>
      <c r="W131" t="s">
        <v>65</v>
      </c>
      <c r="X131" t="s">
        <v>886</v>
      </c>
      <c r="Y131">
        <v>0</v>
      </c>
      <c r="Z131" s="4">
        <v>30000</v>
      </c>
      <c r="AA131">
        <v>0</v>
      </c>
      <c r="AB131">
        <v>0</v>
      </c>
      <c r="AC131">
        <v>0</v>
      </c>
      <c r="AD131">
        <v>0</v>
      </c>
      <c r="AG131">
        <v>0</v>
      </c>
      <c r="AP131" t="s">
        <v>887</v>
      </c>
      <c r="AQ131" t="s">
        <v>311</v>
      </c>
      <c r="AR131" t="s">
        <v>6651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C131" t="s">
        <v>69</v>
      </c>
      <c r="BD131" t="s">
        <v>888</v>
      </c>
      <c r="BE131">
        <v>0</v>
      </c>
      <c r="BG131" t="s">
        <v>311</v>
      </c>
      <c r="BJ131" t="s">
        <v>889</v>
      </c>
    </row>
    <row r="132" spans="1:62" x14ac:dyDescent="0.35">
      <c r="A132" t="s">
        <v>890</v>
      </c>
      <c r="B132">
        <v>10000</v>
      </c>
      <c r="C132">
        <v>10000</v>
      </c>
      <c r="D132" s="2">
        <v>45720</v>
      </c>
      <c r="E132" t="s">
        <v>61</v>
      </c>
      <c r="F132" t="s">
        <v>275</v>
      </c>
      <c r="G132" t="s">
        <v>891</v>
      </c>
      <c r="I132">
        <v>1</v>
      </c>
      <c r="J132" t="s">
        <v>63</v>
      </c>
      <c r="K132" s="8">
        <v>71</v>
      </c>
      <c r="L132" s="8" t="s">
        <v>6588</v>
      </c>
      <c r="M132" s="8" t="s">
        <v>6630</v>
      </c>
      <c r="N132" t="s">
        <v>135</v>
      </c>
      <c r="O132" t="s">
        <v>6573</v>
      </c>
      <c r="P132" s="4">
        <v>2500</v>
      </c>
      <c r="S132" s="2">
        <v>45720</v>
      </c>
      <c r="U132">
        <v>4</v>
      </c>
      <c r="V132" s="4">
        <v>10000</v>
      </c>
      <c r="W132" t="s">
        <v>65</v>
      </c>
      <c r="X132">
        <v>83624410001</v>
      </c>
      <c r="Y132">
        <v>0</v>
      </c>
      <c r="Z132" s="4">
        <v>10000</v>
      </c>
      <c r="AA132">
        <v>0</v>
      </c>
      <c r="AB132">
        <v>0</v>
      </c>
      <c r="AC132">
        <v>0</v>
      </c>
      <c r="AD132">
        <v>0</v>
      </c>
      <c r="AG132">
        <v>0</v>
      </c>
      <c r="AP132">
        <v>8362441</v>
      </c>
      <c r="AQ132" t="s">
        <v>91</v>
      </c>
      <c r="AR132" t="s">
        <v>6637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C132" t="s">
        <v>69</v>
      </c>
      <c r="BD132" t="s">
        <v>892</v>
      </c>
      <c r="BE132">
        <v>0</v>
      </c>
      <c r="BG132" t="s">
        <v>91</v>
      </c>
      <c r="BJ132" t="s">
        <v>893</v>
      </c>
    </row>
    <row r="133" spans="1:62" x14ac:dyDescent="0.35">
      <c r="A133" t="s">
        <v>894</v>
      </c>
      <c r="B133">
        <v>10000</v>
      </c>
      <c r="C133">
        <v>10000</v>
      </c>
      <c r="D133" s="2">
        <v>45720</v>
      </c>
      <c r="E133" t="s">
        <v>61</v>
      </c>
      <c r="F133" t="s">
        <v>849</v>
      </c>
      <c r="G133" t="s">
        <v>895</v>
      </c>
      <c r="I133">
        <v>1</v>
      </c>
      <c r="J133" t="s">
        <v>63</v>
      </c>
      <c r="K133" s="8">
        <v>71</v>
      </c>
      <c r="L133" s="8" t="s">
        <v>6588</v>
      </c>
      <c r="M133" s="8" t="s">
        <v>6630</v>
      </c>
      <c r="N133" t="s">
        <v>135</v>
      </c>
      <c r="O133" t="s">
        <v>6573</v>
      </c>
      <c r="P133" s="4">
        <v>1667</v>
      </c>
      <c r="S133" s="2">
        <v>45720</v>
      </c>
      <c r="U133">
        <v>6</v>
      </c>
      <c r="V133" s="4">
        <v>10002</v>
      </c>
      <c r="W133" t="s">
        <v>65</v>
      </c>
      <c r="X133">
        <v>83634480001</v>
      </c>
      <c r="Y133">
        <v>0</v>
      </c>
      <c r="Z133" s="4">
        <v>10000</v>
      </c>
      <c r="AA133">
        <v>2</v>
      </c>
      <c r="AB133">
        <v>0</v>
      </c>
      <c r="AC133">
        <v>0</v>
      </c>
      <c r="AD133">
        <v>0</v>
      </c>
      <c r="AG133">
        <v>0</v>
      </c>
      <c r="AP133">
        <v>8363448</v>
      </c>
      <c r="AQ133" t="s">
        <v>91</v>
      </c>
      <c r="AR133" t="s">
        <v>6637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C133" t="s">
        <v>69</v>
      </c>
      <c r="BD133" t="s">
        <v>896</v>
      </c>
      <c r="BE133">
        <v>0</v>
      </c>
      <c r="BG133" t="s">
        <v>91</v>
      </c>
      <c r="BJ133" t="s">
        <v>893</v>
      </c>
    </row>
    <row r="134" spans="1:62" x14ac:dyDescent="0.35">
      <c r="A134" t="s">
        <v>897</v>
      </c>
      <c r="B134">
        <v>10000</v>
      </c>
      <c r="C134">
        <v>10000</v>
      </c>
      <c r="D134" s="2">
        <v>45721</v>
      </c>
      <c r="E134" t="s">
        <v>61</v>
      </c>
      <c r="F134" t="s">
        <v>898</v>
      </c>
      <c r="G134" t="s">
        <v>899</v>
      </c>
      <c r="I134">
        <v>1</v>
      </c>
      <c r="J134" t="s">
        <v>63</v>
      </c>
      <c r="K134" s="8">
        <v>93</v>
      </c>
      <c r="L134" s="8" t="s">
        <v>6611</v>
      </c>
      <c r="M134" s="8" t="s">
        <v>6631</v>
      </c>
      <c r="N134" t="s">
        <v>900</v>
      </c>
      <c r="O134" t="s">
        <v>6553</v>
      </c>
      <c r="P134">
        <v>500</v>
      </c>
      <c r="Q134">
        <f>(P134/20)+30</f>
        <v>55</v>
      </c>
      <c r="R134">
        <f>Q134/60</f>
        <v>0.91666666666666663</v>
      </c>
      <c r="S134" s="2">
        <v>45720</v>
      </c>
      <c r="U134">
        <v>342</v>
      </c>
      <c r="V134" s="4">
        <v>171000</v>
      </c>
      <c r="W134" t="s">
        <v>65</v>
      </c>
      <c r="X134" t="s">
        <v>901</v>
      </c>
      <c r="Y134">
        <v>0</v>
      </c>
      <c r="Z134" s="4">
        <v>105000</v>
      </c>
      <c r="AA134" s="4">
        <v>66000</v>
      </c>
      <c r="AB134">
        <v>0</v>
      </c>
      <c r="AC134">
        <v>0</v>
      </c>
      <c r="AD134">
        <v>0</v>
      </c>
      <c r="AG134">
        <v>0</v>
      </c>
      <c r="AP134" t="s">
        <v>902</v>
      </c>
      <c r="AQ134" t="s">
        <v>903</v>
      </c>
      <c r="AR134" t="s">
        <v>6666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C134" t="s">
        <v>69</v>
      </c>
      <c r="BD134" t="s">
        <v>904</v>
      </c>
      <c r="BE134">
        <v>0</v>
      </c>
      <c r="BG134" t="s">
        <v>903</v>
      </c>
      <c r="BJ134" t="s">
        <v>905</v>
      </c>
    </row>
    <row r="135" spans="1:62" x14ac:dyDescent="0.35">
      <c r="A135" t="s">
        <v>906</v>
      </c>
      <c r="B135">
        <v>10000</v>
      </c>
      <c r="C135">
        <v>10000</v>
      </c>
      <c r="D135" s="2">
        <v>45721</v>
      </c>
      <c r="E135" t="s">
        <v>61</v>
      </c>
      <c r="F135" s="3">
        <v>0.48063657407407406</v>
      </c>
      <c r="G135">
        <v>501222196</v>
      </c>
      <c r="I135">
        <v>1</v>
      </c>
      <c r="J135" t="s">
        <v>63</v>
      </c>
      <c r="K135" s="8">
        <v>72</v>
      </c>
      <c r="L135" s="8" t="s">
        <v>6606</v>
      </c>
      <c r="M135" s="8" t="s">
        <v>6631</v>
      </c>
      <c r="N135" t="s">
        <v>528</v>
      </c>
      <c r="O135" t="s">
        <v>6542</v>
      </c>
      <c r="P135" s="4">
        <v>1400</v>
      </c>
      <c r="S135" s="2">
        <v>45720</v>
      </c>
      <c r="U135">
        <v>10</v>
      </c>
      <c r="V135" s="4">
        <v>14000</v>
      </c>
      <c r="W135" t="s">
        <v>65</v>
      </c>
      <c r="X135" t="s">
        <v>907</v>
      </c>
      <c r="Y135">
        <v>0</v>
      </c>
      <c r="Z135" s="4">
        <v>10000</v>
      </c>
      <c r="AA135" s="4">
        <v>4000</v>
      </c>
      <c r="AB135">
        <v>0</v>
      </c>
      <c r="AC135">
        <v>0</v>
      </c>
      <c r="AD135">
        <v>0</v>
      </c>
      <c r="AG135">
        <v>0</v>
      </c>
      <c r="AP135" t="s">
        <v>908</v>
      </c>
      <c r="AQ135" t="s">
        <v>909</v>
      </c>
      <c r="AR135" t="s">
        <v>6667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C135" t="s">
        <v>69</v>
      </c>
      <c r="BD135" t="s">
        <v>910</v>
      </c>
      <c r="BE135">
        <v>0</v>
      </c>
      <c r="BG135" t="s">
        <v>909</v>
      </c>
      <c r="BJ135" t="s">
        <v>911</v>
      </c>
    </row>
    <row r="136" spans="1:62" x14ac:dyDescent="0.35">
      <c r="A136" t="s">
        <v>912</v>
      </c>
      <c r="B136">
        <v>10000</v>
      </c>
      <c r="C136">
        <v>20000</v>
      </c>
      <c r="D136" s="2">
        <v>45721</v>
      </c>
      <c r="E136" t="s">
        <v>61</v>
      </c>
      <c r="F136" t="s">
        <v>913</v>
      </c>
      <c r="G136" t="s">
        <v>914</v>
      </c>
      <c r="I136">
        <v>2</v>
      </c>
      <c r="J136" t="s">
        <v>63</v>
      </c>
      <c r="K136" s="8">
        <v>77</v>
      </c>
      <c r="L136" s="8" t="s">
        <v>6584</v>
      </c>
      <c r="M136" s="8" t="s">
        <v>6627</v>
      </c>
      <c r="N136" t="s">
        <v>127</v>
      </c>
      <c r="O136" t="s">
        <v>6567</v>
      </c>
      <c r="P136">
        <v>100</v>
      </c>
      <c r="Q136">
        <f t="shared" ref="Q136:Q141" si="35">(P136/60)+45</f>
        <v>46.666666666666664</v>
      </c>
      <c r="R136">
        <f t="shared" ref="R136:R148" si="36">Q136/60</f>
        <v>0.77777777777777779</v>
      </c>
      <c r="S136" s="2">
        <v>45720</v>
      </c>
      <c r="U136">
        <v>25</v>
      </c>
      <c r="V136" s="4">
        <v>2500</v>
      </c>
      <c r="W136" t="s">
        <v>65</v>
      </c>
      <c r="X136" t="s">
        <v>915</v>
      </c>
      <c r="Y136">
        <v>0</v>
      </c>
      <c r="Z136" s="4">
        <v>1000</v>
      </c>
      <c r="AA136" s="4">
        <v>1500</v>
      </c>
      <c r="AB136">
        <v>0</v>
      </c>
      <c r="AC136">
        <v>0</v>
      </c>
      <c r="AD136">
        <v>0</v>
      </c>
      <c r="AG136">
        <v>0</v>
      </c>
      <c r="AP136" t="s">
        <v>916</v>
      </c>
      <c r="AQ136" t="s">
        <v>68</v>
      </c>
      <c r="AR136" t="s">
        <v>6636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BC136" t="s">
        <v>69</v>
      </c>
      <c r="BD136" t="s">
        <v>917</v>
      </c>
      <c r="BE136">
        <v>0</v>
      </c>
      <c r="BG136" t="s">
        <v>68</v>
      </c>
      <c r="BJ136" t="s">
        <v>918</v>
      </c>
    </row>
    <row r="137" spans="1:62" x14ac:dyDescent="0.35">
      <c r="A137" t="s">
        <v>919</v>
      </c>
      <c r="B137">
        <v>10000</v>
      </c>
      <c r="C137">
        <v>20000</v>
      </c>
      <c r="D137" s="2">
        <v>45721</v>
      </c>
      <c r="E137" t="s">
        <v>61</v>
      </c>
      <c r="F137" t="s">
        <v>920</v>
      </c>
      <c r="G137" t="s">
        <v>914</v>
      </c>
      <c r="I137">
        <v>2</v>
      </c>
      <c r="J137" t="s">
        <v>63</v>
      </c>
      <c r="K137" s="8">
        <v>77</v>
      </c>
      <c r="L137" s="8" t="s">
        <v>6584</v>
      </c>
      <c r="M137" s="8" t="s">
        <v>6627</v>
      </c>
      <c r="N137" t="s">
        <v>127</v>
      </c>
      <c r="O137" t="s">
        <v>6567</v>
      </c>
      <c r="P137">
        <v>100</v>
      </c>
      <c r="Q137">
        <f t="shared" si="35"/>
        <v>46.666666666666664</v>
      </c>
      <c r="R137">
        <f t="shared" si="36"/>
        <v>0.77777777777777779</v>
      </c>
      <c r="S137" s="2">
        <v>45720</v>
      </c>
      <c r="U137">
        <v>25</v>
      </c>
      <c r="V137" s="4">
        <v>2500</v>
      </c>
      <c r="W137" t="s">
        <v>65</v>
      </c>
      <c r="X137" t="s">
        <v>921</v>
      </c>
      <c r="Y137">
        <v>0</v>
      </c>
      <c r="Z137" s="4">
        <v>1000</v>
      </c>
      <c r="AA137" s="4">
        <v>1500</v>
      </c>
      <c r="AB137">
        <v>0</v>
      </c>
      <c r="AC137">
        <v>0</v>
      </c>
      <c r="AD137">
        <v>0</v>
      </c>
      <c r="AG137">
        <v>0</v>
      </c>
      <c r="AP137" t="s">
        <v>922</v>
      </c>
      <c r="AQ137" t="s">
        <v>68</v>
      </c>
      <c r="AR137" t="s">
        <v>6636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C137" t="s">
        <v>69</v>
      </c>
      <c r="BD137" t="s">
        <v>923</v>
      </c>
      <c r="BE137">
        <v>0</v>
      </c>
      <c r="BG137" t="s">
        <v>68</v>
      </c>
      <c r="BJ137" t="s">
        <v>924</v>
      </c>
    </row>
    <row r="138" spans="1:62" x14ac:dyDescent="0.35">
      <c r="A138" t="s">
        <v>925</v>
      </c>
      <c r="B138">
        <v>10000</v>
      </c>
      <c r="C138">
        <v>20000</v>
      </c>
      <c r="D138" s="2">
        <v>45721</v>
      </c>
      <c r="E138" t="s">
        <v>61</v>
      </c>
      <c r="F138" t="s">
        <v>926</v>
      </c>
      <c r="G138" t="s">
        <v>914</v>
      </c>
      <c r="I138">
        <v>2</v>
      </c>
      <c r="J138" t="s">
        <v>63</v>
      </c>
      <c r="K138" s="8">
        <v>77</v>
      </c>
      <c r="L138" s="8" t="s">
        <v>6584</v>
      </c>
      <c r="M138" s="8" t="s">
        <v>6627</v>
      </c>
      <c r="N138" t="s">
        <v>127</v>
      </c>
      <c r="O138" t="s">
        <v>6567</v>
      </c>
      <c r="P138">
        <v>480</v>
      </c>
      <c r="Q138">
        <f t="shared" si="35"/>
        <v>53</v>
      </c>
      <c r="R138">
        <f t="shared" si="36"/>
        <v>0.8833333333333333</v>
      </c>
      <c r="S138" s="2">
        <v>45720</v>
      </c>
      <c r="U138">
        <v>25</v>
      </c>
      <c r="V138" s="4">
        <v>12000</v>
      </c>
      <c r="W138" t="s">
        <v>65</v>
      </c>
      <c r="X138" t="s">
        <v>927</v>
      </c>
      <c r="Y138">
        <v>0</v>
      </c>
      <c r="Z138" s="4">
        <v>10000</v>
      </c>
      <c r="AA138" s="4">
        <v>2000</v>
      </c>
      <c r="AB138">
        <v>0</v>
      </c>
      <c r="AC138">
        <v>0</v>
      </c>
      <c r="AD138">
        <v>0</v>
      </c>
      <c r="AG138">
        <v>0</v>
      </c>
      <c r="AP138" t="s">
        <v>928</v>
      </c>
      <c r="AQ138" t="s">
        <v>68</v>
      </c>
      <c r="AR138" t="s">
        <v>6636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C138" t="s">
        <v>69</v>
      </c>
      <c r="BD138" t="s">
        <v>929</v>
      </c>
      <c r="BE138">
        <v>0</v>
      </c>
      <c r="BG138" t="s">
        <v>68</v>
      </c>
      <c r="BJ138" t="s">
        <v>930</v>
      </c>
    </row>
    <row r="139" spans="1:62" x14ac:dyDescent="0.35">
      <c r="A139" t="s">
        <v>931</v>
      </c>
      <c r="B139">
        <v>10000</v>
      </c>
      <c r="C139">
        <v>20000</v>
      </c>
      <c r="D139" s="2">
        <v>45721</v>
      </c>
      <c r="E139" t="s">
        <v>61</v>
      </c>
      <c r="F139" t="s">
        <v>932</v>
      </c>
      <c r="G139" t="s">
        <v>914</v>
      </c>
      <c r="I139">
        <v>2</v>
      </c>
      <c r="J139" t="s">
        <v>63</v>
      </c>
      <c r="K139" s="8">
        <v>77</v>
      </c>
      <c r="L139" s="8" t="s">
        <v>6584</v>
      </c>
      <c r="M139" s="8" t="s">
        <v>6627</v>
      </c>
      <c r="N139" t="s">
        <v>127</v>
      </c>
      <c r="O139" t="s">
        <v>6567</v>
      </c>
      <c r="P139">
        <v>179</v>
      </c>
      <c r="Q139">
        <f t="shared" si="35"/>
        <v>47.983333333333334</v>
      </c>
      <c r="R139">
        <f t="shared" si="36"/>
        <v>0.79972222222222222</v>
      </c>
      <c r="S139" s="2">
        <v>45720</v>
      </c>
      <c r="U139">
        <v>168</v>
      </c>
      <c r="V139" s="4">
        <v>30072</v>
      </c>
      <c r="W139" t="s">
        <v>65</v>
      </c>
      <c r="X139" t="s">
        <v>933</v>
      </c>
      <c r="Y139">
        <v>0</v>
      </c>
      <c r="Z139" s="4">
        <v>10000</v>
      </c>
      <c r="AA139" s="4">
        <v>20072</v>
      </c>
      <c r="AB139">
        <v>0</v>
      </c>
      <c r="AC139">
        <v>0</v>
      </c>
      <c r="AD139">
        <v>0</v>
      </c>
      <c r="AG139">
        <v>0</v>
      </c>
      <c r="AP139" t="s">
        <v>934</v>
      </c>
      <c r="AQ139" t="s">
        <v>68</v>
      </c>
      <c r="AR139" t="s">
        <v>6636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C139" t="s">
        <v>69</v>
      </c>
      <c r="BD139" t="s">
        <v>935</v>
      </c>
      <c r="BE139">
        <v>0</v>
      </c>
      <c r="BG139" t="s">
        <v>68</v>
      </c>
      <c r="BJ139" t="s">
        <v>936</v>
      </c>
    </row>
    <row r="140" spans="1:62" x14ac:dyDescent="0.35">
      <c r="A140" t="s">
        <v>937</v>
      </c>
      <c r="B140">
        <v>10000</v>
      </c>
      <c r="C140">
        <v>20000</v>
      </c>
      <c r="D140" s="2">
        <v>45721</v>
      </c>
      <c r="E140" t="s">
        <v>61</v>
      </c>
      <c r="F140" t="s">
        <v>938</v>
      </c>
      <c r="G140" t="s">
        <v>914</v>
      </c>
      <c r="I140">
        <v>2</v>
      </c>
      <c r="J140" t="s">
        <v>63</v>
      </c>
      <c r="K140" s="8">
        <v>77</v>
      </c>
      <c r="L140" s="8" t="s">
        <v>6584</v>
      </c>
      <c r="M140" s="8" t="s">
        <v>6627</v>
      </c>
      <c r="N140" t="s">
        <v>127</v>
      </c>
      <c r="O140" t="s">
        <v>6567</v>
      </c>
      <c r="P140">
        <v>179</v>
      </c>
      <c r="Q140">
        <f t="shared" si="35"/>
        <v>47.983333333333334</v>
      </c>
      <c r="R140">
        <f t="shared" si="36"/>
        <v>0.79972222222222222</v>
      </c>
      <c r="S140" s="2">
        <v>45720</v>
      </c>
      <c r="U140">
        <v>168</v>
      </c>
      <c r="V140" s="4">
        <v>30072</v>
      </c>
      <c r="W140" t="s">
        <v>65</v>
      </c>
      <c r="X140" t="s">
        <v>939</v>
      </c>
      <c r="Y140">
        <v>0</v>
      </c>
      <c r="Z140" s="4">
        <v>10000</v>
      </c>
      <c r="AA140" s="4">
        <v>20072</v>
      </c>
      <c r="AB140">
        <v>0</v>
      </c>
      <c r="AC140">
        <v>0</v>
      </c>
      <c r="AD140">
        <v>0</v>
      </c>
      <c r="AG140">
        <v>0</v>
      </c>
      <c r="AP140" t="s">
        <v>940</v>
      </c>
      <c r="AQ140" t="s">
        <v>68</v>
      </c>
      <c r="AR140" t="s">
        <v>6636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BC140" t="s">
        <v>69</v>
      </c>
      <c r="BD140" t="s">
        <v>941</v>
      </c>
      <c r="BE140">
        <v>0</v>
      </c>
      <c r="BG140" t="s">
        <v>68</v>
      </c>
      <c r="BJ140" t="s">
        <v>942</v>
      </c>
    </row>
    <row r="141" spans="1:62" x14ac:dyDescent="0.35">
      <c r="A141" t="s">
        <v>943</v>
      </c>
      <c r="B141">
        <v>10000</v>
      </c>
      <c r="C141">
        <v>20000</v>
      </c>
      <c r="D141" s="2">
        <v>45721</v>
      </c>
      <c r="E141" t="s">
        <v>61</v>
      </c>
      <c r="F141" t="s">
        <v>944</v>
      </c>
      <c r="G141">
        <v>10639931007</v>
      </c>
      <c r="I141">
        <v>2</v>
      </c>
      <c r="J141" t="s">
        <v>63</v>
      </c>
      <c r="K141" s="8">
        <v>77</v>
      </c>
      <c r="L141" s="8" t="s">
        <v>6584</v>
      </c>
      <c r="M141" s="8" t="s">
        <v>6627</v>
      </c>
      <c r="N141" t="s">
        <v>127</v>
      </c>
      <c r="O141" t="s">
        <v>6567</v>
      </c>
      <c r="P141" s="4">
        <v>1834</v>
      </c>
      <c r="Q141">
        <f t="shared" si="35"/>
        <v>75.566666666666663</v>
      </c>
      <c r="R141">
        <f t="shared" si="36"/>
        <v>1.2594444444444444</v>
      </c>
      <c r="S141" s="2">
        <v>45720</v>
      </c>
      <c r="U141">
        <v>180</v>
      </c>
      <c r="V141" s="4">
        <v>330120</v>
      </c>
      <c r="W141" t="s">
        <v>65</v>
      </c>
      <c r="X141" t="s">
        <v>945</v>
      </c>
      <c r="Y141">
        <v>0</v>
      </c>
      <c r="Z141" s="4">
        <v>280000</v>
      </c>
      <c r="AA141" s="4">
        <v>50120</v>
      </c>
      <c r="AB141">
        <v>0</v>
      </c>
      <c r="AC141">
        <v>0</v>
      </c>
      <c r="AD141">
        <v>0</v>
      </c>
      <c r="AG141">
        <v>0</v>
      </c>
      <c r="AP141" t="s">
        <v>946</v>
      </c>
      <c r="AQ141" t="s">
        <v>107</v>
      </c>
      <c r="AR141" t="s">
        <v>6638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C141" t="s">
        <v>69</v>
      </c>
      <c r="BD141" t="s">
        <v>947</v>
      </c>
      <c r="BE141">
        <v>0</v>
      </c>
      <c r="BG141" t="s">
        <v>107</v>
      </c>
      <c r="BJ141" t="s">
        <v>948</v>
      </c>
    </row>
    <row r="142" spans="1:62" x14ac:dyDescent="0.35">
      <c r="A142" t="s">
        <v>949</v>
      </c>
      <c r="B142">
        <v>10000</v>
      </c>
      <c r="C142">
        <v>10000</v>
      </c>
      <c r="D142" s="2">
        <v>45729</v>
      </c>
      <c r="E142" t="s">
        <v>61</v>
      </c>
      <c r="F142" t="s">
        <v>950</v>
      </c>
      <c r="G142">
        <v>10639931049</v>
      </c>
      <c r="I142">
        <v>1</v>
      </c>
      <c r="J142" t="s">
        <v>63</v>
      </c>
      <c r="K142" s="8">
        <v>79</v>
      </c>
      <c r="L142" s="8" t="s">
        <v>6608</v>
      </c>
      <c r="M142" s="8" t="s">
        <v>6631</v>
      </c>
      <c r="N142" t="s">
        <v>573</v>
      </c>
      <c r="O142" t="s">
        <v>6547</v>
      </c>
      <c r="P142" s="4">
        <v>1073</v>
      </c>
      <c r="Q142">
        <f t="shared" ref="Q142:Q148" si="37">(P142/20)+30</f>
        <v>83.65</v>
      </c>
      <c r="R142">
        <f t="shared" si="36"/>
        <v>1.3941666666666668</v>
      </c>
      <c r="S142" s="2">
        <v>45720</v>
      </c>
      <c r="U142">
        <v>176</v>
      </c>
      <c r="V142" s="4">
        <v>188848</v>
      </c>
      <c r="W142" t="s">
        <v>65</v>
      </c>
      <c r="X142" t="s">
        <v>951</v>
      </c>
      <c r="Y142">
        <v>0</v>
      </c>
      <c r="Z142" s="4">
        <v>160000</v>
      </c>
      <c r="AA142" s="4">
        <v>28848</v>
      </c>
      <c r="AB142">
        <v>0</v>
      </c>
      <c r="AC142">
        <v>0</v>
      </c>
      <c r="AD142">
        <v>0</v>
      </c>
      <c r="AG142">
        <v>0</v>
      </c>
      <c r="AP142" t="s">
        <v>952</v>
      </c>
      <c r="AQ142" t="s">
        <v>107</v>
      </c>
      <c r="AR142" t="s">
        <v>6638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C142" t="s">
        <v>69</v>
      </c>
      <c r="BD142" t="s">
        <v>953</v>
      </c>
      <c r="BE142">
        <v>0</v>
      </c>
      <c r="BG142" t="s">
        <v>107</v>
      </c>
      <c r="BJ142" t="s">
        <v>954</v>
      </c>
    </row>
    <row r="143" spans="1:62" x14ac:dyDescent="0.35">
      <c r="A143" t="s">
        <v>955</v>
      </c>
      <c r="B143">
        <v>10000</v>
      </c>
      <c r="C143">
        <v>10000</v>
      </c>
      <c r="D143" s="2">
        <v>45734</v>
      </c>
      <c r="E143" t="s">
        <v>61</v>
      </c>
      <c r="F143" t="s">
        <v>956</v>
      </c>
      <c r="G143">
        <v>10639931051</v>
      </c>
      <c r="I143">
        <v>1</v>
      </c>
      <c r="J143" t="s">
        <v>63</v>
      </c>
      <c r="K143" s="8">
        <v>79</v>
      </c>
      <c r="L143" s="8" t="s">
        <v>6608</v>
      </c>
      <c r="M143" s="8" t="s">
        <v>6631</v>
      </c>
      <c r="N143" t="s">
        <v>573</v>
      </c>
      <c r="O143" t="s">
        <v>6547</v>
      </c>
      <c r="P143">
        <v>130</v>
      </c>
      <c r="Q143">
        <f t="shared" si="37"/>
        <v>36.5</v>
      </c>
      <c r="R143">
        <f t="shared" si="36"/>
        <v>0.60833333333333328</v>
      </c>
      <c r="S143" s="2">
        <v>45720</v>
      </c>
      <c r="U143">
        <v>308</v>
      </c>
      <c r="V143" s="4">
        <v>40040</v>
      </c>
      <c r="W143" t="s">
        <v>65</v>
      </c>
      <c r="X143" t="s">
        <v>957</v>
      </c>
      <c r="Y143">
        <v>0</v>
      </c>
      <c r="Z143" s="4">
        <v>20000</v>
      </c>
      <c r="AA143" s="4">
        <v>20040</v>
      </c>
      <c r="AB143">
        <v>0</v>
      </c>
      <c r="AC143">
        <v>0</v>
      </c>
      <c r="AD143">
        <v>0</v>
      </c>
      <c r="AG143">
        <v>0</v>
      </c>
      <c r="AP143" t="s">
        <v>958</v>
      </c>
      <c r="AQ143" t="s">
        <v>107</v>
      </c>
      <c r="AR143" t="s">
        <v>6638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BC143" t="s">
        <v>69</v>
      </c>
      <c r="BD143" t="s">
        <v>959</v>
      </c>
      <c r="BE143">
        <v>0</v>
      </c>
      <c r="BG143" t="s">
        <v>107</v>
      </c>
      <c r="BJ143" t="s">
        <v>960</v>
      </c>
    </row>
    <row r="144" spans="1:62" x14ac:dyDescent="0.35">
      <c r="A144" t="s">
        <v>961</v>
      </c>
      <c r="B144">
        <v>10000</v>
      </c>
      <c r="C144">
        <v>10000</v>
      </c>
      <c r="D144" s="2">
        <v>45733</v>
      </c>
      <c r="E144" t="s">
        <v>61</v>
      </c>
      <c r="F144" t="s">
        <v>962</v>
      </c>
      <c r="G144" t="s">
        <v>963</v>
      </c>
      <c r="I144">
        <v>1</v>
      </c>
      <c r="J144" t="s">
        <v>63</v>
      </c>
      <c r="K144" s="8">
        <v>79</v>
      </c>
      <c r="L144" s="8" t="s">
        <v>6608</v>
      </c>
      <c r="M144" s="8" t="s">
        <v>6631</v>
      </c>
      <c r="N144" t="s">
        <v>573</v>
      </c>
      <c r="O144" t="s">
        <v>6547</v>
      </c>
      <c r="P144">
        <v>569</v>
      </c>
      <c r="Q144">
        <f t="shared" si="37"/>
        <v>58.45</v>
      </c>
      <c r="R144">
        <f t="shared" si="36"/>
        <v>0.97416666666666674</v>
      </c>
      <c r="S144" s="2">
        <v>45720</v>
      </c>
      <c r="U144">
        <v>176</v>
      </c>
      <c r="V144" s="4">
        <v>100144</v>
      </c>
      <c r="W144" t="s">
        <v>65</v>
      </c>
      <c r="X144" t="s">
        <v>964</v>
      </c>
      <c r="Y144">
        <v>0</v>
      </c>
      <c r="Z144" s="4">
        <v>80000</v>
      </c>
      <c r="AA144" s="4">
        <v>20144</v>
      </c>
      <c r="AB144">
        <v>0</v>
      </c>
      <c r="AC144">
        <v>0</v>
      </c>
      <c r="AD144">
        <v>0</v>
      </c>
      <c r="AG144">
        <v>0</v>
      </c>
      <c r="AP144" t="s">
        <v>965</v>
      </c>
      <c r="AQ144" t="s">
        <v>107</v>
      </c>
      <c r="AR144" t="s">
        <v>6638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C144" t="s">
        <v>69</v>
      </c>
      <c r="BD144" t="s">
        <v>966</v>
      </c>
      <c r="BE144">
        <v>0</v>
      </c>
      <c r="BG144" t="s">
        <v>107</v>
      </c>
      <c r="BJ144" t="s">
        <v>967</v>
      </c>
    </row>
    <row r="145" spans="1:62" x14ac:dyDescent="0.35">
      <c r="A145" t="s">
        <v>968</v>
      </c>
      <c r="B145">
        <v>10000</v>
      </c>
      <c r="C145">
        <v>10000</v>
      </c>
      <c r="D145" s="2">
        <v>45729</v>
      </c>
      <c r="E145" t="s">
        <v>61</v>
      </c>
      <c r="F145" t="s">
        <v>969</v>
      </c>
      <c r="G145">
        <v>10639931050</v>
      </c>
      <c r="I145">
        <v>1</v>
      </c>
      <c r="J145" t="s">
        <v>63</v>
      </c>
      <c r="K145" s="8">
        <v>79</v>
      </c>
      <c r="L145" s="8" t="s">
        <v>6608</v>
      </c>
      <c r="M145" s="8" t="s">
        <v>6631</v>
      </c>
      <c r="N145" t="s">
        <v>573</v>
      </c>
      <c r="O145" t="s">
        <v>6547</v>
      </c>
      <c r="P145">
        <v>636</v>
      </c>
      <c r="Q145">
        <f t="shared" si="37"/>
        <v>61.8</v>
      </c>
      <c r="R145">
        <f t="shared" si="36"/>
        <v>1.03</v>
      </c>
      <c r="S145" s="2">
        <v>45720</v>
      </c>
      <c r="U145">
        <v>297</v>
      </c>
      <c r="V145" s="4">
        <v>188892</v>
      </c>
      <c r="W145" t="s">
        <v>65</v>
      </c>
      <c r="X145" t="s">
        <v>970</v>
      </c>
      <c r="Y145">
        <v>0</v>
      </c>
      <c r="Z145" s="4">
        <v>180000</v>
      </c>
      <c r="AA145" s="4">
        <v>8892</v>
      </c>
      <c r="AB145">
        <v>0</v>
      </c>
      <c r="AC145">
        <v>0</v>
      </c>
      <c r="AD145">
        <v>0</v>
      </c>
      <c r="AG145">
        <v>0</v>
      </c>
      <c r="AP145" t="s">
        <v>971</v>
      </c>
      <c r="AQ145" t="s">
        <v>107</v>
      </c>
      <c r="AR145" t="s">
        <v>6638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C145" t="s">
        <v>69</v>
      </c>
      <c r="BD145" t="s">
        <v>972</v>
      </c>
      <c r="BE145">
        <v>0</v>
      </c>
      <c r="BG145" t="s">
        <v>107</v>
      </c>
      <c r="BJ145" t="s">
        <v>973</v>
      </c>
    </row>
    <row r="146" spans="1:62" x14ac:dyDescent="0.35">
      <c r="A146" t="s">
        <v>974</v>
      </c>
      <c r="B146">
        <v>10000</v>
      </c>
      <c r="C146">
        <v>10000</v>
      </c>
      <c r="D146" s="2">
        <v>45729</v>
      </c>
      <c r="E146" t="s">
        <v>61</v>
      </c>
      <c r="F146" t="s">
        <v>975</v>
      </c>
      <c r="G146">
        <v>10639931052</v>
      </c>
      <c r="I146">
        <v>1</v>
      </c>
      <c r="J146" t="s">
        <v>63</v>
      </c>
      <c r="K146" s="8">
        <v>79</v>
      </c>
      <c r="L146" s="8" t="s">
        <v>6608</v>
      </c>
      <c r="M146" s="8" t="s">
        <v>6631</v>
      </c>
      <c r="N146" t="s">
        <v>573</v>
      </c>
      <c r="O146" t="s">
        <v>6547</v>
      </c>
      <c r="P146">
        <v>899</v>
      </c>
      <c r="Q146">
        <f t="shared" si="37"/>
        <v>74.95</v>
      </c>
      <c r="R146">
        <f t="shared" si="36"/>
        <v>1.2491666666666668</v>
      </c>
      <c r="S146" s="2">
        <v>45720</v>
      </c>
      <c r="U146">
        <v>297</v>
      </c>
      <c r="V146" s="4">
        <v>267003</v>
      </c>
      <c r="W146" t="s">
        <v>65</v>
      </c>
      <c r="X146" t="s">
        <v>773</v>
      </c>
      <c r="Y146">
        <v>0</v>
      </c>
      <c r="Z146" s="4">
        <v>230000</v>
      </c>
      <c r="AA146" s="4">
        <v>37003</v>
      </c>
      <c r="AB146">
        <v>0</v>
      </c>
      <c r="AC146">
        <v>0</v>
      </c>
      <c r="AD146">
        <v>0</v>
      </c>
      <c r="AG146">
        <v>0</v>
      </c>
      <c r="AP146" t="s">
        <v>774</v>
      </c>
      <c r="AQ146" t="s">
        <v>107</v>
      </c>
      <c r="AR146" t="s">
        <v>6638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BC146" t="s">
        <v>69</v>
      </c>
      <c r="BD146" t="s">
        <v>976</v>
      </c>
      <c r="BE146">
        <v>0</v>
      </c>
      <c r="BG146" t="s">
        <v>107</v>
      </c>
      <c r="BJ146" t="s">
        <v>977</v>
      </c>
    </row>
    <row r="147" spans="1:62" x14ac:dyDescent="0.35">
      <c r="A147" t="s">
        <v>978</v>
      </c>
      <c r="B147">
        <v>10000</v>
      </c>
      <c r="C147">
        <v>10000</v>
      </c>
      <c r="D147" s="2">
        <v>45729</v>
      </c>
      <c r="E147" t="s">
        <v>61</v>
      </c>
      <c r="F147" t="s">
        <v>979</v>
      </c>
      <c r="G147" t="s">
        <v>980</v>
      </c>
      <c r="I147">
        <v>1</v>
      </c>
      <c r="J147" t="s">
        <v>63</v>
      </c>
      <c r="K147" s="8">
        <v>79</v>
      </c>
      <c r="L147" s="8" t="s">
        <v>6608</v>
      </c>
      <c r="M147" s="8" t="s">
        <v>6631</v>
      </c>
      <c r="N147" t="s">
        <v>573</v>
      </c>
      <c r="O147" t="s">
        <v>6547</v>
      </c>
      <c r="P147" s="4">
        <v>1094</v>
      </c>
      <c r="Q147">
        <f t="shared" si="37"/>
        <v>84.7</v>
      </c>
      <c r="R147">
        <f t="shared" si="36"/>
        <v>1.4116666666666666</v>
      </c>
      <c r="S147" s="2">
        <v>45720</v>
      </c>
      <c r="U147">
        <v>297</v>
      </c>
      <c r="V147" s="4">
        <v>324918</v>
      </c>
      <c r="W147" t="s">
        <v>65</v>
      </c>
      <c r="X147" t="s">
        <v>981</v>
      </c>
      <c r="Y147">
        <v>0</v>
      </c>
      <c r="Z147" s="4">
        <v>310000</v>
      </c>
      <c r="AA147" s="4">
        <v>14918</v>
      </c>
      <c r="AB147">
        <v>0</v>
      </c>
      <c r="AC147">
        <v>0</v>
      </c>
      <c r="AD147">
        <v>0</v>
      </c>
      <c r="AG147">
        <v>0</v>
      </c>
      <c r="AP147" t="s">
        <v>982</v>
      </c>
      <c r="AQ147" t="s">
        <v>107</v>
      </c>
      <c r="AR147" t="s">
        <v>6638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C147" t="s">
        <v>69</v>
      </c>
      <c r="BD147" t="s">
        <v>983</v>
      </c>
      <c r="BE147">
        <v>0</v>
      </c>
      <c r="BG147" t="s">
        <v>107</v>
      </c>
      <c r="BJ147" t="s">
        <v>984</v>
      </c>
    </row>
    <row r="148" spans="1:62" x14ac:dyDescent="0.35">
      <c r="A148" t="s">
        <v>985</v>
      </c>
      <c r="B148">
        <v>10000</v>
      </c>
      <c r="C148">
        <v>10000</v>
      </c>
      <c r="D148" s="2">
        <v>45727</v>
      </c>
      <c r="E148" t="s">
        <v>61</v>
      </c>
      <c r="F148" s="3">
        <v>0.47247685185185184</v>
      </c>
      <c r="G148" t="s">
        <v>986</v>
      </c>
      <c r="I148">
        <v>1</v>
      </c>
      <c r="J148" t="s">
        <v>63</v>
      </c>
      <c r="K148" s="8">
        <v>93</v>
      </c>
      <c r="L148" s="8" t="s">
        <v>6611</v>
      </c>
      <c r="M148" s="8" t="s">
        <v>6631</v>
      </c>
      <c r="N148" t="s">
        <v>900</v>
      </c>
      <c r="O148" t="s">
        <v>6553</v>
      </c>
      <c r="P148">
        <v>56</v>
      </c>
      <c r="Q148">
        <f t="shared" si="37"/>
        <v>32.799999999999997</v>
      </c>
      <c r="R148">
        <f t="shared" si="36"/>
        <v>0.54666666666666663</v>
      </c>
      <c r="S148" s="2">
        <v>45720</v>
      </c>
      <c r="U148">
        <v>36</v>
      </c>
      <c r="V148" s="4">
        <v>2016</v>
      </c>
      <c r="W148" t="s">
        <v>65</v>
      </c>
      <c r="X148" t="s">
        <v>987</v>
      </c>
      <c r="Y148">
        <v>0</v>
      </c>
      <c r="Z148" s="4">
        <v>1000</v>
      </c>
      <c r="AA148" s="4">
        <v>1016</v>
      </c>
      <c r="AB148">
        <v>0</v>
      </c>
      <c r="AC148">
        <v>0</v>
      </c>
      <c r="AD148">
        <v>0</v>
      </c>
      <c r="AG148">
        <v>0</v>
      </c>
      <c r="AP148" t="s">
        <v>988</v>
      </c>
      <c r="AQ148" t="s">
        <v>989</v>
      </c>
      <c r="AR148" t="s">
        <v>6668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C148" t="s">
        <v>69</v>
      </c>
      <c r="BD148" t="s">
        <v>990</v>
      </c>
      <c r="BE148">
        <v>0</v>
      </c>
      <c r="BG148" t="s">
        <v>989</v>
      </c>
      <c r="BJ148" t="s">
        <v>991</v>
      </c>
    </row>
    <row r="149" spans="1:62" x14ac:dyDescent="0.35">
      <c r="A149" t="s">
        <v>992</v>
      </c>
      <c r="B149">
        <v>10000</v>
      </c>
      <c r="C149">
        <v>20000</v>
      </c>
      <c r="D149" s="2">
        <v>45722</v>
      </c>
      <c r="E149" t="s">
        <v>61</v>
      </c>
      <c r="F149" s="3">
        <v>0.4880902777777778</v>
      </c>
      <c r="G149">
        <v>59469</v>
      </c>
      <c r="I149">
        <v>1</v>
      </c>
      <c r="J149" t="s">
        <v>63</v>
      </c>
      <c r="K149" s="8">
        <v>73</v>
      </c>
      <c r="L149" s="8" t="s">
        <v>6586</v>
      </c>
      <c r="M149" s="8" t="s">
        <v>6627</v>
      </c>
      <c r="N149" t="s">
        <v>90</v>
      </c>
      <c r="O149" t="s">
        <v>6564</v>
      </c>
      <c r="P149">
        <v>42</v>
      </c>
      <c r="Q149">
        <f t="shared" ref="Q149:Q150" si="38">(P149/60)+45</f>
        <v>45.7</v>
      </c>
      <c r="R149">
        <f t="shared" ref="R149:R153" si="39">Q149/60</f>
        <v>0.76166666666666671</v>
      </c>
      <c r="S149" s="2">
        <v>45720</v>
      </c>
      <c r="U149">
        <v>12</v>
      </c>
      <c r="V149">
        <v>504</v>
      </c>
      <c r="W149" t="s">
        <v>65</v>
      </c>
      <c r="X149" t="s">
        <v>993</v>
      </c>
      <c r="Y149">
        <v>0</v>
      </c>
      <c r="Z149">
        <v>100</v>
      </c>
      <c r="AA149">
        <v>404</v>
      </c>
      <c r="AB149">
        <v>0</v>
      </c>
      <c r="AC149">
        <v>0</v>
      </c>
      <c r="AD149">
        <v>0</v>
      </c>
      <c r="AG149">
        <v>0</v>
      </c>
      <c r="AP149" t="s">
        <v>994</v>
      </c>
      <c r="AQ149" t="s">
        <v>321</v>
      </c>
      <c r="AR149" t="s">
        <v>6652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BC149" t="s">
        <v>69</v>
      </c>
      <c r="BD149" t="s">
        <v>995</v>
      </c>
      <c r="BE149">
        <v>0</v>
      </c>
      <c r="BG149" t="s">
        <v>321</v>
      </c>
      <c r="BJ149" t="s">
        <v>996</v>
      </c>
    </row>
    <row r="150" spans="1:62" x14ac:dyDescent="0.35">
      <c r="A150" t="s">
        <v>997</v>
      </c>
      <c r="B150">
        <v>10000</v>
      </c>
      <c r="C150">
        <v>30000</v>
      </c>
      <c r="D150" s="2">
        <v>45722</v>
      </c>
      <c r="E150" t="s">
        <v>61</v>
      </c>
      <c r="F150" t="s">
        <v>998</v>
      </c>
      <c r="G150">
        <v>59469</v>
      </c>
      <c r="I150">
        <v>1</v>
      </c>
      <c r="J150" t="s">
        <v>63</v>
      </c>
      <c r="K150" s="8">
        <v>73</v>
      </c>
      <c r="L150" s="8" t="s">
        <v>6586</v>
      </c>
      <c r="M150" s="8" t="s">
        <v>6627</v>
      </c>
      <c r="N150" t="s">
        <v>90</v>
      </c>
      <c r="O150" t="s">
        <v>6564</v>
      </c>
      <c r="P150">
        <v>42</v>
      </c>
      <c r="Q150">
        <f t="shared" si="38"/>
        <v>45.7</v>
      </c>
      <c r="R150">
        <f t="shared" si="39"/>
        <v>0.76166666666666671</v>
      </c>
      <c r="S150" s="2">
        <v>45720</v>
      </c>
      <c r="U150">
        <v>12</v>
      </c>
      <c r="V150">
        <v>504</v>
      </c>
      <c r="W150" t="s">
        <v>65</v>
      </c>
      <c r="X150" t="s">
        <v>999</v>
      </c>
      <c r="Y150">
        <v>0</v>
      </c>
      <c r="Z150">
        <v>100</v>
      </c>
      <c r="AA150">
        <v>404</v>
      </c>
      <c r="AB150">
        <v>0</v>
      </c>
      <c r="AC150">
        <v>0</v>
      </c>
      <c r="AD150">
        <v>0</v>
      </c>
      <c r="AG150">
        <v>0</v>
      </c>
      <c r="AP150" t="s">
        <v>1000</v>
      </c>
      <c r="AQ150" t="s">
        <v>321</v>
      </c>
      <c r="AR150" t="s">
        <v>6652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BC150" t="s">
        <v>69</v>
      </c>
      <c r="BD150" t="s">
        <v>1001</v>
      </c>
      <c r="BE150">
        <v>0</v>
      </c>
      <c r="BG150" t="s">
        <v>321</v>
      </c>
      <c r="BJ150" t="s">
        <v>996</v>
      </c>
    </row>
    <row r="151" spans="1:62" x14ac:dyDescent="0.35">
      <c r="A151" t="s">
        <v>1002</v>
      </c>
      <c r="B151">
        <v>10000</v>
      </c>
      <c r="C151">
        <v>10000</v>
      </c>
      <c r="D151" s="2">
        <v>45720</v>
      </c>
      <c r="E151" t="s">
        <v>61</v>
      </c>
      <c r="F151" t="s">
        <v>853</v>
      </c>
      <c r="G151" t="s">
        <v>860</v>
      </c>
      <c r="I151">
        <v>1</v>
      </c>
      <c r="J151" t="s">
        <v>63</v>
      </c>
      <c r="K151" s="8">
        <v>26</v>
      </c>
      <c r="L151" s="8" t="s">
        <v>6595</v>
      </c>
      <c r="M151" s="8" t="s">
        <v>6629</v>
      </c>
      <c r="N151" t="s">
        <v>249</v>
      </c>
      <c r="O151" t="s">
        <v>6500</v>
      </c>
      <c r="P151" s="4">
        <v>4500</v>
      </c>
      <c r="Q151">
        <f t="shared" ref="Q151:Q153" si="40">(P151/40)+45</f>
        <v>157.5</v>
      </c>
      <c r="R151">
        <f t="shared" si="39"/>
        <v>2.625</v>
      </c>
      <c r="S151" s="2">
        <v>45720</v>
      </c>
      <c r="U151">
        <v>4</v>
      </c>
      <c r="V151" s="4">
        <v>18000</v>
      </c>
      <c r="W151" t="s">
        <v>65</v>
      </c>
      <c r="X151" t="s">
        <v>1003</v>
      </c>
      <c r="Y151">
        <v>0</v>
      </c>
      <c r="Z151" s="4">
        <v>18000</v>
      </c>
      <c r="AA151">
        <v>0</v>
      </c>
      <c r="AB151">
        <v>0</v>
      </c>
      <c r="AC151">
        <v>0</v>
      </c>
      <c r="AD151">
        <v>0</v>
      </c>
      <c r="AG151">
        <v>0</v>
      </c>
      <c r="AP151" t="s">
        <v>1004</v>
      </c>
      <c r="AQ151" t="s">
        <v>175</v>
      </c>
      <c r="AR151" t="s">
        <v>6642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C151" t="s">
        <v>69</v>
      </c>
      <c r="BD151" t="s">
        <v>1005</v>
      </c>
      <c r="BE151">
        <v>0</v>
      </c>
      <c r="BG151" t="s">
        <v>175</v>
      </c>
      <c r="BJ151" t="s">
        <v>1006</v>
      </c>
    </row>
    <row r="152" spans="1:62" x14ac:dyDescent="0.35">
      <c r="A152" t="s">
        <v>1007</v>
      </c>
      <c r="B152">
        <v>10000</v>
      </c>
      <c r="C152">
        <v>10000</v>
      </c>
      <c r="D152" s="2">
        <v>45721</v>
      </c>
      <c r="E152" t="s">
        <v>61</v>
      </c>
      <c r="F152" t="s">
        <v>1008</v>
      </c>
      <c r="G152" t="s">
        <v>586</v>
      </c>
      <c r="I152">
        <v>1</v>
      </c>
      <c r="J152" t="s">
        <v>63</v>
      </c>
      <c r="K152" s="8">
        <v>63</v>
      </c>
      <c r="L152" s="8" t="s">
        <v>6605</v>
      </c>
      <c r="M152" s="8" t="s">
        <v>6630</v>
      </c>
      <c r="N152" t="s">
        <v>519</v>
      </c>
      <c r="O152" t="s">
        <v>6569</v>
      </c>
      <c r="P152" s="4">
        <v>10000</v>
      </c>
      <c r="Q152">
        <f t="shared" si="40"/>
        <v>295</v>
      </c>
      <c r="R152">
        <f t="shared" si="39"/>
        <v>4.916666666666667</v>
      </c>
      <c r="S152" s="2">
        <v>45720</v>
      </c>
      <c r="U152">
        <v>60</v>
      </c>
      <c r="V152" s="4">
        <v>600000</v>
      </c>
      <c r="W152" t="s">
        <v>65</v>
      </c>
      <c r="X152" t="s">
        <v>587</v>
      </c>
      <c r="Y152">
        <v>0</v>
      </c>
      <c r="Z152" s="4">
        <v>600000</v>
      </c>
      <c r="AA152">
        <v>0</v>
      </c>
      <c r="AB152">
        <v>0</v>
      </c>
      <c r="AC152">
        <v>0</v>
      </c>
      <c r="AD152">
        <v>0</v>
      </c>
      <c r="AG152">
        <v>0</v>
      </c>
      <c r="AP152" t="s">
        <v>588</v>
      </c>
      <c r="AQ152" t="s">
        <v>175</v>
      </c>
      <c r="AR152" t="s">
        <v>6642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C152" t="s">
        <v>69</v>
      </c>
      <c r="BD152" t="s">
        <v>1009</v>
      </c>
      <c r="BE152">
        <v>0</v>
      </c>
      <c r="BG152" t="s">
        <v>175</v>
      </c>
      <c r="BJ152" t="s">
        <v>1010</v>
      </c>
    </row>
    <row r="153" spans="1:62" x14ac:dyDescent="0.35">
      <c r="A153" t="s">
        <v>1011</v>
      </c>
      <c r="B153">
        <v>10000</v>
      </c>
      <c r="C153">
        <v>10000</v>
      </c>
      <c r="D153" s="2">
        <v>45721</v>
      </c>
      <c r="E153" t="s">
        <v>61</v>
      </c>
      <c r="F153" t="s">
        <v>1008</v>
      </c>
      <c r="G153" t="s">
        <v>586</v>
      </c>
      <c r="I153">
        <v>1</v>
      </c>
      <c r="J153" t="s">
        <v>63</v>
      </c>
      <c r="K153" s="8">
        <v>63</v>
      </c>
      <c r="L153" s="8" t="s">
        <v>6605</v>
      </c>
      <c r="M153" s="8" t="s">
        <v>6630</v>
      </c>
      <c r="N153" t="s">
        <v>519</v>
      </c>
      <c r="O153" t="s">
        <v>6569</v>
      </c>
      <c r="P153" s="4">
        <v>10000</v>
      </c>
      <c r="Q153">
        <f t="shared" si="40"/>
        <v>295</v>
      </c>
      <c r="R153">
        <f t="shared" si="39"/>
        <v>4.916666666666667</v>
      </c>
      <c r="S153" s="2">
        <v>45720</v>
      </c>
      <c r="U153">
        <v>60</v>
      </c>
      <c r="V153" s="4">
        <v>600000</v>
      </c>
      <c r="W153" t="s">
        <v>65</v>
      </c>
      <c r="X153" t="s">
        <v>587</v>
      </c>
      <c r="Y153">
        <v>0</v>
      </c>
      <c r="Z153" s="4">
        <v>600000</v>
      </c>
      <c r="AA153">
        <v>0</v>
      </c>
      <c r="AB153">
        <v>0</v>
      </c>
      <c r="AC153">
        <v>0</v>
      </c>
      <c r="AD153">
        <v>0</v>
      </c>
      <c r="AG153">
        <v>0</v>
      </c>
      <c r="AP153" t="s">
        <v>588</v>
      </c>
      <c r="AQ153" t="s">
        <v>175</v>
      </c>
      <c r="AR153" t="s">
        <v>6642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BC153" t="s">
        <v>69</v>
      </c>
      <c r="BD153" t="s">
        <v>1012</v>
      </c>
      <c r="BE153">
        <v>0</v>
      </c>
      <c r="BG153" t="s">
        <v>175</v>
      </c>
      <c r="BJ153" t="s">
        <v>1013</v>
      </c>
    </row>
    <row r="154" spans="1:62" x14ac:dyDescent="0.35">
      <c r="A154" t="s">
        <v>1014</v>
      </c>
      <c r="B154">
        <v>10000</v>
      </c>
      <c r="C154">
        <v>10000</v>
      </c>
      <c r="D154" s="2">
        <v>45726</v>
      </c>
      <c r="E154" t="s">
        <v>61</v>
      </c>
      <c r="F154" t="s">
        <v>1015</v>
      </c>
      <c r="G154" s="6">
        <v>925200</v>
      </c>
      <c r="I154">
        <v>1</v>
      </c>
      <c r="J154" t="s">
        <v>63</v>
      </c>
      <c r="K154" s="8">
        <v>79</v>
      </c>
      <c r="L154" s="8" t="s">
        <v>6608</v>
      </c>
      <c r="M154" s="8" t="s">
        <v>6631</v>
      </c>
      <c r="N154" t="s">
        <v>573</v>
      </c>
      <c r="O154" t="s">
        <v>6547</v>
      </c>
      <c r="P154">
        <v>417</v>
      </c>
      <c r="Q154">
        <f>(P154/20)+30</f>
        <v>50.85</v>
      </c>
      <c r="R154">
        <f>Q154/60</f>
        <v>0.84750000000000003</v>
      </c>
      <c r="S154" s="2">
        <v>45720</v>
      </c>
      <c r="U154">
        <v>12</v>
      </c>
      <c r="V154" s="4">
        <v>5004</v>
      </c>
      <c r="W154" t="s">
        <v>65</v>
      </c>
      <c r="X154">
        <v>10258252000001</v>
      </c>
      <c r="Y154">
        <v>0</v>
      </c>
      <c r="Z154" s="4">
        <v>3000</v>
      </c>
      <c r="AA154" s="4">
        <v>2004</v>
      </c>
      <c r="AB154">
        <v>0</v>
      </c>
      <c r="AC154">
        <v>0</v>
      </c>
      <c r="AD154">
        <v>0</v>
      </c>
      <c r="AG154">
        <v>0</v>
      </c>
      <c r="AP154">
        <v>1025825200</v>
      </c>
      <c r="AQ154" t="s">
        <v>1016</v>
      </c>
      <c r="AR154" t="s">
        <v>6669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BC154" t="s">
        <v>69</v>
      </c>
      <c r="BD154" t="s">
        <v>1017</v>
      </c>
      <c r="BE154">
        <v>0</v>
      </c>
      <c r="BG154" t="s">
        <v>1016</v>
      </c>
      <c r="BJ154" t="s">
        <v>1018</v>
      </c>
    </row>
    <row r="155" spans="1:62" x14ac:dyDescent="0.35">
      <c r="A155" t="s">
        <v>1019</v>
      </c>
      <c r="B155">
        <v>10000</v>
      </c>
      <c r="C155">
        <v>20000</v>
      </c>
      <c r="D155" s="2">
        <v>45723</v>
      </c>
      <c r="E155" t="s">
        <v>61</v>
      </c>
      <c r="F155" t="s">
        <v>1020</v>
      </c>
      <c r="G155" t="s">
        <v>1021</v>
      </c>
      <c r="I155">
        <v>1</v>
      </c>
      <c r="J155" t="s">
        <v>63</v>
      </c>
      <c r="K155" s="8">
        <v>95</v>
      </c>
      <c r="L155" s="8" t="s">
        <v>6609</v>
      </c>
      <c r="M155" s="8" t="s">
        <v>6630</v>
      </c>
      <c r="N155" t="s">
        <v>597</v>
      </c>
      <c r="O155" t="s">
        <v>6556</v>
      </c>
      <c r="P155" s="4">
        <v>33429</v>
      </c>
      <c r="Q155">
        <f>(P155/20)+45</f>
        <v>1716.45</v>
      </c>
      <c r="R155">
        <f>Q155/60</f>
        <v>28.607500000000002</v>
      </c>
      <c r="S155" s="2">
        <v>45720</v>
      </c>
      <c r="U155">
        <v>7</v>
      </c>
      <c r="V155" s="4">
        <v>234003</v>
      </c>
      <c r="W155" t="s">
        <v>65</v>
      </c>
      <c r="X155">
        <v>86.915900010000001</v>
      </c>
      <c r="Y155">
        <v>0</v>
      </c>
      <c r="Z155" s="4">
        <v>234000</v>
      </c>
      <c r="AA155">
        <v>3</v>
      </c>
      <c r="AB155">
        <v>0</v>
      </c>
      <c r="AC155">
        <v>0</v>
      </c>
      <c r="AD155">
        <v>0</v>
      </c>
      <c r="AG155">
        <v>0</v>
      </c>
      <c r="AP155">
        <v>86.915899999999993</v>
      </c>
      <c r="AQ155" t="s">
        <v>449</v>
      </c>
      <c r="AR155" t="s">
        <v>6654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C155" t="s">
        <v>69</v>
      </c>
      <c r="BD155" t="s">
        <v>1022</v>
      </c>
      <c r="BE155">
        <v>0</v>
      </c>
      <c r="BG155" t="s">
        <v>449</v>
      </c>
      <c r="BJ155" t="s">
        <v>603</v>
      </c>
    </row>
    <row r="156" spans="1:62" x14ac:dyDescent="0.35">
      <c r="A156" t="s">
        <v>1023</v>
      </c>
      <c r="B156">
        <v>10000</v>
      </c>
      <c r="C156">
        <v>10000</v>
      </c>
      <c r="D156" s="2">
        <v>45727</v>
      </c>
      <c r="E156" t="s">
        <v>61</v>
      </c>
      <c r="F156" t="s">
        <v>1024</v>
      </c>
      <c r="G156" t="s">
        <v>1025</v>
      </c>
      <c r="I156">
        <v>1</v>
      </c>
      <c r="J156" t="s">
        <v>63</v>
      </c>
      <c r="K156" s="8">
        <v>82</v>
      </c>
      <c r="L156" s="8" t="s">
        <v>6598</v>
      </c>
      <c r="M156" s="8" t="s">
        <v>6630</v>
      </c>
      <c r="N156" t="s">
        <v>341</v>
      </c>
      <c r="O156" t="s">
        <v>6346</v>
      </c>
      <c r="P156" s="4">
        <v>10834</v>
      </c>
      <c r="S156" s="2">
        <v>45720</v>
      </c>
      <c r="U156">
        <v>6</v>
      </c>
      <c r="V156" s="4">
        <v>65004</v>
      </c>
      <c r="W156" t="s">
        <v>65</v>
      </c>
      <c r="X156" t="s">
        <v>1026</v>
      </c>
      <c r="Y156">
        <v>0</v>
      </c>
      <c r="Z156" s="4">
        <v>65003</v>
      </c>
      <c r="AA156">
        <v>1</v>
      </c>
      <c r="AB156">
        <v>0</v>
      </c>
      <c r="AC156">
        <v>0</v>
      </c>
      <c r="AD156">
        <v>0</v>
      </c>
      <c r="AG156">
        <v>0</v>
      </c>
      <c r="AP156" t="s">
        <v>1027</v>
      </c>
      <c r="AQ156" t="s">
        <v>107</v>
      </c>
      <c r="AR156" t="s">
        <v>6638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C156" t="s">
        <v>69</v>
      </c>
      <c r="BD156" t="s">
        <v>1028</v>
      </c>
      <c r="BE156">
        <v>0</v>
      </c>
      <c r="BG156" t="s">
        <v>107</v>
      </c>
      <c r="BJ156" t="s">
        <v>1029</v>
      </c>
    </row>
    <row r="157" spans="1:62" x14ac:dyDescent="0.35">
      <c r="A157" t="s">
        <v>1030</v>
      </c>
      <c r="B157">
        <v>10000</v>
      </c>
      <c r="C157">
        <v>10000</v>
      </c>
      <c r="D157" s="2">
        <v>45721</v>
      </c>
      <c r="E157" t="s">
        <v>61</v>
      </c>
      <c r="F157" t="s">
        <v>1031</v>
      </c>
      <c r="G157" t="s">
        <v>1032</v>
      </c>
      <c r="I157">
        <v>1</v>
      </c>
      <c r="J157" t="s">
        <v>63</v>
      </c>
      <c r="K157" s="8">
        <v>65</v>
      </c>
      <c r="L157" s="8" t="s">
        <v>6596</v>
      </c>
      <c r="M157" s="8" t="s">
        <v>6630</v>
      </c>
      <c r="N157" t="s">
        <v>268</v>
      </c>
      <c r="O157" t="s">
        <v>6543</v>
      </c>
      <c r="P157">
        <v>167</v>
      </c>
      <c r="Q157">
        <f t="shared" ref="Q157:Q162" si="41">(P157/40)+45</f>
        <v>49.174999999999997</v>
      </c>
      <c r="R157">
        <f t="shared" ref="R157:R162" si="42">Q157/60</f>
        <v>0.81958333333333333</v>
      </c>
      <c r="S157" s="2">
        <v>45720</v>
      </c>
      <c r="U157">
        <v>6</v>
      </c>
      <c r="V157" s="4">
        <v>1002</v>
      </c>
      <c r="W157" t="s">
        <v>65</v>
      </c>
      <c r="X157" t="s">
        <v>1033</v>
      </c>
      <c r="Y157">
        <v>0</v>
      </c>
      <c r="Z157" s="4">
        <v>1000</v>
      </c>
      <c r="AA157">
        <v>2</v>
      </c>
      <c r="AB157">
        <v>0</v>
      </c>
      <c r="AC157">
        <v>0</v>
      </c>
      <c r="AD157">
        <v>0</v>
      </c>
      <c r="AG157">
        <v>0</v>
      </c>
      <c r="AP157" t="s">
        <v>1034</v>
      </c>
      <c r="AQ157" t="s">
        <v>508</v>
      </c>
      <c r="AR157" t="s">
        <v>6657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BC157" t="s">
        <v>69</v>
      </c>
      <c r="BD157" t="s">
        <v>1035</v>
      </c>
      <c r="BE157">
        <v>0</v>
      </c>
      <c r="BG157" t="s">
        <v>508</v>
      </c>
      <c r="BJ157" t="s">
        <v>621</v>
      </c>
    </row>
    <row r="158" spans="1:62" x14ac:dyDescent="0.35">
      <c r="A158" t="s">
        <v>1036</v>
      </c>
      <c r="B158">
        <v>10000</v>
      </c>
      <c r="C158">
        <v>10000</v>
      </c>
      <c r="D158" s="2">
        <v>45721</v>
      </c>
      <c r="E158" t="s">
        <v>61</v>
      </c>
      <c r="F158" t="s">
        <v>1037</v>
      </c>
      <c r="G158" t="s">
        <v>1032</v>
      </c>
      <c r="I158">
        <v>1</v>
      </c>
      <c r="J158" t="s">
        <v>63</v>
      </c>
      <c r="K158" s="8">
        <v>65</v>
      </c>
      <c r="L158" s="8" t="s">
        <v>6596</v>
      </c>
      <c r="M158" s="8" t="s">
        <v>6630</v>
      </c>
      <c r="N158" t="s">
        <v>268</v>
      </c>
      <c r="O158" t="s">
        <v>6543</v>
      </c>
      <c r="P158">
        <v>143</v>
      </c>
      <c r="Q158">
        <f t="shared" si="41"/>
        <v>48.575000000000003</v>
      </c>
      <c r="R158">
        <f t="shared" si="42"/>
        <v>0.80958333333333343</v>
      </c>
      <c r="S158" s="2">
        <v>45720</v>
      </c>
      <c r="U158">
        <v>7</v>
      </c>
      <c r="V158" s="4">
        <v>1001</v>
      </c>
      <c r="W158" t="s">
        <v>65</v>
      </c>
      <c r="X158" t="s">
        <v>1038</v>
      </c>
      <c r="Y158">
        <v>0</v>
      </c>
      <c r="Z158" s="4">
        <v>1000</v>
      </c>
      <c r="AA158">
        <v>1</v>
      </c>
      <c r="AB158">
        <v>0</v>
      </c>
      <c r="AC158">
        <v>0</v>
      </c>
      <c r="AD158">
        <v>0</v>
      </c>
      <c r="AG158">
        <v>0</v>
      </c>
      <c r="AP158" t="s">
        <v>1039</v>
      </c>
      <c r="AQ158" t="s">
        <v>508</v>
      </c>
      <c r="AR158" t="s">
        <v>6657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BC158" t="s">
        <v>69</v>
      </c>
      <c r="BD158" t="s">
        <v>1040</v>
      </c>
      <c r="BE158">
        <v>0</v>
      </c>
      <c r="BG158" t="s">
        <v>508</v>
      </c>
      <c r="BJ158" t="s">
        <v>621</v>
      </c>
    </row>
    <row r="159" spans="1:62" x14ac:dyDescent="0.35">
      <c r="A159" t="s">
        <v>1041</v>
      </c>
      <c r="B159">
        <v>10000</v>
      </c>
      <c r="C159">
        <v>10000</v>
      </c>
      <c r="D159" s="2">
        <v>45720</v>
      </c>
      <c r="E159" t="s">
        <v>61</v>
      </c>
      <c r="F159" t="s">
        <v>845</v>
      </c>
      <c r="G159" t="s">
        <v>1032</v>
      </c>
      <c r="I159">
        <v>1</v>
      </c>
      <c r="J159" t="s">
        <v>63</v>
      </c>
      <c r="K159" s="8">
        <v>65</v>
      </c>
      <c r="L159" s="8" t="s">
        <v>6596</v>
      </c>
      <c r="M159" s="8" t="s">
        <v>6630</v>
      </c>
      <c r="N159" t="s">
        <v>268</v>
      </c>
      <c r="O159" t="s">
        <v>6543</v>
      </c>
      <c r="P159">
        <v>462</v>
      </c>
      <c r="Q159">
        <f t="shared" si="41"/>
        <v>56.55</v>
      </c>
      <c r="R159">
        <f t="shared" si="42"/>
        <v>0.9425</v>
      </c>
      <c r="S159" s="2">
        <v>45720</v>
      </c>
      <c r="U159">
        <v>13</v>
      </c>
      <c r="V159" s="4">
        <v>6006</v>
      </c>
      <c r="W159" t="s">
        <v>65</v>
      </c>
      <c r="X159" t="s">
        <v>1042</v>
      </c>
      <c r="Y159">
        <v>0</v>
      </c>
      <c r="Z159" s="4">
        <v>6000</v>
      </c>
      <c r="AA159">
        <v>6</v>
      </c>
      <c r="AB159">
        <v>0</v>
      </c>
      <c r="AC159">
        <v>0</v>
      </c>
      <c r="AD159">
        <v>0</v>
      </c>
      <c r="AG159">
        <v>0</v>
      </c>
      <c r="AP159" t="s">
        <v>1043</v>
      </c>
      <c r="AQ159" t="s">
        <v>508</v>
      </c>
      <c r="AR159" t="s">
        <v>6657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C159" t="s">
        <v>69</v>
      </c>
      <c r="BD159" t="s">
        <v>1044</v>
      </c>
      <c r="BE159">
        <v>0</v>
      </c>
      <c r="BG159" t="s">
        <v>508</v>
      </c>
      <c r="BJ159" t="s">
        <v>621</v>
      </c>
    </row>
    <row r="160" spans="1:62" x14ac:dyDescent="0.35">
      <c r="A160" t="s">
        <v>1045</v>
      </c>
      <c r="B160">
        <v>10000</v>
      </c>
      <c r="C160">
        <v>10000</v>
      </c>
      <c r="D160" s="2">
        <v>45721</v>
      </c>
      <c r="E160" t="s">
        <v>61</v>
      </c>
      <c r="F160" t="s">
        <v>1037</v>
      </c>
      <c r="G160" t="s">
        <v>1032</v>
      </c>
      <c r="I160">
        <v>1</v>
      </c>
      <c r="J160" t="s">
        <v>63</v>
      </c>
      <c r="K160" s="8">
        <v>65</v>
      </c>
      <c r="L160" s="8" t="s">
        <v>6596</v>
      </c>
      <c r="M160" s="8" t="s">
        <v>6630</v>
      </c>
      <c r="N160" t="s">
        <v>268</v>
      </c>
      <c r="O160" t="s">
        <v>6543</v>
      </c>
      <c r="P160">
        <v>667</v>
      </c>
      <c r="Q160">
        <f t="shared" si="41"/>
        <v>61.674999999999997</v>
      </c>
      <c r="R160">
        <f t="shared" si="42"/>
        <v>1.0279166666666666</v>
      </c>
      <c r="S160" s="2">
        <v>45720</v>
      </c>
      <c r="U160">
        <v>6</v>
      </c>
      <c r="V160" s="4">
        <v>4002</v>
      </c>
      <c r="W160" t="s">
        <v>65</v>
      </c>
      <c r="X160" t="s">
        <v>1033</v>
      </c>
      <c r="Y160">
        <v>0</v>
      </c>
      <c r="Z160" s="4">
        <v>4000</v>
      </c>
      <c r="AA160">
        <v>2</v>
      </c>
      <c r="AB160">
        <v>0</v>
      </c>
      <c r="AC160">
        <v>0</v>
      </c>
      <c r="AD160">
        <v>0</v>
      </c>
      <c r="AG160">
        <v>0</v>
      </c>
      <c r="AP160" t="s">
        <v>1034</v>
      </c>
      <c r="AQ160" t="s">
        <v>508</v>
      </c>
      <c r="AR160" t="s">
        <v>6657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C160" t="s">
        <v>69</v>
      </c>
      <c r="BD160" t="s">
        <v>1046</v>
      </c>
      <c r="BE160">
        <v>0</v>
      </c>
      <c r="BG160" t="s">
        <v>508</v>
      </c>
      <c r="BJ160" t="s">
        <v>1047</v>
      </c>
    </row>
    <row r="161" spans="1:62" x14ac:dyDescent="0.35">
      <c r="A161" t="s">
        <v>1048</v>
      </c>
      <c r="B161">
        <v>10000</v>
      </c>
      <c r="C161">
        <v>10000</v>
      </c>
      <c r="D161" s="2">
        <v>45721</v>
      </c>
      <c r="E161" t="s">
        <v>61</v>
      </c>
      <c r="F161" t="s">
        <v>1037</v>
      </c>
      <c r="G161" t="s">
        <v>1032</v>
      </c>
      <c r="I161">
        <v>1</v>
      </c>
      <c r="J161" t="s">
        <v>63</v>
      </c>
      <c r="K161" s="8">
        <v>65</v>
      </c>
      <c r="L161" s="8" t="s">
        <v>6596</v>
      </c>
      <c r="M161" s="8" t="s">
        <v>6630</v>
      </c>
      <c r="N161" t="s">
        <v>268</v>
      </c>
      <c r="O161" t="s">
        <v>6543</v>
      </c>
      <c r="P161">
        <v>286</v>
      </c>
      <c r="Q161">
        <f t="shared" si="41"/>
        <v>52.15</v>
      </c>
      <c r="R161">
        <f t="shared" si="42"/>
        <v>0.86916666666666664</v>
      </c>
      <c r="S161" s="2">
        <v>45720</v>
      </c>
      <c r="U161">
        <v>7</v>
      </c>
      <c r="V161" s="4">
        <v>2002</v>
      </c>
      <c r="W161" t="s">
        <v>65</v>
      </c>
      <c r="X161" t="s">
        <v>1038</v>
      </c>
      <c r="Y161">
        <v>0</v>
      </c>
      <c r="Z161" s="4">
        <v>2000</v>
      </c>
      <c r="AA161">
        <v>2</v>
      </c>
      <c r="AB161">
        <v>0</v>
      </c>
      <c r="AC161">
        <v>0</v>
      </c>
      <c r="AD161">
        <v>0</v>
      </c>
      <c r="AG161">
        <v>0</v>
      </c>
      <c r="AP161" t="s">
        <v>1039</v>
      </c>
      <c r="AQ161" t="s">
        <v>508</v>
      </c>
      <c r="AR161" t="s">
        <v>6657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C161" t="s">
        <v>69</v>
      </c>
      <c r="BD161" t="s">
        <v>1049</v>
      </c>
      <c r="BE161">
        <v>0</v>
      </c>
      <c r="BG161" t="s">
        <v>508</v>
      </c>
      <c r="BJ161" t="s">
        <v>1047</v>
      </c>
    </row>
    <row r="162" spans="1:62" x14ac:dyDescent="0.35">
      <c r="A162" t="s">
        <v>1050</v>
      </c>
      <c r="B162">
        <v>10000</v>
      </c>
      <c r="C162">
        <v>10000</v>
      </c>
      <c r="D162" s="2">
        <v>45720</v>
      </c>
      <c r="E162" t="s">
        <v>61</v>
      </c>
      <c r="F162" t="s">
        <v>845</v>
      </c>
      <c r="G162" t="s">
        <v>1032</v>
      </c>
      <c r="I162">
        <v>1</v>
      </c>
      <c r="J162" t="s">
        <v>63</v>
      </c>
      <c r="K162" s="8">
        <v>65</v>
      </c>
      <c r="L162" s="8" t="s">
        <v>6596</v>
      </c>
      <c r="M162" s="8" t="s">
        <v>6630</v>
      </c>
      <c r="N162" t="s">
        <v>268</v>
      </c>
      <c r="O162" t="s">
        <v>6543</v>
      </c>
      <c r="P162">
        <v>462</v>
      </c>
      <c r="Q162">
        <f t="shared" si="41"/>
        <v>56.55</v>
      </c>
      <c r="R162">
        <f t="shared" si="42"/>
        <v>0.9425</v>
      </c>
      <c r="S162" s="2">
        <v>45720</v>
      </c>
      <c r="U162">
        <v>13</v>
      </c>
      <c r="V162" s="4">
        <v>6006</v>
      </c>
      <c r="W162" t="s">
        <v>65</v>
      </c>
      <c r="X162" t="s">
        <v>1042</v>
      </c>
      <c r="Y162">
        <v>0</v>
      </c>
      <c r="Z162" s="4">
        <v>6000</v>
      </c>
      <c r="AA162">
        <v>6</v>
      </c>
      <c r="AB162">
        <v>0</v>
      </c>
      <c r="AC162">
        <v>0</v>
      </c>
      <c r="AD162">
        <v>0</v>
      </c>
      <c r="AG162">
        <v>0</v>
      </c>
      <c r="AP162" t="s">
        <v>1043</v>
      </c>
      <c r="AQ162" t="s">
        <v>508</v>
      </c>
      <c r="AR162" t="s">
        <v>6657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C162" t="s">
        <v>69</v>
      </c>
      <c r="BD162" t="s">
        <v>1051</v>
      </c>
      <c r="BE162">
        <v>0</v>
      </c>
      <c r="BG162" t="s">
        <v>508</v>
      </c>
      <c r="BJ162" t="s">
        <v>1047</v>
      </c>
    </row>
    <row r="163" spans="1:62" x14ac:dyDescent="0.35">
      <c r="A163" t="s">
        <v>1052</v>
      </c>
      <c r="B163">
        <v>10000</v>
      </c>
      <c r="C163">
        <v>10000</v>
      </c>
      <c r="D163" s="2">
        <v>45721</v>
      </c>
      <c r="E163" t="s">
        <v>61</v>
      </c>
      <c r="F163" t="s">
        <v>1053</v>
      </c>
      <c r="G163" t="s">
        <v>134</v>
      </c>
      <c r="I163">
        <v>1</v>
      </c>
      <c r="J163" t="s">
        <v>63</v>
      </c>
      <c r="K163" s="8">
        <v>72</v>
      </c>
      <c r="L163" s="8" t="s">
        <v>6606</v>
      </c>
      <c r="M163" s="8" t="s">
        <v>6631</v>
      </c>
      <c r="N163" t="s">
        <v>528</v>
      </c>
      <c r="O163" t="s">
        <v>6542</v>
      </c>
      <c r="P163" s="4">
        <v>3250</v>
      </c>
      <c r="S163" s="2">
        <v>45720</v>
      </c>
      <c r="U163">
        <v>4</v>
      </c>
      <c r="V163" s="4">
        <v>13000</v>
      </c>
      <c r="W163" t="s">
        <v>65</v>
      </c>
      <c r="X163">
        <v>5000769160001</v>
      </c>
      <c r="Y163">
        <v>0</v>
      </c>
      <c r="Z163" s="4">
        <v>10000</v>
      </c>
      <c r="AA163" s="4">
        <v>3000</v>
      </c>
      <c r="AB163">
        <v>0</v>
      </c>
      <c r="AC163">
        <v>0</v>
      </c>
      <c r="AD163">
        <v>0</v>
      </c>
      <c r="AG163">
        <v>0</v>
      </c>
      <c r="AP163">
        <v>500076916</v>
      </c>
      <c r="AQ163" t="s">
        <v>91</v>
      </c>
      <c r="AR163" t="s">
        <v>6637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C163" t="s">
        <v>69</v>
      </c>
      <c r="BD163" t="s">
        <v>1054</v>
      </c>
      <c r="BE163">
        <v>0</v>
      </c>
      <c r="BG163" t="s">
        <v>91</v>
      </c>
      <c r="BJ163" t="s">
        <v>1055</v>
      </c>
    </row>
    <row r="164" spans="1:62" x14ac:dyDescent="0.35">
      <c r="A164" t="s">
        <v>1052</v>
      </c>
      <c r="B164">
        <v>10000</v>
      </c>
      <c r="C164">
        <v>20000</v>
      </c>
      <c r="D164" s="2">
        <v>45721</v>
      </c>
      <c r="E164" t="s">
        <v>61</v>
      </c>
      <c r="F164" t="s">
        <v>1053</v>
      </c>
      <c r="G164" t="s">
        <v>134</v>
      </c>
      <c r="I164">
        <v>2</v>
      </c>
      <c r="J164" t="s">
        <v>63</v>
      </c>
      <c r="K164" s="8">
        <v>71</v>
      </c>
      <c r="L164" s="8" t="s">
        <v>6588</v>
      </c>
      <c r="M164" s="8" t="s">
        <v>6630</v>
      </c>
      <c r="N164" t="s">
        <v>135</v>
      </c>
      <c r="O164" t="s">
        <v>6573</v>
      </c>
      <c r="P164" s="4">
        <v>1250</v>
      </c>
      <c r="S164" s="2">
        <v>45720</v>
      </c>
      <c r="U164">
        <v>8</v>
      </c>
      <c r="V164" s="4">
        <v>10000</v>
      </c>
      <c r="W164" t="s">
        <v>65</v>
      </c>
      <c r="X164">
        <v>5000769160001</v>
      </c>
      <c r="Y164">
        <v>0</v>
      </c>
      <c r="Z164" s="4">
        <v>10000</v>
      </c>
      <c r="AA164">
        <v>0</v>
      </c>
      <c r="AB164">
        <v>0</v>
      </c>
      <c r="AC164">
        <v>0</v>
      </c>
      <c r="AD164">
        <v>0</v>
      </c>
      <c r="AG164">
        <v>0</v>
      </c>
      <c r="AP164">
        <v>500076916</v>
      </c>
      <c r="AQ164" t="s">
        <v>91</v>
      </c>
      <c r="AR164" t="s">
        <v>6637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BC164" t="s">
        <v>69</v>
      </c>
      <c r="BD164" t="s">
        <v>1054</v>
      </c>
      <c r="BE164">
        <v>0</v>
      </c>
      <c r="BG164" t="s">
        <v>91</v>
      </c>
      <c r="BJ164" t="s">
        <v>1055</v>
      </c>
    </row>
    <row r="165" spans="1:62" x14ac:dyDescent="0.35">
      <c r="A165" t="s">
        <v>1056</v>
      </c>
      <c r="B165">
        <v>10000</v>
      </c>
      <c r="C165">
        <v>10000</v>
      </c>
      <c r="D165" s="2">
        <v>45737</v>
      </c>
      <c r="E165" t="s">
        <v>61</v>
      </c>
      <c r="F165" s="3">
        <v>0.48155092592592591</v>
      </c>
      <c r="G165">
        <v>10639931050</v>
      </c>
      <c r="I165">
        <v>1</v>
      </c>
      <c r="J165" t="s">
        <v>63</v>
      </c>
      <c r="K165" s="8">
        <v>79</v>
      </c>
      <c r="L165" s="8" t="s">
        <v>6608</v>
      </c>
      <c r="M165" s="8" t="s">
        <v>6631</v>
      </c>
      <c r="N165" t="s">
        <v>573</v>
      </c>
      <c r="O165" t="s">
        <v>6547</v>
      </c>
      <c r="P165">
        <v>168</v>
      </c>
      <c r="Q165">
        <f>(P165/20)+30</f>
        <v>38.4</v>
      </c>
      <c r="R165">
        <f>Q165/60</f>
        <v>0.64</v>
      </c>
      <c r="S165" s="2">
        <v>45720</v>
      </c>
      <c r="U165">
        <v>297</v>
      </c>
      <c r="V165" s="4">
        <v>49896</v>
      </c>
      <c r="W165" t="s">
        <v>65</v>
      </c>
      <c r="X165" t="s">
        <v>1057</v>
      </c>
      <c r="Y165">
        <v>0</v>
      </c>
      <c r="Z165" s="4">
        <v>30000</v>
      </c>
      <c r="AA165" s="4">
        <v>19896</v>
      </c>
      <c r="AB165">
        <v>0</v>
      </c>
      <c r="AC165">
        <v>0</v>
      </c>
      <c r="AD165">
        <v>0</v>
      </c>
      <c r="AG165">
        <v>0</v>
      </c>
      <c r="AP165" t="s">
        <v>1058</v>
      </c>
      <c r="AQ165" t="s">
        <v>107</v>
      </c>
      <c r="AR165" t="s">
        <v>6638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C165" t="s">
        <v>69</v>
      </c>
      <c r="BD165" t="s">
        <v>1059</v>
      </c>
      <c r="BE165">
        <v>0</v>
      </c>
      <c r="BG165" t="s">
        <v>107</v>
      </c>
      <c r="BJ165" t="s">
        <v>626</v>
      </c>
    </row>
    <row r="166" spans="1:62" x14ac:dyDescent="0.35">
      <c r="A166" t="s">
        <v>627</v>
      </c>
      <c r="B166">
        <v>10000</v>
      </c>
      <c r="C166">
        <v>20000</v>
      </c>
      <c r="D166" s="2">
        <v>45721</v>
      </c>
      <c r="E166" t="s">
        <v>61</v>
      </c>
      <c r="F166" t="s">
        <v>628</v>
      </c>
      <c r="G166" t="s">
        <v>629</v>
      </c>
      <c r="I166">
        <v>2</v>
      </c>
      <c r="J166" t="s">
        <v>63</v>
      </c>
      <c r="K166" s="8">
        <v>105</v>
      </c>
      <c r="L166" s="8" t="s">
        <v>6612</v>
      </c>
      <c r="M166" s="8" t="s">
        <v>6632</v>
      </c>
      <c r="N166" t="s">
        <v>424</v>
      </c>
      <c r="O166" t="s">
        <v>6570</v>
      </c>
      <c r="P166" s="4">
        <v>2500</v>
      </c>
      <c r="S166" s="2">
        <v>45720</v>
      </c>
      <c r="U166">
        <v>1</v>
      </c>
      <c r="V166" s="4">
        <v>2500</v>
      </c>
      <c r="W166" t="s">
        <v>65</v>
      </c>
      <c r="X166" t="s">
        <v>631</v>
      </c>
      <c r="Y166">
        <v>0</v>
      </c>
      <c r="Z166" s="4">
        <v>2500</v>
      </c>
      <c r="AA166">
        <v>0</v>
      </c>
      <c r="AB166">
        <v>0</v>
      </c>
      <c r="AC166">
        <v>0</v>
      </c>
      <c r="AD166">
        <v>0</v>
      </c>
      <c r="AG166">
        <v>0</v>
      </c>
      <c r="AP166" t="s">
        <v>632</v>
      </c>
      <c r="AQ166" t="s">
        <v>633</v>
      </c>
      <c r="AR166" t="s">
        <v>6659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BC166" t="s">
        <v>69</v>
      </c>
      <c r="BD166" t="s">
        <v>634</v>
      </c>
      <c r="BE166">
        <v>0</v>
      </c>
      <c r="BG166" t="s">
        <v>633</v>
      </c>
      <c r="BJ166" t="s">
        <v>635</v>
      </c>
    </row>
    <row r="167" spans="1:62" x14ac:dyDescent="0.35">
      <c r="A167" t="s">
        <v>636</v>
      </c>
      <c r="B167">
        <v>10000</v>
      </c>
      <c r="C167">
        <v>20000</v>
      </c>
      <c r="D167" s="2">
        <v>45721</v>
      </c>
      <c r="E167" t="s">
        <v>61</v>
      </c>
      <c r="F167" t="s">
        <v>637</v>
      </c>
      <c r="G167" t="s">
        <v>638</v>
      </c>
      <c r="I167">
        <v>2</v>
      </c>
      <c r="J167" t="s">
        <v>63</v>
      </c>
      <c r="K167" s="8">
        <v>100</v>
      </c>
      <c r="L167" s="8" t="s">
        <v>6613</v>
      </c>
      <c r="M167" s="8" t="s">
        <v>6633</v>
      </c>
      <c r="N167" t="s">
        <v>424</v>
      </c>
      <c r="O167" t="s">
        <v>6570</v>
      </c>
      <c r="P167">
        <v>600</v>
      </c>
      <c r="S167" s="2">
        <v>45720</v>
      </c>
      <c r="U167">
        <v>5</v>
      </c>
      <c r="V167" s="4">
        <v>3000</v>
      </c>
      <c r="W167" t="s">
        <v>65</v>
      </c>
      <c r="X167" t="s">
        <v>639</v>
      </c>
      <c r="Y167">
        <v>0</v>
      </c>
      <c r="Z167" s="4">
        <v>2500</v>
      </c>
      <c r="AA167">
        <v>500</v>
      </c>
      <c r="AB167">
        <v>0</v>
      </c>
      <c r="AC167">
        <v>0</v>
      </c>
      <c r="AD167">
        <v>0</v>
      </c>
      <c r="AG167">
        <v>0</v>
      </c>
      <c r="AP167" t="s">
        <v>640</v>
      </c>
      <c r="AQ167" t="s">
        <v>633</v>
      </c>
      <c r="AR167" t="s">
        <v>6659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C167" t="s">
        <v>69</v>
      </c>
      <c r="BD167" t="s">
        <v>641</v>
      </c>
      <c r="BE167">
        <v>0</v>
      </c>
      <c r="BG167" t="s">
        <v>633</v>
      </c>
      <c r="BJ167" t="s">
        <v>635</v>
      </c>
    </row>
    <row r="168" spans="1:62" x14ac:dyDescent="0.35">
      <c r="A168" t="s">
        <v>1060</v>
      </c>
      <c r="B168">
        <v>10000</v>
      </c>
      <c r="C168">
        <v>10000</v>
      </c>
      <c r="D168" s="2">
        <v>45721</v>
      </c>
      <c r="E168" t="s">
        <v>61</v>
      </c>
      <c r="F168" t="s">
        <v>1061</v>
      </c>
      <c r="G168" t="s">
        <v>1062</v>
      </c>
      <c r="I168">
        <v>1</v>
      </c>
      <c r="J168" t="s">
        <v>63</v>
      </c>
      <c r="K168" s="8">
        <v>88</v>
      </c>
      <c r="L168" s="8" t="s">
        <v>6610</v>
      </c>
      <c r="M168" s="8" t="s">
        <v>6631</v>
      </c>
      <c r="N168" t="s">
        <v>630</v>
      </c>
      <c r="O168" t="s">
        <v>6571</v>
      </c>
      <c r="P168" s="4">
        <v>2800</v>
      </c>
      <c r="S168" s="2">
        <v>45720</v>
      </c>
      <c r="U168">
        <v>1</v>
      </c>
      <c r="V168" s="4">
        <v>2800</v>
      </c>
      <c r="W168" t="s">
        <v>65</v>
      </c>
      <c r="X168" t="s">
        <v>1063</v>
      </c>
      <c r="Y168">
        <v>0</v>
      </c>
      <c r="Z168" s="4">
        <v>2500</v>
      </c>
      <c r="AA168">
        <v>300</v>
      </c>
      <c r="AB168">
        <v>0</v>
      </c>
      <c r="AC168">
        <v>0</v>
      </c>
      <c r="AD168">
        <v>0</v>
      </c>
      <c r="AG168">
        <v>0</v>
      </c>
      <c r="AP168" t="s">
        <v>1064</v>
      </c>
      <c r="AQ168" t="s">
        <v>633</v>
      </c>
      <c r="AR168" t="s">
        <v>6659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C168" t="s">
        <v>69</v>
      </c>
      <c r="BD168" t="s">
        <v>1065</v>
      </c>
      <c r="BE168">
        <v>0</v>
      </c>
      <c r="BG168" t="s">
        <v>633</v>
      </c>
      <c r="BJ168" t="s">
        <v>635</v>
      </c>
    </row>
    <row r="169" spans="1:62" x14ac:dyDescent="0.35">
      <c r="A169" t="s">
        <v>1060</v>
      </c>
      <c r="B169">
        <v>10000</v>
      </c>
      <c r="C169">
        <v>20000</v>
      </c>
      <c r="D169" s="2">
        <v>45721</v>
      </c>
      <c r="E169" t="s">
        <v>61</v>
      </c>
      <c r="F169" t="s">
        <v>1061</v>
      </c>
      <c r="G169" t="s">
        <v>1062</v>
      </c>
      <c r="I169">
        <v>2</v>
      </c>
      <c r="J169" t="s">
        <v>63</v>
      </c>
      <c r="K169" s="8">
        <v>100</v>
      </c>
      <c r="L169" s="8" t="s">
        <v>6613</v>
      </c>
      <c r="M169" s="8" t="s">
        <v>6633</v>
      </c>
      <c r="N169" t="s">
        <v>424</v>
      </c>
      <c r="O169" t="s">
        <v>6570</v>
      </c>
      <c r="P169" s="4">
        <v>2700</v>
      </c>
      <c r="S169" s="2">
        <v>45720</v>
      </c>
      <c r="U169">
        <v>1</v>
      </c>
      <c r="V169" s="4">
        <v>2700</v>
      </c>
      <c r="W169" t="s">
        <v>65</v>
      </c>
      <c r="X169" t="s">
        <v>1063</v>
      </c>
      <c r="Y169">
        <v>0</v>
      </c>
      <c r="Z169" s="4">
        <v>2500</v>
      </c>
      <c r="AA169">
        <v>200</v>
      </c>
      <c r="AB169">
        <v>0</v>
      </c>
      <c r="AC169">
        <v>0</v>
      </c>
      <c r="AD169">
        <v>0</v>
      </c>
      <c r="AG169">
        <v>0</v>
      </c>
      <c r="AP169" t="s">
        <v>1064</v>
      </c>
      <c r="AQ169" t="s">
        <v>633</v>
      </c>
      <c r="AR169" t="s">
        <v>6659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BC169" t="s">
        <v>69</v>
      </c>
      <c r="BD169" t="s">
        <v>1065</v>
      </c>
      <c r="BE169">
        <v>0</v>
      </c>
      <c r="BG169" t="s">
        <v>633</v>
      </c>
      <c r="BJ169" t="s">
        <v>635</v>
      </c>
    </row>
    <row r="170" spans="1:62" x14ac:dyDescent="0.35">
      <c r="A170" t="s">
        <v>642</v>
      </c>
      <c r="B170">
        <v>10000</v>
      </c>
      <c r="C170">
        <v>20000</v>
      </c>
      <c r="D170" s="2">
        <v>45721</v>
      </c>
      <c r="E170" t="s">
        <v>61</v>
      </c>
      <c r="F170" t="s">
        <v>643</v>
      </c>
      <c r="G170" t="s">
        <v>629</v>
      </c>
      <c r="I170">
        <v>2</v>
      </c>
      <c r="J170" t="s">
        <v>63</v>
      </c>
      <c r="K170" s="8">
        <v>105</v>
      </c>
      <c r="L170" s="8" t="s">
        <v>6612</v>
      </c>
      <c r="M170" s="8" t="s">
        <v>6632</v>
      </c>
      <c r="N170" t="s">
        <v>424</v>
      </c>
      <c r="O170" t="s">
        <v>6570</v>
      </c>
      <c r="P170">
        <v>500</v>
      </c>
      <c r="S170" s="2">
        <v>45720</v>
      </c>
      <c r="U170">
        <v>1</v>
      </c>
      <c r="V170">
        <v>500</v>
      </c>
      <c r="W170" t="s">
        <v>65</v>
      </c>
      <c r="X170" t="s">
        <v>631</v>
      </c>
      <c r="Y170">
        <v>0</v>
      </c>
      <c r="Z170">
        <v>500</v>
      </c>
      <c r="AA170">
        <v>0</v>
      </c>
      <c r="AB170">
        <v>0</v>
      </c>
      <c r="AC170">
        <v>0</v>
      </c>
      <c r="AD170">
        <v>0</v>
      </c>
      <c r="AG170">
        <v>0</v>
      </c>
      <c r="AP170" t="s">
        <v>632</v>
      </c>
      <c r="AQ170" t="s">
        <v>633</v>
      </c>
      <c r="AR170" t="s">
        <v>6659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BC170" t="s">
        <v>69</v>
      </c>
      <c r="BD170" t="s">
        <v>644</v>
      </c>
      <c r="BE170">
        <v>0</v>
      </c>
      <c r="BG170" t="s">
        <v>633</v>
      </c>
      <c r="BJ170" t="s">
        <v>645</v>
      </c>
    </row>
    <row r="171" spans="1:62" x14ac:dyDescent="0.35">
      <c r="A171" t="s">
        <v>1066</v>
      </c>
      <c r="B171">
        <v>10000</v>
      </c>
      <c r="C171">
        <v>10000</v>
      </c>
      <c r="D171" s="2">
        <v>45721</v>
      </c>
      <c r="E171" t="s">
        <v>61</v>
      </c>
      <c r="F171" t="s">
        <v>1067</v>
      </c>
      <c r="G171" t="s">
        <v>1068</v>
      </c>
      <c r="I171">
        <v>1</v>
      </c>
      <c r="J171" t="s">
        <v>63</v>
      </c>
      <c r="K171" s="8">
        <v>88</v>
      </c>
      <c r="L171" s="8" t="s">
        <v>6610</v>
      </c>
      <c r="M171" s="8" t="s">
        <v>6631</v>
      </c>
      <c r="N171" t="s">
        <v>630</v>
      </c>
      <c r="O171" t="s">
        <v>6571</v>
      </c>
      <c r="P171">
        <v>700</v>
      </c>
      <c r="S171" s="2">
        <v>45720</v>
      </c>
      <c r="U171">
        <v>5</v>
      </c>
      <c r="V171" s="4">
        <v>3500</v>
      </c>
      <c r="W171" t="s">
        <v>65</v>
      </c>
      <c r="X171" t="s">
        <v>1069</v>
      </c>
      <c r="Y171">
        <v>0</v>
      </c>
      <c r="Z171" s="4">
        <v>3000</v>
      </c>
      <c r="AA171">
        <v>500</v>
      </c>
      <c r="AB171">
        <v>0</v>
      </c>
      <c r="AC171">
        <v>0</v>
      </c>
      <c r="AD171">
        <v>0</v>
      </c>
      <c r="AG171">
        <v>0</v>
      </c>
      <c r="AP171" t="s">
        <v>1070</v>
      </c>
      <c r="AQ171" t="s">
        <v>633</v>
      </c>
      <c r="AR171" t="s">
        <v>6659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C171" t="s">
        <v>69</v>
      </c>
      <c r="BD171" t="s">
        <v>1071</v>
      </c>
      <c r="BE171">
        <v>0</v>
      </c>
      <c r="BG171" t="s">
        <v>633</v>
      </c>
      <c r="BJ171" t="s">
        <v>645</v>
      </c>
    </row>
    <row r="172" spans="1:62" x14ac:dyDescent="0.35">
      <c r="A172" t="s">
        <v>1072</v>
      </c>
      <c r="B172">
        <v>10000</v>
      </c>
      <c r="C172">
        <v>10000</v>
      </c>
      <c r="D172" s="2">
        <v>45720</v>
      </c>
      <c r="E172" t="s">
        <v>61</v>
      </c>
      <c r="F172" s="3">
        <v>0.42090277777777779</v>
      </c>
      <c r="G172" t="s">
        <v>1073</v>
      </c>
      <c r="I172">
        <v>1</v>
      </c>
      <c r="J172" t="s">
        <v>63</v>
      </c>
      <c r="K172" s="8">
        <v>65</v>
      </c>
      <c r="L172" s="8" t="s">
        <v>6596</v>
      </c>
      <c r="M172" s="8" t="s">
        <v>6630</v>
      </c>
      <c r="N172" t="s">
        <v>268</v>
      </c>
      <c r="O172" t="s">
        <v>6543</v>
      </c>
      <c r="P172">
        <v>160</v>
      </c>
      <c r="Q172">
        <f>(P172/40)+45</f>
        <v>49</v>
      </c>
      <c r="R172">
        <f>Q172/60</f>
        <v>0.81666666666666665</v>
      </c>
      <c r="S172" s="2">
        <v>45720</v>
      </c>
      <c r="U172">
        <v>20</v>
      </c>
      <c r="V172" s="4">
        <v>3200</v>
      </c>
      <c r="W172" t="s">
        <v>65</v>
      </c>
      <c r="X172" t="s">
        <v>1074</v>
      </c>
      <c r="Y172">
        <v>0</v>
      </c>
      <c r="Z172" s="4">
        <v>3200</v>
      </c>
      <c r="AA172">
        <v>0</v>
      </c>
      <c r="AB172">
        <v>0</v>
      </c>
      <c r="AC172">
        <v>0</v>
      </c>
      <c r="AD172">
        <v>0</v>
      </c>
      <c r="AG172">
        <v>0</v>
      </c>
      <c r="AP172" t="s">
        <v>1075</v>
      </c>
      <c r="AQ172" t="s">
        <v>206</v>
      </c>
      <c r="AR172" t="s">
        <v>6645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C172" t="s">
        <v>69</v>
      </c>
      <c r="BD172" t="s">
        <v>1076</v>
      </c>
      <c r="BE172">
        <v>0</v>
      </c>
      <c r="BG172" t="s">
        <v>206</v>
      </c>
      <c r="BJ172" t="s">
        <v>1077</v>
      </c>
    </row>
    <row r="173" spans="1:62" x14ac:dyDescent="0.35">
      <c r="A173" t="s">
        <v>646</v>
      </c>
      <c r="B173">
        <v>10000</v>
      </c>
      <c r="C173">
        <v>20000</v>
      </c>
      <c r="D173" s="2">
        <v>45720</v>
      </c>
      <c r="E173" t="s">
        <v>61</v>
      </c>
      <c r="F173" t="s">
        <v>647</v>
      </c>
      <c r="G173" t="s">
        <v>648</v>
      </c>
      <c r="I173">
        <v>2</v>
      </c>
      <c r="J173" t="s">
        <v>63</v>
      </c>
      <c r="K173" s="8">
        <v>86</v>
      </c>
      <c r="L173" s="8" t="s">
        <v>6584</v>
      </c>
      <c r="M173" s="8" t="s">
        <v>6627</v>
      </c>
      <c r="N173" t="s">
        <v>64</v>
      </c>
      <c r="O173" t="s">
        <v>6559</v>
      </c>
      <c r="P173">
        <v>322</v>
      </c>
      <c r="Q173">
        <f t="shared" ref="Q173:Q174" si="43">(P173/60)+45</f>
        <v>50.366666666666667</v>
      </c>
      <c r="R173">
        <f t="shared" ref="R173:R174" si="44">Q173/60</f>
        <v>0.83944444444444444</v>
      </c>
      <c r="S173" s="2">
        <v>45720</v>
      </c>
      <c r="U173">
        <v>14</v>
      </c>
      <c r="V173" s="4">
        <v>4508</v>
      </c>
      <c r="W173" t="s">
        <v>65</v>
      </c>
      <c r="X173">
        <v>200715740001</v>
      </c>
      <c r="Y173">
        <v>0</v>
      </c>
      <c r="Z173" s="4">
        <v>3000</v>
      </c>
      <c r="AA173" s="4">
        <v>1508</v>
      </c>
      <c r="AB173">
        <v>0</v>
      </c>
      <c r="AC173">
        <v>0</v>
      </c>
      <c r="AD173">
        <v>0</v>
      </c>
      <c r="AG173">
        <v>0</v>
      </c>
      <c r="AP173">
        <v>20071574</v>
      </c>
      <c r="AQ173" t="s">
        <v>182</v>
      </c>
      <c r="AR173" t="s">
        <v>6643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C173" t="s">
        <v>69</v>
      </c>
      <c r="BD173" t="s">
        <v>649</v>
      </c>
      <c r="BE173">
        <v>0</v>
      </c>
      <c r="BG173" t="s">
        <v>182</v>
      </c>
      <c r="BJ173" t="s">
        <v>650</v>
      </c>
    </row>
    <row r="174" spans="1:62" x14ac:dyDescent="0.35">
      <c r="A174" t="s">
        <v>651</v>
      </c>
      <c r="B174">
        <v>10000</v>
      </c>
      <c r="C174">
        <v>20000</v>
      </c>
      <c r="D174" s="2">
        <v>45720</v>
      </c>
      <c r="E174" t="s">
        <v>61</v>
      </c>
      <c r="F174" t="s">
        <v>652</v>
      </c>
      <c r="G174" t="s">
        <v>648</v>
      </c>
      <c r="I174">
        <v>2</v>
      </c>
      <c r="J174" t="s">
        <v>63</v>
      </c>
      <c r="K174" s="8">
        <v>86</v>
      </c>
      <c r="L174" s="8" t="s">
        <v>6584</v>
      </c>
      <c r="M174" s="8" t="s">
        <v>6627</v>
      </c>
      <c r="N174" t="s">
        <v>64</v>
      </c>
      <c r="O174" t="s">
        <v>6559</v>
      </c>
      <c r="P174">
        <v>500</v>
      </c>
      <c r="Q174">
        <f t="shared" si="43"/>
        <v>53.333333333333336</v>
      </c>
      <c r="R174">
        <f t="shared" si="44"/>
        <v>0.88888888888888895</v>
      </c>
      <c r="S174" s="2">
        <v>45720</v>
      </c>
      <c r="U174">
        <v>14</v>
      </c>
      <c r="V174" s="4">
        <v>7000</v>
      </c>
      <c r="W174" t="s">
        <v>65</v>
      </c>
      <c r="X174">
        <v>200715740001</v>
      </c>
      <c r="Y174">
        <v>0</v>
      </c>
      <c r="Z174" s="4">
        <v>13000</v>
      </c>
      <c r="AA174" s="4">
        <v>-6000</v>
      </c>
      <c r="AB174">
        <v>0</v>
      </c>
      <c r="AC174">
        <v>0</v>
      </c>
      <c r="AD174">
        <v>0</v>
      </c>
      <c r="AG174">
        <v>0</v>
      </c>
      <c r="AP174">
        <v>20071574</v>
      </c>
      <c r="AQ174" t="s">
        <v>182</v>
      </c>
      <c r="AR174" t="s">
        <v>6643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C174" t="s">
        <v>69</v>
      </c>
      <c r="BD174" t="s">
        <v>653</v>
      </c>
      <c r="BE174">
        <v>0</v>
      </c>
      <c r="BG174" t="s">
        <v>182</v>
      </c>
      <c r="BJ174" t="s">
        <v>654</v>
      </c>
    </row>
    <row r="175" spans="1:62" x14ac:dyDescent="0.35">
      <c r="A175" t="s">
        <v>1078</v>
      </c>
      <c r="B175">
        <v>10000</v>
      </c>
      <c r="C175">
        <v>10000</v>
      </c>
      <c r="D175" s="2">
        <v>45720</v>
      </c>
      <c r="E175" t="s">
        <v>61</v>
      </c>
      <c r="F175" t="s">
        <v>744</v>
      </c>
      <c r="G175" t="s">
        <v>418</v>
      </c>
      <c r="I175">
        <v>1</v>
      </c>
      <c r="J175" t="s">
        <v>63</v>
      </c>
      <c r="K175" s="8">
        <v>59</v>
      </c>
      <c r="L175" s="8" t="s">
        <v>6592</v>
      </c>
      <c r="M175" s="8" t="s">
        <v>6629</v>
      </c>
      <c r="N175" t="s">
        <v>745</v>
      </c>
      <c r="O175" t="s">
        <v>6501</v>
      </c>
      <c r="P175" s="4">
        <v>1000</v>
      </c>
      <c r="Q175">
        <f>(P175/40)+45</f>
        <v>70</v>
      </c>
      <c r="R175">
        <f>Q175/60</f>
        <v>1.1666666666666667</v>
      </c>
      <c r="S175" s="2">
        <v>45720</v>
      </c>
      <c r="U175">
        <v>6</v>
      </c>
      <c r="V175" s="4">
        <v>6000</v>
      </c>
      <c r="W175" t="s">
        <v>65</v>
      </c>
      <c r="X175" t="s">
        <v>746</v>
      </c>
      <c r="Y175">
        <v>0</v>
      </c>
      <c r="Z175" s="4">
        <v>6000</v>
      </c>
      <c r="AA175">
        <v>0</v>
      </c>
      <c r="AB175">
        <v>0</v>
      </c>
      <c r="AC175">
        <v>0</v>
      </c>
      <c r="AD175">
        <v>0</v>
      </c>
      <c r="AG175">
        <v>0</v>
      </c>
      <c r="AP175" t="s">
        <v>747</v>
      </c>
      <c r="AQ175" t="s">
        <v>182</v>
      </c>
      <c r="AR175" t="s">
        <v>6643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C175" t="s">
        <v>69</v>
      </c>
      <c r="BD175" t="s">
        <v>1079</v>
      </c>
      <c r="BE175">
        <v>0</v>
      </c>
      <c r="BG175" t="s">
        <v>182</v>
      </c>
      <c r="BJ175" t="s">
        <v>1080</v>
      </c>
    </row>
    <row r="176" spans="1:62" x14ac:dyDescent="0.35">
      <c r="A176" t="s">
        <v>702</v>
      </c>
      <c r="B176">
        <v>10000</v>
      </c>
      <c r="C176">
        <v>20000</v>
      </c>
      <c r="D176" s="2">
        <v>45720</v>
      </c>
      <c r="E176" t="s">
        <v>61</v>
      </c>
      <c r="F176" t="s">
        <v>703</v>
      </c>
      <c r="G176" t="s">
        <v>648</v>
      </c>
      <c r="I176">
        <v>2</v>
      </c>
      <c r="J176" t="s">
        <v>63</v>
      </c>
      <c r="K176" s="8">
        <v>86</v>
      </c>
      <c r="L176" s="8" t="s">
        <v>6584</v>
      </c>
      <c r="M176" s="8" t="s">
        <v>6627</v>
      </c>
      <c r="N176" t="s">
        <v>64</v>
      </c>
      <c r="O176" t="s">
        <v>6559</v>
      </c>
      <c r="P176">
        <v>209</v>
      </c>
      <c r="Q176">
        <f t="shared" ref="Q176:Q177" si="45">(P176/60)+45</f>
        <v>48.483333333333334</v>
      </c>
      <c r="R176">
        <f t="shared" ref="R176:R177" si="46">Q176/60</f>
        <v>0.80805555555555553</v>
      </c>
      <c r="S176" s="2">
        <v>45720</v>
      </c>
      <c r="U176">
        <v>48</v>
      </c>
      <c r="V176" s="4">
        <v>10032</v>
      </c>
      <c r="W176" t="s">
        <v>65</v>
      </c>
      <c r="X176">
        <v>201088630001</v>
      </c>
      <c r="Y176">
        <v>0</v>
      </c>
      <c r="Z176" s="4">
        <v>8000</v>
      </c>
      <c r="AA176" s="4">
        <v>2032</v>
      </c>
      <c r="AB176">
        <v>0</v>
      </c>
      <c r="AC176">
        <v>0</v>
      </c>
      <c r="AD176">
        <v>0</v>
      </c>
      <c r="AG176">
        <v>0</v>
      </c>
      <c r="AP176">
        <v>20108863</v>
      </c>
      <c r="AQ176" t="s">
        <v>182</v>
      </c>
      <c r="AR176" t="s">
        <v>6643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C176" t="s">
        <v>69</v>
      </c>
      <c r="BD176" t="s">
        <v>704</v>
      </c>
      <c r="BE176">
        <v>0</v>
      </c>
      <c r="BG176" t="s">
        <v>182</v>
      </c>
      <c r="BJ176" t="s">
        <v>705</v>
      </c>
    </row>
    <row r="177" spans="1:62" x14ac:dyDescent="0.35">
      <c r="A177" t="s">
        <v>706</v>
      </c>
      <c r="B177">
        <v>10000</v>
      </c>
      <c r="C177">
        <v>20000</v>
      </c>
      <c r="D177" s="2">
        <v>45720</v>
      </c>
      <c r="E177" t="s">
        <v>61</v>
      </c>
      <c r="F177" t="s">
        <v>707</v>
      </c>
      <c r="G177" t="s">
        <v>648</v>
      </c>
      <c r="I177">
        <v>2</v>
      </c>
      <c r="J177" t="s">
        <v>63</v>
      </c>
      <c r="K177" s="8">
        <v>86</v>
      </c>
      <c r="L177" s="8" t="s">
        <v>6584</v>
      </c>
      <c r="M177" s="8" t="s">
        <v>6627</v>
      </c>
      <c r="N177" t="s">
        <v>64</v>
      </c>
      <c r="O177" t="s">
        <v>6559</v>
      </c>
      <c r="P177">
        <v>292</v>
      </c>
      <c r="Q177">
        <f t="shared" si="45"/>
        <v>49.866666666666667</v>
      </c>
      <c r="R177">
        <f t="shared" si="46"/>
        <v>0.83111111111111113</v>
      </c>
      <c r="S177" s="2">
        <v>45720</v>
      </c>
      <c r="U177">
        <v>48</v>
      </c>
      <c r="V177" s="4">
        <v>14016</v>
      </c>
      <c r="W177" t="s">
        <v>65</v>
      </c>
      <c r="X177">
        <v>201088630001</v>
      </c>
      <c r="Y177">
        <v>0</v>
      </c>
      <c r="Z177" s="4">
        <v>8000</v>
      </c>
      <c r="AA177" s="4">
        <v>6016</v>
      </c>
      <c r="AB177">
        <v>0</v>
      </c>
      <c r="AC177">
        <v>0</v>
      </c>
      <c r="AD177">
        <v>0</v>
      </c>
      <c r="AG177">
        <v>0</v>
      </c>
      <c r="AP177">
        <v>20108863</v>
      </c>
      <c r="AQ177" t="s">
        <v>182</v>
      </c>
      <c r="AR177" t="s">
        <v>6643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C177" t="s">
        <v>69</v>
      </c>
      <c r="BD177" t="s">
        <v>708</v>
      </c>
      <c r="BE177">
        <v>0</v>
      </c>
      <c r="BG177" t="s">
        <v>182</v>
      </c>
      <c r="BJ177" t="s">
        <v>709</v>
      </c>
    </row>
    <row r="178" spans="1:62" x14ac:dyDescent="0.35">
      <c r="A178" t="s">
        <v>710</v>
      </c>
      <c r="B178">
        <v>10000</v>
      </c>
      <c r="C178">
        <v>20000</v>
      </c>
      <c r="D178" s="2">
        <v>45720</v>
      </c>
      <c r="E178" t="s">
        <v>61</v>
      </c>
      <c r="F178" s="3">
        <v>0.42364583333333333</v>
      </c>
      <c r="G178" t="s">
        <v>711</v>
      </c>
      <c r="I178">
        <v>2</v>
      </c>
      <c r="J178" t="s">
        <v>63</v>
      </c>
      <c r="K178" s="8">
        <v>71</v>
      </c>
      <c r="L178" s="8" t="s">
        <v>6588</v>
      </c>
      <c r="M178" s="8" t="s">
        <v>6630</v>
      </c>
      <c r="N178" t="s">
        <v>135</v>
      </c>
      <c r="O178" t="s">
        <v>6573</v>
      </c>
      <c r="P178">
        <v>286</v>
      </c>
      <c r="S178" s="2">
        <v>45720</v>
      </c>
      <c r="U178">
        <v>35</v>
      </c>
      <c r="V178" s="4">
        <v>10010</v>
      </c>
      <c r="W178" t="s">
        <v>65</v>
      </c>
      <c r="X178">
        <v>52028070001</v>
      </c>
      <c r="Y178">
        <v>0</v>
      </c>
      <c r="Z178" s="4">
        <v>10000</v>
      </c>
      <c r="AA178">
        <v>10</v>
      </c>
      <c r="AB178">
        <v>0</v>
      </c>
      <c r="AC178">
        <v>0</v>
      </c>
      <c r="AD178">
        <v>0</v>
      </c>
      <c r="AG178">
        <v>0</v>
      </c>
      <c r="AP178">
        <v>5202807</v>
      </c>
      <c r="AQ178" t="s">
        <v>712</v>
      </c>
      <c r="AR178" t="s">
        <v>6661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BC178" t="s">
        <v>69</v>
      </c>
      <c r="BD178" t="s">
        <v>713</v>
      </c>
      <c r="BE178">
        <v>0</v>
      </c>
      <c r="BG178" t="s">
        <v>712</v>
      </c>
      <c r="BJ178" t="s">
        <v>714</v>
      </c>
    </row>
    <row r="179" spans="1:62" x14ac:dyDescent="0.35">
      <c r="A179" t="s">
        <v>1081</v>
      </c>
      <c r="B179">
        <v>10000</v>
      </c>
      <c r="C179">
        <v>10000</v>
      </c>
      <c r="D179" s="2">
        <v>45721</v>
      </c>
      <c r="E179" t="s">
        <v>61</v>
      </c>
      <c r="F179" t="s">
        <v>1082</v>
      </c>
      <c r="G179" t="s">
        <v>1083</v>
      </c>
      <c r="I179">
        <v>1</v>
      </c>
      <c r="J179" t="s">
        <v>63</v>
      </c>
      <c r="K179" s="8">
        <v>93</v>
      </c>
      <c r="L179" s="8" t="s">
        <v>6611</v>
      </c>
      <c r="M179" s="8" t="s">
        <v>6631</v>
      </c>
      <c r="N179" t="s">
        <v>900</v>
      </c>
      <c r="O179" t="s">
        <v>6553</v>
      </c>
      <c r="P179">
        <v>800</v>
      </c>
      <c r="Q179">
        <f>(P179/20)+30</f>
        <v>70</v>
      </c>
      <c r="R179">
        <f>Q179/60</f>
        <v>1.1666666666666667</v>
      </c>
      <c r="S179" s="2">
        <v>45720</v>
      </c>
      <c r="U179">
        <v>63</v>
      </c>
      <c r="V179" s="4">
        <v>50400</v>
      </c>
      <c r="W179" t="s">
        <v>65</v>
      </c>
      <c r="X179" t="s">
        <v>1084</v>
      </c>
      <c r="Y179">
        <v>0</v>
      </c>
      <c r="Z179" s="4">
        <v>40000</v>
      </c>
      <c r="AA179" s="4">
        <v>10400</v>
      </c>
      <c r="AB179">
        <v>0</v>
      </c>
      <c r="AC179">
        <v>0</v>
      </c>
      <c r="AD179">
        <v>0</v>
      </c>
      <c r="AG179">
        <v>0</v>
      </c>
      <c r="AP179" t="s">
        <v>1085</v>
      </c>
      <c r="AQ179" t="s">
        <v>562</v>
      </c>
      <c r="AR179" t="s">
        <v>6670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C179" t="s">
        <v>69</v>
      </c>
      <c r="BD179" t="s">
        <v>1086</v>
      </c>
      <c r="BE179">
        <v>0</v>
      </c>
      <c r="BG179" t="s">
        <v>562</v>
      </c>
      <c r="BJ179" t="s">
        <v>1087</v>
      </c>
    </row>
    <row r="180" spans="1:62" x14ac:dyDescent="0.35">
      <c r="A180" t="s">
        <v>715</v>
      </c>
      <c r="B180">
        <v>10000</v>
      </c>
      <c r="C180">
        <v>20000</v>
      </c>
      <c r="D180" s="2">
        <v>45720</v>
      </c>
      <c r="E180" t="s">
        <v>61</v>
      </c>
      <c r="F180" t="s">
        <v>716</v>
      </c>
      <c r="G180" t="s">
        <v>648</v>
      </c>
      <c r="I180">
        <v>2</v>
      </c>
      <c r="J180" t="s">
        <v>63</v>
      </c>
      <c r="K180" s="8">
        <v>86</v>
      </c>
      <c r="L180" s="8" t="s">
        <v>6584</v>
      </c>
      <c r="M180" s="8" t="s">
        <v>6627</v>
      </c>
      <c r="N180" t="s">
        <v>64</v>
      </c>
      <c r="O180" t="s">
        <v>6559</v>
      </c>
      <c r="P180">
        <v>700</v>
      </c>
      <c r="Q180">
        <f t="shared" ref="Q180:Q181" si="47">(P180/60)+45</f>
        <v>56.666666666666664</v>
      </c>
      <c r="R180">
        <f t="shared" ref="R180:R181" si="48">Q180/60</f>
        <v>0.94444444444444442</v>
      </c>
      <c r="S180" s="2">
        <v>45720</v>
      </c>
      <c r="U180">
        <v>20</v>
      </c>
      <c r="V180" s="4">
        <v>14000</v>
      </c>
      <c r="W180" t="s">
        <v>65</v>
      </c>
      <c r="X180">
        <v>200900090001</v>
      </c>
      <c r="Y180">
        <v>0</v>
      </c>
      <c r="Z180" s="4">
        <v>40000</v>
      </c>
      <c r="AA180" s="4">
        <v>-26000</v>
      </c>
      <c r="AB180">
        <v>0</v>
      </c>
      <c r="AC180">
        <v>0</v>
      </c>
      <c r="AD180">
        <v>0</v>
      </c>
      <c r="AG180">
        <v>0</v>
      </c>
      <c r="AP180">
        <v>20090009</v>
      </c>
      <c r="AQ180" t="s">
        <v>182</v>
      </c>
      <c r="AR180" t="s">
        <v>6643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C180" t="s">
        <v>69</v>
      </c>
      <c r="BD180" t="s">
        <v>717</v>
      </c>
      <c r="BE180">
        <v>0</v>
      </c>
      <c r="BG180" t="s">
        <v>182</v>
      </c>
      <c r="BJ180" t="s">
        <v>718</v>
      </c>
    </row>
    <row r="181" spans="1:62" x14ac:dyDescent="0.35">
      <c r="A181" t="s">
        <v>719</v>
      </c>
      <c r="B181">
        <v>10000</v>
      </c>
      <c r="C181">
        <v>20000</v>
      </c>
      <c r="D181" s="2">
        <v>45720</v>
      </c>
      <c r="E181" t="s">
        <v>61</v>
      </c>
      <c r="F181" t="s">
        <v>720</v>
      </c>
      <c r="G181" t="s">
        <v>648</v>
      </c>
      <c r="I181">
        <v>2</v>
      </c>
      <c r="J181" t="s">
        <v>63</v>
      </c>
      <c r="K181" s="8">
        <v>86</v>
      </c>
      <c r="L181" s="8" t="s">
        <v>6584</v>
      </c>
      <c r="M181" s="8" t="s">
        <v>6627</v>
      </c>
      <c r="N181" t="s">
        <v>64</v>
      </c>
      <c r="O181" t="s">
        <v>6559</v>
      </c>
      <c r="P181">
        <v>700</v>
      </c>
      <c r="Q181">
        <f t="shared" si="47"/>
        <v>56.666666666666664</v>
      </c>
      <c r="R181">
        <f t="shared" si="48"/>
        <v>0.94444444444444442</v>
      </c>
      <c r="S181" s="2">
        <v>45720</v>
      </c>
      <c r="U181">
        <v>20</v>
      </c>
      <c r="V181" s="4">
        <v>14000</v>
      </c>
      <c r="W181" t="s">
        <v>65</v>
      </c>
      <c r="X181">
        <v>200689890001</v>
      </c>
      <c r="Y181">
        <v>0</v>
      </c>
      <c r="Z181" s="4">
        <v>12000</v>
      </c>
      <c r="AA181" s="4">
        <v>2000</v>
      </c>
      <c r="AB181">
        <v>0</v>
      </c>
      <c r="AC181">
        <v>0</v>
      </c>
      <c r="AD181">
        <v>0</v>
      </c>
      <c r="AG181">
        <v>0</v>
      </c>
      <c r="AP181">
        <v>20068989</v>
      </c>
      <c r="AQ181" t="s">
        <v>721</v>
      </c>
      <c r="AR181" t="s">
        <v>6662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C181" t="s">
        <v>69</v>
      </c>
      <c r="BD181" t="s">
        <v>722</v>
      </c>
      <c r="BE181">
        <v>0</v>
      </c>
      <c r="BG181" t="s">
        <v>721</v>
      </c>
      <c r="BJ181" t="s">
        <v>723</v>
      </c>
    </row>
    <row r="182" spans="1:62" x14ac:dyDescent="0.35">
      <c r="A182" t="s">
        <v>1088</v>
      </c>
      <c r="B182">
        <v>10000</v>
      </c>
      <c r="C182">
        <v>10000</v>
      </c>
      <c r="D182" s="2">
        <v>45722</v>
      </c>
      <c r="E182" t="s">
        <v>61</v>
      </c>
      <c r="F182" t="s">
        <v>1089</v>
      </c>
      <c r="G182" t="s">
        <v>1090</v>
      </c>
      <c r="I182">
        <v>1</v>
      </c>
      <c r="J182" t="s">
        <v>63</v>
      </c>
      <c r="K182" s="8">
        <v>88</v>
      </c>
      <c r="L182" s="8" t="s">
        <v>6610</v>
      </c>
      <c r="M182" s="8" t="s">
        <v>6631</v>
      </c>
      <c r="N182" t="s">
        <v>630</v>
      </c>
      <c r="O182" t="s">
        <v>6571</v>
      </c>
      <c r="P182">
        <v>240</v>
      </c>
      <c r="S182" s="2">
        <v>45720</v>
      </c>
      <c r="U182">
        <v>5</v>
      </c>
      <c r="V182" s="4">
        <v>1200</v>
      </c>
      <c r="W182" t="s">
        <v>65</v>
      </c>
      <c r="X182">
        <v>107353930001</v>
      </c>
      <c r="Y182">
        <v>0</v>
      </c>
      <c r="Z182" s="4">
        <v>1000</v>
      </c>
      <c r="AA182">
        <v>200</v>
      </c>
      <c r="AB182">
        <v>0</v>
      </c>
      <c r="AC182">
        <v>0</v>
      </c>
      <c r="AD182">
        <v>0</v>
      </c>
      <c r="AG182">
        <v>0</v>
      </c>
      <c r="AP182">
        <v>10735393</v>
      </c>
      <c r="AQ182" t="s">
        <v>487</v>
      </c>
      <c r="AR182" t="s">
        <v>6656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C182" t="s">
        <v>69</v>
      </c>
      <c r="BD182" t="s">
        <v>1091</v>
      </c>
      <c r="BE182">
        <v>0</v>
      </c>
      <c r="BG182" t="s">
        <v>487</v>
      </c>
      <c r="BJ182" t="s">
        <v>1092</v>
      </c>
    </row>
    <row r="183" spans="1:62" x14ac:dyDescent="0.35">
      <c r="A183" t="s">
        <v>1093</v>
      </c>
      <c r="B183">
        <v>10000</v>
      </c>
      <c r="C183">
        <v>10000</v>
      </c>
      <c r="D183" s="2">
        <v>45722</v>
      </c>
      <c r="E183" t="s">
        <v>61</v>
      </c>
      <c r="F183" t="s">
        <v>1089</v>
      </c>
      <c r="G183" t="s">
        <v>1090</v>
      </c>
      <c r="I183">
        <v>1</v>
      </c>
      <c r="J183" t="s">
        <v>63</v>
      </c>
      <c r="K183" s="8">
        <v>88</v>
      </c>
      <c r="L183" s="8" t="s">
        <v>6610</v>
      </c>
      <c r="M183" s="8" t="s">
        <v>6631</v>
      </c>
      <c r="N183" t="s">
        <v>630</v>
      </c>
      <c r="O183" t="s">
        <v>6571</v>
      </c>
      <c r="P183">
        <v>4</v>
      </c>
      <c r="S183" s="2">
        <v>45720</v>
      </c>
      <c r="U183">
        <v>5</v>
      </c>
      <c r="V183">
        <v>20</v>
      </c>
      <c r="W183" t="s">
        <v>65</v>
      </c>
      <c r="X183">
        <v>107353930001</v>
      </c>
      <c r="Y183">
        <v>0</v>
      </c>
      <c r="Z183">
        <v>20</v>
      </c>
      <c r="AA183">
        <v>0</v>
      </c>
      <c r="AB183">
        <v>0</v>
      </c>
      <c r="AC183">
        <v>0</v>
      </c>
      <c r="AD183">
        <v>0</v>
      </c>
      <c r="AG183">
        <v>0</v>
      </c>
      <c r="AP183">
        <v>10735393</v>
      </c>
      <c r="AQ183" t="s">
        <v>487</v>
      </c>
      <c r="AR183" t="s">
        <v>6656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C183" t="s">
        <v>69</v>
      </c>
      <c r="BD183" t="s">
        <v>1094</v>
      </c>
      <c r="BE183">
        <v>0</v>
      </c>
      <c r="BG183" t="s">
        <v>487</v>
      </c>
      <c r="BJ183" t="s">
        <v>1095</v>
      </c>
    </row>
    <row r="184" spans="1:62" x14ac:dyDescent="0.35">
      <c r="A184" t="s">
        <v>1096</v>
      </c>
      <c r="B184">
        <v>10000</v>
      </c>
      <c r="C184">
        <v>10000</v>
      </c>
      <c r="D184" s="2">
        <v>45722</v>
      </c>
      <c r="E184" t="s">
        <v>61</v>
      </c>
      <c r="F184" s="3">
        <v>0.49033564814814817</v>
      </c>
      <c r="G184" t="s">
        <v>1097</v>
      </c>
      <c r="I184">
        <v>1</v>
      </c>
      <c r="J184" t="s">
        <v>63</v>
      </c>
      <c r="K184" s="8">
        <v>88</v>
      </c>
      <c r="L184" s="8" t="s">
        <v>6610</v>
      </c>
      <c r="M184" s="8" t="s">
        <v>6631</v>
      </c>
      <c r="N184" t="s">
        <v>630</v>
      </c>
      <c r="O184" t="s">
        <v>6571</v>
      </c>
      <c r="P184">
        <v>200</v>
      </c>
      <c r="S184" s="2">
        <v>45720</v>
      </c>
      <c r="U184">
        <v>1</v>
      </c>
      <c r="V184">
        <v>200</v>
      </c>
      <c r="W184" t="s">
        <v>65</v>
      </c>
      <c r="X184" t="s">
        <v>1098</v>
      </c>
      <c r="Y184">
        <v>0</v>
      </c>
      <c r="Z184">
        <v>200</v>
      </c>
      <c r="AA184">
        <v>0</v>
      </c>
      <c r="AB184">
        <v>0</v>
      </c>
      <c r="AC184">
        <v>0</v>
      </c>
      <c r="AD184">
        <v>0</v>
      </c>
      <c r="AG184">
        <v>0</v>
      </c>
      <c r="AP184" t="s">
        <v>1099</v>
      </c>
      <c r="AQ184" t="s">
        <v>633</v>
      </c>
      <c r="AR184" t="s">
        <v>6659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C184" t="s">
        <v>69</v>
      </c>
      <c r="BD184" t="s">
        <v>1100</v>
      </c>
      <c r="BE184">
        <v>0</v>
      </c>
      <c r="BG184" t="s">
        <v>633</v>
      </c>
      <c r="BJ184" t="s">
        <v>645</v>
      </c>
    </row>
    <row r="185" spans="1:62" x14ac:dyDescent="0.35">
      <c r="A185" t="s">
        <v>80</v>
      </c>
      <c r="B185">
        <v>10000</v>
      </c>
      <c r="C185">
        <v>40000</v>
      </c>
      <c r="D185" s="2">
        <v>45730</v>
      </c>
      <c r="E185" t="s">
        <v>61</v>
      </c>
      <c r="F185" t="s">
        <v>81</v>
      </c>
      <c r="G185" t="s">
        <v>82</v>
      </c>
      <c r="I185">
        <v>3</v>
      </c>
      <c r="J185" t="s">
        <v>63</v>
      </c>
      <c r="K185" s="8">
        <v>91</v>
      </c>
      <c r="L185" s="8" t="s">
        <v>6585</v>
      </c>
      <c r="M185" s="8" t="s">
        <v>6628</v>
      </c>
      <c r="N185" t="s">
        <v>75</v>
      </c>
      <c r="O185" t="s">
        <v>6581</v>
      </c>
      <c r="P185" s="4">
        <v>100000</v>
      </c>
      <c r="S185" s="2">
        <v>45721</v>
      </c>
      <c r="U185">
        <v>9</v>
      </c>
      <c r="V185" s="4">
        <v>900000</v>
      </c>
      <c r="W185" t="s">
        <v>65</v>
      </c>
      <c r="X185" t="s">
        <v>83</v>
      </c>
      <c r="Y185">
        <v>0</v>
      </c>
      <c r="Z185" s="4">
        <v>892857</v>
      </c>
      <c r="AA185" s="4">
        <v>7143</v>
      </c>
      <c r="AB185">
        <v>0</v>
      </c>
      <c r="AC185">
        <v>0</v>
      </c>
      <c r="AD185">
        <v>0</v>
      </c>
      <c r="AG185">
        <v>0</v>
      </c>
      <c r="AP185" t="s">
        <v>84</v>
      </c>
      <c r="AQ185" t="s">
        <v>68</v>
      </c>
      <c r="AR185" t="s">
        <v>6636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C185" t="s">
        <v>69</v>
      </c>
      <c r="BD185" t="s">
        <v>85</v>
      </c>
      <c r="BE185">
        <v>0</v>
      </c>
      <c r="BG185" t="s">
        <v>68</v>
      </c>
      <c r="BJ185" t="s">
        <v>86</v>
      </c>
    </row>
    <row r="186" spans="1:62" x14ac:dyDescent="0.35">
      <c r="A186" t="s">
        <v>1102</v>
      </c>
      <c r="B186">
        <v>10000</v>
      </c>
      <c r="C186">
        <v>10000</v>
      </c>
      <c r="D186" s="2">
        <v>45722</v>
      </c>
      <c r="E186" t="s">
        <v>61</v>
      </c>
      <c r="F186" t="s">
        <v>1103</v>
      </c>
      <c r="G186">
        <v>4042448203724</v>
      </c>
      <c r="I186">
        <v>1</v>
      </c>
      <c r="J186" t="s">
        <v>63</v>
      </c>
      <c r="K186" s="8">
        <v>60</v>
      </c>
      <c r="L186" s="8" t="s">
        <v>6590</v>
      </c>
      <c r="M186" s="8" t="s">
        <v>6630</v>
      </c>
      <c r="N186" t="s">
        <v>277</v>
      </c>
      <c r="O186" t="s">
        <v>6554</v>
      </c>
      <c r="P186" s="4">
        <v>1500</v>
      </c>
      <c r="Q186">
        <f>(P186/50)+45</f>
        <v>75</v>
      </c>
      <c r="R186">
        <f>Q186/60</f>
        <v>1.25</v>
      </c>
      <c r="S186" s="2">
        <v>45721</v>
      </c>
      <c r="U186">
        <v>8</v>
      </c>
      <c r="V186" s="4">
        <v>12000</v>
      </c>
      <c r="W186" t="s">
        <v>65</v>
      </c>
      <c r="X186" t="s">
        <v>1104</v>
      </c>
      <c r="Y186">
        <v>0</v>
      </c>
      <c r="Z186" s="4">
        <v>20000</v>
      </c>
      <c r="AA186" s="4">
        <v>-8000</v>
      </c>
      <c r="AB186">
        <v>0</v>
      </c>
      <c r="AC186">
        <v>0</v>
      </c>
      <c r="AD186">
        <v>0</v>
      </c>
      <c r="AG186">
        <v>0</v>
      </c>
      <c r="AP186" t="s">
        <v>1105</v>
      </c>
      <c r="AQ186" t="s">
        <v>321</v>
      </c>
      <c r="AR186" t="s">
        <v>6652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C186" t="s">
        <v>69</v>
      </c>
      <c r="BD186" t="s">
        <v>1106</v>
      </c>
      <c r="BE186">
        <v>0</v>
      </c>
      <c r="BG186" t="s">
        <v>321</v>
      </c>
      <c r="BJ186" t="s">
        <v>1107</v>
      </c>
    </row>
    <row r="187" spans="1:62" x14ac:dyDescent="0.35">
      <c r="A187" t="s">
        <v>1108</v>
      </c>
      <c r="B187">
        <v>10000</v>
      </c>
      <c r="C187">
        <v>10000</v>
      </c>
      <c r="D187" s="2">
        <v>45721</v>
      </c>
      <c r="E187" t="s">
        <v>61</v>
      </c>
      <c r="F187" t="s">
        <v>1109</v>
      </c>
      <c r="G187" t="s">
        <v>180</v>
      </c>
      <c r="I187">
        <v>1</v>
      </c>
      <c r="J187" t="s">
        <v>63</v>
      </c>
      <c r="K187" s="8">
        <v>59</v>
      </c>
      <c r="L187" s="8" t="s">
        <v>6592</v>
      </c>
      <c r="M187" s="8" t="s">
        <v>6629</v>
      </c>
      <c r="N187" t="s">
        <v>745</v>
      </c>
      <c r="O187" t="s">
        <v>6501</v>
      </c>
      <c r="P187" s="4">
        <v>6225</v>
      </c>
      <c r="Q187">
        <f t="shared" ref="Q187:Q188" si="49">(P187/40)+45</f>
        <v>200.625</v>
      </c>
      <c r="R187">
        <f t="shared" ref="R187:R188" si="50">Q187/60</f>
        <v>3.34375</v>
      </c>
      <c r="S187" s="2">
        <v>45721</v>
      </c>
      <c r="U187">
        <v>2</v>
      </c>
      <c r="V187" s="4">
        <v>12450</v>
      </c>
      <c r="W187" t="s">
        <v>65</v>
      </c>
      <c r="X187">
        <v>112887080001</v>
      </c>
      <c r="Y187">
        <v>0</v>
      </c>
      <c r="Z187" s="4">
        <v>12450</v>
      </c>
      <c r="AA187">
        <v>0</v>
      </c>
      <c r="AB187">
        <v>0</v>
      </c>
      <c r="AC187">
        <v>0</v>
      </c>
      <c r="AD187">
        <v>0</v>
      </c>
      <c r="AG187">
        <v>0</v>
      </c>
      <c r="AP187">
        <v>11288708</v>
      </c>
      <c r="AQ187" t="s">
        <v>311</v>
      </c>
      <c r="AR187" t="s">
        <v>6651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C187" t="s">
        <v>69</v>
      </c>
      <c r="BD187" t="s">
        <v>1110</v>
      </c>
      <c r="BE187">
        <v>0</v>
      </c>
      <c r="BG187" t="s">
        <v>311</v>
      </c>
      <c r="BJ187" t="s">
        <v>313</v>
      </c>
    </row>
    <row r="188" spans="1:62" x14ac:dyDescent="0.35">
      <c r="A188" t="s">
        <v>1111</v>
      </c>
      <c r="B188">
        <v>10000</v>
      </c>
      <c r="C188">
        <v>10000</v>
      </c>
      <c r="D188" s="2">
        <v>45722</v>
      </c>
      <c r="E188" t="s">
        <v>61</v>
      </c>
      <c r="F188" t="s">
        <v>1112</v>
      </c>
      <c r="G188" t="s">
        <v>180</v>
      </c>
      <c r="I188">
        <v>1</v>
      </c>
      <c r="J188" t="s">
        <v>63</v>
      </c>
      <c r="K188" s="8">
        <v>59</v>
      </c>
      <c r="L188" s="8" t="s">
        <v>6592</v>
      </c>
      <c r="M188" s="8" t="s">
        <v>6629</v>
      </c>
      <c r="N188" t="s">
        <v>745</v>
      </c>
      <c r="O188" t="s">
        <v>6501</v>
      </c>
      <c r="P188" s="4">
        <v>4150</v>
      </c>
      <c r="Q188">
        <f t="shared" si="49"/>
        <v>148.75</v>
      </c>
      <c r="R188">
        <f t="shared" si="50"/>
        <v>2.4791666666666665</v>
      </c>
      <c r="S188" s="2">
        <v>45721</v>
      </c>
      <c r="U188">
        <v>2</v>
      </c>
      <c r="V188" s="4">
        <v>8300</v>
      </c>
      <c r="W188" t="s">
        <v>65</v>
      </c>
      <c r="X188">
        <v>112887320001</v>
      </c>
      <c r="Y188">
        <v>0</v>
      </c>
      <c r="Z188" s="4">
        <v>8300</v>
      </c>
      <c r="AA188">
        <v>0</v>
      </c>
      <c r="AB188">
        <v>0</v>
      </c>
      <c r="AC188">
        <v>0</v>
      </c>
      <c r="AD188">
        <v>0</v>
      </c>
      <c r="AG188">
        <v>0</v>
      </c>
      <c r="AP188">
        <v>11288732</v>
      </c>
      <c r="AQ188" t="s">
        <v>311</v>
      </c>
      <c r="AR188" t="s">
        <v>6651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C188" t="s">
        <v>69</v>
      </c>
      <c r="BD188" t="s">
        <v>1113</v>
      </c>
      <c r="BE188">
        <v>0</v>
      </c>
      <c r="BG188" t="s">
        <v>311</v>
      </c>
      <c r="BJ188" t="s">
        <v>313</v>
      </c>
    </row>
    <row r="189" spans="1:62" x14ac:dyDescent="0.35">
      <c r="A189" t="s">
        <v>1114</v>
      </c>
      <c r="B189">
        <v>10000</v>
      </c>
      <c r="C189">
        <v>10000</v>
      </c>
      <c r="D189" s="2">
        <v>45729</v>
      </c>
      <c r="E189" t="s">
        <v>61</v>
      </c>
      <c r="F189" t="s">
        <v>1115</v>
      </c>
      <c r="G189" t="s">
        <v>1116</v>
      </c>
      <c r="I189">
        <v>1</v>
      </c>
      <c r="J189" t="s">
        <v>63</v>
      </c>
      <c r="K189" s="8">
        <v>110</v>
      </c>
      <c r="L189" s="8" t="s">
        <v>6597</v>
      </c>
      <c r="M189" s="8" t="s">
        <v>6627</v>
      </c>
      <c r="N189" t="s">
        <v>341</v>
      </c>
      <c r="O189" t="s">
        <v>6346</v>
      </c>
      <c r="P189" s="4">
        <v>35500</v>
      </c>
      <c r="Q189">
        <f>(P189/60)+45</f>
        <v>636.66666666666663</v>
      </c>
      <c r="R189">
        <f>Q189/60</f>
        <v>10.611111111111111</v>
      </c>
      <c r="S189" s="2">
        <v>45721</v>
      </c>
      <c r="U189">
        <v>4</v>
      </c>
      <c r="V189" s="4">
        <v>142000</v>
      </c>
      <c r="W189" t="s">
        <v>65</v>
      </c>
      <c r="X189" t="s">
        <v>1117</v>
      </c>
      <c r="Y189">
        <v>0</v>
      </c>
      <c r="Z189" s="4">
        <v>142000</v>
      </c>
      <c r="AA189">
        <v>0</v>
      </c>
      <c r="AB189">
        <v>0</v>
      </c>
      <c r="AC189">
        <v>0</v>
      </c>
      <c r="AD189">
        <v>0</v>
      </c>
      <c r="AG189">
        <v>0</v>
      </c>
      <c r="AP189" t="s">
        <v>1118</v>
      </c>
      <c r="AQ189" t="s">
        <v>271</v>
      </c>
      <c r="AR189" t="s">
        <v>6648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C189" t="s">
        <v>69</v>
      </c>
      <c r="BD189" t="s">
        <v>1119</v>
      </c>
      <c r="BE189">
        <v>0</v>
      </c>
      <c r="BG189" t="s">
        <v>271</v>
      </c>
      <c r="BJ189" t="s">
        <v>1120</v>
      </c>
    </row>
    <row r="190" spans="1:62" x14ac:dyDescent="0.35">
      <c r="A190" t="s">
        <v>1121</v>
      </c>
      <c r="B190">
        <v>10000</v>
      </c>
      <c r="C190">
        <v>10000</v>
      </c>
      <c r="D190" s="2">
        <v>45722</v>
      </c>
      <c r="E190" t="s">
        <v>61</v>
      </c>
      <c r="F190" t="s">
        <v>1103</v>
      </c>
      <c r="G190" t="s">
        <v>348</v>
      </c>
      <c r="I190">
        <v>1</v>
      </c>
      <c r="J190" t="s">
        <v>63</v>
      </c>
      <c r="K190" s="8">
        <v>46</v>
      </c>
      <c r="L190" s="8" t="s">
        <v>6587</v>
      </c>
      <c r="M190" s="8" t="s">
        <v>6629</v>
      </c>
      <c r="N190" t="s">
        <v>113</v>
      </c>
      <c r="O190" t="s">
        <v>6499</v>
      </c>
      <c r="P190" s="4">
        <v>7000</v>
      </c>
      <c r="Q190">
        <f>(P190/40)+45</f>
        <v>220</v>
      </c>
      <c r="R190">
        <f>Q190/60</f>
        <v>3.6666666666666665</v>
      </c>
      <c r="S190" s="2">
        <v>45721</v>
      </c>
      <c r="U190">
        <v>1</v>
      </c>
      <c r="V190" s="4">
        <v>7000</v>
      </c>
      <c r="W190" t="s">
        <v>65</v>
      </c>
      <c r="X190" t="s">
        <v>1122</v>
      </c>
      <c r="Y190">
        <v>0</v>
      </c>
      <c r="Z190" s="4">
        <v>7000</v>
      </c>
      <c r="AA190">
        <v>0</v>
      </c>
      <c r="AB190">
        <v>0</v>
      </c>
      <c r="AC190">
        <v>0</v>
      </c>
      <c r="AD190">
        <v>0</v>
      </c>
      <c r="AG190">
        <v>0</v>
      </c>
      <c r="AP190" t="s">
        <v>1123</v>
      </c>
      <c r="AQ190" t="s">
        <v>751</v>
      </c>
      <c r="AR190" t="s">
        <v>6639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C190" t="s">
        <v>69</v>
      </c>
      <c r="BD190" t="s">
        <v>1124</v>
      </c>
      <c r="BE190">
        <v>0</v>
      </c>
      <c r="BG190" t="s">
        <v>751</v>
      </c>
      <c r="BJ190" t="s">
        <v>753</v>
      </c>
    </row>
    <row r="191" spans="1:62" x14ac:dyDescent="0.35">
      <c r="A191" t="s">
        <v>1125</v>
      </c>
      <c r="B191">
        <v>10000</v>
      </c>
      <c r="C191">
        <v>10000</v>
      </c>
      <c r="D191" s="2">
        <v>45722</v>
      </c>
      <c r="E191" t="s">
        <v>61</v>
      </c>
      <c r="F191" s="3">
        <v>0.5378356481481481</v>
      </c>
      <c r="G191" t="s">
        <v>1126</v>
      </c>
      <c r="I191">
        <v>1</v>
      </c>
      <c r="J191" t="s">
        <v>63</v>
      </c>
      <c r="K191" s="8">
        <v>61</v>
      </c>
      <c r="L191" s="8" t="s">
        <v>6594</v>
      </c>
      <c r="M191" s="8" t="s">
        <v>6629</v>
      </c>
      <c r="N191" t="s">
        <v>197</v>
      </c>
      <c r="O191" t="s">
        <v>6565</v>
      </c>
      <c r="P191" s="4">
        <v>6667</v>
      </c>
      <c r="Q191">
        <f t="shared" ref="Q191:Q192" si="51">(P191/50)+45</f>
        <v>178.34</v>
      </c>
      <c r="R191">
        <f t="shared" ref="R191:R195" si="52">Q191/60</f>
        <v>2.9723333333333333</v>
      </c>
      <c r="S191" s="2">
        <v>45721</v>
      </c>
      <c r="U191">
        <v>6</v>
      </c>
      <c r="V191" s="4">
        <v>40002</v>
      </c>
      <c r="W191" t="s">
        <v>65</v>
      </c>
      <c r="X191" t="s">
        <v>1127</v>
      </c>
      <c r="Y191">
        <v>0</v>
      </c>
      <c r="Z191" s="4">
        <v>40000</v>
      </c>
      <c r="AA191">
        <v>2</v>
      </c>
      <c r="AB191">
        <v>0</v>
      </c>
      <c r="AC191">
        <v>0</v>
      </c>
      <c r="AD191">
        <v>0</v>
      </c>
      <c r="AG191">
        <v>0</v>
      </c>
      <c r="AP191" t="s">
        <v>1128</v>
      </c>
      <c r="AQ191" t="s">
        <v>751</v>
      </c>
      <c r="AR191" t="s">
        <v>6639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C191" t="s">
        <v>69</v>
      </c>
      <c r="BD191" t="s">
        <v>1129</v>
      </c>
      <c r="BE191">
        <v>0</v>
      </c>
      <c r="BG191" t="s">
        <v>751</v>
      </c>
      <c r="BJ191" t="s">
        <v>753</v>
      </c>
    </row>
    <row r="192" spans="1:62" x14ac:dyDescent="0.35">
      <c r="A192" t="s">
        <v>1130</v>
      </c>
      <c r="B192">
        <v>10000</v>
      </c>
      <c r="C192">
        <v>10000</v>
      </c>
      <c r="D192" s="2">
        <v>45721</v>
      </c>
      <c r="E192" t="s">
        <v>61</v>
      </c>
      <c r="F192" t="s">
        <v>1131</v>
      </c>
      <c r="G192" t="s">
        <v>1126</v>
      </c>
      <c r="I192">
        <v>1</v>
      </c>
      <c r="J192" t="s">
        <v>63</v>
      </c>
      <c r="K192" s="8">
        <v>61</v>
      </c>
      <c r="L192" s="8" t="s">
        <v>6594</v>
      </c>
      <c r="M192" s="8" t="s">
        <v>6629</v>
      </c>
      <c r="N192" t="s">
        <v>197</v>
      </c>
      <c r="O192" t="s">
        <v>6565</v>
      </c>
      <c r="P192" s="4">
        <v>6667</v>
      </c>
      <c r="Q192">
        <f t="shared" si="51"/>
        <v>178.34</v>
      </c>
      <c r="R192">
        <f t="shared" si="52"/>
        <v>2.9723333333333333</v>
      </c>
      <c r="S192" s="2">
        <v>45721</v>
      </c>
      <c r="U192">
        <v>6</v>
      </c>
      <c r="V192" s="4">
        <v>40002</v>
      </c>
      <c r="W192" t="s">
        <v>65</v>
      </c>
      <c r="X192" t="s">
        <v>1132</v>
      </c>
      <c r="Y192">
        <v>0</v>
      </c>
      <c r="Z192" s="4">
        <v>40000</v>
      </c>
      <c r="AA192">
        <v>2</v>
      </c>
      <c r="AB192">
        <v>0</v>
      </c>
      <c r="AC192">
        <v>0</v>
      </c>
      <c r="AD192">
        <v>0</v>
      </c>
      <c r="AG192">
        <v>0</v>
      </c>
      <c r="AP192" t="s">
        <v>1133</v>
      </c>
      <c r="AQ192" t="s">
        <v>751</v>
      </c>
      <c r="AR192" t="s">
        <v>6639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BC192" t="s">
        <v>69</v>
      </c>
      <c r="BD192" t="s">
        <v>1134</v>
      </c>
      <c r="BE192">
        <v>0</v>
      </c>
      <c r="BG192" t="s">
        <v>751</v>
      </c>
      <c r="BJ192" t="s">
        <v>753</v>
      </c>
    </row>
    <row r="193" spans="1:62" x14ac:dyDescent="0.35">
      <c r="A193" t="s">
        <v>1135</v>
      </c>
      <c r="B193">
        <v>10000</v>
      </c>
      <c r="C193">
        <v>10000</v>
      </c>
      <c r="D193" s="2">
        <v>45722</v>
      </c>
      <c r="E193" t="s">
        <v>61</v>
      </c>
      <c r="F193" t="s">
        <v>1112</v>
      </c>
      <c r="G193" t="s">
        <v>180</v>
      </c>
      <c r="I193">
        <v>1</v>
      </c>
      <c r="J193" t="s">
        <v>63</v>
      </c>
      <c r="K193" s="8">
        <v>59</v>
      </c>
      <c r="L193" s="8" t="s">
        <v>6592</v>
      </c>
      <c r="M193" s="8" t="s">
        <v>6629</v>
      </c>
      <c r="N193" t="s">
        <v>745</v>
      </c>
      <c r="O193" t="s">
        <v>6501</v>
      </c>
      <c r="P193">
        <v>415</v>
      </c>
      <c r="Q193">
        <f t="shared" ref="Q193:Q195" si="53">(P193/40)+45</f>
        <v>55.375</v>
      </c>
      <c r="R193">
        <f t="shared" si="52"/>
        <v>0.92291666666666672</v>
      </c>
      <c r="S193" s="2">
        <v>45721</v>
      </c>
      <c r="U193">
        <v>2</v>
      </c>
      <c r="V193">
        <v>830</v>
      </c>
      <c r="W193" t="s">
        <v>65</v>
      </c>
      <c r="X193">
        <v>112887320001</v>
      </c>
      <c r="Y193">
        <v>0</v>
      </c>
      <c r="Z193">
        <v>830</v>
      </c>
      <c r="AA193">
        <v>0</v>
      </c>
      <c r="AB193">
        <v>0</v>
      </c>
      <c r="AC193">
        <v>0</v>
      </c>
      <c r="AD193">
        <v>0</v>
      </c>
      <c r="AG193">
        <v>0</v>
      </c>
      <c r="AP193">
        <v>11288732</v>
      </c>
      <c r="AQ193" t="s">
        <v>182</v>
      </c>
      <c r="AR193" t="s">
        <v>6643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C193" t="s">
        <v>69</v>
      </c>
      <c r="BD193" t="s">
        <v>1136</v>
      </c>
      <c r="BE193">
        <v>0</v>
      </c>
      <c r="BG193" t="s">
        <v>182</v>
      </c>
      <c r="BJ193" t="s">
        <v>1137</v>
      </c>
    </row>
    <row r="194" spans="1:62" x14ac:dyDescent="0.35">
      <c r="A194" t="s">
        <v>1138</v>
      </c>
      <c r="B194">
        <v>10000</v>
      </c>
      <c r="C194">
        <v>10000</v>
      </c>
      <c r="D194" s="2">
        <v>45722</v>
      </c>
      <c r="E194" t="s">
        <v>61</v>
      </c>
      <c r="F194" s="3">
        <v>0.53451388888888884</v>
      </c>
      <c r="G194" t="s">
        <v>387</v>
      </c>
      <c r="I194">
        <v>1</v>
      </c>
      <c r="J194" t="s">
        <v>63</v>
      </c>
      <c r="K194" s="8">
        <v>78</v>
      </c>
      <c r="L194" s="8" t="s">
        <v>6593</v>
      </c>
      <c r="M194" s="8" t="s">
        <v>6629</v>
      </c>
      <c r="N194" t="s">
        <v>188</v>
      </c>
      <c r="O194" t="s">
        <v>6410</v>
      </c>
      <c r="P194" s="4">
        <v>2000</v>
      </c>
      <c r="Q194">
        <f t="shared" si="53"/>
        <v>95</v>
      </c>
      <c r="R194">
        <f t="shared" si="52"/>
        <v>1.5833333333333333</v>
      </c>
      <c r="S194" s="2">
        <v>45721</v>
      </c>
      <c r="U194">
        <v>1</v>
      </c>
      <c r="V194" s="4">
        <v>2000</v>
      </c>
      <c r="W194" t="s">
        <v>65</v>
      </c>
      <c r="X194">
        <v>1871210001</v>
      </c>
      <c r="Y194">
        <v>0</v>
      </c>
      <c r="Z194" s="4">
        <v>1000</v>
      </c>
      <c r="AA194" s="4">
        <v>1000</v>
      </c>
      <c r="AB194">
        <v>0</v>
      </c>
      <c r="AC194">
        <v>0</v>
      </c>
      <c r="AD194">
        <v>0</v>
      </c>
      <c r="AG194">
        <v>0</v>
      </c>
      <c r="AP194">
        <v>187121</v>
      </c>
      <c r="AQ194" t="s">
        <v>1139</v>
      </c>
      <c r="AR194" t="s">
        <v>6671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C194" t="s">
        <v>69</v>
      </c>
      <c r="BD194" t="s">
        <v>1140</v>
      </c>
      <c r="BE194">
        <v>0</v>
      </c>
      <c r="BG194" t="s">
        <v>1139</v>
      </c>
      <c r="BJ194" t="s">
        <v>1141</v>
      </c>
    </row>
    <row r="195" spans="1:62" x14ac:dyDescent="0.35">
      <c r="A195" t="s">
        <v>1138</v>
      </c>
      <c r="B195">
        <v>10000</v>
      </c>
      <c r="C195">
        <v>20000</v>
      </c>
      <c r="D195" s="2">
        <v>45722</v>
      </c>
      <c r="E195" t="s">
        <v>61</v>
      </c>
      <c r="F195" s="3">
        <v>0.53453703703703703</v>
      </c>
      <c r="G195" t="s">
        <v>387</v>
      </c>
      <c r="I195">
        <v>2</v>
      </c>
      <c r="J195" t="s">
        <v>63</v>
      </c>
      <c r="K195" s="8">
        <v>65</v>
      </c>
      <c r="L195" s="8" t="s">
        <v>6596</v>
      </c>
      <c r="M195" s="8" t="s">
        <v>6630</v>
      </c>
      <c r="N195" t="s">
        <v>268</v>
      </c>
      <c r="O195" t="s">
        <v>6543</v>
      </c>
      <c r="P195" s="4">
        <v>2000</v>
      </c>
      <c r="Q195">
        <f t="shared" si="53"/>
        <v>95</v>
      </c>
      <c r="R195">
        <f t="shared" si="52"/>
        <v>1.5833333333333333</v>
      </c>
      <c r="S195" s="2">
        <v>45721</v>
      </c>
      <c r="U195">
        <v>1</v>
      </c>
      <c r="V195" s="4">
        <v>2000</v>
      </c>
      <c r="W195" t="s">
        <v>65</v>
      </c>
      <c r="X195">
        <v>1871210001</v>
      </c>
      <c r="Y195">
        <v>0</v>
      </c>
      <c r="Z195" s="4">
        <v>1000</v>
      </c>
      <c r="AA195" s="4">
        <v>1000</v>
      </c>
      <c r="AB195">
        <v>0</v>
      </c>
      <c r="AC195">
        <v>0</v>
      </c>
      <c r="AD195">
        <v>0</v>
      </c>
      <c r="AG195">
        <v>0</v>
      </c>
      <c r="AP195">
        <v>187121</v>
      </c>
      <c r="AQ195" t="s">
        <v>1139</v>
      </c>
      <c r="AR195" t="s">
        <v>6671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C195" t="s">
        <v>69</v>
      </c>
      <c r="BD195" t="s">
        <v>1140</v>
      </c>
      <c r="BE195">
        <v>0</v>
      </c>
      <c r="BG195" t="s">
        <v>1139</v>
      </c>
      <c r="BJ195" t="s">
        <v>1141</v>
      </c>
    </row>
    <row r="196" spans="1:62" x14ac:dyDescent="0.35">
      <c r="A196" t="s">
        <v>762</v>
      </c>
      <c r="B196">
        <v>10000</v>
      </c>
      <c r="C196">
        <v>50000</v>
      </c>
      <c r="D196" s="2">
        <v>45723</v>
      </c>
      <c r="E196" t="s">
        <v>61</v>
      </c>
      <c r="F196" t="s">
        <v>763</v>
      </c>
      <c r="G196" t="s">
        <v>764</v>
      </c>
      <c r="I196">
        <v>2</v>
      </c>
      <c r="J196" t="s">
        <v>63</v>
      </c>
      <c r="K196" s="8">
        <v>62</v>
      </c>
      <c r="L196" s="8" t="s">
        <v>6600</v>
      </c>
      <c r="M196" s="8" t="s">
        <v>6630</v>
      </c>
      <c r="N196" t="s">
        <v>459</v>
      </c>
      <c r="O196" t="s">
        <v>6568</v>
      </c>
      <c r="P196" s="4">
        <v>35000</v>
      </c>
      <c r="Q196">
        <f t="shared" ref="Q196:Q197" si="54">(P196/50)+45</f>
        <v>745</v>
      </c>
      <c r="R196">
        <f t="shared" ref="R196:R197" si="55">Q196/60</f>
        <v>12.416666666666666</v>
      </c>
      <c r="S196" s="2">
        <v>45721</v>
      </c>
      <c r="U196">
        <v>1</v>
      </c>
      <c r="V196" s="4">
        <v>35000</v>
      </c>
      <c r="W196" t="s">
        <v>65</v>
      </c>
      <c r="X196" t="s">
        <v>765</v>
      </c>
      <c r="Y196">
        <v>0</v>
      </c>
      <c r="Z196" s="4">
        <v>35000</v>
      </c>
      <c r="AA196">
        <v>0</v>
      </c>
      <c r="AB196">
        <v>0</v>
      </c>
      <c r="AC196">
        <v>0</v>
      </c>
      <c r="AD196">
        <v>0</v>
      </c>
      <c r="AG196">
        <v>0</v>
      </c>
      <c r="AP196" t="s">
        <v>766</v>
      </c>
      <c r="AQ196" t="s">
        <v>767</v>
      </c>
      <c r="AR196" t="s">
        <v>6664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C196" t="s">
        <v>69</v>
      </c>
      <c r="BD196" t="s">
        <v>768</v>
      </c>
      <c r="BE196">
        <v>0</v>
      </c>
      <c r="BG196" t="s">
        <v>767</v>
      </c>
      <c r="BJ196" t="s">
        <v>769</v>
      </c>
    </row>
    <row r="197" spans="1:62" x14ac:dyDescent="0.35">
      <c r="A197" t="s">
        <v>1142</v>
      </c>
      <c r="B197">
        <v>10000</v>
      </c>
      <c r="C197">
        <v>10000</v>
      </c>
      <c r="D197" s="2">
        <v>45721</v>
      </c>
      <c r="E197" t="s">
        <v>61</v>
      </c>
      <c r="F197" s="3">
        <v>0.45724537037037039</v>
      </c>
      <c r="G197" t="s">
        <v>1143</v>
      </c>
      <c r="I197">
        <v>1</v>
      </c>
      <c r="J197" t="s">
        <v>63</v>
      </c>
      <c r="K197" s="8">
        <v>12</v>
      </c>
      <c r="L197" s="8" t="s">
        <v>6604</v>
      </c>
      <c r="M197" s="8" t="s">
        <v>6629</v>
      </c>
      <c r="N197" t="s">
        <v>478</v>
      </c>
      <c r="O197" t="s">
        <v>6434</v>
      </c>
      <c r="P197" s="4">
        <v>2000</v>
      </c>
      <c r="Q197">
        <f t="shared" si="54"/>
        <v>85</v>
      </c>
      <c r="R197">
        <f t="shared" si="55"/>
        <v>1.4166666666666667</v>
      </c>
      <c r="S197" s="2">
        <v>45721</v>
      </c>
      <c r="U197">
        <v>1</v>
      </c>
      <c r="V197" s="4">
        <v>2000</v>
      </c>
      <c r="W197" t="s">
        <v>65</v>
      </c>
      <c r="X197" t="s">
        <v>1144</v>
      </c>
      <c r="Y197">
        <v>0</v>
      </c>
      <c r="Z197" s="4">
        <v>2000</v>
      </c>
      <c r="AA197">
        <v>0</v>
      </c>
      <c r="AB197">
        <v>0</v>
      </c>
      <c r="AC197">
        <v>0</v>
      </c>
      <c r="AD197">
        <v>0</v>
      </c>
      <c r="AG197">
        <v>0</v>
      </c>
      <c r="AP197" t="s">
        <v>1145</v>
      </c>
      <c r="AQ197" t="s">
        <v>116</v>
      </c>
      <c r="AR197" t="s">
        <v>6639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C197" t="s">
        <v>69</v>
      </c>
      <c r="BD197" t="s">
        <v>1146</v>
      </c>
      <c r="BE197">
        <v>0</v>
      </c>
      <c r="BG197" t="s">
        <v>116</v>
      </c>
      <c r="BJ197" t="s">
        <v>352</v>
      </c>
    </row>
    <row r="198" spans="1:62" x14ac:dyDescent="0.35">
      <c r="A198" t="s">
        <v>771</v>
      </c>
      <c r="B198">
        <v>10000</v>
      </c>
      <c r="C198">
        <v>30000</v>
      </c>
      <c r="D198" s="2">
        <v>45721</v>
      </c>
      <c r="E198" t="s">
        <v>61</v>
      </c>
      <c r="F198" t="s">
        <v>772</v>
      </c>
      <c r="G198">
        <v>10639931010</v>
      </c>
      <c r="I198">
        <v>3</v>
      </c>
      <c r="J198" t="s">
        <v>63</v>
      </c>
      <c r="K198" s="8">
        <v>85</v>
      </c>
      <c r="L198" s="8" t="s">
        <v>6585</v>
      </c>
      <c r="M198" s="8" t="s">
        <v>6628</v>
      </c>
      <c r="N198" t="s">
        <v>327</v>
      </c>
      <c r="O198" t="s">
        <v>6580</v>
      </c>
      <c r="P198" s="4">
        <v>13637</v>
      </c>
      <c r="S198" s="2">
        <v>45721</v>
      </c>
      <c r="U198">
        <v>11</v>
      </c>
      <c r="V198" s="4">
        <v>150007</v>
      </c>
      <c r="W198" t="s">
        <v>65</v>
      </c>
      <c r="X198" t="s">
        <v>773</v>
      </c>
      <c r="Y198">
        <v>0</v>
      </c>
      <c r="Z198" s="4">
        <v>140000</v>
      </c>
      <c r="AA198" s="4">
        <v>10007</v>
      </c>
      <c r="AB198">
        <v>0</v>
      </c>
      <c r="AC198">
        <v>0</v>
      </c>
      <c r="AD198">
        <v>0</v>
      </c>
      <c r="AG198">
        <v>0</v>
      </c>
      <c r="AP198" t="s">
        <v>774</v>
      </c>
      <c r="AQ198" t="s">
        <v>107</v>
      </c>
      <c r="AR198" t="s">
        <v>6638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C198" t="s">
        <v>69</v>
      </c>
      <c r="BD198" t="s">
        <v>775</v>
      </c>
      <c r="BE198">
        <v>0</v>
      </c>
      <c r="BG198" t="s">
        <v>107</v>
      </c>
      <c r="BJ198" t="s">
        <v>776</v>
      </c>
    </row>
    <row r="199" spans="1:62" x14ac:dyDescent="0.35">
      <c r="A199" t="s">
        <v>777</v>
      </c>
      <c r="B199">
        <v>10000</v>
      </c>
      <c r="C199">
        <v>30000</v>
      </c>
      <c r="D199" s="2">
        <v>45721</v>
      </c>
      <c r="E199" t="s">
        <v>61</v>
      </c>
      <c r="F199" s="3">
        <v>0.45700231481481479</v>
      </c>
      <c r="G199" t="s">
        <v>778</v>
      </c>
      <c r="I199">
        <v>3</v>
      </c>
      <c r="J199" t="s">
        <v>63</v>
      </c>
      <c r="K199" s="8">
        <v>85</v>
      </c>
      <c r="L199" s="8" t="s">
        <v>6585</v>
      </c>
      <c r="M199" s="8" t="s">
        <v>6628</v>
      </c>
      <c r="N199" t="s">
        <v>327</v>
      </c>
      <c r="O199" t="s">
        <v>6580</v>
      </c>
      <c r="P199" s="4">
        <v>36364</v>
      </c>
      <c r="S199" s="2">
        <v>45721</v>
      </c>
      <c r="U199">
        <v>11</v>
      </c>
      <c r="V199" s="4">
        <v>400004</v>
      </c>
      <c r="W199" t="s">
        <v>65</v>
      </c>
      <c r="X199" t="s">
        <v>328</v>
      </c>
      <c r="Y199">
        <v>0</v>
      </c>
      <c r="Z199" s="4">
        <v>440000</v>
      </c>
      <c r="AA199" s="4">
        <v>-39996</v>
      </c>
      <c r="AB199">
        <v>0</v>
      </c>
      <c r="AC199">
        <v>0</v>
      </c>
      <c r="AD199">
        <v>0</v>
      </c>
      <c r="AG199">
        <v>0</v>
      </c>
      <c r="AP199" t="s">
        <v>329</v>
      </c>
      <c r="AQ199" t="s">
        <v>107</v>
      </c>
      <c r="AR199" t="s">
        <v>6638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C199" t="s">
        <v>69</v>
      </c>
      <c r="BD199" t="s">
        <v>779</v>
      </c>
      <c r="BE199">
        <v>0</v>
      </c>
      <c r="BG199" t="s">
        <v>107</v>
      </c>
      <c r="BJ199" t="s">
        <v>780</v>
      </c>
    </row>
    <row r="200" spans="1:62" x14ac:dyDescent="0.35">
      <c r="A200" t="s">
        <v>781</v>
      </c>
      <c r="B200">
        <v>10000</v>
      </c>
      <c r="C200">
        <v>30000</v>
      </c>
      <c r="D200" s="2">
        <v>45722</v>
      </c>
      <c r="E200" t="s">
        <v>61</v>
      </c>
      <c r="F200" t="s">
        <v>782</v>
      </c>
      <c r="G200" t="s">
        <v>783</v>
      </c>
      <c r="I200">
        <v>3</v>
      </c>
      <c r="J200" t="s">
        <v>63</v>
      </c>
      <c r="K200" s="8">
        <v>85</v>
      </c>
      <c r="L200" s="8" t="s">
        <v>6585</v>
      </c>
      <c r="M200" s="8" t="s">
        <v>6628</v>
      </c>
      <c r="N200" t="s">
        <v>327</v>
      </c>
      <c r="O200" t="s">
        <v>6580</v>
      </c>
      <c r="P200" s="4">
        <v>20000</v>
      </c>
      <c r="S200" s="2">
        <v>45721</v>
      </c>
      <c r="U200">
        <v>11</v>
      </c>
      <c r="V200" s="4">
        <v>220000</v>
      </c>
      <c r="W200" t="s">
        <v>65</v>
      </c>
      <c r="X200" t="s">
        <v>784</v>
      </c>
      <c r="Y200">
        <v>0</v>
      </c>
      <c r="Z200" s="4">
        <v>200000</v>
      </c>
      <c r="AA200" s="4">
        <v>20000</v>
      </c>
      <c r="AB200">
        <v>0</v>
      </c>
      <c r="AC200">
        <v>0</v>
      </c>
      <c r="AD200">
        <v>0</v>
      </c>
      <c r="AG200">
        <v>0</v>
      </c>
      <c r="AP200" t="s">
        <v>785</v>
      </c>
      <c r="AQ200" t="s">
        <v>107</v>
      </c>
      <c r="AR200" t="s">
        <v>6638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C200" t="s">
        <v>69</v>
      </c>
      <c r="BD200" t="s">
        <v>786</v>
      </c>
      <c r="BE200">
        <v>0</v>
      </c>
      <c r="BG200" t="s">
        <v>107</v>
      </c>
      <c r="BJ200" t="s">
        <v>787</v>
      </c>
    </row>
    <row r="201" spans="1:62" x14ac:dyDescent="0.35">
      <c r="A201" t="s">
        <v>1147</v>
      </c>
      <c r="B201">
        <v>10000</v>
      </c>
      <c r="C201">
        <v>10000</v>
      </c>
      <c r="D201" s="2">
        <v>45722</v>
      </c>
      <c r="E201" t="s">
        <v>61</v>
      </c>
      <c r="F201" t="s">
        <v>1148</v>
      </c>
      <c r="G201" t="s">
        <v>1149</v>
      </c>
      <c r="I201">
        <v>1</v>
      </c>
      <c r="J201" t="s">
        <v>63</v>
      </c>
      <c r="K201" s="8">
        <v>71</v>
      </c>
      <c r="L201" s="8" t="s">
        <v>6588</v>
      </c>
      <c r="M201" s="8" t="s">
        <v>6630</v>
      </c>
      <c r="N201" t="s">
        <v>135</v>
      </c>
      <c r="O201" t="s">
        <v>6573</v>
      </c>
      <c r="P201" s="4">
        <v>1250</v>
      </c>
      <c r="S201" s="2">
        <v>45721</v>
      </c>
      <c r="U201">
        <v>4</v>
      </c>
      <c r="V201" s="4">
        <v>5000</v>
      </c>
      <c r="W201" t="s">
        <v>65</v>
      </c>
      <c r="X201">
        <v>83601840001</v>
      </c>
      <c r="Y201">
        <v>0</v>
      </c>
      <c r="Z201" s="4">
        <v>5000</v>
      </c>
      <c r="AA201">
        <v>0</v>
      </c>
      <c r="AB201">
        <v>0</v>
      </c>
      <c r="AC201">
        <v>0</v>
      </c>
      <c r="AD201">
        <v>0</v>
      </c>
      <c r="AG201">
        <v>0</v>
      </c>
      <c r="AP201">
        <v>8360184</v>
      </c>
      <c r="AQ201" t="s">
        <v>91</v>
      </c>
      <c r="AR201" t="s">
        <v>6637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C201" t="s">
        <v>69</v>
      </c>
      <c r="BD201" t="s">
        <v>1150</v>
      </c>
      <c r="BE201">
        <v>0</v>
      </c>
      <c r="BG201" t="s">
        <v>91</v>
      </c>
      <c r="BJ201" t="s">
        <v>1151</v>
      </c>
    </row>
    <row r="202" spans="1:62" x14ac:dyDescent="0.35">
      <c r="A202" t="s">
        <v>1152</v>
      </c>
      <c r="B202">
        <v>10000</v>
      </c>
      <c r="C202">
        <v>10000</v>
      </c>
      <c r="D202" s="2">
        <v>45722</v>
      </c>
      <c r="E202" t="s">
        <v>61</v>
      </c>
      <c r="F202" t="s">
        <v>1148</v>
      </c>
      <c r="G202" t="s">
        <v>1149</v>
      </c>
      <c r="I202">
        <v>1</v>
      </c>
      <c r="J202" t="s">
        <v>63</v>
      </c>
      <c r="K202" s="8">
        <v>71</v>
      </c>
      <c r="L202" s="8" t="s">
        <v>6588</v>
      </c>
      <c r="M202" s="8" t="s">
        <v>6630</v>
      </c>
      <c r="N202" t="s">
        <v>135</v>
      </c>
      <c r="O202" t="s">
        <v>6573</v>
      </c>
      <c r="P202" s="4">
        <v>1250</v>
      </c>
      <c r="S202" s="2">
        <v>45721</v>
      </c>
      <c r="U202">
        <v>4</v>
      </c>
      <c r="V202" s="4">
        <v>5000</v>
      </c>
      <c r="W202" t="s">
        <v>65</v>
      </c>
      <c r="X202">
        <v>83601840001</v>
      </c>
      <c r="Y202">
        <v>0</v>
      </c>
      <c r="Z202" s="4">
        <v>5000</v>
      </c>
      <c r="AA202">
        <v>0</v>
      </c>
      <c r="AB202">
        <v>0</v>
      </c>
      <c r="AC202">
        <v>0</v>
      </c>
      <c r="AD202">
        <v>0</v>
      </c>
      <c r="AG202">
        <v>0</v>
      </c>
      <c r="AP202">
        <v>8360184</v>
      </c>
      <c r="AQ202" t="s">
        <v>91</v>
      </c>
      <c r="AR202" t="s">
        <v>6637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C202" t="s">
        <v>69</v>
      </c>
      <c r="BD202" t="s">
        <v>1153</v>
      </c>
      <c r="BE202">
        <v>0</v>
      </c>
      <c r="BG202" t="s">
        <v>91</v>
      </c>
      <c r="BJ202" t="s">
        <v>1154</v>
      </c>
    </row>
    <row r="203" spans="1:62" x14ac:dyDescent="0.35">
      <c r="A203" t="s">
        <v>1155</v>
      </c>
      <c r="B203">
        <v>10000</v>
      </c>
      <c r="C203">
        <v>10000</v>
      </c>
      <c r="D203" s="2">
        <v>45722</v>
      </c>
      <c r="E203" t="s">
        <v>61</v>
      </c>
      <c r="F203" t="s">
        <v>1148</v>
      </c>
      <c r="G203" t="s">
        <v>1149</v>
      </c>
      <c r="I203">
        <v>1</v>
      </c>
      <c r="J203" t="s">
        <v>63</v>
      </c>
      <c r="K203" s="8">
        <v>71</v>
      </c>
      <c r="L203" s="8" t="s">
        <v>6588</v>
      </c>
      <c r="M203" s="8" t="s">
        <v>6630</v>
      </c>
      <c r="N203" t="s">
        <v>135</v>
      </c>
      <c r="O203" t="s">
        <v>6573</v>
      </c>
      <c r="P203" s="4">
        <v>1250</v>
      </c>
      <c r="S203" s="2">
        <v>45721</v>
      </c>
      <c r="U203">
        <v>4</v>
      </c>
      <c r="V203" s="4">
        <v>5000</v>
      </c>
      <c r="W203" t="s">
        <v>65</v>
      </c>
      <c r="X203">
        <v>83601840001</v>
      </c>
      <c r="Y203">
        <v>0</v>
      </c>
      <c r="Z203" s="4">
        <v>5000</v>
      </c>
      <c r="AA203">
        <v>0</v>
      </c>
      <c r="AB203">
        <v>0</v>
      </c>
      <c r="AC203">
        <v>0</v>
      </c>
      <c r="AD203">
        <v>0</v>
      </c>
      <c r="AG203">
        <v>0</v>
      </c>
      <c r="AP203">
        <v>8360184</v>
      </c>
      <c r="AQ203" t="s">
        <v>91</v>
      </c>
      <c r="AR203" t="s">
        <v>6637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C203" t="s">
        <v>69</v>
      </c>
      <c r="BD203" t="s">
        <v>1156</v>
      </c>
      <c r="BE203">
        <v>0</v>
      </c>
      <c r="BG203" t="s">
        <v>91</v>
      </c>
      <c r="BJ203" t="s">
        <v>1157</v>
      </c>
    </row>
    <row r="204" spans="1:62" x14ac:dyDescent="0.35">
      <c r="A204" t="s">
        <v>1158</v>
      </c>
      <c r="B204">
        <v>10000</v>
      </c>
      <c r="C204">
        <v>10000</v>
      </c>
      <c r="D204" s="2">
        <v>45722</v>
      </c>
      <c r="E204" t="s">
        <v>61</v>
      </c>
      <c r="F204" t="s">
        <v>1159</v>
      </c>
      <c r="G204" t="s">
        <v>1149</v>
      </c>
      <c r="I204">
        <v>1</v>
      </c>
      <c r="J204" t="s">
        <v>63</v>
      </c>
      <c r="K204" s="8">
        <v>71</v>
      </c>
      <c r="L204" s="8" t="s">
        <v>6588</v>
      </c>
      <c r="M204" s="8" t="s">
        <v>6630</v>
      </c>
      <c r="N204" t="s">
        <v>135</v>
      </c>
      <c r="O204" t="s">
        <v>6573</v>
      </c>
      <c r="P204" s="4">
        <v>1250</v>
      </c>
      <c r="S204" s="2">
        <v>45721</v>
      </c>
      <c r="U204">
        <v>4</v>
      </c>
      <c r="V204" s="4">
        <v>5000</v>
      </c>
      <c r="W204" t="s">
        <v>65</v>
      </c>
      <c r="X204">
        <v>83601840001</v>
      </c>
      <c r="Y204">
        <v>0</v>
      </c>
      <c r="Z204" s="4">
        <v>5000</v>
      </c>
      <c r="AA204">
        <v>0</v>
      </c>
      <c r="AB204">
        <v>0</v>
      </c>
      <c r="AC204">
        <v>0</v>
      </c>
      <c r="AD204">
        <v>0</v>
      </c>
      <c r="AG204">
        <v>0</v>
      </c>
      <c r="AP204">
        <v>8360184</v>
      </c>
      <c r="AQ204" t="s">
        <v>91</v>
      </c>
      <c r="AR204" t="s">
        <v>6637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BC204" t="s">
        <v>69</v>
      </c>
      <c r="BD204" t="s">
        <v>1160</v>
      </c>
      <c r="BE204">
        <v>0</v>
      </c>
      <c r="BG204" t="s">
        <v>91</v>
      </c>
      <c r="BJ204" t="s">
        <v>1161</v>
      </c>
    </row>
    <row r="205" spans="1:62" x14ac:dyDescent="0.35">
      <c r="A205" t="s">
        <v>788</v>
      </c>
      <c r="B205">
        <v>10000</v>
      </c>
      <c r="C205">
        <v>30000</v>
      </c>
      <c r="D205" s="2">
        <v>45722</v>
      </c>
      <c r="E205" t="s">
        <v>61</v>
      </c>
      <c r="F205" t="s">
        <v>789</v>
      </c>
      <c r="G205">
        <v>10639931010</v>
      </c>
      <c r="I205">
        <v>3</v>
      </c>
      <c r="J205" t="s">
        <v>63</v>
      </c>
      <c r="K205" s="8">
        <v>85</v>
      </c>
      <c r="L205" s="8" t="s">
        <v>6585</v>
      </c>
      <c r="M205" s="8" t="s">
        <v>6628</v>
      </c>
      <c r="N205" t="s">
        <v>327</v>
      </c>
      <c r="O205" t="s">
        <v>6580</v>
      </c>
      <c r="P205" s="4">
        <v>10000</v>
      </c>
      <c r="S205" s="2">
        <v>45721</v>
      </c>
      <c r="U205">
        <v>11</v>
      </c>
      <c r="V205" s="4">
        <v>110000</v>
      </c>
      <c r="W205" t="s">
        <v>65</v>
      </c>
      <c r="X205" t="s">
        <v>784</v>
      </c>
      <c r="Y205">
        <v>0</v>
      </c>
      <c r="Z205" s="4">
        <v>100000</v>
      </c>
      <c r="AA205" s="4">
        <v>10000</v>
      </c>
      <c r="AB205">
        <v>0</v>
      </c>
      <c r="AC205">
        <v>0</v>
      </c>
      <c r="AD205">
        <v>0</v>
      </c>
      <c r="AG205">
        <v>0</v>
      </c>
      <c r="AP205" t="s">
        <v>785</v>
      </c>
      <c r="AQ205" t="s">
        <v>107</v>
      </c>
      <c r="AR205" t="s">
        <v>6638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C205" t="s">
        <v>69</v>
      </c>
      <c r="BD205" t="s">
        <v>790</v>
      </c>
      <c r="BE205">
        <v>0</v>
      </c>
      <c r="BG205" t="s">
        <v>107</v>
      </c>
      <c r="BJ205" t="s">
        <v>791</v>
      </c>
    </row>
    <row r="206" spans="1:62" x14ac:dyDescent="0.35">
      <c r="A206" t="s">
        <v>1162</v>
      </c>
      <c r="B206">
        <v>10000</v>
      </c>
      <c r="C206">
        <v>10000</v>
      </c>
      <c r="D206" s="2">
        <v>45721</v>
      </c>
      <c r="E206" t="s">
        <v>61</v>
      </c>
      <c r="F206" t="s">
        <v>1163</v>
      </c>
      <c r="G206" t="s">
        <v>387</v>
      </c>
      <c r="I206">
        <v>1</v>
      </c>
      <c r="J206" t="s">
        <v>63</v>
      </c>
      <c r="K206" s="8">
        <v>12</v>
      </c>
      <c r="L206" s="8" t="s">
        <v>6604</v>
      </c>
      <c r="M206" s="8" t="s">
        <v>6629</v>
      </c>
      <c r="N206" t="s">
        <v>478</v>
      </c>
      <c r="O206" t="s">
        <v>6434</v>
      </c>
      <c r="P206" s="4">
        <v>1000</v>
      </c>
      <c r="Q206">
        <f>(P206/50)+45</f>
        <v>65</v>
      </c>
      <c r="R206">
        <f>Q206/60</f>
        <v>1.0833333333333333</v>
      </c>
      <c r="S206" s="2">
        <v>45721</v>
      </c>
      <c r="U206">
        <v>1</v>
      </c>
      <c r="V206" s="4">
        <v>1000</v>
      </c>
      <c r="W206" t="s">
        <v>65</v>
      </c>
      <c r="X206" t="s">
        <v>1164</v>
      </c>
      <c r="Y206">
        <v>0</v>
      </c>
      <c r="Z206" s="4">
        <v>1000</v>
      </c>
      <c r="AA206">
        <v>0</v>
      </c>
      <c r="AB206">
        <v>0</v>
      </c>
      <c r="AC206">
        <v>0</v>
      </c>
      <c r="AD206">
        <v>0</v>
      </c>
      <c r="AG206">
        <v>0</v>
      </c>
      <c r="AP206" t="s">
        <v>1165</v>
      </c>
      <c r="AQ206" t="s">
        <v>206</v>
      </c>
      <c r="AR206" t="s">
        <v>6645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C206" t="s">
        <v>69</v>
      </c>
      <c r="BD206" t="s">
        <v>1166</v>
      </c>
      <c r="BE206">
        <v>0</v>
      </c>
      <c r="BG206" t="s">
        <v>206</v>
      </c>
      <c r="BJ206" t="s">
        <v>1167</v>
      </c>
    </row>
    <row r="207" spans="1:62" x14ac:dyDescent="0.35">
      <c r="A207" t="s">
        <v>397</v>
      </c>
      <c r="B207">
        <v>10000</v>
      </c>
      <c r="C207">
        <v>30000</v>
      </c>
      <c r="D207" s="2">
        <v>45722</v>
      </c>
      <c r="E207" t="s">
        <v>61</v>
      </c>
      <c r="F207" t="s">
        <v>398</v>
      </c>
      <c r="G207" t="s">
        <v>394</v>
      </c>
      <c r="I207">
        <v>1</v>
      </c>
      <c r="J207" t="s">
        <v>63</v>
      </c>
      <c r="K207" s="8">
        <v>67</v>
      </c>
      <c r="L207" s="8" t="s">
        <v>6601</v>
      </c>
      <c r="M207" s="8" t="s">
        <v>6630</v>
      </c>
      <c r="N207" t="s">
        <v>385</v>
      </c>
      <c r="O207" t="s">
        <v>6541</v>
      </c>
      <c r="P207" s="4">
        <v>50000</v>
      </c>
      <c r="S207" s="2">
        <v>45721</v>
      </c>
      <c r="U207">
        <v>1</v>
      </c>
      <c r="V207" s="4">
        <v>50000</v>
      </c>
      <c r="W207" t="s">
        <v>65</v>
      </c>
      <c r="X207" t="s">
        <v>381</v>
      </c>
      <c r="Y207">
        <v>0</v>
      </c>
      <c r="Z207" s="4">
        <v>50000</v>
      </c>
      <c r="AA207">
        <v>0</v>
      </c>
      <c r="AB207">
        <v>0</v>
      </c>
      <c r="AC207">
        <v>0</v>
      </c>
      <c r="AD207">
        <v>0</v>
      </c>
      <c r="AG207">
        <v>0</v>
      </c>
      <c r="AP207" t="s">
        <v>382</v>
      </c>
      <c r="AQ207" t="s">
        <v>175</v>
      </c>
      <c r="AR207" t="s">
        <v>6642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BC207" t="s">
        <v>69</v>
      </c>
      <c r="BD207" t="s">
        <v>400</v>
      </c>
      <c r="BE207">
        <v>0</v>
      </c>
      <c r="BG207" t="s">
        <v>175</v>
      </c>
      <c r="BJ207" t="s">
        <v>401</v>
      </c>
    </row>
    <row r="208" spans="1:62" x14ac:dyDescent="0.35">
      <c r="A208" t="s">
        <v>801</v>
      </c>
      <c r="B208">
        <v>10000</v>
      </c>
      <c r="C208">
        <v>20000</v>
      </c>
      <c r="D208" s="2">
        <v>45722</v>
      </c>
      <c r="E208" t="s">
        <v>61</v>
      </c>
      <c r="F208" t="s">
        <v>802</v>
      </c>
      <c r="G208">
        <v>12190705006</v>
      </c>
      <c r="I208">
        <v>1</v>
      </c>
      <c r="J208" t="s">
        <v>63</v>
      </c>
      <c r="K208" s="8">
        <v>68</v>
      </c>
      <c r="L208" s="8" t="s">
        <v>6605</v>
      </c>
      <c r="M208" s="8" t="s">
        <v>6630</v>
      </c>
      <c r="N208" t="s">
        <v>405</v>
      </c>
      <c r="O208" t="s">
        <v>6555</v>
      </c>
      <c r="P208" s="4">
        <v>31000</v>
      </c>
      <c r="Q208">
        <f>(P208/40)+45</f>
        <v>820</v>
      </c>
      <c r="R208">
        <f>Q208/60</f>
        <v>13.666666666666666</v>
      </c>
      <c r="S208" s="2">
        <v>45721</v>
      </c>
      <c r="U208">
        <v>2</v>
      </c>
      <c r="V208" s="4">
        <v>62000</v>
      </c>
      <c r="W208" t="s">
        <v>65</v>
      </c>
      <c r="X208" t="s">
        <v>803</v>
      </c>
      <c r="Y208">
        <v>0</v>
      </c>
      <c r="Z208" s="4">
        <v>62000</v>
      </c>
      <c r="AA208">
        <v>0</v>
      </c>
      <c r="AB208">
        <v>0</v>
      </c>
      <c r="AC208">
        <v>0</v>
      </c>
      <c r="AD208">
        <v>0</v>
      </c>
      <c r="AG208">
        <v>0</v>
      </c>
      <c r="AP208" t="s">
        <v>804</v>
      </c>
      <c r="AQ208" t="s">
        <v>175</v>
      </c>
      <c r="AR208" t="s">
        <v>6642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C208" t="s">
        <v>69</v>
      </c>
      <c r="BD208" t="s">
        <v>805</v>
      </c>
      <c r="BE208">
        <v>0</v>
      </c>
      <c r="BG208" t="s">
        <v>175</v>
      </c>
      <c r="BJ208" t="s">
        <v>806</v>
      </c>
    </row>
    <row r="209" spans="1:62" x14ac:dyDescent="0.35">
      <c r="A209" t="s">
        <v>1168</v>
      </c>
      <c r="B209">
        <v>10000</v>
      </c>
      <c r="C209">
        <v>10000</v>
      </c>
      <c r="D209" s="2">
        <v>45723</v>
      </c>
      <c r="E209" t="s">
        <v>61</v>
      </c>
      <c r="F209" t="s">
        <v>1169</v>
      </c>
      <c r="G209" t="s">
        <v>410</v>
      </c>
      <c r="I209">
        <v>1</v>
      </c>
      <c r="J209" t="s">
        <v>63</v>
      </c>
      <c r="K209" s="8">
        <v>87</v>
      </c>
      <c r="L209" s="8" t="s">
        <v>6591</v>
      </c>
      <c r="M209" s="8" t="s">
        <v>6630</v>
      </c>
      <c r="N209" t="s">
        <v>172</v>
      </c>
      <c r="O209" t="s">
        <v>6546</v>
      </c>
      <c r="P209" s="4">
        <v>20250</v>
      </c>
      <c r="S209" s="2">
        <v>45721</v>
      </c>
      <c r="U209">
        <v>2</v>
      </c>
      <c r="V209" s="4">
        <v>40500</v>
      </c>
      <c r="W209" t="s">
        <v>65</v>
      </c>
      <c r="X209" t="s">
        <v>173</v>
      </c>
      <c r="Y209">
        <v>0</v>
      </c>
      <c r="Z209" s="4">
        <v>40500</v>
      </c>
      <c r="AA209">
        <v>0</v>
      </c>
      <c r="AB209">
        <v>0</v>
      </c>
      <c r="AC209">
        <v>0</v>
      </c>
      <c r="AD209">
        <v>0</v>
      </c>
      <c r="AG209">
        <v>0</v>
      </c>
      <c r="AP209" t="s">
        <v>174</v>
      </c>
      <c r="AQ209" t="s">
        <v>175</v>
      </c>
      <c r="AR209" t="s">
        <v>6642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C209" t="s">
        <v>69</v>
      </c>
      <c r="BD209" t="s">
        <v>1170</v>
      </c>
      <c r="BE209">
        <v>0</v>
      </c>
      <c r="BG209" t="s">
        <v>175</v>
      </c>
      <c r="BJ209" t="s">
        <v>1171</v>
      </c>
    </row>
    <row r="210" spans="1:62" x14ac:dyDescent="0.35">
      <c r="A210" t="s">
        <v>1172</v>
      </c>
      <c r="B210">
        <v>10000</v>
      </c>
      <c r="C210">
        <v>10000</v>
      </c>
      <c r="D210" s="2">
        <v>45721</v>
      </c>
      <c r="E210" t="s">
        <v>61</v>
      </c>
      <c r="F210" t="s">
        <v>1109</v>
      </c>
      <c r="G210" t="s">
        <v>1173</v>
      </c>
      <c r="I210">
        <v>1</v>
      </c>
      <c r="J210" t="s">
        <v>63</v>
      </c>
      <c r="K210" s="8">
        <v>61</v>
      </c>
      <c r="L210" s="8" t="s">
        <v>6594</v>
      </c>
      <c r="M210" s="8" t="s">
        <v>6629</v>
      </c>
      <c r="N210" t="s">
        <v>216</v>
      </c>
      <c r="O210" t="s">
        <v>6394</v>
      </c>
      <c r="P210">
        <v>400</v>
      </c>
      <c r="Q210">
        <f>(P210/50)+45</f>
        <v>53</v>
      </c>
      <c r="R210">
        <f>Q210/60</f>
        <v>0.8833333333333333</v>
      </c>
      <c r="S210" s="2">
        <v>45721</v>
      </c>
      <c r="U210">
        <v>5</v>
      </c>
      <c r="V210" s="4">
        <v>2000</v>
      </c>
      <c r="W210" t="s">
        <v>65</v>
      </c>
      <c r="X210" t="s">
        <v>1174</v>
      </c>
      <c r="Y210">
        <v>0</v>
      </c>
      <c r="Z210" s="4">
        <v>2000</v>
      </c>
      <c r="AA210">
        <v>0</v>
      </c>
      <c r="AB210">
        <v>0</v>
      </c>
      <c r="AC210">
        <v>0</v>
      </c>
      <c r="AD210">
        <v>0</v>
      </c>
      <c r="AG210">
        <v>0</v>
      </c>
      <c r="AP210" t="s">
        <v>1175</v>
      </c>
      <c r="AQ210" t="s">
        <v>1176</v>
      </c>
      <c r="AR210" t="s">
        <v>6672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C210" t="s">
        <v>69</v>
      </c>
      <c r="BD210" t="s">
        <v>1177</v>
      </c>
      <c r="BE210">
        <v>0</v>
      </c>
      <c r="BG210" t="s">
        <v>1176</v>
      </c>
      <c r="BJ210" t="s">
        <v>1178</v>
      </c>
    </row>
    <row r="211" spans="1:62" x14ac:dyDescent="0.35">
      <c r="A211" t="s">
        <v>1179</v>
      </c>
      <c r="B211">
        <v>10000</v>
      </c>
      <c r="C211">
        <v>20000</v>
      </c>
      <c r="D211" s="2">
        <v>45727</v>
      </c>
      <c r="E211" t="s">
        <v>61</v>
      </c>
      <c r="F211" t="s">
        <v>1180</v>
      </c>
      <c r="G211" t="s">
        <v>1181</v>
      </c>
      <c r="I211">
        <v>2</v>
      </c>
      <c r="J211" t="s">
        <v>63</v>
      </c>
      <c r="K211" s="8">
        <v>77</v>
      </c>
      <c r="L211" s="8" t="s">
        <v>6584</v>
      </c>
      <c r="M211" s="8" t="s">
        <v>6627</v>
      </c>
      <c r="N211" t="s">
        <v>127</v>
      </c>
      <c r="O211" t="s">
        <v>6567</v>
      </c>
      <c r="P211" s="4">
        <v>1250</v>
      </c>
      <c r="Q211">
        <f t="shared" ref="Q211:Q218" si="56">(P211/60)+45</f>
        <v>65.833333333333329</v>
      </c>
      <c r="R211">
        <f t="shared" ref="R211:R218" si="57">Q211/60</f>
        <v>1.0972222222222221</v>
      </c>
      <c r="S211" s="2">
        <v>45721</v>
      </c>
      <c r="U211">
        <v>88</v>
      </c>
      <c r="V211" s="4">
        <v>110000</v>
      </c>
      <c r="W211" t="s">
        <v>65</v>
      </c>
      <c r="X211" t="s">
        <v>1182</v>
      </c>
      <c r="Y211">
        <v>0</v>
      </c>
      <c r="Z211" s="4">
        <v>100000</v>
      </c>
      <c r="AA211" s="4">
        <v>10000</v>
      </c>
      <c r="AB211">
        <v>0</v>
      </c>
      <c r="AC211">
        <v>0</v>
      </c>
      <c r="AD211">
        <v>0</v>
      </c>
      <c r="AG211">
        <v>0</v>
      </c>
      <c r="AP211" t="s">
        <v>1183</v>
      </c>
      <c r="AQ211" t="s">
        <v>107</v>
      </c>
      <c r="AR211" t="s">
        <v>6638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C211" t="s">
        <v>69</v>
      </c>
      <c r="BD211" t="s">
        <v>1184</v>
      </c>
      <c r="BE211">
        <v>0</v>
      </c>
      <c r="BG211" t="s">
        <v>107</v>
      </c>
      <c r="BJ211" t="s">
        <v>1185</v>
      </c>
    </row>
    <row r="212" spans="1:62" x14ac:dyDescent="0.35">
      <c r="A212" t="s">
        <v>1186</v>
      </c>
      <c r="B212">
        <v>10000</v>
      </c>
      <c r="C212">
        <v>20000</v>
      </c>
      <c r="D212" s="2">
        <v>45727</v>
      </c>
      <c r="E212" t="s">
        <v>61</v>
      </c>
      <c r="F212" t="s">
        <v>1187</v>
      </c>
      <c r="G212" t="s">
        <v>1181</v>
      </c>
      <c r="I212">
        <v>2</v>
      </c>
      <c r="J212" t="s">
        <v>63</v>
      </c>
      <c r="K212" s="8">
        <v>77</v>
      </c>
      <c r="L212" s="8" t="s">
        <v>6584</v>
      </c>
      <c r="M212" s="8" t="s">
        <v>6627</v>
      </c>
      <c r="N212" t="s">
        <v>127</v>
      </c>
      <c r="O212" t="s">
        <v>6567</v>
      </c>
      <c r="P212" s="4">
        <v>1250</v>
      </c>
      <c r="Q212">
        <f t="shared" si="56"/>
        <v>65.833333333333329</v>
      </c>
      <c r="R212">
        <f t="shared" si="57"/>
        <v>1.0972222222222221</v>
      </c>
      <c r="S212" s="2">
        <v>45721</v>
      </c>
      <c r="U212">
        <v>88</v>
      </c>
      <c r="V212" s="4">
        <v>110000</v>
      </c>
      <c r="W212" t="s">
        <v>65</v>
      </c>
      <c r="X212" t="s">
        <v>1188</v>
      </c>
      <c r="Y212">
        <v>0</v>
      </c>
      <c r="Z212" s="4">
        <v>100000</v>
      </c>
      <c r="AA212" s="4">
        <v>10000</v>
      </c>
      <c r="AB212">
        <v>0</v>
      </c>
      <c r="AC212">
        <v>0</v>
      </c>
      <c r="AD212">
        <v>0</v>
      </c>
      <c r="AG212">
        <v>0</v>
      </c>
      <c r="AP212" t="s">
        <v>1189</v>
      </c>
      <c r="AQ212" t="s">
        <v>107</v>
      </c>
      <c r="AR212" t="s">
        <v>6638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C212" t="s">
        <v>69</v>
      </c>
      <c r="BD212" t="s">
        <v>1190</v>
      </c>
      <c r="BE212">
        <v>0</v>
      </c>
      <c r="BG212" t="s">
        <v>107</v>
      </c>
      <c r="BJ212" t="s">
        <v>1191</v>
      </c>
    </row>
    <row r="213" spans="1:62" x14ac:dyDescent="0.35">
      <c r="A213" t="s">
        <v>1192</v>
      </c>
      <c r="B213">
        <v>10000</v>
      </c>
      <c r="C213">
        <v>20000</v>
      </c>
      <c r="D213" s="2">
        <v>45727</v>
      </c>
      <c r="E213" t="s">
        <v>61</v>
      </c>
      <c r="F213" t="s">
        <v>1193</v>
      </c>
      <c r="G213" t="s">
        <v>1181</v>
      </c>
      <c r="I213">
        <v>2</v>
      </c>
      <c r="J213" t="s">
        <v>63</v>
      </c>
      <c r="K213" s="8">
        <v>77</v>
      </c>
      <c r="L213" s="8" t="s">
        <v>6584</v>
      </c>
      <c r="M213" s="8" t="s">
        <v>6627</v>
      </c>
      <c r="N213" t="s">
        <v>127</v>
      </c>
      <c r="O213" t="s">
        <v>6567</v>
      </c>
      <c r="P213" s="4">
        <v>1250</v>
      </c>
      <c r="Q213">
        <f t="shared" si="56"/>
        <v>65.833333333333329</v>
      </c>
      <c r="R213">
        <f t="shared" si="57"/>
        <v>1.0972222222222221</v>
      </c>
      <c r="S213" s="2">
        <v>45721</v>
      </c>
      <c r="U213">
        <v>88</v>
      </c>
      <c r="V213" s="4">
        <v>110000</v>
      </c>
      <c r="W213" t="s">
        <v>65</v>
      </c>
      <c r="X213" t="s">
        <v>1194</v>
      </c>
      <c r="Y213">
        <v>0</v>
      </c>
      <c r="Z213" s="4">
        <v>100000</v>
      </c>
      <c r="AA213" s="4">
        <v>10000</v>
      </c>
      <c r="AB213">
        <v>0</v>
      </c>
      <c r="AC213">
        <v>0</v>
      </c>
      <c r="AD213">
        <v>0</v>
      </c>
      <c r="AG213">
        <v>0</v>
      </c>
      <c r="AP213" t="s">
        <v>1195</v>
      </c>
      <c r="AQ213" t="s">
        <v>107</v>
      </c>
      <c r="AR213" t="s">
        <v>6638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C213" t="s">
        <v>69</v>
      </c>
      <c r="BD213" t="s">
        <v>1196</v>
      </c>
      <c r="BE213">
        <v>0</v>
      </c>
      <c r="BG213" t="s">
        <v>107</v>
      </c>
      <c r="BJ213" t="s">
        <v>1197</v>
      </c>
    </row>
    <row r="214" spans="1:62" x14ac:dyDescent="0.35">
      <c r="A214" t="s">
        <v>1198</v>
      </c>
      <c r="B214">
        <v>10000</v>
      </c>
      <c r="C214">
        <v>20000</v>
      </c>
      <c r="D214" s="2">
        <v>45727</v>
      </c>
      <c r="E214" t="s">
        <v>61</v>
      </c>
      <c r="F214" t="s">
        <v>1199</v>
      </c>
      <c r="G214" t="s">
        <v>1181</v>
      </c>
      <c r="I214">
        <v>2</v>
      </c>
      <c r="J214" t="s">
        <v>63</v>
      </c>
      <c r="K214" s="8">
        <v>77</v>
      </c>
      <c r="L214" s="8" t="s">
        <v>6584</v>
      </c>
      <c r="M214" s="8" t="s">
        <v>6627</v>
      </c>
      <c r="N214" t="s">
        <v>127</v>
      </c>
      <c r="O214" t="s">
        <v>6567</v>
      </c>
      <c r="P214" s="4">
        <v>1250</v>
      </c>
      <c r="Q214">
        <f t="shared" si="56"/>
        <v>65.833333333333329</v>
      </c>
      <c r="R214">
        <f t="shared" si="57"/>
        <v>1.0972222222222221</v>
      </c>
      <c r="S214" s="2">
        <v>45721</v>
      </c>
      <c r="U214">
        <v>88</v>
      </c>
      <c r="V214" s="4">
        <v>110000</v>
      </c>
      <c r="W214" t="s">
        <v>65</v>
      </c>
      <c r="X214" t="s">
        <v>1200</v>
      </c>
      <c r="Y214">
        <v>0</v>
      </c>
      <c r="Z214" s="4">
        <v>100000</v>
      </c>
      <c r="AA214" s="4">
        <v>10000</v>
      </c>
      <c r="AB214">
        <v>0</v>
      </c>
      <c r="AC214">
        <v>0</v>
      </c>
      <c r="AD214">
        <v>0</v>
      </c>
      <c r="AG214">
        <v>0</v>
      </c>
      <c r="AP214" t="s">
        <v>1201</v>
      </c>
      <c r="AQ214" t="s">
        <v>107</v>
      </c>
      <c r="AR214" t="s">
        <v>6638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C214" t="s">
        <v>69</v>
      </c>
      <c r="BD214" t="s">
        <v>1202</v>
      </c>
      <c r="BE214">
        <v>0</v>
      </c>
      <c r="BG214" t="s">
        <v>107</v>
      </c>
      <c r="BJ214" t="s">
        <v>1203</v>
      </c>
    </row>
    <row r="215" spans="1:62" x14ac:dyDescent="0.35">
      <c r="A215" t="s">
        <v>1204</v>
      </c>
      <c r="B215">
        <v>10000</v>
      </c>
      <c r="C215">
        <v>20000</v>
      </c>
      <c r="D215" s="2">
        <v>45727</v>
      </c>
      <c r="E215" t="s">
        <v>61</v>
      </c>
      <c r="F215" t="s">
        <v>1205</v>
      </c>
      <c r="G215" t="s">
        <v>1181</v>
      </c>
      <c r="I215">
        <v>2</v>
      </c>
      <c r="J215" t="s">
        <v>63</v>
      </c>
      <c r="K215" s="8">
        <v>77</v>
      </c>
      <c r="L215" s="8" t="s">
        <v>6584</v>
      </c>
      <c r="M215" s="8" t="s">
        <v>6627</v>
      </c>
      <c r="N215" t="s">
        <v>127</v>
      </c>
      <c r="O215" t="s">
        <v>6567</v>
      </c>
      <c r="P215" s="4">
        <v>1250</v>
      </c>
      <c r="Q215">
        <f t="shared" si="56"/>
        <v>65.833333333333329</v>
      </c>
      <c r="R215">
        <f t="shared" si="57"/>
        <v>1.0972222222222221</v>
      </c>
      <c r="S215" s="2">
        <v>45721</v>
      </c>
      <c r="U215">
        <v>88</v>
      </c>
      <c r="V215" s="4">
        <v>110000</v>
      </c>
      <c r="W215" t="s">
        <v>65</v>
      </c>
      <c r="X215" t="s">
        <v>1206</v>
      </c>
      <c r="Y215">
        <v>0</v>
      </c>
      <c r="Z215" s="4">
        <v>100000</v>
      </c>
      <c r="AA215" s="4">
        <v>10000</v>
      </c>
      <c r="AB215">
        <v>0</v>
      </c>
      <c r="AC215">
        <v>0</v>
      </c>
      <c r="AD215">
        <v>0</v>
      </c>
      <c r="AG215">
        <v>0</v>
      </c>
      <c r="AP215" t="s">
        <v>1207</v>
      </c>
      <c r="AQ215" t="s">
        <v>107</v>
      </c>
      <c r="AR215" t="s">
        <v>6638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C215" t="s">
        <v>69</v>
      </c>
      <c r="BD215" t="s">
        <v>1208</v>
      </c>
      <c r="BE215">
        <v>0</v>
      </c>
      <c r="BG215" t="s">
        <v>107</v>
      </c>
      <c r="BJ215" t="s">
        <v>1209</v>
      </c>
    </row>
    <row r="216" spans="1:62" x14ac:dyDescent="0.35">
      <c r="A216" t="s">
        <v>1210</v>
      </c>
      <c r="B216">
        <v>10000</v>
      </c>
      <c r="C216">
        <v>20000</v>
      </c>
      <c r="D216" s="2">
        <v>45727</v>
      </c>
      <c r="E216" t="s">
        <v>61</v>
      </c>
      <c r="F216" t="s">
        <v>1211</v>
      </c>
      <c r="G216" t="s">
        <v>1181</v>
      </c>
      <c r="I216">
        <v>2</v>
      </c>
      <c r="J216" t="s">
        <v>63</v>
      </c>
      <c r="K216" s="8">
        <v>77</v>
      </c>
      <c r="L216" s="8" t="s">
        <v>6584</v>
      </c>
      <c r="M216" s="8" t="s">
        <v>6627</v>
      </c>
      <c r="N216" t="s">
        <v>127</v>
      </c>
      <c r="O216" t="s">
        <v>6567</v>
      </c>
      <c r="P216" s="4">
        <v>1250</v>
      </c>
      <c r="Q216">
        <f t="shared" si="56"/>
        <v>65.833333333333329</v>
      </c>
      <c r="R216">
        <f t="shared" si="57"/>
        <v>1.0972222222222221</v>
      </c>
      <c r="S216" s="2">
        <v>45721</v>
      </c>
      <c r="U216">
        <v>88</v>
      </c>
      <c r="V216" s="4">
        <v>110000</v>
      </c>
      <c r="W216" t="s">
        <v>65</v>
      </c>
      <c r="X216" t="s">
        <v>1212</v>
      </c>
      <c r="Y216">
        <v>0</v>
      </c>
      <c r="Z216" s="4">
        <v>100000</v>
      </c>
      <c r="AA216" s="4">
        <v>10000</v>
      </c>
      <c r="AB216">
        <v>0</v>
      </c>
      <c r="AC216">
        <v>0</v>
      </c>
      <c r="AD216">
        <v>0</v>
      </c>
      <c r="AG216">
        <v>0</v>
      </c>
      <c r="AP216" t="s">
        <v>1213</v>
      </c>
      <c r="AQ216" t="s">
        <v>107</v>
      </c>
      <c r="AR216" t="s">
        <v>6638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C216" t="s">
        <v>69</v>
      </c>
      <c r="BD216" t="s">
        <v>1214</v>
      </c>
      <c r="BE216">
        <v>0</v>
      </c>
      <c r="BG216" t="s">
        <v>107</v>
      </c>
      <c r="BJ216" t="s">
        <v>1215</v>
      </c>
    </row>
    <row r="217" spans="1:62" x14ac:dyDescent="0.35">
      <c r="A217" t="s">
        <v>1216</v>
      </c>
      <c r="B217">
        <v>10000</v>
      </c>
      <c r="C217">
        <v>20000</v>
      </c>
      <c r="D217" s="2">
        <v>45727</v>
      </c>
      <c r="E217" t="s">
        <v>61</v>
      </c>
      <c r="F217" t="s">
        <v>1217</v>
      </c>
      <c r="G217" t="s">
        <v>1181</v>
      </c>
      <c r="I217">
        <v>2</v>
      </c>
      <c r="J217" t="s">
        <v>63</v>
      </c>
      <c r="K217" s="8">
        <v>77</v>
      </c>
      <c r="L217" s="8" t="s">
        <v>6584</v>
      </c>
      <c r="M217" s="8" t="s">
        <v>6627</v>
      </c>
      <c r="N217" t="s">
        <v>127</v>
      </c>
      <c r="O217" t="s">
        <v>6567</v>
      </c>
      <c r="P217" s="4">
        <v>1250</v>
      </c>
      <c r="Q217">
        <f t="shared" si="56"/>
        <v>65.833333333333329</v>
      </c>
      <c r="R217">
        <f t="shared" si="57"/>
        <v>1.0972222222222221</v>
      </c>
      <c r="S217" s="2">
        <v>45721</v>
      </c>
      <c r="U217">
        <v>88</v>
      </c>
      <c r="V217" s="4">
        <v>110000</v>
      </c>
      <c r="W217" t="s">
        <v>65</v>
      </c>
      <c r="X217" t="s">
        <v>1218</v>
      </c>
      <c r="Y217">
        <v>0</v>
      </c>
      <c r="Z217" s="4">
        <v>100000</v>
      </c>
      <c r="AA217" s="4">
        <v>10000</v>
      </c>
      <c r="AB217">
        <v>0</v>
      </c>
      <c r="AC217">
        <v>0</v>
      </c>
      <c r="AD217">
        <v>0</v>
      </c>
      <c r="AG217">
        <v>0</v>
      </c>
      <c r="AP217" t="s">
        <v>1219</v>
      </c>
      <c r="AQ217" t="s">
        <v>107</v>
      </c>
      <c r="AR217" t="s">
        <v>6638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C217" t="s">
        <v>69</v>
      </c>
      <c r="BD217" t="s">
        <v>1220</v>
      </c>
      <c r="BE217">
        <v>0</v>
      </c>
      <c r="BG217" t="s">
        <v>107</v>
      </c>
      <c r="BJ217" t="s">
        <v>1221</v>
      </c>
    </row>
    <row r="218" spans="1:62" x14ac:dyDescent="0.35">
      <c r="A218" t="s">
        <v>1222</v>
      </c>
      <c r="B218">
        <v>10000</v>
      </c>
      <c r="C218">
        <v>20000</v>
      </c>
      <c r="D218" s="2">
        <v>45727</v>
      </c>
      <c r="E218" t="s">
        <v>61</v>
      </c>
      <c r="F218" t="s">
        <v>1223</v>
      </c>
      <c r="G218" t="s">
        <v>1181</v>
      </c>
      <c r="I218">
        <v>2</v>
      </c>
      <c r="J218" t="s">
        <v>63</v>
      </c>
      <c r="K218" s="8">
        <v>77</v>
      </c>
      <c r="L218" s="8" t="s">
        <v>6584</v>
      </c>
      <c r="M218" s="8" t="s">
        <v>6627</v>
      </c>
      <c r="N218" t="s">
        <v>127</v>
      </c>
      <c r="O218" t="s">
        <v>6567</v>
      </c>
      <c r="P218" s="4">
        <v>2500</v>
      </c>
      <c r="Q218">
        <f t="shared" si="56"/>
        <v>86.666666666666657</v>
      </c>
      <c r="R218">
        <f t="shared" si="57"/>
        <v>1.4444444444444442</v>
      </c>
      <c r="S218" s="2">
        <v>45721</v>
      </c>
      <c r="U218">
        <v>88</v>
      </c>
      <c r="V218" s="4">
        <v>220000</v>
      </c>
      <c r="W218" t="s">
        <v>65</v>
      </c>
      <c r="X218" t="s">
        <v>1224</v>
      </c>
      <c r="Y218">
        <v>0</v>
      </c>
      <c r="Z218" s="4">
        <v>200000</v>
      </c>
      <c r="AA218" s="4">
        <v>20000</v>
      </c>
      <c r="AB218">
        <v>0</v>
      </c>
      <c r="AC218">
        <v>0</v>
      </c>
      <c r="AD218">
        <v>0</v>
      </c>
      <c r="AG218">
        <v>0</v>
      </c>
      <c r="AP218" t="s">
        <v>1225</v>
      </c>
      <c r="AQ218" t="s">
        <v>107</v>
      </c>
      <c r="AR218" t="s">
        <v>6638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C218" t="s">
        <v>69</v>
      </c>
      <c r="BD218" t="s">
        <v>1226</v>
      </c>
      <c r="BE218">
        <v>0</v>
      </c>
      <c r="BG218" t="s">
        <v>107</v>
      </c>
      <c r="BJ218" t="s">
        <v>1227</v>
      </c>
    </row>
    <row r="219" spans="1:62" x14ac:dyDescent="0.35">
      <c r="A219" t="s">
        <v>1228</v>
      </c>
      <c r="B219">
        <v>10000</v>
      </c>
      <c r="C219">
        <v>10000</v>
      </c>
      <c r="D219" s="2">
        <v>45722</v>
      </c>
      <c r="E219" t="s">
        <v>61</v>
      </c>
      <c r="F219" t="s">
        <v>1229</v>
      </c>
      <c r="G219" t="s">
        <v>458</v>
      </c>
      <c r="I219">
        <v>1</v>
      </c>
      <c r="J219" t="s">
        <v>63</v>
      </c>
      <c r="K219" s="8">
        <v>75</v>
      </c>
      <c r="L219" s="8" t="s">
        <v>6602</v>
      </c>
      <c r="M219" s="8" t="s">
        <v>6630</v>
      </c>
      <c r="N219" t="s">
        <v>154</v>
      </c>
      <c r="O219" t="s">
        <v>6575</v>
      </c>
      <c r="P219" s="4">
        <v>18462</v>
      </c>
      <c r="Q219">
        <f>(P219/20)+45</f>
        <v>968.1</v>
      </c>
      <c r="R219">
        <f>Q219/60</f>
        <v>16.135000000000002</v>
      </c>
      <c r="S219" s="2">
        <v>45721</v>
      </c>
      <c r="U219">
        <v>13</v>
      </c>
      <c r="V219" s="4">
        <v>240006</v>
      </c>
      <c r="W219" t="s">
        <v>65</v>
      </c>
      <c r="X219" t="s">
        <v>460</v>
      </c>
      <c r="Y219">
        <v>0</v>
      </c>
      <c r="Z219" s="4">
        <v>240000</v>
      </c>
      <c r="AA219">
        <v>6</v>
      </c>
      <c r="AB219">
        <v>0</v>
      </c>
      <c r="AC219">
        <v>0</v>
      </c>
      <c r="AD219">
        <v>0</v>
      </c>
      <c r="AG219">
        <v>0</v>
      </c>
      <c r="AP219" t="s">
        <v>461</v>
      </c>
      <c r="AQ219" t="s">
        <v>175</v>
      </c>
      <c r="AR219" t="s">
        <v>6642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C219" t="s">
        <v>69</v>
      </c>
      <c r="BD219" t="s">
        <v>1230</v>
      </c>
      <c r="BE219">
        <v>0</v>
      </c>
      <c r="BG219" t="s">
        <v>175</v>
      </c>
      <c r="BJ219" t="s">
        <v>1231</v>
      </c>
    </row>
    <row r="220" spans="1:62" x14ac:dyDescent="0.35">
      <c r="A220" t="s">
        <v>1232</v>
      </c>
      <c r="B220">
        <v>10000</v>
      </c>
      <c r="C220">
        <v>10000</v>
      </c>
      <c r="D220" s="2">
        <v>45722</v>
      </c>
      <c r="E220" t="s">
        <v>61</v>
      </c>
      <c r="F220" t="s">
        <v>1103</v>
      </c>
      <c r="G220" t="s">
        <v>1126</v>
      </c>
      <c r="I220">
        <v>1</v>
      </c>
      <c r="J220" t="s">
        <v>63</v>
      </c>
      <c r="K220" s="8">
        <v>22</v>
      </c>
      <c r="L220" s="8" t="s">
        <v>6603</v>
      </c>
      <c r="M220" s="8" t="s">
        <v>6629</v>
      </c>
      <c r="N220" t="s">
        <v>466</v>
      </c>
      <c r="O220" t="s">
        <v>6474</v>
      </c>
      <c r="P220" s="4">
        <v>3500</v>
      </c>
      <c r="Q220">
        <f>(P220/50)+45</f>
        <v>115</v>
      </c>
      <c r="R220">
        <f>Q220/60</f>
        <v>1.9166666666666667</v>
      </c>
      <c r="S220" s="2">
        <v>45721</v>
      </c>
      <c r="U220">
        <v>2</v>
      </c>
      <c r="V220" s="4">
        <v>7000</v>
      </c>
      <c r="W220" t="s">
        <v>65</v>
      </c>
      <c r="X220" t="s">
        <v>1233</v>
      </c>
      <c r="Y220">
        <v>0</v>
      </c>
      <c r="Z220" s="4">
        <v>7000</v>
      </c>
      <c r="AA220">
        <v>0</v>
      </c>
      <c r="AB220">
        <v>0</v>
      </c>
      <c r="AC220">
        <v>0</v>
      </c>
      <c r="AD220">
        <v>0</v>
      </c>
      <c r="AG220">
        <v>0</v>
      </c>
      <c r="AP220" t="s">
        <v>1234</v>
      </c>
      <c r="AQ220" t="s">
        <v>116</v>
      </c>
      <c r="AR220" t="s">
        <v>6639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C220" t="s">
        <v>69</v>
      </c>
      <c r="BD220" t="s">
        <v>1235</v>
      </c>
      <c r="BE220">
        <v>0</v>
      </c>
      <c r="BG220" t="s">
        <v>116</v>
      </c>
      <c r="BJ220" t="s">
        <v>470</v>
      </c>
    </row>
    <row r="221" spans="1:62" x14ac:dyDescent="0.35">
      <c r="A221" t="s">
        <v>1236</v>
      </c>
      <c r="B221">
        <v>10000</v>
      </c>
      <c r="C221">
        <v>20000</v>
      </c>
      <c r="D221" s="2">
        <v>45722</v>
      </c>
      <c r="E221" t="s">
        <v>61</v>
      </c>
      <c r="F221" t="s">
        <v>1237</v>
      </c>
      <c r="G221" t="s">
        <v>1238</v>
      </c>
      <c r="I221">
        <v>2</v>
      </c>
      <c r="J221" t="s">
        <v>63</v>
      </c>
      <c r="K221" s="8">
        <v>92</v>
      </c>
      <c r="L221" s="8" t="s">
        <v>6614</v>
      </c>
      <c r="M221" s="8" t="s">
        <v>6633</v>
      </c>
      <c r="N221" t="s">
        <v>424</v>
      </c>
      <c r="O221" t="s">
        <v>6570</v>
      </c>
      <c r="P221" s="4">
        <v>1100</v>
      </c>
      <c r="S221" s="2">
        <v>45721</v>
      </c>
      <c r="U221">
        <v>1</v>
      </c>
      <c r="V221" s="4">
        <v>1100</v>
      </c>
      <c r="W221" t="s">
        <v>65</v>
      </c>
      <c r="X221" t="s">
        <v>1239</v>
      </c>
      <c r="Y221">
        <v>0</v>
      </c>
      <c r="Z221" s="4">
        <v>1000</v>
      </c>
      <c r="AA221">
        <v>100</v>
      </c>
      <c r="AB221">
        <v>0</v>
      </c>
      <c r="AC221">
        <v>0</v>
      </c>
      <c r="AD221">
        <v>0</v>
      </c>
      <c r="AG221">
        <v>0</v>
      </c>
      <c r="AP221" t="s">
        <v>1240</v>
      </c>
      <c r="AQ221" t="s">
        <v>1241</v>
      </c>
      <c r="AR221" t="s">
        <v>6673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C221" t="s">
        <v>69</v>
      </c>
      <c r="BD221" t="s">
        <v>1242</v>
      </c>
      <c r="BE221">
        <v>0</v>
      </c>
      <c r="BG221" t="s">
        <v>1241</v>
      </c>
      <c r="BJ221" t="s">
        <v>1243</v>
      </c>
    </row>
    <row r="222" spans="1:62" x14ac:dyDescent="0.35">
      <c r="A222" t="s">
        <v>1244</v>
      </c>
      <c r="B222">
        <v>10000</v>
      </c>
      <c r="C222">
        <v>10000</v>
      </c>
      <c r="D222" s="2">
        <v>45726</v>
      </c>
      <c r="E222" t="s">
        <v>61</v>
      </c>
      <c r="F222" t="s">
        <v>1245</v>
      </c>
      <c r="G222" t="s">
        <v>1246</v>
      </c>
      <c r="I222">
        <v>1</v>
      </c>
      <c r="J222" t="s">
        <v>63</v>
      </c>
      <c r="K222" s="8">
        <v>93</v>
      </c>
      <c r="L222" s="8" t="s">
        <v>6611</v>
      </c>
      <c r="M222" s="8" t="s">
        <v>6631</v>
      </c>
      <c r="N222" t="s">
        <v>900</v>
      </c>
      <c r="O222" t="s">
        <v>6553</v>
      </c>
      <c r="P222" s="4">
        <v>1000</v>
      </c>
      <c r="Q222">
        <f t="shared" ref="Q222:Q225" si="58">(P222/20)+30</f>
        <v>80</v>
      </c>
      <c r="R222">
        <f t="shared" ref="R222:R225" si="59">Q222/60</f>
        <v>1.3333333333333333</v>
      </c>
      <c r="S222" s="2">
        <v>45721</v>
      </c>
      <c r="U222">
        <v>20</v>
      </c>
      <c r="V222" s="4">
        <v>20000</v>
      </c>
      <c r="W222" t="s">
        <v>65</v>
      </c>
      <c r="X222" t="s">
        <v>1247</v>
      </c>
      <c r="Y222">
        <v>0</v>
      </c>
      <c r="Z222" s="4">
        <v>20000</v>
      </c>
      <c r="AA222">
        <v>0</v>
      </c>
      <c r="AB222">
        <v>0</v>
      </c>
      <c r="AC222">
        <v>0</v>
      </c>
      <c r="AD222">
        <v>0</v>
      </c>
      <c r="AG222">
        <v>0</v>
      </c>
      <c r="AP222" t="s">
        <v>1248</v>
      </c>
      <c r="AQ222" t="s">
        <v>107</v>
      </c>
      <c r="AR222" t="s">
        <v>6638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C222" t="s">
        <v>69</v>
      </c>
      <c r="BD222" t="s">
        <v>1249</v>
      </c>
      <c r="BE222">
        <v>0</v>
      </c>
      <c r="BG222" t="s">
        <v>107</v>
      </c>
      <c r="BJ222" t="s">
        <v>1250</v>
      </c>
    </row>
    <row r="223" spans="1:62" x14ac:dyDescent="0.35">
      <c r="A223" t="s">
        <v>1244</v>
      </c>
      <c r="B223">
        <v>20000</v>
      </c>
      <c r="C223">
        <v>10000</v>
      </c>
      <c r="D223" s="2">
        <v>45726</v>
      </c>
      <c r="E223" t="s">
        <v>61</v>
      </c>
      <c r="F223" t="s">
        <v>1245</v>
      </c>
      <c r="G223" t="s">
        <v>1246</v>
      </c>
      <c r="I223">
        <v>1</v>
      </c>
      <c r="J223" t="s">
        <v>63</v>
      </c>
      <c r="K223" s="8">
        <v>93</v>
      </c>
      <c r="L223" s="8" t="s">
        <v>6611</v>
      </c>
      <c r="M223" s="8" t="s">
        <v>6631</v>
      </c>
      <c r="N223" t="s">
        <v>900</v>
      </c>
      <c r="O223" t="s">
        <v>6553</v>
      </c>
      <c r="P223" s="4">
        <v>1000</v>
      </c>
      <c r="Q223">
        <f t="shared" si="58"/>
        <v>80</v>
      </c>
      <c r="R223">
        <f t="shared" si="59"/>
        <v>1.3333333333333333</v>
      </c>
      <c r="S223" s="2">
        <v>45721</v>
      </c>
      <c r="U223">
        <v>20</v>
      </c>
      <c r="V223" s="4">
        <v>20000</v>
      </c>
      <c r="W223" t="s">
        <v>65</v>
      </c>
      <c r="X223" t="s">
        <v>1247</v>
      </c>
      <c r="Y223">
        <v>0</v>
      </c>
      <c r="Z223" s="4">
        <v>20000</v>
      </c>
      <c r="AA223">
        <v>0</v>
      </c>
      <c r="AB223">
        <v>0</v>
      </c>
      <c r="AC223">
        <v>0</v>
      </c>
      <c r="AD223">
        <v>0</v>
      </c>
      <c r="AG223">
        <v>0</v>
      </c>
      <c r="AP223" t="s">
        <v>1248</v>
      </c>
      <c r="AQ223" t="s">
        <v>107</v>
      </c>
      <c r="AR223" t="s">
        <v>6638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C223" t="s">
        <v>69</v>
      </c>
      <c r="BD223" t="s">
        <v>1249</v>
      </c>
      <c r="BE223">
        <v>0</v>
      </c>
      <c r="BG223" t="s">
        <v>107</v>
      </c>
      <c r="BJ223" t="s">
        <v>1250</v>
      </c>
    </row>
    <row r="224" spans="1:62" x14ac:dyDescent="0.35">
      <c r="A224" t="s">
        <v>1251</v>
      </c>
      <c r="B224">
        <v>10000</v>
      </c>
      <c r="C224">
        <v>10000</v>
      </c>
      <c r="D224" s="2">
        <v>45726</v>
      </c>
      <c r="E224" t="s">
        <v>61</v>
      </c>
      <c r="F224" t="s">
        <v>1245</v>
      </c>
      <c r="G224" t="s">
        <v>1246</v>
      </c>
      <c r="I224">
        <v>1</v>
      </c>
      <c r="J224" t="s">
        <v>63</v>
      </c>
      <c r="K224" s="8">
        <v>93</v>
      </c>
      <c r="L224" s="8" t="s">
        <v>6611</v>
      </c>
      <c r="M224" s="8" t="s">
        <v>6631</v>
      </c>
      <c r="N224" t="s">
        <v>900</v>
      </c>
      <c r="O224" t="s">
        <v>6553</v>
      </c>
      <c r="P224">
        <v>250</v>
      </c>
      <c r="Q224">
        <f t="shared" si="58"/>
        <v>42.5</v>
      </c>
      <c r="R224">
        <f t="shared" si="59"/>
        <v>0.70833333333333337</v>
      </c>
      <c r="S224" s="2">
        <v>45721</v>
      </c>
      <c r="U224">
        <v>20</v>
      </c>
      <c r="V224" s="4">
        <v>5000</v>
      </c>
      <c r="W224" t="s">
        <v>65</v>
      </c>
      <c r="X224" t="s">
        <v>1247</v>
      </c>
      <c r="Y224">
        <v>0</v>
      </c>
      <c r="Z224" s="4">
        <v>5000</v>
      </c>
      <c r="AA224">
        <v>0</v>
      </c>
      <c r="AB224">
        <v>0</v>
      </c>
      <c r="AC224">
        <v>0</v>
      </c>
      <c r="AD224">
        <v>0</v>
      </c>
      <c r="AG224">
        <v>0</v>
      </c>
      <c r="AP224" t="s">
        <v>1252</v>
      </c>
      <c r="AQ224" t="s">
        <v>1253</v>
      </c>
      <c r="AR224" t="s">
        <v>6636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C224" t="s">
        <v>69</v>
      </c>
      <c r="BD224" t="s">
        <v>1254</v>
      </c>
      <c r="BE224">
        <v>0</v>
      </c>
      <c r="BG224" t="s">
        <v>1253</v>
      </c>
      <c r="BJ224" t="s">
        <v>1255</v>
      </c>
    </row>
    <row r="225" spans="1:62" x14ac:dyDescent="0.35">
      <c r="A225" t="s">
        <v>1251</v>
      </c>
      <c r="B225">
        <v>20000</v>
      </c>
      <c r="C225">
        <v>10000</v>
      </c>
      <c r="D225" s="2">
        <v>45726</v>
      </c>
      <c r="E225" t="s">
        <v>61</v>
      </c>
      <c r="F225" t="s">
        <v>1245</v>
      </c>
      <c r="G225" t="s">
        <v>1246</v>
      </c>
      <c r="I225">
        <v>1</v>
      </c>
      <c r="J225" t="s">
        <v>63</v>
      </c>
      <c r="K225" s="8">
        <v>93</v>
      </c>
      <c r="L225" s="8" t="s">
        <v>6611</v>
      </c>
      <c r="M225" s="8" t="s">
        <v>6631</v>
      </c>
      <c r="N225" t="s">
        <v>900</v>
      </c>
      <c r="O225" t="s">
        <v>6553</v>
      </c>
      <c r="P225">
        <v>250</v>
      </c>
      <c r="Q225">
        <f t="shared" si="58"/>
        <v>42.5</v>
      </c>
      <c r="R225">
        <f t="shared" si="59"/>
        <v>0.70833333333333337</v>
      </c>
      <c r="S225" s="2">
        <v>45721</v>
      </c>
      <c r="U225">
        <v>20</v>
      </c>
      <c r="V225" s="4">
        <v>5000</v>
      </c>
      <c r="W225" t="s">
        <v>65</v>
      </c>
      <c r="X225" t="s">
        <v>1247</v>
      </c>
      <c r="Y225">
        <v>0</v>
      </c>
      <c r="Z225" s="4">
        <v>5000</v>
      </c>
      <c r="AA225">
        <v>0</v>
      </c>
      <c r="AB225">
        <v>0</v>
      </c>
      <c r="AC225">
        <v>0</v>
      </c>
      <c r="AD225">
        <v>0</v>
      </c>
      <c r="AG225">
        <v>0</v>
      </c>
      <c r="AP225" t="s">
        <v>1252</v>
      </c>
      <c r="AQ225" t="s">
        <v>1253</v>
      </c>
      <c r="AR225" t="s">
        <v>6636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C225" t="s">
        <v>69</v>
      </c>
      <c r="BD225" t="s">
        <v>1254</v>
      </c>
      <c r="BE225">
        <v>0</v>
      </c>
      <c r="BG225" t="s">
        <v>1253</v>
      </c>
      <c r="BJ225" t="s">
        <v>1255</v>
      </c>
    </row>
    <row r="226" spans="1:62" x14ac:dyDescent="0.35">
      <c r="A226" t="s">
        <v>1256</v>
      </c>
      <c r="B226">
        <v>10000</v>
      </c>
      <c r="C226">
        <v>10000</v>
      </c>
      <c r="D226" s="2">
        <v>45723</v>
      </c>
      <c r="E226" t="s">
        <v>61</v>
      </c>
      <c r="F226" t="s">
        <v>1257</v>
      </c>
      <c r="G226" t="s">
        <v>1258</v>
      </c>
      <c r="I226">
        <v>1</v>
      </c>
      <c r="J226" t="s">
        <v>63</v>
      </c>
      <c r="K226" s="8">
        <v>70</v>
      </c>
      <c r="L226" s="8" t="s">
        <v>6605</v>
      </c>
      <c r="M226" s="8" t="s">
        <v>6630</v>
      </c>
      <c r="N226" t="s">
        <v>795</v>
      </c>
      <c r="O226" t="s">
        <v>6508</v>
      </c>
      <c r="P226" s="4">
        <v>22500</v>
      </c>
      <c r="Q226">
        <f>(P226/40)+45</f>
        <v>607.5</v>
      </c>
      <c r="R226">
        <f>Q226/60</f>
        <v>10.125</v>
      </c>
      <c r="S226" s="2">
        <v>45721</v>
      </c>
      <c r="U226">
        <v>4</v>
      </c>
      <c r="V226" s="4">
        <v>90000</v>
      </c>
      <c r="W226" t="s">
        <v>65</v>
      </c>
      <c r="X226" t="s">
        <v>1259</v>
      </c>
      <c r="Y226">
        <v>0</v>
      </c>
      <c r="Z226" s="4">
        <v>90000</v>
      </c>
      <c r="AA226">
        <v>0</v>
      </c>
      <c r="AB226">
        <v>0</v>
      </c>
      <c r="AC226">
        <v>0</v>
      </c>
      <c r="AD226">
        <v>0</v>
      </c>
      <c r="AG226">
        <v>0</v>
      </c>
      <c r="AP226" t="s">
        <v>1260</v>
      </c>
      <c r="AQ226" t="s">
        <v>157</v>
      </c>
      <c r="AR226" t="s">
        <v>6640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C226" t="s">
        <v>69</v>
      </c>
      <c r="BD226" t="s">
        <v>1261</v>
      </c>
      <c r="BE226">
        <v>0</v>
      </c>
      <c r="BG226" t="s">
        <v>157</v>
      </c>
      <c r="BJ226" t="s">
        <v>1262</v>
      </c>
    </row>
    <row r="227" spans="1:62" x14ac:dyDescent="0.35">
      <c r="A227" t="s">
        <v>874</v>
      </c>
      <c r="B227">
        <v>10000</v>
      </c>
      <c r="C227">
        <v>20000</v>
      </c>
      <c r="D227" s="2">
        <v>45722</v>
      </c>
      <c r="E227" t="s">
        <v>61</v>
      </c>
      <c r="F227" t="s">
        <v>875</v>
      </c>
      <c r="G227">
        <v>501222196</v>
      </c>
      <c r="I227">
        <v>3</v>
      </c>
      <c r="J227" t="s">
        <v>63</v>
      </c>
      <c r="K227" s="8">
        <v>60</v>
      </c>
      <c r="L227" s="8" t="s">
        <v>6590</v>
      </c>
      <c r="M227" s="8" t="s">
        <v>6630</v>
      </c>
      <c r="N227" t="s">
        <v>277</v>
      </c>
      <c r="O227" t="s">
        <v>6554</v>
      </c>
      <c r="P227" s="4">
        <v>10000</v>
      </c>
      <c r="Q227">
        <f>(P227/50)+45</f>
        <v>245</v>
      </c>
      <c r="R227">
        <f>Q227/60</f>
        <v>4.083333333333333</v>
      </c>
      <c r="S227" s="2">
        <v>45721</v>
      </c>
      <c r="U227">
        <v>5</v>
      </c>
      <c r="V227" s="4">
        <v>50000</v>
      </c>
      <c r="W227" t="s">
        <v>65</v>
      </c>
      <c r="X227" t="s">
        <v>876</v>
      </c>
      <c r="Y227">
        <v>0</v>
      </c>
      <c r="Z227" s="4">
        <v>40000</v>
      </c>
      <c r="AA227" s="4">
        <v>10000</v>
      </c>
      <c r="AB227">
        <v>0</v>
      </c>
      <c r="AC227">
        <v>0</v>
      </c>
      <c r="AD227">
        <v>0</v>
      </c>
      <c r="AG227">
        <v>0</v>
      </c>
      <c r="AP227" t="s">
        <v>877</v>
      </c>
      <c r="AQ227" t="s">
        <v>878</v>
      </c>
      <c r="AR227" t="s">
        <v>6665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C227" t="s">
        <v>69</v>
      </c>
      <c r="BD227" t="s">
        <v>879</v>
      </c>
      <c r="BE227">
        <v>0</v>
      </c>
      <c r="BG227" t="s">
        <v>878</v>
      </c>
      <c r="BJ227" t="s">
        <v>880</v>
      </c>
    </row>
    <row r="228" spans="1:62" x14ac:dyDescent="0.35">
      <c r="A228" t="s">
        <v>1263</v>
      </c>
      <c r="B228">
        <v>10000</v>
      </c>
      <c r="C228">
        <v>10000</v>
      </c>
      <c r="D228" s="2">
        <v>45722</v>
      </c>
      <c r="E228" t="s">
        <v>61</v>
      </c>
      <c r="F228" s="3">
        <v>0.53646990740740741</v>
      </c>
      <c r="G228" t="s">
        <v>1264</v>
      </c>
      <c r="I228">
        <v>1</v>
      </c>
      <c r="J228" t="s">
        <v>63</v>
      </c>
      <c r="K228" s="8">
        <v>78</v>
      </c>
      <c r="L228" s="8" t="s">
        <v>6593</v>
      </c>
      <c r="M228" s="8" t="s">
        <v>6629</v>
      </c>
      <c r="N228" t="s">
        <v>188</v>
      </c>
      <c r="O228" t="s">
        <v>6410</v>
      </c>
      <c r="P228">
        <v>500</v>
      </c>
      <c r="Q228">
        <f t="shared" ref="Q228:Q231" si="60">(P228/40)+45</f>
        <v>57.5</v>
      </c>
      <c r="R228">
        <f t="shared" ref="R228:R231" si="61">Q228/60</f>
        <v>0.95833333333333337</v>
      </c>
      <c r="S228" s="2">
        <v>45721</v>
      </c>
      <c r="U228">
        <v>1</v>
      </c>
      <c r="V228">
        <v>500</v>
      </c>
      <c r="W228" t="s">
        <v>65</v>
      </c>
      <c r="X228" t="s">
        <v>1265</v>
      </c>
      <c r="Y228">
        <v>0</v>
      </c>
      <c r="Z228">
        <v>500</v>
      </c>
      <c r="AA228">
        <v>0</v>
      </c>
      <c r="AB228">
        <v>0</v>
      </c>
      <c r="AC228">
        <v>0</v>
      </c>
      <c r="AD228">
        <v>0</v>
      </c>
      <c r="AG228">
        <v>0</v>
      </c>
      <c r="AP228" t="s">
        <v>1266</v>
      </c>
      <c r="AQ228" t="s">
        <v>1267</v>
      </c>
      <c r="AR228" t="s">
        <v>6674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C228" t="s">
        <v>69</v>
      </c>
      <c r="BD228" t="s">
        <v>1268</v>
      </c>
      <c r="BE228">
        <v>0</v>
      </c>
      <c r="BG228" t="s">
        <v>1267</v>
      </c>
      <c r="BJ228" t="s">
        <v>1269</v>
      </c>
    </row>
    <row r="229" spans="1:62" x14ac:dyDescent="0.35">
      <c r="A229" t="s">
        <v>1263</v>
      </c>
      <c r="B229">
        <v>20000</v>
      </c>
      <c r="C229">
        <v>10000</v>
      </c>
      <c r="D229" s="2">
        <v>45722</v>
      </c>
      <c r="E229" t="s">
        <v>61</v>
      </c>
      <c r="F229" s="3">
        <v>0.53646990740740741</v>
      </c>
      <c r="G229" t="s">
        <v>1264</v>
      </c>
      <c r="I229">
        <v>1</v>
      </c>
      <c r="J229" t="s">
        <v>63</v>
      </c>
      <c r="K229" s="8">
        <v>78</v>
      </c>
      <c r="L229" s="8" t="s">
        <v>6593</v>
      </c>
      <c r="M229" s="8" t="s">
        <v>6629</v>
      </c>
      <c r="N229" t="s">
        <v>188</v>
      </c>
      <c r="O229" t="s">
        <v>6410</v>
      </c>
      <c r="P229">
        <v>500</v>
      </c>
      <c r="Q229">
        <f t="shared" si="60"/>
        <v>57.5</v>
      </c>
      <c r="R229">
        <f t="shared" si="61"/>
        <v>0.95833333333333337</v>
      </c>
      <c r="S229" s="2">
        <v>45721</v>
      </c>
      <c r="U229">
        <v>1</v>
      </c>
      <c r="V229">
        <v>500</v>
      </c>
      <c r="W229" t="s">
        <v>65</v>
      </c>
      <c r="X229" t="s">
        <v>1265</v>
      </c>
      <c r="Y229">
        <v>0</v>
      </c>
      <c r="Z229">
        <v>500</v>
      </c>
      <c r="AA229">
        <v>0</v>
      </c>
      <c r="AB229">
        <v>0</v>
      </c>
      <c r="AC229">
        <v>0</v>
      </c>
      <c r="AD229">
        <v>0</v>
      </c>
      <c r="AG229">
        <v>0</v>
      </c>
      <c r="AP229" t="s">
        <v>1266</v>
      </c>
      <c r="AQ229" t="s">
        <v>1267</v>
      </c>
      <c r="AR229" t="s">
        <v>6674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C229" t="s">
        <v>69</v>
      </c>
      <c r="BD229" t="s">
        <v>1268</v>
      </c>
      <c r="BE229">
        <v>0</v>
      </c>
      <c r="BG229" t="s">
        <v>1267</v>
      </c>
      <c r="BJ229" t="s">
        <v>1269</v>
      </c>
    </row>
    <row r="230" spans="1:62" x14ac:dyDescent="0.35">
      <c r="A230" t="s">
        <v>1263</v>
      </c>
      <c r="B230">
        <v>30000</v>
      </c>
      <c r="C230">
        <v>10000</v>
      </c>
      <c r="D230" s="2">
        <v>45722</v>
      </c>
      <c r="E230" t="s">
        <v>61</v>
      </c>
      <c r="F230" s="3">
        <v>0.53646990740740741</v>
      </c>
      <c r="G230" t="s">
        <v>1264</v>
      </c>
      <c r="I230">
        <v>1</v>
      </c>
      <c r="J230" t="s">
        <v>63</v>
      </c>
      <c r="K230" s="8">
        <v>78</v>
      </c>
      <c r="L230" s="8" t="s">
        <v>6593</v>
      </c>
      <c r="M230" s="8" t="s">
        <v>6629</v>
      </c>
      <c r="N230" t="s">
        <v>188</v>
      </c>
      <c r="O230" t="s">
        <v>6410</v>
      </c>
      <c r="P230">
        <v>500</v>
      </c>
      <c r="Q230">
        <f t="shared" si="60"/>
        <v>57.5</v>
      </c>
      <c r="R230">
        <f t="shared" si="61"/>
        <v>0.95833333333333337</v>
      </c>
      <c r="S230" s="2">
        <v>45721</v>
      </c>
      <c r="U230">
        <v>1</v>
      </c>
      <c r="V230">
        <v>500</v>
      </c>
      <c r="W230" t="s">
        <v>65</v>
      </c>
      <c r="X230" t="s">
        <v>1265</v>
      </c>
      <c r="Y230">
        <v>0</v>
      </c>
      <c r="Z230">
        <v>500</v>
      </c>
      <c r="AA230">
        <v>0</v>
      </c>
      <c r="AB230">
        <v>0</v>
      </c>
      <c r="AC230">
        <v>0</v>
      </c>
      <c r="AD230">
        <v>0</v>
      </c>
      <c r="AG230">
        <v>0</v>
      </c>
      <c r="AP230" t="s">
        <v>1266</v>
      </c>
      <c r="AQ230" t="s">
        <v>1267</v>
      </c>
      <c r="AR230" t="s">
        <v>6674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C230" t="s">
        <v>69</v>
      </c>
      <c r="BD230" t="s">
        <v>1268</v>
      </c>
      <c r="BE230">
        <v>0</v>
      </c>
      <c r="BG230" t="s">
        <v>1267</v>
      </c>
      <c r="BJ230" t="s">
        <v>1269</v>
      </c>
    </row>
    <row r="231" spans="1:62" x14ac:dyDescent="0.35">
      <c r="A231" t="s">
        <v>1263</v>
      </c>
      <c r="B231">
        <v>40000</v>
      </c>
      <c r="C231">
        <v>10000</v>
      </c>
      <c r="D231" s="2">
        <v>45722</v>
      </c>
      <c r="E231" t="s">
        <v>61</v>
      </c>
      <c r="F231" s="3">
        <v>0.53646990740740741</v>
      </c>
      <c r="G231" t="s">
        <v>1264</v>
      </c>
      <c r="I231">
        <v>1</v>
      </c>
      <c r="J231" t="s">
        <v>63</v>
      </c>
      <c r="K231" s="8">
        <v>78</v>
      </c>
      <c r="L231" s="8" t="s">
        <v>6593</v>
      </c>
      <c r="M231" s="8" t="s">
        <v>6629</v>
      </c>
      <c r="N231" t="s">
        <v>188</v>
      </c>
      <c r="O231" t="s">
        <v>6410</v>
      </c>
      <c r="P231">
        <v>500</v>
      </c>
      <c r="Q231">
        <f t="shared" si="60"/>
        <v>57.5</v>
      </c>
      <c r="R231">
        <f t="shared" si="61"/>
        <v>0.95833333333333337</v>
      </c>
      <c r="S231" s="2">
        <v>45721</v>
      </c>
      <c r="U231">
        <v>1</v>
      </c>
      <c r="V231">
        <v>500</v>
      </c>
      <c r="W231" t="s">
        <v>65</v>
      </c>
      <c r="X231" t="s">
        <v>1265</v>
      </c>
      <c r="Y231">
        <v>0</v>
      </c>
      <c r="Z231">
        <v>500</v>
      </c>
      <c r="AA231">
        <v>0</v>
      </c>
      <c r="AB231">
        <v>0</v>
      </c>
      <c r="AC231">
        <v>0</v>
      </c>
      <c r="AD231">
        <v>0</v>
      </c>
      <c r="AG231">
        <v>0</v>
      </c>
      <c r="AP231" t="s">
        <v>1266</v>
      </c>
      <c r="AQ231" t="s">
        <v>1267</v>
      </c>
      <c r="AR231" t="s">
        <v>6674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C231" t="s">
        <v>69</v>
      </c>
      <c r="BD231" t="s">
        <v>1268</v>
      </c>
      <c r="BE231">
        <v>0</v>
      </c>
      <c r="BG231" t="s">
        <v>1267</v>
      </c>
      <c r="BJ231" t="s">
        <v>1269</v>
      </c>
    </row>
    <row r="232" spans="1:62" x14ac:dyDescent="0.35">
      <c r="A232" t="s">
        <v>897</v>
      </c>
      <c r="B232">
        <v>10000</v>
      </c>
      <c r="C232">
        <v>20000</v>
      </c>
      <c r="D232" s="2">
        <v>45721</v>
      </c>
      <c r="E232" t="s">
        <v>61</v>
      </c>
      <c r="F232" t="s">
        <v>898</v>
      </c>
      <c r="G232" t="s">
        <v>899</v>
      </c>
      <c r="I232">
        <v>2</v>
      </c>
      <c r="J232" t="s">
        <v>63</v>
      </c>
      <c r="K232" s="8">
        <v>71</v>
      </c>
      <c r="L232" s="8" t="s">
        <v>6588</v>
      </c>
      <c r="M232" s="8" t="s">
        <v>6630</v>
      </c>
      <c r="N232" t="s">
        <v>135</v>
      </c>
      <c r="O232" t="s">
        <v>6573</v>
      </c>
      <c r="P232" s="4">
        <v>1167</v>
      </c>
      <c r="S232" s="2">
        <v>45721</v>
      </c>
      <c r="U232">
        <v>90</v>
      </c>
      <c r="V232" s="4">
        <v>105030</v>
      </c>
      <c r="W232" t="s">
        <v>65</v>
      </c>
      <c r="X232" t="s">
        <v>901</v>
      </c>
      <c r="Y232">
        <v>0</v>
      </c>
      <c r="Z232" s="4">
        <v>105000</v>
      </c>
      <c r="AA232">
        <v>30</v>
      </c>
      <c r="AB232">
        <v>0</v>
      </c>
      <c r="AC232">
        <v>0</v>
      </c>
      <c r="AD232">
        <v>0</v>
      </c>
      <c r="AG232">
        <v>0</v>
      </c>
      <c r="AP232" t="s">
        <v>902</v>
      </c>
      <c r="AQ232" t="s">
        <v>903</v>
      </c>
      <c r="AR232" t="s">
        <v>6666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C232" t="s">
        <v>69</v>
      </c>
      <c r="BD232" t="s">
        <v>904</v>
      </c>
      <c r="BE232">
        <v>0</v>
      </c>
      <c r="BG232" t="s">
        <v>903</v>
      </c>
      <c r="BJ232" t="s">
        <v>905</v>
      </c>
    </row>
    <row r="233" spans="1:62" x14ac:dyDescent="0.35">
      <c r="A233" t="s">
        <v>1270</v>
      </c>
      <c r="B233">
        <v>10000</v>
      </c>
      <c r="C233">
        <v>20000</v>
      </c>
      <c r="D233" s="2">
        <v>45722</v>
      </c>
      <c r="E233" t="s">
        <v>61</v>
      </c>
      <c r="F233" t="s">
        <v>1271</v>
      </c>
      <c r="G233" t="s">
        <v>1272</v>
      </c>
      <c r="I233">
        <v>2</v>
      </c>
      <c r="J233" t="s">
        <v>63</v>
      </c>
      <c r="K233" s="8">
        <v>105</v>
      </c>
      <c r="L233" s="8" t="s">
        <v>6612</v>
      </c>
      <c r="M233" s="8" t="s">
        <v>6632</v>
      </c>
      <c r="N233" t="s">
        <v>424</v>
      </c>
      <c r="O233" t="s">
        <v>6570</v>
      </c>
      <c r="P233">
        <v>100</v>
      </c>
      <c r="S233" s="2">
        <v>45721</v>
      </c>
      <c r="U233">
        <v>1</v>
      </c>
      <c r="V233">
        <v>100</v>
      </c>
      <c r="W233" t="s">
        <v>65</v>
      </c>
      <c r="X233" t="s">
        <v>1273</v>
      </c>
      <c r="Y233">
        <v>0</v>
      </c>
      <c r="Z233">
        <v>50</v>
      </c>
      <c r="AA233">
        <v>50</v>
      </c>
      <c r="AB233">
        <v>0</v>
      </c>
      <c r="AC233">
        <v>0</v>
      </c>
      <c r="AD233">
        <v>0</v>
      </c>
      <c r="AG233">
        <v>0</v>
      </c>
      <c r="AP233" t="s">
        <v>1274</v>
      </c>
      <c r="AQ233" t="s">
        <v>1275</v>
      </c>
      <c r="AR233" t="s">
        <v>6675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C233" t="s">
        <v>69</v>
      </c>
      <c r="BD233" t="s">
        <v>1276</v>
      </c>
      <c r="BE233">
        <v>0</v>
      </c>
      <c r="BG233" t="s">
        <v>1275</v>
      </c>
      <c r="BJ233" t="s">
        <v>1277</v>
      </c>
    </row>
    <row r="234" spans="1:62" x14ac:dyDescent="0.35">
      <c r="A234" t="s">
        <v>1278</v>
      </c>
      <c r="B234">
        <v>10000</v>
      </c>
      <c r="C234">
        <v>10000</v>
      </c>
      <c r="D234" s="2">
        <v>45722</v>
      </c>
      <c r="E234" t="s">
        <v>61</v>
      </c>
      <c r="F234" t="s">
        <v>1279</v>
      </c>
      <c r="G234">
        <v>501222196</v>
      </c>
      <c r="I234">
        <v>1</v>
      </c>
      <c r="J234" t="s">
        <v>63</v>
      </c>
      <c r="K234" s="8">
        <v>72</v>
      </c>
      <c r="L234" s="8" t="s">
        <v>6606</v>
      </c>
      <c r="M234" s="8" t="s">
        <v>6631</v>
      </c>
      <c r="N234" t="s">
        <v>163</v>
      </c>
      <c r="O234" t="s">
        <v>6548</v>
      </c>
      <c r="P234" s="4">
        <v>1182</v>
      </c>
      <c r="S234" s="2">
        <v>45721</v>
      </c>
      <c r="U234">
        <v>3</v>
      </c>
      <c r="V234" s="4">
        <v>3545</v>
      </c>
      <c r="W234" t="s">
        <v>65</v>
      </c>
      <c r="X234" t="s">
        <v>1280</v>
      </c>
      <c r="Y234">
        <v>0</v>
      </c>
      <c r="Z234" s="4">
        <v>2020</v>
      </c>
      <c r="AA234" s="4">
        <v>1525</v>
      </c>
      <c r="AB234">
        <v>0</v>
      </c>
      <c r="AC234">
        <v>0</v>
      </c>
      <c r="AD234">
        <v>0</v>
      </c>
      <c r="AG234">
        <v>0</v>
      </c>
      <c r="AP234" t="s">
        <v>1281</v>
      </c>
      <c r="AQ234" t="s">
        <v>1282</v>
      </c>
      <c r="AR234" t="s">
        <v>6676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C234" t="s">
        <v>69</v>
      </c>
      <c r="BD234" t="s">
        <v>1283</v>
      </c>
      <c r="BE234">
        <v>0</v>
      </c>
      <c r="BG234" t="s">
        <v>1282</v>
      </c>
      <c r="BJ234" t="s">
        <v>1284</v>
      </c>
    </row>
    <row r="235" spans="1:62" x14ac:dyDescent="0.35">
      <c r="A235" t="s">
        <v>1278</v>
      </c>
      <c r="B235">
        <v>20000</v>
      </c>
      <c r="C235">
        <v>10000</v>
      </c>
      <c r="D235" s="2">
        <v>45722</v>
      </c>
      <c r="E235" t="s">
        <v>61</v>
      </c>
      <c r="F235" t="s">
        <v>1279</v>
      </c>
      <c r="G235">
        <v>501222196</v>
      </c>
      <c r="I235">
        <v>1</v>
      </c>
      <c r="J235" t="s">
        <v>63</v>
      </c>
      <c r="K235" s="8">
        <v>72</v>
      </c>
      <c r="L235" s="8" t="s">
        <v>6606</v>
      </c>
      <c r="M235" s="8" t="s">
        <v>6631</v>
      </c>
      <c r="N235" t="s">
        <v>163</v>
      </c>
      <c r="O235" t="s">
        <v>6548</v>
      </c>
      <c r="P235">
        <v>68</v>
      </c>
      <c r="S235" s="2">
        <v>45721</v>
      </c>
      <c r="U235">
        <v>3</v>
      </c>
      <c r="V235">
        <v>205</v>
      </c>
      <c r="W235" t="s">
        <v>65</v>
      </c>
      <c r="X235" t="s">
        <v>1280</v>
      </c>
      <c r="Y235">
        <v>0</v>
      </c>
      <c r="Z235">
        <v>205</v>
      </c>
      <c r="AA235">
        <v>0</v>
      </c>
      <c r="AB235">
        <v>0</v>
      </c>
      <c r="AC235">
        <v>0</v>
      </c>
      <c r="AD235">
        <v>0</v>
      </c>
      <c r="AG235">
        <v>0</v>
      </c>
      <c r="AP235" t="s">
        <v>1281</v>
      </c>
      <c r="AQ235" t="s">
        <v>1282</v>
      </c>
      <c r="AR235" t="s">
        <v>6676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C235" t="s">
        <v>69</v>
      </c>
      <c r="BD235" t="s">
        <v>1283</v>
      </c>
      <c r="BE235">
        <v>0</v>
      </c>
      <c r="BG235" t="s">
        <v>1282</v>
      </c>
      <c r="BJ235" t="s">
        <v>1284</v>
      </c>
    </row>
    <row r="236" spans="1:62" x14ac:dyDescent="0.35">
      <c r="A236" t="s">
        <v>1285</v>
      </c>
      <c r="B236">
        <v>10000</v>
      </c>
      <c r="C236">
        <v>10000</v>
      </c>
      <c r="D236" s="2">
        <v>45722</v>
      </c>
      <c r="E236" t="s">
        <v>61</v>
      </c>
      <c r="F236" t="s">
        <v>551</v>
      </c>
      <c r="G236" t="s">
        <v>1286</v>
      </c>
      <c r="I236">
        <v>1</v>
      </c>
      <c r="J236" t="s">
        <v>63</v>
      </c>
      <c r="K236" s="8">
        <v>32</v>
      </c>
      <c r="L236" s="8" t="s">
        <v>6607</v>
      </c>
      <c r="M236" s="8" t="s">
        <v>6629</v>
      </c>
      <c r="N236" t="s">
        <v>553</v>
      </c>
      <c r="O236" t="s">
        <v>6552</v>
      </c>
      <c r="P236" s="4">
        <v>5860</v>
      </c>
      <c r="S236" s="2">
        <v>45721</v>
      </c>
      <c r="U236">
        <v>1</v>
      </c>
      <c r="V236" s="4">
        <v>5860</v>
      </c>
      <c r="W236" t="s">
        <v>65</v>
      </c>
      <c r="X236" t="s">
        <v>554</v>
      </c>
      <c r="Y236">
        <v>0</v>
      </c>
      <c r="Z236" s="4">
        <v>5360</v>
      </c>
      <c r="AA236">
        <v>500</v>
      </c>
      <c r="AB236">
        <v>0</v>
      </c>
      <c r="AC236">
        <v>0</v>
      </c>
      <c r="AD236">
        <v>0</v>
      </c>
      <c r="AG236">
        <v>0</v>
      </c>
      <c r="AP236" t="s">
        <v>555</v>
      </c>
      <c r="AQ236" t="s">
        <v>116</v>
      </c>
      <c r="AR236" t="s">
        <v>6639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C236" t="s">
        <v>69</v>
      </c>
      <c r="BD236" t="s">
        <v>1287</v>
      </c>
      <c r="BE236">
        <v>0</v>
      </c>
      <c r="BG236" t="s">
        <v>116</v>
      </c>
      <c r="BJ236" t="s">
        <v>1288</v>
      </c>
    </row>
    <row r="237" spans="1:62" x14ac:dyDescent="0.35">
      <c r="A237" t="s">
        <v>1289</v>
      </c>
      <c r="B237">
        <v>10000</v>
      </c>
      <c r="C237">
        <v>10000</v>
      </c>
      <c r="D237" s="2">
        <v>45722</v>
      </c>
      <c r="E237" t="s">
        <v>61</v>
      </c>
      <c r="F237" t="s">
        <v>551</v>
      </c>
      <c r="G237" t="s">
        <v>1286</v>
      </c>
      <c r="I237">
        <v>1</v>
      </c>
      <c r="J237" t="s">
        <v>63</v>
      </c>
      <c r="K237" s="8">
        <v>32</v>
      </c>
      <c r="L237" s="8" t="s">
        <v>6607</v>
      </c>
      <c r="M237" s="8" t="s">
        <v>6629</v>
      </c>
      <c r="N237" t="s">
        <v>553</v>
      </c>
      <c r="O237" t="s">
        <v>6552</v>
      </c>
      <c r="P237" s="4">
        <v>5860</v>
      </c>
      <c r="S237" s="2">
        <v>45721</v>
      </c>
      <c r="U237">
        <v>1</v>
      </c>
      <c r="V237" s="4">
        <v>5860</v>
      </c>
      <c r="W237" t="s">
        <v>65</v>
      </c>
      <c r="X237" t="s">
        <v>554</v>
      </c>
      <c r="Y237">
        <v>0</v>
      </c>
      <c r="Z237" s="4">
        <v>5360</v>
      </c>
      <c r="AA237">
        <v>500</v>
      </c>
      <c r="AB237">
        <v>0</v>
      </c>
      <c r="AC237">
        <v>0</v>
      </c>
      <c r="AD237">
        <v>0</v>
      </c>
      <c r="AG237">
        <v>0</v>
      </c>
      <c r="AP237" t="s">
        <v>555</v>
      </c>
      <c r="AQ237" t="s">
        <v>116</v>
      </c>
      <c r="AR237" t="s">
        <v>6639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BC237" t="s">
        <v>69</v>
      </c>
      <c r="BD237" t="s">
        <v>1290</v>
      </c>
      <c r="BE237">
        <v>0</v>
      </c>
      <c r="BG237" t="s">
        <v>116</v>
      </c>
      <c r="BJ237" t="s">
        <v>1291</v>
      </c>
    </row>
    <row r="238" spans="1:62" x14ac:dyDescent="0.35">
      <c r="A238" t="s">
        <v>1292</v>
      </c>
      <c r="B238">
        <v>10000</v>
      </c>
      <c r="C238">
        <v>10000</v>
      </c>
      <c r="D238" s="2">
        <v>45723</v>
      </c>
      <c r="E238" t="s">
        <v>61</v>
      </c>
      <c r="F238" s="3">
        <v>0.47401620370370373</v>
      </c>
      <c r="G238" t="s">
        <v>1293</v>
      </c>
      <c r="I238">
        <v>1</v>
      </c>
      <c r="J238" t="s">
        <v>63</v>
      </c>
      <c r="K238" s="8">
        <v>72</v>
      </c>
      <c r="L238" s="8" t="s">
        <v>6606</v>
      </c>
      <c r="M238" s="8" t="s">
        <v>6631</v>
      </c>
      <c r="N238" t="s">
        <v>163</v>
      </c>
      <c r="O238" t="s">
        <v>6548</v>
      </c>
      <c r="P238" s="4">
        <v>5920</v>
      </c>
      <c r="S238" s="2">
        <v>45721</v>
      </c>
      <c r="U238">
        <v>3</v>
      </c>
      <c r="V238" s="4">
        <v>17760</v>
      </c>
      <c r="W238" t="s">
        <v>65</v>
      </c>
      <c r="X238" t="s">
        <v>1294</v>
      </c>
      <c r="Y238">
        <v>0</v>
      </c>
      <c r="Z238" s="4">
        <v>15520</v>
      </c>
      <c r="AA238" s="4">
        <v>2240</v>
      </c>
      <c r="AB238">
        <v>0</v>
      </c>
      <c r="AC238">
        <v>0</v>
      </c>
      <c r="AD238">
        <v>0</v>
      </c>
      <c r="AG238">
        <v>0</v>
      </c>
      <c r="AP238" t="s">
        <v>1295</v>
      </c>
      <c r="AQ238" t="s">
        <v>1282</v>
      </c>
      <c r="AR238" t="s">
        <v>6676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C238" t="s">
        <v>69</v>
      </c>
      <c r="BD238" t="s">
        <v>1296</v>
      </c>
      <c r="BE238">
        <v>0</v>
      </c>
      <c r="BG238" t="s">
        <v>1282</v>
      </c>
      <c r="BJ238" t="s">
        <v>1297</v>
      </c>
    </row>
    <row r="239" spans="1:62" x14ac:dyDescent="0.35">
      <c r="A239" t="s">
        <v>1292</v>
      </c>
      <c r="B239">
        <v>20000</v>
      </c>
      <c r="C239">
        <v>10000</v>
      </c>
      <c r="D239" s="2">
        <v>45723</v>
      </c>
      <c r="E239" t="s">
        <v>61</v>
      </c>
      <c r="F239" s="3">
        <v>0.47401620370370373</v>
      </c>
      <c r="G239" t="s">
        <v>1293</v>
      </c>
      <c r="I239">
        <v>1</v>
      </c>
      <c r="J239" t="s">
        <v>63</v>
      </c>
      <c r="K239" s="8">
        <v>72</v>
      </c>
      <c r="L239" s="8" t="s">
        <v>6606</v>
      </c>
      <c r="M239" s="8" t="s">
        <v>6631</v>
      </c>
      <c r="N239" t="s">
        <v>163</v>
      </c>
      <c r="O239" t="s">
        <v>6548</v>
      </c>
      <c r="P239">
        <v>430</v>
      </c>
      <c r="S239" s="2">
        <v>45721</v>
      </c>
      <c r="U239">
        <v>3</v>
      </c>
      <c r="V239" s="4">
        <v>1290</v>
      </c>
      <c r="W239" t="s">
        <v>65</v>
      </c>
      <c r="X239" t="s">
        <v>1294</v>
      </c>
      <c r="Y239">
        <v>0</v>
      </c>
      <c r="Z239" s="4">
        <v>1290</v>
      </c>
      <c r="AA239">
        <v>0</v>
      </c>
      <c r="AB239">
        <v>0</v>
      </c>
      <c r="AC239">
        <v>0</v>
      </c>
      <c r="AD239">
        <v>0</v>
      </c>
      <c r="AG239">
        <v>0</v>
      </c>
      <c r="AP239" t="s">
        <v>1295</v>
      </c>
      <c r="AQ239" t="s">
        <v>1282</v>
      </c>
      <c r="AR239" t="s">
        <v>6676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BC239" t="s">
        <v>69</v>
      </c>
      <c r="BD239" t="s">
        <v>1296</v>
      </c>
      <c r="BE239">
        <v>0</v>
      </c>
      <c r="BG239" t="s">
        <v>1282</v>
      </c>
      <c r="BJ239" t="s">
        <v>1297</v>
      </c>
    </row>
    <row r="240" spans="1:62" x14ac:dyDescent="0.35">
      <c r="A240" t="s">
        <v>1298</v>
      </c>
      <c r="B240">
        <v>10000</v>
      </c>
      <c r="C240">
        <v>10000</v>
      </c>
      <c r="D240" s="2">
        <v>45722</v>
      </c>
      <c r="E240" t="s">
        <v>61</v>
      </c>
      <c r="F240" t="s">
        <v>1299</v>
      </c>
      <c r="G240" t="s">
        <v>1293</v>
      </c>
      <c r="I240">
        <v>1</v>
      </c>
      <c r="J240" t="s">
        <v>63</v>
      </c>
      <c r="K240" s="8">
        <v>72</v>
      </c>
      <c r="L240" s="8" t="s">
        <v>6606</v>
      </c>
      <c r="M240" s="8" t="s">
        <v>6631</v>
      </c>
      <c r="N240" t="s">
        <v>163</v>
      </c>
      <c r="O240" t="s">
        <v>6548</v>
      </c>
      <c r="P240" s="4">
        <v>2410</v>
      </c>
      <c r="S240" s="2">
        <v>45721</v>
      </c>
      <c r="U240">
        <v>3</v>
      </c>
      <c r="V240" s="4">
        <v>7230</v>
      </c>
      <c r="W240" t="s">
        <v>65</v>
      </c>
      <c r="X240" t="s">
        <v>1300</v>
      </c>
      <c r="Y240">
        <v>0</v>
      </c>
      <c r="Z240" s="4">
        <v>5180</v>
      </c>
      <c r="AA240" s="4">
        <v>2050</v>
      </c>
      <c r="AB240">
        <v>0</v>
      </c>
      <c r="AC240">
        <v>0</v>
      </c>
      <c r="AD240">
        <v>0</v>
      </c>
      <c r="AG240">
        <v>0</v>
      </c>
      <c r="AP240" t="s">
        <v>1301</v>
      </c>
      <c r="AQ240" t="s">
        <v>1282</v>
      </c>
      <c r="AR240" t="s">
        <v>6676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C240" t="s">
        <v>69</v>
      </c>
      <c r="BD240" t="s">
        <v>1302</v>
      </c>
      <c r="BE240">
        <v>0</v>
      </c>
      <c r="BG240" t="s">
        <v>1282</v>
      </c>
      <c r="BJ240" t="s">
        <v>1297</v>
      </c>
    </row>
    <row r="241" spans="1:62" x14ac:dyDescent="0.35">
      <c r="A241" t="s">
        <v>1298</v>
      </c>
      <c r="B241">
        <v>20000</v>
      </c>
      <c r="C241">
        <v>10000</v>
      </c>
      <c r="D241" s="2">
        <v>45722</v>
      </c>
      <c r="E241" t="s">
        <v>61</v>
      </c>
      <c r="F241" t="s">
        <v>1299</v>
      </c>
      <c r="G241" t="s">
        <v>1293</v>
      </c>
      <c r="I241">
        <v>1</v>
      </c>
      <c r="J241" t="s">
        <v>63</v>
      </c>
      <c r="K241" s="8">
        <v>72</v>
      </c>
      <c r="L241" s="8" t="s">
        <v>6606</v>
      </c>
      <c r="M241" s="8" t="s">
        <v>6631</v>
      </c>
      <c r="N241" t="s">
        <v>163</v>
      </c>
      <c r="O241" t="s">
        <v>6548</v>
      </c>
      <c r="P241">
        <v>90</v>
      </c>
      <c r="S241" s="2">
        <v>45721</v>
      </c>
      <c r="U241">
        <v>3</v>
      </c>
      <c r="V241">
        <v>270</v>
      </c>
      <c r="W241" t="s">
        <v>65</v>
      </c>
      <c r="X241" t="s">
        <v>1300</v>
      </c>
      <c r="Y241">
        <v>0</v>
      </c>
      <c r="Z241">
        <v>270</v>
      </c>
      <c r="AA241">
        <v>0</v>
      </c>
      <c r="AB241">
        <v>0</v>
      </c>
      <c r="AC241">
        <v>0</v>
      </c>
      <c r="AD241">
        <v>0</v>
      </c>
      <c r="AG241">
        <v>0</v>
      </c>
      <c r="AP241" t="s">
        <v>1301</v>
      </c>
      <c r="AQ241" t="s">
        <v>1282</v>
      </c>
      <c r="AR241" t="s">
        <v>6676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C241" t="s">
        <v>69</v>
      </c>
      <c r="BD241" t="s">
        <v>1302</v>
      </c>
      <c r="BE241">
        <v>0</v>
      </c>
      <c r="BG241" t="s">
        <v>1282</v>
      </c>
      <c r="BJ241" t="s">
        <v>1297</v>
      </c>
    </row>
    <row r="242" spans="1:62" x14ac:dyDescent="0.35">
      <c r="A242" t="s">
        <v>906</v>
      </c>
      <c r="B242">
        <v>10000</v>
      </c>
      <c r="C242">
        <v>20000</v>
      </c>
      <c r="D242" s="2">
        <v>45721</v>
      </c>
      <c r="E242" t="s">
        <v>61</v>
      </c>
      <c r="F242" s="3">
        <v>0.48063657407407406</v>
      </c>
      <c r="G242">
        <v>501222196</v>
      </c>
      <c r="I242">
        <v>2</v>
      </c>
      <c r="J242" t="s">
        <v>63</v>
      </c>
      <c r="K242" s="8">
        <v>71</v>
      </c>
      <c r="L242" s="8" t="s">
        <v>6588</v>
      </c>
      <c r="M242" s="8" t="s">
        <v>6630</v>
      </c>
      <c r="N242" t="s">
        <v>135</v>
      </c>
      <c r="O242" t="s">
        <v>6573</v>
      </c>
      <c r="P242">
        <v>667</v>
      </c>
      <c r="S242" s="2">
        <v>45721</v>
      </c>
      <c r="U242">
        <v>15</v>
      </c>
      <c r="V242" s="4">
        <v>10005</v>
      </c>
      <c r="W242" t="s">
        <v>65</v>
      </c>
      <c r="X242" t="s">
        <v>907</v>
      </c>
      <c r="Y242">
        <v>0</v>
      </c>
      <c r="Z242" s="4">
        <v>10000</v>
      </c>
      <c r="AA242">
        <v>5</v>
      </c>
      <c r="AB242">
        <v>0</v>
      </c>
      <c r="AC242">
        <v>0</v>
      </c>
      <c r="AD242">
        <v>0</v>
      </c>
      <c r="AG242">
        <v>0</v>
      </c>
      <c r="AP242" t="s">
        <v>908</v>
      </c>
      <c r="AQ242" t="s">
        <v>909</v>
      </c>
      <c r="AR242" t="s">
        <v>6667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C242" t="s">
        <v>69</v>
      </c>
      <c r="BD242" t="s">
        <v>910</v>
      </c>
      <c r="BE242">
        <v>0</v>
      </c>
      <c r="BG242" t="s">
        <v>909</v>
      </c>
      <c r="BJ242" t="s">
        <v>911</v>
      </c>
    </row>
    <row r="243" spans="1:62" x14ac:dyDescent="0.35">
      <c r="A243" t="s">
        <v>1303</v>
      </c>
      <c r="B243">
        <v>10000</v>
      </c>
      <c r="C243">
        <v>20000</v>
      </c>
      <c r="D243" s="2">
        <v>45721</v>
      </c>
      <c r="E243" t="s">
        <v>61</v>
      </c>
      <c r="F243" t="s">
        <v>1131</v>
      </c>
      <c r="G243" t="s">
        <v>387</v>
      </c>
      <c r="I243">
        <v>1</v>
      </c>
      <c r="J243" t="s">
        <v>63</v>
      </c>
      <c r="K243" s="8">
        <v>12</v>
      </c>
      <c r="L243" s="8" t="s">
        <v>6604</v>
      </c>
      <c r="M243" s="8" t="s">
        <v>6629</v>
      </c>
      <c r="N243" t="s">
        <v>478</v>
      </c>
      <c r="O243" t="s">
        <v>6434</v>
      </c>
      <c r="P243">
        <v>500</v>
      </c>
      <c r="Q243">
        <f>(P243/50)+45</f>
        <v>55</v>
      </c>
      <c r="R243">
        <f>Q243/60</f>
        <v>0.91666666666666663</v>
      </c>
      <c r="S243" s="2">
        <v>45721</v>
      </c>
      <c r="U243">
        <v>2</v>
      </c>
      <c r="V243" s="4">
        <v>1000</v>
      </c>
      <c r="W243" t="s">
        <v>65</v>
      </c>
      <c r="X243" t="s">
        <v>1304</v>
      </c>
      <c r="Y243">
        <v>0</v>
      </c>
      <c r="Z243" s="4">
        <v>1000</v>
      </c>
      <c r="AA243">
        <v>0</v>
      </c>
      <c r="AB243">
        <v>0</v>
      </c>
      <c r="AC243">
        <v>0</v>
      </c>
      <c r="AD243">
        <v>0</v>
      </c>
      <c r="AG243">
        <v>0</v>
      </c>
      <c r="AP243" t="s">
        <v>1305</v>
      </c>
      <c r="AQ243" t="s">
        <v>206</v>
      </c>
      <c r="AR243" t="s">
        <v>6645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C243" t="s">
        <v>69</v>
      </c>
      <c r="BD243" t="s">
        <v>1306</v>
      </c>
      <c r="BE243">
        <v>0</v>
      </c>
      <c r="BG243" t="s">
        <v>206</v>
      </c>
      <c r="BJ243" t="s">
        <v>1307</v>
      </c>
    </row>
    <row r="244" spans="1:62" x14ac:dyDescent="0.35">
      <c r="A244" t="s">
        <v>1308</v>
      </c>
      <c r="B244">
        <v>10000</v>
      </c>
      <c r="C244">
        <v>10000</v>
      </c>
      <c r="D244" s="2">
        <v>45722</v>
      </c>
      <c r="E244" t="s">
        <v>61</v>
      </c>
      <c r="F244" t="s">
        <v>1309</v>
      </c>
      <c r="G244" t="s">
        <v>1310</v>
      </c>
      <c r="I244">
        <v>1</v>
      </c>
      <c r="J244" t="s">
        <v>63</v>
      </c>
      <c r="K244" s="8">
        <v>31</v>
      </c>
      <c r="L244" s="8" t="s">
        <v>6595</v>
      </c>
      <c r="M244" s="8" t="s">
        <v>6629</v>
      </c>
      <c r="N244" t="s">
        <v>1311</v>
      </c>
      <c r="O244" t="s">
        <v>6491</v>
      </c>
      <c r="P244">
        <v>500</v>
      </c>
      <c r="Q244">
        <f t="shared" ref="Q244:Q247" si="62">(P244/40)+45</f>
        <v>57.5</v>
      </c>
      <c r="R244">
        <f t="shared" ref="R244:R247" si="63">Q244/60</f>
        <v>0.95833333333333337</v>
      </c>
      <c r="S244" s="2">
        <v>45721</v>
      </c>
      <c r="U244">
        <v>1</v>
      </c>
      <c r="V244">
        <v>500</v>
      </c>
      <c r="W244" t="s">
        <v>65</v>
      </c>
      <c r="X244" t="s">
        <v>1312</v>
      </c>
      <c r="Y244">
        <v>0</v>
      </c>
      <c r="Z244">
        <v>500</v>
      </c>
      <c r="AA244">
        <v>0</v>
      </c>
      <c r="AB244">
        <v>0</v>
      </c>
      <c r="AC244">
        <v>0</v>
      </c>
      <c r="AD244">
        <v>0</v>
      </c>
      <c r="AG244">
        <v>0</v>
      </c>
      <c r="AP244" t="s">
        <v>1313</v>
      </c>
      <c r="AQ244" t="s">
        <v>1314</v>
      </c>
      <c r="AR244" t="s">
        <v>6677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C244" t="s">
        <v>69</v>
      </c>
      <c r="BD244" t="s">
        <v>1315</v>
      </c>
      <c r="BE244">
        <v>0</v>
      </c>
      <c r="BG244" t="s">
        <v>1314</v>
      </c>
      <c r="BJ244" t="s">
        <v>1316</v>
      </c>
    </row>
    <row r="245" spans="1:62" x14ac:dyDescent="0.35">
      <c r="A245" t="s">
        <v>1317</v>
      </c>
      <c r="B245">
        <v>10000</v>
      </c>
      <c r="C245">
        <v>10000</v>
      </c>
      <c r="D245" s="2">
        <v>45722</v>
      </c>
      <c r="E245" t="s">
        <v>61</v>
      </c>
      <c r="F245" t="s">
        <v>1309</v>
      </c>
      <c r="G245" t="s">
        <v>1310</v>
      </c>
      <c r="I245">
        <v>1</v>
      </c>
      <c r="J245" t="s">
        <v>63</v>
      </c>
      <c r="K245" s="8">
        <v>31</v>
      </c>
      <c r="L245" s="8" t="s">
        <v>6595</v>
      </c>
      <c r="M245" s="8" t="s">
        <v>6629</v>
      </c>
      <c r="N245" t="s">
        <v>1311</v>
      </c>
      <c r="O245" t="s">
        <v>6491</v>
      </c>
      <c r="P245">
        <v>500</v>
      </c>
      <c r="Q245">
        <f t="shared" si="62"/>
        <v>57.5</v>
      </c>
      <c r="R245">
        <f t="shared" si="63"/>
        <v>0.95833333333333337</v>
      </c>
      <c r="S245" s="2">
        <v>45721</v>
      </c>
      <c r="U245">
        <v>1</v>
      </c>
      <c r="V245">
        <v>500</v>
      </c>
      <c r="W245" t="s">
        <v>65</v>
      </c>
      <c r="X245" t="s">
        <v>1318</v>
      </c>
      <c r="Y245">
        <v>0</v>
      </c>
      <c r="Z245">
        <v>500</v>
      </c>
      <c r="AA245">
        <v>0</v>
      </c>
      <c r="AB245">
        <v>0</v>
      </c>
      <c r="AC245">
        <v>0</v>
      </c>
      <c r="AD245">
        <v>0</v>
      </c>
      <c r="AG245">
        <v>0</v>
      </c>
      <c r="AP245" t="s">
        <v>1319</v>
      </c>
      <c r="AQ245" t="s">
        <v>1314</v>
      </c>
      <c r="AR245" t="s">
        <v>6677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C245" t="s">
        <v>69</v>
      </c>
      <c r="BD245" t="s">
        <v>1320</v>
      </c>
      <c r="BE245">
        <v>0</v>
      </c>
      <c r="BG245" t="s">
        <v>1314</v>
      </c>
      <c r="BJ245" t="s">
        <v>1321</v>
      </c>
    </row>
    <row r="246" spans="1:62" x14ac:dyDescent="0.35">
      <c r="A246" t="s">
        <v>1322</v>
      </c>
      <c r="B246">
        <v>10000</v>
      </c>
      <c r="C246">
        <v>10000</v>
      </c>
      <c r="D246" s="2">
        <v>45722</v>
      </c>
      <c r="E246" t="s">
        <v>61</v>
      </c>
      <c r="F246" t="s">
        <v>1323</v>
      </c>
      <c r="G246" t="s">
        <v>1310</v>
      </c>
      <c r="I246">
        <v>1</v>
      </c>
      <c r="J246" t="s">
        <v>63</v>
      </c>
      <c r="K246" s="8">
        <v>31</v>
      </c>
      <c r="L246" s="8" t="s">
        <v>6595</v>
      </c>
      <c r="M246" s="8" t="s">
        <v>6629</v>
      </c>
      <c r="N246" t="s">
        <v>1311</v>
      </c>
      <c r="O246" t="s">
        <v>6491</v>
      </c>
      <c r="P246" s="4">
        <v>1000</v>
      </c>
      <c r="Q246">
        <f t="shared" si="62"/>
        <v>70</v>
      </c>
      <c r="R246">
        <f t="shared" si="63"/>
        <v>1.1666666666666667</v>
      </c>
      <c r="S246" s="2">
        <v>45721</v>
      </c>
      <c r="U246">
        <v>1</v>
      </c>
      <c r="V246" s="4">
        <v>1000</v>
      </c>
      <c r="W246" t="s">
        <v>65</v>
      </c>
      <c r="X246" t="s">
        <v>1324</v>
      </c>
      <c r="Y246">
        <v>0</v>
      </c>
      <c r="Z246" s="4">
        <v>1000</v>
      </c>
      <c r="AA246">
        <v>0</v>
      </c>
      <c r="AB246">
        <v>0</v>
      </c>
      <c r="AC246">
        <v>0</v>
      </c>
      <c r="AD246">
        <v>0</v>
      </c>
      <c r="AG246">
        <v>0</v>
      </c>
      <c r="AP246" t="s">
        <v>1325</v>
      </c>
      <c r="AQ246" t="s">
        <v>1314</v>
      </c>
      <c r="AR246" t="s">
        <v>6677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BC246" t="s">
        <v>69</v>
      </c>
      <c r="BD246" t="s">
        <v>1326</v>
      </c>
      <c r="BE246">
        <v>0</v>
      </c>
      <c r="BG246" t="s">
        <v>1314</v>
      </c>
      <c r="BJ246" t="s">
        <v>1321</v>
      </c>
    </row>
    <row r="247" spans="1:62" x14ac:dyDescent="0.35">
      <c r="A247" t="s">
        <v>1327</v>
      </c>
      <c r="B247">
        <v>10000</v>
      </c>
      <c r="C247">
        <v>10000</v>
      </c>
      <c r="D247" s="2">
        <v>45722</v>
      </c>
      <c r="E247" t="s">
        <v>61</v>
      </c>
      <c r="F247" t="s">
        <v>1309</v>
      </c>
      <c r="G247" t="s">
        <v>1310</v>
      </c>
      <c r="I247">
        <v>1</v>
      </c>
      <c r="J247" t="s">
        <v>63</v>
      </c>
      <c r="K247" s="8">
        <v>31</v>
      </c>
      <c r="L247" s="8" t="s">
        <v>6595</v>
      </c>
      <c r="M247" s="8" t="s">
        <v>6629</v>
      </c>
      <c r="N247" t="s">
        <v>1311</v>
      </c>
      <c r="O247" t="s">
        <v>6491</v>
      </c>
      <c r="P247">
        <v>500</v>
      </c>
      <c r="Q247">
        <f t="shared" si="62"/>
        <v>57.5</v>
      </c>
      <c r="R247">
        <f t="shared" si="63"/>
        <v>0.95833333333333337</v>
      </c>
      <c r="S247" s="2">
        <v>45721</v>
      </c>
      <c r="U247">
        <v>1</v>
      </c>
      <c r="V247">
        <v>500</v>
      </c>
      <c r="W247" t="s">
        <v>65</v>
      </c>
      <c r="X247" t="s">
        <v>1328</v>
      </c>
      <c r="Y247">
        <v>0</v>
      </c>
      <c r="Z247">
        <v>500</v>
      </c>
      <c r="AA247">
        <v>0</v>
      </c>
      <c r="AB247">
        <v>0</v>
      </c>
      <c r="AC247">
        <v>0</v>
      </c>
      <c r="AD247">
        <v>0</v>
      </c>
      <c r="AG247">
        <v>0</v>
      </c>
      <c r="AP247" t="s">
        <v>1329</v>
      </c>
      <c r="AQ247" t="s">
        <v>1314</v>
      </c>
      <c r="AR247" t="s">
        <v>6677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BC247" t="s">
        <v>69</v>
      </c>
      <c r="BD247" t="s">
        <v>1330</v>
      </c>
      <c r="BE247">
        <v>0</v>
      </c>
      <c r="BG247" t="s">
        <v>1314</v>
      </c>
      <c r="BJ247" t="s">
        <v>1331</v>
      </c>
    </row>
    <row r="248" spans="1:62" x14ac:dyDescent="0.35">
      <c r="A248" t="s">
        <v>1332</v>
      </c>
      <c r="B248">
        <v>10000</v>
      </c>
      <c r="C248">
        <v>20000</v>
      </c>
      <c r="D248" s="2">
        <v>45737</v>
      </c>
      <c r="E248" t="s">
        <v>61</v>
      </c>
      <c r="F248" s="3">
        <v>0.4841435185185185</v>
      </c>
      <c r="G248" t="s">
        <v>1333</v>
      </c>
      <c r="I248">
        <v>1</v>
      </c>
      <c r="J248" t="s">
        <v>63</v>
      </c>
      <c r="K248" s="8">
        <v>79</v>
      </c>
      <c r="L248" s="8" t="s">
        <v>6608</v>
      </c>
      <c r="M248" s="8" t="s">
        <v>6631</v>
      </c>
      <c r="N248" t="s">
        <v>573</v>
      </c>
      <c r="O248" t="s">
        <v>6547</v>
      </c>
      <c r="P248" s="4">
        <v>3594</v>
      </c>
      <c r="Q248">
        <f>(P248/20)+30</f>
        <v>209.7</v>
      </c>
      <c r="R248">
        <f>Q248/60</f>
        <v>3.4949999999999997</v>
      </c>
      <c r="S248" s="2">
        <v>45721</v>
      </c>
      <c r="U248">
        <v>64</v>
      </c>
      <c r="V248" s="4">
        <v>230016</v>
      </c>
      <c r="W248" t="s">
        <v>65</v>
      </c>
      <c r="X248" t="s">
        <v>1334</v>
      </c>
      <c r="Y248">
        <v>0</v>
      </c>
      <c r="Z248" s="4">
        <v>200000</v>
      </c>
      <c r="AA248" s="4">
        <v>30016</v>
      </c>
      <c r="AB248">
        <v>0</v>
      </c>
      <c r="AC248">
        <v>0</v>
      </c>
      <c r="AD248">
        <v>0</v>
      </c>
      <c r="AG248">
        <v>0</v>
      </c>
      <c r="AP248" t="s">
        <v>1335</v>
      </c>
      <c r="AQ248" t="s">
        <v>107</v>
      </c>
      <c r="AR248" t="s">
        <v>6638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BC248" t="s">
        <v>69</v>
      </c>
      <c r="BD248" t="s">
        <v>1336</v>
      </c>
      <c r="BE248">
        <v>0</v>
      </c>
      <c r="BG248" t="s">
        <v>107</v>
      </c>
      <c r="BJ248" t="s">
        <v>1337</v>
      </c>
    </row>
    <row r="249" spans="1:62" x14ac:dyDescent="0.35">
      <c r="A249" t="s">
        <v>1338</v>
      </c>
      <c r="B249">
        <v>10000</v>
      </c>
      <c r="C249">
        <v>20000</v>
      </c>
      <c r="D249" s="2">
        <v>45727</v>
      </c>
      <c r="E249" t="s">
        <v>61</v>
      </c>
      <c r="F249" t="s">
        <v>1339</v>
      </c>
      <c r="G249" t="s">
        <v>1181</v>
      </c>
      <c r="I249">
        <v>2</v>
      </c>
      <c r="J249" t="s">
        <v>63</v>
      </c>
      <c r="K249" s="8">
        <v>77</v>
      </c>
      <c r="L249" s="8" t="s">
        <v>6584</v>
      </c>
      <c r="M249" s="8" t="s">
        <v>6627</v>
      </c>
      <c r="N249" t="s">
        <v>127</v>
      </c>
      <c r="O249" t="s">
        <v>6567</v>
      </c>
      <c r="P249" s="4">
        <v>1250</v>
      </c>
      <c r="Q249">
        <f>(P249/60)+45</f>
        <v>65.833333333333329</v>
      </c>
      <c r="R249">
        <f>Q249/60</f>
        <v>1.0972222222222221</v>
      </c>
      <c r="S249" s="2">
        <v>45721</v>
      </c>
      <c r="U249">
        <v>88</v>
      </c>
      <c r="V249" s="4">
        <v>110000</v>
      </c>
      <c r="W249" t="s">
        <v>65</v>
      </c>
      <c r="X249" t="s">
        <v>1340</v>
      </c>
      <c r="Y249">
        <v>0</v>
      </c>
      <c r="Z249" s="4">
        <v>100000</v>
      </c>
      <c r="AA249" s="4">
        <v>10000</v>
      </c>
      <c r="AB249">
        <v>0</v>
      </c>
      <c r="AC249">
        <v>0</v>
      </c>
      <c r="AD249">
        <v>0</v>
      </c>
      <c r="AG249">
        <v>0</v>
      </c>
      <c r="AP249" t="s">
        <v>1341</v>
      </c>
      <c r="AQ249" t="s">
        <v>107</v>
      </c>
      <c r="AR249" t="s">
        <v>6638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C249" t="s">
        <v>69</v>
      </c>
      <c r="BD249" t="s">
        <v>1342</v>
      </c>
      <c r="BE249">
        <v>0</v>
      </c>
      <c r="BG249" t="s">
        <v>107</v>
      </c>
      <c r="BJ249" t="s">
        <v>1343</v>
      </c>
    </row>
    <row r="250" spans="1:62" x14ac:dyDescent="0.35">
      <c r="A250" t="s">
        <v>1344</v>
      </c>
      <c r="B250">
        <v>10000</v>
      </c>
      <c r="C250">
        <v>10000</v>
      </c>
      <c r="D250" s="2">
        <v>45734</v>
      </c>
      <c r="E250" t="s">
        <v>61</v>
      </c>
      <c r="F250" t="s">
        <v>1345</v>
      </c>
      <c r="G250" t="s">
        <v>1346</v>
      </c>
      <c r="I250">
        <v>1</v>
      </c>
      <c r="J250" t="s">
        <v>63</v>
      </c>
      <c r="K250" s="8">
        <v>79</v>
      </c>
      <c r="L250" s="8" t="s">
        <v>6608</v>
      </c>
      <c r="M250" s="8" t="s">
        <v>6631</v>
      </c>
      <c r="N250" t="s">
        <v>573</v>
      </c>
      <c r="O250" t="s">
        <v>6547</v>
      </c>
      <c r="P250" s="4">
        <v>3594</v>
      </c>
      <c r="Q250">
        <f>(P250/20)+30</f>
        <v>209.7</v>
      </c>
      <c r="R250">
        <f>Q250/60</f>
        <v>3.4949999999999997</v>
      </c>
      <c r="S250" s="2">
        <v>45721</v>
      </c>
      <c r="U250">
        <v>64</v>
      </c>
      <c r="V250" s="4">
        <v>230016</v>
      </c>
      <c r="W250" t="s">
        <v>65</v>
      </c>
      <c r="X250" t="s">
        <v>1347</v>
      </c>
      <c r="Y250">
        <v>0</v>
      </c>
      <c r="Z250" s="4">
        <v>200000</v>
      </c>
      <c r="AA250" s="4">
        <v>30016</v>
      </c>
      <c r="AB250">
        <v>0</v>
      </c>
      <c r="AC250">
        <v>0</v>
      </c>
      <c r="AD250">
        <v>0</v>
      </c>
      <c r="AG250">
        <v>0</v>
      </c>
      <c r="AP250" t="s">
        <v>1348</v>
      </c>
      <c r="AQ250" t="s">
        <v>107</v>
      </c>
      <c r="AR250" t="s">
        <v>6638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BC250" t="s">
        <v>69</v>
      </c>
      <c r="BD250" t="s">
        <v>1349</v>
      </c>
      <c r="BE250">
        <v>0</v>
      </c>
      <c r="BG250" t="s">
        <v>107</v>
      </c>
      <c r="BJ250" t="s">
        <v>1350</v>
      </c>
    </row>
    <row r="251" spans="1:62" x14ac:dyDescent="0.35">
      <c r="A251" t="s">
        <v>1351</v>
      </c>
      <c r="B251">
        <v>10000</v>
      </c>
      <c r="C251">
        <v>20000</v>
      </c>
      <c r="D251" s="2">
        <v>45726</v>
      </c>
      <c r="E251" t="s">
        <v>61</v>
      </c>
      <c r="F251" s="3">
        <v>0.48101851851851851</v>
      </c>
      <c r="G251">
        <v>10639931011</v>
      </c>
      <c r="I251">
        <v>2</v>
      </c>
      <c r="J251" t="s">
        <v>63</v>
      </c>
      <c r="K251" s="8">
        <v>77</v>
      </c>
      <c r="L251" s="8" t="s">
        <v>6584</v>
      </c>
      <c r="M251" s="8" t="s">
        <v>6627</v>
      </c>
      <c r="N251" t="s">
        <v>127</v>
      </c>
      <c r="O251" t="s">
        <v>6567</v>
      </c>
      <c r="P251" s="4">
        <v>1364</v>
      </c>
      <c r="Q251">
        <f t="shared" ref="Q251:Q252" si="64">(P251/60)+45</f>
        <v>67.733333333333334</v>
      </c>
      <c r="R251">
        <f t="shared" ref="R251:R252" si="65">Q251/60</f>
        <v>1.1288888888888888</v>
      </c>
      <c r="S251" s="2">
        <v>45721</v>
      </c>
      <c r="U251">
        <v>66</v>
      </c>
      <c r="V251" s="4">
        <v>90024</v>
      </c>
      <c r="W251" t="s">
        <v>65</v>
      </c>
      <c r="X251" t="s">
        <v>1352</v>
      </c>
      <c r="Y251">
        <v>0</v>
      </c>
      <c r="Z251" s="4">
        <v>80000</v>
      </c>
      <c r="AA251" s="4">
        <v>10024</v>
      </c>
      <c r="AB251">
        <v>0</v>
      </c>
      <c r="AC251">
        <v>0</v>
      </c>
      <c r="AD251">
        <v>0</v>
      </c>
      <c r="AG251">
        <v>0</v>
      </c>
      <c r="AP251" t="s">
        <v>1353</v>
      </c>
      <c r="AQ251" t="s">
        <v>107</v>
      </c>
      <c r="AR251" t="s">
        <v>6638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BC251" t="s">
        <v>69</v>
      </c>
      <c r="BD251" t="s">
        <v>1354</v>
      </c>
      <c r="BE251">
        <v>0</v>
      </c>
      <c r="BG251" t="s">
        <v>107</v>
      </c>
      <c r="BJ251" t="s">
        <v>1355</v>
      </c>
    </row>
    <row r="252" spans="1:62" x14ac:dyDescent="0.35">
      <c r="A252" t="s">
        <v>1356</v>
      </c>
      <c r="B252">
        <v>10000</v>
      </c>
      <c r="C252">
        <v>20000</v>
      </c>
      <c r="D252" s="2">
        <v>45727</v>
      </c>
      <c r="E252" t="s">
        <v>61</v>
      </c>
      <c r="F252" t="s">
        <v>1357</v>
      </c>
      <c r="G252" t="s">
        <v>1181</v>
      </c>
      <c r="I252">
        <v>2</v>
      </c>
      <c r="J252" t="s">
        <v>63</v>
      </c>
      <c r="K252" s="8">
        <v>77</v>
      </c>
      <c r="L252" s="8" t="s">
        <v>6584</v>
      </c>
      <c r="M252" s="8" t="s">
        <v>6627</v>
      </c>
      <c r="N252" t="s">
        <v>127</v>
      </c>
      <c r="O252" t="s">
        <v>6567</v>
      </c>
      <c r="P252" s="4">
        <v>1250</v>
      </c>
      <c r="Q252">
        <f t="shared" si="64"/>
        <v>65.833333333333329</v>
      </c>
      <c r="R252">
        <f t="shared" si="65"/>
        <v>1.0972222222222221</v>
      </c>
      <c r="S252" s="2">
        <v>45721</v>
      </c>
      <c r="U252">
        <v>88</v>
      </c>
      <c r="V252" s="4">
        <v>110000</v>
      </c>
      <c r="W252" t="s">
        <v>65</v>
      </c>
      <c r="X252" t="s">
        <v>1358</v>
      </c>
      <c r="Y252">
        <v>0</v>
      </c>
      <c r="Z252" s="4">
        <v>100000</v>
      </c>
      <c r="AA252" s="4">
        <v>10000</v>
      </c>
      <c r="AB252">
        <v>0</v>
      </c>
      <c r="AC252">
        <v>0</v>
      </c>
      <c r="AD252">
        <v>0</v>
      </c>
      <c r="AG252">
        <v>0</v>
      </c>
      <c r="AP252" t="s">
        <v>1359</v>
      </c>
      <c r="AQ252" t="s">
        <v>107</v>
      </c>
      <c r="AR252" t="s">
        <v>6638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BC252" t="s">
        <v>69</v>
      </c>
      <c r="BD252" t="s">
        <v>1360</v>
      </c>
      <c r="BE252">
        <v>0</v>
      </c>
      <c r="BG252" t="s">
        <v>107</v>
      </c>
      <c r="BJ252" t="s">
        <v>1361</v>
      </c>
    </row>
    <row r="253" spans="1:62" x14ac:dyDescent="0.35">
      <c r="A253" t="s">
        <v>1362</v>
      </c>
      <c r="B253">
        <v>10000</v>
      </c>
      <c r="C253">
        <v>10000</v>
      </c>
      <c r="D253" s="2">
        <v>45735</v>
      </c>
      <c r="E253" t="s">
        <v>95</v>
      </c>
      <c r="F253" t="s">
        <v>1363</v>
      </c>
      <c r="G253" t="s">
        <v>1364</v>
      </c>
      <c r="I253">
        <v>1</v>
      </c>
      <c r="J253" t="s">
        <v>63</v>
      </c>
      <c r="K253" s="8">
        <v>79</v>
      </c>
      <c r="L253" s="8" t="s">
        <v>6608</v>
      </c>
      <c r="M253" s="8" t="s">
        <v>6631</v>
      </c>
      <c r="N253" t="s">
        <v>573</v>
      </c>
      <c r="O253" t="s">
        <v>6547</v>
      </c>
      <c r="P253" s="4">
        <v>3594</v>
      </c>
      <c r="Q253">
        <f>(P253/20)+30</f>
        <v>209.7</v>
      </c>
      <c r="R253">
        <f>Q253/60</f>
        <v>3.4949999999999997</v>
      </c>
      <c r="S253" s="2">
        <v>45721</v>
      </c>
      <c r="U253">
        <v>32</v>
      </c>
      <c r="V253" s="4">
        <v>115008</v>
      </c>
      <c r="W253" t="s">
        <v>65</v>
      </c>
      <c r="X253" t="s">
        <v>1365</v>
      </c>
      <c r="Y253">
        <v>0</v>
      </c>
      <c r="Z253" s="4">
        <v>100000</v>
      </c>
      <c r="AA253" s="4">
        <v>15008</v>
      </c>
      <c r="AB253">
        <v>0</v>
      </c>
      <c r="AC253">
        <v>0</v>
      </c>
      <c r="AD253">
        <v>0</v>
      </c>
      <c r="AG253">
        <v>0</v>
      </c>
      <c r="AP253" t="s">
        <v>1366</v>
      </c>
      <c r="AQ253" t="s">
        <v>107</v>
      </c>
      <c r="AR253" t="s">
        <v>6638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C253" t="s">
        <v>69</v>
      </c>
      <c r="BD253" t="s">
        <v>1367</v>
      </c>
      <c r="BE253">
        <v>0</v>
      </c>
      <c r="BG253" t="s">
        <v>107</v>
      </c>
      <c r="BJ253" t="s">
        <v>1368</v>
      </c>
    </row>
    <row r="254" spans="1:62" x14ac:dyDescent="0.35">
      <c r="A254" t="s">
        <v>1369</v>
      </c>
      <c r="B254">
        <v>10000</v>
      </c>
      <c r="C254">
        <v>20000</v>
      </c>
      <c r="D254" s="2">
        <v>45721</v>
      </c>
      <c r="E254" t="s">
        <v>61</v>
      </c>
      <c r="F254" t="s">
        <v>1370</v>
      </c>
      <c r="G254">
        <v>10639931005</v>
      </c>
      <c r="I254">
        <v>2</v>
      </c>
      <c r="J254" t="s">
        <v>63</v>
      </c>
      <c r="K254" s="8">
        <v>77</v>
      </c>
      <c r="L254" s="8" t="s">
        <v>6584</v>
      </c>
      <c r="M254" s="8" t="s">
        <v>6627</v>
      </c>
      <c r="N254" t="s">
        <v>127</v>
      </c>
      <c r="O254" t="s">
        <v>6567</v>
      </c>
      <c r="P254" s="4">
        <v>2500</v>
      </c>
      <c r="Q254">
        <f>(P254/60)+45</f>
        <v>86.666666666666657</v>
      </c>
      <c r="R254">
        <f>Q254/60</f>
        <v>1.4444444444444442</v>
      </c>
      <c r="S254" s="2">
        <v>45721</v>
      </c>
      <c r="U254">
        <v>88</v>
      </c>
      <c r="V254" s="4">
        <v>220000</v>
      </c>
      <c r="W254" t="s">
        <v>65</v>
      </c>
      <c r="X254" t="s">
        <v>773</v>
      </c>
      <c r="Y254">
        <v>0</v>
      </c>
      <c r="Z254" s="4">
        <v>200000</v>
      </c>
      <c r="AA254" s="4">
        <v>20000</v>
      </c>
      <c r="AB254">
        <v>0</v>
      </c>
      <c r="AC254">
        <v>0</v>
      </c>
      <c r="AD254">
        <v>0</v>
      </c>
      <c r="AG254">
        <v>0</v>
      </c>
      <c r="AP254" t="s">
        <v>774</v>
      </c>
      <c r="AQ254" t="s">
        <v>107</v>
      </c>
      <c r="AR254" t="s">
        <v>6638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C254" t="s">
        <v>69</v>
      </c>
      <c r="BD254" t="s">
        <v>1371</v>
      </c>
      <c r="BE254">
        <v>0</v>
      </c>
      <c r="BG254" t="s">
        <v>107</v>
      </c>
      <c r="BJ254" t="s">
        <v>1372</v>
      </c>
    </row>
    <row r="255" spans="1:62" x14ac:dyDescent="0.35">
      <c r="A255" t="s">
        <v>1369</v>
      </c>
      <c r="B255">
        <v>10000</v>
      </c>
      <c r="C255">
        <v>30000</v>
      </c>
      <c r="D255" s="2">
        <v>45721</v>
      </c>
      <c r="E255" t="s">
        <v>61</v>
      </c>
      <c r="F255" t="s">
        <v>1370</v>
      </c>
      <c r="G255">
        <v>10639931005</v>
      </c>
      <c r="I255">
        <v>3</v>
      </c>
      <c r="J255" t="s">
        <v>63</v>
      </c>
      <c r="K255" s="8">
        <v>85</v>
      </c>
      <c r="L255" s="8" t="s">
        <v>6585</v>
      </c>
      <c r="M255" s="8" t="s">
        <v>6628</v>
      </c>
      <c r="N255" t="s">
        <v>327</v>
      </c>
      <c r="O255" t="s">
        <v>6580</v>
      </c>
      <c r="P255" s="4">
        <v>20000</v>
      </c>
      <c r="S255" s="2">
        <v>45721</v>
      </c>
      <c r="U255">
        <v>11</v>
      </c>
      <c r="V255" s="4">
        <v>220000</v>
      </c>
      <c r="W255" t="s">
        <v>65</v>
      </c>
      <c r="X255" t="s">
        <v>773</v>
      </c>
      <c r="Y255">
        <v>0</v>
      </c>
      <c r="Z255" s="4">
        <v>200000</v>
      </c>
      <c r="AA255" s="4">
        <v>20000</v>
      </c>
      <c r="AB255">
        <v>0</v>
      </c>
      <c r="AC255">
        <v>0</v>
      </c>
      <c r="AD255">
        <v>0</v>
      </c>
      <c r="AG255">
        <v>0</v>
      </c>
      <c r="AP255" t="s">
        <v>774</v>
      </c>
      <c r="AQ255" t="s">
        <v>107</v>
      </c>
      <c r="AR255" t="s">
        <v>6638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C255" t="s">
        <v>69</v>
      </c>
      <c r="BD255" t="s">
        <v>1371</v>
      </c>
      <c r="BE255">
        <v>0</v>
      </c>
      <c r="BG255" t="s">
        <v>107</v>
      </c>
      <c r="BJ255" t="s">
        <v>1372</v>
      </c>
    </row>
    <row r="256" spans="1:62" x14ac:dyDescent="0.35">
      <c r="A256" t="s">
        <v>565</v>
      </c>
      <c r="B256">
        <v>10000</v>
      </c>
      <c r="C256">
        <v>30000</v>
      </c>
      <c r="D256" s="2">
        <v>45722</v>
      </c>
      <c r="E256" t="s">
        <v>61</v>
      </c>
      <c r="F256" t="s">
        <v>566</v>
      </c>
      <c r="G256" t="s">
        <v>567</v>
      </c>
      <c r="I256">
        <v>3</v>
      </c>
      <c r="J256" t="s">
        <v>63</v>
      </c>
      <c r="K256" s="8">
        <v>101</v>
      </c>
      <c r="L256" t="s">
        <v>6585</v>
      </c>
      <c r="M256" s="8" t="s">
        <v>6628</v>
      </c>
      <c r="N256" t="s">
        <v>104</v>
      </c>
      <c r="O256" t="s">
        <v>6579</v>
      </c>
      <c r="P256" s="4">
        <v>62000</v>
      </c>
      <c r="S256" s="2">
        <v>45721</v>
      </c>
      <c r="U256">
        <v>5</v>
      </c>
      <c r="V256" s="4">
        <v>310000</v>
      </c>
      <c r="W256" t="s">
        <v>65</v>
      </c>
      <c r="X256" t="s">
        <v>147</v>
      </c>
      <c r="Y256">
        <v>0</v>
      </c>
      <c r="Z256" s="4">
        <v>325000</v>
      </c>
      <c r="AA256" s="4">
        <v>-15000</v>
      </c>
      <c r="AB256">
        <v>0</v>
      </c>
      <c r="AC256">
        <v>0</v>
      </c>
      <c r="AD256">
        <v>0</v>
      </c>
      <c r="AG256">
        <v>0</v>
      </c>
      <c r="AP256" t="s">
        <v>148</v>
      </c>
      <c r="AQ256" t="s">
        <v>107</v>
      </c>
      <c r="AR256" t="s">
        <v>6638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BC256" t="s">
        <v>69</v>
      </c>
      <c r="BD256" t="s">
        <v>568</v>
      </c>
      <c r="BE256">
        <v>0</v>
      </c>
      <c r="BG256" t="s">
        <v>107</v>
      </c>
      <c r="BJ256" t="s">
        <v>569</v>
      </c>
    </row>
    <row r="257" spans="1:62" x14ac:dyDescent="0.35">
      <c r="A257" t="s">
        <v>1373</v>
      </c>
      <c r="B257">
        <v>10000</v>
      </c>
      <c r="C257">
        <v>10000</v>
      </c>
      <c r="D257" s="2">
        <v>45734</v>
      </c>
      <c r="E257" t="s">
        <v>61</v>
      </c>
      <c r="F257" t="s">
        <v>1374</v>
      </c>
      <c r="G257" t="s">
        <v>1346</v>
      </c>
      <c r="I257">
        <v>1</v>
      </c>
      <c r="J257" t="s">
        <v>63</v>
      </c>
      <c r="K257" s="8">
        <v>79</v>
      </c>
      <c r="L257" s="8" t="s">
        <v>6608</v>
      </c>
      <c r="M257" s="8" t="s">
        <v>6631</v>
      </c>
      <c r="N257" t="s">
        <v>573</v>
      </c>
      <c r="O257" t="s">
        <v>6547</v>
      </c>
      <c r="P257" s="4">
        <v>3594</v>
      </c>
      <c r="Q257">
        <f t="shared" ref="Q257:Q258" si="66">(P257/20)+30</f>
        <v>209.7</v>
      </c>
      <c r="R257">
        <f t="shared" ref="R257:R258" si="67">Q257/60</f>
        <v>3.4949999999999997</v>
      </c>
      <c r="S257" s="2">
        <v>45721</v>
      </c>
      <c r="U257">
        <v>64</v>
      </c>
      <c r="V257" s="4">
        <v>230016</v>
      </c>
      <c r="W257" t="s">
        <v>65</v>
      </c>
      <c r="X257" t="s">
        <v>1375</v>
      </c>
      <c r="Y257">
        <v>0</v>
      </c>
      <c r="Z257" s="4">
        <v>200000</v>
      </c>
      <c r="AA257" s="4">
        <v>30016</v>
      </c>
      <c r="AB257">
        <v>0</v>
      </c>
      <c r="AC257">
        <v>0</v>
      </c>
      <c r="AD257">
        <v>0</v>
      </c>
      <c r="AG257">
        <v>0</v>
      </c>
      <c r="AP257" t="s">
        <v>1376</v>
      </c>
      <c r="AQ257" t="s">
        <v>107</v>
      </c>
      <c r="AR257" t="s">
        <v>6638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BC257" t="s">
        <v>69</v>
      </c>
      <c r="BD257" t="s">
        <v>1377</v>
      </c>
      <c r="BE257">
        <v>0</v>
      </c>
      <c r="BG257" t="s">
        <v>107</v>
      </c>
      <c r="BJ257" t="s">
        <v>1378</v>
      </c>
    </row>
    <row r="258" spans="1:62" x14ac:dyDescent="0.35">
      <c r="A258" t="s">
        <v>1379</v>
      </c>
      <c r="B258">
        <v>10000</v>
      </c>
      <c r="C258">
        <v>10000</v>
      </c>
      <c r="D258" s="2">
        <v>45734</v>
      </c>
      <c r="E258" t="s">
        <v>61</v>
      </c>
      <c r="F258" t="s">
        <v>1380</v>
      </c>
      <c r="G258" t="s">
        <v>1346</v>
      </c>
      <c r="I258">
        <v>1</v>
      </c>
      <c r="J258" t="s">
        <v>63</v>
      </c>
      <c r="K258" s="8">
        <v>79</v>
      </c>
      <c r="L258" s="8" t="s">
        <v>6608</v>
      </c>
      <c r="M258" s="8" t="s">
        <v>6631</v>
      </c>
      <c r="N258" t="s">
        <v>573</v>
      </c>
      <c r="O258" t="s">
        <v>6547</v>
      </c>
      <c r="P258" s="4">
        <v>3594</v>
      </c>
      <c r="Q258">
        <f t="shared" si="66"/>
        <v>209.7</v>
      </c>
      <c r="R258">
        <f t="shared" si="67"/>
        <v>3.4949999999999997</v>
      </c>
      <c r="S258" s="2">
        <v>45721</v>
      </c>
      <c r="U258">
        <v>64</v>
      </c>
      <c r="V258" s="4">
        <v>230016</v>
      </c>
      <c r="W258" t="s">
        <v>65</v>
      </c>
      <c r="X258" t="s">
        <v>1381</v>
      </c>
      <c r="Y258">
        <v>0</v>
      </c>
      <c r="Z258" s="4">
        <v>200000</v>
      </c>
      <c r="AA258" s="4">
        <v>30016</v>
      </c>
      <c r="AB258">
        <v>0</v>
      </c>
      <c r="AC258">
        <v>0</v>
      </c>
      <c r="AD258">
        <v>0</v>
      </c>
      <c r="AG258">
        <v>0</v>
      </c>
      <c r="AP258" t="s">
        <v>1382</v>
      </c>
      <c r="AQ258" t="s">
        <v>107</v>
      </c>
      <c r="AR258" t="s">
        <v>6638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C258" t="s">
        <v>69</v>
      </c>
      <c r="BD258" t="s">
        <v>1383</v>
      </c>
      <c r="BE258">
        <v>0</v>
      </c>
      <c r="BG258" t="s">
        <v>107</v>
      </c>
      <c r="BJ258" t="s">
        <v>1384</v>
      </c>
    </row>
    <row r="259" spans="1:62" x14ac:dyDescent="0.35">
      <c r="A259" t="s">
        <v>1385</v>
      </c>
      <c r="B259">
        <v>10000</v>
      </c>
      <c r="C259">
        <v>10000</v>
      </c>
      <c r="D259" s="2">
        <v>45721</v>
      </c>
      <c r="E259" t="s">
        <v>61</v>
      </c>
      <c r="F259" t="s">
        <v>1386</v>
      </c>
      <c r="G259" t="s">
        <v>1387</v>
      </c>
      <c r="I259">
        <v>1</v>
      </c>
      <c r="J259" t="s">
        <v>63</v>
      </c>
      <c r="K259" s="8">
        <v>61</v>
      </c>
      <c r="L259" s="8" t="s">
        <v>6594</v>
      </c>
      <c r="M259" s="8" t="s">
        <v>6629</v>
      </c>
      <c r="N259" t="s">
        <v>216</v>
      </c>
      <c r="O259" t="s">
        <v>6394</v>
      </c>
      <c r="P259">
        <v>200</v>
      </c>
      <c r="Q259">
        <f>(P259/50)+45</f>
        <v>49</v>
      </c>
      <c r="R259">
        <f>Q259/60</f>
        <v>0.81666666666666665</v>
      </c>
      <c r="S259" s="2">
        <v>45721</v>
      </c>
      <c r="U259">
        <v>5</v>
      </c>
      <c r="V259" s="4">
        <v>1000</v>
      </c>
      <c r="W259" t="s">
        <v>65</v>
      </c>
      <c r="X259" t="s">
        <v>1388</v>
      </c>
      <c r="Y259">
        <v>0</v>
      </c>
      <c r="Z259" s="4">
        <v>1000</v>
      </c>
      <c r="AA259">
        <v>0</v>
      </c>
      <c r="AB259">
        <v>0</v>
      </c>
      <c r="AC259">
        <v>0</v>
      </c>
      <c r="AD259">
        <v>0</v>
      </c>
      <c r="AG259">
        <v>0</v>
      </c>
      <c r="AP259" t="s">
        <v>1389</v>
      </c>
      <c r="AQ259" t="s">
        <v>206</v>
      </c>
      <c r="AR259" t="s">
        <v>6645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BC259" t="s">
        <v>69</v>
      </c>
      <c r="BD259" t="s">
        <v>1390</v>
      </c>
      <c r="BE259">
        <v>0</v>
      </c>
      <c r="BG259" t="s">
        <v>206</v>
      </c>
      <c r="BJ259" t="s">
        <v>1391</v>
      </c>
    </row>
    <row r="260" spans="1:62" x14ac:dyDescent="0.35">
      <c r="A260" t="s">
        <v>1392</v>
      </c>
      <c r="B260">
        <v>10000</v>
      </c>
      <c r="C260">
        <v>10000</v>
      </c>
      <c r="D260" s="2">
        <v>45737</v>
      </c>
      <c r="E260" t="s">
        <v>61</v>
      </c>
      <c r="F260" s="3">
        <v>0.4841435185185185</v>
      </c>
      <c r="G260" t="s">
        <v>1346</v>
      </c>
      <c r="I260">
        <v>1</v>
      </c>
      <c r="J260" t="s">
        <v>63</v>
      </c>
      <c r="K260" s="8">
        <v>79</v>
      </c>
      <c r="L260" s="8" t="s">
        <v>6608</v>
      </c>
      <c r="M260" s="8" t="s">
        <v>6631</v>
      </c>
      <c r="N260" t="s">
        <v>573</v>
      </c>
      <c r="O260" t="s">
        <v>6547</v>
      </c>
      <c r="P260" s="4">
        <v>3594</v>
      </c>
      <c r="Q260">
        <f t="shared" ref="Q260:Q262" si="68">(P260/20)+30</f>
        <v>209.7</v>
      </c>
      <c r="R260">
        <f t="shared" ref="R260:R262" si="69">Q260/60</f>
        <v>3.4949999999999997</v>
      </c>
      <c r="S260" s="2">
        <v>45721</v>
      </c>
      <c r="U260">
        <v>32</v>
      </c>
      <c r="V260" s="4">
        <v>115008</v>
      </c>
      <c r="W260" t="s">
        <v>65</v>
      </c>
      <c r="X260" t="s">
        <v>1393</v>
      </c>
      <c r="Y260">
        <v>0</v>
      </c>
      <c r="Z260" s="4">
        <v>100000</v>
      </c>
      <c r="AA260" s="4">
        <v>15008</v>
      </c>
      <c r="AB260">
        <v>0</v>
      </c>
      <c r="AC260">
        <v>0</v>
      </c>
      <c r="AD260">
        <v>0</v>
      </c>
      <c r="AG260">
        <v>0</v>
      </c>
      <c r="AP260" t="s">
        <v>1394</v>
      </c>
      <c r="AQ260" t="s">
        <v>107</v>
      </c>
      <c r="AR260" t="s">
        <v>6638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C260" t="s">
        <v>69</v>
      </c>
      <c r="BD260" t="s">
        <v>1395</v>
      </c>
      <c r="BE260">
        <v>0</v>
      </c>
      <c r="BG260" t="s">
        <v>107</v>
      </c>
      <c r="BJ260" t="s">
        <v>1396</v>
      </c>
    </row>
    <row r="261" spans="1:62" x14ac:dyDescent="0.35">
      <c r="A261" t="s">
        <v>1397</v>
      </c>
      <c r="B261">
        <v>10000</v>
      </c>
      <c r="C261">
        <v>10000</v>
      </c>
      <c r="D261" s="2">
        <v>45737</v>
      </c>
      <c r="E261" t="s">
        <v>61</v>
      </c>
      <c r="F261" s="3">
        <v>0.48471064814814813</v>
      </c>
      <c r="G261" t="s">
        <v>1346</v>
      </c>
      <c r="I261">
        <v>1</v>
      </c>
      <c r="J261" t="s">
        <v>63</v>
      </c>
      <c r="K261" s="8">
        <v>79</v>
      </c>
      <c r="L261" s="8" t="s">
        <v>6608</v>
      </c>
      <c r="M261" s="8" t="s">
        <v>6631</v>
      </c>
      <c r="N261" t="s">
        <v>573</v>
      </c>
      <c r="O261" t="s">
        <v>6547</v>
      </c>
      <c r="P261" s="4">
        <v>3594</v>
      </c>
      <c r="Q261">
        <f t="shared" si="68"/>
        <v>209.7</v>
      </c>
      <c r="R261">
        <f t="shared" si="69"/>
        <v>3.4949999999999997</v>
      </c>
      <c r="S261" s="2">
        <v>45721</v>
      </c>
      <c r="U261">
        <v>32</v>
      </c>
      <c r="V261" s="4">
        <v>115008</v>
      </c>
      <c r="W261" t="s">
        <v>65</v>
      </c>
      <c r="X261" t="s">
        <v>1206</v>
      </c>
      <c r="Y261">
        <v>0</v>
      </c>
      <c r="Z261" s="4">
        <v>100000</v>
      </c>
      <c r="AA261" s="4">
        <v>15008</v>
      </c>
      <c r="AB261">
        <v>0</v>
      </c>
      <c r="AC261">
        <v>0</v>
      </c>
      <c r="AD261">
        <v>0</v>
      </c>
      <c r="AG261">
        <v>0</v>
      </c>
      <c r="AP261" t="s">
        <v>1207</v>
      </c>
      <c r="AQ261" t="s">
        <v>107</v>
      </c>
      <c r="AR261" t="s">
        <v>6638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BC261" t="s">
        <v>69</v>
      </c>
      <c r="BD261" t="s">
        <v>1398</v>
      </c>
      <c r="BE261">
        <v>0</v>
      </c>
      <c r="BG261" t="s">
        <v>107</v>
      </c>
      <c r="BJ261" t="s">
        <v>1399</v>
      </c>
    </row>
    <row r="262" spans="1:62" x14ac:dyDescent="0.35">
      <c r="A262" t="s">
        <v>1400</v>
      </c>
      <c r="B262">
        <v>10000</v>
      </c>
      <c r="C262">
        <v>10000</v>
      </c>
      <c r="D262" s="2">
        <v>45734</v>
      </c>
      <c r="E262" t="s">
        <v>61</v>
      </c>
      <c r="F262" t="s">
        <v>1187</v>
      </c>
      <c r="G262" t="s">
        <v>1346</v>
      </c>
      <c r="I262">
        <v>1</v>
      </c>
      <c r="J262" t="s">
        <v>63</v>
      </c>
      <c r="K262" s="8">
        <v>79</v>
      </c>
      <c r="L262" s="8" t="s">
        <v>6608</v>
      </c>
      <c r="M262" s="8" t="s">
        <v>6631</v>
      </c>
      <c r="N262" t="s">
        <v>573</v>
      </c>
      <c r="O262" t="s">
        <v>6547</v>
      </c>
      <c r="P262" s="4">
        <v>3594</v>
      </c>
      <c r="Q262">
        <f t="shared" si="68"/>
        <v>209.7</v>
      </c>
      <c r="R262">
        <f t="shared" si="69"/>
        <v>3.4949999999999997</v>
      </c>
      <c r="S262" s="2">
        <v>45721</v>
      </c>
      <c r="U262">
        <v>32</v>
      </c>
      <c r="V262" s="4">
        <v>115008</v>
      </c>
      <c r="W262" t="s">
        <v>65</v>
      </c>
      <c r="X262" t="s">
        <v>1218</v>
      </c>
      <c r="Y262">
        <v>0</v>
      </c>
      <c r="Z262" s="4">
        <v>100000</v>
      </c>
      <c r="AA262" s="4">
        <v>15008</v>
      </c>
      <c r="AB262">
        <v>0</v>
      </c>
      <c r="AC262">
        <v>0</v>
      </c>
      <c r="AD262">
        <v>0</v>
      </c>
      <c r="AG262">
        <v>0</v>
      </c>
      <c r="AP262" t="s">
        <v>1219</v>
      </c>
      <c r="AQ262" t="s">
        <v>107</v>
      </c>
      <c r="AR262" t="s">
        <v>6638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C262" t="s">
        <v>69</v>
      </c>
      <c r="BD262" t="s">
        <v>1401</v>
      </c>
      <c r="BE262">
        <v>0</v>
      </c>
      <c r="BG262" t="s">
        <v>107</v>
      </c>
      <c r="BJ262" t="s">
        <v>1402</v>
      </c>
    </row>
    <row r="263" spans="1:62" x14ac:dyDescent="0.35">
      <c r="A263" t="s">
        <v>1403</v>
      </c>
      <c r="B263">
        <v>10000</v>
      </c>
      <c r="C263">
        <v>10000</v>
      </c>
      <c r="D263" s="2">
        <v>45722</v>
      </c>
      <c r="E263" t="s">
        <v>61</v>
      </c>
      <c r="F263" s="3">
        <v>0.53562500000000002</v>
      </c>
      <c r="G263" t="s">
        <v>1404</v>
      </c>
      <c r="I263">
        <v>1</v>
      </c>
      <c r="J263" t="s">
        <v>63</v>
      </c>
      <c r="K263" s="8">
        <v>94</v>
      </c>
      <c r="L263" s="8" t="s">
        <v>6599</v>
      </c>
      <c r="M263" s="8" t="s">
        <v>6629</v>
      </c>
      <c r="N263" t="s">
        <v>181</v>
      </c>
      <c r="O263" t="s">
        <v>6544</v>
      </c>
      <c r="P263" s="4">
        <v>4000</v>
      </c>
      <c r="S263" s="2">
        <v>45721</v>
      </c>
      <c r="U263">
        <v>6</v>
      </c>
      <c r="V263" s="4">
        <v>24000</v>
      </c>
      <c r="W263" t="s">
        <v>65</v>
      </c>
      <c r="X263" t="s">
        <v>1405</v>
      </c>
      <c r="Y263">
        <v>0</v>
      </c>
      <c r="Z263" s="4">
        <v>24000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1406</v>
      </c>
      <c r="AQ263" t="s">
        <v>364</v>
      </c>
      <c r="AR263" t="s">
        <v>6653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BC263" t="s">
        <v>69</v>
      </c>
      <c r="BD263" t="s">
        <v>1407</v>
      </c>
      <c r="BE263">
        <v>0</v>
      </c>
      <c r="BG263" t="s">
        <v>364</v>
      </c>
      <c r="BJ263" t="s">
        <v>1408</v>
      </c>
    </row>
    <row r="264" spans="1:62" x14ac:dyDescent="0.35">
      <c r="A264" t="s">
        <v>992</v>
      </c>
      <c r="B264">
        <v>10000</v>
      </c>
      <c r="C264">
        <v>30000</v>
      </c>
      <c r="D264" s="2">
        <v>45722</v>
      </c>
      <c r="E264" t="s">
        <v>61</v>
      </c>
      <c r="F264" s="3">
        <v>0.4880902777777778</v>
      </c>
      <c r="G264">
        <v>59469</v>
      </c>
      <c r="I264">
        <v>2</v>
      </c>
      <c r="J264" t="s">
        <v>63</v>
      </c>
      <c r="K264" s="8">
        <v>96</v>
      </c>
      <c r="L264" s="8" t="s">
        <v>6585</v>
      </c>
      <c r="M264" s="8" t="s">
        <v>6628</v>
      </c>
      <c r="N264" t="s">
        <v>104</v>
      </c>
      <c r="O264" t="s">
        <v>6579</v>
      </c>
      <c r="P264">
        <v>83</v>
      </c>
      <c r="S264" s="2">
        <v>45721</v>
      </c>
      <c r="U264">
        <v>6</v>
      </c>
      <c r="V264">
        <v>498</v>
      </c>
      <c r="W264" t="s">
        <v>65</v>
      </c>
      <c r="X264" t="s">
        <v>993</v>
      </c>
      <c r="Y264">
        <v>0</v>
      </c>
      <c r="Z264">
        <v>100</v>
      </c>
      <c r="AA264">
        <v>398</v>
      </c>
      <c r="AB264">
        <v>0</v>
      </c>
      <c r="AC264">
        <v>0</v>
      </c>
      <c r="AD264">
        <v>0</v>
      </c>
      <c r="AG264">
        <v>0</v>
      </c>
      <c r="AP264" t="s">
        <v>994</v>
      </c>
      <c r="AQ264" t="s">
        <v>321</v>
      </c>
      <c r="AR264" t="s">
        <v>6652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C264" t="s">
        <v>69</v>
      </c>
      <c r="BD264" t="s">
        <v>995</v>
      </c>
      <c r="BE264">
        <v>0</v>
      </c>
      <c r="BG264" t="s">
        <v>321</v>
      </c>
      <c r="BJ264" t="s">
        <v>996</v>
      </c>
    </row>
    <row r="265" spans="1:62" x14ac:dyDescent="0.35">
      <c r="A265" t="s">
        <v>997</v>
      </c>
      <c r="B265">
        <v>10000</v>
      </c>
      <c r="C265">
        <v>40000</v>
      </c>
      <c r="D265" s="2">
        <v>45722</v>
      </c>
      <c r="E265" t="s">
        <v>61</v>
      </c>
      <c r="F265" t="s">
        <v>998</v>
      </c>
      <c r="G265">
        <v>59469</v>
      </c>
      <c r="I265">
        <v>2</v>
      </c>
      <c r="J265" t="s">
        <v>63</v>
      </c>
      <c r="K265" s="8">
        <v>96</v>
      </c>
      <c r="L265" s="8" t="s">
        <v>6585</v>
      </c>
      <c r="M265" s="8" t="s">
        <v>6628</v>
      </c>
      <c r="N265" t="s">
        <v>104</v>
      </c>
      <c r="O265" t="s">
        <v>6579</v>
      </c>
      <c r="P265">
        <v>83</v>
      </c>
      <c r="S265" s="2">
        <v>45721</v>
      </c>
      <c r="U265">
        <v>6</v>
      </c>
      <c r="V265">
        <v>498</v>
      </c>
      <c r="W265" t="s">
        <v>65</v>
      </c>
      <c r="X265" t="s">
        <v>999</v>
      </c>
      <c r="Y265">
        <v>0</v>
      </c>
      <c r="Z265">
        <v>100</v>
      </c>
      <c r="AA265">
        <v>398</v>
      </c>
      <c r="AB265">
        <v>0</v>
      </c>
      <c r="AC265">
        <v>0</v>
      </c>
      <c r="AD265">
        <v>0</v>
      </c>
      <c r="AG265">
        <v>0</v>
      </c>
      <c r="AP265" t="s">
        <v>1000</v>
      </c>
      <c r="AQ265" t="s">
        <v>321</v>
      </c>
      <c r="AR265" t="s">
        <v>6652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BC265" t="s">
        <v>69</v>
      </c>
      <c r="BD265" t="s">
        <v>1001</v>
      </c>
      <c r="BE265">
        <v>0</v>
      </c>
      <c r="BG265" t="s">
        <v>321</v>
      </c>
      <c r="BJ265" t="s">
        <v>996</v>
      </c>
    </row>
    <row r="266" spans="1:62" x14ac:dyDescent="0.35">
      <c r="A266" t="s">
        <v>1409</v>
      </c>
      <c r="B266">
        <v>10000</v>
      </c>
      <c r="C266">
        <v>10000</v>
      </c>
      <c r="D266" s="2">
        <v>45722</v>
      </c>
      <c r="E266" t="s">
        <v>61</v>
      </c>
      <c r="F266" s="3">
        <v>0.44299768518518517</v>
      </c>
      <c r="G266">
        <v>59469</v>
      </c>
      <c r="I266">
        <v>1</v>
      </c>
      <c r="J266" t="s">
        <v>63</v>
      </c>
      <c r="K266" s="8">
        <v>73</v>
      </c>
      <c r="L266" s="8" t="s">
        <v>6586</v>
      </c>
      <c r="M266" s="8" t="s">
        <v>6627</v>
      </c>
      <c r="N266" t="s">
        <v>90</v>
      </c>
      <c r="O266" t="s">
        <v>6564</v>
      </c>
      <c r="P266">
        <v>42</v>
      </c>
      <c r="Q266">
        <f>(P266/60)+45</f>
        <v>45.7</v>
      </c>
      <c r="R266">
        <f>Q266/60</f>
        <v>0.76166666666666671</v>
      </c>
      <c r="S266" s="2">
        <v>45721</v>
      </c>
      <c r="U266">
        <v>12</v>
      </c>
      <c r="V266">
        <v>504</v>
      </c>
      <c r="W266" t="s">
        <v>65</v>
      </c>
      <c r="X266" t="s">
        <v>1410</v>
      </c>
      <c r="Y266">
        <v>0</v>
      </c>
      <c r="Z266">
        <v>100</v>
      </c>
      <c r="AA266">
        <v>404</v>
      </c>
      <c r="AB266">
        <v>0</v>
      </c>
      <c r="AC266">
        <v>0</v>
      </c>
      <c r="AD266">
        <v>0</v>
      </c>
      <c r="AG266">
        <v>0</v>
      </c>
      <c r="AP266" t="s">
        <v>1411</v>
      </c>
      <c r="AQ266" t="s">
        <v>321</v>
      </c>
      <c r="AR266" t="s">
        <v>6652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C266" t="s">
        <v>69</v>
      </c>
      <c r="BD266" t="s">
        <v>1412</v>
      </c>
      <c r="BE266">
        <v>0</v>
      </c>
      <c r="BG266" t="s">
        <v>321</v>
      </c>
      <c r="BJ266" t="s">
        <v>996</v>
      </c>
    </row>
    <row r="267" spans="1:62" x14ac:dyDescent="0.35">
      <c r="A267" t="s">
        <v>1409</v>
      </c>
      <c r="B267">
        <v>10000</v>
      </c>
      <c r="C267">
        <v>20000</v>
      </c>
      <c r="D267" s="2">
        <v>45722</v>
      </c>
      <c r="E267" t="s">
        <v>61</v>
      </c>
      <c r="F267" s="3">
        <v>0.44299768518518517</v>
      </c>
      <c r="G267">
        <v>59469</v>
      </c>
      <c r="I267">
        <v>2</v>
      </c>
      <c r="J267" t="s">
        <v>63</v>
      </c>
      <c r="K267" s="8">
        <v>101</v>
      </c>
      <c r="L267" t="s">
        <v>6585</v>
      </c>
      <c r="M267" s="8" t="s">
        <v>6628</v>
      </c>
      <c r="N267" t="s">
        <v>104</v>
      </c>
      <c r="O267" t="s">
        <v>6579</v>
      </c>
      <c r="P267">
        <v>83</v>
      </c>
      <c r="S267" s="2">
        <v>45721</v>
      </c>
      <c r="U267">
        <v>6</v>
      </c>
      <c r="V267">
        <v>498</v>
      </c>
      <c r="W267" t="s">
        <v>65</v>
      </c>
      <c r="X267" t="s">
        <v>1410</v>
      </c>
      <c r="Y267">
        <v>0</v>
      </c>
      <c r="Z267">
        <v>100</v>
      </c>
      <c r="AA267">
        <v>398</v>
      </c>
      <c r="AB267">
        <v>0</v>
      </c>
      <c r="AC267">
        <v>0</v>
      </c>
      <c r="AD267">
        <v>0</v>
      </c>
      <c r="AG267">
        <v>0</v>
      </c>
      <c r="AP267" t="s">
        <v>1411</v>
      </c>
      <c r="AQ267" t="s">
        <v>321</v>
      </c>
      <c r="AR267" t="s">
        <v>6652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BC267" t="s">
        <v>69</v>
      </c>
      <c r="BD267" t="s">
        <v>1412</v>
      </c>
      <c r="BE267">
        <v>0</v>
      </c>
      <c r="BG267" t="s">
        <v>321</v>
      </c>
      <c r="BJ267" t="s">
        <v>996</v>
      </c>
    </row>
    <row r="268" spans="1:62" x14ac:dyDescent="0.35">
      <c r="A268" t="s">
        <v>1413</v>
      </c>
      <c r="B268">
        <v>10000</v>
      </c>
      <c r="C268">
        <v>30000</v>
      </c>
      <c r="D268" s="2">
        <v>45728</v>
      </c>
      <c r="E268" t="s">
        <v>61</v>
      </c>
      <c r="F268" s="3">
        <v>0.47562500000000002</v>
      </c>
      <c r="G268" t="s">
        <v>1414</v>
      </c>
      <c r="I268">
        <v>2</v>
      </c>
      <c r="J268" t="s">
        <v>63</v>
      </c>
      <c r="K268" s="8">
        <v>86</v>
      </c>
      <c r="L268" s="8" t="s">
        <v>6584</v>
      </c>
      <c r="M268" s="8" t="s">
        <v>6627</v>
      </c>
      <c r="N268" t="s">
        <v>64</v>
      </c>
      <c r="O268" t="s">
        <v>6559</v>
      </c>
      <c r="P268" s="4">
        <v>7994000</v>
      </c>
      <c r="Q268">
        <f>(P268/60)+45</f>
        <v>133278.33333333334</v>
      </c>
      <c r="R268">
        <f>Q268/60</f>
        <v>2221.3055555555557</v>
      </c>
      <c r="S268" s="2">
        <v>45721</v>
      </c>
      <c r="U268">
        <v>1</v>
      </c>
      <c r="V268" s="4">
        <v>7994000</v>
      </c>
      <c r="W268" t="s">
        <v>65</v>
      </c>
      <c r="X268" t="s">
        <v>1415</v>
      </c>
      <c r="Y268">
        <v>0</v>
      </c>
      <c r="Z268" s="4">
        <v>7140000</v>
      </c>
      <c r="AA268" s="4">
        <v>854000</v>
      </c>
      <c r="AB268">
        <v>0</v>
      </c>
      <c r="AC268">
        <v>0</v>
      </c>
      <c r="AD268">
        <v>0</v>
      </c>
      <c r="AG268">
        <v>0</v>
      </c>
      <c r="AP268" t="s">
        <v>1416</v>
      </c>
      <c r="AQ268" t="s">
        <v>481</v>
      </c>
      <c r="AR268" t="s">
        <v>6655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C268" t="s">
        <v>69</v>
      </c>
      <c r="BD268" t="s">
        <v>1417</v>
      </c>
      <c r="BE268">
        <v>0</v>
      </c>
      <c r="BG268" t="s">
        <v>481</v>
      </c>
      <c r="BJ268" t="s">
        <v>1418</v>
      </c>
    </row>
    <row r="269" spans="1:62" x14ac:dyDescent="0.35">
      <c r="A269" t="s">
        <v>1419</v>
      </c>
      <c r="B269">
        <v>10000</v>
      </c>
      <c r="C269">
        <v>10000</v>
      </c>
      <c r="D269" s="2">
        <v>45721</v>
      </c>
      <c r="E269" t="s">
        <v>61</v>
      </c>
      <c r="F269" t="s">
        <v>1420</v>
      </c>
      <c r="G269" t="s">
        <v>1421</v>
      </c>
      <c r="I269">
        <v>1</v>
      </c>
      <c r="J269" t="s">
        <v>63</v>
      </c>
      <c r="K269" s="8">
        <v>61</v>
      </c>
      <c r="L269" s="8" t="s">
        <v>6594</v>
      </c>
      <c r="M269" s="8" t="s">
        <v>6629</v>
      </c>
      <c r="N269" t="s">
        <v>216</v>
      </c>
      <c r="O269" t="s">
        <v>6394</v>
      </c>
      <c r="P269" s="4">
        <v>2000</v>
      </c>
      <c r="Q269">
        <f>(P269/50)+45</f>
        <v>85</v>
      </c>
      <c r="R269">
        <f>Q269/60</f>
        <v>1.4166666666666667</v>
      </c>
      <c r="S269" s="2">
        <v>45721</v>
      </c>
      <c r="U269">
        <v>5</v>
      </c>
      <c r="V269" s="4">
        <v>10000</v>
      </c>
      <c r="W269" t="s">
        <v>65</v>
      </c>
      <c r="X269" t="s">
        <v>1422</v>
      </c>
      <c r="Y269">
        <v>0</v>
      </c>
      <c r="Z269" s="4">
        <v>10000</v>
      </c>
      <c r="AA269">
        <v>0</v>
      </c>
      <c r="AB269">
        <v>0</v>
      </c>
      <c r="AC269">
        <v>0</v>
      </c>
      <c r="AD269">
        <v>0</v>
      </c>
      <c r="AG269">
        <v>0</v>
      </c>
      <c r="AP269" t="s">
        <v>1423</v>
      </c>
      <c r="AQ269" t="s">
        <v>1424</v>
      </c>
      <c r="AR269" t="s">
        <v>6678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BC269" t="s">
        <v>69</v>
      </c>
      <c r="BD269" t="s">
        <v>1425</v>
      </c>
      <c r="BE269">
        <v>0</v>
      </c>
      <c r="BG269" t="s">
        <v>1424</v>
      </c>
      <c r="BJ269" t="s">
        <v>1426</v>
      </c>
    </row>
    <row r="270" spans="1:62" x14ac:dyDescent="0.35">
      <c r="A270" t="s">
        <v>1427</v>
      </c>
      <c r="B270">
        <v>10000</v>
      </c>
      <c r="C270">
        <v>10000</v>
      </c>
      <c r="D270" s="2">
        <v>45726</v>
      </c>
      <c r="E270" t="s">
        <v>61</v>
      </c>
      <c r="F270" s="3">
        <v>0.47584490740740742</v>
      </c>
      <c r="G270" t="s">
        <v>1428</v>
      </c>
      <c r="I270">
        <v>1</v>
      </c>
      <c r="J270" t="s">
        <v>63</v>
      </c>
      <c r="K270" s="8">
        <v>88</v>
      </c>
      <c r="L270" s="8" t="s">
        <v>6610</v>
      </c>
      <c r="M270" s="8" t="s">
        <v>6631</v>
      </c>
      <c r="N270" t="s">
        <v>630</v>
      </c>
      <c r="O270" t="s">
        <v>6571</v>
      </c>
      <c r="P270" s="4">
        <v>1300</v>
      </c>
      <c r="S270" s="2">
        <v>45721</v>
      </c>
      <c r="U270">
        <v>1</v>
      </c>
      <c r="V270" s="4">
        <v>1300</v>
      </c>
      <c r="W270" t="s">
        <v>65</v>
      </c>
      <c r="X270" t="s">
        <v>1429</v>
      </c>
      <c r="Y270">
        <v>0</v>
      </c>
      <c r="Z270" s="4">
        <v>1000</v>
      </c>
      <c r="AA270">
        <v>300</v>
      </c>
      <c r="AB270">
        <v>0</v>
      </c>
      <c r="AC270">
        <v>0</v>
      </c>
      <c r="AD270">
        <v>0</v>
      </c>
      <c r="AG270">
        <v>0</v>
      </c>
      <c r="AP270" t="s">
        <v>1430</v>
      </c>
      <c r="AQ270" t="s">
        <v>1431</v>
      </c>
      <c r="AR270" t="s">
        <v>6679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BC270" t="s">
        <v>69</v>
      </c>
      <c r="BD270" t="s">
        <v>1432</v>
      </c>
      <c r="BE270">
        <v>0</v>
      </c>
      <c r="BG270" t="s">
        <v>1431</v>
      </c>
      <c r="BJ270" t="s">
        <v>1433</v>
      </c>
    </row>
    <row r="271" spans="1:62" x14ac:dyDescent="0.35">
      <c r="A271" t="s">
        <v>1434</v>
      </c>
      <c r="B271">
        <v>10000</v>
      </c>
      <c r="C271">
        <v>10000</v>
      </c>
      <c r="D271" s="2">
        <v>45723</v>
      </c>
      <c r="E271" t="s">
        <v>61</v>
      </c>
      <c r="F271" s="3">
        <v>0.53410879629629626</v>
      </c>
      <c r="G271" t="s">
        <v>1435</v>
      </c>
      <c r="I271">
        <v>1</v>
      </c>
      <c r="J271" t="s">
        <v>63</v>
      </c>
      <c r="K271" s="8">
        <v>29</v>
      </c>
      <c r="L271" s="8" t="s">
        <v>6595</v>
      </c>
      <c r="M271" s="8" t="s">
        <v>6629</v>
      </c>
      <c r="N271" t="s">
        <v>249</v>
      </c>
      <c r="O271" t="s">
        <v>6500</v>
      </c>
      <c r="P271" s="4">
        <v>24000</v>
      </c>
      <c r="Q271">
        <f>(P271/40)+45</f>
        <v>645</v>
      </c>
      <c r="R271">
        <f>Q271/60</f>
        <v>10.75</v>
      </c>
      <c r="S271" s="2">
        <v>45721</v>
      </c>
      <c r="U271">
        <v>2</v>
      </c>
      <c r="V271" s="4">
        <v>48000</v>
      </c>
      <c r="W271" t="s">
        <v>65</v>
      </c>
      <c r="X271" t="s">
        <v>250</v>
      </c>
      <c r="Y271">
        <v>0</v>
      </c>
      <c r="Z271" s="4">
        <v>48000</v>
      </c>
      <c r="AA271">
        <v>0</v>
      </c>
      <c r="AB271">
        <v>0</v>
      </c>
      <c r="AC271">
        <v>0</v>
      </c>
      <c r="AD271">
        <v>0</v>
      </c>
      <c r="AG271">
        <v>0</v>
      </c>
      <c r="AP271" t="s">
        <v>251</v>
      </c>
      <c r="AQ271" t="s">
        <v>175</v>
      </c>
      <c r="AR271" t="s">
        <v>6642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C271" t="s">
        <v>69</v>
      </c>
      <c r="BD271" t="s">
        <v>1436</v>
      </c>
      <c r="BE271">
        <v>0</v>
      </c>
      <c r="BG271" t="s">
        <v>175</v>
      </c>
      <c r="BJ271" t="s">
        <v>1437</v>
      </c>
    </row>
    <row r="272" spans="1:62" x14ac:dyDescent="0.35">
      <c r="A272" t="s">
        <v>1438</v>
      </c>
      <c r="B272">
        <v>10000</v>
      </c>
      <c r="C272">
        <v>10000</v>
      </c>
      <c r="D272" s="2">
        <v>45735</v>
      </c>
      <c r="E272" t="s">
        <v>95</v>
      </c>
      <c r="F272" t="s">
        <v>1439</v>
      </c>
      <c r="G272" t="s">
        <v>1364</v>
      </c>
      <c r="I272">
        <v>1</v>
      </c>
      <c r="J272" t="s">
        <v>63</v>
      </c>
      <c r="K272" s="8">
        <v>79</v>
      </c>
      <c r="L272" s="8" t="s">
        <v>6608</v>
      </c>
      <c r="M272" s="8" t="s">
        <v>6631</v>
      </c>
      <c r="N272" t="s">
        <v>573</v>
      </c>
      <c r="O272" t="s">
        <v>6547</v>
      </c>
      <c r="P272" s="4">
        <v>3594</v>
      </c>
      <c r="Q272">
        <f t="shared" ref="Q272:Q274" si="70">(P272/20)+30</f>
        <v>209.7</v>
      </c>
      <c r="R272">
        <f t="shared" ref="R272:R278" si="71">Q272/60</f>
        <v>3.4949999999999997</v>
      </c>
      <c r="S272" s="2">
        <v>45721</v>
      </c>
      <c r="U272">
        <v>32</v>
      </c>
      <c r="V272" s="4">
        <v>115008</v>
      </c>
      <c r="W272" t="s">
        <v>65</v>
      </c>
      <c r="X272" t="s">
        <v>1440</v>
      </c>
      <c r="Y272">
        <v>0</v>
      </c>
      <c r="Z272" s="4">
        <v>100000</v>
      </c>
      <c r="AA272" s="4">
        <v>15008</v>
      </c>
      <c r="AB272">
        <v>0</v>
      </c>
      <c r="AC272">
        <v>0</v>
      </c>
      <c r="AD272">
        <v>0</v>
      </c>
      <c r="AG272">
        <v>0</v>
      </c>
      <c r="AP272" t="s">
        <v>1441</v>
      </c>
      <c r="AQ272" t="s">
        <v>107</v>
      </c>
      <c r="AR272" t="s">
        <v>6638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BC272" t="s">
        <v>69</v>
      </c>
      <c r="BD272" t="s">
        <v>1442</v>
      </c>
      <c r="BE272">
        <v>0</v>
      </c>
      <c r="BG272" t="s">
        <v>107</v>
      </c>
      <c r="BJ272" t="s">
        <v>1443</v>
      </c>
    </row>
    <row r="273" spans="1:62" x14ac:dyDescent="0.35">
      <c r="A273" t="s">
        <v>1444</v>
      </c>
      <c r="B273">
        <v>10000</v>
      </c>
      <c r="C273">
        <v>10000</v>
      </c>
      <c r="D273" s="2">
        <v>45740</v>
      </c>
      <c r="E273" t="s">
        <v>61</v>
      </c>
      <c r="F273" t="s">
        <v>1445</v>
      </c>
      <c r="G273">
        <v>10620258034</v>
      </c>
      <c r="I273">
        <v>1</v>
      </c>
      <c r="J273" t="s">
        <v>63</v>
      </c>
      <c r="K273" s="8">
        <v>79</v>
      </c>
      <c r="L273" s="8" t="s">
        <v>6608</v>
      </c>
      <c r="M273" s="8" t="s">
        <v>6631</v>
      </c>
      <c r="N273" t="s">
        <v>573</v>
      </c>
      <c r="O273" t="s">
        <v>6547</v>
      </c>
      <c r="P273">
        <v>228</v>
      </c>
      <c r="Q273">
        <f t="shared" si="70"/>
        <v>41.4</v>
      </c>
      <c r="R273">
        <f t="shared" si="71"/>
        <v>0.69</v>
      </c>
      <c r="S273" s="2">
        <v>45721</v>
      </c>
      <c r="U273">
        <v>308</v>
      </c>
      <c r="V273" s="4">
        <v>70224</v>
      </c>
      <c r="W273" t="s">
        <v>65</v>
      </c>
      <c r="X273" t="s">
        <v>1446</v>
      </c>
      <c r="Y273">
        <v>0</v>
      </c>
      <c r="Z273" s="4">
        <v>50000</v>
      </c>
      <c r="AA273" s="4">
        <v>20224</v>
      </c>
      <c r="AB273">
        <v>0</v>
      </c>
      <c r="AC273">
        <v>0</v>
      </c>
      <c r="AD273">
        <v>0</v>
      </c>
      <c r="AG273">
        <v>0</v>
      </c>
      <c r="AP273" t="s">
        <v>1447</v>
      </c>
      <c r="AQ273" t="s">
        <v>107</v>
      </c>
      <c r="AR273" t="s">
        <v>6638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BC273" t="s">
        <v>69</v>
      </c>
      <c r="BD273" t="s">
        <v>1448</v>
      </c>
      <c r="BE273">
        <v>0</v>
      </c>
      <c r="BG273" t="s">
        <v>107</v>
      </c>
      <c r="BJ273" t="s">
        <v>1449</v>
      </c>
    </row>
    <row r="274" spans="1:62" x14ac:dyDescent="0.35">
      <c r="A274" t="s">
        <v>1450</v>
      </c>
      <c r="B274">
        <v>10000</v>
      </c>
      <c r="C274">
        <v>20000</v>
      </c>
      <c r="D274" s="2">
        <v>45740</v>
      </c>
      <c r="E274" t="s">
        <v>61</v>
      </c>
      <c r="F274" t="s">
        <v>1451</v>
      </c>
      <c r="G274">
        <v>10639931051</v>
      </c>
      <c r="I274">
        <v>1</v>
      </c>
      <c r="J274" t="s">
        <v>63</v>
      </c>
      <c r="K274" s="8">
        <v>79</v>
      </c>
      <c r="L274" s="8" t="s">
        <v>6608</v>
      </c>
      <c r="M274" s="8" t="s">
        <v>6631</v>
      </c>
      <c r="N274" t="s">
        <v>573</v>
      </c>
      <c r="O274" t="s">
        <v>6547</v>
      </c>
      <c r="P274">
        <v>575</v>
      </c>
      <c r="Q274">
        <f t="shared" si="70"/>
        <v>58.75</v>
      </c>
      <c r="R274">
        <f t="shared" si="71"/>
        <v>0.97916666666666663</v>
      </c>
      <c r="S274" s="2">
        <v>45721</v>
      </c>
      <c r="U274">
        <v>308</v>
      </c>
      <c r="V274" s="4">
        <v>177100</v>
      </c>
      <c r="W274" t="s">
        <v>65</v>
      </c>
      <c r="X274" t="s">
        <v>1452</v>
      </c>
      <c r="Y274">
        <v>0</v>
      </c>
      <c r="Z274" s="4">
        <v>150000</v>
      </c>
      <c r="AA274" s="4">
        <v>27100</v>
      </c>
      <c r="AB274">
        <v>0</v>
      </c>
      <c r="AC274">
        <v>0</v>
      </c>
      <c r="AD274">
        <v>0</v>
      </c>
      <c r="AG274">
        <v>0</v>
      </c>
      <c r="AP274" t="s">
        <v>1453</v>
      </c>
      <c r="AQ274" t="s">
        <v>107</v>
      </c>
      <c r="AR274" t="s">
        <v>6638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BC274" t="s">
        <v>69</v>
      </c>
      <c r="BD274" t="s">
        <v>1454</v>
      </c>
      <c r="BE274">
        <v>0</v>
      </c>
      <c r="BG274" t="s">
        <v>107</v>
      </c>
      <c r="BJ274" t="s">
        <v>1449</v>
      </c>
    </row>
    <row r="275" spans="1:62" x14ac:dyDescent="0.35">
      <c r="A275" t="s">
        <v>1455</v>
      </c>
      <c r="B275">
        <v>10000</v>
      </c>
      <c r="C275">
        <v>10000</v>
      </c>
      <c r="D275" s="2">
        <v>45721</v>
      </c>
      <c r="E275" t="s">
        <v>61</v>
      </c>
      <c r="F275" t="s">
        <v>1456</v>
      </c>
      <c r="G275" t="s">
        <v>1457</v>
      </c>
      <c r="I275">
        <v>1</v>
      </c>
      <c r="J275" t="s">
        <v>63</v>
      </c>
      <c r="K275" s="8">
        <v>65</v>
      </c>
      <c r="L275" s="8" t="s">
        <v>6596</v>
      </c>
      <c r="M275" s="8" t="s">
        <v>6630</v>
      </c>
      <c r="N275" t="s">
        <v>268</v>
      </c>
      <c r="O275" t="s">
        <v>6543</v>
      </c>
      <c r="P275" s="4">
        <v>1000</v>
      </c>
      <c r="Q275">
        <f t="shared" ref="Q275:Q278" si="72">(P275/40)+45</f>
        <v>70</v>
      </c>
      <c r="R275">
        <f t="shared" si="71"/>
        <v>1.1666666666666667</v>
      </c>
      <c r="S275" s="2">
        <v>45721</v>
      </c>
      <c r="U275">
        <v>5</v>
      </c>
      <c r="V275" s="4">
        <v>5000</v>
      </c>
      <c r="W275" t="s">
        <v>65</v>
      </c>
      <c r="X275" t="s">
        <v>1458</v>
      </c>
      <c r="Y275">
        <v>0</v>
      </c>
      <c r="Z275" s="4">
        <v>5000</v>
      </c>
      <c r="AA275">
        <v>0</v>
      </c>
      <c r="AB275">
        <v>0</v>
      </c>
      <c r="AC275">
        <v>0</v>
      </c>
      <c r="AD275">
        <v>0</v>
      </c>
      <c r="AG275">
        <v>0</v>
      </c>
      <c r="AP275" t="s">
        <v>1459</v>
      </c>
      <c r="AQ275" t="s">
        <v>508</v>
      </c>
      <c r="AR275" t="s">
        <v>6657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BC275" t="s">
        <v>69</v>
      </c>
      <c r="BD275" t="s">
        <v>1460</v>
      </c>
      <c r="BE275">
        <v>0</v>
      </c>
      <c r="BG275" t="s">
        <v>508</v>
      </c>
      <c r="BJ275" t="s">
        <v>621</v>
      </c>
    </row>
    <row r="276" spans="1:62" x14ac:dyDescent="0.35">
      <c r="A276" t="s">
        <v>1461</v>
      </c>
      <c r="B276">
        <v>10000</v>
      </c>
      <c r="C276">
        <v>10000</v>
      </c>
      <c r="D276" s="2">
        <v>45721</v>
      </c>
      <c r="E276" t="s">
        <v>61</v>
      </c>
      <c r="F276" t="s">
        <v>1462</v>
      </c>
      <c r="G276" t="s">
        <v>1032</v>
      </c>
      <c r="I276">
        <v>1</v>
      </c>
      <c r="J276" t="s">
        <v>63</v>
      </c>
      <c r="K276" s="8">
        <v>65</v>
      </c>
      <c r="L276" s="8" t="s">
        <v>6596</v>
      </c>
      <c r="M276" s="8" t="s">
        <v>6630</v>
      </c>
      <c r="N276" t="s">
        <v>268</v>
      </c>
      <c r="O276" t="s">
        <v>6543</v>
      </c>
      <c r="P276">
        <v>667</v>
      </c>
      <c r="Q276">
        <f t="shared" si="72"/>
        <v>61.674999999999997</v>
      </c>
      <c r="R276">
        <f t="shared" si="71"/>
        <v>1.0279166666666666</v>
      </c>
      <c r="S276" s="2">
        <v>45721</v>
      </c>
      <c r="U276">
        <v>9</v>
      </c>
      <c r="V276" s="4">
        <v>6003</v>
      </c>
      <c r="W276" t="s">
        <v>65</v>
      </c>
      <c r="X276" t="s">
        <v>1463</v>
      </c>
      <c r="Y276">
        <v>0</v>
      </c>
      <c r="Z276" s="4">
        <v>6000</v>
      </c>
      <c r="AA276">
        <v>3</v>
      </c>
      <c r="AB276">
        <v>0</v>
      </c>
      <c r="AC276">
        <v>0</v>
      </c>
      <c r="AD276">
        <v>0</v>
      </c>
      <c r="AG276">
        <v>0</v>
      </c>
      <c r="AP276" t="s">
        <v>1464</v>
      </c>
      <c r="AQ276" t="s">
        <v>508</v>
      </c>
      <c r="AR276" t="s">
        <v>6657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C276" t="s">
        <v>69</v>
      </c>
      <c r="BD276" t="s">
        <v>1465</v>
      </c>
      <c r="BE276">
        <v>0</v>
      </c>
      <c r="BG276" t="s">
        <v>508</v>
      </c>
      <c r="BJ276" t="s">
        <v>621</v>
      </c>
    </row>
    <row r="277" spans="1:62" x14ac:dyDescent="0.35">
      <c r="A277" t="s">
        <v>1466</v>
      </c>
      <c r="B277">
        <v>10000</v>
      </c>
      <c r="C277">
        <v>10000</v>
      </c>
      <c r="D277" s="2">
        <v>45721</v>
      </c>
      <c r="E277" t="s">
        <v>61</v>
      </c>
      <c r="F277" t="s">
        <v>1456</v>
      </c>
      <c r="G277" t="s">
        <v>1457</v>
      </c>
      <c r="I277">
        <v>1</v>
      </c>
      <c r="J277" t="s">
        <v>63</v>
      </c>
      <c r="K277" s="8">
        <v>65</v>
      </c>
      <c r="L277" s="8" t="s">
        <v>6596</v>
      </c>
      <c r="M277" s="8" t="s">
        <v>6630</v>
      </c>
      <c r="N277" t="s">
        <v>268</v>
      </c>
      <c r="O277" t="s">
        <v>6543</v>
      </c>
      <c r="P277" s="4">
        <v>3000</v>
      </c>
      <c r="Q277">
        <f t="shared" si="72"/>
        <v>120</v>
      </c>
      <c r="R277">
        <f t="shared" si="71"/>
        <v>2</v>
      </c>
      <c r="S277" s="2">
        <v>45721</v>
      </c>
      <c r="U277">
        <v>5</v>
      </c>
      <c r="V277" s="4">
        <v>15000</v>
      </c>
      <c r="W277" t="s">
        <v>65</v>
      </c>
      <c r="X277" t="s">
        <v>1458</v>
      </c>
      <c r="Y277">
        <v>0</v>
      </c>
      <c r="Z277" s="4">
        <v>15000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1459</v>
      </c>
      <c r="AQ277" t="s">
        <v>508</v>
      </c>
      <c r="AR277" t="s">
        <v>6657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C277" t="s">
        <v>69</v>
      </c>
      <c r="BD277" t="s">
        <v>1467</v>
      </c>
      <c r="BE277">
        <v>0</v>
      </c>
      <c r="BG277" t="s">
        <v>508</v>
      </c>
      <c r="BJ277" t="s">
        <v>1047</v>
      </c>
    </row>
    <row r="278" spans="1:62" x14ac:dyDescent="0.35">
      <c r="A278" t="s">
        <v>1468</v>
      </c>
      <c r="B278">
        <v>10000</v>
      </c>
      <c r="C278">
        <v>10000</v>
      </c>
      <c r="D278" s="2">
        <v>45721</v>
      </c>
      <c r="E278" t="s">
        <v>61</v>
      </c>
      <c r="F278" t="s">
        <v>1462</v>
      </c>
      <c r="G278" t="s">
        <v>1032</v>
      </c>
      <c r="I278">
        <v>1</v>
      </c>
      <c r="J278" t="s">
        <v>63</v>
      </c>
      <c r="K278" s="8">
        <v>65</v>
      </c>
      <c r="L278" s="8" t="s">
        <v>6596</v>
      </c>
      <c r="M278" s="8" t="s">
        <v>6630</v>
      </c>
      <c r="N278" t="s">
        <v>268</v>
      </c>
      <c r="O278" t="s">
        <v>6543</v>
      </c>
      <c r="P278">
        <v>667</v>
      </c>
      <c r="Q278">
        <f t="shared" si="72"/>
        <v>61.674999999999997</v>
      </c>
      <c r="R278">
        <f t="shared" si="71"/>
        <v>1.0279166666666666</v>
      </c>
      <c r="S278" s="2">
        <v>45721</v>
      </c>
      <c r="U278">
        <v>9</v>
      </c>
      <c r="V278" s="4">
        <v>6003</v>
      </c>
      <c r="W278" t="s">
        <v>65</v>
      </c>
      <c r="X278" t="s">
        <v>1463</v>
      </c>
      <c r="Y278">
        <v>0</v>
      </c>
      <c r="Z278" s="4">
        <v>6000</v>
      </c>
      <c r="AA278">
        <v>3</v>
      </c>
      <c r="AB278">
        <v>0</v>
      </c>
      <c r="AC278">
        <v>0</v>
      </c>
      <c r="AD278">
        <v>0</v>
      </c>
      <c r="AG278">
        <v>0</v>
      </c>
      <c r="AP278" t="s">
        <v>1464</v>
      </c>
      <c r="AQ278" t="s">
        <v>508</v>
      </c>
      <c r="AR278" t="s">
        <v>6657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C278" t="s">
        <v>69</v>
      </c>
      <c r="BD278" t="s">
        <v>1469</v>
      </c>
      <c r="BE278">
        <v>0</v>
      </c>
      <c r="BG278" t="s">
        <v>508</v>
      </c>
      <c r="BJ278" t="s">
        <v>1047</v>
      </c>
    </row>
    <row r="279" spans="1:62" x14ac:dyDescent="0.35">
      <c r="A279" t="s">
        <v>1470</v>
      </c>
      <c r="B279">
        <v>10000</v>
      </c>
      <c r="C279">
        <v>10000</v>
      </c>
      <c r="D279" s="2">
        <v>45721</v>
      </c>
      <c r="E279" t="s">
        <v>61</v>
      </c>
      <c r="F279" t="s">
        <v>1420</v>
      </c>
      <c r="G279" t="s">
        <v>1471</v>
      </c>
      <c r="I279">
        <v>1</v>
      </c>
      <c r="J279" t="s">
        <v>63</v>
      </c>
      <c r="K279" s="8">
        <v>61</v>
      </c>
      <c r="L279" s="8" t="s">
        <v>6594</v>
      </c>
      <c r="M279" s="8" t="s">
        <v>6629</v>
      </c>
      <c r="N279" t="s">
        <v>216</v>
      </c>
      <c r="O279" t="s">
        <v>6394</v>
      </c>
      <c r="P279">
        <v>150</v>
      </c>
      <c r="Q279">
        <f>(P279/50)+45</f>
        <v>48</v>
      </c>
      <c r="R279">
        <f>Q279/60</f>
        <v>0.8</v>
      </c>
      <c r="S279" s="2">
        <v>45721</v>
      </c>
      <c r="U279">
        <v>1</v>
      </c>
      <c r="V279">
        <v>150</v>
      </c>
      <c r="W279" t="s">
        <v>65</v>
      </c>
      <c r="X279">
        <v>107324240001</v>
      </c>
      <c r="Y279">
        <v>0</v>
      </c>
      <c r="Z279">
        <v>150</v>
      </c>
      <c r="AA279">
        <v>0</v>
      </c>
      <c r="AB279">
        <v>0</v>
      </c>
      <c r="AC279">
        <v>0</v>
      </c>
      <c r="AD279">
        <v>0</v>
      </c>
      <c r="AG279">
        <v>0</v>
      </c>
      <c r="AP279">
        <v>10732424</v>
      </c>
      <c r="AQ279" t="s">
        <v>487</v>
      </c>
      <c r="AR279" t="s">
        <v>6656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C279" t="s">
        <v>69</v>
      </c>
      <c r="BD279" t="s">
        <v>1472</v>
      </c>
      <c r="BE279">
        <v>0</v>
      </c>
      <c r="BG279" t="s">
        <v>487</v>
      </c>
      <c r="BJ279" t="s">
        <v>1473</v>
      </c>
    </row>
    <row r="280" spans="1:62" x14ac:dyDescent="0.35">
      <c r="A280" t="s">
        <v>1474</v>
      </c>
      <c r="B280">
        <v>10000</v>
      </c>
      <c r="C280">
        <v>10000</v>
      </c>
      <c r="D280" s="2">
        <v>45721</v>
      </c>
      <c r="E280" t="s">
        <v>61</v>
      </c>
      <c r="F280" s="3">
        <v>0.47946759259259258</v>
      </c>
      <c r="G280" t="s">
        <v>885</v>
      </c>
      <c r="I280">
        <v>1</v>
      </c>
      <c r="J280" t="s">
        <v>63</v>
      </c>
      <c r="K280" s="8">
        <v>59</v>
      </c>
      <c r="L280" s="8" t="s">
        <v>6592</v>
      </c>
      <c r="M280" s="8" t="s">
        <v>6629</v>
      </c>
      <c r="N280" t="s">
        <v>745</v>
      </c>
      <c r="O280" t="s">
        <v>6501</v>
      </c>
      <c r="P280" s="4">
        <v>5000</v>
      </c>
      <c r="Q280">
        <f>(P280/40)+45</f>
        <v>170</v>
      </c>
      <c r="R280">
        <f>Q280/60</f>
        <v>2.8333333333333335</v>
      </c>
      <c r="S280" s="2">
        <v>45721</v>
      </c>
      <c r="U280">
        <v>6</v>
      </c>
      <c r="V280" s="4">
        <v>30000</v>
      </c>
      <c r="W280" t="s">
        <v>65</v>
      </c>
      <c r="X280" t="s">
        <v>886</v>
      </c>
      <c r="Y280">
        <v>0</v>
      </c>
      <c r="Z280" s="4">
        <v>30000</v>
      </c>
      <c r="AA280">
        <v>0</v>
      </c>
      <c r="AB280">
        <v>0</v>
      </c>
      <c r="AC280">
        <v>0</v>
      </c>
      <c r="AD280">
        <v>0</v>
      </c>
      <c r="AG280">
        <v>0</v>
      </c>
      <c r="AP280" t="s">
        <v>1475</v>
      </c>
      <c r="AQ280" t="s">
        <v>721</v>
      </c>
      <c r="AR280" t="s">
        <v>6662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C280" t="s">
        <v>69</v>
      </c>
      <c r="BD280" t="s">
        <v>1476</v>
      </c>
      <c r="BE280">
        <v>0</v>
      </c>
      <c r="BG280" t="s">
        <v>721</v>
      </c>
      <c r="BJ280" t="s">
        <v>1477</v>
      </c>
    </row>
    <row r="281" spans="1:62" x14ac:dyDescent="0.35">
      <c r="A281" t="s">
        <v>1066</v>
      </c>
      <c r="B281">
        <v>10000</v>
      </c>
      <c r="C281">
        <v>20000</v>
      </c>
      <c r="D281" s="2">
        <v>45721</v>
      </c>
      <c r="E281" t="s">
        <v>61</v>
      </c>
      <c r="F281" t="s">
        <v>1067</v>
      </c>
      <c r="G281" t="s">
        <v>1068</v>
      </c>
      <c r="I281">
        <v>2</v>
      </c>
      <c r="J281" t="s">
        <v>63</v>
      </c>
      <c r="K281" s="8">
        <v>105</v>
      </c>
      <c r="L281" s="8" t="s">
        <v>6612</v>
      </c>
      <c r="M281" s="8" t="s">
        <v>6632</v>
      </c>
      <c r="N281" t="s">
        <v>424</v>
      </c>
      <c r="O281" t="s">
        <v>6570</v>
      </c>
      <c r="P281" s="4">
        <v>3200</v>
      </c>
      <c r="S281" s="2">
        <v>45721</v>
      </c>
      <c r="U281">
        <v>1</v>
      </c>
      <c r="V281" s="4">
        <v>3200</v>
      </c>
      <c r="W281" t="s">
        <v>65</v>
      </c>
      <c r="X281" t="s">
        <v>1069</v>
      </c>
      <c r="Y281">
        <v>0</v>
      </c>
      <c r="Z281" s="4">
        <v>3000</v>
      </c>
      <c r="AA281">
        <v>200</v>
      </c>
      <c r="AB281">
        <v>0</v>
      </c>
      <c r="AC281">
        <v>0</v>
      </c>
      <c r="AD281">
        <v>0</v>
      </c>
      <c r="AG281">
        <v>0</v>
      </c>
      <c r="AP281" t="s">
        <v>1070</v>
      </c>
      <c r="AQ281" t="s">
        <v>633</v>
      </c>
      <c r="AR281" t="s">
        <v>6659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BC281" t="s">
        <v>69</v>
      </c>
      <c r="BD281" t="s">
        <v>1071</v>
      </c>
      <c r="BE281">
        <v>0</v>
      </c>
      <c r="BG281" t="s">
        <v>633</v>
      </c>
      <c r="BJ281" t="s">
        <v>645</v>
      </c>
    </row>
    <row r="282" spans="1:62" x14ac:dyDescent="0.35">
      <c r="A282" t="s">
        <v>1478</v>
      </c>
      <c r="B282">
        <v>10000</v>
      </c>
      <c r="C282">
        <v>10000</v>
      </c>
      <c r="D282" s="2">
        <v>45723</v>
      </c>
      <c r="E282" t="s">
        <v>61</v>
      </c>
      <c r="F282" t="s">
        <v>1479</v>
      </c>
      <c r="G282" t="s">
        <v>1480</v>
      </c>
      <c r="I282">
        <v>1</v>
      </c>
      <c r="J282" t="s">
        <v>63</v>
      </c>
      <c r="K282" s="8">
        <v>88</v>
      </c>
      <c r="L282" s="8" t="s">
        <v>6610</v>
      </c>
      <c r="M282" s="8" t="s">
        <v>6631</v>
      </c>
      <c r="N282" t="s">
        <v>630</v>
      </c>
      <c r="O282" t="s">
        <v>6571</v>
      </c>
      <c r="P282">
        <v>300</v>
      </c>
      <c r="S282" s="2">
        <v>45721</v>
      </c>
      <c r="U282">
        <v>1</v>
      </c>
      <c r="V282">
        <v>300</v>
      </c>
      <c r="W282" t="s">
        <v>65</v>
      </c>
      <c r="X282">
        <v>190067140001</v>
      </c>
      <c r="Y282">
        <v>0</v>
      </c>
      <c r="Z282">
        <v>300</v>
      </c>
      <c r="AA282">
        <v>0</v>
      </c>
      <c r="AB282">
        <v>0</v>
      </c>
      <c r="AC282">
        <v>0</v>
      </c>
      <c r="AD282">
        <v>0</v>
      </c>
      <c r="AG282">
        <v>0</v>
      </c>
      <c r="AP282">
        <v>19006714</v>
      </c>
      <c r="AQ282" t="s">
        <v>487</v>
      </c>
      <c r="AR282" t="s">
        <v>6656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BC282" t="s">
        <v>69</v>
      </c>
      <c r="BD282" t="s">
        <v>1481</v>
      </c>
      <c r="BE282">
        <v>0</v>
      </c>
      <c r="BG282" t="s">
        <v>487</v>
      </c>
      <c r="BJ282" t="s">
        <v>1482</v>
      </c>
    </row>
    <row r="283" spans="1:62" x14ac:dyDescent="0.35">
      <c r="A283" t="s">
        <v>1081</v>
      </c>
      <c r="B283">
        <v>10000</v>
      </c>
      <c r="C283">
        <v>20000</v>
      </c>
      <c r="D283" s="2">
        <v>45721</v>
      </c>
      <c r="E283" t="s">
        <v>61</v>
      </c>
      <c r="F283" t="s">
        <v>1082</v>
      </c>
      <c r="G283" t="s">
        <v>1083</v>
      </c>
      <c r="I283">
        <v>2</v>
      </c>
      <c r="J283" t="s">
        <v>63</v>
      </c>
      <c r="K283" s="8">
        <v>71</v>
      </c>
      <c r="L283" s="8" t="s">
        <v>6588</v>
      </c>
      <c r="M283" s="8" t="s">
        <v>6630</v>
      </c>
      <c r="N283" t="s">
        <v>135</v>
      </c>
      <c r="O283" t="s">
        <v>6573</v>
      </c>
      <c r="P283" s="4">
        <v>2000</v>
      </c>
      <c r="S283" s="2">
        <v>45721</v>
      </c>
      <c r="U283">
        <v>21</v>
      </c>
      <c r="V283" s="4">
        <v>42000</v>
      </c>
      <c r="W283" t="s">
        <v>65</v>
      </c>
      <c r="X283" t="s">
        <v>1084</v>
      </c>
      <c r="Y283">
        <v>0</v>
      </c>
      <c r="Z283" s="4">
        <v>40000</v>
      </c>
      <c r="AA283" s="4">
        <v>2000</v>
      </c>
      <c r="AB283">
        <v>0</v>
      </c>
      <c r="AC283">
        <v>0</v>
      </c>
      <c r="AD283">
        <v>0</v>
      </c>
      <c r="AG283">
        <v>0</v>
      </c>
      <c r="AP283" t="s">
        <v>1085</v>
      </c>
      <c r="AQ283" t="s">
        <v>562</v>
      </c>
      <c r="AR283" t="s">
        <v>6670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BC283" t="s">
        <v>69</v>
      </c>
      <c r="BD283" t="s">
        <v>1086</v>
      </c>
      <c r="BE283">
        <v>0</v>
      </c>
      <c r="BG283" t="s">
        <v>562</v>
      </c>
      <c r="BJ283" t="s">
        <v>1087</v>
      </c>
    </row>
    <row r="284" spans="1:62" x14ac:dyDescent="0.35">
      <c r="A284" t="s">
        <v>1483</v>
      </c>
      <c r="B284">
        <v>10000</v>
      </c>
      <c r="C284">
        <v>10000</v>
      </c>
      <c r="D284" s="2">
        <v>45722</v>
      </c>
      <c r="E284" t="s">
        <v>61</v>
      </c>
      <c r="F284" t="s">
        <v>1323</v>
      </c>
      <c r="G284" t="s">
        <v>1310</v>
      </c>
      <c r="I284">
        <v>1</v>
      </c>
      <c r="J284" t="s">
        <v>63</v>
      </c>
      <c r="K284" s="8">
        <v>31</v>
      </c>
      <c r="L284" s="8" t="s">
        <v>6595</v>
      </c>
      <c r="M284" s="8" t="s">
        <v>6629</v>
      </c>
      <c r="N284" t="s">
        <v>1311</v>
      </c>
      <c r="O284" t="s">
        <v>6491</v>
      </c>
      <c r="P284">
        <v>500</v>
      </c>
      <c r="Q284">
        <f>(P284/40)+45</f>
        <v>57.5</v>
      </c>
      <c r="R284">
        <f>Q284/60</f>
        <v>0.95833333333333337</v>
      </c>
      <c r="S284" s="2">
        <v>45721</v>
      </c>
      <c r="U284">
        <v>1</v>
      </c>
      <c r="V284">
        <v>500</v>
      </c>
      <c r="W284" t="s">
        <v>65</v>
      </c>
      <c r="X284" t="s">
        <v>1484</v>
      </c>
      <c r="Y284">
        <v>0</v>
      </c>
      <c r="Z284">
        <v>500</v>
      </c>
      <c r="AA284">
        <v>0</v>
      </c>
      <c r="AB284">
        <v>0</v>
      </c>
      <c r="AC284">
        <v>0</v>
      </c>
      <c r="AD284">
        <v>0</v>
      </c>
      <c r="AG284">
        <v>0</v>
      </c>
      <c r="AP284" t="s">
        <v>1485</v>
      </c>
      <c r="AQ284" t="s">
        <v>1314</v>
      </c>
      <c r="AR284" t="s">
        <v>6677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BC284" t="s">
        <v>69</v>
      </c>
      <c r="BD284" t="s">
        <v>1486</v>
      </c>
      <c r="BE284">
        <v>0</v>
      </c>
      <c r="BG284" t="s">
        <v>1314</v>
      </c>
      <c r="BJ284" t="s">
        <v>1487</v>
      </c>
    </row>
    <row r="285" spans="1:62" x14ac:dyDescent="0.35">
      <c r="A285" t="s">
        <v>1088</v>
      </c>
      <c r="B285">
        <v>10000</v>
      </c>
      <c r="C285">
        <v>20000</v>
      </c>
      <c r="D285" s="2">
        <v>45722</v>
      </c>
      <c r="E285" t="s">
        <v>61</v>
      </c>
      <c r="F285" t="s">
        <v>1089</v>
      </c>
      <c r="G285" t="s">
        <v>1090</v>
      </c>
      <c r="I285">
        <v>2</v>
      </c>
      <c r="J285" t="s">
        <v>63</v>
      </c>
      <c r="K285" s="8">
        <v>100</v>
      </c>
      <c r="L285" s="8" t="s">
        <v>6613</v>
      </c>
      <c r="M285" s="8" t="s">
        <v>6633</v>
      </c>
      <c r="N285" t="s">
        <v>424</v>
      </c>
      <c r="O285" t="s">
        <v>6570</v>
      </c>
      <c r="P285" s="4">
        <v>1100</v>
      </c>
      <c r="S285" s="2">
        <v>45721</v>
      </c>
      <c r="U285">
        <v>1</v>
      </c>
      <c r="V285" s="4">
        <v>1100</v>
      </c>
      <c r="W285" t="s">
        <v>65</v>
      </c>
      <c r="X285">
        <v>107353930001</v>
      </c>
      <c r="Y285">
        <v>0</v>
      </c>
      <c r="Z285" s="4">
        <v>1000</v>
      </c>
      <c r="AA285">
        <v>100</v>
      </c>
      <c r="AB285">
        <v>0</v>
      </c>
      <c r="AC285">
        <v>0</v>
      </c>
      <c r="AD285">
        <v>0</v>
      </c>
      <c r="AG285">
        <v>0</v>
      </c>
      <c r="AP285">
        <v>10735393</v>
      </c>
      <c r="AQ285" t="s">
        <v>487</v>
      </c>
      <c r="AR285" t="s">
        <v>6656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C285" t="s">
        <v>69</v>
      </c>
      <c r="BD285" t="s">
        <v>1091</v>
      </c>
      <c r="BE285">
        <v>0</v>
      </c>
      <c r="BG285" t="s">
        <v>487</v>
      </c>
      <c r="BJ285" t="s">
        <v>1092</v>
      </c>
    </row>
    <row r="286" spans="1:62" x14ac:dyDescent="0.35">
      <c r="A286" t="s">
        <v>1488</v>
      </c>
      <c r="B286">
        <v>10000</v>
      </c>
      <c r="C286">
        <v>10000</v>
      </c>
      <c r="D286" s="2">
        <v>45722</v>
      </c>
      <c r="E286" t="s">
        <v>61</v>
      </c>
      <c r="F286" t="s">
        <v>1489</v>
      </c>
      <c r="G286" t="s">
        <v>1090</v>
      </c>
      <c r="I286">
        <v>1</v>
      </c>
      <c r="J286" t="s">
        <v>63</v>
      </c>
      <c r="K286" s="8">
        <v>88</v>
      </c>
      <c r="L286" s="8" t="s">
        <v>6610</v>
      </c>
      <c r="M286" s="8" t="s">
        <v>6631</v>
      </c>
      <c r="N286" t="s">
        <v>630</v>
      </c>
      <c r="O286" t="s">
        <v>6571</v>
      </c>
      <c r="P286">
        <v>240</v>
      </c>
      <c r="S286" s="2">
        <v>45721</v>
      </c>
      <c r="U286">
        <v>5</v>
      </c>
      <c r="V286" s="4">
        <v>1200</v>
      </c>
      <c r="W286" t="s">
        <v>65</v>
      </c>
      <c r="X286">
        <v>107490780001</v>
      </c>
      <c r="Y286">
        <v>0</v>
      </c>
      <c r="Z286" s="4">
        <v>1000</v>
      </c>
      <c r="AA286">
        <v>200</v>
      </c>
      <c r="AB286">
        <v>0</v>
      </c>
      <c r="AC286">
        <v>0</v>
      </c>
      <c r="AD286">
        <v>0</v>
      </c>
      <c r="AG286">
        <v>0</v>
      </c>
      <c r="AP286">
        <v>10749078</v>
      </c>
      <c r="AQ286" t="s">
        <v>487</v>
      </c>
      <c r="AR286" t="s">
        <v>6656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C286" t="s">
        <v>69</v>
      </c>
      <c r="BD286" t="s">
        <v>1490</v>
      </c>
      <c r="BE286">
        <v>0</v>
      </c>
      <c r="BG286" t="s">
        <v>487</v>
      </c>
      <c r="BJ286" t="s">
        <v>1092</v>
      </c>
    </row>
    <row r="287" spans="1:62" x14ac:dyDescent="0.35">
      <c r="A287" t="s">
        <v>1488</v>
      </c>
      <c r="B287">
        <v>10000</v>
      </c>
      <c r="C287">
        <v>20000</v>
      </c>
      <c r="D287" s="2">
        <v>45722</v>
      </c>
      <c r="E287" t="s">
        <v>61</v>
      </c>
      <c r="F287" t="s">
        <v>1489</v>
      </c>
      <c r="G287" t="s">
        <v>1090</v>
      </c>
      <c r="I287">
        <v>2</v>
      </c>
      <c r="J287" t="s">
        <v>63</v>
      </c>
      <c r="K287" s="8">
        <v>100</v>
      </c>
      <c r="L287" s="8" t="s">
        <v>6613</v>
      </c>
      <c r="M287" s="8" t="s">
        <v>6633</v>
      </c>
      <c r="N287" t="s">
        <v>424</v>
      </c>
      <c r="O287" t="s">
        <v>6570</v>
      </c>
      <c r="P287" s="4">
        <v>1100</v>
      </c>
      <c r="S287" s="2">
        <v>45721</v>
      </c>
      <c r="U287">
        <v>1</v>
      </c>
      <c r="V287" s="4">
        <v>1100</v>
      </c>
      <c r="W287" t="s">
        <v>65</v>
      </c>
      <c r="X287">
        <v>107490780001</v>
      </c>
      <c r="Y287">
        <v>0</v>
      </c>
      <c r="Z287" s="4">
        <v>1000</v>
      </c>
      <c r="AA287">
        <v>100</v>
      </c>
      <c r="AB287">
        <v>0</v>
      </c>
      <c r="AC287">
        <v>0</v>
      </c>
      <c r="AD287">
        <v>0</v>
      </c>
      <c r="AG287">
        <v>0</v>
      </c>
      <c r="AP287">
        <v>10749078</v>
      </c>
      <c r="AQ287" t="s">
        <v>487</v>
      </c>
      <c r="AR287" t="s">
        <v>6656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C287" t="s">
        <v>69</v>
      </c>
      <c r="BD287" t="s">
        <v>1490</v>
      </c>
      <c r="BE287">
        <v>0</v>
      </c>
      <c r="BG287" t="s">
        <v>487</v>
      </c>
      <c r="BJ287" t="s">
        <v>1092</v>
      </c>
    </row>
    <row r="288" spans="1:62" x14ac:dyDescent="0.35">
      <c r="A288" t="s">
        <v>1093</v>
      </c>
      <c r="B288">
        <v>10000</v>
      </c>
      <c r="C288">
        <v>20000</v>
      </c>
      <c r="D288" s="2">
        <v>45722</v>
      </c>
      <c r="E288" t="s">
        <v>61</v>
      </c>
      <c r="F288" t="s">
        <v>1089</v>
      </c>
      <c r="G288" t="s">
        <v>1090</v>
      </c>
      <c r="I288">
        <v>2</v>
      </c>
      <c r="J288" t="s">
        <v>63</v>
      </c>
      <c r="K288" s="8">
        <v>100</v>
      </c>
      <c r="L288" s="8" t="s">
        <v>6613</v>
      </c>
      <c r="M288" s="8" t="s">
        <v>6633</v>
      </c>
      <c r="N288" t="s">
        <v>424</v>
      </c>
      <c r="O288" t="s">
        <v>6570</v>
      </c>
      <c r="P288">
        <v>20</v>
      </c>
      <c r="S288" s="2">
        <v>45721</v>
      </c>
      <c r="U288">
        <v>1</v>
      </c>
      <c r="V288">
        <v>20</v>
      </c>
      <c r="W288" t="s">
        <v>65</v>
      </c>
      <c r="X288">
        <v>107353930001</v>
      </c>
      <c r="Y288">
        <v>0</v>
      </c>
      <c r="Z288">
        <v>20</v>
      </c>
      <c r="AA288">
        <v>0</v>
      </c>
      <c r="AB288">
        <v>0</v>
      </c>
      <c r="AC288">
        <v>0</v>
      </c>
      <c r="AD288">
        <v>0</v>
      </c>
      <c r="AG288">
        <v>0</v>
      </c>
      <c r="AP288">
        <v>10735393</v>
      </c>
      <c r="AQ288" t="s">
        <v>487</v>
      </c>
      <c r="AR288" t="s">
        <v>6656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C288" t="s">
        <v>69</v>
      </c>
      <c r="BD288" t="s">
        <v>1094</v>
      </c>
      <c r="BE288">
        <v>0</v>
      </c>
      <c r="BG288" t="s">
        <v>487</v>
      </c>
      <c r="BJ288" t="s">
        <v>1095</v>
      </c>
    </row>
    <row r="289" spans="1:62" x14ac:dyDescent="0.35">
      <c r="A289" t="s">
        <v>1491</v>
      </c>
      <c r="B289">
        <v>10000</v>
      </c>
      <c r="C289">
        <v>10000</v>
      </c>
      <c r="D289" s="2">
        <v>45722</v>
      </c>
      <c r="E289" t="s">
        <v>61</v>
      </c>
      <c r="F289" t="s">
        <v>1489</v>
      </c>
      <c r="G289" t="s">
        <v>1090</v>
      </c>
      <c r="I289">
        <v>1</v>
      </c>
      <c r="J289" t="s">
        <v>63</v>
      </c>
      <c r="K289" s="8">
        <v>88</v>
      </c>
      <c r="L289" s="8" t="s">
        <v>6610</v>
      </c>
      <c r="M289" s="8" t="s">
        <v>6631</v>
      </c>
      <c r="N289" t="s">
        <v>630</v>
      </c>
      <c r="O289" t="s">
        <v>6571</v>
      </c>
      <c r="P289">
        <v>4</v>
      </c>
      <c r="S289" s="2">
        <v>45721</v>
      </c>
      <c r="U289">
        <v>5</v>
      </c>
      <c r="V289">
        <v>20</v>
      </c>
      <c r="W289" t="s">
        <v>65</v>
      </c>
      <c r="X289">
        <v>107490780001</v>
      </c>
      <c r="Y289">
        <v>0</v>
      </c>
      <c r="Z289">
        <v>20</v>
      </c>
      <c r="AA289">
        <v>0</v>
      </c>
      <c r="AB289">
        <v>0</v>
      </c>
      <c r="AC289">
        <v>0</v>
      </c>
      <c r="AD289">
        <v>0</v>
      </c>
      <c r="AG289">
        <v>0</v>
      </c>
      <c r="AP289">
        <v>10749078</v>
      </c>
      <c r="AQ289" t="s">
        <v>487</v>
      </c>
      <c r="AR289" t="s">
        <v>6656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C289" t="s">
        <v>69</v>
      </c>
      <c r="BD289" t="s">
        <v>1492</v>
      </c>
      <c r="BE289">
        <v>0</v>
      </c>
      <c r="BG289" t="s">
        <v>487</v>
      </c>
      <c r="BJ289" t="s">
        <v>1095</v>
      </c>
    </row>
    <row r="290" spans="1:62" x14ac:dyDescent="0.35">
      <c r="A290" t="s">
        <v>1491</v>
      </c>
      <c r="B290">
        <v>10000</v>
      </c>
      <c r="C290">
        <v>20000</v>
      </c>
      <c r="D290" s="2">
        <v>45722</v>
      </c>
      <c r="E290" t="s">
        <v>61</v>
      </c>
      <c r="F290" t="s">
        <v>1489</v>
      </c>
      <c r="G290" t="s">
        <v>1090</v>
      </c>
      <c r="I290">
        <v>2</v>
      </c>
      <c r="J290" t="s">
        <v>63</v>
      </c>
      <c r="K290" s="8">
        <v>100</v>
      </c>
      <c r="L290" s="8" t="s">
        <v>6613</v>
      </c>
      <c r="M290" s="8" t="s">
        <v>6633</v>
      </c>
      <c r="N290" t="s">
        <v>424</v>
      </c>
      <c r="O290" t="s">
        <v>6570</v>
      </c>
      <c r="P290">
        <v>20</v>
      </c>
      <c r="S290" s="2">
        <v>45721</v>
      </c>
      <c r="U290">
        <v>1</v>
      </c>
      <c r="V290">
        <v>20</v>
      </c>
      <c r="W290" t="s">
        <v>65</v>
      </c>
      <c r="X290">
        <v>107490780001</v>
      </c>
      <c r="Y290">
        <v>0</v>
      </c>
      <c r="Z290">
        <v>20</v>
      </c>
      <c r="AA290">
        <v>0</v>
      </c>
      <c r="AB290">
        <v>0</v>
      </c>
      <c r="AC290">
        <v>0</v>
      </c>
      <c r="AD290">
        <v>0</v>
      </c>
      <c r="AG290">
        <v>0</v>
      </c>
      <c r="AP290">
        <v>10749078</v>
      </c>
      <c r="AQ290" t="s">
        <v>487</v>
      </c>
      <c r="AR290" t="s">
        <v>6656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C290" t="s">
        <v>69</v>
      </c>
      <c r="BD290" t="s">
        <v>1492</v>
      </c>
      <c r="BE290">
        <v>0</v>
      </c>
      <c r="BG290" t="s">
        <v>487</v>
      </c>
      <c r="BJ290" t="s">
        <v>1095</v>
      </c>
    </row>
    <row r="291" spans="1:62" x14ac:dyDescent="0.35">
      <c r="A291" t="s">
        <v>1493</v>
      </c>
      <c r="B291">
        <v>10000</v>
      </c>
      <c r="C291">
        <v>10000</v>
      </c>
      <c r="D291" s="2">
        <v>45722</v>
      </c>
      <c r="E291" t="s">
        <v>61</v>
      </c>
      <c r="F291" t="s">
        <v>1494</v>
      </c>
      <c r="G291" t="s">
        <v>1387</v>
      </c>
      <c r="I291">
        <v>1</v>
      </c>
      <c r="J291" t="s">
        <v>63</v>
      </c>
      <c r="K291" s="8">
        <v>12</v>
      </c>
      <c r="L291" s="8" t="s">
        <v>6604</v>
      </c>
      <c r="M291" s="8" t="s">
        <v>6629</v>
      </c>
      <c r="N291" t="s">
        <v>478</v>
      </c>
      <c r="O291" t="s">
        <v>6434</v>
      </c>
      <c r="P291" s="4">
        <v>2500</v>
      </c>
      <c r="Q291">
        <f>(P291/50)+45</f>
        <v>95</v>
      </c>
      <c r="R291">
        <f>Q291/60</f>
        <v>1.5833333333333333</v>
      </c>
      <c r="S291" s="2">
        <v>45721</v>
      </c>
      <c r="U291">
        <v>2</v>
      </c>
      <c r="V291" s="4">
        <v>5000</v>
      </c>
      <c r="W291" t="s">
        <v>65</v>
      </c>
      <c r="X291" t="s">
        <v>1495</v>
      </c>
      <c r="Y291">
        <v>0</v>
      </c>
      <c r="Z291" s="4">
        <v>5000</v>
      </c>
      <c r="AA291">
        <v>0</v>
      </c>
      <c r="AB291">
        <v>0</v>
      </c>
      <c r="AC291">
        <v>0</v>
      </c>
      <c r="AD291">
        <v>0</v>
      </c>
      <c r="AG291">
        <v>0</v>
      </c>
      <c r="AP291" t="s">
        <v>1496</v>
      </c>
      <c r="AQ291" t="s">
        <v>206</v>
      </c>
      <c r="AR291" t="s">
        <v>6645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C291" t="s">
        <v>69</v>
      </c>
      <c r="BD291" t="s">
        <v>1497</v>
      </c>
      <c r="BE291">
        <v>0</v>
      </c>
      <c r="BG291" t="s">
        <v>206</v>
      </c>
      <c r="BJ291" t="s">
        <v>1498</v>
      </c>
    </row>
    <row r="292" spans="1:62" x14ac:dyDescent="0.35">
      <c r="A292" t="s">
        <v>1499</v>
      </c>
      <c r="B292">
        <v>10000</v>
      </c>
      <c r="C292">
        <v>10000</v>
      </c>
      <c r="D292" s="2">
        <v>45721</v>
      </c>
      <c r="E292" t="s">
        <v>61</v>
      </c>
      <c r="F292" t="s">
        <v>637</v>
      </c>
      <c r="G292" t="s">
        <v>1500</v>
      </c>
      <c r="I292">
        <v>1</v>
      </c>
      <c r="J292" t="s">
        <v>63</v>
      </c>
      <c r="K292" s="8">
        <v>65</v>
      </c>
      <c r="L292" s="8" t="s">
        <v>6596</v>
      </c>
      <c r="M292" s="8" t="s">
        <v>6630</v>
      </c>
      <c r="N292" t="s">
        <v>268</v>
      </c>
      <c r="O292" t="s">
        <v>6543</v>
      </c>
      <c r="P292" s="4">
        <v>1120</v>
      </c>
      <c r="Q292">
        <f>(P292/40)+45</f>
        <v>73</v>
      </c>
      <c r="R292">
        <f>Q292/60</f>
        <v>1.2166666666666666</v>
      </c>
      <c r="S292" s="2">
        <v>45721</v>
      </c>
      <c r="U292">
        <v>44</v>
      </c>
      <c r="V292" s="4">
        <v>49280</v>
      </c>
      <c r="W292" t="s">
        <v>65</v>
      </c>
      <c r="X292">
        <v>111699440001</v>
      </c>
      <c r="Y292">
        <v>0</v>
      </c>
      <c r="Z292" s="4">
        <v>49280</v>
      </c>
      <c r="AA292">
        <v>0</v>
      </c>
      <c r="AB292">
        <v>0</v>
      </c>
      <c r="AC292">
        <v>0</v>
      </c>
      <c r="AD292">
        <v>0</v>
      </c>
      <c r="AG292">
        <v>0</v>
      </c>
      <c r="AP292">
        <v>11169944</v>
      </c>
      <c r="AQ292" t="s">
        <v>311</v>
      </c>
      <c r="AR292" t="s">
        <v>6651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BC292" t="s">
        <v>69</v>
      </c>
      <c r="BD292" t="s">
        <v>1501</v>
      </c>
      <c r="BE292">
        <v>0</v>
      </c>
      <c r="BG292" t="s">
        <v>311</v>
      </c>
      <c r="BJ292" t="s">
        <v>1502</v>
      </c>
    </row>
    <row r="293" spans="1:62" x14ac:dyDescent="0.35">
      <c r="A293" t="s">
        <v>1503</v>
      </c>
      <c r="B293">
        <v>10000</v>
      </c>
      <c r="C293">
        <v>10000</v>
      </c>
      <c r="D293" s="2">
        <v>45726</v>
      </c>
      <c r="E293" t="s">
        <v>61</v>
      </c>
      <c r="F293" t="s">
        <v>1504</v>
      </c>
      <c r="G293" t="s">
        <v>1505</v>
      </c>
      <c r="I293">
        <v>1</v>
      </c>
      <c r="J293" t="s">
        <v>63</v>
      </c>
      <c r="K293" s="8">
        <v>88</v>
      </c>
      <c r="L293" s="8" t="s">
        <v>6610</v>
      </c>
      <c r="M293" s="8" t="s">
        <v>6631</v>
      </c>
      <c r="N293" t="s">
        <v>630</v>
      </c>
      <c r="O293" t="s">
        <v>6571</v>
      </c>
      <c r="P293" s="4">
        <v>1300</v>
      </c>
      <c r="S293" s="2">
        <v>45721</v>
      </c>
      <c r="U293">
        <v>1</v>
      </c>
      <c r="V293" s="4">
        <v>1300</v>
      </c>
      <c r="W293" t="s">
        <v>65</v>
      </c>
      <c r="X293">
        <v>107355870001</v>
      </c>
      <c r="Y293">
        <v>0</v>
      </c>
      <c r="Z293" s="4">
        <v>1000</v>
      </c>
      <c r="AA293">
        <v>300</v>
      </c>
      <c r="AB293">
        <v>0</v>
      </c>
      <c r="AC293">
        <v>0</v>
      </c>
      <c r="AD293">
        <v>0</v>
      </c>
      <c r="AG293">
        <v>0</v>
      </c>
      <c r="AP293">
        <v>10735587</v>
      </c>
      <c r="AQ293" t="s">
        <v>487</v>
      </c>
      <c r="AR293" t="s">
        <v>6656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BC293" t="s">
        <v>69</v>
      </c>
      <c r="BD293" t="s">
        <v>1506</v>
      </c>
      <c r="BE293">
        <v>0</v>
      </c>
      <c r="BG293" t="s">
        <v>487</v>
      </c>
      <c r="BJ293" t="s">
        <v>1507</v>
      </c>
    </row>
    <row r="294" spans="1:62" x14ac:dyDescent="0.35">
      <c r="A294" t="s">
        <v>1508</v>
      </c>
      <c r="B294">
        <v>10000</v>
      </c>
      <c r="C294">
        <v>10000</v>
      </c>
      <c r="D294" s="2">
        <v>45726</v>
      </c>
      <c r="E294" t="s">
        <v>61</v>
      </c>
      <c r="F294" s="3">
        <v>0.47496527777777775</v>
      </c>
      <c r="G294" t="s">
        <v>1505</v>
      </c>
      <c r="I294">
        <v>1</v>
      </c>
      <c r="J294" t="s">
        <v>63</v>
      </c>
      <c r="K294" s="8">
        <v>88</v>
      </c>
      <c r="L294" s="8" t="s">
        <v>6610</v>
      </c>
      <c r="M294" s="8" t="s">
        <v>6631</v>
      </c>
      <c r="N294" t="s">
        <v>630</v>
      </c>
      <c r="O294" t="s">
        <v>6571</v>
      </c>
      <c r="P294">
        <v>20</v>
      </c>
      <c r="S294" s="2">
        <v>45721</v>
      </c>
      <c r="U294">
        <v>1</v>
      </c>
      <c r="V294">
        <v>20</v>
      </c>
      <c r="W294" t="s">
        <v>65</v>
      </c>
      <c r="X294">
        <v>107355870001</v>
      </c>
      <c r="Y294">
        <v>0</v>
      </c>
      <c r="Z294">
        <v>20</v>
      </c>
      <c r="AA294">
        <v>0</v>
      </c>
      <c r="AB294">
        <v>0</v>
      </c>
      <c r="AC294">
        <v>0</v>
      </c>
      <c r="AD294">
        <v>0</v>
      </c>
      <c r="AG294">
        <v>0</v>
      </c>
      <c r="AP294">
        <v>10735587</v>
      </c>
      <c r="AQ294" t="s">
        <v>487</v>
      </c>
      <c r="AR294" t="s">
        <v>6656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C294" t="s">
        <v>69</v>
      </c>
      <c r="BD294" t="s">
        <v>1509</v>
      </c>
      <c r="BE294">
        <v>0</v>
      </c>
      <c r="BG294" t="s">
        <v>487</v>
      </c>
      <c r="BJ294" t="s">
        <v>1510</v>
      </c>
    </row>
    <row r="295" spans="1:62" x14ac:dyDescent="0.35">
      <c r="A295" t="s">
        <v>1511</v>
      </c>
      <c r="B295">
        <v>10000</v>
      </c>
      <c r="C295">
        <v>10000</v>
      </c>
      <c r="D295" s="2">
        <v>45734</v>
      </c>
      <c r="E295" t="s">
        <v>61</v>
      </c>
      <c r="F295" t="s">
        <v>310</v>
      </c>
      <c r="G295" t="s">
        <v>1346</v>
      </c>
      <c r="I295">
        <v>1</v>
      </c>
      <c r="J295" t="s">
        <v>63</v>
      </c>
      <c r="K295" s="8">
        <v>79</v>
      </c>
      <c r="L295" s="8" t="s">
        <v>6608</v>
      </c>
      <c r="M295" s="8" t="s">
        <v>6631</v>
      </c>
      <c r="N295" t="s">
        <v>573</v>
      </c>
      <c r="O295" t="s">
        <v>6547</v>
      </c>
      <c r="P295" s="4">
        <v>3594</v>
      </c>
      <c r="Q295">
        <f t="shared" ref="Q295:Q300" si="73">(P295/20)+30</f>
        <v>209.7</v>
      </c>
      <c r="R295">
        <f t="shared" ref="R295:R300" si="74">Q295/60</f>
        <v>3.4949999999999997</v>
      </c>
      <c r="S295" s="2">
        <v>45721</v>
      </c>
      <c r="U295">
        <v>64</v>
      </c>
      <c r="V295" s="4">
        <v>230016</v>
      </c>
      <c r="W295" t="s">
        <v>65</v>
      </c>
      <c r="X295" t="s">
        <v>1512</v>
      </c>
      <c r="Y295">
        <v>0</v>
      </c>
      <c r="Z295" s="4">
        <v>200000</v>
      </c>
      <c r="AA295" s="4">
        <v>30016</v>
      </c>
      <c r="AB295">
        <v>0</v>
      </c>
      <c r="AC295">
        <v>0</v>
      </c>
      <c r="AD295">
        <v>0</v>
      </c>
      <c r="AG295">
        <v>0</v>
      </c>
      <c r="AP295" t="s">
        <v>1513</v>
      </c>
      <c r="AQ295" t="s">
        <v>107</v>
      </c>
      <c r="AR295" t="s">
        <v>6638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C295" t="s">
        <v>69</v>
      </c>
      <c r="BD295" t="s">
        <v>1514</v>
      </c>
      <c r="BE295">
        <v>0</v>
      </c>
      <c r="BG295" t="s">
        <v>107</v>
      </c>
      <c r="BJ295" t="s">
        <v>1515</v>
      </c>
    </row>
    <row r="296" spans="1:62" x14ac:dyDescent="0.35">
      <c r="A296" t="s">
        <v>1516</v>
      </c>
      <c r="B296">
        <v>10000</v>
      </c>
      <c r="C296">
        <v>10000</v>
      </c>
      <c r="D296" s="2">
        <v>45735</v>
      </c>
      <c r="E296" t="s">
        <v>61</v>
      </c>
      <c r="F296" t="s">
        <v>125</v>
      </c>
      <c r="G296" t="s">
        <v>1364</v>
      </c>
      <c r="I296">
        <v>1</v>
      </c>
      <c r="J296" t="s">
        <v>63</v>
      </c>
      <c r="K296" s="8">
        <v>79</v>
      </c>
      <c r="L296" s="8" t="s">
        <v>6608</v>
      </c>
      <c r="M296" s="8" t="s">
        <v>6631</v>
      </c>
      <c r="N296" t="s">
        <v>573</v>
      </c>
      <c r="O296" t="s">
        <v>6547</v>
      </c>
      <c r="P296" s="4">
        <v>3594</v>
      </c>
      <c r="Q296">
        <f t="shared" si="73"/>
        <v>209.7</v>
      </c>
      <c r="R296">
        <f t="shared" si="74"/>
        <v>3.4949999999999997</v>
      </c>
      <c r="S296" s="2">
        <v>45721</v>
      </c>
      <c r="U296">
        <v>64</v>
      </c>
      <c r="V296" s="4">
        <v>230016</v>
      </c>
      <c r="W296" t="s">
        <v>65</v>
      </c>
      <c r="X296" t="s">
        <v>1517</v>
      </c>
      <c r="Y296">
        <v>0</v>
      </c>
      <c r="Z296" s="4">
        <v>200000</v>
      </c>
      <c r="AA296" s="4">
        <v>30016</v>
      </c>
      <c r="AB296">
        <v>0</v>
      </c>
      <c r="AC296">
        <v>0</v>
      </c>
      <c r="AD296">
        <v>0</v>
      </c>
      <c r="AG296">
        <v>0</v>
      </c>
      <c r="AP296" t="s">
        <v>1518</v>
      </c>
      <c r="AQ296" t="s">
        <v>107</v>
      </c>
      <c r="AR296" t="s">
        <v>6638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C296" t="s">
        <v>69</v>
      </c>
      <c r="BD296" t="s">
        <v>1519</v>
      </c>
      <c r="BE296">
        <v>0</v>
      </c>
      <c r="BG296" t="s">
        <v>107</v>
      </c>
      <c r="BJ296" t="s">
        <v>1520</v>
      </c>
    </row>
    <row r="297" spans="1:62" x14ac:dyDescent="0.35">
      <c r="A297" t="s">
        <v>1521</v>
      </c>
      <c r="B297">
        <v>10000</v>
      </c>
      <c r="C297">
        <v>20000</v>
      </c>
      <c r="D297" s="2">
        <v>45742</v>
      </c>
      <c r="E297" t="s">
        <v>61</v>
      </c>
      <c r="F297" t="s">
        <v>1522</v>
      </c>
      <c r="G297">
        <v>10620258036</v>
      </c>
      <c r="I297">
        <v>1</v>
      </c>
      <c r="J297" t="s">
        <v>63</v>
      </c>
      <c r="K297" s="8">
        <v>79</v>
      </c>
      <c r="L297" s="8" t="s">
        <v>6608</v>
      </c>
      <c r="M297" s="8" t="s">
        <v>6631</v>
      </c>
      <c r="N297" t="s">
        <v>573</v>
      </c>
      <c r="O297" t="s">
        <v>6547</v>
      </c>
      <c r="P297" s="4">
        <v>12750</v>
      </c>
      <c r="Q297">
        <f t="shared" si="73"/>
        <v>667.5</v>
      </c>
      <c r="R297">
        <f t="shared" si="74"/>
        <v>11.125</v>
      </c>
      <c r="S297" s="2">
        <v>45721</v>
      </c>
      <c r="U297">
        <v>308</v>
      </c>
      <c r="V297" s="4">
        <v>3927000</v>
      </c>
      <c r="W297" t="s">
        <v>65</v>
      </c>
      <c r="X297" t="s">
        <v>328</v>
      </c>
      <c r="Y297">
        <v>0</v>
      </c>
      <c r="Z297" s="4">
        <v>360000</v>
      </c>
      <c r="AA297" s="4">
        <v>3567000</v>
      </c>
      <c r="AB297">
        <v>0</v>
      </c>
      <c r="AC297">
        <v>0</v>
      </c>
      <c r="AD297">
        <v>0</v>
      </c>
      <c r="AG297">
        <v>0</v>
      </c>
      <c r="AP297" t="s">
        <v>329</v>
      </c>
      <c r="AQ297" t="s">
        <v>107</v>
      </c>
      <c r="AR297" t="s">
        <v>6638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C297" t="s">
        <v>69</v>
      </c>
      <c r="BD297" t="s">
        <v>1523</v>
      </c>
      <c r="BE297">
        <v>0</v>
      </c>
      <c r="BG297" t="s">
        <v>107</v>
      </c>
      <c r="BJ297" t="s">
        <v>1524</v>
      </c>
    </row>
    <row r="298" spans="1:62" x14ac:dyDescent="0.35">
      <c r="A298" t="s">
        <v>1525</v>
      </c>
      <c r="B298">
        <v>10000</v>
      </c>
      <c r="C298">
        <v>10000</v>
      </c>
      <c r="D298" s="2">
        <v>45735</v>
      </c>
      <c r="E298" t="s">
        <v>95</v>
      </c>
      <c r="F298" t="s">
        <v>1526</v>
      </c>
      <c r="G298" t="s">
        <v>1364</v>
      </c>
      <c r="I298">
        <v>1</v>
      </c>
      <c r="J298" t="s">
        <v>63</v>
      </c>
      <c r="K298" s="8">
        <v>79</v>
      </c>
      <c r="L298" s="8" t="s">
        <v>6608</v>
      </c>
      <c r="M298" s="8" t="s">
        <v>6631</v>
      </c>
      <c r="N298" t="s">
        <v>573</v>
      </c>
      <c r="O298" t="s">
        <v>6547</v>
      </c>
      <c r="P298" s="4">
        <v>3594</v>
      </c>
      <c r="Q298">
        <f t="shared" si="73"/>
        <v>209.7</v>
      </c>
      <c r="R298">
        <f t="shared" si="74"/>
        <v>3.4949999999999997</v>
      </c>
      <c r="S298" s="2">
        <v>45721</v>
      </c>
      <c r="U298">
        <v>32</v>
      </c>
      <c r="V298" s="4">
        <v>115008</v>
      </c>
      <c r="W298" t="s">
        <v>65</v>
      </c>
      <c r="X298" t="s">
        <v>1527</v>
      </c>
      <c r="Y298">
        <v>0</v>
      </c>
      <c r="Z298" s="4">
        <v>100000</v>
      </c>
      <c r="AA298" s="4">
        <v>15008</v>
      </c>
      <c r="AB298">
        <v>0</v>
      </c>
      <c r="AC298">
        <v>0</v>
      </c>
      <c r="AD298">
        <v>0</v>
      </c>
      <c r="AG298">
        <v>0</v>
      </c>
      <c r="AP298" t="s">
        <v>1528</v>
      </c>
      <c r="AQ298" t="s">
        <v>107</v>
      </c>
      <c r="AR298" t="s">
        <v>6638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C298" t="s">
        <v>69</v>
      </c>
      <c r="BD298" t="s">
        <v>1529</v>
      </c>
      <c r="BE298">
        <v>0</v>
      </c>
      <c r="BG298" t="s">
        <v>107</v>
      </c>
      <c r="BJ298" t="s">
        <v>1530</v>
      </c>
    </row>
    <row r="299" spans="1:62" x14ac:dyDescent="0.35">
      <c r="A299" t="s">
        <v>1531</v>
      </c>
      <c r="B299">
        <v>10000</v>
      </c>
      <c r="C299">
        <v>10000</v>
      </c>
      <c r="D299" s="2">
        <v>45735</v>
      </c>
      <c r="E299" t="s">
        <v>61</v>
      </c>
      <c r="F299" t="s">
        <v>1532</v>
      </c>
      <c r="G299" t="s">
        <v>1364</v>
      </c>
      <c r="I299">
        <v>1</v>
      </c>
      <c r="J299" t="s">
        <v>63</v>
      </c>
      <c r="K299" s="8">
        <v>79</v>
      </c>
      <c r="L299" s="8" t="s">
        <v>6608</v>
      </c>
      <c r="M299" s="8" t="s">
        <v>6631</v>
      </c>
      <c r="N299" t="s">
        <v>573</v>
      </c>
      <c r="O299" t="s">
        <v>6547</v>
      </c>
      <c r="P299" s="4">
        <v>3594</v>
      </c>
      <c r="Q299">
        <f t="shared" si="73"/>
        <v>209.7</v>
      </c>
      <c r="R299">
        <f t="shared" si="74"/>
        <v>3.4949999999999997</v>
      </c>
      <c r="S299" s="2">
        <v>45721</v>
      </c>
      <c r="U299">
        <v>64</v>
      </c>
      <c r="V299" s="4">
        <v>230016</v>
      </c>
      <c r="W299" t="s">
        <v>65</v>
      </c>
      <c r="X299" t="s">
        <v>1381</v>
      </c>
      <c r="Y299">
        <v>0</v>
      </c>
      <c r="Z299" s="4">
        <v>200000</v>
      </c>
      <c r="AA299" s="4">
        <v>30016</v>
      </c>
      <c r="AB299">
        <v>0</v>
      </c>
      <c r="AC299">
        <v>0</v>
      </c>
      <c r="AD299">
        <v>0</v>
      </c>
      <c r="AG299">
        <v>0</v>
      </c>
      <c r="AP299" t="s">
        <v>1382</v>
      </c>
      <c r="AQ299" t="s">
        <v>107</v>
      </c>
      <c r="AR299" t="s">
        <v>6638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BC299" t="s">
        <v>69</v>
      </c>
      <c r="BD299" t="s">
        <v>1533</v>
      </c>
      <c r="BE299">
        <v>0</v>
      </c>
      <c r="BG299" t="s">
        <v>107</v>
      </c>
      <c r="BJ299" t="s">
        <v>1534</v>
      </c>
    </row>
    <row r="300" spans="1:62" x14ac:dyDescent="0.35">
      <c r="A300" t="s">
        <v>1535</v>
      </c>
      <c r="B300">
        <v>10000</v>
      </c>
      <c r="C300">
        <v>10000</v>
      </c>
      <c r="D300" s="2">
        <v>45735</v>
      </c>
      <c r="E300" t="s">
        <v>95</v>
      </c>
      <c r="F300" t="s">
        <v>1439</v>
      </c>
      <c r="G300" t="s">
        <v>1364</v>
      </c>
      <c r="I300">
        <v>1</v>
      </c>
      <c r="J300" t="s">
        <v>63</v>
      </c>
      <c r="K300" s="8">
        <v>79</v>
      </c>
      <c r="L300" s="8" t="s">
        <v>6608</v>
      </c>
      <c r="M300" s="8" t="s">
        <v>6631</v>
      </c>
      <c r="N300" t="s">
        <v>573</v>
      </c>
      <c r="O300" t="s">
        <v>6547</v>
      </c>
      <c r="P300" s="4">
        <v>3594</v>
      </c>
      <c r="Q300">
        <f t="shared" si="73"/>
        <v>209.7</v>
      </c>
      <c r="R300">
        <f t="shared" si="74"/>
        <v>3.4949999999999997</v>
      </c>
      <c r="S300" s="2">
        <v>45721</v>
      </c>
      <c r="U300">
        <v>64</v>
      </c>
      <c r="V300" s="4">
        <v>230016</v>
      </c>
      <c r="W300" t="s">
        <v>65</v>
      </c>
      <c r="X300" t="s">
        <v>1440</v>
      </c>
      <c r="Y300">
        <v>0</v>
      </c>
      <c r="Z300" s="4">
        <v>200000</v>
      </c>
      <c r="AA300" s="4">
        <v>30016</v>
      </c>
      <c r="AB300">
        <v>0</v>
      </c>
      <c r="AC300">
        <v>0</v>
      </c>
      <c r="AD300">
        <v>0</v>
      </c>
      <c r="AG300">
        <v>0</v>
      </c>
      <c r="AP300" t="s">
        <v>1441</v>
      </c>
      <c r="AQ300" t="s">
        <v>107</v>
      </c>
      <c r="AR300" t="s">
        <v>6638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BC300" t="s">
        <v>69</v>
      </c>
      <c r="BD300" t="s">
        <v>1536</v>
      </c>
      <c r="BE300">
        <v>0</v>
      </c>
      <c r="BG300" t="s">
        <v>107</v>
      </c>
      <c r="BJ300" t="s">
        <v>1537</v>
      </c>
    </row>
    <row r="301" spans="1:62" x14ac:dyDescent="0.35">
      <c r="A301" t="s">
        <v>1538</v>
      </c>
      <c r="B301">
        <v>10000</v>
      </c>
      <c r="C301">
        <v>10000</v>
      </c>
      <c r="D301" s="2">
        <v>45721</v>
      </c>
      <c r="E301" t="s">
        <v>61</v>
      </c>
      <c r="F301" t="s">
        <v>1539</v>
      </c>
      <c r="G301" t="s">
        <v>1540</v>
      </c>
      <c r="I301">
        <v>1</v>
      </c>
      <c r="J301" t="s">
        <v>63</v>
      </c>
      <c r="K301" s="8">
        <v>86</v>
      </c>
      <c r="L301" s="8" t="s">
        <v>6584</v>
      </c>
      <c r="M301" s="8" t="s">
        <v>6627</v>
      </c>
      <c r="N301" t="s">
        <v>64</v>
      </c>
      <c r="O301" t="s">
        <v>6559</v>
      </c>
      <c r="P301">
        <v>600</v>
      </c>
      <c r="Q301">
        <f>(P301/60)+45</f>
        <v>55</v>
      </c>
      <c r="R301">
        <f>Q301/60</f>
        <v>0.91666666666666663</v>
      </c>
      <c r="S301" s="2">
        <v>45721</v>
      </c>
      <c r="U301">
        <v>5</v>
      </c>
      <c r="V301" s="4">
        <v>3000</v>
      </c>
      <c r="W301" t="s">
        <v>65</v>
      </c>
      <c r="X301" t="s">
        <v>1541</v>
      </c>
      <c r="Y301">
        <v>0</v>
      </c>
      <c r="Z301" s="4">
        <v>3000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1542</v>
      </c>
      <c r="AQ301" t="s">
        <v>1543</v>
      </c>
      <c r="AR301" t="s">
        <v>6680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BC301" t="s">
        <v>69</v>
      </c>
      <c r="BD301" t="s">
        <v>1544</v>
      </c>
      <c r="BE301">
        <v>0</v>
      </c>
      <c r="BG301" t="s">
        <v>1543</v>
      </c>
      <c r="BJ301" t="s">
        <v>1545</v>
      </c>
    </row>
    <row r="302" spans="1:62" x14ac:dyDescent="0.35">
      <c r="A302" t="s">
        <v>1546</v>
      </c>
      <c r="B302">
        <v>10000</v>
      </c>
      <c r="C302">
        <v>10000</v>
      </c>
      <c r="D302" s="2">
        <v>45723</v>
      </c>
      <c r="E302" t="s">
        <v>61</v>
      </c>
      <c r="F302" t="s">
        <v>1547</v>
      </c>
      <c r="G302" t="s">
        <v>527</v>
      </c>
      <c r="I302">
        <v>1</v>
      </c>
      <c r="J302" t="s">
        <v>63</v>
      </c>
      <c r="K302" s="8">
        <v>72</v>
      </c>
      <c r="L302" s="8" t="s">
        <v>6606</v>
      </c>
      <c r="M302" s="8" t="s">
        <v>6631</v>
      </c>
      <c r="N302" t="s">
        <v>528</v>
      </c>
      <c r="O302" t="s">
        <v>6542</v>
      </c>
      <c r="P302" s="4">
        <v>1500</v>
      </c>
      <c r="S302" s="2">
        <v>45721</v>
      </c>
      <c r="U302">
        <v>6</v>
      </c>
      <c r="V302" s="4">
        <v>9000</v>
      </c>
      <c r="W302" t="s">
        <v>65</v>
      </c>
      <c r="X302" t="s">
        <v>529</v>
      </c>
      <c r="Y302">
        <v>0</v>
      </c>
      <c r="Z302" s="4">
        <v>6000</v>
      </c>
      <c r="AA302" s="4">
        <v>3000</v>
      </c>
      <c r="AB302">
        <v>0</v>
      </c>
      <c r="AC302">
        <v>0</v>
      </c>
      <c r="AD302">
        <v>0</v>
      </c>
      <c r="AG302">
        <v>0</v>
      </c>
      <c r="AP302" t="s">
        <v>530</v>
      </c>
      <c r="AQ302" t="s">
        <v>271</v>
      </c>
      <c r="AR302" t="s">
        <v>6648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BC302" t="s">
        <v>69</v>
      </c>
      <c r="BD302" t="s">
        <v>1548</v>
      </c>
      <c r="BE302">
        <v>0</v>
      </c>
      <c r="BG302" t="s">
        <v>271</v>
      </c>
      <c r="BJ302" t="s">
        <v>1549</v>
      </c>
    </row>
    <row r="303" spans="1:62" x14ac:dyDescent="0.35">
      <c r="A303" t="s">
        <v>1546</v>
      </c>
      <c r="B303">
        <v>10000</v>
      </c>
      <c r="C303">
        <v>20000</v>
      </c>
      <c r="D303" s="2">
        <v>45723</v>
      </c>
      <c r="E303" t="s">
        <v>61</v>
      </c>
      <c r="F303" t="s">
        <v>1547</v>
      </c>
      <c r="G303" t="s">
        <v>527</v>
      </c>
      <c r="I303">
        <v>2</v>
      </c>
      <c r="J303" t="s">
        <v>63</v>
      </c>
      <c r="K303" s="8">
        <v>30</v>
      </c>
      <c r="L303" s="8" t="s">
        <v>6748</v>
      </c>
      <c r="M303" s="8" t="s">
        <v>6634</v>
      </c>
      <c r="N303" t="s">
        <v>533</v>
      </c>
      <c r="O303" t="s">
        <v>6572</v>
      </c>
      <c r="P303" s="4">
        <v>3000</v>
      </c>
      <c r="S303" s="2">
        <v>45721</v>
      </c>
      <c r="U303">
        <v>2</v>
      </c>
      <c r="V303" s="4">
        <v>6000</v>
      </c>
      <c r="W303" t="s">
        <v>65</v>
      </c>
      <c r="X303" t="s">
        <v>529</v>
      </c>
      <c r="Y303">
        <v>0</v>
      </c>
      <c r="Z303" s="4">
        <v>6000</v>
      </c>
      <c r="AA303">
        <v>0</v>
      </c>
      <c r="AB303">
        <v>0</v>
      </c>
      <c r="AC303">
        <v>0</v>
      </c>
      <c r="AD303">
        <v>0</v>
      </c>
      <c r="AG303">
        <v>0</v>
      </c>
      <c r="AP303" t="s">
        <v>530</v>
      </c>
      <c r="AQ303" t="s">
        <v>271</v>
      </c>
      <c r="AR303" t="s">
        <v>6648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C303" t="s">
        <v>69</v>
      </c>
      <c r="BD303" t="s">
        <v>1548</v>
      </c>
      <c r="BE303">
        <v>0</v>
      </c>
      <c r="BG303" t="s">
        <v>271</v>
      </c>
      <c r="BJ303" t="s">
        <v>1549</v>
      </c>
    </row>
    <row r="304" spans="1:62" x14ac:dyDescent="0.35">
      <c r="A304" t="s">
        <v>1550</v>
      </c>
      <c r="B304">
        <v>10000</v>
      </c>
      <c r="C304">
        <v>10000</v>
      </c>
      <c r="D304" s="2">
        <v>45721</v>
      </c>
      <c r="E304" t="s">
        <v>61</v>
      </c>
      <c r="F304" t="s">
        <v>1539</v>
      </c>
      <c r="G304" t="s">
        <v>1540</v>
      </c>
      <c r="I304">
        <v>1</v>
      </c>
      <c r="J304" t="s">
        <v>63</v>
      </c>
      <c r="K304" s="8">
        <v>86</v>
      </c>
      <c r="L304" s="8" t="s">
        <v>6584</v>
      </c>
      <c r="M304" s="8" t="s">
        <v>6627</v>
      </c>
      <c r="N304" t="s">
        <v>64</v>
      </c>
      <c r="O304" t="s">
        <v>6559</v>
      </c>
      <c r="P304">
        <v>480</v>
      </c>
      <c r="Q304">
        <f>(P304/60)+45</f>
        <v>53</v>
      </c>
      <c r="R304">
        <f>Q304/60</f>
        <v>0.8833333333333333</v>
      </c>
      <c r="S304" s="2">
        <v>45721</v>
      </c>
      <c r="U304">
        <v>5</v>
      </c>
      <c r="V304" s="4">
        <v>2400</v>
      </c>
      <c r="W304" t="s">
        <v>65</v>
      </c>
      <c r="X304" t="s">
        <v>1551</v>
      </c>
      <c r="Y304">
        <v>0</v>
      </c>
      <c r="Z304" s="4">
        <v>2400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1552</v>
      </c>
      <c r="AQ304" t="s">
        <v>271</v>
      </c>
      <c r="AR304" t="s">
        <v>6648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C304" t="s">
        <v>69</v>
      </c>
      <c r="BD304" t="s">
        <v>1553</v>
      </c>
      <c r="BE304">
        <v>0</v>
      </c>
      <c r="BG304" t="s">
        <v>271</v>
      </c>
      <c r="BJ304" t="s">
        <v>1554</v>
      </c>
    </row>
    <row r="305" spans="1:62" x14ac:dyDescent="0.35">
      <c r="A305" t="s">
        <v>1555</v>
      </c>
      <c r="B305">
        <v>10000</v>
      </c>
      <c r="C305">
        <v>10000</v>
      </c>
      <c r="D305" s="2">
        <v>45727</v>
      </c>
      <c r="E305" t="s">
        <v>61</v>
      </c>
      <c r="F305" t="s">
        <v>1556</v>
      </c>
      <c r="G305" t="s">
        <v>1557</v>
      </c>
      <c r="I305">
        <v>1</v>
      </c>
      <c r="J305" t="s">
        <v>63</v>
      </c>
      <c r="K305" s="8">
        <v>79</v>
      </c>
      <c r="L305" s="8" t="s">
        <v>6608</v>
      </c>
      <c r="M305" s="8" t="s">
        <v>6631</v>
      </c>
      <c r="N305" t="s">
        <v>573</v>
      </c>
      <c r="O305" t="s">
        <v>6547</v>
      </c>
      <c r="P305">
        <v>62</v>
      </c>
      <c r="Q305">
        <f>(P305/20)+30</f>
        <v>33.1</v>
      </c>
      <c r="R305">
        <f>Q305/60</f>
        <v>0.55166666666666664</v>
      </c>
      <c r="S305" s="2">
        <v>45721</v>
      </c>
      <c r="U305">
        <v>245</v>
      </c>
      <c r="V305" s="4">
        <v>15190</v>
      </c>
      <c r="W305" t="s">
        <v>65</v>
      </c>
      <c r="X305" t="s">
        <v>581</v>
      </c>
      <c r="Y305">
        <v>0</v>
      </c>
      <c r="Z305" s="4">
        <v>10000</v>
      </c>
      <c r="AA305" s="4">
        <v>5190</v>
      </c>
      <c r="AB305">
        <v>0</v>
      </c>
      <c r="AC305">
        <v>0</v>
      </c>
      <c r="AD305">
        <v>0</v>
      </c>
      <c r="AG305">
        <v>0</v>
      </c>
      <c r="AP305" t="s">
        <v>582</v>
      </c>
      <c r="AQ305" t="s">
        <v>449</v>
      </c>
      <c r="AR305" t="s">
        <v>6654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C305" t="s">
        <v>69</v>
      </c>
      <c r="BD305" t="s">
        <v>1558</v>
      </c>
      <c r="BE305">
        <v>0</v>
      </c>
      <c r="BG305" t="s">
        <v>449</v>
      </c>
      <c r="BJ305" t="s">
        <v>1559</v>
      </c>
    </row>
    <row r="306" spans="1:62" x14ac:dyDescent="0.35">
      <c r="A306" t="s">
        <v>1560</v>
      </c>
      <c r="B306">
        <v>10000</v>
      </c>
      <c r="C306">
        <v>10000</v>
      </c>
      <c r="D306" s="2">
        <v>45722</v>
      </c>
      <c r="E306" t="s">
        <v>61</v>
      </c>
      <c r="F306" s="3">
        <v>0.48685185185185187</v>
      </c>
      <c r="G306">
        <v>59469</v>
      </c>
      <c r="I306">
        <v>1</v>
      </c>
      <c r="J306" t="s">
        <v>63</v>
      </c>
      <c r="K306" s="8">
        <v>73</v>
      </c>
      <c r="L306" s="8" t="s">
        <v>6586</v>
      </c>
      <c r="M306" s="8" t="s">
        <v>6627</v>
      </c>
      <c r="N306" t="s">
        <v>90</v>
      </c>
      <c r="O306" t="s">
        <v>6564</v>
      </c>
      <c r="P306">
        <v>42</v>
      </c>
      <c r="Q306">
        <f t="shared" ref="Q306:Q307" si="75">(P306/60)+45</f>
        <v>45.7</v>
      </c>
      <c r="R306">
        <f t="shared" ref="R306:R307" si="76">Q306/60</f>
        <v>0.76166666666666671</v>
      </c>
      <c r="S306" s="2">
        <v>45721</v>
      </c>
      <c r="U306">
        <v>12</v>
      </c>
      <c r="V306">
        <v>504</v>
      </c>
      <c r="W306" t="s">
        <v>65</v>
      </c>
      <c r="X306" t="s">
        <v>1561</v>
      </c>
      <c r="Y306">
        <v>0</v>
      </c>
      <c r="Z306">
        <v>100</v>
      </c>
      <c r="AA306">
        <v>404</v>
      </c>
      <c r="AB306">
        <v>0</v>
      </c>
      <c r="AC306">
        <v>0</v>
      </c>
      <c r="AD306">
        <v>0</v>
      </c>
      <c r="AG306">
        <v>0</v>
      </c>
      <c r="AP306" t="s">
        <v>1562</v>
      </c>
      <c r="AQ306" t="s">
        <v>321</v>
      </c>
      <c r="AR306" t="s">
        <v>6652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C306" t="s">
        <v>69</v>
      </c>
      <c r="BD306" t="s">
        <v>1563</v>
      </c>
      <c r="BE306">
        <v>0</v>
      </c>
      <c r="BG306" t="s">
        <v>321</v>
      </c>
      <c r="BJ306" t="s">
        <v>996</v>
      </c>
    </row>
    <row r="307" spans="1:62" x14ac:dyDescent="0.35">
      <c r="A307" t="s">
        <v>1564</v>
      </c>
      <c r="B307">
        <v>10000</v>
      </c>
      <c r="C307">
        <v>10000</v>
      </c>
      <c r="D307" s="2">
        <v>45722</v>
      </c>
      <c r="E307" t="s">
        <v>61</v>
      </c>
      <c r="F307" s="3">
        <v>0.48748842592592595</v>
      </c>
      <c r="G307">
        <v>59469</v>
      </c>
      <c r="I307">
        <v>1</v>
      </c>
      <c r="J307" t="s">
        <v>63</v>
      </c>
      <c r="K307" s="8">
        <v>73</v>
      </c>
      <c r="L307" s="8" t="s">
        <v>6586</v>
      </c>
      <c r="M307" s="8" t="s">
        <v>6627</v>
      </c>
      <c r="N307" t="s">
        <v>90</v>
      </c>
      <c r="O307" t="s">
        <v>6564</v>
      </c>
      <c r="P307">
        <v>42</v>
      </c>
      <c r="Q307">
        <f t="shared" si="75"/>
        <v>45.7</v>
      </c>
      <c r="R307">
        <f t="shared" si="76"/>
        <v>0.76166666666666671</v>
      </c>
      <c r="S307" s="2">
        <v>45721</v>
      </c>
      <c r="U307">
        <v>12</v>
      </c>
      <c r="V307">
        <v>504</v>
      </c>
      <c r="W307" t="s">
        <v>65</v>
      </c>
      <c r="X307" t="s">
        <v>1565</v>
      </c>
      <c r="Y307">
        <v>0</v>
      </c>
      <c r="Z307">
        <v>100</v>
      </c>
      <c r="AA307">
        <v>404</v>
      </c>
      <c r="AB307">
        <v>0</v>
      </c>
      <c r="AC307">
        <v>0</v>
      </c>
      <c r="AD307">
        <v>0</v>
      </c>
      <c r="AG307">
        <v>0</v>
      </c>
      <c r="AP307" t="s">
        <v>1566</v>
      </c>
      <c r="AQ307" t="s">
        <v>321</v>
      </c>
      <c r="AR307" t="s">
        <v>6652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C307" t="s">
        <v>69</v>
      </c>
      <c r="BD307" t="s">
        <v>1567</v>
      </c>
      <c r="BE307">
        <v>0</v>
      </c>
      <c r="BG307" t="s">
        <v>321</v>
      </c>
      <c r="BJ307" t="s">
        <v>1568</v>
      </c>
    </row>
    <row r="308" spans="1:62" x14ac:dyDescent="0.35">
      <c r="A308" t="s">
        <v>1096</v>
      </c>
      <c r="B308">
        <v>10000</v>
      </c>
      <c r="C308">
        <v>20000</v>
      </c>
      <c r="D308" s="2">
        <v>45722</v>
      </c>
      <c r="E308" t="s">
        <v>61</v>
      </c>
      <c r="F308" s="3">
        <v>0.49033564814814817</v>
      </c>
      <c r="G308" t="s">
        <v>1097</v>
      </c>
      <c r="I308">
        <v>2</v>
      </c>
      <c r="J308" t="s">
        <v>63</v>
      </c>
      <c r="K308" s="8">
        <v>105</v>
      </c>
      <c r="L308" s="8" t="s">
        <v>6612</v>
      </c>
      <c r="M308" s="8" t="s">
        <v>6632</v>
      </c>
      <c r="N308" t="s">
        <v>424</v>
      </c>
      <c r="O308" t="s">
        <v>6570</v>
      </c>
      <c r="P308">
        <v>200</v>
      </c>
      <c r="S308" s="2">
        <v>45721</v>
      </c>
      <c r="U308">
        <v>1</v>
      </c>
      <c r="V308">
        <v>200</v>
      </c>
      <c r="W308" t="s">
        <v>65</v>
      </c>
      <c r="X308" t="s">
        <v>1098</v>
      </c>
      <c r="Y308">
        <v>0</v>
      </c>
      <c r="Z308">
        <v>200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1099</v>
      </c>
      <c r="AQ308" t="s">
        <v>633</v>
      </c>
      <c r="AR308" t="s">
        <v>6659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BC308" t="s">
        <v>69</v>
      </c>
      <c r="BD308" t="s">
        <v>1100</v>
      </c>
      <c r="BE308">
        <v>0</v>
      </c>
      <c r="BG308" t="s">
        <v>633</v>
      </c>
      <c r="BJ308" t="s">
        <v>645</v>
      </c>
    </row>
    <row r="309" spans="1:62" x14ac:dyDescent="0.35">
      <c r="A309" t="s">
        <v>1570</v>
      </c>
      <c r="B309">
        <v>10000</v>
      </c>
      <c r="C309">
        <v>10000</v>
      </c>
      <c r="D309" s="2">
        <v>45751</v>
      </c>
      <c r="E309" t="s">
        <v>61</v>
      </c>
      <c r="F309" s="3">
        <v>0.54107638888888887</v>
      </c>
      <c r="G309" t="s">
        <v>1571</v>
      </c>
      <c r="H309" t="s">
        <v>1572</v>
      </c>
      <c r="I309">
        <v>1</v>
      </c>
      <c r="J309" t="s">
        <v>69</v>
      </c>
      <c r="K309" s="8">
        <v>79</v>
      </c>
      <c r="L309" t="s">
        <v>6608</v>
      </c>
      <c r="M309" s="8" t="s">
        <v>6631</v>
      </c>
      <c r="N309" t="s">
        <v>296</v>
      </c>
      <c r="O309" t="s">
        <v>6550</v>
      </c>
      <c r="P309" s="4">
        <v>5050</v>
      </c>
      <c r="S309" s="2">
        <v>45722</v>
      </c>
      <c r="U309">
        <v>108</v>
      </c>
      <c r="V309" s="4">
        <v>545400</v>
      </c>
      <c r="W309" t="s">
        <v>65</v>
      </c>
      <c r="X309" t="s">
        <v>83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G309">
        <v>0</v>
      </c>
      <c r="AK309" t="s">
        <v>69</v>
      </c>
      <c r="AL309">
        <v>0</v>
      </c>
      <c r="AM309" t="s">
        <v>69</v>
      </c>
      <c r="AP309" t="s">
        <v>84</v>
      </c>
      <c r="AQ309" t="s">
        <v>68</v>
      </c>
      <c r="AR309" t="s">
        <v>6636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C309" t="s">
        <v>69</v>
      </c>
      <c r="BG309" t="s">
        <v>68</v>
      </c>
      <c r="BJ309" t="s">
        <v>1573</v>
      </c>
    </row>
    <row r="310" spans="1:62" x14ac:dyDescent="0.35">
      <c r="A310" t="s">
        <v>1574</v>
      </c>
      <c r="B310">
        <v>10000</v>
      </c>
      <c r="C310">
        <v>10000</v>
      </c>
      <c r="D310" s="2">
        <v>45722</v>
      </c>
      <c r="E310" t="s">
        <v>61</v>
      </c>
      <c r="F310" t="s">
        <v>1575</v>
      </c>
      <c r="G310" t="s">
        <v>1576</v>
      </c>
      <c r="H310" t="s">
        <v>1577</v>
      </c>
      <c r="I310">
        <v>1</v>
      </c>
      <c r="J310" t="s">
        <v>69</v>
      </c>
      <c r="K310" s="8">
        <v>82</v>
      </c>
      <c r="L310" s="8" t="s">
        <v>6598</v>
      </c>
      <c r="M310" s="8" t="s">
        <v>6630</v>
      </c>
      <c r="N310" t="s">
        <v>341</v>
      </c>
      <c r="O310" t="s">
        <v>6346</v>
      </c>
      <c r="P310" s="4">
        <v>3334</v>
      </c>
      <c r="S310" s="2">
        <v>45722</v>
      </c>
      <c r="U310">
        <v>6</v>
      </c>
      <c r="V310" s="4">
        <v>20004</v>
      </c>
      <c r="W310" t="s">
        <v>65</v>
      </c>
      <c r="X310" t="s">
        <v>1578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G310">
        <v>0</v>
      </c>
      <c r="AK310" t="s">
        <v>69</v>
      </c>
      <c r="AL310">
        <v>0</v>
      </c>
      <c r="AM310" t="s">
        <v>69</v>
      </c>
      <c r="AP310" t="s">
        <v>1579</v>
      </c>
      <c r="AQ310" t="s">
        <v>829</v>
      </c>
      <c r="AR310" t="s">
        <v>6653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BC310" t="s">
        <v>69</v>
      </c>
      <c r="BG310" t="s">
        <v>829</v>
      </c>
      <c r="BJ310" t="s">
        <v>1580</v>
      </c>
    </row>
    <row r="311" spans="1:62" x14ac:dyDescent="0.35">
      <c r="A311" t="s">
        <v>1581</v>
      </c>
      <c r="B311">
        <v>10000</v>
      </c>
      <c r="C311">
        <v>10000</v>
      </c>
      <c r="D311" s="2">
        <v>45723</v>
      </c>
      <c r="E311" t="s">
        <v>61</v>
      </c>
      <c r="F311" t="s">
        <v>1582</v>
      </c>
      <c r="G311" t="s">
        <v>1576</v>
      </c>
      <c r="H311" t="s">
        <v>1577</v>
      </c>
      <c r="I311">
        <v>1</v>
      </c>
      <c r="J311" t="s">
        <v>69</v>
      </c>
      <c r="K311" s="8">
        <v>82</v>
      </c>
      <c r="L311" s="8" t="s">
        <v>6598</v>
      </c>
      <c r="M311" s="8" t="s">
        <v>6630</v>
      </c>
      <c r="N311" t="s">
        <v>341</v>
      </c>
      <c r="O311" t="s">
        <v>6346</v>
      </c>
      <c r="P311" s="4">
        <v>8000</v>
      </c>
      <c r="S311" s="2">
        <v>45722</v>
      </c>
      <c r="U311">
        <v>6</v>
      </c>
      <c r="V311" s="4">
        <v>48000</v>
      </c>
      <c r="W311" t="s">
        <v>65</v>
      </c>
      <c r="X311" t="s">
        <v>1583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0</v>
      </c>
      <c r="AK311" t="s">
        <v>69</v>
      </c>
      <c r="AL311">
        <v>0</v>
      </c>
      <c r="AM311" t="s">
        <v>69</v>
      </c>
      <c r="AP311" t="s">
        <v>1584</v>
      </c>
      <c r="AQ311" t="s">
        <v>364</v>
      </c>
      <c r="AR311" t="s">
        <v>6653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C311" t="s">
        <v>69</v>
      </c>
      <c r="BG311" t="s">
        <v>364</v>
      </c>
      <c r="BJ311" t="s">
        <v>1585</v>
      </c>
    </row>
    <row r="312" spans="1:62" x14ac:dyDescent="0.35">
      <c r="A312" t="s">
        <v>1586</v>
      </c>
      <c r="B312">
        <v>10000</v>
      </c>
      <c r="C312">
        <v>10000</v>
      </c>
      <c r="D312" s="2">
        <v>45722</v>
      </c>
      <c r="E312" t="s">
        <v>61</v>
      </c>
      <c r="F312" t="s">
        <v>1587</v>
      </c>
      <c r="G312" t="s">
        <v>267</v>
      </c>
      <c r="I312">
        <v>1</v>
      </c>
      <c r="J312" t="s">
        <v>63</v>
      </c>
      <c r="K312" s="8">
        <v>65</v>
      </c>
      <c r="L312" s="8" t="s">
        <v>6596</v>
      </c>
      <c r="M312" s="8" t="s">
        <v>6630</v>
      </c>
      <c r="N312" t="s">
        <v>268</v>
      </c>
      <c r="O312" t="s">
        <v>6543</v>
      </c>
      <c r="P312" s="4">
        <v>13500</v>
      </c>
      <c r="Q312">
        <f>(P312/40)+45</f>
        <v>382.5</v>
      </c>
      <c r="R312">
        <f>Q312/60</f>
        <v>6.375</v>
      </c>
      <c r="S312" s="2">
        <v>45722</v>
      </c>
      <c r="U312">
        <v>8</v>
      </c>
      <c r="V312" s="4">
        <v>108000</v>
      </c>
      <c r="W312" t="s">
        <v>65</v>
      </c>
      <c r="X312" t="s">
        <v>1588</v>
      </c>
      <c r="Y312">
        <v>0</v>
      </c>
      <c r="Z312" s="4">
        <v>108000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1589</v>
      </c>
      <c r="AQ312" t="s">
        <v>271</v>
      </c>
      <c r="AR312" t="s">
        <v>6648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C312" t="s">
        <v>69</v>
      </c>
      <c r="BD312" t="s">
        <v>1590</v>
      </c>
      <c r="BE312">
        <v>0</v>
      </c>
      <c r="BG312" t="s">
        <v>271</v>
      </c>
      <c r="BJ312" t="s">
        <v>1591</v>
      </c>
    </row>
    <row r="313" spans="1:62" x14ac:dyDescent="0.35">
      <c r="A313" t="s">
        <v>1592</v>
      </c>
      <c r="B313">
        <v>10000</v>
      </c>
      <c r="C313">
        <v>10000</v>
      </c>
      <c r="D313" s="2">
        <v>45723</v>
      </c>
      <c r="E313" t="s">
        <v>61</v>
      </c>
      <c r="F313" t="s">
        <v>1593</v>
      </c>
      <c r="G313" t="s">
        <v>1540</v>
      </c>
      <c r="I313">
        <v>1</v>
      </c>
      <c r="J313" t="s">
        <v>63</v>
      </c>
      <c r="K313" s="8">
        <v>86</v>
      </c>
      <c r="L313" s="8" t="s">
        <v>6584</v>
      </c>
      <c r="M313" s="8" t="s">
        <v>6627</v>
      </c>
      <c r="N313" t="s">
        <v>64</v>
      </c>
      <c r="O313" t="s">
        <v>6559</v>
      </c>
      <c r="P313" s="4">
        <v>40000</v>
      </c>
      <c r="Q313">
        <f t="shared" ref="Q313:Q314" si="77">(P313/60)+45</f>
        <v>711.66666666666663</v>
      </c>
      <c r="R313">
        <f t="shared" ref="R313:R314" si="78">Q313/60</f>
        <v>11.861111111111111</v>
      </c>
      <c r="S313" s="2">
        <v>45722</v>
      </c>
      <c r="U313">
        <v>5</v>
      </c>
      <c r="V313" s="4">
        <v>200000</v>
      </c>
      <c r="W313" t="s">
        <v>65</v>
      </c>
      <c r="X313" t="s">
        <v>1594</v>
      </c>
      <c r="Y313">
        <v>0</v>
      </c>
      <c r="Z313" s="4">
        <v>200000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1595</v>
      </c>
      <c r="AQ313" t="s">
        <v>271</v>
      </c>
      <c r="AR313" t="s">
        <v>6648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C313" t="s">
        <v>69</v>
      </c>
      <c r="BD313" t="s">
        <v>1596</v>
      </c>
      <c r="BE313">
        <v>0</v>
      </c>
      <c r="BG313" t="s">
        <v>271</v>
      </c>
      <c r="BJ313" t="s">
        <v>1597</v>
      </c>
    </row>
    <row r="314" spans="1:62" x14ac:dyDescent="0.35">
      <c r="A314" t="s">
        <v>1598</v>
      </c>
      <c r="B314">
        <v>10000</v>
      </c>
      <c r="C314">
        <v>30000</v>
      </c>
      <c r="D314" s="2">
        <v>45736</v>
      </c>
      <c r="E314" t="s">
        <v>61</v>
      </c>
      <c r="F314" t="s">
        <v>1599</v>
      </c>
      <c r="G314" t="s">
        <v>1600</v>
      </c>
      <c r="I314">
        <v>2</v>
      </c>
      <c r="J314" t="s">
        <v>63</v>
      </c>
      <c r="K314" s="8">
        <v>73</v>
      </c>
      <c r="L314" s="8" t="s">
        <v>6586</v>
      </c>
      <c r="M314" s="8" t="s">
        <v>6627</v>
      </c>
      <c r="N314" t="s">
        <v>90</v>
      </c>
      <c r="O314" t="s">
        <v>6564</v>
      </c>
      <c r="P314" s="4">
        <v>112000</v>
      </c>
      <c r="Q314">
        <f t="shared" si="77"/>
        <v>1911.6666666666667</v>
      </c>
      <c r="R314">
        <f t="shared" si="78"/>
        <v>31.861111111111111</v>
      </c>
      <c r="S314" s="2">
        <v>45722</v>
      </c>
      <c r="U314">
        <v>1</v>
      </c>
      <c r="V314" s="4">
        <v>112000</v>
      </c>
      <c r="W314" t="s">
        <v>65</v>
      </c>
      <c r="X314">
        <v>150636040001</v>
      </c>
      <c r="Y314">
        <v>0</v>
      </c>
      <c r="Z314" s="4">
        <v>112000</v>
      </c>
      <c r="AA314">
        <v>0</v>
      </c>
      <c r="AB314">
        <v>0</v>
      </c>
      <c r="AC314">
        <v>0</v>
      </c>
      <c r="AD314">
        <v>0</v>
      </c>
      <c r="AG314">
        <v>0</v>
      </c>
      <c r="AP314">
        <v>15063604</v>
      </c>
      <c r="AQ314" t="s">
        <v>311</v>
      </c>
      <c r="AR314" t="s">
        <v>6651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C314" t="s">
        <v>69</v>
      </c>
      <c r="BD314" t="s">
        <v>1601</v>
      </c>
      <c r="BE314">
        <v>0</v>
      </c>
      <c r="BG314" t="s">
        <v>311</v>
      </c>
      <c r="BJ314" t="s">
        <v>1602</v>
      </c>
    </row>
    <row r="315" spans="1:62" x14ac:dyDescent="0.35">
      <c r="A315" t="s">
        <v>1603</v>
      </c>
      <c r="B315">
        <v>10000</v>
      </c>
      <c r="C315">
        <v>20000</v>
      </c>
      <c r="D315" s="2">
        <v>45726</v>
      </c>
      <c r="E315" t="s">
        <v>61</v>
      </c>
      <c r="F315" t="s">
        <v>1604</v>
      </c>
      <c r="G315">
        <v>502200327</v>
      </c>
      <c r="I315">
        <v>1</v>
      </c>
      <c r="J315" t="s">
        <v>63</v>
      </c>
      <c r="K315" s="8">
        <v>59</v>
      </c>
      <c r="L315" s="8" t="s">
        <v>6592</v>
      </c>
      <c r="M315" s="8" t="s">
        <v>6629</v>
      </c>
      <c r="N315" t="s">
        <v>745</v>
      </c>
      <c r="O315" t="s">
        <v>6501</v>
      </c>
      <c r="P315" s="4">
        <v>40500</v>
      </c>
      <c r="Q315">
        <f>(P315/40)+45</f>
        <v>1057.5</v>
      </c>
      <c r="R315">
        <f>Q315/60</f>
        <v>17.625</v>
      </c>
      <c r="S315" s="2">
        <v>45722</v>
      </c>
      <c r="U315">
        <v>18</v>
      </c>
      <c r="V315" s="4">
        <v>729000</v>
      </c>
      <c r="W315" t="s">
        <v>65</v>
      </c>
      <c r="X315">
        <v>7062420001</v>
      </c>
      <c r="Y315">
        <v>0</v>
      </c>
      <c r="Z315" s="4">
        <v>724500</v>
      </c>
      <c r="AA315" s="4">
        <v>4500</v>
      </c>
      <c r="AB315">
        <v>0</v>
      </c>
      <c r="AC315">
        <v>0</v>
      </c>
      <c r="AD315">
        <v>0</v>
      </c>
      <c r="AG315">
        <v>0</v>
      </c>
      <c r="AP315" t="s">
        <v>1605</v>
      </c>
      <c r="AQ315" t="s">
        <v>481</v>
      </c>
      <c r="AR315" t="s">
        <v>6655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C315" t="s">
        <v>69</v>
      </c>
      <c r="BD315" t="s">
        <v>1606</v>
      </c>
      <c r="BE315">
        <v>0</v>
      </c>
      <c r="BG315" t="s">
        <v>481</v>
      </c>
      <c r="BJ315" t="s">
        <v>1607</v>
      </c>
    </row>
    <row r="316" spans="1:62" x14ac:dyDescent="0.35">
      <c r="A316" t="s">
        <v>1608</v>
      </c>
      <c r="B316">
        <v>10000</v>
      </c>
      <c r="C316">
        <v>10000</v>
      </c>
      <c r="D316" s="2">
        <v>45723</v>
      </c>
      <c r="E316" t="s">
        <v>61</v>
      </c>
      <c r="F316" t="s">
        <v>1609</v>
      </c>
      <c r="G316" t="s">
        <v>1126</v>
      </c>
      <c r="I316">
        <v>1</v>
      </c>
      <c r="J316" t="s">
        <v>63</v>
      </c>
      <c r="K316" s="8">
        <v>22</v>
      </c>
      <c r="L316" s="8" t="s">
        <v>6603</v>
      </c>
      <c r="M316" s="8" t="s">
        <v>6629</v>
      </c>
      <c r="N316" t="s">
        <v>466</v>
      </c>
      <c r="O316" t="s">
        <v>6474</v>
      </c>
      <c r="P316" s="4">
        <v>3000</v>
      </c>
      <c r="Q316">
        <f t="shared" ref="Q316:Q318" si="79">(P316/50)+45</f>
        <v>105</v>
      </c>
      <c r="R316">
        <f t="shared" ref="R316:R318" si="80">Q316/60</f>
        <v>1.75</v>
      </c>
      <c r="S316" s="2">
        <v>45722</v>
      </c>
      <c r="U316">
        <v>2</v>
      </c>
      <c r="V316" s="4">
        <v>6000</v>
      </c>
      <c r="W316" t="s">
        <v>65</v>
      </c>
      <c r="X316" t="s">
        <v>1610</v>
      </c>
      <c r="Y316">
        <v>0</v>
      </c>
      <c r="Z316" s="4">
        <v>6000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1611</v>
      </c>
      <c r="AQ316" t="s">
        <v>751</v>
      </c>
      <c r="AR316" t="s">
        <v>6639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C316" t="s">
        <v>69</v>
      </c>
      <c r="BD316" t="s">
        <v>1612</v>
      </c>
      <c r="BE316">
        <v>0</v>
      </c>
      <c r="BG316" t="s">
        <v>751</v>
      </c>
      <c r="BJ316" t="s">
        <v>753</v>
      </c>
    </row>
    <row r="317" spans="1:62" x14ac:dyDescent="0.35">
      <c r="A317" t="s">
        <v>1138</v>
      </c>
      <c r="B317">
        <v>10000</v>
      </c>
      <c r="C317">
        <v>30000</v>
      </c>
      <c r="D317" s="2">
        <v>45722</v>
      </c>
      <c r="E317" t="s">
        <v>61</v>
      </c>
      <c r="F317" s="3">
        <v>0.53453703703703703</v>
      </c>
      <c r="G317" t="s">
        <v>387</v>
      </c>
      <c r="I317">
        <v>3</v>
      </c>
      <c r="J317" t="s">
        <v>63</v>
      </c>
      <c r="K317" s="8">
        <v>60</v>
      </c>
      <c r="L317" s="8" t="s">
        <v>6590</v>
      </c>
      <c r="M317" s="8" t="s">
        <v>6630</v>
      </c>
      <c r="N317" t="s">
        <v>277</v>
      </c>
      <c r="O317" t="s">
        <v>6554</v>
      </c>
      <c r="P317" s="4">
        <v>2000</v>
      </c>
      <c r="Q317">
        <f t="shared" si="79"/>
        <v>85</v>
      </c>
      <c r="R317">
        <f t="shared" si="80"/>
        <v>1.4166666666666667</v>
      </c>
      <c r="S317" s="2">
        <v>45722</v>
      </c>
      <c r="U317">
        <v>1</v>
      </c>
      <c r="V317" s="4">
        <v>2000</v>
      </c>
      <c r="W317" t="s">
        <v>65</v>
      </c>
      <c r="X317">
        <v>1871210001</v>
      </c>
      <c r="Y317">
        <v>0</v>
      </c>
      <c r="Z317" s="4">
        <v>1000</v>
      </c>
      <c r="AA317" s="4">
        <v>1000</v>
      </c>
      <c r="AB317">
        <v>0</v>
      </c>
      <c r="AC317">
        <v>0</v>
      </c>
      <c r="AD317">
        <v>0</v>
      </c>
      <c r="AG317">
        <v>0</v>
      </c>
      <c r="AP317">
        <v>187121</v>
      </c>
      <c r="AQ317" t="s">
        <v>1139</v>
      </c>
      <c r="AR317" t="s">
        <v>6671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C317" t="s">
        <v>69</v>
      </c>
      <c r="BD317" t="s">
        <v>1140</v>
      </c>
      <c r="BE317">
        <v>0</v>
      </c>
      <c r="BG317" t="s">
        <v>1139</v>
      </c>
      <c r="BJ317" t="s">
        <v>1141</v>
      </c>
    </row>
    <row r="318" spans="1:62" x14ac:dyDescent="0.35">
      <c r="A318" t="s">
        <v>762</v>
      </c>
      <c r="B318">
        <v>10000</v>
      </c>
      <c r="C318">
        <v>60000</v>
      </c>
      <c r="D318" s="2">
        <v>45723</v>
      </c>
      <c r="E318" t="s">
        <v>61</v>
      </c>
      <c r="F318" t="s">
        <v>763</v>
      </c>
      <c r="G318" t="s">
        <v>764</v>
      </c>
      <c r="I318">
        <v>2</v>
      </c>
      <c r="J318" t="s">
        <v>63</v>
      </c>
      <c r="K318" s="8">
        <v>62</v>
      </c>
      <c r="L318" s="8" t="s">
        <v>6600</v>
      </c>
      <c r="M318" s="8" t="s">
        <v>6630</v>
      </c>
      <c r="N318" t="s">
        <v>800</v>
      </c>
      <c r="O318" t="s">
        <v>6562</v>
      </c>
      <c r="P318" s="4">
        <v>35000</v>
      </c>
      <c r="Q318">
        <f t="shared" si="79"/>
        <v>745</v>
      </c>
      <c r="R318">
        <f t="shared" si="80"/>
        <v>12.416666666666666</v>
      </c>
      <c r="S318" s="2">
        <v>45722</v>
      </c>
      <c r="U318">
        <v>1</v>
      </c>
      <c r="V318" s="4">
        <v>35000</v>
      </c>
      <c r="W318" t="s">
        <v>65</v>
      </c>
      <c r="X318" t="s">
        <v>765</v>
      </c>
      <c r="Y318">
        <v>0</v>
      </c>
      <c r="Z318" s="4">
        <v>35000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766</v>
      </c>
      <c r="AQ318" t="s">
        <v>767</v>
      </c>
      <c r="AR318" t="s">
        <v>6664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C318" t="s">
        <v>69</v>
      </c>
      <c r="BD318" t="s">
        <v>768</v>
      </c>
      <c r="BE318">
        <v>0</v>
      </c>
      <c r="BG318" t="s">
        <v>767</v>
      </c>
      <c r="BJ318" t="s">
        <v>769</v>
      </c>
    </row>
    <row r="319" spans="1:62" x14ac:dyDescent="0.35">
      <c r="A319" t="s">
        <v>1613</v>
      </c>
      <c r="B319">
        <v>10000</v>
      </c>
      <c r="C319">
        <v>30000</v>
      </c>
      <c r="D319" s="2">
        <v>45723</v>
      </c>
      <c r="E319" t="s">
        <v>61</v>
      </c>
      <c r="F319" t="s">
        <v>1614</v>
      </c>
      <c r="G319" t="s">
        <v>1615</v>
      </c>
      <c r="I319">
        <v>3</v>
      </c>
      <c r="J319" t="s">
        <v>63</v>
      </c>
      <c r="K319" s="8">
        <v>85</v>
      </c>
      <c r="L319" s="8" t="s">
        <v>6585</v>
      </c>
      <c r="M319" s="8" t="s">
        <v>6628</v>
      </c>
      <c r="N319" t="s">
        <v>327</v>
      </c>
      <c r="O319" t="s">
        <v>6580</v>
      </c>
      <c r="P319" s="4">
        <v>20000</v>
      </c>
      <c r="S319" s="2">
        <v>45722</v>
      </c>
      <c r="U319">
        <v>11</v>
      </c>
      <c r="V319" s="4">
        <v>220000</v>
      </c>
      <c r="W319" t="s">
        <v>65</v>
      </c>
      <c r="X319" t="s">
        <v>1616</v>
      </c>
      <c r="Y319">
        <v>0</v>
      </c>
      <c r="Z319" s="4">
        <v>200000</v>
      </c>
      <c r="AA319" s="4">
        <v>20000</v>
      </c>
      <c r="AB319">
        <v>0</v>
      </c>
      <c r="AC319">
        <v>0</v>
      </c>
      <c r="AD319">
        <v>0</v>
      </c>
      <c r="AG319">
        <v>0</v>
      </c>
      <c r="AP319" t="s">
        <v>1617</v>
      </c>
      <c r="AQ319" t="s">
        <v>107</v>
      </c>
      <c r="AR319" t="s">
        <v>6638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C319" t="s">
        <v>69</v>
      </c>
      <c r="BD319" t="s">
        <v>1618</v>
      </c>
      <c r="BE319">
        <v>0</v>
      </c>
      <c r="BG319" t="s">
        <v>107</v>
      </c>
      <c r="BJ319" t="s">
        <v>1619</v>
      </c>
    </row>
    <row r="320" spans="1:62" x14ac:dyDescent="0.35">
      <c r="A320" t="s">
        <v>1620</v>
      </c>
      <c r="B320">
        <v>10000</v>
      </c>
      <c r="C320">
        <v>30000</v>
      </c>
      <c r="D320" s="2">
        <v>45723</v>
      </c>
      <c r="E320" t="s">
        <v>61</v>
      </c>
      <c r="F320" t="s">
        <v>1621</v>
      </c>
      <c r="G320" t="s">
        <v>1615</v>
      </c>
      <c r="I320">
        <v>3</v>
      </c>
      <c r="J320" t="s">
        <v>63</v>
      </c>
      <c r="K320" s="8">
        <v>85</v>
      </c>
      <c r="L320" s="8" t="s">
        <v>6585</v>
      </c>
      <c r="M320" s="8" t="s">
        <v>6628</v>
      </c>
      <c r="N320" t="s">
        <v>327</v>
      </c>
      <c r="O320" t="s">
        <v>6580</v>
      </c>
      <c r="P320" s="4">
        <v>10000</v>
      </c>
      <c r="S320" s="2">
        <v>45722</v>
      </c>
      <c r="U320">
        <v>11</v>
      </c>
      <c r="V320" s="4">
        <v>110000</v>
      </c>
      <c r="W320" t="s">
        <v>65</v>
      </c>
      <c r="X320" t="s">
        <v>1393</v>
      </c>
      <c r="Y320">
        <v>0</v>
      </c>
      <c r="Z320" s="4">
        <v>100000</v>
      </c>
      <c r="AA320" s="4">
        <v>10000</v>
      </c>
      <c r="AB320">
        <v>0</v>
      </c>
      <c r="AC320">
        <v>0</v>
      </c>
      <c r="AD320">
        <v>0</v>
      </c>
      <c r="AG320">
        <v>0</v>
      </c>
      <c r="AP320" t="s">
        <v>1394</v>
      </c>
      <c r="AQ320" t="s">
        <v>107</v>
      </c>
      <c r="AR320" t="s">
        <v>6638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C320" t="s">
        <v>69</v>
      </c>
      <c r="BD320" t="s">
        <v>1622</v>
      </c>
      <c r="BE320">
        <v>0</v>
      </c>
      <c r="BG320" t="s">
        <v>107</v>
      </c>
      <c r="BJ320" t="s">
        <v>1623</v>
      </c>
    </row>
    <row r="321" spans="1:62" x14ac:dyDescent="0.35">
      <c r="A321" t="s">
        <v>1624</v>
      </c>
      <c r="B321">
        <v>10000</v>
      </c>
      <c r="C321">
        <v>30000</v>
      </c>
      <c r="D321" s="2">
        <v>45723</v>
      </c>
      <c r="E321" t="s">
        <v>61</v>
      </c>
      <c r="F321" t="s">
        <v>1625</v>
      </c>
      <c r="G321" t="s">
        <v>1615</v>
      </c>
      <c r="I321">
        <v>3</v>
      </c>
      <c r="J321" t="s">
        <v>63</v>
      </c>
      <c r="K321" s="8">
        <v>85</v>
      </c>
      <c r="L321" s="8" t="s">
        <v>6585</v>
      </c>
      <c r="M321" s="8" t="s">
        <v>6628</v>
      </c>
      <c r="N321" t="s">
        <v>327</v>
      </c>
      <c r="O321" t="s">
        <v>6580</v>
      </c>
      <c r="P321" s="4">
        <v>10000</v>
      </c>
      <c r="S321" s="2">
        <v>45722</v>
      </c>
      <c r="U321">
        <v>11</v>
      </c>
      <c r="V321" s="4">
        <v>110000</v>
      </c>
      <c r="W321" t="s">
        <v>65</v>
      </c>
      <c r="X321" t="s">
        <v>1224</v>
      </c>
      <c r="Y321">
        <v>0</v>
      </c>
      <c r="Z321" s="4">
        <v>100000</v>
      </c>
      <c r="AA321" s="4">
        <v>10000</v>
      </c>
      <c r="AB321">
        <v>0</v>
      </c>
      <c r="AC321">
        <v>0</v>
      </c>
      <c r="AD321">
        <v>0</v>
      </c>
      <c r="AG321">
        <v>0</v>
      </c>
      <c r="AP321" t="s">
        <v>1225</v>
      </c>
      <c r="AQ321" t="s">
        <v>107</v>
      </c>
      <c r="AR321" t="s">
        <v>6638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BC321" t="s">
        <v>69</v>
      </c>
      <c r="BD321" t="s">
        <v>1626</v>
      </c>
      <c r="BE321">
        <v>0</v>
      </c>
      <c r="BG321" t="s">
        <v>107</v>
      </c>
      <c r="BJ321" t="s">
        <v>1627</v>
      </c>
    </row>
    <row r="322" spans="1:62" x14ac:dyDescent="0.35">
      <c r="A322" t="s">
        <v>1628</v>
      </c>
      <c r="B322">
        <v>10000</v>
      </c>
      <c r="C322">
        <v>30000</v>
      </c>
      <c r="D322" s="2">
        <v>45723</v>
      </c>
      <c r="E322" t="s">
        <v>61</v>
      </c>
      <c r="F322" t="s">
        <v>1629</v>
      </c>
      <c r="G322" t="s">
        <v>1615</v>
      </c>
      <c r="I322">
        <v>3</v>
      </c>
      <c r="J322" t="s">
        <v>63</v>
      </c>
      <c r="K322" s="8">
        <v>85</v>
      </c>
      <c r="L322" s="8" t="s">
        <v>6585</v>
      </c>
      <c r="M322" s="8" t="s">
        <v>6628</v>
      </c>
      <c r="N322" t="s">
        <v>327</v>
      </c>
      <c r="O322" t="s">
        <v>6580</v>
      </c>
      <c r="P322" s="4">
        <v>10000</v>
      </c>
      <c r="S322" s="2">
        <v>45722</v>
      </c>
      <c r="U322">
        <v>11</v>
      </c>
      <c r="V322" s="4">
        <v>110000</v>
      </c>
      <c r="W322" t="s">
        <v>65</v>
      </c>
      <c r="X322" t="s">
        <v>1212</v>
      </c>
      <c r="Y322">
        <v>0</v>
      </c>
      <c r="Z322" s="4">
        <v>100000</v>
      </c>
      <c r="AA322" s="4">
        <v>10000</v>
      </c>
      <c r="AB322">
        <v>0</v>
      </c>
      <c r="AC322">
        <v>0</v>
      </c>
      <c r="AD322">
        <v>0</v>
      </c>
      <c r="AG322">
        <v>0</v>
      </c>
      <c r="AP322" t="s">
        <v>1213</v>
      </c>
      <c r="AQ322" t="s">
        <v>107</v>
      </c>
      <c r="AR322" t="s">
        <v>6638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C322" t="s">
        <v>69</v>
      </c>
      <c r="BD322" t="s">
        <v>1630</v>
      </c>
      <c r="BE322">
        <v>0</v>
      </c>
      <c r="BG322" t="s">
        <v>107</v>
      </c>
      <c r="BJ322" t="s">
        <v>1631</v>
      </c>
    </row>
    <row r="323" spans="1:62" x14ac:dyDescent="0.35">
      <c r="A323" t="s">
        <v>1632</v>
      </c>
      <c r="B323">
        <v>10000</v>
      </c>
      <c r="C323">
        <v>30000</v>
      </c>
      <c r="D323" s="2">
        <v>45723</v>
      </c>
      <c r="E323" t="s">
        <v>61</v>
      </c>
      <c r="F323" t="s">
        <v>1633</v>
      </c>
      <c r="G323" t="s">
        <v>1615</v>
      </c>
      <c r="I323">
        <v>3</v>
      </c>
      <c r="J323" t="s">
        <v>63</v>
      </c>
      <c r="K323" s="8">
        <v>85</v>
      </c>
      <c r="L323" s="8" t="s">
        <v>6585</v>
      </c>
      <c r="M323" s="8" t="s">
        <v>6628</v>
      </c>
      <c r="N323" t="s">
        <v>327</v>
      </c>
      <c r="O323" t="s">
        <v>6580</v>
      </c>
      <c r="P323" s="4">
        <v>10000</v>
      </c>
      <c r="S323" s="2">
        <v>45722</v>
      </c>
      <c r="U323">
        <v>11</v>
      </c>
      <c r="V323" s="4">
        <v>110000</v>
      </c>
      <c r="W323" t="s">
        <v>65</v>
      </c>
      <c r="X323" t="s">
        <v>1634</v>
      </c>
      <c r="Y323">
        <v>0</v>
      </c>
      <c r="Z323" s="4">
        <v>100000</v>
      </c>
      <c r="AA323" s="4">
        <v>10000</v>
      </c>
      <c r="AB323">
        <v>0</v>
      </c>
      <c r="AC323">
        <v>0</v>
      </c>
      <c r="AD323">
        <v>0</v>
      </c>
      <c r="AG323">
        <v>0</v>
      </c>
      <c r="AP323" t="s">
        <v>1635</v>
      </c>
      <c r="AQ323" t="s">
        <v>107</v>
      </c>
      <c r="AR323" t="s">
        <v>6638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BC323" t="s">
        <v>69</v>
      </c>
      <c r="BD323" t="s">
        <v>1636</v>
      </c>
      <c r="BE323">
        <v>0</v>
      </c>
      <c r="BG323" t="s">
        <v>107</v>
      </c>
      <c r="BJ323" t="s">
        <v>1637</v>
      </c>
    </row>
    <row r="324" spans="1:62" x14ac:dyDescent="0.35">
      <c r="A324" t="s">
        <v>1638</v>
      </c>
      <c r="B324">
        <v>10000</v>
      </c>
      <c r="C324">
        <v>30000</v>
      </c>
      <c r="D324" s="2">
        <v>45723</v>
      </c>
      <c r="E324" t="s">
        <v>61</v>
      </c>
      <c r="F324" t="s">
        <v>1639</v>
      </c>
      <c r="G324" t="s">
        <v>1615</v>
      </c>
      <c r="I324">
        <v>3</v>
      </c>
      <c r="J324" t="s">
        <v>63</v>
      </c>
      <c r="K324" s="8">
        <v>85</v>
      </c>
      <c r="L324" s="8" t="s">
        <v>6585</v>
      </c>
      <c r="M324" s="8" t="s">
        <v>6628</v>
      </c>
      <c r="N324" t="s">
        <v>327</v>
      </c>
      <c r="O324" t="s">
        <v>6580</v>
      </c>
      <c r="P324" s="4">
        <v>10000</v>
      </c>
      <c r="S324" s="2">
        <v>45722</v>
      </c>
      <c r="U324">
        <v>11</v>
      </c>
      <c r="V324" s="4">
        <v>110000</v>
      </c>
      <c r="W324" t="s">
        <v>65</v>
      </c>
      <c r="X324" t="s">
        <v>1218</v>
      </c>
      <c r="Y324">
        <v>0</v>
      </c>
      <c r="Z324" s="4">
        <v>60000</v>
      </c>
      <c r="AA324" s="4">
        <v>50000</v>
      </c>
      <c r="AB324">
        <v>0</v>
      </c>
      <c r="AC324">
        <v>0</v>
      </c>
      <c r="AD324">
        <v>0</v>
      </c>
      <c r="AG324">
        <v>0</v>
      </c>
      <c r="AP324" t="s">
        <v>1219</v>
      </c>
      <c r="AQ324" t="s">
        <v>107</v>
      </c>
      <c r="AR324" t="s">
        <v>6638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C324" t="s">
        <v>69</v>
      </c>
      <c r="BD324" t="s">
        <v>1640</v>
      </c>
      <c r="BE324">
        <v>0</v>
      </c>
      <c r="BG324" t="s">
        <v>107</v>
      </c>
      <c r="BJ324" t="s">
        <v>1641</v>
      </c>
    </row>
    <row r="325" spans="1:62" x14ac:dyDescent="0.35">
      <c r="A325" t="s">
        <v>1642</v>
      </c>
      <c r="B325">
        <v>10000</v>
      </c>
      <c r="C325">
        <v>30000</v>
      </c>
      <c r="D325" s="2">
        <v>45723</v>
      </c>
      <c r="E325" t="s">
        <v>61</v>
      </c>
      <c r="F325" t="s">
        <v>1643</v>
      </c>
      <c r="G325" t="s">
        <v>1615</v>
      </c>
      <c r="I325">
        <v>3</v>
      </c>
      <c r="J325" t="s">
        <v>63</v>
      </c>
      <c r="K325" s="8">
        <v>85</v>
      </c>
      <c r="L325" s="8" t="s">
        <v>6585</v>
      </c>
      <c r="M325" s="8" t="s">
        <v>6628</v>
      </c>
      <c r="N325" t="s">
        <v>327</v>
      </c>
      <c r="O325" t="s">
        <v>6580</v>
      </c>
      <c r="P325" s="4">
        <v>10000</v>
      </c>
      <c r="S325" s="2">
        <v>45722</v>
      </c>
      <c r="U325">
        <v>11</v>
      </c>
      <c r="V325" s="4">
        <v>110000</v>
      </c>
      <c r="W325" t="s">
        <v>65</v>
      </c>
      <c r="X325" t="s">
        <v>1644</v>
      </c>
      <c r="Y325">
        <v>0</v>
      </c>
      <c r="Z325" s="4">
        <v>100000</v>
      </c>
      <c r="AA325" s="4">
        <v>10000</v>
      </c>
      <c r="AB325">
        <v>0</v>
      </c>
      <c r="AC325">
        <v>0</v>
      </c>
      <c r="AD325">
        <v>0</v>
      </c>
      <c r="AG325">
        <v>0</v>
      </c>
      <c r="AP325" t="s">
        <v>1645</v>
      </c>
      <c r="AQ325" t="s">
        <v>107</v>
      </c>
      <c r="AR325" t="s">
        <v>6638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BC325" t="s">
        <v>69</v>
      </c>
      <c r="BD325" t="s">
        <v>1646</v>
      </c>
      <c r="BE325">
        <v>0</v>
      </c>
      <c r="BG325" t="s">
        <v>107</v>
      </c>
      <c r="BJ325" t="s">
        <v>1647</v>
      </c>
    </row>
    <row r="326" spans="1:62" x14ac:dyDescent="0.35">
      <c r="A326" t="s">
        <v>1648</v>
      </c>
      <c r="B326">
        <v>10000</v>
      </c>
      <c r="C326">
        <v>30000</v>
      </c>
      <c r="D326" s="2">
        <v>45723</v>
      </c>
      <c r="E326" t="s">
        <v>61</v>
      </c>
      <c r="F326" t="s">
        <v>1649</v>
      </c>
      <c r="G326" t="s">
        <v>1615</v>
      </c>
      <c r="I326">
        <v>3</v>
      </c>
      <c r="J326" t="s">
        <v>63</v>
      </c>
      <c r="K326" s="8">
        <v>85</v>
      </c>
      <c r="L326" s="8" t="s">
        <v>6585</v>
      </c>
      <c r="M326" s="8" t="s">
        <v>6628</v>
      </c>
      <c r="N326" t="s">
        <v>327</v>
      </c>
      <c r="O326" t="s">
        <v>6580</v>
      </c>
      <c r="P326" s="4">
        <v>10000</v>
      </c>
      <c r="S326" s="2">
        <v>45722</v>
      </c>
      <c r="U326">
        <v>11</v>
      </c>
      <c r="V326" s="4">
        <v>110000</v>
      </c>
      <c r="W326" t="s">
        <v>65</v>
      </c>
      <c r="X326" t="s">
        <v>1206</v>
      </c>
      <c r="Y326">
        <v>0</v>
      </c>
      <c r="Z326" s="4">
        <v>100000</v>
      </c>
      <c r="AA326" s="4">
        <v>10000</v>
      </c>
      <c r="AB326">
        <v>0</v>
      </c>
      <c r="AC326">
        <v>0</v>
      </c>
      <c r="AD326">
        <v>0</v>
      </c>
      <c r="AG326">
        <v>0</v>
      </c>
      <c r="AP326" t="s">
        <v>1207</v>
      </c>
      <c r="AQ326" t="s">
        <v>107</v>
      </c>
      <c r="AR326" t="s">
        <v>6638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BC326" t="s">
        <v>69</v>
      </c>
      <c r="BD326" t="s">
        <v>1650</v>
      </c>
      <c r="BE326">
        <v>0</v>
      </c>
      <c r="BG326" t="s">
        <v>107</v>
      </c>
      <c r="BJ326" t="s">
        <v>1651</v>
      </c>
    </row>
    <row r="327" spans="1:62" x14ac:dyDescent="0.35">
      <c r="A327" t="s">
        <v>1652</v>
      </c>
      <c r="B327">
        <v>10000</v>
      </c>
      <c r="C327">
        <v>30000</v>
      </c>
      <c r="D327" s="2">
        <v>45723</v>
      </c>
      <c r="E327" t="s">
        <v>61</v>
      </c>
      <c r="F327" t="s">
        <v>1653</v>
      </c>
      <c r="G327" t="s">
        <v>1615</v>
      </c>
      <c r="I327">
        <v>3</v>
      </c>
      <c r="J327" t="s">
        <v>63</v>
      </c>
      <c r="K327" s="8">
        <v>85</v>
      </c>
      <c r="L327" s="8" t="s">
        <v>6585</v>
      </c>
      <c r="M327" s="8" t="s">
        <v>6628</v>
      </c>
      <c r="N327" t="s">
        <v>327</v>
      </c>
      <c r="O327" t="s">
        <v>6580</v>
      </c>
      <c r="P327" s="4">
        <v>10000</v>
      </c>
      <c r="S327" s="2">
        <v>45722</v>
      </c>
      <c r="U327">
        <v>11</v>
      </c>
      <c r="V327" s="4">
        <v>110000</v>
      </c>
      <c r="W327" t="s">
        <v>65</v>
      </c>
      <c r="X327" t="s">
        <v>1358</v>
      </c>
      <c r="Y327">
        <v>0</v>
      </c>
      <c r="Z327" s="4">
        <v>100000</v>
      </c>
      <c r="AA327" s="4">
        <v>10000</v>
      </c>
      <c r="AB327">
        <v>0</v>
      </c>
      <c r="AC327">
        <v>0</v>
      </c>
      <c r="AD327">
        <v>0</v>
      </c>
      <c r="AG327">
        <v>0</v>
      </c>
      <c r="AP327" t="s">
        <v>1359</v>
      </c>
      <c r="AQ327" t="s">
        <v>107</v>
      </c>
      <c r="AR327" t="s">
        <v>6638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BC327" t="s">
        <v>69</v>
      </c>
      <c r="BD327" t="s">
        <v>1654</v>
      </c>
      <c r="BE327">
        <v>0</v>
      </c>
      <c r="BG327" t="s">
        <v>107</v>
      </c>
      <c r="BJ327" t="s">
        <v>1655</v>
      </c>
    </row>
    <row r="328" spans="1:62" x14ac:dyDescent="0.35">
      <c r="A328" t="s">
        <v>1656</v>
      </c>
      <c r="B328">
        <v>10000</v>
      </c>
      <c r="C328">
        <v>30000</v>
      </c>
      <c r="D328" s="2">
        <v>45726</v>
      </c>
      <c r="E328" t="s">
        <v>61</v>
      </c>
      <c r="F328" s="3">
        <v>0.42184027777777777</v>
      </c>
      <c r="G328" t="s">
        <v>1615</v>
      </c>
      <c r="I328">
        <v>3</v>
      </c>
      <c r="J328" t="s">
        <v>63</v>
      </c>
      <c r="K328" s="8">
        <v>85</v>
      </c>
      <c r="L328" s="8" t="s">
        <v>6585</v>
      </c>
      <c r="M328" s="8" t="s">
        <v>6628</v>
      </c>
      <c r="N328" t="s">
        <v>327</v>
      </c>
      <c r="O328" t="s">
        <v>6580</v>
      </c>
      <c r="P328" s="4">
        <v>10000</v>
      </c>
      <c r="S328" s="2">
        <v>45722</v>
      </c>
      <c r="U328">
        <v>11</v>
      </c>
      <c r="V328" s="4">
        <v>110000</v>
      </c>
      <c r="W328" t="s">
        <v>65</v>
      </c>
      <c r="X328" t="s">
        <v>1657</v>
      </c>
      <c r="Y328">
        <v>0</v>
      </c>
      <c r="Z328" s="4">
        <v>100000</v>
      </c>
      <c r="AA328" s="4">
        <v>10000</v>
      </c>
      <c r="AB328">
        <v>0</v>
      </c>
      <c r="AC328">
        <v>0</v>
      </c>
      <c r="AD328">
        <v>0</v>
      </c>
      <c r="AG328">
        <v>0</v>
      </c>
      <c r="AP328" t="s">
        <v>1658</v>
      </c>
      <c r="AQ328" t="s">
        <v>107</v>
      </c>
      <c r="AR328" t="s">
        <v>6638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C328" t="s">
        <v>69</v>
      </c>
      <c r="BD328" t="s">
        <v>1659</v>
      </c>
      <c r="BE328">
        <v>0</v>
      </c>
      <c r="BG328" t="s">
        <v>107</v>
      </c>
      <c r="BJ328" t="s">
        <v>1660</v>
      </c>
    </row>
    <row r="329" spans="1:62" x14ac:dyDescent="0.35">
      <c r="A329" t="s">
        <v>1661</v>
      </c>
      <c r="B329">
        <v>10000</v>
      </c>
      <c r="C329">
        <v>10000</v>
      </c>
      <c r="D329" s="2">
        <v>45722</v>
      </c>
      <c r="E329" t="s">
        <v>61</v>
      </c>
      <c r="F329" t="s">
        <v>793</v>
      </c>
      <c r="G329" t="s">
        <v>387</v>
      </c>
      <c r="I329">
        <v>1</v>
      </c>
      <c r="J329" t="s">
        <v>63</v>
      </c>
      <c r="K329" s="8">
        <v>59</v>
      </c>
      <c r="L329" s="8" t="s">
        <v>6592</v>
      </c>
      <c r="M329" s="8" t="s">
        <v>6629</v>
      </c>
      <c r="N329" t="s">
        <v>745</v>
      </c>
      <c r="O329" t="s">
        <v>6501</v>
      </c>
      <c r="P329">
        <v>500</v>
      </c>
      <c r="Q329">
        <f>(P329/40)+45</f>
        <v>57.5</v>
      </c>
      <c r="R329">
        <f>Q329/60</f>
        <v>0.95833333333333337</v>
      </c>
      <c r="S329" s="2">
        <v>45722</v>
      </c>
      <c r="U329">
        <v>2</v>
      </c>
      <c r="V329" s="4">
        <v>1000</v>
      </c>
      <c r="W329" t="s">
        <v>65</v>
      </c>
      <c r="X329" t="s">
        <v>1662</v>
      </c>
      <c r="Y329">
        <v>0</v>
      </c>
      <c r="Z329" s="4">
        <v>1000</v>
      </c>
      <c r="AA329">
        <v>0</v>
      </c>
      <c r="AB329">
        <v>0</v>
      </c>
      <c r="AC329">
        <v>0</v>
      </c>
      <c r="AD329">
        <v>0</v>
      </c>
      <c r="AG329">
        <v>0</v>
      </c>
      <c r="AP329" t="s">
        <v>1663</v>
      </c>
      <c r="AQ329" t="s">
        <v>206</v>
      </c>
      <c r="AR329" t="s">
        <v>6645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C329" t="s">
        <v>69</v>
      </c>
      <c r="BD329" t="s">
        <v>1664</v>
      </c>
      <c r="BE329">
        <v>0</v>
      </c>
      <c r="BG329" t="s">
        <v>206</v>
      </c>
      <c r="BJ329" t="s">
        <v>1167</v>
      </c>
    </row>
    <row r="330" spans="1:62" x14ac:dyDescent="0.35">
      <c r="A330" t="s">
        <v>1665</v>
      </c>
      <c r="B330">
        <v>10000</v>
      </c>
      <c r="C330">
        <v>10000</v>
      </c>
      <c r="D330" s="2">
        <v>45726</v>
      </c>
      <c r="E330" t="s">
        <v>61</v>
      </c>
      <c r="F330" s="3">
        <v>0.42357638888888888</v>
      </c>
      <c r="G330" t="s">
        <v>1666</v>
      </c>
      <c r="I330">
        <v>1</v>
      </c>
      <c r="J330" t="s">
        <v>63</v>
      </c>
      <c r="K330" s="8">
        <v>87</v>
      </c>
      <c r="L330" s="8" t="s">
        <v>6591</v>
      </c>
      <c r="M330" s="8" t="s">
        <v>6630</v>
      </c>
      <c r="N330" t="s">
        <v>172</v>
      </c>
      <c r="O330" t="s">
        <v>6546</v>
      </c>
      <c r="P330" s="4">
        <v>20250</v>
      </c>
      <c r="S330" s="2">
        <v>45722</v>
      </c>
      <c r="U330">
        <v>2</v>
      </c>
      <c r="V330" s="4">
        <v>40500</v>
      </c>
      <c r="W330" t="s">
        <v>65</v>
      </c>
      <c r="X330" t="s">
        <v>173</v>
      </c>
      <c r="Y330">
        <v>0</v>
      </c>
      <c r="Z330" s="4">
        <v>40500</v>
      </c>
      <c r="AA330">
        <v>0</v>
      </c>
      <c r="AB330">
        <v>0</v>
      </c>
      <c r="AC330">
        <v>0</v>
      </c>
      <c r="AD330">
        <v>0</v>
      </c>
      <c r="AG330">
        <v>0</v>
      </c>
      <c r="AP330" t="s">
        <v>174</v>
      </c>
      <c r="AQ330" t="s">
        <v>175</v>
      </c>
      <c r="AR330" t="s">
        <v>6642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BC330" t="s">
        <v>69</v>
      </c>
      <c r="BD330" t="s">
        <v>1667</v>
      </c>
      <c r="BE330">
        <v>0</v>
      </c>
      <c r="BG330" t="s">
        <v>175</v>
      </c>
      <c r="BJ330" t="s">
        <v>1668</v>
      </c>
    </row>
    <row r="331" spans="1:62" x14ac:dyDescent="0.35">
      <c r="A331" t="s">
        <v>1669</v>
      </c>
      <c r="B331">
        <v>10000</v>
      </c>
      <c r="C331">
        <v>10000</v>
      </c>
      <c r="D331" s="2">
        <v>45723</v>
      </c>
      <c r="E331" t="s">
        <v>61</v>
      </c>
      <c r="F331" t="s">
        <v>1169</v>
      </c>
      <c r="G331">
        <v>234402</v>
      </c>
      <c r="I331">
        <v>1</v>
      </c>
      <c r="J331" t="s">
        <v>63</v>
      </c>
      <c r="K331" s="8">
        <v>90</v>
      </c>
      <c r="L331" s="8" t="s">
        <v>6589</v>
      </c>
      <c r="M331" s="8" t="s">
        <v>6630</v>
      </c>
      <c r="N331" t="s">
        <v>405</v>
      </c>
      <c r="O331" t="s">
        <v>6555</v>
      </c>
      <c r="P331" s="4">
        <v>1167</v>
      </c>
      <c r="Q331">
        <f>(P331/20)+45</f>
        <v>103.35</v>
      </c>
      <c r="R331">
        <f>Q331/60</f>
        <v>1.7224999999999999</v>
      </c>
      <c r="S331" s="2">
        <v>45722</v>
      </c>
      <c r="U331">
        <v>180</v>
      </c>
      <c r="V331" s="4">
        <v>210060</v>
      </c>
      <c r="W331" t="s">
        <v>65</v>
      </c>
      <c r="X331" t="s">
        <v>1670</v>
      </c>
      <c r="Y331">
        <v>0</v>
      </c>
      <c r="Z331" s="4">
        <v>210000</v>
      </c>
      <c r="AA331">
        <v>60</v>
      </c>
      <c r="AB331">
        <v>0</v>
      </c>
      <c r="AC331">
        <v>0</v>
      </c>
      <c r="AD331">
        <v>0</v>
      </c>
      <c r="AG331">
        <v>0</v>
      </c>
      <c r="AP331" t="s">
        <v>1671</v>
      </c>
      <c r="AQ331" t="s">
        <v>1672</v>
      </c>
      <c r="AR331" t="s">
        <v>6681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BC331" t="s">
        <v>69</v>
      </c>
      <c r="BD331" t="s">
        <v>1673</v>
      </c>
      <c r="BE331">
        <v>0</v>
      </c>
      <c r="BG331" t="s">
        <v>1672</v>
      </c>
      <c r="BJ331" t="s">
        <v>1674</v>
      </c>
    </row>
    <row r="332" spans="1:62" x14ac:dyDescent="0.35">
      <c r="A332" t="s">
        <v>1675</v>
      </c>
      <c r="B332">
        <v>10000</v>
      </c>
      <c r="C332">
        <v>10000</v>
      </c>
      <c r="D332" s="2">
        <v>45723</v>
      </c>
      <c r="E332" t="s">
        <v>61</v>
      </c>
      <c r="F332" t="s">
        <v>1676</v>
      </c>
      <c r="G332" t="s">
        <v>1677</v>
      </c>
      <c r="I332">
        <v>1</v>
      </c>
      <c r="J332" t="s">
        <v>63</v>
      </c>
      <c r="K332" s="8">
        <v>60</v>
      </c>
      <c r="L332" s="8" t="s">
        <v>6590</v>
      </c>
      <c r="M332" s="8" t="s">
        <v>6630</v>
      </c>
      <c r="N332" t="s">
        <v>277</v>
      </c>
      <c r="O332" t="s">
        <v>6554</v>
      </c>
      <c r="P332" s="4">
        <v>10000</v>
      </c>
      <c r="Q332">
        <f>(P332/50)+45</f>
        <v>245</v>
      </c>
      <c r="R332">
        <f>Q332/60</f>
        <v>4.083333333333333</v>
      </c>
      <c r="S332" s="2">
        <v>45722</v>
      </c>
      <c r="U332">
        <v>1</v>
      </c>
      <c r="V332" s="4">
        <v>10000</v>
      </c>
      <c r="W332" t="s">
        <v>65</v>
      </c>
      <c r="X332" t="s">
        <v>1678</v>
      </c>
      <c r="Y332">
        <v>0</v>
      </c>
      <c r="Z332" s="4">
        <v>10000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1679</v>
      </c>
      <c r="AQ332" t="s">
        <v>1680</v>
      </c>
      <c r="AR332" t="s">
        <v>6682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BC332" t="s">
        <v>69</v>
      </c>
      <c r="BD332" t="s">
        <v>1681</v>
      </c>
      <c r="BE332">
        <v>0</v>
      </c>
      <c r="BG332" t="s">
        <v>1680</v>
      </c>
      <c r="BJ332" t="s">
        <v>1682</v>
      </c>
    </row>
    <row r="333" spans="1:62" x14ac:dyDescent="0.35">
      <c r="A333" t="s">
        <v>1683</v>
      </c>
      <c r="B333">
        <v>10000</v>
      </c>
      <c r="C333">
        <v>20000</v>
      </c>
      <c r="D333" s="2">
        <v>45723</v>
      </c>
      <c r="E333" t="s">
        <v>61</v>
      </c>
      <c r="F333" t="s">
        <v>1593</v>
      </c>
      <c r="G333" t="s">
        <v>1684</v>
      </c>
      <c r="I333">
        <v>1</v>
      </c>
      <c r="J333" t="s">
        <v>63</v>
      </c>
      <c r="K333" s="8">
        <v>78</v>
      </c>
      <c r="L333" s="8" t="s">
        <v>6593</v>
      </c>
      <c r="M333" s="8" t="s">
        <v>6629</v>
      </c>
      <c r="N333" t="s">
        <v>188</v>
      </c>
      <c r="O333" t="s">
        <v>6410</v>
      </c>
      <c r="P333" s="4">
        <v>25000</v>
      </c>
      <c r="Q333">
        <f>(P333/40)+45</f>
        <v>670</v>
      </c>
      <c r="R333">
        <f>Q333/60</f>
        <v>11.166666666666666</v>
      </c>
      <c r="S333" s="2">
        <v>45722</v>
      </c>
      <c r="U333">
        <v>2</v>
      </c>
      <c r="V333" s="4">
        <v>50000</v>
      </c>
      <c r="W333" t="s">
        <v>65</v>
      </c>
      <c r="X333" t="s">
        <v>1685</v>
      </c>
      <c r="Y333">
        <v>0</v>
      </c>
      <c r="Z333" s="4">
        <v>50000</v>
      </c>
      <c r="AA333">
        <v>0</v>
      </c>
      <c r="AB333">
        <v>0</v>
      </c>
      <c r="AC333">
        <v>0</v>
      </c>
      <c r="AD333">
        <v>0</v>
      </c>
      <c r="AG333">
        <v>0</v>
      </c>
      <c r="AP333" t="s">
        <v>1686</v>
      </c>
      <c r="AQ333" t="s">
        <v>206</v>
      </c>
      <c r="AR333" t="s">
        <v>6645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C333" t="s">
        <v>69</v>
      </c>
      <c r="BD333" t="s">
        <v>1687</v>
      </c>
      <c r="BE333">
        <v>0</v>
      </c>
      <c r="BG333" t="s">
        <v>206</v>
      </c>
      <c r="BJ333" t="s">
        <v>1688</v>
      </c>
    </row>
    <row r="334" spans="1:62" x14ac:dyDescent="0.35">
      <c r="A334" t="s">
        <v>1689</v>
      </c>
      <c r="B334">
        <v>10000</v>
      </c>
      <c r="C334">
        <v>10000</v>
      </c>
      <c r="D334" s="2">
        <v>45727</v>
      </c>
      <c r="E334" t="s">
        <v>61</v>
      </c>
      <c r="F334" s="3">
        <v>0.47407407407407409</v>
      </c>
      <c r="G334">
        <v>10620258028</v>
      </c>
      <c r="I334">
        <v>1</v>
      </c>
      <c r="J334" t="s">
        <v>63</v>
      </c>
      <c r="K334" s="8">
        <v>79</v>
      </c>
      <c r="L334" s="8" t="s">
        <v>6608</v>
      </c>
      <c r="M334" s="8" t="s">
        <v>6631</v>
      </c>
      <c r="N334" t="s">
        <v>573</v>
      </c>
      <c r="O334" t="s">
        <v>6547</v>
      </c>
      <c r="P334">
        <v>398</v>
      </c>
      <c r="Q334">
        <f t="shared" ref="Q334:Q335" si="81">(P334/20)+30</f>
        <v>49.9</v>
      </c>
      <c r="R334">
        <f t="shared" ref="R334:R335" si="82">Q334/60</f>
        <v>0.83166666666666667</v>
      </c>
      <c r="S334" s="2">
        <v>45722</v>
      </c>
      <c r="U334">
        <v>297</v>
      </c>
      <c r="V334" s="4">
        <v>118206</v>
      </c>
      <c r="W334" t="s">
        <v>65</v>
      </c>
      <c r="X334" t="s">
        <v>1690</v>
      </c>
      <c r="Y334">
        <v>0</v>
      </c>
      <c r="Z334" s="4">
        <v>100000</v>
      </c>
      <c r="AA334" s="4">
        <v>18206</v>
      </c>
      <c r="AB334">
        <v>0</v>
      </c>
      <c r="AC334">
        <v>0</v>
      </c>
      <c r="AD334">
        <v>0</v>
      </c>
      <c r="AG334">
        <v>0</v>
      </c>
      <c r="AP334" t="s">
        <v>1691</v>
      </c>
      <c r="AQ334" t="s">
        <v>107</v>
      </c>
      <c r="AR334" t="s">
        <v>6638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BC334" t="s">
        <v>69</v>
      </c>
      <c r="BD334" t="s">
        <v>1692</v>
      </c>
      <c r="BE334">
        <v>0</v>
      </c>
      <c r="BG334" t="s">
        <v>107</v>
      </c>
      <c r="BJ334" t="s">
        <v>1693</v>
      </c>
    </row>
    <row r="335" spans="1:62" x14ac:dyDescent="0.35">
      <c r="A335" t="s">
        <v>1694</v>
      </c>
      <c r="B335">
        <v>10000</v>
      </c>
      <c r="C335">
        <v>10000</v>
      </c>
      <c r="D335" s="2">
        <v>45727</v>
      </c>
      <c r="E335" t="s">
        <v>61</v>
      </c>
      <c r="F335" t="s">
        <v>1695</v>
      </c>
      <c r="G335">
        <v>10620258028</v>
      </c>
      <c r="I335">
        <v>1</v>
      </c>
      <c r="J335" t="s">
        <v>63</v>
      </c>
      <c r="K335" s="8">
        <v>79</v>
      </c>
      <c r="L335" s="8" t="s">
        <v>6608</v>
      </c>
      <c r="M335" s="8" t="s">
        <v>6631</v>
      </c>
      <c r="N335" t="s">
        <v>573</v>
      </c>
      <c r="O335" t="s">
        <v>6547</v>
      </c>
      <c r="P335">
        <v>398</v>
      </c>
      <c r="Q335">
        <f t="shared" si="81"/>
        <v>49.9</v>
      </c>
      <c r="R335">
        <f t="shared" si="82"/>
        <v>0.83166666666666667</v>
      </c>
      <c r="S335" s="2">
        <v>45722</v>
      </c>
      <c r="U335">
        <v>297</v>
      </c>
      <c r="V335" s="4">
        <v>118206</v>
      </c>
      <c r="W335" t="s">
        <v>65</v>
      </c>
      <c r="X335" t="s">
        <v>784</v>
      </c>
      <c r="Y335">
        <v>0</v>
      </c>
      <c r="Z335" s="4">
        <v>100000</v>
      </c>
      <c r="AA335" s="4">
        <v>18206</v>
      </c>
      <c r="AB335">
        <v>0</v>
      </c>
      <c r="AC335">
        <v>0</v>
      </c>
      <c r="AD335">
        <v>0</v>
      </c>
      <c r="AG335">
        <v>0</v>
      </c>
      <c r="AP335" t="s">
        <v>785</v>
      </c>
      <c r="AQ335" t="s">
        <v>107</v>
      </c>
      <c r="AR335" t="s">
        <v>6638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BC335" t="s">
        <v>69</v>
      </c>
      <c r="BD335" t="s">
        <v>1696</v>
      </c>
      <c r="BE335">
        <v>0</v>
      </c>
      <c r="BG335" t="s">
        <v>107</v>
      </c>
      <c r="BJ335" t="s">
        <v>1697</v>
      </c>
    </row>
    <row r="336" spans="1:62" x14ac:dyDescent="0.35">
      <c r="A336" t="s">
        <v>1698</v>
      </c>
      <c r="B336">
        <v>10000</v>
      </c>
      <c r="C336">
        <v>20000</v>
      </c>
      <c r="D336" s="2">
        <v>45723</v>
      </c>
      <c r="E336" t="s">
        <v>61</v>
      </c>
      <c r="F336" t="s">
        <v>1699</v>
      </c>
      <c r="G336" t="s">
        <v>1700</v>
      </c>
      <c r="I336">
        <v>1</v>
      </c>
      <c r="J336" t="s">
        <v>63</v>
      </c>
      <c r="K336" s="8">
        <v>94</v>
      </c>
      <c r="L336" s="8" t="s">
        <v>6599</v>
      </c>
      <c r="M336" s="8" t="s">
        <v>6629</v>
      </c>
      <c r="N336" t="s">
        <v>181</v>
      </c>
      <c r="O336" t="s">
        <v>6544</v>
      </c>
      <c r="P336" s="4">
        <v>10000</v>
      </c>
      <c r="S336" s="2">
        <v>45722</v>
      </c>
      <c r="U336">
        <v>4</v>
      </c>
      <c r="V336" s="4">
        <v>40000</v>
      </c>
      <c r="W336" t="s">
        <v>65</v>
      </c>
      <c r="X336" t="s">
        <v>1701</v>
      </c>
      <c r="Y336">
        <v>0</v>
      </c>
      <c r="Z336" s="4">
        <v>40000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1702</v>
      </c>
      <c r="AQ336" t="s">
        <v>364</v>
      </c>
      <c r="AR336" t="s">
        <v>6653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C336" t="s">
        <v>69</v>
      </c>
      <c r="BD336" t="s">
        <v>1703</v>
      </c>
      <c r="BE336">
        <v>0</v>
      </c>
      <c r="BG336" t="s">
        <v>364</v>
      </c>
      <c r="BJ336" t="s">
        <v>1704</v>
      </c>
    </row>
    <row r="337" spans="1:62" x14ac:dyDescent="0.35">
      <c r="A337" t="s">
        <v>1705</v>
      </c>
      <c r="B337">
        <v>10000</v>
      </c>
      <c r="C337">
        <v>10000</v>
      </c>
      <c r="D337" s="2">
        <v>45726</v>
      </c>
      <c r="E337" t="s">
        <v>61</v>
      </c>
      <c r="F337" s="3">
        <v>0.42302083333333335</v>
      </c>
      <c r="G337" t="s">
        <v>1706</v>
      </c>
      <c r="I337">
        <v>1</v>
      </c>
      <c r="J337" t="s">
        <v>63</v>
      </c>
      <c r="K337" s="8">
        <v>75</v>
      </c>
      <c r="L337" t="s">
        <v>6602</v>
      </c>
      <c r="M337" s="8" t="s">
        <v>6630</v>
      </c>
      <c r="N337" t="s">
        <v>154</v>
      </c>
      <c r="O337" t="s">
        <v>6575</v>
      </c>
      <c r="P337" s="4">
        <v>21539</v>
      </c>
      <c r="S337" s="2">
        <v>45722</v>
      </c>
      <c r="U337">
        <v>13</v>
      </c>
      <c r="V337" s="4">
        <v>280007</v>
      </c>
      <c r="W337" t="s">
        <v>65</v>
      </c>
      <c r="X337" t="s">
        <v>460</v>
      </c>
      <c r="Y337">
        <v>0</v>
      </c>
      <c r="Z337" s="4">
        <v>280000</v>
      </c>
      <c r="AA337">
        <v>7</v>
      </c>
      <c r="AB337">
        <v>0</v>
      </c>
      <c r="AC337">
        <v>0</v>
      </c>
      <c r="AD337">
        <v>0</v>
      </c>
      <c r="AG337">
        <v>0</v>
      </c>
      <c r="AP337" t="s">
        <v>461</v>
      </c>
      <c r="AQ337" t="s">
        <v>175</v>
      </c>
      <c r="AR337" t="s">
        <v>6642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BC337" t="s">
        <v>69</v>
      </c>
      <c r="BD337" t="s">
        <v>1708</v>
      </c>
      <c r="BE337">
        <v>0</v>
      </c>
      <c r="BG337" t="s">
        <v>175</v>
      </c>
      <c r="BJ337" t="s">
        <v>1709</v>
      </c>
    </row>
    <row r="338" spans="1:62" x14ac:dyDescent="0.35">
      <c r="A338" t="s">
        <v>1710</v>
      </c>
      <c r="B338">
        <v>10000</v>
      </c>
      <c r="C338">
        <v>10000</v>
      </c>
      <c r="D338" s="2">
        <v>45722</v>
      </c>
      <c r="E338" t="s">
        <v>61</v>
      </c>
      <c r="F338" s="3">
        <v>0.53784722222222225</v>
      </c>
      <c r="G338" t="s">
        <v>1126</v>
      </c>
      <c r="I338">
        <v>1</v>
      </c>
      <c r="J338" t="s">
        <v>63</v>
      </c>
      <c r="K338" s="8">
        <v>22</v>
      </c>
      <c r="L338" s="8" t="s">
        <v>6603</v>
      </c>
      <c r="M338" s="8" t="s">
        <v>6629</v>
      </c>
      <c r="N338" t="s">
        <v>466</v>
      </c>
      <c r="O338" t="s">
        <v>6474</v>
      </c>
      <c r="P338" s="4">
        <v>3500</v>
      </c>
      <c r="Q338">
        <f t="shared" ref="Q338:Q340" si="83">(P338/50)+45</f>
        <v>115</v>
      </c>
      <c r="R338">
        <f t="shared" ref="R338:R340" si="84">Q338/60</f>
        <v>1.9166666666666667</v>
      </c>
      <c r="S338" s="2">
        <v>45722</v>
      </c>
      <c r="U338">
        <v>2</v>
      </c>
      <c r="V338" s="4">
        <v>7000</v>
      </c>
      <c r="W338" t="s">
        <v>65</v>
      </c>
      <c r="X338" t="s">
        <v>1711</v>
      </c>
      <c r="Y338">
        <v>0</v>
      </c>
      <c r="Z338" s="4">
        <v>7000</v>
      </c>
      <c r="AA338">
        <v>0</v>
      </c>
      <c r="AB338">
        <v>0</v>
      </c>
      <c r="AC338">
        <v>0</v>
      </c>
      <c r="AD338">
        <v>0</v>
      </c>
      <c r="AG338">
        <v>0</v>
      </c>
      <c r="AP338" t="s">
        <v>1712</v>
      </c>
      <c r="AQ338" t="s">
        <v>116</v>
      </c>
      <c r="AR338" t="s">
        <v>6639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BC338" t="s">
        <v>69</v>
      </c>
      <c r="BD338" t="s">
        <v>1713</v>
      </c>
      <c r="BE338">
        <v>0</v>
      </c>
      <c r="BG338" t="s">
        <v>116</v>
      </c>
      <c r="BJ338" t="s">
        <v>470</v>
      </c>
    </row>
    <row r="339" spans="1:62" x14ac:dyDescent="0.35">
      <c r="A339" t="s">
        <v>1714</v>
      </c>
      <c r="B339">
        <v>10000</v>
      </c>
      <c r="C339">
        <v>10000</v>
      </c>
      <c r="D339" s="2">
        <v>45722</v>
      </c>
      <c r="E339" t="s">
        <v>61</v>
      </c>
      <c r="F339" t="s">
        <v>1587</v>
      </c>
      <c r="G339" t="s">
        <v>1126</v>
      </c>
      <c r="I339">
        <v>1</v>
      </c>
      <c r="J339" t="s">
        <v>63</v>
      </c>
      <c r="K339" s="8">
        <v>22</v>
      </c>
      <c r="L339" s="8" t="s">
        <v>6603</v>
      </c>
      <c r="M339" s="8" t="s">
        <v>6629</v>
      </c>
      <c r="N339" t="s">
        <v>466</v>
      </c>
      <c r="O339" t="s">
        <v>6474</v>
      </c>
      <c r="P339" s="4">
        <v>3500</v>
      </c>
      <c r="Q339">
        <f t="shared" si="83"/>
        <v>115</v>
      </c>
      <c r="R339">
        <f t="shared" si="84"/>
        <v>1.9166666666666667</v>
      </c>
      <c r="S339" s="2">
        <v>45722</v>
      </c>
      <c r="U339">
        <v>2</v>
      </c>
      <c r="V339" s="4">
        <v>7000</v>
      </c>
      <c r="W339" t="s">
        <v>65</v>
      </c>
      <c r="X339" t="s">
        <v>1715</v>
      </c>
      <c r="Y339">
        <v>0</v>
      </c>
      <c r="Z339" s="4">
        <v>7000</v>
      </c>
      <c r="AA339">
        <v>0</v>
      </c>
      <c r="AB339">
        <v>0</v>
      </c>
      <c r="AC339">
        <v>0</v>
      </c>
      <c r="AD339">
        <v>0</v>
      </c>
      <c r="AG339">
        <v>0</v>
      </c>
      <c r="AP339" t="s">
        <v>1716</v>
      </c>
      <c r="AQ339" t="s">
        <v>116</v>
      </c>
      <c r="AR339" t="s">
        <v>6639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BC339" t="s">
        <v>69</v>
      </c>
      <c r="BD339" t="s">
        <v>1717</v>
      </c>
      <c r="BE339">
        <v>0</v>
      </c>
      <c r="BG339" t="s">
        <v>116</v>
      </c>
      <c r="BJ339" t="s">
        <v>470</v>
      </c>
    </row>
    <row r="340" spans="1:62" x14ac:dyDescent="0.35">
      <c r="A340" t="s">
        <v>1718</v>
      </c>
      <c r="B340">
        <v>10000</v>
      </c>
      <c r="C340">
        <v>10000</v>
      </c>
      <c r="D340" s="2">
        <v>45722</v>
      </c>
      <c r="E340" t="s">
        <v>61</v>
      </c>
      <c r="F340" t="s">
        <v>1719</v>
      </c>
      <c r="G340" t="s">
        <v>1126</v>
      </c>
      <c r="I340">
        <v>1</v>
      </c>
      <c r="J340" t="s">
        <v>63</v>
      </c>
      <c r="K340" s="8">
        <v>22</v>
      </c>
      <c r="L340" s="8" t="s">
        <v>6603</v>
      </c>
      <c r="M340" s="8" t="s">
        <v>6629</v>
      </c>
      <c r="N340" t="s">
        <v>466</v>
      </c>
      <c r="O340" t="s">
        <v>6474</v>
      </c>
      <c r="P340" s="4">
        <v>3500</v>
      </c>
      <c r="Q340">
        <f t="shared" si="83"/>
        <v>115</v>
      </c>
      <c r="R340">
        <f t="shared" si="84"/>
        <v>1.9166666666666667</v>
      </c>
      <c r="S340" s="2">
        <v>45722</v>
      </c>
      <c r="U340">
        <v>2</v>
      </c>
      <c r="V340" s="4">
        <v>7000</v>
      </c>
      <c r="W340" t="s">
        <v>65</v>
      </c>
      <c r="X340" t="s">
        <v>1720</v>
      </c>
      <c r="Y340">
        <v>0</v>
      </c>
      <c r="Z340" s="4">
        <v>7000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1721</v>
      </c>
      <c r="AQ340" t="s">
        <v>116</v>
      </c>
      <c r="AR340" t="s">
        <v>6639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BC340" t="s">
        <v>69</v>
      </c>
      <c r="BD340" t="s">
        <v>1722</v>
      </c>
      <c r="BE340">
        <v>0</v>
      </c>
      <c r="BG340" t="s">
        <v>116</v>
      </c>
      <c r="BJ340" t="s">
        <v>470</v>
      </c>
    </row>
    <row r="341" spans="1:62" x14ac:dyDescent="0.35">
      <c r="A341" t="s">
        <v>1723</v>
      </c>
      <c r="B341">
        <v>10000</v>
      </c>
      <c r="C341">
        <v>10000</v>
      </c>
      <c r="D341" s="2">
        <v>45723</v>
      </c>
      <c r="E341" t="s">
        <v>61</v>
      </c>
      <c r="F341" t="s">
        <v>1724</v>
      </c>
      <c r="G341" t="s">
        <v>1725</v>
      </c>
      <c r="I341">
        <v>1</v>
      </c>
      <c r="J341" t="s">
        <v>63</v>
      </c>
      <c r="K341" s="8">
        <v>93</v>
      </c>
      <c r="L341" s="8" t="s">
        <v>6611</v>
      </c>
      <c r="M341" s="8" t="s">
        <v>6631</v>
      </c>
      <c r="N341" t="s">
        <v>163</v>
      </c>
      <c r="O341" t="s">
        <v>6548</v>
      </c>
      <c r="P341" s="4">
        <v>1400</v>
      </c>
      <c r="Q341">
        <f>(P341/20)+30</f>
        <v>100</v>
      </c>
      <c r="R341">
        <f>Q341/60</f>
        <v>1.6666666666666667</v>
      </c>
      <c r="S341" s="2">
        <v>45722</v>
      </c>
      <c r="U341">
        <v>3</v>
      </c>
      <c r="V341" s="4">
        <v>4200</v>
      </c>
      <c r="W341" t="s">
        <v>65</v>
      </c>
      <c r="X341" t="s">
        <v>1726</v>
      </c>
      <c r="Y341">
        <v>0</v>
      </c>
      <c r="Z341" s="4">
        <v>2600</v>
      </c>
      <c r="AA341" s="4">
        <v>1600</v>
      </c>
      <c r="AB341">
        <v>0</v>
      </c>
      <c r="AC341">
        <v>0</v>
      </c>
      <c r="AD341">
        <v>0</v>
      </c>
      <c r="AG341">
        <v>0</v>
      </c>
      <c r="AP341" t="s">
        <v>1727</v>
      </c>
      <c r="AQ341" t="s">
        <v>1728</v>
      </c>
      <c r="AR341" t="s">
        <v>6683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C341" t="s">
        <v>69</v>
      </c>
      <c r="BD341" t="s">
        <v>1729</v>
      </c>
      <c r="BE341">
        <v>0</v>
      </c>
      <c r="BG341" t="s">
        <v>1728</v>
      </c>
      <c r="BJ341" t="s">
        <v>1730</v>
      </c>
    </row>
    <row r="342" spans="1:62" x14ac:dyDescent="0.35">
      <c r="A342" t="s">
        <v>1723</v>
      </c>
      <c r="B342">
        <v>10000</v>
      </c>
      <c r="C342">
        <v>20000</v>
      </c>
      <c r="D342" s="2">
        <v>45723</v>
      </c>
      <c r="E342" t="s">
        <v>61</v>
      </c>
      <c r="F342" t="s">
        <v>1724</v>
      </c>
      <c r="G342" t="s">
        <v>1725</v>
      </c>
      <c r="I342">
        <v>2</v>
      </c>
      <c r="J342" t="s">
        <v>63</v>
      </c>
      <c r="K342" s="8">
        <v>92</v>
      </c>
      <c r="L342" s="8" t="s">
        <v>6614</v>
      </c>
      <c r="M342" s="8" t="s">
        <v>6633</v>
      </c>
      <c r="N342" t="s">
        <v>424</v>
      </c>
      <c r="O342" t="s">
        <v>6570</v>
      </c>
      <c r="P342" s="4">
        <v>3000</v>
      </c>
      <c r="S342" s="2">
        <v>45722</v>
      </c>
      <c r="U342">
        <v>1</v>
      </c>
      <c r="V342" s="4">
        <v>3000</v>
      </c>
      <c r="W342" t="s">
        <v>65</v>
      </c>
      <c r="X342" t="s">
        <v>1726</v>
      </c>
      <c r="Y342">
        <v>0</v>
      </c>
      <c r="Z342" s="4">
        <v>2600</v>
      </c>
      <c r="AA342">
        <v>400</v>
      </c>
      <c r="AB342">
        <v>0</v>
      </c>
      <c r="AC342">
        <v>0</v>
      </c>
      <c r="AD342">
        <v>0</v>
      </c>
      <c r="AG342">
        <v>0</v>
      </c>
      <c r="AP342" t="s">
        <v>1727</v>
      </c>
      <c r="AQ342" t="s">
        <v>1728</v>
      </c>
      <c r="AR342" t="s">
        <v>6683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BC342" t="s">
        <v>69</v>
      </c>
      <c r="BD342" t="s">
        <v>1729</v>
      </c>
      <c r="BE342">
        <v>0</v>
      </c>
      <c r="BG342" t="s">
        <v>1728</v>
      </c>
      <c r="BJ342" t="s">
        <v>1730</v>
      </c>
    </row>
    <row r="343" spans="1:62" x14ac:dyDescent="0.35">
      <c r="A343" t="s">
        <v>1731</v>
      </c>
      <c r="B343">
        <v>10000</v>
      </c>
      <c r="C343">
        <v>10000</v>
      </c>
      <c r="D343" s="2">
        <v>45727</v>
      </c>
      <c r="E343" t="s">
        <v>61</v>
      </c>
      <c r="F343" t="s">
        <v>1732</v>
      </c>
      <c r="G343" t="s">
        <v>1733</v>
      </c>
      <c r="I343">
        <v>1</v>
      </c>
      <c r="J343" t="s">
        <v>63</v>
      </c>
      <c r="K343" s="8">
        <v>78</v>
      </c>
      <c r="L343" s="8" t="s">
        <v>6593</v>
      </c>
      <c r="M343" s="8" t="s">
        <v>6629</v>
      </c>
      <c r="N343" t="s">
        <v>188</v>
      </c>
      <c r="O343" t="s">
        <v>6410</v>
      </c>
      <c r="P343" s="4">
        <v>2750</v>
      </c>
      <c r="Q343">
        <f t="shared" ref="Q343:Q345" si="85">(P343/40)+45</f>
        <v>113.75</v>
      </c>
      <c r="R343">
        <f t="shared" ref="R343:R345" si="86">Q343/60</f>
        <v>1.8958333333333333</v>
      </c>
      <c r="S343" s="2">
        <v>45722</v>
      </c>
      <c r="U343">
        <v>16</v>
      </c>
      <c r="V343" s="4">
        <v>44000</v>
      </c>
      <c r="W343" t="s">
        <v>65</v>
      </c>
      <c r="X343" t="s">
        <v>1734</v>
      </c>
      <c r="Y343">
        <v>0</v>
      </c>
      <c r="Z343" s="4">
        <v>40000</v>
      </c>
      <c r="AA343" s="4">
        <v>4000</v>
      </c>
      <c r="AB343">
        <v>0</v>
      </c>
      <c r="AC343">
        <v>0</v>
      </c>
      <c r="AD343">
        <v>0</v>
      </c>
      <c r="AG343">
        <v>0</v>
      </c>
      <c r="AP343" t="s">
        <v>1735</v>
      </c>
      <c r="AQ343" t="s">
        <v>157</v>
      </c>
      <c r="AR343" t="s">
        <v>6640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C343" t="s">
        <v>69</v>
      </c>
      <c r="BD343" t="s">
        <v>1736</v>
      </c>
      <c r="BE343">
        <v>0</v>
      </c>
      <c r="BG343" t="s">
        <v>157</v>
      </c>
      <c r="BJ343" t="s">
        <v>1737</v>
      </c>
    </row>
    <row r="344" spans="1:62" x14ac:dyDescent="0.35">
      <c r="A344" t="s">
        <v>1738</v>
      </c>
      <c r="B344">
        <v>10000</v>
      </c>
      <c r="C344">
        <v>20000</v>
      </c>
      <c r="D344" s="2">
        <v>45723</v>
      </c>
      <c r="E344" t="s">
        <v>61</v>
      </c>
      <c r="F344" t="s">
        <v>1739</v>
      </c>
      <c r="G344" t="s">
        <v>1733</v>
      </c>
      <c r="I344">
        <v>1</v>
      </c>
      <c r="J344" t="s">
        <v>63</v>
      </c>
      <c r="K344" s="8">
        <v>78</v>
      </c>
      <c r="L344" s="8" t="s">
        <v>6593</v>
      </c>
      <c r="M344" s="8" t="s">
        <v>6629</v>
      </c>
      <c r="N344" t="s">
        <v>188</v>
      </c>
      <c r="O344" t="s">
        <v>6410</v>
      </c>
      <c r="P344" s="4">
        <v>5500</v>
      </c>
      <c r="Q344">
        <f t="shared" si="85"/>
        <v>182.5</v>
      </c>
      <c r="R344">
        <f t="shared" si="86"/>
        <v>3.0416666666666665</v>
      </c>
      <c r="S344" s="2">
        <v>45722</v>
      </c>
      <c r="U344">
        <v>16</v>
      </c>
      <c r="V344" s="4">
        <v>88000</v>
      </c>
      <c r="W344" t="s">
        <v>65</v>
      </c>
      <c r="X344" t="s">
        <v>1740</v>
      </c>
      <c r="Y344">
        <v>0</v>
      </c>
      <c r="Z344" s="4">
        <v>80000</v>
      </c>
      <c r="AA344" s="4">
        <v>8000</v>
      </c>
      <c r="AB344">
        <v>0</v>
      </c>
      <c r="AC344">
        <v>0</v>
      </c>
      <c r="AD344">
        <v>0</v>
      </c>
      <c r="AG344">
        <v>0</v>
      </c>
      <c r="AP344" t="s">
        <v>1741</v>
      </c>
      <c r="AQ344" t="s">
        <v>157</v>
      </c>
      <c r="AR344" t="s">
        <v>6640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BC344" t="s">
        <v>69</v>
      </c>
      <c r="BD344" t="s">
        <v>1742</v>
      </c>
      <c r="BE344">
        <v>0</v>
      </c>
      <c r="BG344" t="s">
        <v>157</v>
      </c>
      <c r="BJ344" t="s">
        <v>1743</v>
      </c>
    </row>
    <row r="345" spans="1:62" x14ac:dyDescent="0.35">
      <c r="A345" t="s">
        <v>1738</v>
      </c>
      <c r="B345">
        <v>10000</v>
      </c>
      <c r="C345">
        <v>30000</v>
      </c>
      <c r="D345" s="2">
        <v>45723</v>
      </c>
      <c r="E345" t="s">
        <v>61</v>
      </c>
      <c r="F345" t="s">
        <v>1739</v>
      </c>
      <c r="G345" t="s">
        <v>1733</v>
      </c>
      <c r="I345">
        <v>2</v>
      </c>
      <c r="J345" t="s">
        <v>63</v>
      </c>
      <c r="K345" s="8">
        <v>63</v>
      </c>
      <c r="L345" s="8" t="s">
        <v>6605</v>
      </c>
      <c r="M345" s="8" t="s">
        <v>6630</v>
      </c>
      <c r="N345" t="s">
        <v>385</v>
      </c>
      <c r="O345" t="s">
        <v>6541</v>
      </c>
      <c r="P345" s="4">
        <v>5000</v>
      </c>
      <c r="Q345">
        <f t="shared" si="85"/>
        <v>170</v>
      </c>
      <c r="R345">
        <f t="shared" si="86"/>
        <v>2.8333333333333335</v>
      </c>
      <c r="S345" s="2">
        <v>45722</v>
      </c>
      <c r="U345">
        <v>16</v>
      </c>
      <c r="V345" s="4">
        <v>80000</v>
      </c>
      <c r="W345" t="s">
        <v>65</v>
      </c>
      <c r="X345" t="s">
        <v>1740</v>
      </c>
      <c r="Y345">
        <v>0</v>
      </c>
      <c r="Z345" s="4">
        <v>80000</v>
      </c>
      <c r="AA345">
        <v>0</v>
      </c>
      <c r="AB345">
        <v>0</v>
      </c>
      <c r="AC345">
        <v>0</v>
      </c>
      <c r="AD345">
        <v>0</v>
      </c>
      <c r="AG345">
        <v>0</v>
      </c>
      <c r="AP345" t="s">
        <v>1741</v>
      </c>
      <c r="AQ345" t="s">
        <v>157</v>
      </c>
      <c r="AR345" t="s">
        <v>6640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C345" t="s">
        <v>69</v>
      </c>
      <c r="BD345" t="s">
        <v>1742</v>
      </c>
      <c r="BE345">
        <v>0</v>
      </c>
      <c r="BG345" t="s">
        <v>157</v>
      </c>
      <c r="BJ345" t="s">
        <v>1743</v>
      </c>
    </row>
    <row r="346" spans="1:62" x14ac:dyDescent="0.35">
      <c r="A346" t="s">
        <v>525</v>
      </c>
      <c r="B346">
        <v>10000</v>
      </c>
      <c r="C346">
        <v>30000</v>
      </c>
      <c r="D346" s="2">
        <v>45723</v>
      </c>
      <c r="E346" t="s">
        <v>61</v>
      </c>
      <c r="F346" t="s">
        <v>526</v>
      </c>
      <c r="G346" t="s">
        <v>527</v>
      </c>
      <c r="I346">
        <v>3</v>
      </c>
      <c r="J346" t="s">
        <v>63</v>
      </c>
      <c r="K346" s="8">
        <v>12</v>
      </c>
      <c r="L346" s="8" t="s">
        <v>6604</v>
      </c>
      <c r="M346" s="8" t="s">
        <v>6629</v>
      </c>
      <c r="N346" t="s">
        <v>478</v>
      </c>
      <c r="O346" t="s">
        <v>6434</v>
      </c>
      <c r="P346" s="4">
        <v>1500</v>
      </c>
      <c r="Q346">
        <f>(P346/50)+45</f>
        <v>75</v>
      </c>
      <c r="R346">
        <f>Q346/60</f>
        <v>1.25</v>
      </c>
      <c r="S346" s="2">
        <v>45722</v>
      </c>
      <c r="U346">
        <v>2</v>
      </c>
      <c r="V346" s="4">
        <v>3000</v>
      </c>
      <c r="W346" t="s">
        <v>65</v>
      </c>
      <c r="X346" t="s">
        <v>529</v>
      </c>
      <c r="Y346">
        <v>0</v>
      </c>
      <c r="Z346" s="4">
        <v>3000</v>
      </c>
      <c r="AA346">
        <v>0</v>
      </c>
      <c r="AB346">
        <v>0</v>
      </c>
      <c r="AC346">
        <v>0</v>
      </c>
      <c r="AD346">
        <v>0</v>
      </c>
      <c r="AG346">
        <v>0</v>
      </c>
      <c r="AP346" t="s">
        <v>530</v>
      </c>
      <c r="AQ346" t="s">
        <v>271</v>
      </c>
      <c r="AR346" t="s">
        <v>6648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BC346" t="s">
        <v>69</v>
      </c>
      <c r="BD346" t="s">
        <v>531</v>
      </c>
      <c r="BE346">
        <v>0</v>
      </c>
      <c r="BG346" t="s">
        <v>271</v>
      </c>
      <c r="BJ346" t="s">
        <v>532</v>
      </c>
    </row>
    <row r="347" spans="1:62" x14ac:dyDescent="0.35">
      <c r="A347" t="s">
        <v>1263</v>
      </c>
      <c r="B347">
        <v>10000</v>
      </c>
      <c r="C347">
        <v>20000</v>
      </c>
      <c r="D347" s="2">
        <v>45722</v>
      </c>
      <c r="E347" t="s">
        <v>61</v>
      </c>
      <c r="F347" s="3">
        <v>0.53646990740740741</v>
      </c>
      <c r="G347" t="s">
        <v>1264</v>
      </c>
      <c r="I347">
        <v>2</v>
      </c>
      <c r="J347" t="s">
        <v>63</v>
      </c>
      <c r="K347" s="8" t="s">
        <v>1744</v>
      </c>
      <c r="L347" s="8" t="s">
        <v>6615</v>
      </c>
      <c r="M347" s="8" t="s">
        <v>6631</v>
      </c>
      <c r="N347" t="s">
        <v>630</v>
      </c>
      <c r="O347" t="s">
        <v>6571</v>
      </c>
      <c r="P347" s="4">
        <v>2000</v>
      </c>
      <c r="S347" s="2">
        <v>45722</v>
      </c>
      <c r="U347">
        <v>1</v>
      </c>
      <c r="V347" s="4">
        <v>2000</v>
      </c>
      <c r="W347" t="s">
        <v>65</v>
      </c>
      <c r="X347" t="s">
        <v>1265</v>
      </c>
      <c r="Y347">
        <v>0</v>
      </c>
      <c r="Z347">
        <v>500</v>
      </c>
      <c r="AA347" s="4">
        <v>1500</v>
      </c>
      <c r="AB347">
        <v>0</v>
      </c>
      <c r="AC347">
        <v>0</v>
      </c>
      <c r="AD347">
        <v>0</v>
      </c>
      <c r="AG347">
        <v>0</v>
      </c>
      <c r="AP347" t="s">
        <v>1266</v>
      </c>
      <c r="AQ347" t="s">
        <v>1267</v>
      </c>
      <c r="AR347" t="s">
        <v>6674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BC347" t="s">
        <v>69</v>
      </c>
      <c r="BD347" t="s">
        <v>1268</v>
      </c>
      <c r="BE347">
        <v>0</v>
      </c>
      <c r="BG347" t="s">
        <v>1267</v>
      </c>
      <c r="BJ347" t="s">
        <v>1269</v>
      </c>
    </row>
    <row r="348" spans="1:62" x14ac:dyDescent="0.35">
      <c r="A348" t="s">
        <v>1745</v>
      </c>
      <c r="B348">
        <v>10000</v>
      </c>
      <c r="C348">
        <v>20000</v>
      </c>
      <c r="D348" s="2">
        <v>45726</v>
      </c>
      <c r="E348" t="s">
        <v>61</v>
      </c>
      <c r="F348" s="3">
        <v>0.47399305555555554</v>
      </c>
      <c r="G348" t="s">
        <v>1746</v>
      </c>
      <c r="I348">
        <v>2</v>
      </c>
      <c r="J348" t="s">
        <v>63</v>
      </c>
      <c r="K348" s="8">
        <v>100</v>
      </c>
      <c r="L348" s="8" t="s">
        <v>6613</v>
      </c>
      <c r="M348" s="8" t="s">
        <v>6633</v>
      </c>
      <c r="N348" t="s">
        <v>424</v>
      </c>
      <c r="O348" t="s">
        <v>6570</v>
      </c>
      <c r="P348" s="4">
        <v>5200</v>
      </c>
      <c r="S348" s="2">
        <v>45722</v>
      </c>
      <c r="U348">
        <v>3</v>
      </c>
      <c r="V348" s="4">
        <v>15600</v>
      </c>
      <c r="W348" t="s">
        <v>65</v>
      </c>
      <c r="X348" t="s">
        <v>1747</v>
      </c>
      <c r="Y348">
        <v>0</v>
      </c>
      <c r="Z348" s="4">
        <v>15000</v>
      </c>
      <c r="AA348">
        <v>600</v>
      </c>
      <c r="AB348">
        <v>0</v>
      </c>
      <c r="AC348">
        <v>0</v>
      </c>
      <c r="AD348">
        <v>0</v>
      </c>
      <c r="AG348">
        <v>0</v>
      </c>
      <c r="AP348" t="s">
        <v>1748</v>
      </c>
      <c r="AQ348" t="s">
        <v>1749</v>
      </c>
      <c r="AR348" t="s">
        <v>6684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C348" t="s">
        <v>69</v>
      </c>
      <c r="BD348" t="s">
        <v>1750</v>
      </c>
      <c r="BE348">
        <v>0</v>
      </c>
      <c r="BG348" t="s">
        <v>1749</v>
      </c>
      <c r="BJ348" t="s">
        <v>1751</v>
      </c>
    </row>
    <row r="349" spans="1:62" x14ac:dyDescent="0.35">
      <c r="A349" t="s">
        <v>1752</v>
      </c>
      <c r="B349">
        <v>10000</v>
      </c>
      <c r="C349">
        <v>10000</v>
      </c>
      <c r="D349" s="2">
        <v>45727</v>
      </c>
      <c r="E349" t="s">
        <v>61</v>
      </c>
      <c r="F349" t="s">
        <v>1753</v>
      </c>
      <c r="G349" t="s">
        <v>1725</v>
      </c>
      <c r="I349">
        <v>1</v>
      </c>
      <c r="J349" t="s">
        <v>63</v>
      </c>
      <c r="K349" s="8">
        <v>72</v>
      </c>
      <c r="L349" s="8" t="s">
        <v>6606</v>
      </c>
      <c r="M349" s="8" t="s">
        <v>6631</v>
      </c>
      <c r="N349" t="s">
        <v>163</v>
      </c>
      <c r="O349" t="s">
        <v>6548</v>
      </c>
      <c r="P349" s="4">
        <v>5000</v>
      </c>
      <c r="S349" s="2">
        <v>45722</v>
      </c>
      <c r="U349">
        <v>12</v>
      </c>
      <c r="V349" s="4">
        <v>60000</v>
      </c>
      <c r="W349" t="s">
        <v>65</v>
      </c>
      <c r="X349" t="s">
        <v>1754</v>
      </c>
      <c r="Y349">
        <v>0</v>
      </c>
      <c r="Z349" s="4">
        <v>50000</v>
      </c>
      <c r="AA349" s="4">
        <v>10000</v>
      </c>
      <c r="AB349">
        <v>0</v>
      </c>
      <c r="AC349">
        <v>0</v>
      </c>
      <c r="AD349">
        <v>0</v>
      </c>
      <c r="AG349">
        <v>0</v>
      </c>
      <c r="AP349" t="s">
        <v>1755</v>
      </c>
      <c r="AQ349" t="s">
        <v>1756</v>
      </c>
      <c r="AR349" t="s">
        <v>6685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C349" t="s">
        <v>69</v>
      </c>
      <c r="BD349" t="s">
        <v>1757</v>
      </c>
      <c r="BE349">
        <v>0</v>
      </c>
      <c r="BG349" t="s">
        <v>1756</v>
      </c>
      <c r="BJ349" t="s">
        <v>1758</v>
      </c>
    </row>
    <row r="350" spans="1:62" x14ac:dyDescent="0.35">
      <c r="A350" t="s">
        <v>1759</v>
      </c>
      <c r="B350">
        <v>10000</v>
      </c>
      <c r="C350">
        <v>10000</v>
      </c>
      <c r="D350" s="2">
        <v>45722</v>
      </c>
      <c r="E350" t="s">
        <v>61</v>
      </c>
      <c r="F350" t="s">
        <v>1760</v>
      </c>
      <c r="G350">
        <v>405172525</v>
      </c>
      <c r="I350">
        <v>1</v>
      </c>
      <c r="J350" t="s">
        <v>63</v>
      </c>
      <c r="K350" s="8">
        <v>12</v>
      </c>
      <c r="L350" s="8" t="s">
        <v>6604</v>
      </c>
      <c r="M350" s="8" t="s">
        <v>6629</v>
      </c>
      <c r="N350" t="s">
        <v>478</v>
      </c>
      <c r="O350" t="s">
        <v>6434</v>
      </c>
      <c r="P350">
        <v>250</v>
      </c>
      <c r="Q350">
        <f>(P350/50)+45</f>
        <v>50</v>
      </c>
      <c r="R350">
        <f>Q350/60</f>
        <v>0.83333333333333337</v>
      </c>
      <c r="S350" s="2">
        <v>45722</v>
      </c>
      <c r="U350">
        <v>4</v>
      </c>
      <c r="V350" s="4">
        <v>1000</v>
      </c>
      <c r="W350" t="s">
        <v>65</v>
      </c>
      <c r="X350" t="s">
        <v>1761</v>
      </c>
      <c r="Y350">
        <v>0</v>
      </c>
      <c r="Z350" s="4">
        <v>1000</v>
      </c>
      <c r="AA350">
        <v>0</v>
      </c>
      <c r="AB350">
        <v>0</v>
      </c>
      <c r="AC350">
        <v>0</v>
      </c>
      <c r="AD350">
        <v>0</v>
      </c>
      <c r="AG350">
        <v>0</v>
      </c>
      <c r="AP350" t="s">
        <v>1762</v>
      </c>
      <c r="AQ350" t="s">
        <v>1763</v>
      </c>
      <c r="AR350" t="s">
        <v>6686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C350" t="s">
        <v>69</v>
      </c>
      <c r="BD350" t="s">
        <v>1764</v>
      </c>
      <c r="BE350">
        <v>0</v>
      </c>
      <c r="BG350" t="s">
        <v>1763</v>
      </c>
      <c r="BJ350" t="s">
        <v>1765</v>
      </c>
    </row>
    <row r="351" spans="1:62" x14ac:dyDescent="0.35">
      <c r="A351" t="s">
        <v>1766</v>
      </c>
      <c r="B351">
        <v>10000</v>
      </c>
      <c r="C351">
        <v>20000</v>
      </c>
      <c r="D351" s="2">
        <v>45722</v>
      </c>
      <c r="E351" t="s">
        <v>61</v>
      </c>
      <c r="F351" t="s">
        <v>1767</v>
      </c>
      <c r="G351" t="s">
        <v>1272</v>
      </c>
      <c r="I351">
        <v>2</v>
      </c>
      <c r="J351" t="s">
        <v>63</v>
      </c>
      <c r="K351" s="8">
        <v>105</v>
      </c>
      <c r="L351" s="8" t="s">
        <v>6612</v>
      </c>
      <c r="M351" s="8" t="s">
        <v>6632</v>
      </c>
      <c r="N351" t="s">
        <v>424</v>
      </c>
      <c r="O351" t="s">
        <v>6570</v>
      </c>
      <c r="P351">
        <v>100</v>
      </c>
      <c r="S351" s="2">
        <v>45722</v>
      </c>
      <c r="U351">
        <v>1</v>
      </c>
      <c r="V351">
        <v>100</v>
      </c>
      <c r="W351" t="s">
        <v>65</v>
      </c>
      <c r="X351" t="s">
        <v>1768</v>
      </c>
      <c r="Y351">
        <v>0</v>
      </c>
      <c r="Z351">
        <v>50</v>
      </c>
      <c r="AA351">
        <v>50</v>
      </c>
      <c r="AB351">
        <v>0</v>
      </c>
      <c r="AC351">
        <v>0</v>
      </c>
      <c r="AD351">
        <v>0</v>
      </c>
      <c r="AG351">
        <v>0</v>
      </c>
      <c r="AP351" t="s">
        <v>1769</v>
      </c>
      <c r="AQ351" t="s">
        <v>1275</v>
      </c>
      <c r="AR351" t="s">
        <v>6675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BC351" t="s">
        <v>69</v>
      </c>
      <c r="BD351" t="s">
        <v>1770</v>
      </c>
      <c r="BE351">
        <v>0</v>
      </c>
      <c r="BG351" t="s">
        <v>1275</v>
      </c>
      <c r="BJ351" t="s">
        <v>1277</v>
      </c>
    </row>
    <row r="352" spans="1:62" x14ac:dyDescent="0.35">
      <c r="A352" t="s">
        <v>1278</v>
      </c>
      <c r="B352">
        <v>10000</v>
      </c>
      <c r="C352">
        <v>20000</v>
      </c>
      <c r="D352" s="2">
        <v>45722</v>
      </c>
      <c r="E352" t="s">
        <v>61</v>
      </c>
      <c r="F352" t="s">
        <v>1279</v>
      </c>
      <c r="G352">
        <v>501222196</v>
      </c>
      <c r="I352">
        <v>2</v>
      </c>
      <c r="J352" t="s">
        <v>63</v>
      </c>
      <c r="K352" s="8">
        <v>71</v>
      </c>
      <c r="L352" s="8" t="s">
        <v>6588</v>
      </c>
      <c r="M352" s="8" t="s">
        <v>6630</v>
      </c>
      <c r="N352" t="s">
        <v>135</v>
      </c>
      <c r="O352" t="s">
        <v>6573</v>
      </c>
      <c r="P352" s="4">
        <v>2225</v>
      </c>
      <c r="S352" s="2">
        <v>45722</v>
      </c>
      <c r="U352">
        <v>1</v>
      </c>
      <c r="V352" s="4">
        <v>2225</v>
      </c>
      <c r="W352" t="s">
        <v>65</v>
      </c>
      <c r="X352" t="s">
        <v>1280</v>
      </c>
      <c r="Y352">
        <v>0</v>
      </c>
      <c r="Z352" s="4">
        <v>2020</v>
      </c>
      <c r="AA352">
        <v>205</v>
      </c>
      <c r="AB352">
        <v>0</v>
      </c>
      <c r="AC352">
        <v>0</v>
      </c>
      <c r="AD352">
        <v>0</v>
      </c>
      <c r="AG352">
        <v>0</v>
      </c>
      <c r="AP352" t="s">
        <v>1281</v>
      </c>
      <c r="AQ352" t="s">
        <v>1282</v>
      </c>
      <c r="AR352" t="s">
        <v>6676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C352" t="s">
        <v>69</v>
      </c>
      <c r="BD352" t="s">
        <v>1283</v>
      </c>
      <c r="BE352">
        <v>0</v>
      </c>
      <c r="BG352" t="s">
        <v>1282</v>
      </c>
      <c r="BJ352" t="s">
        <v>1284</v>
      </c>
    </row>
    <row r="353" spans="1:62" x14ac:dyDescent="0.35">
      <c r="A353" t="s">
        <v>1771</v>
      </c>
      <c r="B353">
        <v>10000</v>
      </c>
      <c r="C353">
        <v>10000</v>
      </c>
      <c r="D353" s="2">
        <v>45723</v>
      </c>
      <c r="E353" t="s">
        <v>61</v>
      </c>
      <c r="F353" t="s">
        <v>1772</v>
      </c>
      <c r="G353" t="s">
        <v>1773</v>
      </c>
      <c r="I353">
        <v>1</v>
      </c>
      <c r="J353" t="s">
        <v>63</v>
      </c>
      <c r="K353" s="8">
        <v>32</v>
      </c>
      <c r="L353" s="8" t="s">
        <v>6607</v>
      </c>
      <c r="M353" s="8" t="s">
        <v>6629</v>
      </c>
      <c r="N353" t="s">
        <v>553</v>
      </c>
      <c r="O353" t="s">
        <v>6552</v>
      </c>
      <c r="P353" s="4">
        <v>5860</v>
      </c>
      <c r="S353" s="2">
        <v>45722</v>
      </c>
      <c r="U353">
        <v>1</v>
      </c>
      <c r="V353" s="4">
        <v>5860</v>
      </c>
      <c r="W353" t="s">
        <v>65</v>
      </c>
      <c r="X353" t="s">
        <v>1774</v>
      </c>
      <c r="Y353">
        <v>0</v>
      </c>
      <c r="Z353" s="4">
        <v>5360</v>
      </c>
      <c r="AA353">
        <v>500</v>
      </c>
      <c r="AB353">
        <v>0</v>
      </c>
      <c r="AC353">
        <v>0</v>
      </c>
      <c r="AD353">
        <v>0</v>
      </c>
      <c r="AG353">
        <v>0</v>
      </c>
      <c r="AP353" t="s">
        <v>1775</v>
      </c>
      <c r="AQ353" t="s">
        <v>116</v>
      </c>
      <c r="AR353" t="s">
        <v>6639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C353" t="s">
        <v>69</v>
      </c>
      <c r="BD353" t="s">
        <v>1776</v>
      </c>
      <c r="BE353">
        <v>0</v>
      </c>
      <c r="BG353" t="s">
        <v>116</v>
      </c>
      <c r="BJ353" t="s">
        <v>557</v>
      </c>
    </row>
    <row r="354" spans="1:62" x14ac:dyDescent="0.35">
      <c r="A354" t="s">
        <v>1777</v>
      </c>
      <c r="B354">
        <v>10000</v>
      </c>
      <c r="C354">
        <v>10000</v>
      </c>
      <c r="D354" s="2">
        <v>45723</v>
      </c>
      <c r="E354" t="s">
        <v>61</v>
      </c>
      <c r="F354" t="s">
        <v>1772</v>
      </c>
      <c r="G354" t="s">
        <v>1773</v>
      </c>
      <c r="I354">
        <v>1</v>
      </c>
      <c r="J354" t="s">
        <v>63</v>
      </c>
      <c r="K354" s="8">
        <v>32</v>
      </c>
      <c r="L354" s="8" t="s">
        <v>6607</v>
      </c>
      <c r="M354" s="8" t="s">
        <v>6629</v>
      </c>
      <c r="N354" t="s">
        <v>553</v>
      </c>
      <c r="O354" t="s">
        <v>6552</v>
      </c>
      <c r="P354" s="4">
        <v>5860</v>
      </c>
      <c r="S354" s="2">
        <v>45722</v>
      </c>
      <c r="U354">
        <v>1</v>
      </c>
      <c r="V354" s="4">
        <v>5860</v>
      </c>
      <c r="W354" t="s">
        <v>65</v>
      </c>
      <c r="X354" t="s">
        <v>1774</v>
      </c>
      <c r="Y354">
        <v>0</v>
      </c>
      <c r="Z354" s="4">
        <v>5360</v>
      </c>
      <c r="AA354">
        <v>500</v>
      </c>
      <c r="AB354">
        <v>0</v>
      </c>
      <c r="AC354">
        <v>0</v>
      </c>
      <c r="AD354">
        <v>0</v>
      </c>
      <c r="AG354">
        <v>0</v>
      </c>
      <c r="AP354" t="s">
        <v>1775</v>
      </c>
      <c r="AQ354" t="s">
        <v>116</v>
      </c>
      <c r="AR354" t="s">
        <v>6639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C354" t="s">
        <v>69</v>
      </c>
      <c r="BD354" t="s">
        <v>1778</v>
      </c>
      <c r="BE354">
        <v>0</v>
      </c>
      <c r="BG354" t="s">
        <v>116</v>
      </c>
      <c r="BJ354" t="s">
        <v>1288</v>
      </c>
    </row>
    <row r="355" spans="1:62" x14ac:dyDescent="0.35">
      <c r="A355" t="s">
        <v>1779</v>
      </c>
      <c r="B355">
        <v>10000</v>
      </c>
      <c r="C355">
        <v>10000</v>
      </c>
      <c r="D355" s="2">
        <v>45723</v>
      </c>
      <c r="E355" t="s">
        <v>61</v>
      </c>
      <c r="F355" t="s">
        <v>1772</v>
      </c>
      <c r="G355" t="s">
        <v>1773</v>
      </c>
      <c r="I355">
        <v>1</v>
      </c>
      <c r="J355" t="s">
        <v>63</v>
      </c>
      <c r="K355" s="8">
        <v>32</v>
      </c>
      <c r="L355" s="8" t="s">
        <v>6607</v>
      </c>
      <c r="M355" s="8" t="s">
        <v>6629</v>
      </c>
      <c r="N355" t="s">
        <v>553</v>
      </c>
      <c r="O355" t="s">
        <v>6552</v>
      </c>
      <c r="P355" s="4">
        <v>5860</v>
      </c>
      <c r="S355" s="2">
        <v>45722</v>
      </c>
      <c r="U355">
        <v>1</v>
      </c>
      <c r="V355" s="4">
        <v>5860</v>
      </c>
      <c r="W355" t="s">
        <v>65</v>
      </c>
      <c r="X355" t="s">
        <v>1774</v>
      </c>
      <c r="Y355">
        <v>0</v>
      </c>
      <c r="Z355" s="4">
        <v>5360</v>
      </c>
      <c r="AA355">
        <v>500</v>
      </c>
      <c r="AB355">
        <v>0</v>
      </c>
      <c r="AC355">
        <v>0</v>
      </c>
      <c r="AD355">
        <v>0</v>
      </c>
      <c r="AG355">
        <v>0</v>
      </c>
      <c r="AP355" t="s">
        <v>1775</v>
      </c>
      <c r="AQ355" t="s">
        <v>116</v>
      </c>
      <c r="AR355" t="s">
        <v>6639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C355" t="s">
        <v>69</v>
      </c>
      <c r="BD355" t="s">
        <v>1780</v>
      </c>
      <c r="BE355">
        <v>0</v>
      </c>
      <c r="BG355" t="s">
        <v>116</v>
      </c>
      <c r="BJ355" t="s">
        <v>1291</v>
      </c>
    </row>
    <row r="356" spans="1:62" x14ac:dyDescent="0.35">
      <c r="A356" t="s">
        <v>1292</v>
      </c>
      <c r="B356">
        <v>10000</v>
      </c>
      <c r="C356">
        <v>20000</v>
      </c>
      <c r="D356" s="2">
        <v>45723</v>
      </c>
      <c r="E356" t="s">
        <v>61</v>
      </c>
      <c r="F356" s="3">
        <v>0.47401620370370373</v>
      </c>
      <c r="G356" t="s">
        <v>1293</v>
      </c>
      <c r="I356">
        <v>2</v>
      </c>
      <c r="J356" t="s">
        <v>63</v>
      </c>
      <c r="K356" s="8">
        <v>71</v>
      </c>
      <c r="L356" s="8" t="s">
        <v>6588</v>
      </c>
      <c r="M356" s="8" t="s">
        <v>6630</v>
      </c>
      <c r="N356" t="s">
        <v>135</v>
      </c>
      <c r="O356" t="s">
        <v>6573</v>
      </c>
      <c r="P356" s="4">
        <v>16810</v>
      </c>
      <c r="S356" s="2">
        <v>45722</v>
      </c>
      <c r="U356">
        <v>1</v>
      </c>
      <c r="V356" s="4">
        <v>16810</v>
      </c>
      <c r="W356" t="s">
        <v>65</v>
      </c>
      <c r="X356" t="s">
        <v>1294</v>
      </c>
      <c r="Y356">
        <v>0</v>
      </c>
      <c r="Z356" s="4">
        <v>15520</v>
      </c>
      <c r="AA356" s="4">
        <v>1290</v>
      </c>
      <c r="AB356">
        <v>0</v>
      </c>
      <c r="AC356">
        <v>0</v>
      </c>
      <c r="AD356">
        <v>0</v>
      </c>
      <c r="AG356">
        <v>0</v>
      </c>
      <c r="AP356" t="s">
        <v>1295</v>
      </c>
      <c r="AQ356" t="s">
        <v>1282</v>
      </c>
      <c r="AR356" t="s">
        <v>6676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BC356" t="s">
        <v>69</v>
      </c>
      <c r="BD356" t="s">
        <v>1296</v>
      </c>
      <c r="BE356">
        <v>0</v>
      </c>
      <c r="BG356" t="s">
        <v>1282</v>
      </c>
      <c r="BJ356" t="s">
        <v>1297</v>
      </c>
    </row>
    <row r="357" spans="1:62" x14ac:dyDescent="0.35">
      <c r="A357" t="s">
        <v>1298</v>
      </c>
      <c r="B357">
        <v>10000</v>
      </c>
      <c r="C357">
        <v>20000</v>
      </c>
      <c r="D357" s="2">
        <v>45722</v>
      </c>
      <c r="E357" t="s">
        <v>61</v>
      </c>
      <c r="F357" t="s">
        <v>1299</v>
      </c>
      <c r="G357" t="s">
        <v>1293</v>
      </c>
      <c r="I357">
        <v>2</v>
      </c>
      <c r="J357" t="s">
        <v>63</v>
      </c>
      <c r="K357" s="8">
        <v>71</v>
      </c>
      <c r="L357" s="8" t="s">
        <v>6588</v>
      </c>
      <c r="M357" s="8" t="s">
        <v>6630</v>
      </c>
      <c r="N357" t="s">
        <v>135</v>
      </c>
      <c r="O357" t="s">
        <v>6573</v>
      </c>
      <c r="P357" s="4">
        <v>5450</v>
      </c>
      <c r="S357" s="2">
        <v>45722</v>
      </c>
      <c r="U357">
        <v>1</v>
      </c>
      <c r="V357" s="4">
        <v>5450</v>
      </c>
      <c r="W357" t="s">
        <v>65</v>
      </c>
      <c r="X357" t="s">
        <v>1300</v>
      </c>
      <c r="Y357">
        <v>0</v>
      </c>
      <c r="Z357" s="4">
        <v>5180</v>
      </c>
      <c r="AA357">
        <v>270</v>
      </c>
      <c r="AB357">
        <v>0</v>
      </c>
      <c r="AC357">
        <v>0</v>
      </c>
      <c r="AD357">
        <v>0</v>
      </c>
      <c r="AG357">
        <v>0</v>
      </c>
      <c r="AP357" t="s">
        <v>1301</v>
      </c>
      <c r="AQ357" t="s">
        <v>1282</v>
      </c>
      <c r="AR357" t="s">
        <v>6676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C357" t="s">
        <v>69</v>
      </c>
      <c r="BD357" t="s">
        <v>1302</v>
      </c>
      <c r="BE357">
        <v>0</v>
      </c>
      <c r="BG357" t="s">
        <v>1282</v>
      </c>
      <c r="BJ357" t="s">
        <v>1297</v>
      </c>
    </row>
    <row r="358" spans="1:62" x14ac:dyDescent="0.35">
      <c r="A358" t="s">
        <v>1781</v>
      </c>
      <c r="B358">
        <v>10000</v>
      </c>
      <c r="C358">
        <v>10000</v>
      </c>
      <c r="D358" s="2">
        <v>45723</v>
      </c>
      <c r="E358" t="s">
        <v>61</v>
      </c>
      <c r="F358" t="s">
        <v>1699</v>
      </c>
      <c r="G358" t="s">
        <v>1387</v>
      </c>
      <c r="I358">
        <v>1</v>
      </c>
      <c r="J358" t="s">
        <v>63</v>
      </c>
      <c r="K358" s="8">
        <v>61</v>
      </c>
      <c r="L358" s="8" t="s">
        <v>6594</v>
      </c>
      <c r="M358" s="8" t="s">
        <v>6629</v>
      </c>
      <c r="N358" t="s">
        <v>216</v>
      </c>
      <c r="O358" t="s">
        <v>6394</v>
      </c>
      <c r="P358" s="4">
        <v>6500</v>
      </c>
      <c r="Q358">
        <f>(P358/50)+45</f>
        <v>175</v>
      </c>
      <c r="R358">
        <f>Q358/60</f>
        <v>2.9166666666666665</v>
      </c>
      <c r="S358" s="2">
        <v>45722</v>
      </c>
      <c r="U358">
        <v>2</v>
      </c>
      <c r="V358" s="4">
        <v>13000</v>
      </c>
      <c r="W358" t="s">
        <v>65</v>
      </c>
      <c r="X358" t="s">
        <v>1782</v>
      </c>
      <c r="Y358">
        <v>0</v>
      </c>
      <c r="Z358" s="4">
        <v>6500</v>
      </c>
      <c r="AA358" s="4">
        <v>6500</v>
      </c>
      <c r="AB358">
        <v>0</v>
      </c>
      <c r="AC358">
        <v>0</v>
      </c>
      <c r="AD358">
        <v>0</v>
      </c>
      <c r="AG358">
        <v>0</v>
      </c>
      <c r="AP358" t="s">
        <v>1783</v>
      </c>
      <c r="AQ358" t="s">
        <v>206</v>
      </c>
      <c r="AR358" t="s">
        <v>6645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C358" t="s">
        <v>69</v>
      </c>
      <c r="BD358" t="s">
        <v>1784</v>
      </c>
      <c r="BE358">
        <v>0</v>
      </c>
      <c r="BG358" t="s">
        <v>206</v>
      </c>
      <c r="BJ358" t="s">
        <v>1307</v>
      </c>
    </row>
    <row r="359" spans="1:62" x14ac:dyDescent="0.35">
      <c r="A359" t="s">
        <v>1785</v>
      </c>
      <c r="B359">
        <v>10000</v>
      </c>
      <c r="C359">
        <v>10000</v>
      </c>
      <c r="D359" s="2">
        <v>45726</v>
      </c>
      <c r="E359" t="s">
        <v>61</v>
      </c>
      <c r="F359" t="s">
        <v>1786</v>
      </c>
      <c r="G359" t="s">
        <v>1787</v>
      </c>
      <c r="I359">
        <v>1</v>
      </c>
      <c r="J359" t="s">
        <v>63</v>
      </c>
      <c r="K359" s="8">
        <v>72</v>
      </c>
      <c r="L359" s="8" t="s">
        <v>6606</v>
      </c>
      <c r="M359" s="8" t="s">
        <v>6631</v>
      </c>
      <c r="N359" t="s">
        <v>163</v>
      </c>
      <c r="O359" t="s">
        <v>6548</v>
      </c>
      <c r="P359" s="4">
        <v>19000</v>
      </c>
      <c r="S359" s="2">
        <v>45722</v>
      </c>
      <c r="U359">
        <v>3</v>
      </c>
      <c r="V359" s="4">
        <v>57000</v>
      </c>
      <c r="W359" t="s">
        <v>65</v>
      </c>
      <c r="X359" t="s">
        <v>1788</v>
      </c>
      <c r="Y359">
        <v>0</v>
      </c>
      <c r="Z359" s="4">
        <v>50000</v>
      </c>
      <c r="AA359" s="4">
        <v>7000</v>
      </c>
      <c r="AB359">
        <v>0</v>
      </c>
      <c r="AC359">
        <v>0</v>
      </c>
      <c r="AD359">
        <v>0</v>
      </c>
      <c r="AG359">
        <v>0</v>
      </c>
      <c r="AP359" t="s">
        <v>1789</v>
      </c>
      <c r="AQ359" t="s">
        <v>562</v>
      </c>
      <c r="AR359" t="s">
        <v>6670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C359" t="s">
        <v>69</v>
      </c>
      <c r="BD359" t="s">
        <v>1790</v>
      </c>
      <c r="BE359">
        <v>0</v>
      </c>
      <c r="BG359" t="s">
        <v>562</v>
      </c>
      <c r="BJ359" t="s">
        <v>1791</v>
      </c>
    </row>
    <row r="360" spans="1:62" x14ac:dyDescent="0.35">
      <c r="A360" t="s">
        <v>1792</v>
      </c>
      <c r="B360">
        <v>10000</v>
      </c>
      <c r="C360">
        <v>30000</v>
      </c>
      <c r="D360" s="2">
        <v>45740</v>
      </c>
      <c r="E360" t="s">
        <v>61</v>
      </c>
      <c r="F360" t="s">
        <v>1793</v>
      </c>
      <c r="G360">
        <v>10567308038</v>
      </c>
      <c r="I360">
        <v>2</v>
      </c>
      <c r="J360" t="s">
        <v>63</v>
      </c>
      <c r="K360" s="8">
        <v>77</v>
      </c>
      <c r="L360" s="8" t="s">
        <v>6584</v>
      </c>
      <c r="M360" s="8" t="s">
        <v>6627</v>
      </c>
      <c r="N360" t="s">
        <v>127</v>
      </c>
      <c r="O360" t="s">
        <v>6567</v>
      </c>
      <c r="P360" s="4">
        <v>1713</v>
      </c>
      <c r="Q360">
        <f t="shared" ref="Q360:Q361" si="87">(P360/60)+45</f>
        <v>73.55</v>
      </c>
      <c r="R360">
        <f t="shared" ref="R360:R363" si="88">Q360/60</f>
        <v>1.2258333333333333</v>
      </c>
      <c r="S360" s="2">
        <v>45722</v>
      </c>
      <c r="U360">
        <v>66</v>
      </c>
      <c r="V360" s="4">
        <v>113058</v>
      </c>
      <c r="W360" t="s">
        <v>65</v>
      </c>
      <c r="X360" t="s">
        <v>433</v>
      </c>
      <c r="Y360">
        <v>0</v>
      </c>
      <c r="Z360" s="4">
        <v>100000</v>
      </c>
      <c r="AA360" s="4">
        <v>13058</v>
      </c>
      <c r="AB360">
        <v>0</v>
      </c>
      <c r="AC360">
        <v>0</v>
      </c>
      <c r="AD360">
        <v>0</v>
      </c>
      <c r="AG360">
        <v>0</v>
      </c>
      <c r="AP360" t="s">
        <v>434</v>
      </c>
      <c r="AQ360" t="s">
        <v>107</v>
      </c>
      <c r="AR360" t="s">
        <v>6638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BC360" t="s">
        <v>69</v>
      </c>
      <c r="BD360" t="s">
        <v>1794</v>
      </c>
      <c r="BE360">
        <v>0</v>
      </c>
      <c r="BG360" t="s">
        <v>107</v>
      </c>
      <c r="BJ360" t="s">
        <v>1795</v>
      </c>
    </row>
    <row r="361" spans="1:62" x14ac:dyDescent="0.35">
      <c r="A361" t="s">
        <v>1796</v>
      </c>
      <c r="B361">
        <v>10000</v>
      </c>
      <c r="C361">
        <v>20000</v>
      </c>
      <c r="D361" s="2">
        <v>45740</v>
      </c>
      <c r="E361" t="s">
        <v>61</v>
      </c>
      <c r="F361" t="s">
        <v>1797</v>
      </c>
      <c r="G361">
        <v>10639931011</v>
      </c>
      <c r="I361">
        <v>2</v>
      </c>
      <c r="J361" t="s">
        <v>63</v>
      </c>
      <c r="K361" s="8">
        <v>77</v>
      </c>
      <c r="L361" s="8" t="s">
        <v>6584</v>
      </c>
      <c r="M361" s="8" t="s">
        <v>6627</v>
      </c>
      <c r="N361" t="s">
        <v>127</v>
      </c>
      <c r="O361" t="s">
        <v>6567</v>
      </c>
      <c r="P361" s="4">
        <v>2598</v>
      </c>
      <c r="Q361">
        <f t="shared" si="87"/>
        <v>88.3</v>
      </c>
      <c r="R361">
        <f t="shared" si="88"/>
        <v>1.4716666666666667</v>
      </c>
      <c r="S361" s="2">
        <v>45722</v>
      </c>
      <c r="U361">
        <v>77</v>
      </c>
      <c r="V361" s="4">
        <v>200046</v>
      </c>
      <c r="W361" t="s">
        <v>65</v>
      </c>
      <c r="X361" t="s">
        <v>1798</v>
      </c>
      <c r="Y361">
        <v>0</v>
      </c>
      <c r="Z361" s="4">
        <v>180000</v>
      </c>
      <c r="AA361" s="4">
        <v>20046</v>
      </c>
      <c r="AB361">
        <v>0</v>
      </c>
      <c r="AC361">
        <v>0</v>
      </c>
      <c r="AD361">
        <v>0</v>
      </c>
      <c r="AG361">
        <v>0</v>
      </c>
      <c r="AP361" t="s">
        <v>1799</v>
      </c>
      <c r="AQ361" t="s">
        <v>107</v>
      </c>
      <c r="AR361" t="s">
        <v>6638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BC361" t="s">
        <v>69</v>
      </c>
      <c r="BD361" t="s">
        <v>1800</v>
      </c>
      <c r="BE361">
        <v>0</v>
      </c>
      <c r="BG361" t="s">
        <v>107</v>
      </c>
      <c r="BJ361" t="s">
        <v>1801</v>
      </c>
    </row>
    <row r="362" spans="1:62" x14ac:dyDescent="0.35">
      <c r="A362" t="s">
        <v>1802</v>
      </c>
      <c r="B362">
        <v>10000</v>
      </c>
      <c r="C362">
        <v>10000</v>
      </c>
      <c r="D362" s="2">
        <v>45722</v>
      </c>
      <c r="E362" t="s">
        <v>61</v>
      </c>
      <c r="F362" t="s">
        <v>1803</v>
      </c>
      <c r="G362" t="s">
        <v>215</v>
      </c>
      <c r="I362">
        <v>1</v>
      </c>
      <c r="J362" t="s">
        <v>63</v>
      </c>
      <c r="K362" s="8">
        <v>12</v>
      </c>
      <c r="L362" s="8" t="s">
        <v>6604</v>
      </c>
      <c r="M362" s="8" t="s">
        <v>6629</v>
      </c>
      <c r="N362" t="s">
        <v>478</v>
      </c>
      <c r="O362" t="s">
        <v>6434</v>
      </c>
      <c r="P362">
        <v>500</v>
      </c>
      <c r="Q362">
        <f t="shared" ref="Q362:Q363" si="89">(P362/50)+45</f>
        <v>55</v>
      </c>
      <c r="R362">
        <f t="shared" si="88"/>
        <v>0.91666666666666663</v>
      </c>
      <c r="S362" s="2">
        <v>45722</v>
      </c>
      <c r="U362">
        <v>2</v>
      </c>
      <c r="V362" s="4">
        <v>1000</v>
      </c>
      <c r="W362" t="s">
        <v>65</v>
      </c>
      <c r="X362" t="s">
        <v>1804</v>
      </c>
      <c r="Y362">
        <v>0</v>
      </c>
      <c r="Z362" s="4">
        <v>1000</v>
      </c>
      <c r="AA362">
        <v>0</v>
      </c>
      <c r="AB362">
        <v>0</v>
      </c>
      <c r="AC362">
        <v>0</v>
      </c>
      <c r="AD362">
        <v>0</v>
      </c>
      <c r="AG362">
        <v>0</v>
      </c>
      <c r="AP362" t="s">
        <v>1805</v>
      </c>
      <c r="AQ362" t="s">
        <v>206</v>
      </c>
      <c r="AR362" t="s">
        <v>6645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BC362" t="s">
        <v>69</v>
      </c>
      <c r="BD362" t="s">
        <v>1806</v>
      </c>
      <c r="BE362">
        <v>0</v>
      </c>
      <c r="BG362" t="s">
        <v>206</v>
      </c>
      <c r="BJ362" t="s">
        <v>1391</v>
      </c>
    </row>
    <row r="363" spans="1:62" x14ac:dyDescent="0.35">
      <c r="A363" t="s">
        <v>1807</v>
      </c>
      <c r="B363">
        <v>10000</v>
      </c>
      <c r="C363">
        <v>10000</v>
      </c>
      <c r="D363" s="2">
        <v>45722</v>
      </c>
      <c r="E363" t="s">
        <v>61</v>
      </c>
      <c r="F363" t="s">
        <v>1803</v>
      </c>
      <c r="G363" t="s">
        <v>1808</v>
      </c>
      <c r="I363">
        <v>1</v>
      </c>
      <c r="J363" t="s">
        <v>63</v>
      </c>
      <c r="K363" s="8">
        <v>12</v>
      </c>
      <c r="L363" s="8" t="s">
        <v>6604</v>
      </c>
      <c r="M363" s="8" t="s">
        <v>6629</v>
      </c>
      <c r="N363" t="s">
        <v>478</v>
      </c>
      <c r="O363" t="s">
        <v>6434</v>
      </c>
      <c r="P363" s="4">
        <v>3000</v>
      </c>
      <c r="Q363">
        <f t="shared" si="89"/>
        <v>105</v>
      </c>
      <c r="R363">
        <f t="shared" si="88"/>
        <v>1.75</v>
      </c>
      <c r="S363" s="2">
        <v>45722</v>
      </c>
      <c r="U363">
        <v>1</v>
      </c>
      <c r="V363" s="4">
        <v>3000</v>
      </c>
      <c r="W363" t="s">
        <v>65</v>
      </c>
      <c r="X363" t="s">
        <v>1809</v>
      </c>
      <c r="Y363">
        <v>0</v>
      </c>
      <c r="Z363" s="4">
        <v>3000</v>
      </c>
      <c r="AA363">
        <v>0</v>
      </c>
      <c r="AB363">
        <v>0</v>
      </c>
      <c r="AC363">
        <v>0</v>
      </c>
      <c r="AD363">
        <v>0</v>
      </c>
      <c r="AG363">
        <v>0</v>
      </c>
      <c r="AP363" t="s">
        <v>1810</v>
      </c>
      <c r="AQ363" t="s">
        <v>206</v>
      </c>
      <c r="AR363" t="s">
        <v>6645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C363" t="s">
        <v>69</v>
      </c>
      <c r="BD363" t="s">
        <v>1811</v>
      </c>
      <c r="BE363">
        <v>0</v>
      </c>
      <c r="BG363" t="s">
        <v>206</v>
      </c>
      <c r="BJ363" t="s">
        <v>1812</v>
      </c>
    </row>
    <row r="364" spans="1:62" x14ac:dyDescent="0.35">
      <c r="A364" t="s">
        <v>1813</v>
      </c>
      <c r="B364">
        <v>10000</v>
      </c>
      <c r="C364">
        <v>10000</v>
      </c>
      <c r="D364" s="2">
        <v>45726</v>
      </c>
      <c r="E364" t="s">
        <v>61</v>
      </c>
      <c r="F364" t="s">
        <v>1814</v>
      </c>
      <c r="G364" t="s">
        <v>1815</v>
      </c>
      <c r="I364">
        <v>1</v>
      </c>
      <c r="J364" t="s">
        <v>63</v>
      </c>
      <c r="K364" s="8">
        <v>46</v>
      </c>
      <c r="L364" s="8" t="s">
        <v>6587</v>
      </c>
      <c r="M364" s="8" t="s">
        <v>6629</v>
      </c>
      <c r="N364" t="s">
        <v>113</v>
      </c>
      <c r="O364" t="s">
        <v>6499</v>
      </c>
      <c r="P364" s="4">
        <v>11667</v>
      </c>
      <c r="Q364">
        <f>(P364/40)+45</f>
        <v>336.67500000000001</v>
      </c>
      <c r="R364">
        <f>Q364/60</f>
        <v>5.6112500000000001</v>
      </c>
      <c r="S364" s="2">
        <v>45722</v>
      </c>
      <c r="U364">
        <v>6</v>
      </c>
      <c r="V364" s="4">
        <v>70002</v>
      </c>
      <c r="W364" t="s">
        <v>65</v>
      </c>
      <c r="X364" t="s">
        <v>1816</v>
      </c>
      <c r="Y364">
        <v>0</v>
      </c>
      <c r="Z364" s="4">
        <v>60000</v>
      </c>
      <c r="AA364" s="4">
        <v>10002</v>
      </c>
      <c r="AB364">
        <v>0</v>
      </c>
      <c r="AC364">
        <v>0</v>
      </c>
      <c r="AD364">
        <v>0</v>
      </c>
      <c r="AG364">
        <v>0</v>
      </c>
      <c r="AP364" t="s">
        <v>1817</v>
      </c>
      <c r="AQ364" t="s">
        <v>206</v>
      </c>
      <c r="AR364" t="s">
        <v>6645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C364" t="s">
        <v>69</v>
      </c>
      <c r="BD364" t="s">
        <v>1818</v>
      </c>
      <c r="BE364">
        <v>0</v>
      </c>
      <c r="BG364" t="s">
        <v>206</v>
      </c>
      <c r="BJ364" t="s">
        <v>1819</v>
      </c>
    </row>
    <row r="365" spans="1:62" x14ac:dyDescent="0.35">
      <c r="A365" t="s">
        <v>1820</v>
      </c>
      <c r="B365">
        <v>10000</v>
      </c>
      <c r="C365">
        <v>10000</v>
      </c>
      <c r="D365" s="2">
        <v>45726</v>
      </c>
      <c r="E365" t="s">
        <v>61</v>
      </c>
      <c r="F365" t="s">
        <v>1821</v>
      </c>
      <c r="G365" t="s">
        <v>1822</v>
      </c>
      <c r="I365">
        <v>1</v>
      </c>
      <c r="J365" t="s">
        <v>63</v>
      </c>
      <c r="K365" s="8">
        <v>72</v>
      </c>
      <c r="L365" s="8" t="s">
        <v>6606</v>
      </c>
      <c r="M365" s="8" t="s">
        <v>6631</v>
      </c>
      <c r="N365" t="s">
        <v>163</v>
      </c>
      <c r="O365" t="s">
        <v>6548</v>
      </c>
      <c r="P365" s="4">
        <v>2000</v>
      </c>
      <c r="S365" s="2">
        <v>45722</v>
      </c>
      <c r="U365">
        <v>4</v>
      </c>
      <c r="V365" s="4">
        <v>8000</v>
      </c>
      <c r="W365" t="s">
        <v>65</v>
      </c>
      <c r="X365" t="s">
        <v>1823</v>
      </c>
      <c r="Y365">
        <v>0</v>
      </c>
      <c r="Z365" s="4">
        <v>5000</v>
      </c>
      <c r="AA365" s="4">
        <v>3000</v>
      </c>
      <c r="AB365">
        <v>0</v>
      </c>
      <c r="AC365">
        <v>0</v>
      </c>
      <c r="AD365">
        <v>0</v>
      </c>
      <c r="AG365">
        <v>0</v>
      </c>
      <c r="AP365" t="s">
        <v>1824</v>
      </c>
      <c r="AQ365" t="s">
        <v>449</v>
      </c>
      <c r="AR365" t="s">
        <v>6654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BC365" t="s">
        <v>69</v>
      </c>
      <c r="BD365" t="s">
        <v>1825</v>
      </c>
      <c r="BE365">
        <v>0</v>
      </c>
      <c r="BG365" t="s">
        <v>449</v>
      </c>
      <c r="BJ365" t="s">
        <v>584</v>
      </c>
    </row>
    <row r="366" spans="1:62" x14ac:dyDescent="0.35">
      <c r="A366" t="s">
        <v>1826</v>
      </c>
      <c r="B366">
        <v>10000</v>
      </c>
      <c r="C366">
        <v>10000</v>
      </c>
      <c r="D366" s="2">
        <v>45722</v>
      </c>
      <c r="E366" t="s">
        <v>61</v>
      </c>
      <c r="F366" t="s">
        <v>1827</v>
      </c>
      <c r="G366" t="s">
        <v>1404</v>
      </c>
      <c r="I366">
        <v>1</v>
      </c>
      <c r="J366" t="s">
        <v>63</v>
      </c>
      <c r="K366" s="8">
        <v>94</v>
      </c>
      <c r="L366" s="8" t="s">
        <v>6599</v>
      </c>
      <c r="M366" s="8" t="s">
        <v>6629</v>
      </c>
      <c r="N366" t="s">
        <v>181</v>
      </c>
      <c r="O366" t="s">
        <v>6544</v>
      </c>
      <c r="P366" s="4">
        <v>4000</v>
      </c>
      <c r="S366" s="2">
        <v>45722</v>
      </c>
      <c r="U366">
        <v>6</v>
      </c>
      <c r="V366" s="4">
        <v>24000</v>
      </c>
      <c r="W366" t="s">
        <v>65</v>
      </c>
      <c r="X366" t="s">
        <v>1405</v>
      </c>
      <c r="Y366">
        <v>0</v>
      </c>
      <c r="Z366" s="4">
        <v>24000</v>
      </c>
      <c r="AA366">
        <v>0</v>
      </c>
      <c r="AB366">
        <v>0</v>
      </c>
      <c r="AC366">
        <v>0</v>
      </c>
      <c r="AD366">
        <v>0</v>
      </c>
      <c r="AG366">
        <v>0</v>
      </c>
      <c r="AP366" t="s">
        <v>1406</v>
      </c>
      <c r="AQ366" t="s">
        <v>364</v>
      </c>
      <c r="AR366" t="s">
        <v>6653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C366" t="s">
        <v>69</v>
      </c>
      <c r="BD366" t="s">
        <v>1828</v>
      </c>
      <c r="BE366">
        <v>0</v>
      </c>
      <c r="BG366" t="s">
        <v>364</v>
      </c>
      <c r="BJ366" t="s">
        <v>1829</v>
      </c>
    </row>
    <row r="367" spans="1:62" x14ac:dyDescent="0.35">
      <c r="A367" t="s">
        <v>1830</v>
      </c>
      <c r="B367">
        <v>10000</v>
      </c>
      <c r="C367">
        <v>10000</v>
      </c>
      <c r="D367" s="2">
        <v>45722</v>
      </c>
      <c r="E367" t="s">
        <v>61</v>
      </c>
      <c r="F367" t="s">
        <v>1575</v>
      </c>
      <c r="G367" t="s">
        <v>1576</v>
      </c>
      <c r="I367">
        <v>1</v>
      </c>
      <c r="J367" t="s">
        <v>63</v>
      </c>
      <c r="K367" s="8">
        <v>82</v>
      </c>
      <c r="L367" s="8" t="s">
        <v>6598</v>
      </c>
      <c r="M367" s="8" t="s">
        <v>6630</v>
      </c>
      <c r="N367" t="s">
        <v>341</v>
      </c>
      <c r="O367" t="s">
        <v>6346</v>
      </c>
      <c r="P367" s="4">
        <v>3334</v>
      </c>
      <c r="S367" s="2">
        <v>45722</v>
      </c>
      <c r="U367">
        <v>6</v>
      </c>
      <c r="V367" s="4">
        <v>20004</v>
      </c>
      <c r="W367" t="s">
        <v>65</v>
      </c>
      <c r="X367" t="s">
        <v>1578</v>
      </c>
      <c r="Y367">
        <v>0</v>
      </c>
      <c r="Z367" s="4">
        <v>20000</v>
      </c>
      <c r="AA367">
        <v>4</v>
      </c>
      <c r="AB367">
        <v>0</v>
      </c>
      <c r="AC367">
        <v>0</v>
      </c>
      <c r="AD367">
        <v>0</v>
      </c>
      <c r="AG367">
        <v>0</v>
      </c>
      <c r="AP367" t="s">
        <v>1579</v>
      </c>
      <c r="AQ367" t="s">
        <v>829</v>
      </c>
      <c r="AR367" t="s">
        <v>6653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C367" t="s">
        <v>69</v>
      </c>
      <c r="BD367" t="s">
        <v>1831</v>
      </c>
      <c r="BE367">
        <v>0</v>
      </c>
      <c r="BG367" t="s">
        <v>829</v>
      </c>
      <c r="BJ367" t="s">
        <v>1832</v>
      </c>
    </row>
    <row r="368" spans="1:62" x14ac:dyDescent="0.35">
      <c r="A368" t="s">
        <v>1833</v>
      </c>
      <c r="B368">
        <v>10000</v>
      </c>
      <c r="C368">
        <v>10000</v>
      </c>
      <c r="D368" s="2">
        <v>45722</v>
      </c>
      <c r="E368" t="s">
        <v>61</v>
      </c>
      <c r="F368" t="s">
        <v>1575</v>
      </c>
      <c r="G368" t="s">
        <v>1576</v>
      </c>
      <c r="I368">
        <v>1</v>
      </c>
      <c r="J368" t="s">
        <v>63</v>
      </c>
      <c r="K368" s="8">
        <v>82</v>
      </c>
      <c r="L368" s="8" t="s">
        <v>6598</v>
      </c>
      <c r="M368" s="8" t="s">
        <v>6630</v>
      </c>
      <c r="N368" t="s">
        <v>341</v>
      </c>
      <c r="O368" t="s">
        <v>6346</v>
      </c>
      <c r="P368" s="4">
        <v>5000</v>
      </c>
      <c r="S368" s="2">
        <v>45722</v>
      </c>
      <c r="U368">
        <v>6</v>
      </c>
      <c r="V368" s="4">
        <v>30000</v>
      </c>
      <c r="W368" t="s">
        <v>65</v>
      </c>
      <c r="X368" t="s">
        <v>1578</v>
      </c>
      <c r="Y368">
        <v>0</v>
      </c>
      <c r="Z368" s="4">
        <v>30000</v>
      </c>
      <c r="AA368">
        <v>0</v>
      </c>
      <c r="AB368">
        <v>0</v>
      </c>
      <c r="AC368">
        <v>0</v>
      </c>
      <c r="AD368">
        <v>0</v>
      </c>
      <c r="AG368">
        <v>0</v>
      </c>
      <c r="AP368" t="s">
        <v>1579</v>
      </c>
      <c r="AQ368" t="s">
        <v>829</v>
      </c>
      <c r="AR368" t="s">
        <v>6653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BC368" t="s">
        <v>69</v>
      </c>
      <c r="BD368" t="s">
        <v>1834</v>
      </c>
      <c r="BE368">
        <v>0</v>
      </c>
      <c r="BG368" t="s">
        <v>829</v>
      </c>
      <c r="BJ368" t="s">
        <v>1835</v>
      </c>
    </row>
    <row r="369" spans="1:62" x14ac:dyDescent="0.35">
      <c r="A369" t="s">
        <v>1836</v>
      </c>
      <c r="B369">
        <v>10000</v>
      </c>
      <c r="C369">
        <v>10000</v>
      </c>
      <c r="D369" s="2">
        <v>45722</v>
      </c>
      <c r="E369" t="s">
        <v>61</v>
      </c>
      <c r="F369" t="s">
        <v>1575</v>
      </c>
      <c r="G369" t="s">
        <v>1576</v>
      </c>
      <c r="I369">
        <v>1</v>
      </c>
      <c r="J369" t="s">
        <v>63</v>
      </c>
      <c r="K369" s="8">
        <v>82</v>
      </c>
      <c r="L369" s="8" t="s">
        <v>6598</v>
      </c>
      <c r="M369" s="8" t="s">
        <v>6630</v>
      </c>
      <c r="N369" t="s">
        <v>341</v>
      </c>
      <c r="O369" t="s">
        <v>6346</v>
      </c>
      <c r="P369" s="4">
        <v>5000</v>
      </c>
      <c r="S369" s="2">
        <v>45722</v>
      </c>
      <c r="U369">
        <v>6</v>
      </c>
      <c r="V369" s="4">
        <v>30000</v>
      </c>
      <c r="W369" t="s">
        <v>65</v>
      </c>
      <c r="X369" t="s">
        <v>1578</v>
      </c>
      <c r="Y369">
        <v>0</v>
      </c>
      <c r="Z369" s="4">
        <v>30000</v>
      </c>
      <c r="AA369">
        <v>0</v>
      </c>
      <c r="AB369">
        <v>0</v>
      </c>
      <c r="AC369">
        <v>0</v>
      </c>
      <c r="AD369">
        <v>0</v>
      </c>
      <c r="AG369">
        <v>0</v>
      </c>
      <c r="AP369" t="s">
        <v>1579</v>
      </c>
      <c r="AQ369" t="s">
        <v>829</v>
      </c>
      <c r="AR369" t="s">
        <v>6653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C369" t="s">
        <v>69</v>
      </c>
      <c r="BD369" t="s">
        <v>1837</v>
      </c>
      <c r="BE369">
        <v>0</v>
      </c>
      <c r="BG369" t="s">
        <v>829</v>
      </c>
      <c r="BJ369" t="s">
        <v>1838</v>
      </c>
    </row>
    <row r="370" spans="1:62" x14ac:dyDescent="0.35">
      <c r="A370" t="s">
        <v>1413</v>
      </c>
      <c r="B370">
        <v>10000</v>
      </c>
      <c r="C370">
        <v>40000</v>
      </c>
      <c r="D370" s="2">
        <v>45728</v>
      </c>
      <c r="E370" t="s">
        <v>61</v>
      </c>
      <c r="F370" s="3">
        <v>0.47562500000000002</v>
      </c>
      <c r="G370" t="s">
        <v>1414</v>
      </c>
      <c r="I370">
        <v>3</v>
      </c>
      <c r="J370" t="s">
        <v>63</v>
      </c>
      <c r="K370" s="8">
        <v>112</v>
      </c>
      <c r="L370" s="8" t="s">
        <v>6616</v>
      </c>
      <c r="M370" s="8" t="s">
        <v>6630</v>
      </c>
      <c r="N370" t="s">
        <v>533</v>
      </c>
      <c r="O370" t="s">
        <v>6572</v>
      </c>
      <c r="P370" s="4">
        <v>65715</v>
      </c>
      <c r="Q370">
        <f>(P370/20)+45</f>
        <v>3330.75</v>
      </c>
      <c r="R370">
        <f>Q370/60</f>
        <v>55.512500000000003</v>
      </c>
      <c r="S370" s="2">
        <v>45722</v>
      </c>
      <c r="U370">
        <v>112</v>
      </c>
      <c r="V370" s="4">
        <v>7360080</v>
      </c>
      <c r="W370" t="s">
        <v>65</v>
      </c>
      <c r="X370" t="s">
        <v>1415</v>
      </c>
      <c r="Y370">
        <v>0</v>
      </c>
      <c r="Z370" s="4">
        <v>7140000</v>
      </c>
      <c r="AA370" s="4">
        <v>220080</v>
      </c>
      <c r="AB370">
        <v>0</v>
      </c>
      <c r="AC370">
        <v>0</v>
      </c>
      <c r="AD370">
        <v>0</v>
      </c>
      <c r="AG370">
        <v>0</v>
      </c>
      <c r="AP370" t="s">
        <v>1416</v>
      </c>
      <c r="AQ370" t="s">
        <v>481</v>
      </c>
      <c r="AR370" t="s">
        <v>6655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BC370" t="s">
        <v>69</v>
      </c>
      <c r="BD370" t="s">
        <v>1417</v>
      </c>
      <c r="BE370">
        <v>0</v>
      </c>
      <c r="BG370" t="s">
        <v>481</v>
      </c>
      <c r="BJ370" t="s">
        <v>1418</v>
      </c>
    </row>
    <row r="371" spans="1:62" x14ac:dyDescent="0.35">
      <c r="A371" t="s">
        <v>1839</v>
      </c>
      <c r="B371">
        <v>10000</v>
      </c>
      <c r="C371">
        <v>10000</v>
      </c>
      <c r="D371" s="2">
        <v>45728</v>
      </c>
      <c r="E371" t="s">
        <v>61</v>
      </c>
      <c r="F371" s="3">
        <v>0.46938657407407408</v>
      </c>
      <c r="G371" t="s">
        <v>1840</v>
      </c>
      <c r="I371">
        <v>1</v>
      </c>
      <c r="J371" t="s">
        <v>63</v>
      </c>
      <c r="K371" s="8">
        <v>93</v>
      </c>
      <c r="L371" s="8" t="s">
        <v>6611</v>
      </c>
      <c r="M371" s="8" t="s">
        <v>6631</v>
      </c>
      <c r="N371" t="s">
        <v>573</v>
      </c>
      <c r="O371" t="s">
        <v>6547</v>
      </c>
      <c r="P371">
        <v>250</v>
      </c>
      <c r="Q371">
        <f>(P371/20)+30</f>
        <v>42.5</v>
      </c>
      <c r="R371">
        <f>Q371/60</f>
        <v>0.70833333333333337</v>
      </c>
      <c r="S371" s="2">
        <v>45722</v>
      </c>
      <c r="U371">
        <v>3</v>
      </c>
      <c r="V371">
        <v>750</v>
      </c>
      <c r="W371" t="s">
        <v>65</v>
      </c>
      <c r="X371">
        <v>10104870001</v>
      </c>
      <c r="Y371">
        <v>0</v>
      </c>
      <c r="Z371">
        <v>500</v>
      </c>
      <c r="AA371">
        <v>250</v>
      </c>
      <c r="AB371">
        <v>0</v>
      </c>
      <c r="AC371">
        <v>0</v>
      </c>
      <c r="AD371">
        <v>0</v>
      </c>
      <c r="AG371">
        <v>0</v>
      </c>
      <c r="AP371">
        <v>1010487</v>
      </c>
      <c r="AQ371" t="s">
        <v>1841</v>
      </c>
      <c r="AR371" t="s">
        <v>6687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BC371" t="s">
        <v>69</v>
      </c>
      <c r="BD371" t="s">
        <v>1842</v>
      </c>
      <c r="BE371">
        <v>0</v>
      </c>
      <c r="BG371" t="s">
        <v>1841</v>
      </c>
      <c r="BJ371" t="s">
        <v>1843</v>
      </c>
    </row>
    <row r="372" spans="1:62" x14ac:dyDescent="0.35">
      <c r="A372" t="s">
        <v>1444</v>
      </c>
      <c r="B372">
        <v>10000</v>
      </c>
      <c r="C372">
        <v>20000</v>
      </c>
      <c r="D372" s="2">
        <v>45740</v>
      </c>
      <c r="E372" t="s">
        <v>61</v>
      </c>
      <c r="F372" t="s">
        <v>1445</v>
      </c>
      <c r="G372">
        <v>10620258034</v>
      </c>
      <c r="I372">
        <v>2</v>
      </c>
      <c r="J372" t="s">
        <v>63</v>
      </c>
      <c r="K372" s="8">
        <v>77</v>
      </c>
      <c r="L372" s="8" t="s">
        <v>6584</v>
      </c>
      <c r="M372" s="8" t="s">
        <v>6627</v>
      </c>
      <c r="N372" t="s">
        <v>127</v>
      </c>
      <c r="O372" t="s">
        <v>6567</v>
      </c>
      <c r="P372">
        <v>858</v>
      </c>
      <c r="Q372">
        <f t="shared" ref="Q372:Q373" si="90">(P372/60)+45</f>
        <v>59.3</v>
      </c>
      <c r="R372">
        <f t="shared" ref="R372:R373" si="91">Q372/60</f>
        <v>0.98833333333333329</v>
      </c>
      <c r="S372" s="2">
        <v>45722</v>
      </c>
      <c r="U372">
        <v>77</v>
      </c>
      <c r="V372" s="4">
        <v>66066</v>
      </c>
      <c r="W372" t="s">
        <v>65</v>
      </c>
      <c r="X372" t="s">
        <v>1446</v>
      </c>
      <c r="Y372">
        <v>0</v>
      </c>
      <c r="Z372" s="4">
        <v>50000</v>
      </c>
      <c r="AA372" s="4">
        <v>16066</v>
      </c>
      <c r="AB372">
        <v>0</v>
      </c>
      <c r="AC372">
        <v>0</v>
      </c>
      <c r="AD372">
        <v>0</v>
      </c>
      <c r="AG372">
        <v>0</v>
      </c>
      <c r="AP372" t="s">
        <v>1447</v>
      </c>
      <c r="AQ372" t="s">
        <v>107</v>
      </c>
      <c r="AR372" t="s">
        <v>6638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C372" t="s">
        <v>69</v>
      </c>
      <c r="BD372" t="s">
        <v>1448</v>
      </c>
      <c r="BE372">
        <v>0</v>
      </c>
      <c r="BG372" t="s">
        <v>107</v>
      </c>
      <c r="BJ372" t="s">
        <v>1449</v>
      </c>
    </row>
    <row r="373" spans="1:62" x14ac:dyDescent="0.35">
      <c r="A373" t="s">
        <v>1450</v>
      </c>
      <c r="B373">
        <v>10000</v>
      </c>
      <c r="C373">
        <v>30000</v>
      </c>
      <c r="D373" s="2">
        <v>45740</v>
      </c>
      <c r="E373" t="s">
        <v>61</v>
      </c>
      <c r="F373" t="s">
        <v>1451</v>
      </c>
      <c r="G373">
        <v>10639931051</v>
      </c>
      <c r="I373">
        <v>2</v>
      </c>
      <c r="J373" t="s">
        <v>63</v>
      </c>
      <c r="K373" s="8">
        <v>77</v>
      </c>
      <c r="L373" s="8" t="s">
        <v>6584</v>
      </c>
      <c r="M373" s="8" t="s">
        <v>6627</v>
      </c>
      <c r="N373" t="s">
        <v>127</v>
      </c>
      <c r="O373" t="s">
        <v>6567</v>
      </c>
      <c r="P373" s="4">
        <v>2182</v>
      </c>
      <c r="Q373">
        <f t="shared" si="90"/>
        <v>81.366666666666674</v>
      </c>
      <c r="R373">
        <f t="shared" si="91"/>
        <v>1.3561111111111113</v>
      </c>
      <c r="S373" s="2">
        <v>45722</v>
      </c>
      <c r="U373">
        <v>77</v>
      </c>
      <c r="V373" s="4">
        <v>168014</v>
      </c>
      <c r="W373" t="s">
        <v>65</v>
      </c>
      <c r="X373" t="s">
        <v>1452</v>
      </c>
      <c r="Y373">
        <v>0</v>
      </c>
      <c r="Z373" s="4">
        <v>150000</v>
      </c>
      <c r="AA373" s="4">
        <v>18014</v>
      </c>
      <c r="AB373">
        <v>0</v>
      </c>
      <c r="AC373">
        <v>0</v>
      </c>
      <c r="AD373">
        <v>0</v>
      </c>
      <c r="AG373">
        <v>0</v>
      </c>
      <c r="AP373" t="s">
        <v>1453</v>
      </c>
      <c r="AQ373" t="s">
        <v>107</v>
      </c>
      <c r="AR373" t="s">
        <v>6638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C373" t="s">
        <v>69</v>
      </c>
      <c r="BD373" t="s">
        <v>1454</v>
      </c>
      <c r="BE373">
        <v>0</v>
      </c>
      <c r="BG373" t="s">
        <v>107</v>
      </c>
      <c r="BJ373" t="s">
        <v>1449</v>
      </c>
    </row>
    <row r="374" spans="1:62" x14ac:dyDescent="0.35">
      <c r="A374" t="s">
        <v>1844</v>
      </c>
      <c r="B374">
        <v>10000</v>
      </c>
      <c r="C374">
        <v>10000</v>
      </c>
      <c r="D374" s="2">
        <v>45726</v>
      </c>
      <c r="E374" t="s">
        <v>61</v>
      </c>
      <c r="F374" s="3">
        <v>0.47454861111111113</v>
      </c>
      <c r="G374" t="s">
        <v>1845</v>
      </c>
      <c r="I374">
        <v>1</v>
      </c>
      <c r="J374" t="s">
        <v>63</v>
      </c>
      <c r="K374" s="8">
        <v>88</v>
      </c>
      <c r="L374" s="8" t="s">
        <v>6610</v>
      </c>
      <c r="M374" s="8" t="s">
        <v>6631</v>
      </c>
      <c r="N374" t="s">
        <v>630</v>
      </c>
      <c r="O374" t="s">
        <v>6571</v>
      </c>
      <c r="P374" s="4">
        <v>1300</v>
      </c>
      <c r="S374" s="2">
        <v>45722</v>
      </c>
      <c r="U374">
        <v>1</v>
      </c>
      <c r="V374" s="4">
        <v>1300</v>
      </c>
      <c r="W374" t="s">
        <v>65</v>
      </c>
      <c r="X374" t="s">
        <v>1846</v>
      </c>
      <c r="Y374">
        <v>0</v>
      </c>
      <c r="Z374" s="4">
        <v>1000</v>
      </c>
      <c r="AA374">
        <v>300</v>
      </c>
      <c r="AB374">
        <v>0</v>
      </c>
      <c r="AC374">
        <v>0</v>
      </c>
      <c r="AD374">
        <v>0</v>
      </c>
      <c r="AG374">
        <v>0</v>
      </c>
      <c r="AP374" t="s">
        <v>1847</v>
      </c>
      <c r="AQ374" t="s">
        <v>1848</v>
      </c>
      <c r="AR374" t="s">
        <v>6688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BC374" t="s">
        <v>69</v>
      </c>
      <c r="BD374" t="s">
        <v>1849</v>
      </c>
      <c r="BE374">
        <v>0</v>
      </c>
      <c r="BG374" t="s">
        <v>1848</v>
      </c>
      <c r="BJ374" t="s">
        <v>1850</v>
      </c>
    </row>
    <row r="375" spans="1:62" x14ac:dyDescent="0.35">
      <c r="A375" t="s">
        <v>1844</v>
      </c>
      <c r="B375">
        <v>10000</v>
      </c>
      <c r="C375">
        <v>20000</v>
      </c>
      <c r="D375" s="2">
        <v>45726</v>
      </c>
      <c r="E375" t="s">
        <v>61</v>
      </c>
      <c r="F375" s="3">
        <v>0.47454861111111113</v>
      </c>
      <c r="G375" t="s">
        <v>1845</v>
      </c>
      <c r="I375">
        <v>2</v>
      </c>
      <c r="J375" t="s">
        <v>63</v>
      </c>
      <c r="K375" s="8">
        <v>92</v>
      </c>
      <c r="L375" s="8" t="s">
        <v>6614</v>
      </c>
      <c r="M375" s="8" t="s">
        <v>6633</v>
      </c>
      <c r="N375" t="s">
        <v>424</v>
      </c>
      <c r="O375" t="s">
        <v>6570</v>
      </c>
      <c r="P375" s="4">
        <v>1200</v>
      </c>
      <c r="S375" s="2">
        <v>45722</v>
      </c>
      <c r="U375">
        <v>1</v>
      </c>
      <c r="V375" s="4">
        <v>1200</v>
      </c>
      <c r="W375" t="s">
        <v>65</v>
      </c>
      <c r="X375" t="s">
        <v>1846</v>
      </c>
      <c r="Y375">
        <v>0</v>
      </c>
      <c r="Z375" s="4">
        <v>1000</v>
      </c>
      <c r="AA375">
        <v>200</v>
      </c>
      <c r="AB375">
        <v>0</v>
      </c>
      <c r="AC375">
        <v>0</v>
      </c>
      <c r="AD375">
        <v>0</v>
      </c>
      <c r="AG375">
        <v>0</v>
      </c>
      <c r="AP375" t="s">
        <v>1847</v>
      </c>
      <c r="AQ375" t="s">
        <v>1848</v>
      </c>
      <c r="AR375" t="s">
        <v>6688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BC375" t="s">
        <v>69</v>
      </c>
      <c r="BD375" t="s">
        <v>1849</v>
      </c>
      <c r="BE375">
        <v>0</v>
      </c>
      <c r="BG375" t="s">
        <v>1848</v>
      </c>
      <c r="BJ375" t="s">
        <v>1850</v>
      </c>
    </row>
    <row r="376" spans="1:62" x14ac:dyDescent="0.35">
      <c r="A376" t="s">
        <v>664</v>
      </c>
      <c r="B376">
        <v>10000</v>
      </c>
      <c r="C376">
        <v>20000</v>
      </c>
      <c r="D376" s="2">
        <v>45734</v>
      </c>
      <c r="E376" t="s">
        <v>61</v>
      </c>
      <c r="F376" t="s">
        <v>665</v>
      </c>
      <c r="G376">
        <v>10639931060</v>
      </c>
      <c r="I376">
        <v>2</v>
      </c>
      <c r="J376" t="s">
        <v>63</v>
      </c>
      <c r="K376" s="8">
        <v>77</v>
      </c>
      <c r="L376" s="8" t="s">
        <v>6584</v>
      </c>
      <c r="M376" s="8" t="s">
        <v>6627</v>
      </c>
      <c r="N376" t="s">
        <v>127</v>
      </c>
      <c r="O376" t="s">
        <v>6567</v>
      </c>
      <c r="P376">
        <v>390</v>
      </c>
      <c r="Q376">
        <f t="shared" ref="Q376:Q380" si="92">(P376/60)+45</f>
        <v>51.5</v>
      </c>
      <c r="R376">
        <f t="shared" ref="R376:R380" si="93">Q376/60</f>
        <v>0.85833333333333328</v>
      </c>
      <c r="S376" s="2">
        <v>45722</v>
      </c>
      <c r="U376">
        <v>77</v>
      </c>
      <c r="V376" s="4">
        <v>30030</v>
      </c>
      <c r="W376" t="s">
        <v>65</v>
      </c>
      <c r="X376" t="s">
        <v>666</v>
      </c>
      <c r="Y376">
        <v>0</v>
      </c>
      <c r="Z376" s="4">
        <v>20000</v>
      </c>
      <c r="AA376" s="4">
        <v>10030</v>
      </c>
      <c r="AB376">
        <v>0</v>
      </c>
      <c r="AC376">
        <v>0</v>
      </c>
      <c r="AD376">
        <v>0</v>
      </c>
      <c r="AG376">
        <v>0</v>
      </c>
      <c r="AP376" t="s">
        <v>667</v>
      </c>
      <c r="AQ376" t="s">
        <v>107</v>
      </c>
      <c r="AR376" t="s">
        <v>6638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BC376" t="s">
        <v>69</v>
      </c>
      <c r="BD376" t="s">
        <v>668</v>
      </c>
      <c r="BE376">
        <v>0</v>
      </c>
      <c r="BG376" t="s">
        <v>107</v>
      </c>
      <c r="BJ376" t="s">
        <v>669</v>
      </c>
    </row>
    <row r="377" spans="1:62" x14ac:dyDescent="0.35">
      <c r="A377" t="s">
        <v>670</v>
      </c>
      <c r="B377">
        <v>10000</v>
      </c>
      <c r="C377">
        <v>20000</v>
      </c>
      <c r="D377" s="2">
        <v>45729</v>
      </c>
      <c r="E377" t="s">
        <v>61</v>
      </c>
      <c r="F377" t="s">
        <v>671</v>
      </c>
      <c r="G377">
        <v>10639931060</v>
      </c>
      <c r="I377">
        <v>2</v>
      </c>
      <c r="J377" t="s">
        <v>63</v>
      </c>
      <c r="K377" s="8">
        <v>77</v>
      </c>
      <c r="L377" s="8" t="s">
        <v>6584</v>
      </c>
      <c r="M377" s="8" t="s">
        <v>6627</v>
      </c>
      <c r="N377" t="s">
        <v>127</v>
      </c>
      <c r="O377" t="s">
        <v>6567</v>
      </c>
      <c r="P377">
        <v>949</v>
      </c>
      <c r="Q377">
        <f t="shared" si="92"/>
        <v>60.816666666666663</v>
      </c>
      <c r="R377">
        <f t="shared" si="93"/>
        <v>1.013611111111111</v>
      </c>
      <c r="S377" s="2">
        <v>45722</v>
      </c>
      <c r="U377">
        <v>77</v>
      </c>
      <c r="V377" s="4">
        <v>73073</v>
      </c>
      <c r="W377" t="s">
        <v>65</v>
      </c>
      <c r="X377" t="s">
        <v>672</v>
      </c>
      <c r="Y377">
        <v>0</v>
      </c>
      <c r="Z377" s="4">
        <v>50000</v>
      </c>
      <c r="AA377" s="4">
        <v>23073</v>
      </c>
      <c r="AB377">
        <v>0</v>
      </c>
      <c r="AC377">
        <v>0</v>
      </c>
      <c r="AD377">
        <v>0</v>
      </c>
      <c r="AG377">
        <v>0</v>
      </c>
      <c r="AP377" t="s">
        <v>673</v>
      </c>
      <c r="AQ377" t="s">
        <v>107</v>
      </c>
      <c r="AR377" t="s">
        <v>6638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BC377" t="s">
        <v>69</v>
      </c>
      <c r="BD377" t="s">
        <v>674</v>
      </c>
      <c r="BE377">
        <v>0</v>
      </c>
      <c r="BG377" t="s">
        <v>107</v>
      </c>
      <c r="BJ377" t="s">
        <v>675</v>
      </c>
    </row>
    <row r="378" spans="1:62" x14ac:dyDescent="0.35">
      <c r="A378" t="s">
        <v>676</v>
      </c>
      <c r="B378">
        <v>10000</v>
      </c>
      <c r="C378">
        <v>20000</v>
      </c>
      <c r="D378" s="2">
        <v>45729</v>
      </c>
      <c r="E378" t="s">
        <v>61</v>
      </c>
      <c r="F378" t="s">
        <v>677</v>
      </c>
      <c r="G378">
        <v>10639931060</v>
      </c>
      <c r="I378">
        <v>2</v>
      </c>
      <c r="J378" t="s">
        <v>63</v>
      </c>
      <c r="K378" s="8">
        <v>77</v>
      </c>
      <c r="L378" s="8" t="s">
        <v>6584</v>
      </c>
      <c r="M378" s="8" t="s">
        <v>6627</v>
      </c>
      <c r="N378" t="s">
        <v>127</v>
      </c>
      <c r="O378" t="s">
        <v>6567</v>
      </c>
      <c r="P378">
        <v>425</v>
      </c>
      <c r="Q378">
        <f t="shared" si="92"/>
        <v>52.083333333333336</v>
      </c>
      <c r="R378">
        <f t="shared" si="93"/>
        <v>0.86805555555555558</v>
      </c>
      <c r="S378" s="2">
        <v>45722</v>
      </c>
      <c r="U378">
        <v>66</v>
      </c>
      <c r="V378" s="4">
        <v>28050</v>
      </c>
      <c r="W378" t="s">
        <v>65</v>
      </c>
      <c r="X378" t="s">
        <v>678</v>
      </c>
      <c r="Y378">
        <v>0</v>
      </c>
      <c r="Z378" s="4">
        <v>20000</v>
      </c>
      <c r="AA378" s="4">
        <v>8050</v>
      </c>
      <c r="AB378">
        <v>0</v>
      </c>
      <c r="AC378">
        <v>0</v>
      </c>
      <c r="AD378">
        <v>0</v>
      </c>
      <c r="AG378">
        <v>0</v>
      </c>
      <c r="AP378" t="s">
        <v>679</v>
      </c>
      <c r="AQ378" t="s">
        <v>107</v>
      </c>
      <c r="AR378" t="s">
        <v>6638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BC378" t="s">
        <v>69</v>
      </c>
      <c r="BD378" t="s">
        <v>680</v>
      </c>
      <c r="BE378">
        <v>0</v>
      </c>
      <c r="BG378" t="s">
        <v>107</v>
      </c>
      <c r="BJ378" t="s">
        <v>681</v>
      </c>
    </row>
    <row r="379" spans="1:62" x14ac:dyDescent="0.35">
      <c r="A379" t="s">
        <v>682</v>
      </c>
      <c r="B379">
        <v>10000</v>
      </c>
      <c r="C379">
        <v>20000</v>
      </c>
      <c r="D379" s="2">
        <v>45729</v>
      </c>
      <c r="E379" t="s">
        <v>61</v>
      </c>
      <c r="F379" t="s">
        <v>683</v>
      </c>
      <c r="G379">
        <v>10639931060</v>
      </c>
      <c r="I379">
        <v>2</v>
      </c>
      <c r="J379" t="s">
        <v>63</v>
      </c>
      <c r="K379" s="8">
        <v>77</v>
      </c>
      <c r="L379" s="8" t="s">
        <v>6584</v>
      </c>
      <c r="M379" s="8" t="s">
        <v>6627</v>
      </c>
      <c r="N379" t="s">
        <v>127</v>
      </c>
      <c r="O379" t="s">
        <v>6567</v>
      </c>
      <c r="P379">
        <v>390</v>
      </c>
      <c r="Q379">
        <f t="shared" si="92"/>
        <v>51.5</v>
      </c>
      <c r="R379">
        <f t="shared" si="93"/>
        <v>0.85833333333333328</v>
      </c>
      <c r="S379" s="2">
        <v>45722</v>
      </c>
      <c r="U379">
        <v>77</v>
      </c>
      <c r="V379" s="4">
        <v>30030</v>
      </c>
      <c r="W379" t="s">
        <v>65</v>
      </c>
      <c r="X379" t="s">
        <v>684</v>
      </c>
      <c r="Y379">
        <v>0</v>
      </c>
      <c r="Z379" s="4">
        <v>20000</v>
      </c>
      <c r="AA379" s="4">
        <v>10030</v>
      </c>
      <c r="AB379">
        <v>0</v>
      </c>
      <c r="AC379">
        <v>0</v>
      </c>
      <c r="AD379">
        <v>0</v>
      </c>
      <c r="AG379">
        <v>0</v>
      </c>
      <c r="AP379" t="s">
        <v>685</v>
      </c>
      <c r="AQ379" t="s">
        <v>107</v>
      </c>
      <c r="AR379" t="s">
        <v>6638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BC379" t="s">
        <v>69</v>
      </c>
      <c r="BD379" t="s">
        <v>686</v>
      </c>
      <c r="BE379">
        <v>0</v>
      </c>
      <c r="BG379" t="s">
        <v>107</v>
      </c>
      <c r="BJ379" t="s">
        <v>687</v>
      </c>
    </row>
    <row r="380" spans="1:62" x14ac:dyDescent="0.35">
      <c r="A380" t="s">
        <v>688</v>
      </c>
      <c r="B380">
        <v>10000</v>
      </c>
      <c r="C380">
        <v>20000</v>
      </c>
      <c r="D380" s="2">
        <v>45729</v>
      </c>
      <c r="E380" t="s">
        <v>61</v>
      </c>
      <c r="F380" t="s">
        <v>689</v>
      </c>
      <c r="G380">
        <v>10639931060</v>
      </c>
      <c r="I380">
        <v>2</v>
      </c>
      <c r="J380" t="s">
        <v>63</v>
      </c>
      <c r="K380" s="8">
        <v>77</v>
      </c>
      <c r="L380" s="8" t="s">
        <v>6584</v>
      </c>
      <c r="M380" s="8" t="s">
        <v>6627</v>
      </c>
      <c r="N380" t="s">
        <v>127</v>
      </c>
      <c r="O380" t="s">
        <v>6567</v>
      </c>
      <c r="P380">
        <v>390</v>
      </c>
      <c r="Q380">
        <f t="shared" si="92"/>
        <v>51.5</v>
      </c>
      <c r="R380">
        <f t="shared" si="93"/>
        <v>0.85833333333333328</v>
      </c>
      <c r="S380" s="2">
        <v>45722</v>
      </c>
      <c r="U380">
        <v>77</v>
      </c>
      <c r="V380" s="4">
        <v>30030</v>
      </c>
      <c r="W380" t="s">
        <v>65</v>
      </c>
      <c r="X380" t="s">
        <v>690</v>
      </c>
      <c r="Y380">
        <v>0</v>
      </c>
      <c r="Z380" s="4">
        <v>20000</v>
      </c>
      <c r="AA380" s="4">
        <v>10030</v>
      </c>
      <c r="AB380">
        <v>0</v>
      </c>
      <c r="AC380">
        <v>0</v>
      </c>
      <c r="AD380">
        <v>0</v>
      </c>
      <c r="AG380">
        <v>0</v>
      </c>
      <c r="AP380" t="s">
        <v>691</v>
      </c>
      <c r="AQ380" t="s">
        <v>107</v>
      </c>
      <c r="AR380" t="s">
        <v>6638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BC380" t="s">
        <v>69</v>
      </c>
      <c r="BD380" t="s">
        <v>692</v>
      </c>
      <c r="BE380">
        <v>0</v>
      </c>
      <c r="BG380" t="s">
        <v>107</v>
      </c>
      <c r="BJ380" t="s">
        <v>693</v>
      </c>
    </row>
    <row r="381" spans="1:62" x14ac:dyDescent="0.35">
      <c r="A381" t="s">
        <v>1478</v>
      </c>
      <c r="B381">
        <v>10000</v>
      </c>
      <c r="C381">
        <v>20000</v>
      </c>
      <c r="D381" s="2">
        <v>45723</v>
      </c>
      <c r="E381" t="s">
        <v>61</v>
      </c>
      <c r="F381" t="s">
        <v>1479</v>
      </c>
      <c r="G381" t="s">
        <v>1480</v>
      </c>
      <c r="I381">
        <v>2</v>
      </c>
      <c r="J381" t="s">
        <v>63</v>
      </c>
      <c r="K381" s="8">
        <v>100</v>
      </c>
      <c r="L381" s="8" t="s">
        <v>6613</v>
      </c>
      <c r="M381" s="8" t="s">
        <v>6633</v>
      </c>
      <c r="N381" t="s">
        <v>424</v>
      </c>
      <c r="O381" t="s">
        <v>6570</v>
      </c>
      <c r="P381">
        <v>300</v>
      </c>
      <c r="S381" s="2">
        <v>45722</v>
      </c>
      <c r="U381">
        <v>1</v>
      </c>
      <c r="V381">
        <v>300</v>
      </c>
      <c r="W381" t="s">
        <v>65</v>
      </c>
      <c r="X381">
        <v>190067140001</v>
      </c>
      <c r="Y381">
        <v>0</v>
      </c>
      <c r="Z381">
        <v>300</v>
      </c>
      <c r="AA381">
        <v>0</v>
      </c>
      <c r="AB381">
        <v>0</v>
      </c>
      <c r="AC381">
        <v>0</v>
      </c>
      <c r="AD381">
        <v>0</v>
      </c>
      <c r="AG381">
        <v>0</v>
      </c>
      <c r="AP381">
        <v>19006714</v>
      </c>
      <c r="AQ381" t="s">
        <v>487</v>
      </c>
      <c r="AR381" t="s">
        <v>6656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BC381" t="s">
        <v>69</v>
      </c>
      <c r="BD381" t="s">
        <v>1481</v>
      </c>
      <c r="BE381">
        <v>0</v>
      </c>
      <c r="BG381" t="s">
        <v>487</v>
      </c>
      <c r="BJ381" t="s">
        <v>1482</v>
      </c>
    </row>
    <row r="382" spans="1:62" x14ac:dyDescent="0.35">
      <c r="A382" t="s">
        <v>1851</v>
      </c>
      <c r="B382">
        <v>10000</v>
      </c>
      <c r="C382">
        <v>10000</v>
      </c>
      <c r="D382" s="2">
        <v>45722</v>
      </c>
      <c r="E382" t="s">
        <v>61</v>
      </c>
      <c r="F382" t="s">
        <v>1803</v>
      </c>
      <c r="G382" t="s">
        <v>1852</v>
      </c>
      <c r="I382">
        <v>1</v>
      </c>
      <c r="J382" t="s">
        <v>63</v>
      </c>
      <c r="K382" s="8">
        <v>86</v>
      </c>
      <c r="L382" s="8" t="s">
        <v>6584</v>
      </c>
      <c r="M382" s="8" t="s">
        <v>6627</v>
      </c>
      <c r="N382" t="s">
        <v>64</v>
      </c>
      <c r="O382" t="s">
        <v>6559</v>
      </c>
      <c r="P382" s="4">
        <v>27500</v>
      </c>
      <c r="Q382">
        <f>(P382/60)+45</f>
        <v>503.33333333333331</v>
      </c>
      <c r="R382">
        <f>Q382/60</f>
        <v>8.3888888888888893</v>
      </c>
      <c r="S382" s="2">
        <v>45722</v>
      </c>
      <c r="U382">
        <v>2</v>
      </c>
      <c r="V382" s="4">
        <v>55000</v>
      </c>
      <c r="W382" t="s">
        <v>65</v>
      </c>
      <c r="X382" t="s">
        <v>1853</v>
      </c>
      <c r="Y382">
        <v>0</v>
      </c>
      <c r="Z382" s="4">
        <v>55000</v>
      </c>
      <c r="AA382">
        <v>0</v>
      </c>
      <c r="AB382">
        <v>0</v>
      </c>
      <c r="AC382">
        <v>0</v>
      </c>
      <c r="AD382">
        <v>0</v>
      </c>
      <c r="AG382">
        <v>0</v>
      </c>
      <c r="AP382" t="s">
        <v>1854</v>
      </c>
      <c r="AQ382" t="s">
        <v>1855</v>
      </c>
      <c r="AR382" t="s">
        <v>6689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C382" t="s">
        <v>69</v>
      </c>
      <c r="BD382" t="s">
        <v>1856</v>
      </c>
      <c r="BE382">
        <v>0</v>
      </c>
      <c r="BG382" t="s">
        <v>1855</v>
      </c>
      <c r="BJ382" t="s">
        <v>1857</v>
      </c>
    </row>
    <row r="383" spans="1:62" x14ac:dyDescent="0.35">
      <c r="A383" t="s">
        <v>1858</v>
      </c>
      <c r="B383">
        <v>10000</v>
      </c>
      <c r="C383">
        <v>10000</v>
      </c>
      <c r="D383" s="2">
        <v>45722</v>
      </c>
      <c r="E383" t="s">
        <v>61</v>
      </c>
      <c r="F383" s="3">
        <v>0.53712962962962962</v>
      </c>
      <c r="G383" t="s">
        <v>1387</v>
      </c>
      <c r="I383">
        <v>1</v>
      </c>
      <c r="J383" t="s">
        <v>63</v>
      </c>
      <c r="K383" s="8">
        <v>12</v>
      </c>
      <c r="L383" s="8" t="s">
        <v>6604</v>
      </c>
      <c r="M383" s="8" t="s">
        <v>6629</v>
      </c>
      <c r="N383" t="s">
        <v>478</v>
      </c>
      <c r="O383" t="s">
        <v>6434</v>
      </c>
      <c r="P383" s="4">
        <v>1667</v>
      </c>
      <c r="Q383">
        <f>(P383/50)+45</f>
        <v>78.34</v>
      </c>
      <c r="R383">
        <f>Q383/60</f>
        <v>1.3056666666666668</v>
      </c>
      <c r="S383" s="2">
        <v>45722</v>
      </c>
      <c r="U383">
        <v>3</v>
      </c>
      <c r="V383" s="4">
        <v>5001</v>
      </c>
      <c r="W383" t="s">
        <v>65</v>
      </c>
      <c r="X383" t="s">
        <v>1859</v>
      </c>
      <c r="Y383">
        <v>0</v>
      </c>
      <c r="Z383" s="4">
        <v>5000</v>
      </c>
      <c r="AA383">
        <v>1</v>
      </c>
      <c r="AB383">
        <v>0</v>
      </c>
      <c r="AC383">
        <v>0</v>
      </c>
      <c r="AD383">
        <v>0</v>
      </c>
      <c r="AG383">
        <v>0</v>
      </c>
      <c r="AP383" t="s">
        <v>1860</v>
      </c>
      <c r="AQ383" t="s">
        <v>206</v>
      </c>
      <c r="AR383" t="s">
        <v>6645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C383" t="s">
        <v>69</v>
      </c>
      <c r="BD383" t="s">
        <v>1861</v>
      </c>
      <c r="BE383">
        <v>0</v>
      </c>
      <c r="BG383" t="s">
        <v>206</v>
      </c>
      <c r="BJ383" t="s">
        <v>1498</v>
      </c>
    </row>
    <row r="384" spans="1:62" x14ac:dyDescent="0.35">
      <c r="A384" t="s">
        <v>1503</v>
      </c>
      <c r="B384">
        <v>10000</v>
      </c>
      <c r="C384">
        <v>20000</v>
      </c>
      <c r="D384" s="2">
        <v>45726</v>
      </c>
      <c r="E384" t="s">
        <v>61</v>
      </c>
      <c r="F384" t="s">
        <v>1504</v>
      </c>
      <c r="G384" t="s">
        <v>1505</v>
      </c>
      <c r="I384">
        <v>2</v>
      </c>
      <c r="J384" t="s">
        <v>63</v>
      </c>
      <c r="K384" s="8">
        <v>92</v>
      </c>
      <c r="L384" s="8" t="s">
        <v>6614</v>
      </c>
      <c r="M384" s="8" t="s">
        <v>6633</v>
      </c>
      <c r="N384" t="s">
        <v>424</v>
      </c>
      <c r="O384" t="s">
        <v>6570</v>
      </c>
      <c r="P384" s="4">
        <v>1100</v>
      </c>
      <c r="S384" s="2">
        <v>45722</v>
      </c>
      <c r="U384">
        <v>1</v>
      </c>
      <c r="V384" s="4">
        <v>1100</v>
      </c>
      <c r="W384" t="s">
        <v>65</v>
      </c>
      <c r="X384">
        <v>107355870001</v>
      </c>
      <c r="Y384">
        <v>0</v>
      </c>
      <c r="Z384" s="4">
        <v>1000</v>
      </c>
      <c r="AA384">
        <v>100</v>
      </c>
      <c r="AB384">
        <v>0</v>
      </c>
      <c r="AC384">
        <v>0</v>
      </c>
      <c r="AD384">
        <v>0</v>
      </c>
      <c r="AG384">
        <v>0</v>
      </c>
      <c r="AP384">
        <v>10735587</v>
      </c>
      <c r="AQ384" t="s">
        <v>487</v>
      </c>
      <c r="AR384" t="s">
        <v>6656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C384" t="s">
        <v>69</v>
      </c>
      <c r="BD384" t="s">
        <v>1506</v>
      </c>
      <c r="BE384">
        <v>0</v>
      </c>
      <c r="BG384" t="s">
        <v>487</v>
      </c>
      <c r="BJ384" t="s">
        <v>1507</v>
      </c>
    </row>
    <row r="385" spans="1:62" x14ac:dyDescent="0.35">
      <c r="A385" t="s">
        <v>1508</v>
      </c>
      <c r="B385">
        <v>10000</v>
      </c>
      <c r="C385">
        <v>20000</v>
      </c>
      <c r="D385" s="2">
        <v>45726</v>
      </c>
      <c r="E385" t="s">
        <v>61</v>
      </c>
      <c r="F385" s="3">
        <v>0.47496527777777775</v>
      </c>
      <c r="G385" t="s">
        <v>1505</v>
      </c>
      <c r="I385">
        <v>2</v>
      </c>
      <c r="J385" t="s">
        <v>63</v>
      </c>
      <c r="K385" s="8">
        <v>92</v>
      </c>
      <c r="L385" s="8" t="s">
        <v>6614</v>
      </c>
      <c r="M385" s="8" t="s">
        <v>6633</v>
      </c>
      <c r="N385" t="s">
        <v>424</v>
      </c>
      <c r="O385" t="s">
        <v>6570</v>
      </c>
      <c r="P385">
        <v>20</v>
      </c>
      <c r="S385" s="2">
        <v>45722</v>
      </c>
      <c r="U385">
        <v>1</v>
      </c>
      <c r="V385">
        <v>20</v>
      </c>
      <c r="W385" t="s">
        <v>65</v>
      </c>
      <c r="X385">
        <v>107355870001</v>
      </c>
      <c r="Y385">
        <v>0</v>
      </c>
      <c r="Z385">
        <v>20</v>
      </c>
      <c r="AA385">
        <v>0</v>
      </c>
      <c r="AB385">
        <v>0</v>
      </c>
      <c r="AC385">
        <v>0</v>
      </c>
      <c r="AD385">
        <v>0</v>
      </c>
      <c r="AG385">
        <v>0</v>
      </c>
      <c r="AP385">
        <v>10735587</v>
      </c>
      <c r="AQ385" t="s">
        <v>487</v>
      </c>
      <c r="AR385" t="s">
        <v>6656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BC385" t="s">
        <v>69</v>
      </c>
      <c r="BD385" t="s">
        <v>1509</v>
      </c>
      <c r="BE385">
        <v>0</v>
      </c>
      <c r="BG385" t="s">
        <v>487</v>
      </c>
      <c r="BJ385" t="s">
        <v>1510</v>
      </c>
    </row>
    <row r="386" spans="1:62" x14ac:dyDescent="0.35">
      <c r="A386" t="s">
        <v>1862</v>
      </c>
      <c r="B386">
        <v>10000</v>
      </c>
      <c r="C386">
        <v>20000</v>
      </c>
      <c r="D386" s="2">
        <v>45723</v>
      </c>
      <c r="E386" t="s">
        <v>61</v>
      </c>
      <c r="F386" t="s">
        <v>1863</v>
      </c>
      <c r="G386" t="s">
        <v>1733</v>
      </c>
      <c r="I386">
        <v>1</v>
      </c>
      <c r="J386" t="s">
        <v>63</v>
      </c>
      <c r="K386" s="8">
        <v>78</v>
      </c>
      <c r="L386" s="8" t="s">
        <v>6593</v>
      </c>
      <c r="M386" s="8" t="s">
        <v>6629</v>
      </c>
      <c r="N386" t="s">
        <v>188</v>
      </c>
      <c r="O386" t="s">
        <v>6410</v>
      </c>
      <c r="P386" s="4">
        <v>1000</v>
      </c>
      <c r="Q386">
        <f t="shared" ref="Q386:Q389" si="94">(P386/40)+45</f>
        <v>70</v>
      </c>
      <c r="R386">
        <f t="shared" ref="R386:R389" si="95">Q386/60</f>
        <v>1.1666666666666667</v>
      </c>
      <c r="S386" s="2">
        <v>45722</v>
      </c>
      <c r="U386">
        <v>16</v>
      </c>
      <c r="V386" s="4">
        <v>16000</v>
      </c>
      <c r="W386" t="s">
        <v>65</v>
      </c>
      <c r="X386" t="s">
        <v>1864</v>
      </c>
      <c r="Y386">
        <v>0</v>
      </c>
      <c r="Z386" s="4">
        <v>10000</v>
      </c>
      <c r="AA386" s="4">
        <v>6000</v>
      </c>
      <c r="AB386">
        <v>0</v>
      </c>
      <c r="AC386">
        <v>0</v>
      </c>
      <c r="AD386">
        <v>0</v>
      </c>
      <c r="AG386">
        <v>0</v>
      </c>
      <c r="AP386" t="s">
        <v>1865</v>
      </c>
      <c r="AQ386" t="s">
        <v>157</v>
      </c>
      <c r="AR386" t="s">
        <v>6640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BC386" t="s">
        <v>69</v>
      </c>
      <c r="BD386" t="s">
        <v>1866</v>
      </c>
      <c r="BE386">
        <v>0</v>
      </c>
      <c r="BG386" t="s">
        <v>157</v>
      </c>
      <c r="BJ386" t="s">
        <v>1867</v>
      </c>
    </row>
    <row r="387" spans="1:62" x14ac:dyDescent="0.35">
      <c r="A387" t="s">
        <v>1862</v>
      </c>
      <c r="B387">
        <v>10000</v>
      </c>
      <c r="C387">
        <v>30000</v>
      </c>
      <c r="D387" s="2">
        <v>45723</v>
      </c>
      <c r="E387" t="s">
        <v>61</v>
      </c>
      <c r="F387" t="s">
        <v>1863</v>
      </c>
      <c r="G387" t="s">
        <v>1733</v>
      </c>
      <c r="I387">
        <v>2</v>
      </c>
      <c r="J387" t="s">
        <v>63</v>
      </c>
      <c r="K387" s="8">
        <v>63</v>
      </c>
      <c r="L387" s="8" t="s">
        <v>6605</v>
      </c>
      <c r="M387" s="8" t="s">
        <v>6630</v>
      </c>
      <c r="N387" t="s">
        <v>385</v>
      </c>
      <c r="O387" t="s">
        <v>6541</v>
      </c>
      <c r="P387">
        <v>625</v>
      </c>
      <c r="Q387">
        <f t="shared" si="94"/>
        <v>60.625</v>
      </c>
      <c r="R387">
        <f t="shared" si="95"/>
        <v>1.0104166666666667</v>
      </c>
      <c r="S387" s="2">
        <v>45722</v>
      </c>
      <c r="U387">
        <v>16</v>
      </c>
      <c r="V387" s="4">
        <v>10000</v>
      </c>
      <c r="W387" t="s">
        <v>65</v>
      </c>
      <c r="X387" t="s">
        <v>1864</v>
      </c>
      <c r="Y387">
        <v>0</v>
      </c>
      <c r="Z387" s="4">
        <v>10000</v>
      </c>
      <c r="AA387">
        <v>0</v>
      </c>
      <c r="AB387">
        <v>0</v>
      </c>
      <c r="AC387">
        <v>0</v>
      </c>
      <c r="AD387">
        <v>0</v>
      </c>
      <c r="AG387">
        <v>0</v>
      </c>
      <c r="AP387" t="s">
        <v>1865</v>
      </c>
      <c r="AQ387" t="s">
        <v>157</v>
      </c>
      <c r="AR387" t="s">
        <v>6640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BC387" t="s">
        <v>69</v>
      </c>
      <c r="BD387" t="s">
        <v>1866</v>
      </c>
      <c r="BE387">
        <v>0</v>
      </c>
      <c r="BG387" t="s">
        <v>157</v>
      </c>
      <c r="BJ387" t="s">
        <v>1867</v>
      </c>
    </row>
    <row r="388" spans="1:62" x14ac:dyDescent="0.35">
      <c r="A388" t="s">
        <v>1868</v>
      </c>
      <c r="B388">
        <v>10000</v>
      </c>
      <c r="C388">
        <v>10000</v>
      </c>
      <c r="D388" s="2">
        <v>45722</v>
      </c>
      <c r="E388" t="s">
        <v>61</v>
      </c>
      <c r="F388" t="s">
        <v>1587</v>
      </c>
      <c r="G388" t="s">
        <v>1869</v>
      </c>
      <c r="I388">
        <v>1</v>
      </c>
      <c r="J388" t="s">
        <v>63</v>
      </c>
      <c r="K388" s="8">
        <v>31</v>
      </c>
      <c r="L388" s="8" t="s">
        <v>6595</v>
      </c>
      <c r="M388" s="8" t="s">
        <v>6629</v>
      </c>
      <c r="N388" t="s">
        <v>1311</v>
      </c>
      <c r="O388" t="s">
        <v>6491</v>
      </c>
      <c r="P388" s="4">
        <v>1000</v>
      </c>
      <c r="Q388">
        <f t="shared" si="94"/>
        <v>70</v>
      </c>
      <c r="R388">
        <f t="shared" si="95"/>
        <v>1.1666666666666667</v>
      </c>
      <c r="S388" s="2">
        <v>45722</v>
      </c>
      <c r="U388">
        <v>2</v>
      </c>
      <c r="V388" s="4">
        <v>2000</v>
      </c>
      <c r="W388" t="s">
        <v>65</v>
      </c>
      <c r="X388">
        <v>30030002</v>
      </c>
      <c r="Y388">
        <v>0</v>
      </c>
      <c r="Z388" s="4">
        <v>2000</v>
      </c>
      <c r="AA388">
        <v>0</v>
      </c>
      <c r="AB388">
        <v>0</v>
      </c>
      <c r="AC388">
        <v>0</v>
      </c>
      <c r="AD388">
        <v>0</v>
      </c>
      <c r="AG388">
        <v>0</v>
      </c>
      <c r="AP388">
        <v>3003</v>
      </c>
      <c r="AQ388" t="s">
        <v>1870</v>
      </c>
      <c r="AR388" t="s">
        <v>6690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BC388" t="s">
        <v>69</v>
      </c>
      <c r="BD388" t="s">
        <v>1871</v>
      </c>
      <c r="BE388">
        <v>0</v>
      </c>
      <c r="BG388" t="s">
        <v>1870</v>
      </c>
      <c r="BJ388" t="s">
        <v>1872</v>
      </c>
    </row>
    <row r="389" spans="1:62" x14ac:dyDescent="0.35">
      <c r="A389" t="s">
        <v>1873</v>
      </c>
      <c r="B389">
        <v>10000</v>
      </c>
      <c r="C389">
        <v>10000</v>
      </c>
      <c r="D389" s="2">
        <v>45722</v>
      </c>
      <c r="E389" t="s">
        <v>61</v>
      </c>
      <c r="F389" s="3">
        <v>0.53712962962962962</v>
      </c>
      <c r="G389" t="s">
        <v>1869</v>
      </c>
      <c r="I389">
        <v>1</v>
      </c>
      <c r="J389" t="s">
        <v>63</v>
      </c>
      <c r="K389" s="8">
        <v>31</v>
      </c>
      <c r="L389" s="8" t="s">
        <v>6595</v>
      </c>
      <c r="M389" s="8" t="s">
        <v>6629</v>
      </c>
      <c r="N389" t="s">
        <v>1311</v>
      </c>
      <c r="O389" t="s">
        <v>6491</v>
      </c>
      <c r="P389" s="4">
        <v>1000</v>
      </c>
      <c r="Q389">
        <f t="shared" si="94"/>
        <v>70</v>
      </c>
      <c r="R389">
        <f t="shared" si="95"/>
        <v>1.1666666666666667</v>
      </c>
      <c r="S389" s="2">
        <v>45722</v>
      </c>
      <c r="U389">
        <v>6</v>
      </c>
      <c r="V389" s="4">
        <v>6000</v>
      </c>
      <c r="W389" t="s">
        <v>65</v>
      </c>
      <c r="X389">
        <v>9919310002</v>
      </c>
      <c r="Y389">
        <v>0</v>
      </c>
      <c r="Z389" s="4">
        <v>6000</v>
      </c>
      <c r="AA389">
        <v>0</v>
      </c>
      <c r="AB389">
        <v>0</v>
      </c>
      <c r="AC389">
        <v>0</v>
      </c>
      <c r="AD389">
        <v>0</v>
      </c>
      <c r="AG389">
        <v>0</v>
      </c>
      <c r="AP389">
        <v>991931</v>
      </c>
      <c r="AQ389" t="s">
        <v>1870</v>
      </c>
      <c r="AR389" t="s">
        <v>6690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BC389" t="s">
        <v>69</v>
      </c>
      <c r="BD389" t="s">
        <v>1874</v>
      </c>
      <c r="BE389">
        <v>0</v>
      </c>
      <c r="BG389" t="s">
        <v>1870</v>
      </c>
      <c r="BJ389" t="s">
        <v>1872</v>
      </c>
    </row>
    <row r="390" spans="1:62" x14ac:dyDescent="0.35">
      <c r="A390" t="s">
        <v>1875</v>
      </c>
      <c r="B390">
        <v>10000</v>
      </c>
      <c r="C390">
        <v>10000</v>
      </c>
      <c r="D390" s="2">
        <v>45728</v>
      </c>
      <c r="E390" t="s">
        <v>61</v>
      </c>
      <c r="F390" s="3">
        <v>0.43936342592592592</v>
      </c>
      <c r="G390" t="s">
        <v>1876</v>
      </c>
      <c r="I390">
        <v>1</v>
      </c>
      <c r="J390" t="s">
        <v>63</v>
      </c>
      <c r="K390" s="8">
        <v>88</v>
      </c>
      <c r="L390" s="8" t="s">
        <v>6610</v>
      </c>
      <c r="M390" s="8" t="s">
        <v>6631</v>
      </c>
      <c r="N390" t="s">
        <v>630</v>
      </c>
      <c r="O390" t="s">
        <v>6571</v>
      </c>
      <c r="P390" s="4">
        <v>1000</v>
      </c>
      <c r="S390" s="2">
        <v>45722</v>
      </c>
      <c r="U390">
        <v>1</v>
      </c>
      <c r="V390" s="4">
        <v>1000</v>
      </c>
      <c r="W390" t="s">
        <v>65</v>
      </c>
      <c r="X390" t="s">
        <v>1877</v>
      </c>
      <c r="Y390">
        <v>0</v>
      </c>
      <c r="Z390" s="4">
        <v>1000</v>
      </c>
      <c r="AA390">
        <v>0</v>
      </c>
      <c r="AB390">
        <v>0</v>
      </c>
      <c r="AC390">
        <v>0</v>
      </c>
      <c r="AD390">
        <v>0</v>
      </c>
      <c r="AG390">
        <v>0</v>
      </c>
      <c r="AP390" t="s">
        <v>1878</v>
      </c>
      <c r="AQ390" t="s">
        <v>1879</v>
      </c>
      <c r="AR390" t="s">
        <v>6691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BC390" t="s">
        <v>69</v>
      </c>
      <c r="BD390" t="s">
        <v>1880</v>
      </c>
      <c r="BE390">
        <v>0</v>
      </c>
      <c r="BG390" t="s">
        <v>1879</v>
      </c>
      <c r="BJ390" t="s">
        <v>1881</v>
      </c>
    </row>
    <row r="391" spans="1:62" x14ac:dyDescent="0.35">
      <c r="A391" t="s">
        <v>1882</v>
      </c>
      <c r="B391">
        <v>10000</v>
      </c>
      <c r="C391">
        <v>10000</v>
      </c>
      <c r="D391" s="2">
        <v>45734</v>
      </c>
      <c r="E391" t="s">
        <v>61</v>
      </c>
      <c r="F391" t="s">
        <v>1883</v>
      </c>
      <c r="G391" t="s">
        <v>1884</v>
      </c>
      <c r="I391">
        <v>1</v>
      </c>
      <c r="J391" t="s">
        <v>63</v>
      </c>
      <c r="K391" s="8">
        <v>88</v>
      </c>
      <c r="L391" s="8" t="s">
        <v>6610</v>
      </c>
      <c r="M391" s="8" t="s">
        <v>6631</v>
      </c>
      <c r="N391" t="s">
        <v>630</v>
      </c>
      <c r="O391" t="s">
        <v>6571</v>
      </c>
      <c r="P391" s="4">
        <v>1594</v>
      </c>
      <c r="S391" s="2">
        <v>45722</v>
      </c>
      <c r="U391">
        <v>1</v>
      </c>
      <c r="V391" s="4">
        <v>1594</v>
      </c>
      <c r="W391" t="s">
        <v>65</v>
      </c>
      <c r="X391" t="s">
        <v>1885</v>
      </c>
      <c r="Y391">
        <v>0</v>
      </c>
      <c r="Z391" s="4">
        <v>1594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1886</v>
      </c>
      <c r="AQ391" t="s">
        <v>1879</v>
      </c>
      <c r="AR391" t="s">
        <v>6691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BC391" t="s">
        <v>69</v>
      </c>
      <c r="BD391" t="s">
        <v>1887</v>
      </c>
      <c r="BE391">
        <v>0</v>
      </c>
      <c r="BG391" t="s">
        <v>1879</v>
      </c>
      <c r="BJ391" t="s">
        <v>1881</v>
      </c>
    </row>
    <row r="392" spans="1:62" x14ac:dyDescent="0.35">
      <c r="A392" t="s">
        <v>1882</v>
      </c>
      <c r="B392">
        <v>20000</v>
      </c>
      <c r="C392">
        <v>10000</v>
      </c>
      <c r="D392" s="2">
        <v>45734</v>
      </c>
      <c r="E392" t="s">
        <v>61</v>
      </c>
      <c r="F392" t="s">
        <v>1883</v>
      </c>
      <c r="G392" t="s">
        <v>1884</v>
      </c>
      <c r="I392">
        <v>1</v>
      </c>
      <c r="J392" t="s">
        <v>63</v>
      </c>
      <c r="K392" s="8">
        <v>88</v>
      </c>
      <c r="L392" s="8" t="s">
        <v>6610</v>
      </c>
      <c r="M392" s="8" t="s">
        <v>6631</v>
      </c>
      <c r="N392" t="s">
        <v>630</v>
      </c>
      <c r="O392" t="s">
        <v>6571</v>
      </c>
      <c r="P392">
        <v>606</v>
      </c>
      <c r="S392" s="2">
        <v>45722</v>
      </c>
      <c r="U392">
        <v>1</v>
      </c>
      <c r="V392">
        <v>606</v>
      </c>
      <c r="W392" t="s">
        <v>65</v>
      </c>
      <c r="X392" t="s">
        <v>1885</v>
      </c>
      <c r="Y392">
        <v>0</v>
      </c>
      <c r="Z392">
        <v>606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1886</v>
      </c>
      <c r="AQ392" t="s">
        <v>1879</v>
      </c>
      <c r="AR392" t="s">
        <v>6691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C392" t="s">
        <v>69</v>
      </c>
      <c r="BD392" t="s">
        <v>1887</v>
      </c>
      <c r="BE392">
        <v>0</v>
      </c>
      <c r="BG392" t="s">
        <v>1879</v>
      </c>
      <c r="BJ392" t="s">
        <v>1881</v>
      </c>
    </row>
    <row r="393" spans="1:62" x14ac:dyDescent="0.35">
      <c r="A393" t="s">
        <v>1888</v>
      </c>
      <c r="B393">
        <v>10000</v>
      </c>
      <c r="C393">
        <v>10000</v>
      </c>
      <c r="D393" s="2">
        <v>45722</v>
      </c>
      <c r="E393" t="s">
        <v>61</v>
      </c>
      <c r="F393" t="s">
        <v>1889</v>
      </c>
      <c r="G393" t="s">
        <v>1149</v>
      </c>
      <c r="I393">
        <v>1</v>
      </c>
      <c r="J393" t="s">
        <v>63</v>
      </c>
      <c r="K393" s="8">
        <v>65</v>
      </c>
      <c r="L393" s="8" t="s">
        <v>6596</v>
      </c>
      <c r="M393" s="8" t="s">
        <v>6630</v>
      </c>
      <c r="N393" t="s">
        <v>268</v>
      </c>
      <c r="O393" t="s">
        <v>6543</v>
      </c>
      <c r="P393" s="4">
        <v>4167</v>
      </c>
      <c r="Q393">
        <f>(P393/40)+45</f>
        <v>149.17500000000001</v>
      </c>
      <c r="R393">
        <f>Q393/60</f>
        <v>2.4862500000000001</v>
      </c>
      <c r="S393" s="2">
        <v>45722</v>
      </c>
      <c r="U393">
        <v>3</v>
      </c>
      <c r="V393" s="4">
        <v>12501</v>
      </c>
      <c r="W393" t="s">
        <v>65</v>
      </c>
      <c r="X393" t="s">
        <v>1890</v>
      </c>
      <c r="Y393">
        <v>0</v>
      </c>
      <c r="Z393" s="4">
        <v>12500</v>
      </c>
      <c r="AA393">
        <v>1</v>
      </c>
      <c r="AB393">
        <v>0</v>
      </c>
      <c r="AC393">
        <v>0</v>
      </c>
      <c r="AD393">
        <v>0</v>
      </c>
      <c r="AG393">
        <v>0</v>
      </c>
      <c r="AP393" t="s">
        <v>1891</v>
      </c>
      <c r="AQ393" t="s">
        <v>1892</v>
      </c>
      <c r="AR393" t="s">
        <v>6692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BC393" t="s">
        <v>69</v>
      </c>
      <c r="BD393" t="s">
        <v>1893</v>
      </c>
      <c r="BE393">
        <v>0</v>
      </c>
      <c r="BG393" t="s">
        <v>1892</v>
      </c>
      <c r="BJ393" t="s">
        <v>1894</v>
      </c>
    </row>
    <row r="394" spans="1:62" x14ac:dyDescent="0.35">
      <c r="A394" t="s">
        <v>1895</v>
      </c>
      <c r="B394">
        <v>10000</v>
      </c>
      <c r="C394">
        <v>10000</v>
      </c>
      <c r="D394" s="2">
        <v>45723</v>
      </c>
      <c r="E394" t="s">
        <v>61</v>
      </c>
      <c r="F394" t="s">
        <v>1896</v>
      </c>
      <c r="G394">
        <v>10620258026</v>
      </c>
      <c r="I394">
        <v>1</v>
      </c>
      <c r="J394" t="s">
        <v>63</v>
      </c>
      <c r="K394" s="8">
        <v>79</v>
      </c>
      <c r="L394" s="8" t="s">
        <v>6608</v>
      </c>
      <c r="M394" s="8" t="s">
        <v>6631</v>
      </c>
      <c r="N394" t="s">
        <v>573</v>
      </c>
      <c r="O394" t="s">
        <v>6547</v>
      </c>
      <c r="P394">
        <v>639</v>
      </c>
      <c r="Q394">
        <f>(P394/20)+30</f>
        <v>61.95</v>
      </c>
      <c r="R394">
        <f>Q394/60</f>
        <v>1.0325</v>
      </c>
      <c r="S394" s="2">
        <v>45722</v>
      </c>
      <c r="U394">
        <v>36</v>
      </c>
      <c r="V394" s="4">
        <v>23004</v>
      </c>
      <c r="W394" t="s">
        <v>65</v>
      </c>
      <c r="X394" t="s">
        <v>1897</v>
      </c>
      <c r="Y394">
        <v>0</v>
      </c>
      <c r="Z394" s="4">
        <v>20000</v>
      </c>
      <c r="AA394" s="4">
        <v>3004</v>
      </c>
      <c r="AB394">
        <v>0</v>
      </c>
      <c r="AC394">
        <v>0</v>
      </c>
      <c r="AD394">
        <v>0</v>
      </c>
      <c r="AG394">
        <v>0</v>
      </c>
      <c r="AP394" t="s">
        <v>1898</v>
      </c>
      <c r="AQ394" t="s">
        <v>68</v>
      </c>
      <c r="AR394" t="s">
        <v>6636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BC394" t="s">
        <v>69</v>
      </c>
      <c r="BD394" t="s">
        <v>1899</v>
      </c>
      <c r="BE394">
        <v>0</v>
      </c>
      <c r="BG394" t="s">
        <v>68</v>
      </c>
      <c r="BJ394" t="s">
        <v>1900</v>
      </c>
    </row>
    <row r="395" spans="1:62" x14ac:dyDescent="0.35">
      <c r="A395" t="s">
        <v>1895</v>
      </c>
      <c r="B395">
        <v>10000</v>
      </c>
      <c r="C395">
        <v>20000</v>
      </c>
      <c r="D395" s="2">
        <v>45723</v>
      </c>
      <c r="E395" t="s">
        <v>61</v>
      </c>
      <c r="F395" t="s">
        <v>1896</v>
      </c>
      <c r="G395">
        <v>10620258026</v>
      </c>
      <c r="I395">
        <v>2</v>
      </c>
      <c r="J395" t="s">
        <v>63</v>
      </c>
      <c r="K395" s="8">
        <v>77</v>
      </c>
      <c r="L395" s="8" t="s">
        <v>6584</v>
      </c>
      <c r="M395" s="8" t="s">
        <v>6627</v>
      </c>
      <c r="N395" t="s">
        <v>127</v>
      </c>
      <c r="O395" t="s">
        <v>6567</v>
      </c>
      <c r="P395" s="4">
        <v>1467</v>
      </c>
      <c r="Q395">
        <f>(P395/60)+45</f>
        <v>69.45</v>
      </c>
      <c r="R395">
        <f>Q395/60</f>
        <v>1.1575</v>
      </c>
      <c r="S395" s="2">
        <v>45722</v>
      </c>
      <c r="U395">
        <v>15</v>
      </c>
      <c r="V395" s="4">
        <v>22005</v>
      </c>
      <c r="W395" t="s">
        <v>65</v>
      </c>
      <c r="X395" t="s">
        <v>1897</v>
      </c>
      <c r="Y395">
        <v>0</v>
      </c>
      <c r="Z395" s="4">
        <v>20000</v>
      </c>
      <c r="AA395" s="4">
        <v>2005</v>
      </c>
      <c r="AB395">
        <v>0</v>
      </c>
      <c r="AC395">
        <v>0</v>
      </c>
      <c r="AD395">
        <v>0</v>
      </c>
      <c r="AG395">
        <v>0</v>
      </c>
      <c r="AP395" t="s">
        <v>1898</v>
      </c>
      <c r="AQ395" t="s">
        <v>68</v>
      </c>
      <c r="AR395" t="s">
        <v>6636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BC395" t="s">
        <v>69</v>
      </c>
      <c r="BD395" t="s">
        <v>1899</v>
      </c>
      <c r="BE395">
        <v>0</v>
      </c>
      <c r="BG395" t="s">
        <v>68</v>
      </c>
      <c r="BJ395" t="s">
        <v>1900</v>
      </c>
    </row>
    <row r="396" spans="1:62" x14ac:dyDescent="0.35">
      <c r="A396" t="s">
        <v>1901</v>
      </c>
      <c r="B396">
        <v>10000</v>
      </c>
      <c r="C396">
        <v>10000</v>
      </c>
      <c r="D396" s="2">
        <v>45723</v>
      </c>
      <c r="E396" t="s">
        <v>61</v>
      </c>
      <c r="F396" t="s">
        <v>1609</v>
      </c>
      <c r="G396" t="s">
        <v>1902</v>
      </c>
      <c r="I396">
        <v>1</v>
      </c>
      <c r="J396" t="s">
        <v>63</v>
      </c>
      <c r="K396" s="8">
        <v>61</v>
      </c>
      <c r="L396" s="8" t="s">
        <v>6594</v>
      </c>
      <c r="M396" s="8" t="s">
        <v>6629</v>
      </c>
      <c r="N396" t="s">
        <v>197</v>
      </c>
      <c r="O396" t="s">
        <v>6565</v>
      </c>
      <c r="P396" s="4">
        <v>1000</v>
      </c>
      <c r="Q396">
        <f t="shared" ref="Q396:Q399" si="96">(P396/50)+45</f>
        <v>65</v>
      </c>
      <c r="R396">
        <f t="shared" ref="R396:R399" si="97">Q396/60</f>
        <v>1.0833333333333333</v>
      </c>
      <c r="S396" s="2">
        <v>45722</v>
      </c>
      <c r="U396">
        <v>6</v>
      </c>
      <c r="V396" s="4">
        <v>6000</v>
      </c>
      <c r="W396" t="s">
        <v>65</v>
      </c>
      <c r="X396" t="s">
        <v>1903</v>
      </c>
      <c r="Y396">
        <v>0</v>
      </c>
      <c r="Z396" s="4">
        <v>6000</v>
      </c>
      <c r="AA396">
        <v>0</v>
      </c>
      <c r="AB396">
        <v>0</v>
      </c>
      <c r="AC396">
        <v>0</v>
      </c>
      <c r="AD396">
        <v>0</v>
      </c>
      <c r="AG396">
        <v>0</v>
      </c>
      <c r="AP396" t="s">
        <v>1904</v>
      </c>
      <c r="AQ396" t="s">
        <v>116</v>
      </c>
      <c r="AR396" t="s">
        <v>6639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C396" t="s">
        <v>69</v>
      </c>
      <c r="BD396" t="s">
        <v>1905</v>
      </c>
      <c r="BE396">
        <v>0</v>
      </c>
      <c r="BG396" t="s">
        <v>116</v>
      </c>
      <c r="BJ396" t="s">
        <v>1906</v>
      </c>
    </row>
    <row r="397" spans="1:62" x14ac:dyDescent="0.35">
      <c r="A397" t="s">
        <v>1907</v>
      </c>
      <c r="B397">
        <v>10000</v>
      </c>
      <c r="C397">
        <v>10000</v>
      </c>
      <c r="D397" s="2">
        <v>45722</v>
      </c>
      <c r="E397" t="s">
        <v>61</v>
      </c>
      <c r="F397" t="s">
        <v>1237</v>
      </c>
      <c r="G397" t="s">
        <v>1902</v>
      </c>
      <c r="I397">
        <v>1</v>
      </c>
      <c r="J397" t="s">
        <v>63</v>
      </c>
      <c r="K397" s="8">
        <v>61</v>
      </c>
      <c r="L397" s="8" t="s">
        <v>6594</v>
      </c>
      <c r="M397" s="8" t="s">
        <v>6629</v>
      </c>
      <c r="N397" t="s">
        <v>197</v>
      </c>
      <c r="O397" t="s">
        <v>6565</v>
      </c>
      <c r="P397">
        <v>667</v>
      </c>
      <c r="Q397">
        <f t="shared" si="96"/>
        <v>58.34</v>
      </c>
      <c r="R397">
        <f t="shared" si="97"/>
        <v>0.97233333333333338</v>
      </c>
      <c r="S397" s="2">
        <v>45722</v>
      </c>
      <c r="U397">
        <v>6</v>
      </c>
      <c r="V397" s="4">
        <v>4002</v>
      </c>
      <c r="W397" t="s">
        <v>65</v>
      </c>
      <c r="X397" t="s">
        <v>1908</v>
      </c>
      <c r="Y397">
        <v>0</v>
      </c>
      <c r="Z397" s="4">
        <v>4000</v>
      </c>
      <c r="AA397">
        <v>2</v>
      </c>
      <c r="AB397">
        <v>0</v>
      </c>
      <c r="AC397">
        <v>0</v>
      </c>
      <c r="AD397">
        <v>0</v>
      </c>
      <c r="AG397">
        <v>0</v>
      </c>
      <c r="AP397" t="s">
        <v>1909</v>
      </c>
      <c r="AQ397" t="s">
        <v>116</v>
      </c>
      <c r="AR397" t="s">
        <v>6639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BC397" t="s">
        <v>69</v>
      </c>
      <c r="BD397" t="s">
        <v>1910</v>
      </c>
      <c r="BE397">
        <v>0</v>
      </c>
      <c r="BG397" t="s">
        <v>116</v>
      </c>
      <c r="BJ397" t="s">
        <v>1906</v>
      </c>
    </row>
    <row r="398" spans="1:62" x14ac:dyDescent="0.35">
      <c r="A398" t="s">
        <v>1911</v>
      </c>
      <c r="B398">
        <v>10000</v>
      </c>
      <c r="C398">
        <v>10000</v>
      </c>
      <c r="D398" s="2">
        <v>45722</v>
      </c>
      <c r="E398" t="s">
        <v>61</v>
      </c>
      <c r="F398" t="s">
        <v>1912</v>
      </c>
      <c r="G398" t="s">
        <v>1902</v>
      </c>
      <c r="I398">
        <v>1</v>
      </c>
      <c r="J398" t="s">
        <v>63</v>
      </c>
      <c r="K398" s="8">
        <v>61</v>
      </c>
      <c r="L398" s="8" t="s">
        <v>6594</v>
      </c>
      <c r="M398" s="8" t="s">
        <v>6629</v>
      </c>
      <c r="N398" t="s">
        <v>197</v>
      </c>
      <c r="O398" t="s">
        <v>6565</v>
      </c>
      <c r="P398">
        <v>667</v>
      </c>
      <c r="Q398">
        <f t="shared" si="96"/>
        <v>58.34</v>
      </c>
      <c r="R398">
        <f t="shared" si="97"/>
        <v>0.97233333333333338</v>
      </c>
      <c r="S398" s="2">
        <v>45722</v>
      </c>
      <c r="U398">
        <v>6</v>
      </c>
      <c r="V398" s="4">
        <v>4002</v>
      </c>
      <c r="W398" t="s">
        <v>65</v>
      </c>
      <c r="X398" t="s">
        <v>1913</v>
      </c>
      <c r="Y398">
        <v>0</v>
      </c>
      <c r="Z398" s="4">
        <v>4000</v>
      </c>
      <c r="AA398">
        <v>2</v>
      </c>
      <c r="AB398">
        <v>0</v>
      </c>
      <c r="AC398">
        <v>0</v>
      </c>
      <c r="AD398">
        <v>0</v>
      </c>
      <c r="AG398">
        <v>0</v>
      </c>
      <c r="AP398" t="s">
        <v>1914</v>
      </c>
      <c r="AQ398" t="s">
        <v>116</v>
      </c>
      <c r="AR398" t="s">
        <v>6639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BC398" t="s">
        <v>69</v>
      </c>
      <c r="BD398" t="s">
        <v>1915</v>
      </c>
      <c r="BE398">
        <v>0</v>
      </c>
      <c r="BG398" t="s">
        <v>116</v>
      </c>
      <c r="BJ398" t="s">
        <v>1906</v>
      </c>
    </row>
    <row r="399" spans="1:62" x14ac:dyDescent="0.35">
      <c r="A399" t="s">
        <v>1916</v>
      </c>
      <c r="B399">
        <v>10000</v>
      </c>
      <c r="C399">
        <v>10000</v>
      </c>
      <c r="D399" s="2">
        <v>45723</v>
      </c>
      <c r="E399" t="s">
        <v>61</v>
      </c>
      <c r="F399" s="3">
        <v>0.5337615740740741</v>
      </c>
      <c r="G399" t="s">
        <v>1902</v>
      </c>
      <c r="I399">
        <v>1</v>
      </c>
      <c r="J399" t="s">
        <v>63</v>
      </c>
      <c r="K399" s="8">
        <v>61</v>
      </c>
      <c r="L399" s="8" t="s">
        <v>6594</v>
      </c>
      <c r="M399" s="8" t="s">
        <v>6629</v>
      </c>
      <c r="N399" t="s">
        <v>197</v>
      </c>
      <c r="O399" t="s">
        <v>6565</v>
      </c>
      <c r="P399" s="4">
        <v>3667</v>
      </c>
      <c r="Q399">
        <f t="shared" si="96"/>
        <v>118.34</v>
      </c>
      <c r="R399">
        <f t="shared" si="97"/>
        <v>1.9723333333333335</v>
      </c>
      <c r="S399" s="2">
        <v>45722</v>
      </c>
      <c r="U399">
        <v>6</v>
      </c>
      <c r="V399" s="4">
        <v>22002</v>
      </c>
      <c r="W399" t="s">
        <v>65</v>
      </c>
      <c r="X399" t="s">
        <v>1903</v>
      </c>
      <c r="Y399">
        <v>0</v>
      </c>
      <c r="Z399" s="4">
        <v>22000</v>
      </c>
      <c r="AA399">
        <v>2</v>
      </c>
      <c r="AB399">
        <v>0</v>
      </c>
      <c r="AC399">
        <v>0</v>
      </c>
      <c r="AD399">
        <v>0</v>
      </c>
      <c r="AG399">
        <v>0</v>
      </c>
      <c r="AP399" t="s">
        <v>1904</v>
      </c>
      <c r="AQ399" t="s">
        <v>116</v>
      </c>
      <c r="AR399" t="s">
        <v>6639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C399" t="s">
        <v>69</v>
      </c>
      <c r="BD399" t="s">
        <v>1917</v>
      </c>
      <c r="BE399">
        <v>0</v>
      </c>
      <c r="BG399" t="s">
        <v>116</v>
      </c>
      <c r="BJ399" t="s">
        <v>1918</v>
      </c>
    </row>
    <row r="400" spans="1:62" x14ac:dyDescent="0.35">
      <c r="A400" t="s">
        <v>1919</v>
      </c>
      <c r="B400">
        <v>10000</v>
      </c>
      <c r="C400">
        <v>10000</v>
      </c>
      <c r="D400" s="2">
        <v>45722</v>
      </c>
      <c r="E400" t="s">
        <v>61</v>
      </c>
      <c r="F400" t="s">
        <v>1889</v>
      </c>
      <c r="G400" t="s">
        <v>1920</v>
      </c>
      <c r="I400">
        <v>1</v>
      </c>
      <c r="J400" t="s">
        <v>63</v>
      </c>
      <c r="K400" s="8">
        <v>31</v>
      </c>
      <c r="L400" s="8" t="s">
        <v>6595</v>
      </c>
      <c r="M400" s="8" t="s">
        <v>6629</v>
      </c>
      <c r="N400" t="s">
        <v>1311</v>
      </c>
      <c r="O400" t="s">
        <v>6491</v>
      </c>
      <c r="P400">
        <v>500</v>
      </c>
      <c r="Q400">
        <f>(P400/40)+45</f>
        <v>57.5</v>
      </c>
      <c r="R400">
        <f t="shared" ref="R400:R410" si="98">Q400/60</f>
        <v>0.95833333333333337</v>
      </c>
      <c r="S400" s="2">
        <v>45722</v>
      </c>
      <c r="U400">
        <v>56</v>
      </c>
      <c r="V400" s="4">
        <v>28000</v>
      </c>
      <c r="W400" t="s">
        <v>65</v>
      </c>
      <c r="X400" t="s">
        <v>1921</v>
      </c>
      <c r="Y400">
        <v>0</v>
      </c>
      <c r="Z400" s="4">
        <v>28000</v>
      </c>
      <c r="AA400">
        <v>0</v>
      </c>
      <c r="AB400">
        <v>0</v>
      </c>
      <c r="AC400">
        <v>0</v>
      </c>
      <c r="AD400">
        <v>0</v>
      </c>
      <c r="AG400">
        <v>0</v>
      </c>
      <c r="AP400" t="s">
        <v>1922</v>
      </c>
      <c r="AQ400" t="s">
        <v>116</v>
      </c>
      <c r="AR400" t="s">
        <v>6639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BC400" t="s">
        <v>69</v>
      </c>
      <c r="BD400" t="s">
        <v>1923</v>
      </c>
      <c r="BE400">
        <v>0</v>
      </c>
      <c r="BG400" t="s">
        <v>116</v>
      </c>
      <c r="BJ400" t="s">
        <v>1924</v>
      </c>
    </row>
    <row r="401" spans="1:62" x14ac:dyDescent="0.35">
      <c r="A401" t="s">
        <v>1925</v>
      </c>
      <c r="B401">
        <v>10000</v>
      </c>
      <c r="C401">
        <v>10000</v>
      </c>
      <c r="D401" s="2">
        <v>45723</v>
      </c>
      <c r="E401" t="s">
        <v>61</v>
      </c>
      <c r="F401" t="s">
        <v>1926</v>
      </c>
      <c r="G401">
        <v>10620258026</v>
      </c>
      <c r="I401">
        <v>1</v>
      </c>
      <c r="J401" t="s">
        <v>63</v>
      </c>
      <c r="K401" s="8">
        <v>79</v>
      </c>
      <c r="L401" s="8" t="s">
        <v>6608</v>
      </c>
      <c r="M401" s="8" t="s">
        <v>6631</v>
      </c>
      <c r="N401" t="s">
        <v>573</v>
      </c>
      <c r="O401" t="s">
        <v>6547</v>
      </c>
      <c r="P401">
        <v>682</v>
      </c>
      <c r="Q401">
        <f>(P401/20)+30</f>
        <v>64.099999999999994</v>
      </c>
      <c r="R401">
        <f t="shared" si="98"/>
        <v>1.0683333333333331</v>
      </c>
      <c r="S401" s="2">
        <v>45722</v>
      </c>
      <c r="U401">
        <v>660</v>
      </c>
      <c r="V401" s="4">
        <v>450120</v>
      </c>
      <c r="W401" t="s">
        <v>65</v>
      </c>
      <c r="X401" t="s">
        <v>1927</v>
      </c>
      <c r="Y401">
        <v>0</v>
      </c>
      <c r="Z401" s="4">
        <v>400000</v>
      </c>
      <c r="AA401" s="4">
        <v>50120</v>
      </c>
      <c r="AB401">
        <v>0</v>
      </c>
      <c r="AC401">
        <v>0</v>
      </c>
      <c r="AD401">
        <v>0</v>
      </c>
      <c r="AG401">
        <v>0</v>
      </c>
      <c r="AP401" t="s">
        <v>1928</v>
      </c>
      <c r="AQ401" t="s">
        <v>107</v>
      </c>
      <c r="AR401" t="s">
        <v>6638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C401" t="s">
        <v>69</v>
      </c>
      <c r="BD401" t="s">
        <v>1929</v>
      </c>
      <c r="BE401">
        <v>0</v>
      </c>
      <c r="BG401" t="s">
        <v>107</v>
      </c>
      <c r="BJ401" t="s">
        <v>1930</v>
      </c>
    </row>
    <row r="402" spans="1:62" x14ac:dyDescent="0.35">
      <c r="A402" t="s">
        <v>1925</v>
      </c>
      <c r="B402">
        <v>10000</v>
      </c>
      <c r="C402">
        <v>20000</v>
      </c>
      <c r="D402" s="2">
        <v>45723</v>
      </c>
      <c r="E402" t="s">
        <v>61</v>
      </c>
      <c r="F402" t="s">
        <v>1926</v>
      </c>
      <c r="G402">
        <v>10620258026</v>
      </c>
      <c r="I402">
        <v>2</v>
      </c>
      <c r="J402" t="s">
        <v>63</v>
      </c>
      <c r="K402" s="8">
        <v>77</v>
      </c>
      <c r="L402" s="8" t="s">
        <v>6584</v>
      </c>
      <c r="M402" s="8" t="s">
        <v>6627</v>
      </c>
      <c r="N402" t="s">
        <v>127</v>
      </c>
      <c r="O402" t="s">
        <v>6567</v>
      </c>
      <c r="P402" s="4">
        <v>2445</v>
      </c>
      <c r="Q402">
        <f>(P402/60)+45</f>
        <v>85.75</v>
      </c>
      <c r="R402">
        <f t="shared" si="98"/>
        <v>1.4291666666666667</v>
      </c>
      <c r="S402" s="2">
        <v>45722</v>
      </c>
      <c r="U402">
        <v>180</v>
      </c>
      <c r="V402" s="4">
        <v>440100</v>
      </c>
      <c r="W402" t="s">
        <v>65</v>
      </c>
      <c r="X402" t="s">
        <v>1927</v>
      </c>
      <c r="Y402">
        <v>0</v>
      </c>
      <c r="Z402" s="4">
        <v>400000</v>
      </c>
      <c r="AA402" s="4">
        <v>40100</v>
      </c>
      <c r="AB402">
        <v>0</v>
      </c>
      <c r="AC402">
        <v>0</v>
      </c>
      <c r="AD402">
        <v>0</v>
      </c>
      <c r="AG402">
        <v>0</v>
      </c>
      <c r="AP402" t="s">
        <v>1928</v>
      </c>
      <c r="AQ402" t="s">
        <v>107</v>
      </c>
      <c r="AR402" t="s">
        <v>6638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BC402" t="s">
        <v>69</v>
      </c>
      <c r="BD402" t="s">
        <v>1929</v>
      </c>
      <c r="BE402">
        <v>0</v>
      </c>
      <c r="BG402" t="s">
        <v>107</v>
      </c>
      <c r="BJ402" t="s">
        <v>1930</v>
      </c>
    </row>
    <row r="403" spans="1:62" x14ac:dyDescent="0.35">
      <c r="A403" t="s">
        <v>1931</v>
      </c>
      <c r="B403">
        <v>10000</v>
      </c>
      <c r="C403">
        <v>10000</v>
      </c>
      <c r="D403" s="2">
        <v>45723</v>
      </c>
      <c r="E403" t="s">
        <v>61</v>
      </c>
      <c r="F403" t="s">
        <v>1932</v>
      </c>
      <c r="G403">
        <v>10620258028</v>
      </c>
      <c r="I403">
        <v>1</v>
      </c>
      <c r="J403" t="s">
        <v>63</v>
      </c>
      <c r="K403" s="8">
        <v>79</v>
      </c>
      <c r="L403" s="8" t="s">
        <v>6608</v>
      </c>
      <c r="M403" s="8" t="s">
        <v>6631</v>
      </c>
      <c r="N403" t="s">
        <v>573</v>
      </c>
      <c r="O403" t="s">
        <v>6547</v>
      </c>
      <c r="P403">
        <v>31</v>
      </c>
      <c r="Q403">
        <f>(P403/20)+30</f>
        <v>31.55</v>
      </c>
      <c r="R403">
        <f t="shared" si="98"/>
        <v>0.52583333333333337</v>
      </c>
      <c r="S403" s="2">
        <v>45722</v>
      </c>
      <c r="U403">
        <v>660</v>
      </c>
      <c r="V403" s="4">
        <v>20460</v>
      </c>
      <c r="W403" t="s">
        <v>65</v>
      </c>
      <c r="X403" t="s">
        <v>1933</v>
      </c>
      <c r="Y403">
        <v>0</v>
      </c>
      <c r="Z403" s="4">
        <v>10000</v>
      </c>
      <c r="AA403" s="4">
        <v>10460</v>
      </c>
      <c r="AB403">
        <v>0</v>
      </c>
      <c r="AC403">
        <v>0</v>
      </c>
      <c r="AD403">
        <v>0</v>
      </c>
      <c r="AG403">
        <v>0</v>
      </c>
      <c r="AP403" t="s">
        <v>1934</v>
      </c>
      <c r="AQ403" t="s">
        <v>107</v>
      </c>
      <c r="AR403" t="s">
        <v>6638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C403" t="s">
        <v>69</v>
      </c>
      <c r="BD403" t="s">
        <v>1935</v>
      </c>
      <c r="BE403">
        <v>0</v>
      </c>
      <c r="BG403" t="s">
        <v>107</v>
      </c>
      <c r="BJ403" t="s">
        <v>1936</v>
      </c>
    </row>
    <row r="404" spans="1:62" x14ac:dyDescent="0.35">
      <c r="A404" t="s">
        <v>1931</v>
      </c>
      <c r="B404">
        <v>10000</v>
      </c>
      <c r="C404">
        <v>20000</v>
      </c>
      <c r="D404" s="2">
        <v>45723</v>
      </c>
      <c r="E404" t="s">
        <v>61</v>
      </c>
      <c r="F404" t="s">
        <v>1932</v>
      </c>
      <c r="G404">
        <v>10620258028</v>
      </c>
      <c r="I404">
        <v>2</v>
      </c>
      <c r="J404" t="s">
        <v>63</v>
      </c>
      <c r="K404" s="8">
        <v>77</v>
      </c>
      <c r="L404" s="8" t="s">
        <v>6584</v>
      </c>
      <c r="M404" s="8" t="s">
        <v>6627</v>
      </c>
      <c r="N404" t="s">
        <v>127</v>
      </c>
      <c r="O404" t="s">
        <v>6567</v>
      </c>
      <c r="P404">
        <v>100</v>
      </c>
      <c r="Q404">
        <f>(P404/60)+45</f>
        <v>46.666666666666664</v>
      </c>
      <c r="R404">
        <f t="shared" si="98"/>
        <v>0.77777777777777779</v>
      </c>
      <c r="S404" s="2">
        <v>45722</v>
      </c>
      <c r="U404">
        <v>180</v>
      </c>
      <c r="V404" s="4">
        <v>18000</v>
      </c>
      <c r="W404" t="s">
        <v>65</v>
      </c>
      <c r="X404" t="s">
        <v>1933</v>
      </c>
      <c r="Y404">
        <v>0</v>
      </c>
      <c r="Z404" s="4">
        <v>10000</v>
      </c>
      <c r="AA404" s="4">
        <v>8000</v>
      </c>
      <c r="AB404">
        <v>0</v>
      </c>
      <c r="AC404">
        <v>0</v>
      </c>
      <c r="AD404">
        <v>0</v>
      </c>
      <c r="AG404">
        <v>0</v>
      </c>
      <c r="AP404" t="s">
        <v>1934</v>
      </c>
      <c r="AQ404" t="s">
        <v>107</v>
      </c>
      <c r="AR404" t="s">
        <v>6638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BC404" t="s">
        <v>69</v>
      </c>
      <c r="BD404" t="s">
        <v>1935</v>
      </c>
      <c r="BE404">
        <v>0</v>
      </c>
      <c r="BG404" t="s">
        <v>107</v>
      </c>
      <c r="BJ404" t="s">
        <v>1936</v>
      </c>
    </row>
    <row r="405" spans="1:62" x14ac:dyDescent="0.35">
      <c r="A405" t="s">
        <v>1937</v>
      </c>
      <c r="B405">
        <v>10000</v>
      </c>
      <c r="C405">
        <v>10000</v>
      </c>
      <c r="D405" s="2">
        <v>45723</v>
      </c>
      <c r="E405" t="s">
        <v>61</v>
      </c>
      <c r="F405" t="s">
        <v>1938</v>
      </c>
      <c r="G405">
        <v>10620258026</v>
      </c>
      <c r="I405">
        <v>1</v>
      </c>
      <c r="J405" t="s">
        <v>63</v>
      </c>
      <c r="K405" s="8">
        <v>79</v>
      </c>
      <c r="L405" s="8" t="s">
        <v>6608</v>
      </c>
      <c r="M405" s="8" t="s">
        <v>6631</v>
      </c>
      <c r="N405" t="s">
        <v>573</v>
      </c>
      <c r="O405" t="s">
        <v>6547</v>
      </c>
      <c r="P405">
        <v>167</v>
      </c>
      <c r="Q405">
        <f>(P405/20)+30</f>
        <v>38.35</v>
      </c>
      <c r="R405">
        <f t="shared" si="98"/>
        <v>0.63916666666666666</v>
      </c>
      <c r="S405" s="2">
        <v>45722</v>
      </c>
      <c r="U405">
        <v>66</v>
      </c>
      <c r="V405" s="4">
        <v>11022</v>
      </c>
      <c r="W405" t="s">
        <v>65</v>
      </c>
      <c r="X405" t="s">
        <v>1939</v>
      </c>
      <c r="Y405">
        <v>0</v>
      </c>
      <c r="Z405" s="4">
        <v>80000</v>
      </c>
      <c r="AA405" s="4">
        <v>-68978</v>
      </c>
      <c r="AB405">
        <v>0</v>
      </c>
      <c r="AC405">
        <v>0</v>
      </c>
      <c r="AD405">
        <v>0</v>
      </c>
      <c r="AG405">
        <v>0</v>
      </c>
      <c r="AP405" t="s">
        <v>1940</v>
      </c>
      <c r="AQ405" t="s">
        <v>107</v>
      </c>
      <c r="AR405" t="s">
        <v>6638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BC405" t="s">
        <v>69</v>
      </c>
      <c r="BD405" t="s">
        <v>1941</v>
      </c>
      <c r="BE405">
        <v>0</v>
      </c>
      <c r="BG405" t="s">
        <v>107</v>
      </c>
      <c r="BJ405" t="s">
        <v>1942</v>
      </c>
    </row>
    <row r="406" spans="1:62" x14ac:dyDescent="0.35">
      <c r="A406" t="s">
        <v>1937</v>
      </c>
      <c r="B406">
        <v>10000</v>
      </c>
      <c r="C406">
        <v>20000</v>
      </c>
      <c r="D406" s="2">
        <v>45723</v>
      </c>
      <c r="E406" t="s">
        <v>61</v>
      </c>
      <c r="F406" t="s">
        <v>1938</v>
      </c>
      <c r="G406">
        <v>10620258026</v>
      </c>
      <c r="I406">
        <v>2</v>
      </c>
      <c r="J406" t="s">
        <v>63</v>
      </c>
      <c r="K406" s="8">
        <v>77</v>
      </c>
      <c r="L406" s="8" t="s">
        <v>6584</v>
      </c>
      <c r="M406" s="8" t="s">
        <v>6627</v>
      </c>
      <c r="N406" t="s">
        <v>127</v>
      </c>
      <c r="O406" t="s">
        <v>6567</v>
      </c>
      <c r="P406">
        <v>573</v>
      </c>
      <c r="Q406">
        <f>(P406/60)+45</f>
        <v>54.55</v>
      </c>
      <c r="R406">
        <f t="shared" si="98"/>
        <v>0.90916666666666657</v>
      </c>
      <c r="S406" s="2">
        <v>45722</v>
      </c>
      <c r="U406">
        <v>180</v>
      </c>
      <c r="V406" s="4">
        <v>103140</v>
      </c>
      <c r="W406" t="s">
        <v>65</v>
      </c>
      <c r="X406" t="s">
        <v>1939</v>
      </c>
      <c r="Y406">
        <v>0</v>
      </c>
      <c r="Z406" s="4">
        <v>80000</v>
      </c>
      <c r="AA406" s="4">
        <v>23140</v>
      </c>
      <c r="AB406">
        <v>0</v>
      </c>
      <c r="AC406">
        <v>0</v>
      </c>
      <c r="AD406">
        <v>0</v>
      </c>
      <c r="AG406">
        <v>0</v>
      </c>
      <c r="AP406" t="s">
        <v>1940</v>
      </c>
      <c r="AQ406" t="s">
        <v>107</v>
      </c>
      <c r="AR406" t="s">
        <v>6638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BC406" t="s">
        <v>69</v>
      </c>
      <c r="BD406" t="s">
        <v>1941</v>
      </c>
      <c r="BE406">
        <v>0</v>
      </c>
      <c r="BG406" t="s">
        <v>107</v>
      </c>
      <c r="BJ406" t="s">
        <v>1942</v>
      </c>
    </row>
    <row r="407" spans="1:62" x14ac:dyDescent="0.35">
      <c r="A407" t="s">
        <v>1943</v>
      </c>
      <c r="B407">
        <v>10000</v>
      </c>
      <c r="C407">
        <v>10000</v>
      </c>
      <c r="D407" s="2">
        <v>45733</v>
      </c>
      <c r="E407" t="s">
        <v>61</v>
      </c>
      <c r="F407" t="s">
        <v>1944</v>
      </c>
      <c r="G407">
        <v>10620258028</v>
      </c>
      <c r="I407">
        <v>1</v>
      </c>
      <c r="J407" t="s">
        <v>63</v>
      </c>
      <c r="K407" s="8">
        <v>79</v>
      </c>
      <c r="L407" s="8" t="s">
        <v>6608</v>
      </c>
      <c r="M407" s="8" t="s">
        <v>6631</v>
      </c>
      <c r="N407" t="s">
        <v>573</v>
      </c>
      <c r="O407" t="s">
        <v>6547</v>
      </c>
      <c r="P407">
        <v>671</v>
      </c>
      <c r="Q407">
        <f>(P407/20)+30</f>
        <v>63.55</v>
      </c>
      <c r="R407">
        <f t="shared" si="98"/>
        <v>1.0591666666666666</v>
      </c>
      <c r="S407" s="2">
        <v>45722</v>
      </c>
      <c r="U407">
        <v>176</v>
      </c>
      <c r="V407" s="4">
        <v>118096</v>
      </c>
      <c r="W407" t="s">
        <v>65</v>
      </c>
      <c r="X407" t="s">
        <v>1945</v>
      </c>
      <c r="Y407">
        <v>0</v>
      </c>
      <c r="Z407" s="4">
        <v>100000</v>
      </c>
      <c r="AA407" s="4">
        <v>18096</v>
      </c>
      <c r="AB407">
        <v>0</v>
      </c>
      <c r="AC407">
        <v>0</v>
      </c>
      <c r="AD407">
        <v>0</v>
      </c>
      <c r="AG407">
        <v>0</v>
      </c>
      <c r="AP407" t="s">
        <v>1946</v>
      </c>
      <c r="AQ407" t="s">
        <v>107</v>
      </c>
      <c r="AR407" t="s">
        <v>6638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BC407" t="s">
        <v>69</v>
      </c>
      <c r="BD407" t="s">
        <v>1947</v>
      </c>
      <c r="BE407">
        <v>0</v>
      </c>
      <c r="BG407" t="s">
        <v>107</v>
      </c>
      <c r="BJ407" t="s">
        <v>1948</v>
      </c>
    </row>
    <row r="408" spans="1:62" x14ac:dyDescent="0.35">
      <c r="A408" t="s">
        <v>1943</v>
      </c>
      <c r="B408">
        <v>10000</v>
      </c>
      <c r="C408">
        <v>20000</v>
      </c>
      <c r="D408" s="2">
        <v>45733</v>
      </c>
      <c r="E408" t="s">
        <v>61</v>
      </c>
      <c r="F408" t="s">
        <v>1944</v>
      </c>
      <c r="G408">
        <v>10620258028</v>
      </c>
      <c r="I408">
        <v>2</v>
      </c>
      <c r="J408" t="s">
        <v>63</v>
      </c>
      <c r="K408" s="8">
        <v>77</v>
      </c>
      <c r="L408" s="8" t="s">
        <v>6584</v>
      </c>
      <c r="M408" s="8" t="s">
        <v>6627</v>
      </c>
      <c r="N408" t="s">
        <v>127</v>
      </c>
      <c r="O408" t="s">
        <v>6567</v>
      </c>
      <c r="P408" s="4">
        <v>1713</v>
      </c>
      <c r="Q408">
        <f>(P408/60)+45</f>
        <v>73.55</v>
      </c>
      <c r="R408">
        <f t="shared" si="98"/>
        <v>1.2258333333333333</v>
      </c>
      <c r="S408" s="2">
        <v>45722</v>
      </c>
      <c r="U408">
        <v>66</v>
      </c>
      <c r="V408" s="4">
        <v>113058</v>
      </c>
      <c r="W408" t="s">
        <v>65</v>
      </c>
      <c r="X408" t="s">
        <v>1945</v>
      </c>
      <c r="Y408">
        <v>0</v>
      </c>
      <c r="Z408" s="4">
        <v>100000</v>
      </c>
      <c r="AA408" s="4">
        <v>13058</v>
      </c>
      <c r="AB408">
        <v>0</v>
      </c>
      <c r="AC408">
        <v>0</v>
      </c>
      <c r="AD408">
        <v>0</v>
      </c>
      <c r="AG408">
        <v>0</v>
      </c>
      <c r="AP408" t="s">
        <v>1946</v>
      </c>
      <c r="AQ408" t="s">
        <v>107</v>
      </c>
      <c r="AR408" t="s">
        <v>6638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BC408" t="s">
        <v>69</v>
      </c>
      <c r="BD408" t="s">
        <v>1947</v>
      </c>
      <c r="BE408">
        <v>0</v>
      </c>
      <c r="BG408" t="s">
        <v>107</v>
      </c>
      <c r="BJ408" t="s">
        <v>1948</v>
      </c>
    </row>
    <row r="409" spans="1:62" x14ac:dyDescent="0.35">
      <c r="A409" t="s">
        <v>1949</v>
      </c>
      <c r="B409">
        <v>10000</v>
      </c>
      <c r="C409">
        <v>10000</v>
      </c>
      <c r="D409" s="2">
        <v>45733</v>
      </c>
      <c r="E409" t="s">
        <v>61</v>
      </c>
      <c r="F409" t="s">
        <v>1950</v>
      </c>
      <c r="G409">
        <v>10639931107</v>
      </c>
      <c r="I409">
        <v>1</v>
      </c>
      <c r="J409" t="s">
        <v>63</v>
      </c>
      <c r="K409" s="8">
        <v>79</v>
      </c>
      <c r="L409" s="8" t="s">
        <v>6608</v>
      </c>
      <c r="M409" s="8" t="s">
        <v>6631</v>
      </c>
      <c r="N409" t="s">
        <v>573</v>
      </c>
      <c r="O409" t="s">
        <v>6547</v>
      </c>
      <c r="P409">
        <v>537</v>
      </c>
      <c r="Q409">
        <f>(P409/20)+30</f>
        <v>56.85</v>
      </c>
      <c r="R409">
        <f t="shared" si="98"/>
        <v>0.94750000000000001</v>
      </c>
      <c r="S409" s="2">
        <v>45722</v>
      </c>
      <c r="U409">
        <v>176</v>
      </c>
      <c r="V409" s="4">
        <v>94512</v>
      </c>
      <c r="W409" t="s">
        <v>65</v>
      </c>
      <c r="X409" t="s">
        <v>1951</v>
      </c>
      <c r="Y409">
        <v>0</v>
      </c>
      <c r="Z409" s="4">
        <v>80000</v>
      </c>
      <c r="AA409" s="4">
        <v>14512</v>
      </c>
      <c r="AB409">
        <v>0</v>
      </c>
      <c r="AC409">
        <v>0</v>
      </c>
      <c r="AD409">
        <v>0</v>
      </c>
      <c r="AG409">
        <v>0</v>
      </c>
      <c r="AP409" t="s">
        <v>1952</v>
      </c>
      <c r="AQ409" t="s">
        <v>107</v>
      </c>
      <c r="AR409" t="s">
        <v>6638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BC409" t="s">
        <v>69</v>
      </c>
      <c r="BD409" t="s">
        <v>1953</v>
      </c>
      <c r="BE409">
        <v>0</v>
      </c>
      <c r="BG409" t="s">
        <v>107</v>
      </c>
      <c r="BJ409" t="s">
        <v>1954</v>
      </c>
    </row>
    <row r="410" spans="1:62" x14ac:dyDescent="0.35">
      <c r="A410" t="s">
        <v>1546</v>
      </c>
      <c r="B410">
        <v>10000</v>
      </c>
      <c r="C410">
        <v>30000</v>
      </c>
      <c r="D410" s="2">
        <v>45723</v>
      </c>
      <c r="E410" t="s">
        <v>61</v>
      </c>
      <c r="F410" t="s">
        <v>1547</v>
      </c>
      <c r="G410" t="s">
        <v>527</v>
      </c>
      <c r="I410">
        <v>3</v>
      </c>
      <c r="J410" t="s">
        <v>63</v>
      </c>
      <c r="K410" s="8">
        <v>12</v>
      </c>
      <c r="L410" s="8" t="s">
        <v>6604</v>
      </c>
      <c r="M410" s="8" t="s">
        <v>6629</v>
      </c>
      <c r="N410" t="s">
        <v>478</v>
      </c>
      <c r="O410" t="s">
        <v>6434</v>
      </c>
      <c r="P410" s="4">
        <v>3000</v>
      </c>
      <c r="Q410">
        <f>(P410/50)+45</f>
        <v>105</v>
      </c>
      <c r="R410">
        <f t="shared" si="98"/>
        <v>1.75</v>
      </c>
      <c r="S410" s="2">
        <v>45722</v>
      </c>
      <c r="U410">
        <v>2</v>
      </c>
      <c r="V410" s="4">
        <v>6000</v>
      </c>
      <c r="W410" t="s">
        <v>65</v>
      </c>
      <c r="X410" t="s">
        <v>529</v>
      </c>
      <c r="Y410">
        <v>0</v>
      </c>
      <c r="Z410" s="4">
        <v>6000</v>
      </c>
      <c r="AA410">
        <v>0</v>
      </c>
      <c r="AB410">
        <v>0</v>
      </c>
      <c r="AC410">
        <v>0</v>
      </c>
      <c r="AD410">
        <v>0</v>
      </c>
      <c r="AG410">
        <v>0</v>
      </c>
      <c r="AP410" t="s">
        <v>530</v>
      </c>
      <c r="AQ410" t="s">
        <v>271</v>
      </c>
      <c r="AR410" t="s">
        <v>6648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BC410" t="s">
        <v>69</v>
      </c>
      <c r="BD410" t="s">
        <v>1548</v>
      </c>
      <c r="BE410">
        <v>0</v>
      </c>
      <c r="BG410" t="s">
        <v>271</v>
      </c>
      <c r="BJ410" t="s">
        <v>1549</v>
      </c>
    </row>
    <row r="411" spans="1:62" x14ac:dyDescent="0.35">
      <c r="A411" t="s">
        <v>1955</v>
      </c>
      <c r="B411">
        <v>10000</v>
      </c>
      <c r="C411">
        <v>10000</v>
      </c>
      <c r="D411" s="2">
        <v>45726</v>
      </c>
      <c r="E411" t="s">
        <v>61</v>
      </c>
      <c r="F411" t="s">
        <v>1956</v>
      </c>
      <c r="G411" t="s">
        <v>1822</v>
      </c>
      <c r="I411">
        <v>1</v>
      </c>
      <c r="J411" t="s">
        <v>63</v>
      </c>
      <c r="K411" s="8">
        <v>72</v>
      </c>
      <c r="L411" s="8" t="s">
        <v>6606</v>
      </c>
      <c r="M411" s="8" t="s">
        <v>6631</v>
      </c>
      <c r="N411" t="s">
        <v>163</v>
      </c>
      <c r="O411" t="s">
        <v>6548</v>
      </c>
      <c r="P411" s="4">
        <v>2000</v>
      </c>
      <c r="S411" s="2">
        <v>45722</v>
      </c>
      <c r="U411">
        <v>4</v>
      </c>
      <c r="V411" s="4">
        <v>8000</v>
      </c>
      <c r="W411" t="s">
        <v>65</v>
      </c>
      <c r="X411" t="s">
        <v>1957</v>
      </c>
      <c r="Y411">
        <v>0</v>
      </c>
      <c r="Z411" s="4">
        <v>5000</v>
      </c>
      <c r="AA411" s="4">
        <v>3000</v>
      </c>
      <c r="AB411">
        <v>0</v>
      </c>
      <c r="AC411">
        <v>0</v>
      </c>
      <c r="AD411">
        <v>0</v>
      </c>
      <c r="AG411">
        <v>0</v>
      </c>
      <c r="AP411" t="s">
        <v>1958</v>
      </c>
      <c r="AQ411" t="s">
        <v>449</v>
      </c>
      <c r="AR411" t="s">
        <v>6654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BC411" t="s">
        <v>69</v>
      </c>
      <c r="BD411" t="s">
        <v>1959</v>
      </c>
      <c r="BE411">
        <v>0</v>
      </c>
      <c r="BG411" t="s">
        <v>449</v>
      </c>
      <c r="BJ411" t="s">
        <v>1960</v>
      </c>
    </row>
    <row r="412" spans="1:62" x14ac:dyDescent="0.35">
      <c r="A412" t="s">
        <v>1560</v>
      </c>
      <c r="B412">
        <v>10000</v>
      </c>
      <c r="C412">
        <v>20000</v>
      </c>
      <c r="D412" s="2">
        <v>45722</v>
      </c>
      <c r="E412" t="s">
        <v>61</v>
      </c>
      <c r="F412" s="3">
        <v>0.48686342592592591</v>
      </c>
      <c r="G412">
        <v>59469</v>
      </c>
      <c r="I412">
        <v>2</v>
      </c>
      <c r="J412" t="s">
        <v>63</v>
      </c>
      <c r="K412" s="8">
        <v>96</v>
      </c>
      <c r="L412" s="8" t="s">
        <v>6585</v>
      </c>
      <c r="M412" s="8" t="s">
        <v>6628</v>
      </c>
      <c r="N412" t="s">
        <v>104</v>
      </c>
      <c r="O412" t="s">
        <v>6579</v>
      </c>
      <c r="P412">
        <v>83</v>
      </c>
      <c r="S412" s="2">
        <v>45722</v>
      </c>
      <c r="U412">
        <v>6</v>
      </c>
      <c r="V412">
        <v>498</v>
      </c>
      <c r="W412" t="s">
        <v>65</v>
      </c>
      <c r="X412" t="s">
        <v>1561</v>
      </c>
      <c r="Y412">
        <v>0</v>
      </c>
      <c r="Z412">
        <v>100</v>
      </c>
      <c r="AA412">
        <v>398</v>
      </c>
      <c r="AB412">
        <v>0</v>
      </c>
      <c r="AC412">
        <v>0</v>
      </c>
      <c r="AD412">
        <v>0</v>
      </c>
      <c r="AG412">
        <v>0</v>
      </c>
      <c r="AP412" t="s">
        <v>1562</v>
      </c>
      <c r="AQ412" t="s">
        <v>321</v>
      </c>
      <c r="AR412" t="s">
        <v>6652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C412" t="s">
        <v>69</v>
      </c>
      <c r="BD412" t="s">
        <v>1563</v>
      </c>
      <c r="BE412">
        <v>0</v>
      </c>
      <c r="BG412" t="s">
        <v>321</v>
      </c>
      <c r="BJ412" t="s">
        <v>996</v>
      </c>
    </row>
    <row r="413" spans="1:62" x14ac:dyDescent="0.35">
      <c r="A413" t="s">
        <v>1564</v>
      </c>
      <c r="B413">
        <v>10000</v>
      </c>
      <c r="C413">
        <v>20000</v>
      </c>
      <c r="D413" s="2">
        <v>45722</v>
      </c>
      <c r="E413" t="s">
        <v>61</v>
      </c>
      <c r="F413" s="3">
        <v>0.48748842592592595</v>
      </c>
      <c r="G413">
        <v>59469</v>
      </c>
      <c r="I413">
        <v>2</v>
      </c>
      <c r="J413" t="s">
        <v>63</v>
      </c>
      <c r="K413" s="8">
        <v>96</v>
      </c>
      <c r="L413" s="8" t="s">
        <v>6585</v>
      </c>
      <c r="M413" s="8" t="s">
        <v>6628</v>
      </c>
      <c r="N413" t="s">
        <v>104</v>
      </c>
      <c r="O413" t="s">
        <v>6579</v>
      </c>
      <c r="P413">
        <v>83</v>
      </c>
      <c r="S413" s="2">
        <v>45722</v>
      </c>
      <c r="U413">
        <v>6</v>
      </c>
      <c r="V413">
        <v>498</v>
      </c>
      <c r="W413" t="s">
        <v>65</v>
      </c>
      <c r="X413" t="s">
        <v>1565</v>
      </c>
      <c r="Y413">
        <v>0</v>
      </c>
      <c r="Z413">
        <v>100</v>
      </c>
      <c r="AA413">
        <v>398</v>
      </c>
      <c r="AB413">
        <v>0</v>
      </c>
      <c r="AC413">
        <v>0</v>
      </c>
      <c r="AD413">
        <v>0</v>
      </c>
      <c r="AG413">
        <v>0</v>
      </c>
      <c r="AP413" t="s">
        <v>1566</v>
      </c>
      <c r="AQ413" t="s">
        <v>321</v>
      </c>
      <c r="AR413" t="s">
        <v>6652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BC413" t="s">
        <v>69</v>
      </c>
      <c r="BD413" t="s">
        <v>1567</v>
      </c>
      <c r="BE413">
        <v>0</v>
      </c>
      <c r="BG413" t="s">
        <v>321</v>
      </c>
      <c r="BJ413" t="s">
        <v>1568</v>
      </c>
    </row>
    <row r="414" spans="1:62" x14ac:dyDescent="0.35">
      <c r="A414" t="s">
        <v>1961</v>
      </c>
      <c r="B414">
        <v>10000</v>
      </c>
      <c r="C414">
        <v>10000</v>
      </c>
      <c r="D414" s="2">
        <v>45723</v>
      </c>
      <c r="E414" t="s">
        <v>61</v>
      </c>
      <c r="F414" t="s">
        <v>1962</v>
      </c>
      <c r="G414" t="s">
        <v>1963</v>
      </c>
      <c r="I414">
        <v>1</v>
      </c>
      <c r="J414" t="s">
        <v>63</v>
      </c>
      <c r="K414" s="8">
        <v>79</v>
      </c>
      <c r="L414" s="8" t="s">
        <v>6608</v>
      </c>
      <c r="M414" s="8" t="s">
        <v>6631</v>
      </c>
      <c r="N414" t="s">
        <v>573</v>
      </c>
      <c r="O414" t="s">
        <v>6547</v>
      </c>
      <c r="P414" s="4">
        <v>11112</v>
      </c>
      <c r="Q414">
        <f>(P414/20)+30</f>
        <v>585.6</v>
      </c>
      <c r="R414">
        <f>Q414/60</f>
        <v>9.76</v>
      </c>
      <c r="S414" s="2">
        <v>45722</v>
      </c>
      <c r="U414">
        <v>180</v>
      </c>
      <c r="V414" s="4">
        <v>2000160</v>
      </c>
      <c r="W414" t="s">
        <v>65</v>
      </c>
      <c r="X414" t="s">
        <v>1964</v>
      </c>
      <c r="Y414">
        <v>0</v>
      </c>
      <c r="Z414" s="4">
        <v>1440000</v>
      </c>
      <c r="AA414" s="4">
        <v>560160</v>
      </c>
      <c r="AB414">
        <v>0</v>
      </c>
      <c r="AC414">
        <v>0</v>
      </c>
      <c r="AD414">
        <v>0</v>
      </c>
      <c r="AG414">
        <v>0</v>
      </c>
      <c r="AP414" t="s">
        <v>1965</v>
      </c>
      <c r="AQ414" t="s">
        <v>206</v>
      </c>
      <c r="AR414" t="s">
        <v>6645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C414" t="s">
        <v>69</v>
      </c>
      <c r="BD414" t="s">
        <v>1966</v>
      </c>
      <c r="BE414">
        <v>0</v>
      </c>
      <c r="BG414" t="s">
        <v>206</v>
      </c>
      <c r="BJ414" t="s">
        <v>1967</v>
      </c>
    </row>
    <row r="415" spans="1:62" x14ac:dyDescent="0.35">
      <c r="A415" t="s">
        <v>1968</v>
      </c>
      <c r="B415">
        <v>10000</v>
      </c>
      <c r="C415">
        <v>10000</v>
      </c>
      <c r="D415" s="2">
        <v>45726</v>
      </c>
      <c r="E415" t="s">
        <v>61</v>
      </c>
      <c r="F415" t="s">
        <v>1969</v>
      </c>
      <c r="G415">
        <v>59469</v>
      </c>
      <c r="I415">
        <v>1</v>
      </c>
      <c r="J415" t="s">
        <v>63</v>
      </c>
      <c r="K415" s="8">
        <v>73</v>
      </c>
      <c r="L415" s="8" t="s">
        <v>6586</v>
      </c>
      <c r="M415" s="8" t="s">
        <v>6627</v>
      </c>
      <c r="N415" t="s">
        <v>90</v>
      </c>
      <c r="O415" t="s">
        <v>6564</v>
      </c>
      <c r="P415" s="4">
        <v>84750</v>
      </c>
      <c r="Q415">
        <f>(P415/60)+45</f>
        <v>1457.5</v>
      </c>
      <c r="R415">
        <f>Q415/60</f>
        <v>24.291666666666668</v>
      </c>
      <c r="S415" s="2">
        <v>45722</v>
      </c>
      <c r="U415">
        <v>12</v>
      </c>
      <c r="V415" s="4">
        <v>1017000</v>
      </c>
      <c r="W415" t="s">
        <v>65</v>
      </c>
      <c r="X415" t="s">
        <v>1410</v>
      </c>
      <c r="Y415">
        <v>0</v>
      </c>
      <c r="Z415" s="4">
        <v>1036840</v>
      </c>
      <c r="AA415" s="4">
        <v>-19840</v>
      </c>
      <c r="AB415">
        <v>0</v>
      </c>
      <c r="AC415">
        <v>0</v>
      </c>
      <c r="AD415">
        <v>0</v>
      </c>
      <c r="AG415">
        <v>0</v>
      </c>
      <c r="AP415" t="s">
        <v>1411</v>
      </c>
      <c r="AQ415" t="s">
        <v>321</v>
      </c>
      <c r="AR415" t="s">
        <v>6652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BC415" t="s">
        <v>69</v>
      </c>
      <c r="BD415" t="s">
        <v>1970</v>
      </c>
      <c r="BE415">
        <v>0</v>
      </c>
      <c r="BG415" t="s">
        <v>321</v>
      </c>
      <c r="BJ415" t="s">
        <v>1971</v>
      </c>
    </row>
    <row r="416" spans="1:62" x14ac:dyDescent="0.35">
      <c r="A416" t="s">
        <v>1968</v>
      </c>
      <c r="B416">
        <v>10000</v>
      </c>
      <c r="C416">
        <v>20000</v>
      </c>
      <c r="D416" s="2">
        <v>45726</v>
      </c>
      <c r="E416" t="s">
        <v>61</v>
      </c>
      <c r="F416" t="s">
        <v>1969</v>
      </c>
      <c r="G416">
        <v>59469</v>
      </c>
      <c r="I416">
        <v>1</v>
      </c>
      <c r="J416" t="s">
        <v>63</v>
      </c>
      <c r="K416" s="8">
        <v>73</v>
      </c>
      <c r="L416" t="s">
        <v>6586</v>
      </c>
      <c r="M416" s="8" t="s">
        <v>6627</v>
      </c>
      <c r="N416" t="s">
        <v>98</v>
      </c>
      <c r="O416" t="s">
        <v>6549</v>
      </c>
      <c r="P416" s="4">
        <v>98917</v>
      </c>
      <c r="S416" s="2">
        <v>45722</v>
      </c>
      <c r="U416">
        <v>12</v>
      </c>
      <c r="V416" s="4">
        <v>1187004</v>
      </c>
      <c r="W416" t="s">
        <v>65</v>
      </c>
      <c r="X416" t="s">
        <v>1410</v>
      </c>
      <c r="Y416">
        <v>0</v>
      </c>
      <c r="Z416" s="4">
        <v>1210160</v>
      </c>
      <c r="AA416" s="4">
        <v>-23156</v>
      </c>
      <c r="AB416">
        <v>0</v>
      </c>
      <c r="AC416">
        <v>0</v>
      </c>
      <c r="AD416">
        <v>0</v>
      </c>
      <c r="AG416">
        <v>0</v>
      </c>
      <c r="AP416" t="s">
        <v>1411</v>
      </c>
      <c r="AQ416" t="s">
        <v>321</v>
      </c>
      <c r="AR416" t="s">
        <v>6652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BC416" t="s">
        <v>69</v>
      </c>
      <c r="BD416" t="s">
        <v>1970</v>
      </c>
      <c r="BE416">
        <v>0</v>
      </c>
      <c r="BG416" t="s">
        <v>321</v>
      </c>
      <c r="BJ416" t="s">
        <v>1971</v>
      </c>
    </row>
    <row r="417" spans="1:62" x14ac:dyDescent="0.35">
      <c r="A417" t="s">
        <v>1972</v>
      </c>
      <c r="B417">
        <v>10000</v>
      </c>
      <c r="C417">
        <v>10000</v>
      </c>
      <c r="D417" s="2">
        <v>45723</v>
      </c>
      <c r="E417" t="s">
        <v>61</v>
      </c>
      <c r="F417" t="s">
        <v>1973</v>
      </c>
      <c r="G417">
        <v>59469</v>
      </c>
      <c r="I417">
        <v>1</v>
      </c>
      <c r="J417" t="s">
        <v>63</v>
      </c>
      <c r="K417" s="8">
        <v>73</v>
      </c>
      <c r="L417" s="8" t="s">
        <v>6586</v>
      </c>
      <c r="M417" s="8" t="s">
        <v>6627</v>
      </c>
      <c r="N417" t="s">
        <v>90</v>
      </c>
      <c r="O417" t="s">
        <v>6564</v>
      </c>
      <c r="P417" s="4">
        <v>15313</v>
      </c>
      <c r="Q417">
        <f>(P417/60)+45</f>
        <v>300.2166666666667</v>
      </c>
      <c r="R417">
        <f>Q417/60</f>
        <v>5.0036111111111117</v>
      </c>
      <c r="S417" s="2">
        <v>45722</v>
      </c>
      <c r="U417">
        <v>12</v>
      </c>
      <c r="V417" s="4">
        <v>183756</v>
      </c>
      <c r="W417" t="s">
        <v>65</v>
      </c>
      <c r="X417" t="s">
        <v>1974</v>
      </c>
      <c r="Y417">
        <v>0</v>
      </c>
      <c r="Z417" s="4">
        <v>183750</v>
      </c>
      <c r="AA417">
        <v>6</v>
      </c>
      <c r="AB417">
        <v>0</v>
      </c>
      <c r="AC417">
        <v>0</v>
      </c>
      <c r="AD417">
        <v>0</v>
      </c>
      <c r="AG417">
        <v>0</v>
      </c>
      <c r="AP417" t="s">
        <v>1975</v>
      </c>
      <c r="AQ417" t="s">
        <v>321</v>
      </c>
      <c r="AR417" t="s">
        <v>6652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BC417" t="s">
        <v>69</v>
      </c>
      <c r="BD417" t="s">
        <v>1976</v>
      </c>
      <c r="BE417">
        <v>0</v>
      </c>
      <c r="BG417" t="s">
        <v>321</v>
      </c>
      <c r="BJ417" t="s">
        <v>1977</v>
      </c>
    </row>
    <row r="418" spans="1:62" x14ac:dyDescent="0.35">
      <c r="A418" t="s">
        <v>1979</v>
      </c>
      <c r="B418">
        <v>10000</v>
      </c>
      <c r="C418">
        <v>10000</v>
      </c>
      <c r="D418" s="2">
        <v>45723</v>
      </c>
      <c r="E418" t="s">
        <v>61</v>
      </c>
      <c r="F418" t="s">
        <v>1593</v>
      </c>
      <c r="G418" t="s">
        <v>1980</v>
      </c>
      <c r="I418">
        <v>1</v>
      </c>
      <c r="J418" t="s">
        <v>63</v>
      </c>
      <c r="K418" s="8">
        <v>61</v>
      </c>
      <c r="L418" s="8" t="s">
        <v>6594</v>
      </c>
      <c r="M418" s="8" t="s">
        <v>6629</v>
      </c>
      <c r="N418" t="s">
        <v>216</v>
      </c>
      <c r="O418" t="s">
        <v>6394</v>
      </c>
      <c r="P418">
        <v>500</v>
      </c>
      <c r="Q418">
        <f>(P418/50)+45</f>
        <v>55</v>
      </c>
      <c r="R418">
        <f>Q418/60</f>
        <v>0.91666666666666663</v>
      </c>
      <c r="S418" s="2">
        <v>45723</v>
      </c>
      <c r="U418">
        <v>1</v>
      </c>
      <c r="V418">
        <v>500</v>
      </c>
      <c r="W418" t="s">
        <v>65</v>
      </c>
      <c r="X418" t="s">
        <v>1981</v>
      </c>
      <c r="Y418">
        <v>0</v>
      </c>
      <c r="Z418">
        <v>500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1982</v>
      </c>
      <c r="AQ418" t="s">
        <v>1983</v>
      </c>
      <c r="AR418" t="s">
        <v>6693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BC418" t="s">
        <v>69</v>
      </c>
      <c r="BD418" t="s">
        <v>1984</v>
      </c>
      <c r="BE418">
        <v>0</v>
      </c>
      <c r="BG418" t="s">
        <v>1983</v>
      </c>
      <c r="BJ418" t="s">
        <v>1985</v>
      </c>
    </row>
    <row r="419" spans="1:62" x14ac:dyDescent="0.35">
      <c r="A419" t="s">
        <v>314</v>
      </c>
      <c r="B419">
        <v>20000</v>
      </c>
      <c r="C419">
        <v>20000</v>
      </c>
      <c r="D419" s="2">
        <v>45728</v>
      </c>
      <c r="E419" t="s">
        <v>61</v>
      </c>
      <c r="F419" t="s">
        <v>315</v>
      </c>
      <c r="G419" t="s">
        <v>316</v>
      </c>
      <c r="I419">
        <v>1</v>
      </c>
      <c r="J419" t="s">
        <v>63</v>
      </c>
      <c r="K419" s="8">
        <v>103</v>
      </c>
      <c r="L419" s="8" t="s">
        <v>6589</v>
      </c>
      <c r="M419" s="8" t="s">
        <v>6630</v>
      </c>
      <c r="N419" t="s">
        <v>1986</v>
      </c>
      <c r="O419" t="s">
        <v>6551</v>
      </c>
      <c r="P419" s="4">
        <v>61875</v>
      </c>
      <c r="Q419">
        <f>(P419/20)+45</f>
        <v>3138.75</v>
      </c>
      <c r="R419">
        <f>Q419/60</f>
        <v>52.3125</v>
      </c>
      <c r="S419" s="2">
        <v>45723</v>
      </c>
      <c r="U419">
        <v>8</v>
      </c>
      <c r="V419" s="4">
        <v>495000</v>
      </c>
      <c r="W419" t="s">
        <v>65</v>
      </c>
      <c r="X419" s="12" t="s">
        <v>319</v>
      </c>
      <c r="Y419">
        <v>0</v>
      </c>
      <c r="Z419" s="4">
        <v>495000</v>
      </c>
      <c r="AA419">
        <v>0</v>
      </c>
      <c r="AB419">
        <v>0</v>
      </c>
      <c r="AC419">
        <v>0</v>
      </c>
      <c r="AD419">
        <v>0</v>
      </c>
      <c r="AG419">
        <v>0</v>
      </c>
      <c r="AP419" t="s">
        <v>320</v>
      </c>
      <c r="AQ419" t="s">
        <v>321</v>
      </c>
      <c r="AR419" t="s">
        <v>6652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BC419" t="s">
        <v>69</v>
      </c>
      <c r="BD419" t="s">
        <v>322</v>
      </c>
      <c r="BE419">
        <v>0</v>
      </c>
      <c r="BG419" t="s">
        <v>321</v>
      </c>
      <c r="BJ419" t="s">
        <v>323</v>
      </c>
    </row>
    <row r="420" spans="1:62" x14ac:dyDescent="0.35">
      <c r="A420" t="s">
        <v>1987</v>
      </c>
      <c r="B420">
        <v>10000</v>
      </c>
      <c r="C420">
        <v>10000</v>
      </c>
      <c r="D420" s="2">
        <v>45729</v>
      </c>
      <c r="E420" t="s">
        <v>61</v>
      </c>
      <c r="F420" t="s">
        <v>1988</v>
      </c>
      <c r="G420" t="s">
        <v>1989</v>
      </c>
      <c r="I420">
        <v>1</v>
      </c>
      <c r="J420" t="s">
        <v>63</v>
      </c>
      <c r="K420" s="8">
        <v>111</v>
      </c>
      <c r="L420" s="8" t="s">
        <v>6597</v>
      </c>
      <c r="M420" s="8" t="s">
        <v>6627</v>
      </c>
      <c r="N420" t="s">
        <v>286</v>
      </c>
      <c r="O420" t="s">
        <v>6560</v>
      </c>
      <c r="P420" s="4">
        <v>43500</v>
      </c>
      <c r="Q420">
        <f>(P420/60)+45</f>
        <v>770</v>
      </c>
      <c r="R420">
        <f>Q420/60</f>
        <v>12.833333333333334</v>
      </c>
      <c r="S420" s="2">
        <v>45723</v>
      </c>
      <c r="U420">
        <v>10</v>
      </c>
      <c r="V420" s="4">
        <v>435000</v>
      </c>
      <c r="W420" t="s">
        <v>65</v>
      </c>
      <c r="X420" t="s">
        <v>287</v>
      </c>
      <c r="Y420">
        <v>0</v>
      </c>
      <c r="Z420" s="4">
        <v>435000</v>
      </c>
      <c r="AA420">
        <v>0</v>
      </c>
      <c r="AB420">
        <v>0</v>
      </c>
      <c r="AC420">
        <v>0</v>
      </c>
      <c r="AD420">
        <v>0</v>
      </c>
      <c r="AG420">
        <v>0</v>
      </c>
      <c r="AP420" t="s">
        <v>288</v>
      </c>
      <c r="AQ420" t="s">
        <v>289</v>
      </c>
      <c r="AR420" t="s">
        <v>6650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C420" t="s">
        <v>69</v>
      </c>
      <c r="BD420" t="s">
        <v>1990</v>
      </c>
      <c r="BE420">
        <v>0</v>
      </c>
      <c r="BG420" t="s">
        <v>289</v>
      </c>
      <c r="BJ420" t="s">
        <v>1991</v>
      </c>
    </row>
    <row r="421" spans="1:62" x14ac:dyDescent="0.35">
      <c r="A421" t="s">
        <v>1992</v>
      </c>
      <c r="B421">
        <v>10000</v>
      </c>
      <c r="C421">
        <v>10000</v>
      </c>
      <c r="D421" s="2">
        <v>45727</v>
      </c>
      <c r="E421" t="s">
        <v>61</v>
      </c>
      <c r="F421" t="s">
        <v>1993</v>
      </c>
      <c r="G421" t="s">
        <v>1994</v>
      </c>
      <c r="I421">
        <v>1</v>
      </c>
      <c r="J421" t="s">
        <v>63</v>
      </c>
      <c r="K421" s="8">
        <v>65</v>
      </c>
      <c r="L421" s="8" t="s">
        <v>6596</v>
      </c>
      <c r="M421" s="8" t="s">
        <v>6630</v>
      </c>
      <c r="N421" t="s">
        <v>268</v>
      </c>
      <c r="O421" t="s">
        <v>6543</v>
      </c>
      <c r="P421" s="4">
        <v>32000</v>
      </c>
      <c r="Q421">
        <f>(P421/40)+45</f>
        <v>845</v>
      </c>
      <c r="R421">
        <f>Q421/60</f>
        <v>14.083333333333334</v>
      </c>
      <c r="S421" s="2">
        <v>45723</v>
      </c>
      <c r="U421">
        <v>1</v>
      </c>
      <c r="V421" s="4">
        <v>32000</v>
      </c>
      <c r="W421" t="s">
        <v>65</v>
      </c>
      <c r="X421" t="s">
        <v>1995</v>
      </c>
      <c r="Y421">
        <v>0</v>
      </c>
      <c r="Z421" s="4">
        <v>34000</v>
      </c>
      <c r="AA421" s="4">
        <v>-2000</v>
      </c>
      <c r="AB421">
        <v>0</v>
      </c>
      <c r="AC421">
        <v>0</v>
      </c>
      <c r="AD421">
        <v>0</v>
      </c>
      <c r="AG421">
        <v>0</v>
      </c>
      <c r="AP421" t="s">
        <v>1996</v>
      </c>
      <c r="AQ421" t="s">
        <v>1424</v>
      </c>
      <c r="AR421" t="s">
        <v>6678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BC421" t="s">
        <v>69</v>
      </c>
      <c r="BD421" t="s">
        <v>1997</v>
      </c>
      <c r="BE421">
        <v>0</v>
      </c>
      <c r="BG421" t="s">
        <v>1424</v>
      </c>
      <c r="BJ421" t="s">
        <v>1998</v>
      </c>
    </row>
    <row r="422" spans="1:62" x14ac:dyDescent="0.35">
      <c r="A422" t="s">
        <v>1999</v>
      </c>
      <c r="B422">
        <v>10000</v>
      </c>
      <c r="C422">
        <v>30000</v>
      </c>
      <c r="D422" s="2">
        <v>45723</v>
      </c>
      <c r="E422" t="s">
        <v>61</v>
      </c>
      <c r="F422" t="s">
        <v>2000</v>
      </c>
      <c r="G422" t="s">
        <v>2001</v>
      </c>
      <c r="I422">
        <v>3</v>
      </c>
      <c r="J422" t="s">
        <v>63</v>
      </c>
      <c r="K422" s="8">
        <v>85</v>
      </c>
      <c r="L422" s="8" t="s">
        <v>6585</v>
      </c>
      <c r="M422" s="8" t="s">
        <v>6628</v>
      </c>
      <c r="N422" t="s">
        <v>327</v>
      </c>
      <c r="O422" t="s">
        <v>6580</v>
      </c>
      <c r="P422" s="4">
        <v>16000</v>
      </c>
      <c r="S422" s="2">
        <v>45723</v>
      </c>
      <c r="U422">
        <v>11</v>
      </c>
      <c r="V422" s="4">
        <v>176000</v>
      </c>
      <c r="W422" t="s">
        <v>65</v>
      </c>
      <c r="X422" t="s">
        <v>2002</v>
      </c>
      <c r="Y422">
        <v>0</v>
      </c>
      <c r="Z422" s="4">
        <v>160000</v>
      </c>
      <c r="AA422" s="4">
        <v>16000</v>
      </c>
      <c r="AB422">
        <v>0</v>
      </c>
      <c r="AC422">
        <v>0</v>
      </c>
      <c r="AD422">
        <v>0</v>
      </c>
      <c r="AG422">
        <v>0</v>
      </c>
      <c r="AP422" t="s">
        <v>2003</v>
      </c>
      <c r="AQ422" t="s">
        <v>107</v>
      </c>
      <c r="AR422" t="s">
        <v>6638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C422" t="s">
        <v>69</v>
      </c>
      <c r="BD422" t="s">
        <v>2004</v>
      </c>
      <c r="BE422">
        <v>0</v>
      </c>
      <c r="BG422" t="s">
        <v>107</v>
      </c>
      <c r="BJ422" t="s">
        <v>2005</v>
      </c>
    </row>
    <row r="423" spans="1:62" x14ac:dyDescent="0.35">
      <c r="A423" t="s">
        <v>2006</v>
      </c>
      <c r="B423">
        <v>10000</v>
      </c>
      <c r="C423">
        <v>20000</v>
      </c>
      <c r="D423" s="2">
        <v>45723</v>
      </c>
      <c r="E423" t="s">
        <v>61</v>
      </c>
      <c r="F423" t="s">
        <v>2007</v>
      </c>
      <c r="G423" t="s">
        <v>2008</v>
      </c>
      <c r="I423">
        <v>2</v>
      </c>
      <c r="J423" t="s">
        <v>63</v>
      </c>
      <c r="K423" s="8">
        <v>77</v>
      </c>
      <c r="L423" s="8" t="s">
        <v>6584</v>
      </c>
      <c r="M423" s="8" t="s">
        <v>6627</v>
      </c>
      <c r="N423" t="s">
        <v>127</v>
      </c>
      <c r="O423" t="s">
        <v>6567</v>
      </c>
      <c r="P423" s="4">
        <v>3955</v>
      </c>
      <c r="Q423">
        <f>(P423/60)+45</f>
        <v>110.91666666666667</v>
      </c>
      <c r="R423">
        <f>Q423/60</f>
        <v>1.8486111111111112</v>
      </c>
      <c r="S423" s="2">
        <v>45723</v>
      </c>
      <c r="U423">
        <v>88</v>
      </c>
      <c r="V423" s="4">
        <v>348040</v>
      </c>
      <c r="W423" t="s">
        <v>65</v>
      </c>
      <c r="X423" t="s">
        <v>2009</v>
      </c>
      <c r="Y423">
        <v>0</v>
      </c>
      <c r="Z423" s="4">
        <v>320000</v>
      </c>
      <c r="AA423" s="4">
        <v>28040</v>
      </c>
      <c r="AB423">
        <v>0</v>
      </c>
      <c r="AC423">
        <v>0</v>
      </c>
      <c r="AD423">
        <v>0</v>
      </c>
      <c r="AG423">
        <v>0</v>
      </c>
      <c r="AP423" t="s">
        <v>2010</v>
      </c>
      <c r="AQ423" t="s">
        <v>107</v>
      </c>
      <c r="AR423" t="s">
        <v>6638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BC423" t="s">
        <v>69</v>
      </c>
      <c r="BD423" t="s">
        <v>2011</v>
      </c>
      <c r="BE423">
        <v>0</v>
      </c>
      <c r="BG423" t="s">
        <v>107</v>
      </c>
      <c r="BJ423" t="s">
        <v>2012</v>
      </c>
    </row>
    <row r="424" spans="1:62" x14ac:dyDescent="0.35">
      <c r="A424" t="s">
        <v>2006</v>
      </c>
      <c r="B424">
        <v>10000</v>
      </c>
      <c r="C424">
        <v>30000</v>
      </c>
      <c r="D424" s="2">
        <v>45723</v>
      </c>
      <c r="E424" t="s">
        <v>61</v>
      </c>
      <c r="F424" t="s">
        <v>2007</v>
      </c>
      <c r="G424" t="s">
        <v>2008</v>
      </c>
      <c r="I424">
        <v>3</v>
      </c>
      <c r="J424" t="s">
        <v>63</v>
      </c>
      <c r="K424" s="8">
        <v>85</v>
      </c>
      <c r="L424" s="8" t="s">
        <v>6585</v>
      </c>
      <c r="M424" s="8" t="s">
        <v>6628</v>
      </c>
      <c r="N424" t="s">
        <v>327</v>
      </c>
      <c r="O424" t="s">
        <v>6580</v>
      </c>
      <c r="P424" s="4">
        <v>31819</v>
      </c>
      <c r="S424" s="2">
        <v>45723</v>
      </c>
      <c r="U424">
        <v>11</v>
      </c>
      <c r="V424" s="4">
        <v>350009</v>
      </c>
      <c r="W424" t="s">
        <v>65</v>
      </c>
      <c r="X424" t="s">
        <v>2009</v>
      </c>
      <c r="Y424">
        <v>0</v>
      </c>
      <c r="Z424" s="4">
        <v>320000</v>
      </c>
      <c r="AA424" s="4">
        <v>30009</v>
      </c>
      <c r="AB424">
        <v>0</v>
      </c>
      <c r="AC424">
        <v>0</v>
      </c>
      <c r="AD424">
        <v>0</v>
      </c>
      <c r="AG424">
        <v>0</v>
      </c>
      <c r="AP424" t="s">
        <v>2010</v>
      </c>
      <c r="AQ424" t="s">
        <v>107</v>
      </c>
      <c r="AR424" t="s">
        <v>6638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C424" t="s">
        <v>69</v>
      </c>
      <c r="BD424" t="s">
        <v>2011</v>
      </c>
      <c r="BE424">
        <v>0</v>
      </c>
      <c r="BG424" t="s">
        <v>107</v>
      </c>
      <c r="BJ424" t="s">
        <v>2012</v>
      </c>
    </row>
    <row r="425" spans="1:62" x14ac:dyDescent="0.35">
      <c r="A425" t="s">
        <v>2013</v>
      </c>
      <c r="B425">
        <v>10000</v>
      </c>
      <c r="C425">
        <v>10000</v>
      </c>
      <c r="D425" s="2">
        <v>45727</v>
      </c>
      <c r="E425" t="s">
        <v>61</v>
      </c>
      <c r="F425" t="s">
        <v>2014</v>
      </c>
      <c r="G425" t="s">
        <v>809</v>
      </c>
      <c r="I425">
        <v>1</v>
      </c>
      <c r="J425" t="s">
        <v>63</v>
      </c>
      <c r="K425" s="8">
        <v>87</v>
      </c>
      <c r="L425" s="8" t="s">
        <v>6591</v>
      </c>
      <c r="M425" s="8" t="s">
        <v>6630</v>
      </c>
      <c r="N425" t="s">
        <v>172</v>
      </c>
      <c r="O425" t="s">
        <v>6546</v>
      </c>
      <c r="P425" s="4">
        <v>20250</v>
      </c>
      <c r="S425" s="2">
        <v>45723</v>
      </c>
      <c r="U425">
        <v>2</v>
      </c>
      <c r="V425" s="4">
        <v>40500</v>
      </c>
      <c r="W425" t="s">
        <v>65</v>
      </c>
      <c r="X425" t="s">
        <v>173</v>
      </c>
      <c r="Y425">
        <v>0</v>
      </c>
      <c r="Z425" s="4">
        <v>40500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174</v>
      </c>
      <c r="AQ425" t="s">
        <v>175</v>
      </c>
      <c r="AR425" t="s">
        <v>6642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C425" t="s">
        <v>69</v>
      </c>
      <c r="BD425" t="s">
        <v>2015</v>
      </c>
      <c r="BE425">
        <v>0</v>
      </c>
      <c r="BG425" t="s">
        <v>175</v>
      </c>
      <c r="BJ425" t="s">
        <v>2016</v>
      </c>
    </row>
    <row r="426" spans="1:62" x14ac:dyDescent="0.35">
      <c r="A426" t="s">
        <v>2017</v>
      </c>
      <c r="B426">
        <v>10000</v>
      </c>
      <c r="C426">
        <v>10000</v>
      </c>
      <c r="D426" s="2">
        <v>45727</v>
      </c>
      <c r="E426" t="s">
        <v>61</v>
      </c>
      <c r="F426" t="s">
        <v>2018</v>
      </c>
      <c r="G426">
        <v>407222225</v>
      </c>
      <c r="I426">
        <v>1</v>
      </c>
      <c r="J426" t="s">
        <v>63</v>
      </c>
      <c r="K426" s="8">
        <v>90</v>
      </c>
      <c r="L426" s="8" t="s">
        <v>6589</v>
      </c>
      <c r="M426" s="8" t="s">
        <v>6630</v>
      </c>
      <c r="N426" t="s">
        <v>405</v>
      </c>
      <c r="O426" t="s">
        <v>6555</v>
      </c>
      <c r="P426" s="4">
        <v>37046</v>
      </c>
      <c r="Q426">
        <f>(P426/20)+45</f>
        <v>1897.3</v>
      </c>
      <c r="R426">
        <f>Q426/60</f>
        <v>31.621666666666666</v>
      </c>
      <c r="S426" s="2">
        <v>45723</v>
      </c>
      <c r="U426">
        <v>132</v>
      </c>
      <c r="V426" s="4">
        <v>4890072</v>
      </c>
      <c r="W426" t="s">
        <v>65</v>
      </c>
      <c r="X426" t="s">
        <v>2019</v>
      </c>
      <c r="Y426">
        <v>0</v>
      </c>
      <c r="Z426" s="4">
        <v>4890000</v>
      </c>
      <c r="AA426">
        <v>72</v>
      </c>
      <c r="AB426">
        <v>0</v>
      </c>
      <c r="AC426">
        <v>0</v>
      </c>
      <c r="AD426">
        <v>0</v>
      </c>
      <c r="AG426">
        <v>0</v>
      </c>
      <c r="AP426" t="s">
        <v>2020</v>
      </c>
      <c r="AQ426" t="s">
        <v>1672</v>
      </c>
      <c r="AR426" t="s">
        <v>6681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C426" t="s">
        <v>69</v>
      </c>
      <c r="BD426" t="s">
        <v>2021</v>
      </c>
      <c r="BE426">
        <v>0</v>
      </c>
      <c r="BG426" t="s">
        <v>1672</v>
      </c>
      <c r="BJ426" t="s">
        <v>1674</v>
      </c>
    </row>
    <row r="427" spans="1:62" x14ac:dyDescent="0.35">
      <c r="A427" t="s">
        <v>2022</v>
      </c>
      <c r="B427">
        <v>10000</v>
      </c>
      <c r="C427">
        <v>10000</v>
      </c>
      <c r="D427" s="2">
        <v>45723</v>
      </c>
      <c r="E427" t="s">
        <v>61</v>
      </c>
      <c r="F427" t="s">
        <v>2023</v>
      </c>
      <c r="G427" t="s">
        <v>2024</v>
      </c>
      <c r="I427">
        <v>1</v>
      </c>
      <c r="J427" t="s">
        <v>63</v>
      </c>
      <c r="K427" s="8">
        <v>60</v>
      </c>
      <c r="L427" s="8" t="s">
        <v>6590</v>
      </c>
      <c r="M427" s="8" t="s">
        <v>6630</v>
      </c>
      <c r="N427" t="s">
        <v>277</v>
      </c>
      <c r="O427" t="s">
        <v>6554</v>
      </c>
      <c r="P427" s="4">
        <v>6200</v>
      </c>
      <c r="Q427">
        <f t="shared" ref="Q427:Q428" si="99">(P427/50)+45</f>
        <v>169</v>
      </c>
      <c r="R427">
        <f t="shared" ref="R427:R428" si="100">Q427/60</f>
        <v>2.8166666666666669</v>
      </c>
      <c r="S427" s="2">
        <v>45723</v>
      </c>
      <c r="U427">
        <v>10</v>
      </c>
      <c r="V427" s="4">
        <v>62000</v>
      </c>
      <c r="W427" t="s">
        <v>65</v>
      </c>
      <c r="X427" t="s">
        <v>2025</v>
      </c>
      <c r="Y427">
        <v>0</v>
      </c>
      <c r="Z427" s="4">
        <v>62000</v>
      </c>
      <c r="AA427">
        <v>0</v>
      </c>
      <c r="AB427">
        <v>0</v>
      </c>
      <c r="AC427">
        <v>0</v>
      </c>
      <c r="AD427">
        <v>0</v>
      </c>
      <c r="AG427">
        <v>0</v>
      </c>
      <c r="AP427" t="s">
        <v>2026</v>
      </c>
      <c r="AQ427" t="s">
        <v>321</v>
      </c>
      <c r="AR427" t="s">
        <v>6652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BC427" t="s">
        <v>69</v>
      </c>
      <c r="BD427" t="s">
        <v>2027</v>
      </c>
      <c r="BE427">
        <v>0</v>
      </c>
      <c r="BG427" t="s">
        <v>321</v>
      </c>
      <c r="BJ427" t="s">
        <v>2028</v>
      </c>
    </row>
    <row r="428" spans="1:62" x14ac:dyDescent="0.35">
      <c r="A428" t="s">
        <v>2022</v>
      </c>
      <c r="B428">
        <v>20000</v>
      </c>
      <c r="C428">
        <v>10000</v>
      </c>
      <c r="D428" s="2">
        <v>45723</v>
      </c>
      <c r="E428" t="s">
        <v>61</v>
      </c>
      <c r="F428" t="s">
        <v>2023</v>
      </c>
      <c r="G428" t="s">
        <v>2024</v>
      </c>
      <c r="I428">
        <v>1</v>
      </c>
      <c r="J428" t="s">
        <v>63</v>
      </c>
      <c r="K428" s="8">
        <v>60</v>
      </c>
      <c r="L428" s="8" t="s">
        <v>6590</v>
      </c>
      <c r="M428" s="8" t="s">
        <v>6630</v>
      </c>
      <c r="N428" t="s">
        <v>277</v>
      </c>
      <c r="O428" t="s">
        <v>6554</v>
      </c>
      <c r="P428" s="4">
        <v>3300</v>
      </c>
      <c r="Q428">
        <f t="shared" si="99"/>
        <v>111</v>
      </c>
      <c r="R428">
        <f t="shared" si="100"/>
        <v>1.85</v>
      </c>
      <c r="S428" s="2">
        <v>45723</v>
      </c>
      <c r="U428">
        <v>10</v>
      </c>
      <c r="V428" s="4">
        <v>33000</v>
      </c>
      <c r="W428" t="s">
        <v>65</v>
      </c>
      <c r="X428" t="s">
        <v>2025</v>
      </c>
      <c r="Y428">
        <v>0</v>
      </c>
      <c r="Z428" s="4">
        <v>33000</v>
      </c>
      <c r="AA428">
        <v>0</v>
      </c>
      <c r="AB428">
        <v>0</v>
      </c>
      <c r="AC428">
        <v>0</v>
      </c>
      <c r="AD428">
        <v>0</v>
      </c>
      <c r="AG428">
        <v>0</v>
      </c>
      <c r="AP428" t="s">
        <v>2026</v>
      </c>
      <c r="AQ428" t="s">
        <v>321</v>
      </c>
      <c r="AR428" t="s">
        <v>6652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BC428" t="s">
        <v>69</v>
      </c>
      <c r="BD428" t="s">
        <v>2027</v>
      </c>
      <c r="BE428">
        <v>0</v>
      </c>
      <c r="BG428" t="s">
        <v>321</v>
      </c>
      <c r="BJ428" t="s">
        <v>2028</v>
      </c>
    </row>
    <row r="429" spans="1:62" x14ac:dyDescent="0.35">
      <c r="A429" t="s">
        <v>2029</v>
      </c>
      <c r="B429">
        <v>10000</v>
      </c>
      <c r="C429">
        <v>20000</v>
      </c>
      <c r="D429" s="2">
        <v>45723</v>
      </c>
      <c r="E429" t="s">
        <v>61</v>
      </c>
      <c r="F429" t="s">
        <v>2030</v>
      </c>
      <c r="G429" t="s">
        <v>1684</v>
      </c>
      <c r="I429">
        <v>2</v>
      </c>
      <c r="J429" t="s">
        <v>63</v>
      </c>
      <c r="K429" s="8" t="s">
        <v>1744</v>
      </c>
      <c r="L429" s="8" t="s">
        <v>6615</v>
      </c>
      <c r="M429" s="8" t="s">
        <v>6631</v>
      </c>
      <c r="N429" t="s">
        <v>630</v>
      </c>
      <c r="O429" t="s">
        <v>6571</v>
      </c>
      <c r="P429" s="4">
        <v>3000</v>
      </c>
      <c r="S429" s="2">
        <v>45723</v>
      </c>
      <c r="U429">
        <v>1</v>
      </c>
      <c r="V429" s="4">
        <v>3000</v>
      </c>
      <c r="W429" t="s">
        <v>65</v>
      </c>
      <c r="X429" t="s">
        <v>2031</v>
      </c>
      <c r="Y429">
        <v>0</v>
      </c>
      <c r="Z429" s="4">
        <v>3000</v>
      </c>
      <c r="AA429">
        <v>0</v>
      </c>
      <c r="AB429">
        <v>0</v>
      </c>
      <c r="AC429">
        <v>0</v>
      </c>
      <c r="AD429">
        <v>0</v>
      </c>
      <c r="AG429">
        <v>0</v>
      </c>
      <c r="AP429" t="s">
        <v>2032</v>
      </c>
      <c r="AQ429" t="s">
        <v>206</v>
      </c>
      <c r="AR429" t="s">
        <v>6645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C429" t="s">
        <v>69</v>
      </c>
      <c r="BD429" t="s">
        <v>2033</v>
      </c>
      <c r="BE429">
        <v>0</v>
      </c>
      <c r="BG429" t="s">
        <v>206</v>
      </c>
      <c r="BJ429" t="s">
        <v>2034</v>
      </c>
    </row>
    <row r="430" spans="1:62" x14ac:dyDescent="0.35">
      <c r="A430" t="s">
        <v>2035</v>
      </c>
      <c r="B430">
        <v>10000</v>
      </c>
      <c r="C430">
        <v>30000</v>
      </c>
      <c r="D430" s="2">
        <v>45726</v>
      </c>
      <c r="E430" t="s">
        <v>61</v>
      </c>
      <c r="F430" t="s">
        <v>2036</v>
      </c>
      <c r="G430">
        <v>10620258085</v>
      </c>
      <c r="I430">
        <v>3</v>
      </c>
      <c r="J430" t="s">
        <v>63</v>
      </c>
      <c r="K430" s="8">
        <v>85</v>
      </c>
      <c r="L430" s="8" t="s">
        <v>6585</v>
      </c>
      <c r="M430" s="8" t="s">
        <v>6628</v>
      </c>
      <c r="N430" t="s">
        <v>327</v>
      </c>
      <c r="O430" t="s">
        <v>6580</v>
      </c>
      <c r="P430" s="4">
        <v>16000</v>
      </c>
      <c r="S430" s="2">
        <v>45723</v>
      </c>
      <c r="U430">
        <v>11</v>
      </c>
      <c r="V430" s="4">
        <v>176000</v>
      </c>
      <c r="W430" t="s">
        <v>65</v>
      </c>
      <c r="X430" t="s">
        <v>951</v>
      </c>
      <c r="Y430">
        <v>0</v>
      </c>
      <c r="Z430" s="4">
        <v>160000</v>
      </c>
      <c r="AA430" s="4">
        <v>16000</v>
      </c>
      <c r="AB430">
        <v>0</v>
      </c>
      <c r="AC430">
        <v>0</v>
      </c>
      <c r="AD430">
        <v>0</v>
      </c>
      <c r="AG430">
        <v>0</v>
      </c>
      <c r="AP430" t="s">
        <v>952</v>
      </c>
      <c r="AQ430" t="s">
        <v>107</v>
      </c>
      <c r="AR430" t="s">
        <v>6638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BC430" t="s">
        <v>69</v>
      </c>
      <c r="BD430" t="s">
        <v>2037</v>
      </c>
      <c r="BE430">
        <v>0</v>
      </c>
      <c r="BG430" t="s">
        <v>107</v>
      </c>
      <c r="BJ430" t="s">
        <v>2038</v>
      </c>
    </row>
    <row r="431" spans="1:62" x14ac:dyDescent="0.35">
      <c r="A431" t="s">
        <v>812</v>
      </c>
      <c r="B431">
        <v>10000</v>
      </c>
      <c r="C431">
        <v>30000</v>
      </c>
      <c r="D431" s="2">
        <v>45729</v>
      </c>
      <c r="E431" t="s">
        <v>61</v>
      </c>
      <c r="F431" t="s">
        <v>813</v>
      </c>
      <c r="G431">
        <v>10639931052</v>
      </c>
      <c r="I431">
        <v>2</v>
      </c>
      <c r="J431" t="s">
        <v>63</v>
      </c>
      <c r="K431" s="8">
        <v>77</v>
      </c>
      <c r="L431" s="8" t="s">
        <v>6584</v>
      </c>
      <c r="M431" s="8" t="s">
        <v>6627</v>
      </c>
      <c r="N431" t="s">
        <v>127</v>
      </c>
      <c r="O431" t="s">
        <v>6567</v>
      </c>
      <c r="P431">
        <v>955</v>
      </c>
      <c r="Q431">
        <f t="shared" ref="Q431:Q434" si="101">(P431/60)+45</f>
        <v>60.916666666666664</v>
      </c>
      <c r="R431">
        <f t="shared" ref="R431:R434" si="102">Q431/60</f>
        <v>1.0152777777777777</v>
      </c>
      <c r="S431" s="2">
        <v>45723</v>
      </c>
      <c r="U431">
        <v>88</v>
      </c>
      <c r="V431" s="4">
        <v>84040</v>
      </c>
      <c r="W431" t="s">
        <v>65</v>
      </c>
      <c r="X431" t="s">
        <v>814</v>
      </c>
      <c r="Y431">
        <v>0</v>
      </c>
      <c r="Z431" s="4">
        <v>70000</v>
      </c>
      <c r="AA431" s="4">
        <v>14040</v>
      </c>
      <c r="AB431">
        <v>0</v>
      </c>
      <c r="AC431">
        <v>0</v>
      </c>
      <c r="AD431">
        <v>0</v>
      </c>
      <c r="AG431">
        <v>0</v>
      </c>
      <c r="AP431" t="s">
        <v>815</v>
      </c>
      <c r="AQ431" t="s">
        <v>107</v>
      </c>
      <c r="AR431" t="s">
        <v>6638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C431" t="s">
        <v>69</v>
      </c>
      <c r="BD431" t="s">
        <v>816</v>
      </c>
      <c r="BE431">
        <v>0</v>
      </c>
      <c r="BG431" t="s">
        <v>107</v>
      </c>
      <c r="BJ431" t="s">
        <v>817</v>
      </c>
    </row>
    <row r="432" spans="1:62" x14ac:dyDescent="0.35">
      <c r="A432" t="s">
        <v>1689</v>
      </c>
      <c r="B432">
        <v>10000</v>
      </c>
      <c r="C432">
        <v>20000</v>
      </c>
      <c r="D432" s="2">
        <v>45727</v>
      </c>
      <c r="E432" t="s">
        <v>61</v>
      </c>
      <c r="F432" s="3">
        <v>0.47407407407407409</v>
      </c>
      <c r="G432">
        <v>10620258028</v>
      </c>
      <c r="I432">
        <v>2</v>
      </c>
      <c r="J432" t="s">
        <v>63</v>
      </c>
      <c r="K432" s="8">
        <v>77</v>
      </c>
      <c r="L432" s="8" t="s">
        <v>6584</v>
      </c>
      <c r="M432" s="8" t="s">
        <v>6627</v>
      </c>
      <c r="N432" t="s">
        <v>127</v>
      </c>
      <c r="O432" t="s">
        <v>6567</v>
      </c>
      <c r="P432" s="4">
        <v>1285</v>
      </c>
      <c r="Q432">
        <f t="shared" si="101"/>
        <v>66.416666666666671</v>
      </c>
      <c r="R432">
        <f t="shared" si="102"/>
        <v>1.1069444444444445</v>
      </c>
      <c r="S432" s="2">
        <v>45723</v>
      </c>
      <c r="U432">
        <v>88</v>
      </c>
      <c r="V432" s="4">
        <v>113080</v>
      </c>
      <c r="W432" t="s">
        <v>65</v>
      </c>
      <c r="X432" t="s">
        <v>1690</v>
      </c>
      <c r="Y432">
        <v>0</v>
      </c>
      <c r="Z432" s="4">
        <v>100000</v>
      </c>
      <c r="AA432" s="4">
        <v>13080</v>
      </c>
      <c r="AB432">
        <v>0</v>
      </c>
      <c r="AC432">
        <v>0</v>
      </c>
      <c r="AD432">
        <v>0</v>
      </c>
      <c r="AG432">
        <v>0</v>
      </c>
      <c r="AP432" t="s">
        <v>1691</v>
      </c>
      <c r="AQ432" t="s">
        <v>107</v>
      </c>
      <c r="AR432" t="s">
        <v>6638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BC432" t="s">
        <v>69</v>
      </c>
      <c r="BD432" t="s">
        <v>1692</v>
      </c>
      <c r="BE432">
        <v>0</v>
      </c>
      <c r="BG432" t="s">
        <v>107</v>
      </c>
      <c r="BJ432" t="s">
        <v>1693</v>
      </c>
    </row>
    <row r="433" spans="1:62" x14ac:dyDescent="0.35">
      <c r="A433" t="s">
        <v>1694</v>
      </c>
      <c r="B433">
        <v>10000</v>
      </c>
      <c r="C433">
        <v>20000</v>
      </c>
      <c r="D433" s="2">
        <v>45727</v>
      </c>
      <c r="E433" t="s">
        <v>61</v>
      </c>
      <c r="F433" t="s">
        <v>1695</v>
      </c>
      <c r="G433">
        <v>10620258028</v>
      </c>
      <c r="I433">
        <v>2</v>
      </c>
      <c r="J433" t="s">
        <v>63</v>
      </c>
      <c r="K433" s="8">
        <v>77</v>
      </c>
      <c r="L433" s="8" t="s">
        <v>6584</v>
      </c>
      <c r="M433" s="8" t="s">
        <v>6627</v>
      </c>
      <c r="N433" t="s">
        <v>127</v>
      </c>
      <c r="O433" t="s">
        <v>6567</v>
      </c>
      <c r="P433" s="4">
        <v>1285</v>
      </c>
      <c r="Q433">
        <f t="shared" si="101"/>
        <v>66.416666666666671</v>
      </c>
      <c r="R433">
        <f t="shared" si="102"/>
        <v>1.1069444444444445</v>
      </c>
      <c r="S433" s="2">
        <v>45723</v>
      </c>
      <c r="U433">
        <v>88</v>
      </c>
      <c r="V433" s="4">
        <v>113080</v>
      </c>
      <c r="W433" t="s">
        <v>65</v>
      </c>
      <c r="X433" t="s">
        <v>784</v>
      </c>
      <c r="Y433">
        <v>0</v>
      </c>
      <c r="Z433" s="4">
        <v>100000</v>
      </c>
      <c r="AA433" s="4">
        <v>13080</v>
      </c>
      <c r="AB433">
        <v>0</v>
      </c>
      <c r="AC433">
        <v>0</v>
      </c>
      <c r="AD433">
        <v>0</v>
      </c>
      <c r="AG433">
        <v>0</v>
      </c>
      <c r="AP433" t="s">
        <v>785</v>
      </c>
      <c r="AQ433" t="s">
        <v>107</v>
      </c>
      <c r="AR433" t="s">
        <v>6638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BC433" t="s">
        <v>69</v>
      </c>
      <c r="BD433" t="s">
        <v>1696</v>
      </c>
      <c r="BE433">
        <v>0</v>
      </c>
      <c r="BG433" t="s">
        <v>107</v>
      </c>
      <c r="BJ433" t="s">
        <v>1697</v>
      </c>
    </row>
    <row r="434" spans="1:62" x14ac:dyDescent="0.35">
      <c r="A434" t="s">
        <v>818</v>
      </c>
      <c r="B434">
        <v>10000</v>
      </c>
      <c r="C434">
        <v>30000</v>
      </c>
      <c r="D434" s="2">
        <v>45729</v>
      </c>
      <c r="E434" t="s">
        <v>61</v>
      </c>
      <c r="F434" t="s">
        <v>819</v>
      </c>
      <c r="G434">
        <v>10639931052</v>
      </c>
      <c r="I434">
        <v>2</v>
      </c>
      <c r="J434" t="s">
        <v>63</v>
      </c>
      <c r="K434" s="8">
        <v>77</v>
      </c>
      <c r="L434" s="8" t="s">
        <v>6584</v>
      </c>
      <c r="M434" s="8" t="s">
        <v>6627</v>
      </c>
      <c r="N434" t="s">
        <v>127</v>
      </c>
      <c r="O434" t="s">
        <v>6567</v>
      </c>
      <c r="P434" s="4">
        <v>1057</v>
      </c>
      <c r="Q434">
        <f t="shared" si="101"/>
        <v>62.616666666666667</v>
      </c>
      <c r="R434">
        <f t="shared" si="102"/>
        <v>1.043611111111111</v>
      </c>
      <c r="S434" s="2">
        <v>45723</v>
      </c>
      <c r="U434">
        <v>88</v>
      </c>
      <c r="V434" s="4">
        <v>93016</v>
      </c>
      <c r="W434" t="s">
        <v>65</v>
      </c>
      <c r="X434" t="s">
        <v>820</v>
      </c>
      <c r="Y434">
        <v>0</v>
      </c>
      <c r="Z434" s="4">
        <v>80000</v>
      </c>
      <c r="AA434" s="4">
        <v>13016</v>
      </c>
      <c r="AB434">
        <v>0</v>
      </c>
      <c r="AC434">
        <v>0</v>
      </c>
      <c r="AD434">
        <v>0</v>
      </c>
      <c r="AG434">
        <v>0</v>
      </c>
      <c r="AP434" t="s">
        <v>821</v>
      </c>
      <c r="AQ434" t="s">
        <v>107</v>
      </c>
      <c r="AR434" t="s">
        <v>6638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C434" t="s">
        <v>69</v>
      </c>
      <c r="BD434" t="s">
        <v>822</v>
      </c>
      <c r="BE434">
        <v>0</v>
      </c>
      <c r="BG434" t="s">
        <v>107</v>
      </c>
      <c r="BJ434" t="s">
        <v>823</v>
      </c>
    </row>
    <row r="435" spans="1:62" x14ac:dyDescent="0.35">
      <c r="A435" t="s">
        <v>2039</v>
      </c>
      <c r="B435">
        <v>10000</v>
      </c>
      <c r="C435">
        <v>10000</v>
      </c>
      <c r="D435" s="2">
        <v>45728</v>
      </c>
      <c r="E435" t="s">
        <v>61</v>
      </c>
      <c r="F435" t="s">
        <v>2040</v>
      </c>
      <c r="G435" t="s">
        <v>1706</v>
      </c>
      <c r="I435">
        <v>1</v>
      </c>
      <c r="J435" t="s">
        <v>63</v>
      </c>
      <c r="K435" s="8">
        <v>75</v>
      </c>
      <c r="L435" t="s">
        <v>6602</v>
      </c>
      <c r="M435" s="8" t="s">
        <v>6630</v>
      </c>
      <c r="N435" t="s">
        <v>154</v>
      </c>
      <c r="O435" t="s">
        <v>6575</v>
      </c>
      <c r="P435" s="4">
        <v>18462</v>
      </c>
      <c r="S435" s="2">
        <v>45723</v>
      </c>
      <c r="U435">
        <v>13</v>
      </c>
      <c r="V435" s="4">
        <v>240006</v>
      </c>
      <c r="W435" t="s">
        <v>65</v>
      </c>
      <c r="X435" t="s">
        <v>460</v>
      </c>
      <c r="Y435">
        <v>0</v>
      </c>
      <c r="Z435" s="4">
        <v>240000</v>
      </c>
      <c r="AA435">
        <v>6</v>
      </c>
      <c r="AB435">
        <v>0</v>
      </c>
      <c r="AC435">
        <v>0</v>
      </c>
      <c r="AD435">
        <v>0</v>
      </c>
      <c r="AG435">
        <v>0</v>
      </c>
      <c r="AP435" t="s">
        <v>461</v>
      </c>
      <c r="AQ435" t="s">
        <v>175</v>
      </c>
      <c r="AR435" t="s">
        <v>6642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BC435" t="s">
        <v>69</v>
      </c>
      <c r="BD435" t="s">
        <v>2041</v>
      </c>
      <c r="BE435">
        <v>0</v>
      </c>
      <c r="BG435" t="s">
        <v>175</v>
      </c>
      <c r="BJ435" t="s">
        <v>2042</v>
      </c>
    </row>
    <row r="436" spans="1:62" x14ac:dyDescent="0.35">
      <c r="A436" t="s">
        <v>2043</v>
      </c>
      <c r="B436">
        <v>10000</v>
      </c>
      <c r="C436">
        <v>10000</v>
      </c>
      <c r="D436" s="2">
        <v>45726</v>
      </c>
      <c r="E436" t="s">
        <v>61</v>
      </c>
      <c r="F436" t="s">
        <v>2044</v>
      </c>
      <c r="G436" t="s">
        <v>1435</v>
      </c>
      <c r="I436">
        <v>1</v>
      </c>
      <c r="J436" t="s">
        <v>63</v>
      </c>
      <c r="K436" s="8">
        <v>60</v>
      </c>
      <c r="L436" s="8" t="s">
        <v>6590</v>
      </c>
      <c r="M436" s="8" t="s">
        <v>6630</v>
      </c>
      <c r="N436" t="s">
        <v>277</v>
      </c>
      <c r="O436" t="s">
        <v>6554</v>
      </c>
      <c r="P436" s="4">
        <v>2500</v>
      </c>
      <c r="Q436">
        <f>(P436/50)+45</f>
        <v>95</v>
      </c>
      <c r="R436">
        <f>Q436/60</f>
        <v>1.5833333333333333</v>
      </c>
      <c r="S436" s="2">
        <v>45723</v>
      </c>
      <c r="U436">
        <v>2</v>
      </c>
      <c r="V436" s="4">
        <v>5000</v>
      </c>
      <c r="W436" t="s">
        <v>65</v>
      </c>
      <c r="X436" t="s">
        <v>2045</v>
      </c>
      <c r="Y436">
        <v>0</v>
      </c>
      <c r="Z436" s="4">
        <v>5000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2046</v>
      </c>
      <c r="AQ436" t="s">
        <v>2047</v>
      </c>
      <c r="AR436" t="s">
        <v>6694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BC436" t="s">
        <v>69</v>
      </c>
      <c r="BD436" t="s">
        <v>2048</v>
      </c>
      <c r="BE436">
        <v>0</v>
      </c>
      <c r="BG436" t="s">
        <v>2047</v>
      </c>
      <c r="BJ436" t="s">
        <v>2049</v>
      </c>
    </row>
    <row r="437" spans="1:62" x14ac:dyDescent="0.35">
      <c r="A437" t="s">
        <v>2050</v>
      </c>
      <c r="B437">
        <v>10000</v>
      </c>
      <c r="C437">
        <v>10000</v>
      </c>
      <c r="D437" s="2">
        <v>45726</v>
      </c>
      <c r="E437" t="s">
        <v>61</v>
      </c>
      <c r="F437" t="s">
        <v>2051</v>
      </c>
      <c r="G437" t="s">
        <v>2052</v>
      </c>
      <c r="I437">
        <v>1</v>
      </c>
      <c r="J437" t="s">
        <v>63</v>
      </c>
      <c r="K437" s="8">
        <v>78</v>
      </c>
      <c r="L437" s="8" t="s">
        <v>6593</v>
      </c>
      <c r="M437" s="8" t="s">
        <v>6629</v>
      </c>
      <c r="N437" t="s">
        <v>188</v>
      </c>
      <c r="O437" t="s">
        <v>6410</v>
      </c>
      <c r="P437" s="4">
        <v>1200</v>
      </c>
      <c r="Q437">
        <f>(P437/40)+45</f>
        <v>75</v>
      </c>
      <c r="R437">
        <f>Q437/60</f>
        <v>1.25</v>
      </c>
      <c r="S437" s="2">
        <v>45723</v>
      </c>
      <c r="U437">
        <v>15</v>
      </c>
      <c r="V437" s="4">
        <v>18000</v>
      </c>
      <c r="W437" t="s">
        <v>65</v>
      </c>
      <c r="X437" t="s">
        <v>2053</v>
      </c>
      <c r="Y437">
        <v>0</v>
      </c>
      <c r="Z437" s="4">
        <v>18000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2054</v>
      </c>
      <c r="AQ437" t="s">
        <v>721</v>
      </c>
      <c r="AR437" t="s">
        <v>6662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C437" t="s">
        <v>69</v>
      </c>
      <c r="BD437" t="s">
        <v>2055</v>
      </c>
      <c r="BE437">
        <v>0</v>
      </c>
      <c r="BG437" t="s">
        <v>721</v>
      </c>
      <c r="BJ437" t="s">
        <v>2056</v>
      </c>
    </row>
    <row r="438" spans="1:62" x14ac:dyDescent="0.35">
      <c r="A438" t="s">
        <v>2057</v>
      </c>
      <c r="B438">
        <v>10000</v>
      </c>
      <c r="C438">
        <v>10000</v>
      </c>
      <c r="D438" s="2">
        <v>45723</v>
      </c>
      <c r="E438" t="s">
        <v>61</v>
      </c>
      <c r="F438" t="s">
        <v>2058</v>
      </c>
      <c r="G438" t="s">
        <v>1773</v>
      </c>
      <c r="I438">
        <v>1</v>
      </c>
      <c r="J438" t="s">
        <v>63</v>
      </c>
      <c r="K438" s="8">
        <v>32</v>
      </c>
      <c r="L438" s="8" t="s">
        <v>6607</v>
      </c>
      <c r="M438" s="8" t="s">
        <v>6629</v>
      </c>
      <c r="N438" t="s">
        <v>553</v>
      </c>
      <c r="O438" t="s">
        <v>6552</v>
      </c>
      <c r="P438" s="4">
        <v>5860</v>
      </c>
      <c r="S438" s="2">
        <v>45723</v>
      </c>
      <c r="U438">
        <v>1</v>
      </c>
      <c r="V438" s="4">
        <v>5860</v>
      </c>
      <c r="W438" t="s">
        <v>65</v>
      </c>
      <c r="X438" t="s">
        <v>2059</v>
      </c>
      <c r="Y438">
        <v>0</v>
      </c>
      <c r="Z438" s="4">
        <v>5360</v>
      </c>
      <c r="AA438">
        <v>500</v>
      </c>
      <c r="AB438">
        <v>0</v>
      </c>
      <c r="AC438">
        <v>0</v>
      </c>
      <c r="AD438">
        <v>0</v>
      </c>
      <c r="AG438">
        <v>0</v>
      </c>
      <c r="AP438" t="s">
        <v>2060</v>
      </c>
      <c r="AQ438" t="s">
        <v>116</v>
      </c>
      <c r="AR438" t="s">
        <v>6639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BC438" t="s">
        <v>69</v>
      </c>
      <c r="BD438" t="s">
        <v>2061</v>
      </c>
      <c r="BE438">
        <v>0</v>
      </c>
      <c r="BG438" t="s">
        <v>116</v>
      </c>
      <c r="BJ438" t="s">
        <v>557</v>
      </c>
    </row>
    <row r="439" spans="1:62" x14ac:dyDescent="0.35">
      <c r="A439" t="s">
        <v>2062</v>
      </c>
      <c r="B439">
        <v>10000</v>
      </c>
      <c r="C439">
        <v>10000</v>
      </c>
      <c r="D439" s="2">
        <v>45723</v>
      </c>
      <c r="E439" t="s">
        <v>61</v>
      </c>
      <c r="F439" t="s">
        <v>2058</v>
      </c>
      <c r="G439" t="s">
        <v>1773</v>
      </c>
      <c r="I439">
        <v>1</v>
      </c>
      <c r="J439" t="s">
        <v>63</v>
      </c>
      <c r="K439" s="8">
        <v>32</v>
      </c>
      <c r="L439" s="8" t="s">
        <v>6607</v>
      </c>
      <c r="M439" s="8" t="s">
        <v>6629</v>
      </c>
      <c r="N439" t="s">
        <v>553</v>
      </c>
      <c r="O439" t="s">
        <v>6552</v>
      </c>
      <c r="P439" s="4">
        <v>5860</v>
      </c>
      <c r="S439" s="2">
        <v>45723</v>
      </c>
      <c r="U439">
        <v>1</v>
      </c>
      <c r="V439" s="4">
        <v>5860</v>
      </c>
      <c r="W439" t="s">
        <v>65</v>
      </c>
      <c r="X439" t="s">
        <v>2059</v>
      </c>
      <c r="Y439">
        <v>0</v>
      </c>
      <c r="Z439" s="4">
        <v>5360</v>
      </c>
      <c r="AA439">
        <v>500</v>
      </c>
      <c r="AB439">
        <v>0</v>
      </c>
      <c r="AC439">
        <v>0</v>
      </c>
      <c r="AD439">
        <v>0</v>
      </c>
      <c r="AG439">
        <v>0</v>
      </c>
      <c r="AP439" t="s">
        <v>2060</v>
      </c>
      <c r="AQ439" t="s">
        <v>116</v>
      </c>
      <c r="AR439" t="s">
        <v>6639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C439" t="s">
        <v>69</v>
      </c>
      <c r="BD439" t="s">
        <v>2063</v>
      </c>
      <c r="BE439">
        <v>0</v>
      </c>
      <c r="BG439" t="s">
        <v>116</v>
      </c>
      <c r="BJ439" t="s">
        <v>1288</v>
      </c>
    </row>
    <row r="440" spans="1:62" x14ac:dyDescent="0.35">
      <c r="A440" t="s">
        <v>1785</v>
      </c>
      <c r="B440">
        <v>10000</v>
      </c>
      <c r="C440">
        <v>20000</v>
      </c>
      <c r="D440" s="2">
        <v>45726</v>
      </c>
      <c r="E440" t="s">
        <v>61</v>
      </c>
      <c r="F440" t="s">
        <v>1786</v>
      </c>
      <c r="G440" t="s">
        <v>1787</v>
      </c>
      <c r="I440">
        <v>2</v>
      </c>
      <c r="J440" t="s">
        <v>63</v>
      </c>
      <c r="K440" s="8">
        <v>71</v>
      </c>
      <c r="L440" s="8" t="s">
        <v>6588</v>
      </c>
      <c r="M440" s="8" t="s">
        <v>6630</v>
      </c>
      <c r="N440" t="s">
        <v>135</v>
      </c>
      <c r="O440" t="s">
        <v>6573</v>
      </c>
      <c r="P440" s="4">
        <v>16667</v>
      </c>
      <c r="S440" s="2">
        <v>45723</v>
      </c>
      <c r="U440">
        <v>3</v>
      </c>
      <c r="V440" s="4">
        <v>50001</v>
      </c>
      <c r="W440" t="s">
        <v>65</v>
      </c>
      <c r="X440" t="s">
        <v>1788</v>
      </c>
      <c r="Y440">
        <v>0</v>
      </c>
      <c r="Z440" s="4">
        <v>50000</v>
      </c>
      <c r="AA440">
        <v>1</v>
      </c>
      <c r="AB440">
        <v>0</v>
      </c>
      <c r="AC440">
        <v>0</v>
      </c>
      <c r="AD440">
        <v>0</v>
      </c>
      <c r="AG440">
        <v>0</v>
      </c>
      <c r="AP440" t="s">
        <v>1789</v>
      </c>
      <c r="AQ440" t="s">
        <v>562</v>
      </c>
      <c r="AR440" t="s">
        <v>6670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BC440" t="s">
        <v>69</v>
      </c>
      <c r="BD440" t="s">
        <v>1790</v>
      </c>
      <c r="BE440">
        <v>0</v>
      </c>
      <c r="BG440" t="s">
        <v>562</v>
      </c>
      <c r="BJ440" t="s">
        <v>1791</v>
      </c>
    </row>
    <row r="441" spans="1:62" x14ac:dyDescent="0.35">
      <c r="A441" t="s">
        <v>968</v>
      </c>
      <c r="B441">
        <v>10000</v>
      </c>
      <c r="C441">
        <v>20000</v>
      </c>
      <c r="D441" s="2">
        <v>45729</v>
      </c>
      <c r="E441" t="s">
        <v>61</v>
      </c>
      <c r="F441" t="s">
        <v>969</v>
      </c>
      <c r="G441">
        <v>10639931050</v>
      </c>
      <c r="I441">
        <v>2</v>
      </c>
      <c r="J441" t="s">
        <v>63</v>
      </c>
      <c r="K441" s="8">
        <v>77</v>
      </c>
      <c r="L441" s="8" t="s">
        <v>6584</v>
      </c>
      <c r="M441" s="8" t="s">
        <v>6627</v>
      </c>
      <c r="N441" t="s">
        <v>127</v>
      </c>
      <c r="O441" t="s">
        <v>6567</v>
      </c>
      <c r="P441" s="4">
        <v>2023</v>
      </c>
      <c r="Q441">
        <f t="shared" ref="Q441:Q443" si="103">(P441/60)+45</f>
        <v>78.716666666666669</v>
      </c>
      <c r="R441">
        <f t="shared" ref="R441:R443" si="104">Q441/60</f>
        <v>1.3119444444444446</v>
      </c>
      <c r="S441" s="2">
        <v>45723</v>
      </c>
      <c r="U441">
        <v>88</v>
      </c>
      <c r="V441" s="4">
        <v>178024</v>
      </c>
      <c r="W441" t="s">
        <v>65</v>
      </c>
      <c r="X441" t="s">
        <v>970</v>
      </c>
      <c r="Y441">
        <v>0</v>
      </c>
      <c r="Z441" s="4">
        <v>180000</v>
      </c>
      <c r="AA441" s="4">
        <v>-1976</v>
      </c>
      <c r="AB441">
        <v>0</v>
      </c>
      <c r="AC441">
        <v>0</v>
      </c>
      <c r="AD441">
        <v>0</v>
      </c>
      <c r="AG441">
        <v>0</v>
      </c>
      <c r="AP441" t="s">
        <v>971</v>
      </c>
      <c r="AQ441" t="s">
        <v>107</v>
      </c>
      <c r="AR441" t="s">
        <v>6638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C441" t="s">
        <v>69</v>
      </c>
      <c r="BD441" t="s">
        <v>972</v>
      </c>
      <c r="BE441">
        <v>0</v>
      </c>
      <c r="BG441" t="s">
        <v>107</v>
      </c>
      <c r="BJ441" t="s">
        <v>973</v>
      </c>
    </row>
    <row r="442" spans="1:62" x14ac:dyDescent="0.35">
      <c r="A442" t="s">
        <v>974</v>
      </c>
      <c r="B442">
        <v>10000</v>
      </c>
      <c r="C442">
        <v>20000</v>
      </c>
      <c r="D442" s="2">
        <v>45729</v>
      </c>
      <c r="E442" t="s">
        <v>61</v>
      </c>
      <c r="F442" t="s">
        <v>975</v>
      </c>
      <c r="G442">
        <v>10639931052</v>
      </c>
      <c r="I442">
        <v>2</v>
      </c>
      <c r="J442" t="s">
        <v>63</v>
      </c>
      <c r="K442" s="8">
        <v>77</v>
      </c>
      <c r="L442" s="8" t="s">
        <v>6584</v>
      </c>
      <c r="M442" s="8" t="s">
        <v>6627</v>
      </c>
      <c r="N442" t="s">
        <v>127</v>
      </c>
      <c r="O442" t="s">
        <v>6567</v>
      </c>
      <c r="P442" s="4">
        <v>2887</v>
      </c>
      <c r="Q442">
        <f t="shared" si="103"/>
        <v>93.116666666666674</v>
      </c>
      <c r="R442">
        <f t="shared" si="104"/>
        <v>1.5519444444444446</v>
      </c>
      <c r="S442" s="2">
        <v>45723</v>
      </c>
      <c r="U442">
        <v>88</v>
      </c>
      <c r="V442" s="4">
        <v>254056</v>
      </c>
      <c r="W442" t="s">
        <v>65</v>
      </c>
      <c r="X442" t="s">
        <v>773</v>
      </c>
      <c r="Y442">
        <v>0</v>
      </c>
      <c r="Z442" s="4">
        <v>230000</v>
      </c>
      <c r="AA442" s="4">
        <v>24056</v>
      </c>
      <c r="AB442">
        <v>0</v>
      </c>
      <c r="AC442">
        <v>0</v>
      </c>
      <c r="AD442">
        <v>0</v>
      </c>
      <c r="AG442">
        <v>0</v>
      </c>
      <c r="AP442" t="s">
        <v>774</v>
      </c>
      <c r="AQ442" t="s">
        <v>107</v>
      </c>
      <c r="AR442" t="s">
        <v>6638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BC442" t="s">
        <v>69</v>
      </c>
      <c r="BD442" t="s">
        <v>976</v>
      </c>
      <c r="BE442">
        <v>0</v>
      </c>
      <c r="BG442" t="s">
        <v>107</v>
      </c>
      <c r="BJ442" t="s">
        <v>977</v>
      </c>
    </row>
    <row r="443" spans="1:62" x14ac:dyDescent="0.35">
      <c r="A443" t="s">
        <v>978</v>
      </c>
      <c r="B443">
        <v>10000</v>
      </c>
      <c r="C443">
        <v>20000</v>
      </c>
      <c r="D443" s="2">
        <v>45729</v>
      </c>
      <c r="E443" t="s">
        <v>61</v>
      </c>
      <c r="F443" t="s">
        <v>979</v>
      </c>
      <c r="G443" t="s">
        <v>980</v>
      </c>
      <c r="I443">
        <v>2</v>
      </c>
      <c r="J443" t="s">
        <v>63</v>
      </c>
      <c r="K443" s="8">
        <v>77</v>
      </c>
      <c r="L443" s="8" t="s">
        <v>6584</v>
      </c>
      <c r="M443" s="8" t="s">
        <v>6627</v>
      </c>
      <c r="N443" t="s">
        <v>127</v>
      </c>
      <c r="O443" t="s">
        <v>6567</v>
      </c>
      <c r="P443" s="4">
        <v>3523</v>
      </c>
      <c r="Q443">
        <f t="shared" si="103"/>
        <v>103.71666666666667</v>
      </c>
      <c r="R443">
        <f t="shared" si="104"/>
        <v>1.7286111111111111</v>
      </c>
      <c r="S443" s="2">
        <v>45723</v>
      </c>
      <c r="U443">
        <v>88</v>
      </c>
      <c r="V443" s="4">
        <v>310024</v>
      </c>
      <c r="W443" t="s">
        <v>65</v>
      </c>
      <c r="X443" t="s">
        <v>981</v>
      </c>
      <c r="Y443">
        <v>0</v>
      </c>
      <c r="Z443" s="4">
        <v>310000</v>
      </c>
      <c r="AA443">
        <v>24</v>
      </c>
      <c r="AB443">
        <v>0</v>
      </c>
      <c r="AC443">
        <v>0</v>
      </c>
      <c r="AD443">
        <v>0</v>
      </c>
      <c r="AG443">
        <v>0</v>
      </c>
      <c r="AP443" t="s">
        <v>982</v>
      </c>
      <c r="AQ443" t="s">
        <v>107</v>
      </c>
      <c r="AR443" t="s">
        <v>6638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BC443" t="s">
        <v>69</v>
      </c>
      <c r="BD443" t="s">
        <v>983</v>
      </c>
      <c r="BE443">
        <v>0</v>
      </c>
      <c r="BG443" t="s">
        <v>107</v>
      </c>
      <c r="BJ443" t="s">
        <v>984</v>
      </c>
    </row>
    <row r="444" spans="1:62" x14ac:dyDescent="0.35">
      <c r="A444" t="s">
        <v>2064</v>
      </c>
      <c r="B444">
        <v>10000</v>
      </c>
      <c r="C444">
        <v>10000</v>
      </c>
      <c r="D444" s="2">
        <v>45723</v>
      </c>
      <c r="E444" t="s">
        <v>61</v>
      </c>
      <c r="F444" t="s">
        <v>1593</v>
      </c>
      <c r="G444" t="s">
        <v>1700</v>
      </c>
      <c r="I444">
        <v>1</v>
      </c>
      <c r="J444" t="s">
        <v>63</v>
      </c>
      <c r="K444" s="8">
        <v>94</v>
      </c>
      <c r="L444" s="8" t="s">
        <v>6599</v>
      </c>
      <c r="M444" s="8" t="s">
        <v>6629</v>
      </c>
      <c r="N444" t="s">
        <v>181</v>
      </c>
      <c r="O444" t="s">
        <v>6544</v>
      </c>
      <c r="P444" s="4">
        <v>10000</v>
      </c>
      <c r="S444" s="2">
        <v>45723</v>
      </c>
      <c r="U444">
        <v>4</v>
      </c>
      <c r="V444" s="4">
        <v>40000</v>
      </c>
      <c r="W444" t="s">
        <v>65</v>
      </c>
      <c r="X444" t="s">
        <v>1701</v>
      </c>
      <c r="Y444">
        <v>0</v>
      </c>
      <c r="Z444" s="4">
        <v>40000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1702</v>
      </c>
      <c r="AQ444" t="s">
        <v>364</v>
      </c>
      <c r="AR444" t="s">
        <v>6653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C444" t="s">
        <v>69</v>
      </c>
      <c r="BD444" t="s">
        <v>2065</v>
      </c>
      <c r="BE444">
        <v>0</v>
      </c>
      <c r="BG444" t="s">
        <v>364</v>
      </c>
      <c r="BJ444" t="s">
        <v>2066</v>
      </c>
    </row>
    <row r="445" spans="1:62" x14ac:dyDescent="0.35">
      <c r="A445" t="s">
        <v>2067</v>
      </c>
      <c r="B445">
        <v>10000</v>
      </c>
      <c r="C445">
        <v>10000</v>
      </c>
      <c r="D445" s="2">
        <v>45726</v>
      </c>
      <c r="E445" t="s">
        <v>61</v>
      </c>
      <c r="F445" t="s">
        <v>2068</v>
      </c>
      <c r="G445" t="s">
        <v>2069</v>
      </c>
      <c r="I445">
        <v>1</v>
      </c>
      <c r="J445" t="s">
        <v>63</v>
      </c>
      <c r="K445" s="8">
        <v>94</v>
      </c>
      <c r="L445" s="8" t="s">
        <v>6599</v>
      </c>
      <c r="M445" s="8" t="s">
        <v>6629</v>
      </c>
      <c r="N445" t="s">
        <v>181</v>
      </c>
      <c r="O445" t="s">
        <v>6544</v>
      </c>
      <c r="P445" s="4">
        <v>10000</v>
      </c>
      <c r="S445" s="2">
        <v>45723</v>
      </c>
      <c r="U445">
        <v>4</v>
      </c>
      <c r="V445" s="4">
        <v>40000</v>
      </c>
      <c r="W445" t="s">
        <v>65</v>
      </c>
      <c r="X445" t="s">
        <v>1701</v>
      </c>
      <c r="Y445">
        <v>0</v>
      </c>
      <c r="Z445" s="4">
        <v>40000</v>
      </c>
      <c r="AA445">
        <v>0</v>
      </c>
      <c r="AB445">
        <v>0</v>
      </c>
      <c r="AC445">
        <v>0</v>
      </c>
      <c r="AD445">
        <v>0</v>
      </c>
      <c r="AG445">
        <v>0</v>
      </c>
      <c r="AP445" t="s">
        <v>1702</v>
      </c>
      <c r="AQ445" t="s">
        <v>364</v>
      </c>
      <c r="AR445" t="s">
        <v>6653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BC445" t="s">
        <v>69</v>
      </c>
      <c r="BD445" t="s">
        <v>2070</v>
      </c>
      <c r="BE445">
        <v>0</v>
      </c>
      <c r="BG445" t="s">
        <v>364</v>
      </c>
      <c r="BJ445" t="s">
        <v>2071</v>
      </c>
    </row>
    <row r="446" spans="1:62" x14ac:dyDescent="0.35">
      <c r="A446" t="s">
        <v>1413</v>
      </c>
      <c r="B446">
        <v>10000</v>
      </c>
      <c r="C446">
        <v>20000</v>
      </c>
      <c r="D446" s="2">
        <v>45728</v>
      </c>
      <c r="E446" t="s">
        <v>61</v>
      </c>
      <c r="F446" s="3">
        <v>0.47562500000000002</v>
      </c>
      <c r="G446" t="s">
        <v>1414</v>
      </c>
      <c r="I446">
        <v>1</v>
      </c>
      <c r="J446" t="s">
        <v>63</v>
      </c>
      <c r="K446" s="8">
        <v>71</v>
      </c>
      <c r="L446" s="8" t="s">
        <v>6588</v>
      </c>
      <c r="M446" s="8" t="s">
        <v>6630</v>
      </c>
      <c r="N446" t="s">
        <v>573</v>
      </c>
      <c r="O446" t="s">
        <v>6547</v>
      </c>
      <c r="P446" s="4">
        <v>2698</v>
      </c>
      <c r="S446" s="2">
        <v>45723</v>
      </c>
      <c r="U446">
        <v>1344</v>
      </c>
      <c r="V446" s="4">
        <v>3626112</v>
      </c>
      <c r="W446" t="s">
        <v>65</v>
      </c>
      <c r="X446" t="s">
        <v>1415</v>
      </c>
      <c r="Y446">
        <v>0</v>
      </c>
      <c r="Z446" s="4">
        <v>3238689</v>
      </c>
      <c r="AA446" s="4">
        <v>387423</v>
      </c>
      <c r="AB446">
        <v>0</v>
      </c>
      <c r="AC446">
        <v>0</v>
      </c>
      <c r="AD446">
        <v>0</v>
      </c>
      <c r="AG446">
        <v>0</v>
      </c>
      <c r="AP446" t="s">
        <v>1416</v>
      </c>
      <c r="AQ446" t="s">
        <v>481</v>
      </c>
      <c r="AR446" t="s">
        <v>6655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C446" t="s">
        <v>69</v>
      </c>
      <c r="BD446" t="s">
        <v>1417</v>
      </c>
      <c r="BE446">
        <v>0</v>
      </c>
      <c r="BG446" t="s">
        <v>481</v>
      </c>
      <c r="BJ446" t="s">
        <v>1418</v>
      </c>
    </row>
    <row r="447" spans="1:62" x14ac:dyDescent="0.35">
      <c r="A447" t="s">
        <v>2072</v>
      </c>
      <c r="B447">
        <v>10000</v>
      </c>
      <c r="C447">
        <v>20000</v>
      </c>
      <c r="D447" s="2">
        <v>45726</v>
      </c>
      <c r="E447" t="s">
        <v>61</v>
      </c>
      <c r="F447" t="s">
        <v>2073</v>
      </c>
      <c r="G447" t="s">
        <v>2074</v>
      </c>
      <c r="I447">
        <v>2</v>
      </c>
      <c r="J447" t="s">
        <v>63</v>
      </c>
      <c r="K447" s="8">
        <v>105</v>
      </c>
      <c r="L447" s="8" t="s">
        <v>6612</v>
      </c>
      <c r="M447" s="8" t="s">
        <v>6632</v>
      </c>
      <c r="N447" t="s">
        <v>424</v>
      </c>
      <c r="O447" t="s">
        <v>6570</v>
      </c>
      <c r="P447">
        <v>600</v>
      </c>
      <c r="S447" s="2">
        <v>45723</v>
      </c>
      <c r="U447">
        <v>1</v>
      </c>
      <c r="V447">
        <v>600</v>
      </c>
      <c r="W447" t="s">
        <v>65</v>
      </c>
      <c r="X447" t="s">
        <v>2075</v>
      </c>
      <c r="Y447">
        <v>0</v>
      </c>
      <c r="Z447">
        <v>500</v>
      </c>
      <c r="AA447">
        <v>100</v>
      </c>
      <c r="AB447">
        <v>0</v>
      </c>
      <c r="AC447">
        <v>0</v>
      </c>
      <c r="AD447">
        <v>0</v>
      </c>
      <c r="AG447">
        <v>0</v>
      </c>
      <c r="AP447" t="s">
        <v>2076</v>
      </c>
      <c r="AQ447" t="s">
        <v>1431</v>
      </c>
      <c r="AR447" t="s">
        <v>6679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BC447" t="s">
        <v>69</v>
      </c>
      <c r="BD447" t="s">
        <v>2077</v>
      </c>
      <c r="BE447">
        <v>0</v>
      </c>
      <c r="BG447" t="s">
        <v>1431</v>
      </c>
      <c r="BJ447" t="s">
        <v>1433</v>
      </c>
    </row>
    <row r="448" spans="1:62" x14ac:dyDescent="0.35">
      <c r="A448" t="s">
        <v>2078</v>
      </c>
      <c r="B448">
        <v>10000</v>
      </c>
      <c r="C448">
        <v>20000</v>
      </c>
      <c r="D448" s="2">
        <v>45726</v>
      </c>
      <c r="E448" t="s">
        <v>61</v>
      </c>
      <c r="F448" s="3">
        <v>0.47541666666666665</v>
      </c>
      <c r="G448" t="s">
        <v>2074</v>
      </c>
      <c r="I448">
        <v>2</v>
      </c>
      <c r="J448" t="s">
        <v>63</v>
      </c>
      <c r="K448" s="8">
        <v>105</v>
      </c>
      <c r="L448" s="8" t="s">
        <v>6612</v>
      </c>
      <c r="M448" s="8" t="s">
        <v>6632</v>
      </c>
      <c r="N448" t="s">
        <v>424</v>
      </c>
      <c r="O448" t="s">
        <v>6570</v>
      </c>
      <c r="P448" s="4">
        <v>1200</v>
      </c>
      <c r="S448" s="2">
        <v>45723</v>
      </c>
      <c r="U448">
        <v>1</v>
      </c>
      <c r="V448" s="4">
        <v>1200</v>
      </c>
      <c r="W448" t="s">
        <v>65</v>
      </c>
      <c r="X448" t="s">
        <v>2079</v>
      </c>
      <c r="Y448">
        <v>0</v>
      </c>
      <c r="Z448" s="4">
        <v>1000</v>
      </c>
      <c r="AA448">
        <v>200</v>
      </c>
      <c r="AB448">
        <v>0</v>
      </c>
      <c r="AC448">
        <v>0</v>
      </c>
      <c r="AD448">
        <v>0</v>
      </c>
      <c r="AG448">
        <v>0</v>
      </c>
      <c r="AP448" t="s">
        <v>2080</v>
      </c>
      <c r="AQ448" t="s">
        <v>1431</v>
      </c>
      <c r="AR448" t="s">
        <v>6679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C448" t="s">
        <v>69</v>
      </c>
      <c r="BD448" t="s">
        <v>2081</v>
      </c>
      <c r="BE448">
        <v>0</v>
      </c>
      <c r="BG448" t="s">
        <v>1431</v>
      </c>
      <c r="BJ448" t="s">
        <v>1433</v>
      </c>
    </row>
    <row r="449" spans="1:62" x14ac:dyDescent="0.35">
      <c r="A449" t="s">
        <v>2082</v>
      </c>
      <c r="B449">
        <v>10000</v>
      </c>
      <c r="C449">
        <v>20000</v>
      </c>
      <c r="D449" s="2">
        <v>45726</v>
      </c>
      <c r="E449" t="s">
        <v>61</v>
      </c>
      <c r="F449" s="3">
        <v>0.47327546296296297</v>
      </c>
      <c r="G449" t="s">
        <v>2074</v>
      </c>
      <c r="I449">
        <v>2</v>
      </c>
      <c r="J449" t="s">
        <v>63</v>
      </c>
      <c r="K449" s="8">
        <v>105</v>
      </c>
      <c r="L449" s="8" t="s">
        <v>6612</v>
      </c>
      <c r="M449" s="8" t="s">
        <v>6632</v>
      </c>
      <c r="N449" t="s">
        <v>424</v>
      </c>
      <c r="O449" t="s">
        <v>6570</v>
      </c>
      <c r="P449">
        <v>600</v>
      </c>
      <c r="S449" s="2">
        <v>45723</v>
      </c>
      <c r="U449">
        <v>1</v>
      </c>
      <c r="V449">
        <v>600</v>
      </c>
      <c r="W449" t="s">
        <v>65</v>
      </c>
      <c r="X449" t="s">
        <v>2083</v>
      </c>
      <c r="Y449">
        <v>0</v>
      </c>
      <c r="Z449">
        <v>500</v>
      </c>
      <c r="AA449">
        <v>100</v>
      </c>
      <c r="AB449">
        <v>0</v>
      </c>
      <c r="AC449">
        <v>0</v>
      </c>
      <c r="AD449">
        <v>0</v>
      </c>
      <c r="AG449">
        <v>0</v>
      </c>
      <c r="AP449" t="s">
        <v>2084</v>
      </c>
      <c r="AQ449" t="s">
        <v>1431</v>
      </c>
      <c r="AR449" t="s">
        <v>6679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BC449" t="s">
        <v>69</v>
      </c>
      <c r="BD449" t="s">
        <v>2085</v>
      </c>
      <c r="BE449">
        <v>0</v>
      </c>
      <c r="BG449" t="s">
        <v>1431</v>
      </c>
      <c r="BJ449" t="s">
        <v>1433</v>
      </c>
    </row>
    <row r="450" spans="1:62" x14ac:dyDescent="0.35">
      <c r="A450" t="s">
        <v>1427</v>
      </c>
      <c r="B450">
        <v>10000</v>
      </c>
      <c r="C450">
        <v>20000</v>
      </c>
      <c r="D450" s="2">
        <v>45726</v>
      </c>
      <c r="E450" t="s">
        <v>61</v>
      </c>
      <c r="F450" s="3">
        <v>0.47584490740740742</v>
      </c>
      <c r="G450" t="s">
        <v>1428</v>
      </c>
      <c r="I450">
        <v>2</v>
      </c>
      <c r="J450" t="s">
        <v>63</v>
      </c>
      <c r="K450" s="8">
        <v>105</v>
      </c>
      <c r="L450" s="8" t="s">
        <v>6612</v>
      </c>
      <c r="M450" s="8" t="s">
        <v>6632</v>
      </c>
      <c r="N450" t="s">
        <v>424</v>
      </c>
      <c r="O450" t="s">
        <v>6570</v>
      </c>
      <c r="P450" s="4">
        <v>1200</v>
      </c>
      <c r="S450" s="2">
        <v>45723</v>
      </c>
      <c r="U450">
        <v>1</v>
      </c>
      <c r="V450" s="4">
        <v>1200</v>
      </c>
      <c r="W450" t="s">
        <v>65</v>
      </c>
      <c r="X450" t="s">
        <v>1429</v>
      </c>
      <c r="Y450">
        <v>0</v>
      </c>
      <c r="Z450" s="4">
        <v>1000</v>
      </c>
      <c r="AA450">
        <v>200</v>
      </c>
      <c r="AB450">
        <v>0</v>
      </c>
      <c r="AC450">
        <v>0</v>
      </c>
      <c r="AD450">
        <v>0</v>
      </c>
      <c r="AG450">
        <v>0</v>
      </c>
      <c r="AP450" t="s">
        <v>1430</v>
      </c>
      <c r="AQ450" t="s">
        <v>1431</v>
      </c>
      <c r="AR450" t="s">
        <v>6679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C450" t="s">
        <v>69</v>
      </c>
      <c r="BD450" t="s">
        <v>1432</v>
      </c>
      <c r="BE450">
        <v>0</v>
      </c>
      <c r="BG450" t="s">
        <v>1431</v>
      </c>
      <c r="BJ450" t="s">
        <v>1433</v>
      </c>
    </row>
    <row r="451" spans="1:62" x14ac:dyDescent="0.35">
      <c r="A451" t="s">
        <v>1014</v>
      </c>
      <c r="B451">
        <v>10000</v>
      </c>
      <c r="C451">
        <v>20000</v>
      </c>
      <c r="D451" s="2">
        <v>45726</v>
      </c>
      <c r="E451" t="s">
        <v>61</v>
      </c>
      <c r="F451" t="s">
        <v>1015</v>
      </c>
      <c r="G451" s="6">
        <v>925200</v>
      </c>
      <c r="I451">
        <v>2</v>
      </c>
      <c r="J451" t="s">
        <v>63</v>
      </c>
      <c r="K451" s="8">
        <v>92</v>
      </c>
      <c r="L451" s="8" t="s">
        <v>6614</v>
      </c>
      <c r="M451" s="8" t="s">
        <v>6633</v>
      </c>
      <c r="N451" t="s">
        <v>424</v>
      </c>
      <c r="O451" t="s">
        <v>6570</v>
      </c>
      <c r="P451" s="4">
        <v>3200</v>
      </c>
      <c r="S451" s="2">
        <v>45723</v>
      </c>
      <c r="U451">
        <v>1</v>
      </c>
      <c r="V451" s="4">
        <v>3200</v>
      </c>
      <c r="W451" t="s">
        <v>65</v>
      </c>
      <c r="X451">
        <v>10258252000001</v>
      </c>
      <c r="Y451">
        <v>0</v>
      </c>
      <c r="Z451" s="4">
        <v>3000</v>
      </c>
      <c r="AA451">
        <v>200</v>
      </c>
      <c r="AB451">
        <v>0</v>
      </c>
      <c r="AC451">
        <v>0</v>
      </c>
      <c r="AD451">
        <v>0</v>
      </c>
      <c r="AG451">
        <v>0</v>
      </c>
      <c r="AP451">
        <v>1025825200</v>
      </c>
      <c r="AQ451" t="s">
        <v>1016</v>
      </c>
      <c r="AR451" t="s">
        <v>6669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BC451" t="s">
        <v>69</v>
      </c>
      <c r="BD451" t="s">
        <v>1017</v>
      </c>
      <c r="BE451">
        <v>0</v>
      </c>
      <c r="BG451" t="s">
        <v>1016</v>
      </c>
      <c r="BJ451" t="s">
        <v>1018</v>
      </c>
    </row>
    <row r="452" spans="1:62" x14ac:dyDescent="0.35">
      <c r="A452" t="s">
        <v>1056</v>
      </c>
      <c r="B452">
        <v>10000</v>
      </c>
      <c r="C452">
        <v>20000</v>
      </c>
      <c r="D452" s="2">
        <v>45740</v>
      </c>
      <c r="E452" t="s">
        <v>61</v>
      </c>
      <c r="F452" t="s">
        <v>2086</v>
      </c>
      <c r="G452">
        <v>10639931050</v>
      </c>
      <c r="I452">
        <v>2</v>
      </c>
      <c r="J452" t="s">
        <v>63</v>
      </c>
      <c r="K452" s="8">
        <v>77</v>
      </c>
      <c r="L452" s="8" t="s">
        <v>6584</v>
      </c>
      <c r="M452" s="8" t="s">
        <v>6627</v>
      </c>
      <c r="N452" t="s">
        <v>127</v>
      </c>
      <c r="O452" t="s">
        <v>6567</v>
      </c>
      <c r="P452">
        <v>523</v>
      </c>
      <c r="Q452">
        <f>(P452/60)+45</f>
        <v>53.716666666666669</v>
      </c>
      <c r="R452">
        <f>Q452/60</f>
        <v>0.89527777777777784</v>
      </c>
      <c r="S452" s="2">
        <v>45723</v>
      </c>
      <c r="U452">
        <v>88</v>
      </c>
      <c r="V452" s="4">
        <v>46024</v>
      </c>
      <c r="W452" t="s">
        <v>65</v>
      </c>
      <c r="X452" t="s">
        <v>1057</v>
      </c>
      <c r="Y452">
        <v>0</v>
      </c>
      <c r="Z452" s="4">
        <v>30000</v>
      </c>
      <c r="AA452" s="4">
        <v>16024</v>
      </c>
      <c r="AB452">
        <v>0</v>
      </c>
      <c r="AC452">
        <v>0</v>
      </c>
      <c r="AD452">
        <v>0</v>
      </c>
      <c r="AG452">
        <v>0</v>
      </c>
      <c r="AP452" t="s">
        <v>1058</v>
      </c>
      <c r="AQ452" t="s">
        <v>107</v>
      </c>
      <c r="AR452" t="s">
        <v>6638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BC452" t="s">
        <v>69</v>
      </c>
      <c r="BD452" t="s">
        <v>1059</v>
      </c>
      <c r="BE452">
        <v>0</v>
      </c>
      <c r="BG452" t="s">
        <v>107</v>
      </c>
      <c r="BJ452" t="s">
        <v>626</v>
      </c>
    </row>
    <row r="453" spans="1:62" x14ac:dyDescent="0.35">
      <c r="A453" t="s">
        <v>2087</v>
      </c>
      <c r="B453">
        <v>10000</v>
      </c>
      <c r="C453">
        <v>10000</v>
      </c>
      <c r="D453" s="2">
        <v>45726</v>
      </c>
      <c r="E453" t="s">
        <v>61</v>
      </c>
      <c r="F453" t="s">
        <v>2088</v>
      </c>
      <c r="G453" t="s">
        <v>2089</v>
      </c>
      <c r="I453">
        <v>1</v>
      </c>
      <c r="J453" t="s">
        <v>63</v>
      </c>
      <c r="K453" s="8">
        <v>31</v>
      </c>
      <c r="L453" s="8" t="s">
        <v>6595</v>
      </c>
      <c r="M453" s="8" t="s">
        <v>6629</v>
      </c>
      <c r="N453" t="s">
        <v>1311</v>
      </c>
      <c r="O453" t="s">
        <v>6491</v>
      </c>
      <c r="P453" s="4">
        <v>2500</v>
      </c>
      <c r="Q453">
        <f t="shared" ref="Q453:Q456" si="105">(P453/40)+45</f>
        <v>107.5</v>
      </c>
      <c r="R453">
        <f t="shared" ref="R453:R456" si="106">Q453/60</f>
        <v>1.7916666666666667</v>
      </c>
      <c r="S453" s="2">
        <v>45723</v>
      </c>
      <c r="U453">
        <v>4</v>
      </c>
      <c r="V453" s="4">
        <v>10000</v>
      </c>
      <c r="W453" t="s">
        <v>65</v>
      </c>
      <c r="X453">
        <v>200129790001</v>
      </c>
      <c r="Y453">
        <v>0</v>
      </c>
      <c r="Z453" s="4">
        <v>10000</v>
      </c>
      <c r="AA453">
        <v>0</v>
      </c>
      <c r="AB453">
        <v>0</v>
      </c>
      <c r="AC453">
        <v>0</v>
      </c>
      <c r="AD453">
        <v>0</v>
      </c>
      <c r="AG453">
        <v>0</v>
      </c>
      <c r="AP453">
        <v>20012979</v>
      </c>
      <c r="AQ453" t="s">
        <v>182</v>
      </c>
      <c r="AR453" t="s">
        <v>6643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BC453" t="s">
        <v>69</v>
      </c>
      <c r="BD453" t="s">
        <v>2090</v>
      </c>
      <c r="BE453">
        <v>0</v>
      </c>
      <c r="BG453" t="s">
        <v>182</v>
      </c>
      <c r="BJ453" t="s">
        <v>2091</v>
      </c>
    </row>
    <row r="454" spans="1:62" x14ac:dyDescent="0.35">
      <c r="A454" t="s">
        <v>2087</v>
      </c>
      <c r="B454">
        <v>20000</v>
      </c>
      <c r="C454">
        <v>10000</v>
      </c>
      <c r="D454" s="2">
        <v>45726</v>
      </c>
      <c r="E454" t="s">
        <v>61</v>
      </c>
      <c r="F454" t="s">
        <v>2088</v>
      </c>
      <c r="G454" t="s">
        <v>2089</v>
      </c>
      <c r="I454">
        <v>1</v>
      </c>
      <c r="J454" t="s">
        <v>63</v>
      </c>
      <c r="K454" s="8">
        <v>31</v>
      </c>
      <c r="L454" s="8" t="s">
        <v>6595</v>
      </c>
      <c r="M454" s="8" t="s">
        <v>6629</v>
      </c>
      <c r="N454" t="s">
        <v>1311</v>
      </c>
      <c r="O454" t="s">
        <v>6491</v>
      </c>
      <c r="P454" s="4">
        <v>2500</v>
      </c>
      <c r="Q454">
        <f t="shared" si="105"/>
        <v>107.5</v>
      </c>
      <c r="R454">
        <f t="shared" si="106"/>
        <v>1.7916666666666667</v>
      </c>
      <c r="S454" s="2">
        <v>45723</v>
      </c>
      <c r="U454">
        <v>4</v>
      </c>
      <c r="V454" s="4">
        <v>10000</v>
      </c>
      <c r="W454" t="s">
        <v>65</v>
      </c>
      <c r="X454">
        <v>200129790001</v>
      </c>
      <c r="Y454">
        <v>0</v>
      </c>
      <c r="Z454" s="4">
        <v>10000</v>
      </c>
      <c r="AA454">
        <v>0</v>
      </c>
      <c r="AB454">
        <v>0</v>
      </c>
      <c r="AC454">
        <v>0</v>
      </c>
      <c r="AD454">
        <v>0</v>
      </c>
      <c r="AG454">
        <v>0</v>
      </c>
      <c r="AP454">
        <v>20012979</v>
      </c>
      <c r="AQ454" t="s">
        <v>182</v>
      </c>
      <c r="AR454" t="s">
        <v>6643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C454" t="s">
        <v>69</v>
      </c>
      <c r="BD454" t="s">
        <v>2090</v>
      </c>
      <c r="BE454">
        <v>0</v>
      </c>
      <c r="BG454" t="s">
        <v>182</v>
      </c>
      <c r="BJ454" t="s">
        <v>2091</v>
      </c>
    </row>
    <row r="455" spans="1:62" x14ac:dyDescent="0.35">
      <c r="A455" t="s">
        <v>2092</v>
      </c>
      <c r="B455">
        <v>10000</v>
      </c>
      <c r="C455">
        <v>10000</v>
      </c>
      <c r="D455" s="2">
        <v>45734</v>
      </c>
      <c r="E455" t="s">
        <v>61</v>
      </c>
      <c r="F455" t="s">
        <v>2093</v>
      </c>
      <c r="G455" t="s">
        <v>2094</v>
      </c>
      <c r="I455">
        <v>1</v>
      </c>
      <c r="J455" t="s">
        <v>63</v>
      </c>
      <c r="K455" s="8">
        <v>29</v>
      </c>
      <c r="L455" s="8" t="s">
        <v>6595</v>
      </c>
      <c r="M455" s="8" t="s">
        <v>6629</v>
      </c>
      <c r="N455" t="s">
        <v>249</v>
      </c>
      <c r="O455" t="s">
        <v>6500</v>
      </c>
      <c r="P455" s="4">
        <v>80000</v>
      </c>
      <c r="Q455">
        <f t="shared" si="105"/>
        <v>2045</v>
      </c>
      <c r="R455">
        <f t="shared" si="106"/>
        <v>34.083333333333336</v>
      </c>
      <c r="S455" s="2">
        <v>45723</v>
      </c>
      <c r="U455">
        <v>28</v>
      </c>
      <c r="V455" s="4">
        <v>2240000</v>
      </c>
      <c r="W455" t="s">
        <v>65</v>
      </c>
      <c r="X455">
        <v>6622480001</v>
      </c>
      <c r="Y455">
        <v>0</v>
      </c>
      <c r="Z455" s="4">
        <v>2218146</v>
      </c>
      <c r="AA455" s="4">
        <v>21854</v>
      </c>
      <c r="AB455">
        <v>0</v>
      </c>
      <c r="AC455">
        <v>0</v>
      </c>
      <c r="AD455">
        <v>0</v>
      </c>
      <c r="AG455">
        <v>0</v>
      </c>
      <c r="AP455">
        <v>662248</v>
      </c>
      <c r="AQ455" t="s">
        <v>481</v>
      </c>
      <c r="AR455" t="s">
        <v>6655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C455" t="s">
        <v>69</v>
      </c>
      <c r="BD455" t="s">
        <v>2095</v>
      </c>
      <c r="BE455">
        <v>0</v>
      </c>
      <c r="BG455" t="s">
        <v>481</v>
      </c>
      <c r="BJ455" t="s">
        <v>2096</v>
      </c>
    </row>
    <row r="456" spans="1:62" x14ac:dyDescent="0.35">
      <c r="A456" t="s">
        <v>2097</v>
      </c>
      <c r="B456">
        <v>10000</v>
      </c>
      <c r="C456">
        <v>10000</v>
      </c>
      <c r="D456" s="2">
        <v>45726</v>
      </c>
      <c r="E456" t="s">
        <v>61</v>
      </c>
      <c r="F456" t="s">
        <v>2051</v>
      </c>
      <c r="G456" t="s">
        <v>2052</v>
      </c>
      <c r="I456">
        <v>1</v>
      </c>
      <c r="J456" t="s">
        <v>63</v>
      </c>
      <c r="K456" s="8">
        <v>78</v>
      </c>
      <c r="L456" s="8" t="s">
        <v>6593</v>
      </c>
      <c r="M456" s="8" t="s">
        <v>6629</v>
      </c>
      <c r="N456" t="s">
        <v>188</v>
      </c>
      <c r="O456" t="s">
        <v>6410</v>
      </c>
      <c r="P456">
        <v>800</v>
      </c>
      <c r="Q456">
        <f t="shared" si="105"/>
        <v>65</v>
      </c>
      <c r="R456">
        <f t="shared" si="106"/>
        <v>1.0833333333333333</v>
      </c>
      <c r="S456" s="2">
        <v>45723</v>
      </c>
      <c r="U456">
        <v>15</v>
      </c>
      <c r="V456" s="4">
        <v>12000</v>
      </c>
      <c r="W456" t="s">
        <v>65</v>
      </c>
      <c r="X456" t="s">
        <v>2053</v>
      </c>
      <c r="Y456">
        <v>0</v>
      </c>
      <c r="Z456" s="4">
        <v>12000</v>
      </c>
      <c r="AA456">
        <v>0</v>
      </c>
      <c r="AB456">
        <v>0</v>
      </c>
      <c r="AC456">
        <v>0</v>
      </c>
      <c r="AD456">
        <v>0</v>
      </c>
      <c r="AG456">
        <v>0</v>
      </c>
      <c r="AP456" t="s">
        <v>2054</v>
      </c>
      <c r="AQ456" t="s">
        <v>721</v>
      </c>
      <c r="AR456" t="s">
        <v>6662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C456" t="s">
        <v>69</v>
      </c>
      <c r="BD456" t="s">
        <v>2098</v>
      </c>
      <c r="BE456">
        <v>0</v>
      </c>
      <c r="BG456" t="s">
        <v>721</v>
      </c>
      <c r="BJ456" t="s">
        <v>723</v>
      </c>
    </row>
    <row r="457" spans="1:62" x14ac:dyDescent="0.35">
      <c r="A457" t="s">
        <v>2099</v>
      </c>
      <c r="B457">
        <v>10000</v>
      </c>
      <c r="C457">
        <v>10000</v>
      </c>
      <c r="D457" s="2">
        <v>45723</v>
      </c>
      <c r="E457" t="s">
        <v>61</v>
      </c>
      <c r="F457" t="s">
        <v>2100</v>
      </c>
      <c r="G457" t="s">
        <v>2101</v>
      </c>
      <c r="I457">
        <v>1</v>
      </c>
      <c r="J457" t="s">
        <v>63</v>
      </c>
      <c r="K457" s="8">
        <v>61</v>
      </c>
      <c r="L457" s="8" t="s">
        <v>6594</v>
      </c>
      <c r="M457" s="8" t="s">
        <v>6629</v>
      </c>
      <c r="N457" t="s">
        <v>216</v>
      </c>
      <c r="O457" t="s">
        <v>6394</v>
      </c>
      <c r="P457">
        <v>100</v>
      </c>
      <c r="Q457">
        <f t="shared" ref="Q457:Q458" si="107">(P457/50)+45</f>
        <v>47</v>
      </c>
      <c r="R457">
        <f t="shared" ref="R457:R458" si="108">Q457/60</f>
        <v>0.78333333333333333</v>
      </c>
      <c r="S457" s="2">
        <v>45723</v>
      </c>
      <c r="U457">
        <v>1</v>
      </c>
      <c r="V457">
        <v>100</v>
      </c>
      <c r="W457" t="s">
        <v>65</v>
      </c>
      <c r="X457">
        <v>107353950001</v>
      </c>
      <c r="Y457">
        <v>0</v>
      </c>
      <c r="Z457">
        <v>100</v>
      </c>
      <c r="AA457">
        <v>0</v>
      </c>
      <c r="AB457">
        <v>0</v>
      </c>
      <c r="AC457">
        <v>0</v>
      </c>
      <c r="AD457">
        <v>0</v>
      </c>
      <c r="AG457">
        <v>0</v>
      </c>
      <c r="AP457">
        <v>10735395</v>
      </c>
      <c r="AQ457" t="s">
        <v>487</v>
      </c>
      <c r="AR457" t="s">
        <v>6656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C457" t="s">
        <v>69</v>
      </c>
      <c r="BD457" t="s">
        <v>2102</v>
      </c>
      <c r="BE457">
        <v>0</v>
      </c>
      <c r="BG457" t="s">
        <v>487</v>
      </c>
      <c r="BJ457" t="s">
        <v>1092</v>
      </c>
    </row>
    <row r="458" spans="1:62" x14ac:dyDescent="0.35">
      <c r="A458" t="s">
        <v>2103</v>
      </c>
      <c r="B458">
        <v>10000</v>
      </c>
      <c r="C458">
        <v>10000</v>
      </c>
      <c r="D458" s="2">
        <v>45723</v>
      </c>
      <c r="E458" t="s">
        <v>61</v>
      </c>
      <c r="F458" t="s">
        <v>2100</v>
      </c>
      <c r="G458" t="s">
        <v>2101</v>
      </c>
      <c r="I458">
        <v>1</v>
      </c>
      <c r="J458" t="s">
        <v>63</v>
      </c>
      <c r="K458" s="8">
        <v>61</v>
      </c>
      <c r="L458" s="8" t="s">
        <v>6594</v>
      </c>
      <c r="M458" s="8" t="s">
        <v>6629</v>
      </c>
      <c r="N458" t="s">
        <v>216</v>
      </c>
      <c r="O458" t="s">
        <v>6394</v>
      </c>
      <c r="P458">
        <v>5</v>
      </c>
      <c r="Q458">
        <f t="shared" si="107"/>
        <v>45.1</v>
      </c>
      <c r="R458">
        <f t="shared" si="108"/>
        <v>0.75166666666666671</v>
      </c>
      <c r="S458" s="2">
        <v>45723</v>
      </c>
      <c r="U458">
        <v>1</v>
      </c>
      <c r="V458">
        <v>5</v>
      </c>
      <c r="W458" t="s">
        <v>65</v>
      </c>
      <c r="X458">
        <v>107353950001</v>
      </c>
      <c r="Y458">
        <v>0</v>
      </c>
      <c r="Z458">
        <v>5</v>
      </c>
      <c r="AA458">
        <v>0</v>
      </c>
      <c r="AB458">
        <v>0</v>
      </c>
      <c r="AC458">
        <v>0</v>
      </c>
      <c r="AD458">
        <v>0</v>
      </c>
      <c r="AG458">
        <v>0</v>
      </c>
      <c r="AP458">
        <v>10735395</v>
      </c>
      <c r="AQ458" t="s">
        <v>487</v>
      </c>
      <c r="AR458" t="s">
        <v>6656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BC458" t="s">
        <v>69</v>
      </c>
      <c r="BD458" t="s">
        <v>2104</v>
      </c>
      <c r="BE458">
        <v>0</v>
      </c>
      <c r="BG458" t="s">
        <v>487</v>
      </c>
      <c r="BJ458" t="s">
        <v>1095</v>
      </c>
    </row>
    <row r="459" spans="1:62" x14ac:dyDescent="0.35">
      <c r="A459" t="s">
        <v>2105</v>
      </c>
      <c r="B459">
        <v>10000</v>
      </c>
      <c r="C459">
        <v>10000</v>
      </c>
      <c r="D459" s="2">
        <v>45730</v>
      </c>
      <c r="E459" t="s">
        <v>61</v>
      </c>
      <c r="F459" t="s">
        <v>2106</v>
      </c>
      <c r="G459" t="s">
        <v>2107</v>
      </c>
      <c r="I459">
        <v>1</v>
      </c>
      <c r="J459" t="s">
        <v>63</v>
      </c>
      <c r="K459" s="8">
        <v>88</v>
      </c>
      <c r="L459" s="8" t="s">
        <v>6610</v>
      </c>
      <c r="M459" s="8" t="s">
        <v>6631</v>
      </c>
      <c r="N459" t="s">
        <v>630</v>
      </c>
      <c r="O459" t="s">
        <v>6571</v>
      </c>
      <c r="P459" s="4">
        <v>1594</v>
      </c>
      <c r="S459" s="2">
        <v>45723</v>
      </c>
      <c r="U459">
        <v>1</v>
      </c>
      <c r="V459" s="4">
        <v>1594</v>
      </c>
      <c r="W459" t="s">
        <v>65</v>
      </c>
      <c r="X459" t="s">
        <v>2108</v>
      </c>
      <c r="Y459">
        <v>0</v>
      </c>
      <c r="Z459" s="4">
        <v>1594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2109</v>
      </c>
      <c r="AQ459" t="s">
        <v>1879</v>
      </c>
      <c r="AR459" t="s">
        <v>6691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C459" t="s">
        <v>69</v>
      </c>
      <c r="BD459" t="s">
        <v>2110</v>
      </c>
      <c r="BE459">
        <v>0</v>
      </c>
      <c r="BG459" t="s">
        <v>1879</v>
      </c>
      <c r="BJ459" t="s">
        <v>1881</v>
      </c>
    </row>
    <row r="460" spans="1:62" x14ac:dyDescent="0.35">
      <c r="A460" t="s">
        <v>2105</v>
      </c>
      <c r="B460">
        <v>20000</v>
      </c>
      <c r="C460">
        <v>10000</v>
      </c>
      <c r="D460" s="2">
        <v>45730</v>
      </c>
      <c r="E460" t="s">
        <v>61</v>
      </c>
      <c r="F460" t="s">
        <v>2106</v>
      </c>
      <c r="G460" t="s">
        <v>2107</v>
      </c>
      <c r="I460">
        <v>1</v>
      </c>
      <c r="J460" t="s">
        <v>63</v>
      </c>
      <c r="K460" s="8">
        <v>88</v>
      </c>
      <c r="L460" s="8" t="s">
        <v>6610</v>
      </c>
      <c r="M460" s="8" t="s">
        <v>6631</v>
      </c>
      <c r="N460" t="s">
        <v>630</v>
      </c>
      <c r="O460" t="s">
        <v>6571</v>
      </c>
      <c r="P460">
        <v>606</v>
      </c>
      <c r="S460" s="2">
        <v>45723</v>
      </c>
      <c r="U460">
        <v>1</v>
      </c>
      <c r="V460">
        <v>606</v>
      </c>
      <c r="W460" t="s">
        <v>65</v>
      </c>
      <c r="X460" t="s">
        <v>2108</v>
      </c>
      <c r="Y460">
        <v>0</v>
      </c>
      <c r="Z460">
        <v>606</v>
      </c>
      <c r="AA460">
        <v>0</v>
      </c>
      <c r="AB460">
        <v>0</v>
      </c>
      <c r="AC460">
        <v>0</v>
      </c>
      <c r="AD460">
        <v>0</v>
      </c>
      <c r="AG460">
        <v>0</v>
      </c>
      <c r="AP460" t="s">
        <v>2109</v>
      </c>
      <c r="AQ460" t="s">
        <v>1879</v>
      </c>
      <c r="AR460" t="s">
        <v>6691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BC460" t="s">
        <v>69</v>
      </c>
      <c r="BD460" t="s">
        <v>2110</v>
      </c>
      <c r="BE460">
        <v>0</v>
      </c>
      <c r="BG460" t="s">
        <v>1879</v>
      </c>
      <c r="BJ460" t="s">
        <v>1881</v>
      </c>
    </row>
    <row r="461" spans="1:62" x14ac:dyDescent="0.35">
      <c r="A461" t="s">
        <v>2111</v>
      </c>
      <c r="B461">
        <v>10000</v>
      </c>
      <c r="C461">
        <v>10000</v>
      </c>
      <c r="D461" s="2">
        <v>45726</v>
      </c>
      <c r="E461" t="s">
        <v>61</v>
      </c>
      <c r="F461" t="s">
        <v>2112</v>
      </c>
      <c r="G461" t="s">
        <v>2113</v>
      </c>
      <c r="I461">
        <v>1</v>
      </c>
      <c r="J461" t="s">
        <v>63</v>
      </c>
      <c r="K461" s="8">
        <v>12</v>
      </c>
      <c r="L461" s="8" t="s">
        <v>6604</v>
      </c>
      <c r="M461" s="8" t="s">
        <v>6629</v>
      </c>
      <c r="N461" t="s">
        <v>478</v>
      </c>
      <c r="O461" t="s">
        <v>6434</v>
      </c>
      <c r="P461" s="4">
        <v>32000</v>
      </c>
      <c r="Q461">
        <f t="shared" ref="Q461:Q465" si="109">(P461/50)+45</f>
        <v>685</v>
      </c>
      <c r="R461">
        <f t="shared" ref="R461:R465" si="110">Q461/60</f>
        <v>11.416666666666666</v>
      </c>
      <c r="S461" s="2">
        <v>45723</v>
      </c>
      <c r="U461">
        <v>1</v>
      </c>
      <c r="V461" s="4">
        <v>32000</v>
      </c>
      <c r="W461" t="s">
        <v>65</v>
      </c>
      <c r="X461" t="s">
        <v>2114</v>
      </c>
      <c r="Y461">
        <v>0</v>
      </c>
      <c r="Z461" s="4">
        <v>32000</v>
      </c>
      <c r="AA461">
        <v>0</v>
      </c>
      <c r="AB461">
        <v>0</v>
      </c>
      <c r="AC461">
        <v>0</v>
      </c>
      <c r="AD461">
        <v>0</v>
      </c>
      <c r="AG461">
        <v>0</v>
      </c>
      <c r="AP461" t="s">
        <v>2115</v>
      </c>
      <c r="AQ461" t="s">
        <v>116</v>
      </c>
      <c r="AR461" t="s">
        <v>6639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BC461" t="s">
        <v>69</v>
      </c>
      <c r="BD461" t="s">
        <v>2116</v>
      </c>
      <c r="BE461">
        <v>0</v>
      </c>
      <c r="BG461" t="s">
        <v>116</v>
      </c>
      <c r="BJ461" t="s">
        <v>1906</v>
      </c>
    </row>
    <row r="462" spans="1:62" x14ac:dyDescent="0.35">
      <c r="A462" t="s">
        <v>2117</v>
      </c>
      <c r="B462">
        <v>10000</v>
      </c>
      <c r="C462">
        <v>10000</v>
      </c>
      <c r="D462" s="2">
        <v>45723</v>
      </c>
      <c r="E462" t="s">
        <v>61</v>
      </c>
      <c r="F462" s="3">
        <v>0.5337615740740741</v>
      </c>
      <c r="G462" t="s">
        <v>1126</v>
      </c>
      <c r="I462">
        <v>1</v>
      </c>
      <c r="J462" t="s">
        <v>63</v>
      </c>
      <c r="K462" s="8">
        <v>22</v>
      </c>
      <c r="L462" s="8" t="s">
        <v>6603</v>
      </c>
      <c r="M462" s="8" t="s">
        <v>6629</v>
      </c>
      <c r="N462" t="s">
        <v>466</v>
      </c>
      <c r="O462" t="s">
        <v>6474</v>
      </c>
      <c r="P462" s="4">
        <v>3000</v>
      </c>
      <c r="Q462">
        <f t="shared" si="109"/>
        <v>105</v>
      </c>
      <c r="R462">
        <f t="shared" si="110"/>
        <v>1.75</v>
      </c>
      <c r="S462" s="2">
        <v>45723</v>
      </c>
      <c r="U462">
        <v>2</v>
      </c>
      <c r="V462" s="4">
        <v>6000</v>
      </c>
      <c r="W462" t="s">
        <v>65</v>
      </c>
      <c r="X462" t="s">
        <v>2118</v>
      </c>
      <c r="Y462">
        <v>0</v>
      </c>
      <c r="Z462" s="4">
        <v>6000</v>
      </c>
      <c r="AA462">
        <v>0</v>
      </c>
      <c r="AB462">
        <v>0</v>
      </c>
      <c r="AC462">
        <v>0</v>
      </c>
      <c r="AD462">
        <v>0</v>
      </c>
      <c r="AG462">
        <v>0</v>
      </c>
      <c r="AP462" t="s">
        <v>2119</v>
      </c>
      <c r="AQ462" t="s">
        <v>116</v>
      </c>
      <c r="AR462" t="s">
        <v>6639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C462" t="s">
        <v>69</v>
      </c>
      <c r="BD462" t="s">
        <v>2120</v>
      </c>
      <c r="BE462">
        <v>0</v>
      </c>
      <c r="BG462" t="s">
        <v>116</v>
      </c>
      <c r="BJ462" t="s">
        <v>1906</v>
      </c>
    </row>
    <row r="463" spans="1:62" x14ac:dyDescent="0.35">
      <c r="A463" t="s">
        <v>2121</v>
      </c>
      <c r="B463">
        <v>10000</v>
      </c>
      <c r="C463">
        <v>10000</v>
      </c>
      <c r="D463" s="2">
        <v>45723</v>
      </c>
      <c r="E463" t="s">
        <v>61</v>
      </c>
      <c r="F463" t="s">
        <v>2122</v>
      </c>
      <c r="G463" t="s">
        <v>2123</v>
      </c>
      <c r="I463">
        <v>1</v>
      </c>
      <c r="J463" t="s">
        <v>63</v>
      </c>
      <c r="K463" s="8">
        <v>61</v>
      </c>
      <c r="L463" s="8" t="s">
        <v>6594</v>
      </c>
      <c r="M463" s="8" t="s">
        <v>6629</v>
      </c>
      <c r="N463" t="s">
        <v>197</v>
      </c>
      <c r="O463" t="s">
        <v>6565</v>
      </c>
      <c r="P463" s="4">
        <v>1667</v>
      </c>
      <c r="Q463">
        <f t="shared" si="109"/>
        <v>78.34</v>
      </c>
      <c r="R463">
        <f t="shared" si="110"/>
        <v>1.3056666666666668</v>
      </c>
      <c r="S463" s="2">
        <v>45723</v>
      </c>
      <c r="U463">
        <v>6</v>
      </c>
      <c r="V463" s="4">
        <v>10002</v>
      </c>
      <c r="W463" t="s">
        <v>65</v>
      </c>
      <c r="X463" t="s">
        <v>2124</v>
      </c>
      <c r="Y463">
        <v>0</v>
      </c>
      <c r="Z463" s="4">
        <v>10000</v>
      </c>
      <c r="AA463">
        <v>2</v>
      </c>
      <c r="AB463">
        <v>0</v>
      </c>
      <c r="AC463">
        <v>0</v>
      </c>
      <c r="AD463">
        <v>0</v>
      </c>
      <c r="AG463">
        <v>0</v>
      </c>
      <c r="AP463" t="s">
        <v>2125</v>
      </c>
      <c r="AQ463" t="s">
        <v>116</v>
      </c>
      <c r="AR463" t="s">
        <v>6639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BC463" t="s">
        <v>69</v>
      </c>
      <c r="BD463" t="s">
        <v>2126</v>
      </c>
      <c r="BE463">
        <v>0</v>
      </c>
      <c r="BG463" t="s">
        <v>116</v>
      </c>
      <c r="BJ463" t="s">
        <v>1906</v>
      </c>
    </row>
    <row r="464" spans="1:62" x14ac:dyDescent="0.35">
      <c r="A464" t="s">
        <v>2127</v>
      </c>
      <c r="B464">
        <v>10000</v>
      </c>
      <c r="C464">
        <v>10000</v>
      </c>
      <c r="D464" s="2">
        <v>45723</v>
      </c>
      <c r="E464" t="s">
        <v>61</v>
      </c>
      <c r="F464" t="s">
        <v>2128</v>
      </c>
      <c r="G464" t="s">
        <v>2129</v>
      </c>
      <c r="I464">
        <v>1</v>
      </c>
      <c r="J464" t="s">
        <v>63</v>
      </c>
      <c r="K464" s="8">
        <v>22</v>
      </c>
      <c r="L464" s="8" t="s">
        <v>6603</v>
      </c>
      <c r="M464" s="8" t="s">
        <v>6629</v>
      </c>
      <c r="N464" t="s">
        <v>466</v>
      </c>
      <c r="O464" t="s">
        <v>6474</v>
      </c>
      <c r="P464" s="4">
        <v>11500</v>
      </c>
      <c r="Q464">
        <f t="shared" si="109"/>
        <v>275</v>
      </c>
      <c r="R464">
        <f t="shared" si="110"/>
        <v>4.583333333333333</v>
      </c>
      <c r="S464" s="2">
        <v>45723</v>
      </c>
      <c r="U464">
        <v>2</v>
      </c>
      <c r="V464" s="4">
        <v>23000</v>
      </c>
      <c r="W464" t="s">
        <v>65</v>
      </c>
      <c r="X464" t="s">
        <v>2118</v>
      </c>
      <c r="Y464">
        <v>0</v>
      </c>
      <c r="Z464" s="4">
        <v>23000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2119</v>
      </c>
      <c r="AQ464" t="s">
        <v>116</v>
      </c>
      <c r="AR464" t="s">
        <v>6639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C464" t="s">
        <v>69</v>
      </c>
      <c r="BD464" t="s">
        <v>2130</v>
      </c>
      <c r="BE464">
        <v>0</v>
      </c>
      <c r="BG464" t="s">
        <v>116</v>
      </c>
      <c r="BJ464" t="s">
        <v>1918</v>
      </c>
    </row>
    <row r="465" spans="1:62" x14ac:dyDescent="0.35">
      <c r="A465" t="s">
        <v>2131</v>
      </c>
      <c r="B465">
        <v>10000</v>
      </c>
      <c r="C465">
        <v>10000</v>
      </c>
      <c r="D465" s="2">
        <v>45723</v>
      </c>
      <c r="E465" t="s">
        <v>61</v>
      </c>
      <c r="F465" t="s">
        <v>2132</v>
      </c>
      <c r="G465" t="s">
        <v>2123</v>
      </c>
      <c r="I465">
        <v>1</v>
      </c>
      <c r="J465" t="s">
        <v>63</v>
      </c>
      <c r="K465" s="8">
        <v>61</v>
      </c>
      <c r="L465" s="8" t="s">
        <v>6594</v>
      </c>
      <c r="M465" s="8" t="s">
        <v>6629</v>
      </c>
      <c r="N465" t="s">
        <v>197</v>
      </c>
      <c r="O465" t="s">
        <v>6565</v>
      </c>
      <c r="P465" s="4">
        <v>3667</v>
      </c>
      <c r="Q465">
        <f t="shared" si="109"/>
        <v>118.34</v>
      </c>
      <c r="R465">
        <f t="shared" si="110"/>
        <v>1.9723333333333335</v>
      </c>
      <c r="S465" s="2">
        <v>45723</v>
      </c>
      <c r="U465">
        <v>6</v>
      </c>
      <c r="V465" s="4">
        <v>22002</v>
      </c>
      <c r="W465" t="s">
        <v>65</v>
      </c>
      <c r="X465" t="s">
        <v>2124</v>
      </c>
      <c r="Y465">
        <v>0</v>
      </c>
      <c r="Z465" s="4">
        <v>22000</v>
      </c>
      <c r="AA465">
        <v>2</v>
      </c>
      <c r="AB465">
        <v>0</v>
      </c>
      <c r="AC465">
        <v>0</v>
      </c>
      <c r="AD465">
        <v>0</v>
      </c>
      <c r="AG465">
        <v>0</v>
      </c>
      <c r="AP465" t="s">
        <v>2125</v>
      </c>
      <c r="AQ465" t="s">
        <v>116</v>
      </c>
      <c r="AR465" t="s">
        <v>6639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BC465" t="s">
        <v>69</v>
      </c>
      <c r="BD465" t="s">
        <v>2133</v>
      </c>
      <c r="BE465">
        <v>0</v>
      </c>
      <c r="BG465" t="s">
        <v>116</v>
      </c>
      <c r="BJ465" t="s">
        <v>1918</v>
      </c>
    </row>
    <row r="466" spans="1:62" x14ac:dyDescent="0.35">
      <c r="A466" t="s">
        <v>2134</v>
      </c>
      <c r="B466">
        <v>10000</v>
      </c>
      <c r="C466">
        <v>10000</v>
      </c>
      <c r="D466" s="2">
        <v>45723</v>
      </c>
      <c r="E466" t="s">
        <v>61</v>
      </c>
      <c r="F466" t="s">
        <v>2122</v>
      </c>
      <c r="G466" t="s">
        <v>1980</v>
      </c>
      <c r="I466">
        <v>1</v>
      </c>
      <c r="J466" t="s">
        <v>63</v>
      </c>
      <c r="K466" s="8">
        <v>65</v>
      </c>
      <c r="L466" s="8" t="s">
        <v>6596</v>
      </c>
      <c r="M466" s="8" t="s">
        <v>6630</v>
      </c>
      <c r="N466" t="s">
        <v>268</v>
      </c>
      <c r="O466" t="s">
        <v>6543</v>
      </c>
      <c r="P466" s="4">
        <v>12000</v>
      </c>
      <c r="Q466">
        <f>(P466/40)+45</f>
        <v>345</v>
      </c>
      <c r="R466">
        <f>Q466/60</f>
        <v>5.75</v>
      </c>
      <c r="S466" s="2">
        <v>45723</v>
      </c>
      <c r="U466">
        <v>2</v>
      </c>
      <c r="V466" s="4">
        <v>24000</v>
      </c>
      <c r="W466" t="s">
        <v>65</v>
      </c>
      <c r="X466" t="s">
        <v>2135</v>
      </c>
      <c r="Y466">
        <v>0</v>
      </c>
      <c r="Z466" s="4">
        <v>24000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2136</v>
      </c>
      <c r="AQ466" t="s">
        <v>2137</v>
      </c>
      <c r="AR466" t="s">
        <v>6695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BC466" t="s">
        <v>69</v>
      </c>
      <c r="BD466" t="s">
        <v>2138</v>
      </c>
      <c r="BE466">
        <v>0</v>
      </c>
      <c r="BG466" t="s">
        <v>2137</v>
      </c>
      <c r="BJ466" t="s">
        <v>2139</v>
      </c>
    </row>
    <row r="467" spans="1:62" x14ac:dyDescent="0.35">
      <c r="A467" t="s">
        <v>1961</v>
      </c>
      <c r="B467">
        <v>10000</v>
      </c>
      <c r="C467">
        <v>20000</v>
      </c>
      <c r="D467" s="2">
        <v>45723</v>
      </c>
      <c r="E467" t="s">
        <v>61</v>
      </c>
      <c r="F467" t="s">
        <v>1962</v>
      </c>
      <c r="G467" t="s">
        <v>1963</v>
      </c>
      <c r="I467">
        <v>2</v>
      </c>
      <c r="J467" t="s">
        <v>63</v>
      </c>
      <c r="K467" s="8">
        <v>112</v>
      </c>
      <c r="L467" s="8" t="s">
        <v>6616</v>
      </c>
      <c r="M467" s="8" t="s">
        <v>6630</v>
      </c>
      <c r="N467" t="s">
        <v>533</v>
      </c>
      <c r="O467" t="s">
        <v>6572</v>
      </c>
      <c r="P467" s="4">
        <v>13000</v>
      </c>
      <c r="Q467">
        <f>(P467/20)+45</f>
        <v>695</v>
      </c>
      <c r="R467">
        <f>Q467/60</f>
        <v>11.583333333333334</v>
      </c>
      <c r="S467" s="2">
        <v>45723</v>
      </c>
      <c r="U467">
        <v>90</v>
      </c>
      <c r="V467" s="4">
        <v>1170000</v>
      </c>
      <c r="W467" t="s">
        <v>65</v>
      </c>
      <c r="X467" t="s">
        <v>1964</v>
      </c>
      <c r="Y467">
        <v>0</v>
      </c>
      <c r="Z467" s="4">
        <v>1440000</v>
      </c>
      <c r="AA467" s="4">
        <v>-270000</v>
      </c>
      <c r="AB467">
        <v>0</v>
      </c>
      <c r="AC467">
        <v>0</v>
      </c>
      <c r="AD467">
        <v>0</v>
      </c>
      <c r="AG467">
        <v>0</v>
      </c>
      <c r="AP467" t="s">
        <v>1965</v>
      </c>
      <c r="AQ467" t="s">
        <v>206</v>
      </c>
      <c r="AR467" t="s">
        <v>6645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BC467" t="s">
        <v>69</v>
      </c>
      <c r="BD467" t="s">
        <v>1966</v>
      </c>
      <c r="BE467">
        <v>0</v>
      </c>
      <c r="BG467" t="s">
        <v>206</v>
      </c>
      <c r="BJ467" t="s">
        <v>1967</v>
      </c>
    </row>
    <row r="468" spans="1:62" x14ac:dyDescent="0.35">
      <c r="A468" t="s">
        <v>2140</v>
      </c>
      <c r="B468">
        <v>10000</v>
      </c>
      <c r="C468">
        <v>10000</v>
      </c>
      <c r="D468" s="2">
        <v>45723</v>
      </c>
      <c r="E468" t="s">
        <v>61</v>
      </c>
      <c r="F468" t="s">
        <v>2023</v>
      </c>
      <c r="G468" t="s">
        <v>2024</v>
      </c>
      <c r="I468">
        <v>1</v>
      </c>
      <c r="J468" t="s">
        <v>63</v>
      </c>
      <c r="K468" s="8">
        <v>60</v>
      </c>
      <c r="L468" s="8" t="s">
        <v>6590</v>
      </c>
      <c r="M468" s="8" t="s">
        <v>6630</v>
      </c>
      <c r="N468" t="s">
        <v>277</v>
      </c>
      <c r="O468" t="s">
        <v>6554</v>
      </c>
      <c r="P468" s="4">
        <v>9300</v>
      </c>
      <c r="Q468">
        <f>(P468/50)+45</f>
        <v>231</v>
      </c>
      <c r="R468">
        <f>Q468/60</f>
        <v>3.85</v>
      </c>
      <c r="S468" s="2">
        <v>45723</v>
      </c>
      <c r="U468">
        <v>10</v>
      </c>
      <c r="V468" s="4">
        <v>93000</v>
      </c>
      <c r="W468" t="s">
        <v>65</v>
      </c>
      <c r="X468" t="s">
        <v>2025</v>
      </c>
      <c r="Y468">
        <v>0</v>
      </c>
      <c r="Z468" s="4">
        <v>93000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2026</v>
      </c>
      <c r="AQ468" t="s">
        <v>321</v>
      </c>
      <c r="AR468" t="s">
        <v>6652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BC468" t="s">
        <v>69</v>
      </c>
      <c r="BD468" t="s">
        <v>2141</v>
      </c>
      <c r="BE468">
        <v>0</v>
      </c>
      <c r="BG468" t="s">
        <v>321</v>
      </c>
      <c r="BJ468" t="s">
        <v>2142</v>
      </c>
    </row>
    <row r="469" spans="1:62" x14ac:dyDescent="0.35">
      <c r="A469" t="s">
        <v>1968</v>
      </c>
      <c r="B469">
        <v>10000</v>
      </c>
      <c r="C469">
        <v>40000</v>
      </c>
      <c r="D469" s="2">
        <v>45727</v>
      </c>
      <c r="E469" t="s">
        <v>61</v>
      </c>
      <c r="F469" s="3">
        <v>0.44810185185185186</v>
      </c>
      <c r="G469">
        <v>59469</v>
      </c>
      <c r="I469">
        <v>2</v>
      </c>
      <c r="J469" t="s">
        <v>63</v>
      </c>
      <c r="K469" s="8">
        <v>96</v>
      </c>
      <c r="L469" t="s">
        <v>6585</v>
      </c>
      <c r="M469" s="8" t="s">
        <v>6628</v>
      </c>
      <c r="N469" t="s">
        <v>2144</v>
      </c>
      <c r="O469" t="s">
        <v>6577</v>
      </c>
      <c r="P469" s="4">
        <v>167834</v>
      </c>
      <c r="S469" s="2">
        <v>45723</v>
      </c>
      <c r="U469">
        <v>6</v>
      </c>
      <c r="V469" s="4">
        <v>1007004</v>
      </c>
      <c r="W469" t="s">
        <v>65</v>
      </c>
      <c r="X469" t="s">
        <v>1410</v>
      </c>
      <c r="Y469">
        <v>0</v>
      </c>
      <c r="Z469" s="4">
        <v>1026649</v>
      </c>
      <c r="AA469" s="4">
        <v>-19645</v>
      </c>
      <c r="AB469">
        <v>0</v>
      </c>
      <c r="AC469">
        <v>0</v>
      </c>
      <c r="AD469">
        <v>0</v>
      </c>
      <c r="AG469">
        <v>0</v>
      </c>
      <c r="AP469" t="s">
        <v>1411</v>
      </c>
      <c r="AQ469" t="s">
        <v>321</v>
      </c>
      <c r="AR469" t="s">
        <v>6652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C469" t="s">
        <v>69</v>
      </c>
      <c r="BD469" t="s">
        <v>1970</v>
      </c>
      <c r="BE469">
        <v>0</v>
      </c>
      <c r="BG469" t="s">
        <v>321</v>
      </c>
      <c r="BJ469" t="s">
        <v>1971</v>
      </c>
    </row>
    <row r="470" spans="1:62" x14ac:dyDescent="0.35">
      <c r="A470" t="s">
        <v>1972</v>
      </c>
      <c r="B470">
        <v>10000</v>
      </c>
      <c r="C470">
        <v>20000</v>
      </c>
      <c r="D470" s="2">
        <v>45723</v>
      </c>
      <c r="E470" t="s">
        <v>61</v>
      </c>
      <c r="F470" t="s">
        <v>1973</v>
      </c>
      <c r="G470">
        <v>59469</v>
      </c>
      <c r="I470">
        <v>2</v>
      </c>
      <c r="J470" t="s">
        <v>63</v>
      </c>
      <c r="K470" s="8">
        <v>96</v>
      </c>
      <c r="L470" s="8" t="s">
        <v>6585</v>
      </c>
      <c r="M470" s="8" t="s">
        <v>6628</v>
      </c>
      <c r="N470" t="s">
        <v>104</v>
      </c>
      <c r="O470" t="s">
        <v>6579</v>
      </c>
      <c r="P470" s="4">
        <v>30625</v>
      </c>
      <c r="S470" s="2">
        <v>45723</v>
      </c>
      <c r="U470">
        <v>6</v>
      </c>
      <c r="V470" s="4">
        <v>183750</v>
      </c>
      <c r="W470" t="s">
        <v>65</v>
      </c>
      <c r="X470" t="s">
        <v>1974</v>
      </c>
      <c r="Y470">
        <v>0</v>
      </c>
      <c r="Z470" s="4">
        <v>183750</v>
      </c>
      <c r="AA470">
        <v>0</v>
      </c>
      <c r="AB470">
        <v>0</v>
      </c>
      <c r="AC470">
        <v>0</v>
      </c>
      <c r="AD470">
        <v>0</v>
      </c>
      <c r="AG470">
        <v>0</v>
      </c>
      <c r="AP470" t="s">
        <v>1975</v>
      </c>
      <c r="AQ470" t="s">
        <v>321</v>
      </c>
      <c r="AR470" t="s">
        <v>6652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BC470" t="s">
        <v>69</v>
      </c>
      <c r="BD470" t="s">
        <v>1976</v>
      </c>
      <c r="BE470">
        <v>0</v>
      </c>
      <c r="BG470" t="s">
        <v>321</v>
      </c>
      <c r="BJ470" t="s">
        <v>1977</v>
      </c>
    </row>
    <row r="471" spans="1:62" x14ac:dyDescent="0.35">
      <c r="A471" t="s">
        <v>2145</v>
      </c>
      <c r="B471">
        <v>10000</v>
      </c>
      <c r="C471">
        <v>10000</v>
      </c>
      <c r="D471" s="2">
        <v>45727</v>
      </c>
      <c r="E471" t="s">
        <v>61</v>
      </c>
      <c r="F471" t="s">
        <v>2018</v>
      </c>
      <c r="G471" t="s">
        <v>2146</v>
      </c>
      <c r="I471">
        <v>1</v>
      </c>
      <c r="J471" t="s">
        <v>63</v>
      </c>
      <c r="K471" s="8">
        <v>67</v>
      </c>
      <c r="L471" s="8" t="s">
        <v>6601</v>
      </c>
      <c r="M471" s="8" t="s">
        <v>6630</v>
      </c>
      <c r="N471" t="s">
        <v>380</v>
      </c>
      <c r="O471" t="s">
        <v>6558</v>
      </c>
      <c r="P471" s="4">
        <v>45000</v>
      </c>
      <c r="Q471">
        <f>(P471/50)+45</f>
        <v>945</v>
      </c>
      <c r="R471">
        <f>Q471/60</f>
        <v>15.75</v>
      </c>
      <c r="S471" s="2">
        <v>45723</v>
      </c>
      <c r="U471">
        <v>1</v>
      </c>
      <c r="V471" s="4">
        <v>45000</v>
      </c>
      <c r="W471" t="s">
        <v>65</v>
      </c>
      <c r="X471" t="s">
        <v>381</v>
      </c>
      <c r="Y471">
        <v>0</v>
      </c>
      <c r="Z471" s="4">
        <v>45000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382</v>
      </c>
      <c r="AQ471" t="s">
        <v>157</v>
      </c>
      <c r="AR471" t="s">
        <v>6640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BC471" t="s">
        <v>69</v>
      </c>
      <c r="BD471" t="s">
        <v>2147</v>
      </c>
      <c r="BE471">
        <v>0</v>
      </c>
      <c r="BG471" t="s">
        <v>157</v>
      </c>
      <c r="BJ471" t="s">
        <v>2148</v>
      </c>
    </row>
    <row r="472" spans="1:62" x14ac:dyDescent="0.35">
      <c r="A472" t="s">
        <v>1114</v>
      </c>
      <c r="B472">
        <v>10000</v>
      </c>
      <c r="C472">
        <v>20000</v>
      </c>
      <c r="D472" s="2">
        <v>45729</v>
      </c>
      <c r="E472" t="s">
        <v>61</v>
      </c>
      <c r="F472" t="s">
        <v>1115</v>
      </c>
      <c r="G472" t="s">
        <v>1116</v>
      </c>
      <c r="I472">
        <v>1</v>
      </c>
      <c r="J472" t="s">
        <v>63</v>
      </c>
      <c r="K472" s="8">
        <v>110</v>
      </c>
      <c r="L472" s="8" t="s">
        <v>6597</v>
      </c>
      <c r="M472" s="8" t="s">
        <v>6627</v>
      </c>
      <c r="N472" t="s">
        <v>286</v>
      </c>
      <c r="O472" t="s">
        <v>6560</v>
      </c>
      <c r="P472" s="4">
        <v>89500</v>
      </c>
      <c r="Q472">
        <f t="shared" ref="Q472:Q473" si="111">(P472/60)+45</f>
        <v>1536.6666666666667</v>
      </c>
      <c r="R472">
        <f t="shared" ref="R472:R476" si="112">Q472/60</f>
        <v>25.611111111111111</v>
      </c>
      <c r="S472" s="2">
        <v>45724</v>
      </c>
      <c r="U472">
        <v>4</v>
      </c>
      <c r="V472" s="4">
        <v>358000</v>
      </c>
      <c r="W472" t="s">
        <v>65</v>
      </c>
      <c r="X472" t="s">
        <v>1117</v>
      </c>
      <c r="Y472">
        <v>0</v>
      </c>
      <c r="Z472" s="4">
        <v>358000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1118</v>
      </c>
      <c r="AQ472" t="s">
        <v>271</v>
      </c>
      <c r="AR472" t="s">
        <v>6648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BC472" t="s">
        <v>69</v>
      </c>
      <c r="BD472" t="s">
        <v>1119</v>
      </c>
      <c r="BE472">
        <v>0</v>
      </c>
      <c r="BG472" t="s">
        <v>271</v>
      </c>
      <c r="BJ472" t="s">
        <v>1120</v>
      </c>
    </row>
    <row r="473" spans="1:62" x14ac:dyDescent="0.35">
      <c r="A473" t="s">
        <v>1987</v>
      </c>
      <c r="B473">
        <v>10000</v>
      </c>
      <c r="C473">
        <v>20000</v>
      </c>
      <c r="D473" s="2">
        <v>45729</v>
      </c>
      <c r="E473" t="s">
        <v>61</v>
      </c>
      <c r="F473" t="s">
        <v>1988</v>
      </c>
      <c r="G473" t="s">
        <v>1989</v>
      </c>
      <c r="I473">
        <v>1</v>
      </c>
      <c r="J473" t="s">
        <v>63</v>
      </c>
      <c r="K473" s="8">
        <v>111</v>
      </c>
      <c r="L473" s="8" t="s">
        <v>6597</v>
      </c>
      <c r="M473" s="8" t="s">
        <v>6627</v>
      </c>
      <c r="N473" t="s">
        <v>597</v>
      </c>
      <c r="O473" t="s">
        <v>6556</v>
      </c>
      <c r="P473" s="4">
        <v>16500</v>
      </c>
      <c r="Q473">
        <f t="shared" si="111"/>
        <v>320</v>
      </c>
      <c r="R473">
        <f t="shared" si="112"/>
        <v>5.333333333333333</v>
      </c>
      <c r="S473" s="2">
        <v>45724</v>
      </c>
      <c r="U473">
        <v>10</v>
      </c>
      <c r="V473" s="4">
        <v>165000</v>
      </c>
      <c r="W473" t="s">
        <v>65</v>
      </c>
      <c r="X473" t="s">
        <v>287</v>
      </c>
      <c r="Y473">
        <v>0</v>
      </c>
      <c r="Z473" s="4">
        <v>165000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288</v>
      </c>
      <c r="AQ473" t="s">
        <v>289</v>
      </c>
      <c r="AR473" t="s">
        <v>6650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BC473" t="s">
        <v>69</v>
      </c>
      <c r="BD473" t="s">
        <v>1990</v>
      </c>
      <c r="BE473">
        <v>0</v>
      </c>
      <c r="BG473" t="s">
        <v>289</v>
      </c>
      <c r="BJ473" t="s">
        <v>1991</v>
      </c>
    </row>
    <row r="474" spans="1:62" x14ac:dyDescent="0.35">
      <c r="A474" t="s">
        <v>2150</v>
      </c>
      <c r="B474">
        <v>10000</v>
      </c>
      <c r="C474">
        <v>10000</v>
      </c>
      <c r="D474" s="2">
        <v>45726</v>
      </c>
      <c r="E474" t="s">
        <v>61</v>
      </c>
      <c r="F474" t="s">
        <v>2151</v>
      </c>
      <c r="G474" t="s">
        <v>2152</v>
      </c>
      <c r="I474">
        <v>1</v>
      </c>
      <c r="J474" t="s">
        <v>63</v>
      </c>
      <c r="K474" s="8">
        <v>60</v>
      </c>
      <c r="L474" s="8" t="s">
        <v>6590</v>
      </c>
      <c r="M474" s="8" t="s">
        <v>6630</v>
      </c>
      <c r="N474" t="s">
        <v>277</v>
      </c>
      <c r="O474" t="s">
        <v>6554</v>
      </c>
      <c r="P474" s="4">
        <v>7000</v>
      </c>
      <c r="Q474">
        <f t="shared" ref="Q474:Q476" si="113">(P474/50)+45</f>
        <v>185</v>
      </c>
      <c r="R474">
        <f t="shared" si="112"/>
        <v>3.0833333333333335</v>
      </c>
      <c r="S474" s="2">
        <v>45724</v>
      </c>
      <c r="U474">
        <v>10</v>
      </c>
      <c r="V474" s="4">
        <v>70000</v>
      </c>
      <c r="W474" t="s">
        <v>65</v>
      </c>
      <c r="X474" t="s">
        <v>2153</v>
      </c>
      <c r="Y474">
        <v>0</v>
      </c>
      <c r="Z474" s="4">
        <v>70000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2154</v>
      </c>
      <c r="AQ474" t="s">
        <v>321</v>
      </c>
      <c r="AR474" t="s">
        <v>6652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BC474" t="s">
        <v>69</v>
      </c>
      <c r="BD474" t="s">
        <v>2155</v>
      </c>
      <c r="BE474">
        <v>0</v>
      </c>
      <c r="BG474" t="s">
        <v>321</v>
      </c>
      <c r="BJ474" t="s">
        <v>2156</v>
      </c>
    </row>
    <row r="475" spans="1:62" x14ac:dyDescent="0.35">
      <c r="A475" t="s">
        <v>2157</v>
      </c>
      <c r="B475">
        <v>10000</v>
      </c>
      <c r="C475">
        <v>10000</v>
      </c>
      <c r="D475" s="2">
        <v>45726</v>
      </c>
      <c r="E475" t="s">
        <v>61</v>
      </c>
      <c r="F475" t="s">
        <v>1380</v>
      </c>
      <c r="G475" t="s">
        <v>2158</v>
      </c>
      <c r="I475">
        <v>1</v>
      </c>
      <c r="J475" t="s">
        <v>63</v>
      </c>
      <c r="K475" s="8">
        <v>61</v>
      </c>
      <c r="L475" s="8" t="s">
        <v>6594</v>
      </c>
      <c r="M475" s="8" t="s">
        <v>6629</v>
      </c>
      <c r="N475" t="s">
        <v>216</v>
      </c>
      <c r="O475" t="s">
        <v>6394</v>
      </c>
      <c r="P475">
        <v>500</v>
      </c>
      <c r="Q475">
        <f t="shared" si="113"/>
        <v>55</v>
      </c>
      <c r="R475">
        <f t="shared" si="112"/>
        <v>0.91666666666666663</v>
      </c>
      <c r="S475" s="2">
        <v>45724</v>
      </c>
      <c r="U475">
        <v>1</v>
      </c>
      <c r="V475">
        <v>500</v>
      </c>
      <c r="W475" t="s">
        <v>65</v>
      </c>
      <c r="X475" t="s">
        <v>2159</v>
      </c>
      <c r="Y475">
        <v>0</v>
      </c>
      <c r="Z475">
        <v>500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2160</v>
      </c>
      <c r="AQ475" t="s">
        <v>2161</v>
      </c>
      <c r="AR475" t="s">
        <v>6696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BC475" t="s">
        <v>69</v>
      </c>
      <c r="BD475" t="s">
        <v>2162</v>
      </c>
      <c r="BE475">
        <v>0</v>
      </c>
      <c r="BG475" t="s">
        <v>2161</v>
      </c>
      <c r="BJ475" t="s">
        <v>2163</v>
      </c>
    </row>
    <row r="476" spans="1:62" x14ac:dyDescent="0.35">
      <c r="A476" t="s">
        <v>2164</v>
      </c>
      <c r="B476">
        <v>10000</v>
      </c>
      <c r="C476">
        <v>10000</v>
      </c>
      <c r="D476" s="2">
        <v>45726</v>
      </c>
      <c r="E476" t="s">
        <v>61</v>
      </c>
      <c r="F476" t="s">
        <v>2165</v>
      </c>
      <c r="G476" t="s">
        <v>2158</v>
      </c>
      <c r="I476">
        <v>1</v>
      </c>
      <c r="J476" t="s">
        <v>63</v>
      </c>
      <c r="K476" s="8">
        <v>61</v>
      </c>
      <c r="L476" s="8" t="s">
        <v>6594</v>
      </c>
      <c r="M476" s="8" t="s">
        <v>6629</v>
      </c>
      <c r="N476" t="s">
        <v>216</v>
      </c>
      <c r="O476" t="s">
        <v>6394</v>
      </c>
      <c r="P476">
        <v>500</v>
      </c>
      <c r="Q476">
        <f t="shared" si="113"/>
        <v>55</v>
      </c>
      <c r="R476">
        <f t="shared" si="112"/>
        <v>0.91666666666666663</v>
      </c>
      <c r="S476" s="2">
        <v>45724</v>
      </c>
      <c r="U476">
        <v>1</v>
      </c>
      <c r="V476">
        <v>500</v>
      </c>
      <c r="W476" t="s">
        <v>65</v>
      </c>
      <c r="X476" t="s">
        <v>2166</v>
      </c>
      <c r="Y476">
        <v>0</v>
      </c>
      <c r="Z476">
        <v>500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2167</v>
      </c>
      <c r="AQ476" t="s">
        <v>2161</v>
      </c>
      <c r="AR476" t="s">
        <v>6696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BC476" t="s">
        <v>69</v>
      </c>
      <c r="BD476" t="s">
        <v>2168</v>
      </c>
      <c r="BE476">
        <v>0</v>
      </c>
      <c r="BG476" t="s">
        <v>2161</v>
      </c>
      <c r="BJ476" t="s">
        <v>2163</v>
      </c>
    </row>
    <row r="477" spans="1:62" x14ac:dyDescent="0.35">
      <c r="A477" t="s">
        <v>2181</v>
      </c>
      <c r="B477">
        <v>10000</v>
      </c>
      <c r="C477">
        <v>20000</v>
      </c>
      <c r="D477" s="2">
        <v>45727</v>
      </c>
      <c r="E477" t="s">
        <v>61</v>
      </c>
      <c r="F477" s="3">
        <v>0.47486111111111112</v>
      </c>
      <c r="G477" t="s">
        <v>1852</v>
      </c>
      <c r="I477">
        <v>1</v>
      </c>
      <c r="J477" t="s">
        <v>63</v>
      </c>
      <c r="K477" s="8">
        <v>86</v>
      </c>
      <c r="L477" s="8" t="s">
        <v>6584</v>
      </c>
      <c r="M477" s="8" t="s">
        <v>6627</v>
      </c>
      <c r="N477" t="s">
        <v>64</v>
      </c>
      <c r="O477" t="s">
        <v>6559</v>
      </c>
      <c r="P477" s="4">
        <v>56667</v>
      </c>
      <c r="Q477">
        <f>(P477/60)+45</f>
        <v>989.45</v>
      </c>
      <c r="R477">
        <f>Q477/60</f>
        <v>16.490833333333335</v>
      </c>
      <c r="S477" s="2">
        <v>45724</v>
      </c>
      <c r="U477">
        <v>3</v>
      </c>
      <c r="V477" s="4">
        <v>170001</v>
      </c>
      <c r="W477" t="s">
        <v>65</v>
      </c>
      <c r="X477" t="s">
        <v>2182</v>
      </c>
      <c r="Y477">
        <v>0</v>
      </c>
      <c r="Z477" s="4">
        <v>170000</v>
      </c>
      <c r="AA477">
        <v>1</v>
      </c>
      <c r="AB477">
        <v>0</v>
      </c>
      <c r="AC477">
        <v>0</v>
      </c>
      <c r="AD477">
        <v>0</v>
      </c>
      <c r="AG477">
        <v>0</v>
      </c>
      <c r="AP477" t="s">
        <v>2183</v>
      </c>
      <c r="AQ477" t="s">
        <v>289</v>
      </c>
      <c r="AR477" t="s">
        <v>6650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C477" t="s">
        <v>69</v>
      </c>
      <c r="BD477" t="s">
        <v>2184</v>
      </c>
      <c r="BE477">
        <v>0</v>
      </c>
      <c r="BG477" t="s">
        <v>289</v>
      </c>
      <c r="BJ477" t="s">
        <v>2185</v>
      </c>
    </row>
    <row r="478" spans="1:62" x14ac:dyDescent="0.35">
      <c r="A478" t="s">
        <v>2186</v>
      </c>
      <c r="B478">
        <v>10000</v>
      </c>
      <c r="C478">
        <v>30000</v>
      </c>
      <c r="D478" s="2">
        <v>45726</v>
      </c>
      <c r="E478" t="s">
        <v>61</v>
      </c>
      <c r="F478" t="s">
        <v>2187</v>
      </c>
      <c r="G478">
        <v>10620258085</v>
      </c>
      <c r="I478">
        <v>3</v>
      </c>
      <c r="J478" t="s">
        <v>63</v>
      </c>
      <c r="K478" s="8">
        <v>85</v>
      </c>
      <c r="L478" s="8" t="s">
        <v>6585</v>
      </c>
      <c r="M478" s="8" t="s">
        <v>6628</v>
      </c>
      <c r="N478" t="s">
        <v>327</v>
      </c>
      <c r="O478" t="s">
        <v>6580</v>
      </c>
      <c r="P478" s="4">
        <v>7273</v>
      </c>
      <c r="S478" s="2">
        <v>45724</v>
      </c>
      <c r="U478">
        <v>11</v>
      </c>
      <c r="V478" s="4">
        <v>80003</v>
      </c>
      <c r="W478" t="s">
        <v>65</v>
      </c>
      <c r="X478" t="s">
        <v>1352</v>
      </c>
      <c r="Y478">
        <v>0</v>
      </c>
      <c r="Z478" s="4">
        <v>64000</v>
      </c>
      <c r="AA478" s="4">
        <v>16003</v>
      </c>
      <c r="AB478">
        <v>0</v>
      </c>
      <c r="AC478">
        <v>0</v>
      </c>
      <c r="AD478">
        <v>0</v>
      </c>
      <c r="AG478">
        <v>0</v>
      </c>
      <c r="AP478" t="s">
        <v>1353</v>
      </c>
      <c r="AQ478" t="s">
        <v>107</v>
      </c>
      <c r="AR478" t="s">
        <v>6638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C478" t="s">
        <v>69</v>
      </c>
      <c r="BD478" t="s">
        <v>2188</v>
      </c>
      <c r="BE478">
        <v>0</v>
      </c>
      <c r="BG478" t="s">
        <v>107</v>
      </c>
      <c r="BJ478" t="s">
        <v>2189</v>
      </c>
    </row>
    <row r="479" spans="1:62" x14ac:dyDescent="0.35">
      <c r="A479" t="s">
        <v>2190</v>
      </c>
      <c r="B479">
        <v>10000</v>
      </c>
      <c r="C479">
        <v>10000</v>
      </c>
      <c r="D479" s="2">
        <v>45726</v>
      </c>
      <c r="E479" t="s">
        <v>61</v>
      </c>
      <c r="F479" t="s">
        <v>2044</v>
      </c>
      <c r="G479" t="s">
        <v>826</v>
      </c>
      <c r="I479">
        <v>1</v>
      </c>
      <c r="J479" t="s">
        <v>63</v>
      </c>
      <c r="K479" s="8">
        <v>94</v>
      </c>
      <c r="L479" s="8" t="s">
        <v>6599</v>
      </c>
      <c r="M479" s="8" t="s">
        <v>6629</v>
      </c>
      <c r="N479" t="s">
        <v>181</v>
      </c>
      <c r="O479" t="s">
        <v>6544</v>
      </c>
      <c r="P479" s="4">
        <v>3000</v>
      </c>
      <c r="S479" s="2">
        <v>45724</v>
      </c>
      <c r="U479">
        <v>4</v>
      </c>
      <c r="V479" s="4">
        <v>12000</v>
      </c>
      <c r="W479" t="s">
        <v>65</v>
      </c>
      <c r="X479" t="s">
        <v>870</v>
      </c>
      <c r="Y479">
        <v>0</v>
      </c>
      <c r="Z479" s="4">
        <v>12000</v>
      </c>
      <c r="AA479">
        <v>0</v>
      </c>
      <c r="AB479">
        <v>0</v>
      </c>
      <c r="AC479">
        <v>0</v>
      </c>
      <c r="AD479">
        <v>0</v>
      </c>
      <c r="AG479">
        <v>0</v>
      </c>
      <c r="AP479" t="s">
        <v>871</v>
      </c>
      <c r="AQ479" t="s">
        <v>364</v>
      </c>
      <c r="AR479" t="s">
        <v>6653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BC479" t="s">
        <v>69</v>
      </c>
      <c r="BD479" t="s">
        <v>2191</v>
      </c>
      <c r="BE479">
        <v>0</v>
      </c>
      <c r="BG479" t="s">
        <v>364</v>
      </c>
      <c r="BJ479" t="s">
        <v>2192</v>
      </c>
    </row>
    <row r="480" spans="1:62" x14ac:dyDescent="0.35">
      <c r="A480" t="s">
        <v>2193</v>
      </c>
      <c r="B480">
        <v>10000</v>
      </c>
      <c r="C480">
        <v>10000</v>
      </c>
      <c r="D480" s="2">
        <v>45726</v>
      </c>
      <c r="E480" t="s">
        <v>61</v>
      </c>
      <c r="F480" t="s">
        <v>2194</v>
      </c>
      <c r="G480" t="s">
        <v>826</v>
      </c>
      <c r="I480">
        <v>1</v>
      </c>
      <c r="J480" t="s">
        <v>63</v>
      </c>
      <c r="K480" s="8">
        <v>94</v>
      </c>
      <c r="L480" s="8" t="s">
        <v>6599</v>
      </c>
      <c r="M480" s="8" t="s">
        <v>6629</v>
      </c>
      <c r="N480" t="s">
        <v>181</v>
      </c>
      <c r="O480" t="s">
        <v>6544</v>
      </c>
      <c r="P480">
        <v>50</v>
      </c>
      <c r="S480" s="2">
        <v>45724</v>
      </c>
      <c r="U480">
        <v>4</v>
      </c>
      <c r="V480">
        <v>200</v>
      </c>
      <c r="W480" t="s">
        <v>65</v>
      </c>
      <c r="X480" t="s">
        <v>870</v>
      </c>
      <c r="Y480">
        <v>0</v>
      </c>
      <c r="Z480">
        <v>200</v>
      </c>
      <c r="AA480">
        <v>0</v>
      </c>
      <c r="AB480">
        <v>0</v>
      </c>
      <c r="AC480">
        <v>0</v>
      </c>
      <c r="AD480">
        <v>0</v>
      </c>
      <c r="AG480">
        <v>0</v>
      </c>
      <c r="AP480" t="s">
        <v>871</v>
      </c>
      <c r="AQ480" t="s">
        <v>364</v>
      </c>
      <c r="AR480" t="s">
        <v>6653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BC480" t="s">
        <v>69</v>
      </c>
      <c r="BD480" t="s">
        <v>2195</v>
      </c>
      <c r="BE480">
        <v>0</v>
      </c>
      <c r="BG480" t="s">
        <v>364</v>
      </c>
      <c r="BJ480" t="s">
        <v>2196</v>
      </c>
    </row>
    <row r="481" spans="1:62" x14ac:dyDescent="0.35">
      <c r="A481" t="s">
        <v>2197</v>
      </c>
      <c r="B481">
        <v>10000</v>
      </c>
      <c r="C481">
        <v>10000</v>
      </c>
      <c r="D481" s="2">
        <v>45727</v>
      </c>
      <c r="E481" t="s">
        <v>61</v>
      </c>
      <c r="F481" t="s">
        <v>2198</v>
      </c>
      <c r="G481" t="s">
        <v>1773</v>
      </c>
      <c r="I481">
        <v>1</v>
      </c>
      <c r="J481" t="s">
        <v>63</v>
      </c>
      <c r="K481" s="8">
        <v>32</v>
      </c>
      <c r="L481" s="8" t="s">
        <v>6607</v>
      </c>
      <c r="M481" s="8" t="s">
        <v>6629</v>
      </c>
      <c r="N481" t="s">
        <v>553</v>
      </c>
      <c r="O481" t="s">
        <v>6552</v>
      </c>
      <c r="P481" s="4">
        <v>5860</v>
      </c>
      <c r="S481" s="2">
        <v>45724</v>
      </c>
      <c r="U481">
        <v>1</v>
      </c>
      <c r="V481" s="4">
        <v>5860</v>
      </c>
      <c r="W481" t="s">
        <v>65</v>
      </c>
      <c r="X481" t="s">
        <v>2199</v>
      </c>
      <c r="Y481">
        <v>0</v>
      </c>
      <c r="Z481" s="4">
        <v>5360</v>
      </c>
      <c r="AA481">
        <v>500</v>
      </c>
      <c r="AB481">
        <v>0</v>
      </c>
      <c r="AC481">
        <v>0</v>
      </c>
      <c r="AD481">
        <v>0</v>
      </c>
      <c r="AG481">
        <v>0</v>
      </c>
      <c r="AP481" t="s">
        <v>2200</v>
      </c>
      <c r="AQ481" t="s">
        <v>116</v>
      </c>
      <c r="AR481" t="s">
        <v>6639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BC481" t="s">
        <v>69</v>
      </c>
      <c r="BD481" t="s">
        <v>2201</v>
      </c>
      <c r="BE481">
        <v>0</v>
      </c>
      <c r="BG481" t="s">
        <v>116</v>
      </c>
      <c r="BJ481" t="s">
        <v>557</v>
      </c>
    </row>
    <row r="482" spans="1:62" x14ac:dyDescent="0.35">
      <c r="A482" t="s">
        <v>2202</v>
      </c>
      <c r="B482">
        <v>10000</v>
      </c>
      <c r="C482">
        <v>10000</v>
      </c>
      <c r="D482" s="2">
        <v>45727</v>
      </c>
      <c r="E482" t="s">
        <v>61</v>
      </c>
      <c r="F482" t="s">
        <v>2198</v>
      </c>
      <c r="G482" t="s">
        <v>1773</v>
      </c>
      <c r="I482">
        <v>1</v>
      </c>
      <c r="J482" t="s">
        <v>63</v>
      </c>
      <c r="K482" s="8">
        <v>32</v>
      </c>
      <c r="L482" s="8" t="s">
        <v>6607</v>
      </c>
      <c r="M482" s="8" t="s">
        <v>6629</v>
      </c>
      <c r="N482" t="s">
        <v>553</v>
      </c>
      <c r="O482" t="s">
        <v>6552</v>
      </c>
      <c r="P482" s="4">
        <v>5860</v>
      </c>
      <c r="S482" s="2">
        <v>45724</v>
      </c>
      <c r="U482">
        <v>1</v>
      </c>
      <c r="V482" s="4">
        <v>5860</v>
      </c>
      <c r="W482" t="s">
        <v>65</v>
      </c>
      <c r="X482" t="s">
        <v>2059</v>
      </c>
      <c r="Y482">
        <v>0</v>
      </c>
      <c r="Z482" s="4">
        <v>5360</v>
      </c>
      <c r="AA482">
        <v>500</v>
      </c>
      <c r="AB482">
        <v>0</v>
      </c>
      <c r="AC482">
        <v>0</v>
      </c>
      <c r="AD482">
        <v>0</v>
      </c>
      <c r="AG482">
        <v>0</v>
      </c>
      <c r="AP482" t="s">
        <v>2060</v>
      </c>
      <c r="AQ482" t="s">
        <v>116</v>
      </c>
      <c r="AR482" t="s">
        <v>6639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C482" t="s">
        <v>69</v>
      </c>
      <c r="BD482" t="s">
        <v>2203</v>
      </c>
      <c r="BE482">
        <v>0</v>
      </c>
      <c r="BG482" t="s">
        <v>116</v>
      </c>
      <c r="BJ482" t="s">
        <v>1291</v>
      </c>
    </row>
    <row r="483" spans="1:62" x14ac:dyDescent="0.35">
      <c r="A483" t="s">
        <v>1344</v>
      </c>
      <c r="B483">
        <v>10000</v>
      </c>
      <c r="C483">
        <v>20000</v>
      </c>
      <c r="D483" s="2">
        <v>45734</v>
      </c>
      <c r="E483" t="s">
        <v>61</v>
      </c>
      <c r="F483" t="s">
        <v>1345</v>
      </c>
      <c r="G483" t="s">
        <v>1346</v>
      </c>
      <c r="I483">
        <v>2</v>
      </c>
      <c r="J483" t="s">
        <v>63</v>
      </c>
      <c r="K483" s="8">
        <v>77</v>
      </c>
      <c r="L483" s="8" t="s">
        <v>6584</v>
      </c>
      <c r="M483" s="8" t="s">
        <v>6627</v>
      </c>
      <c r="N483" t="s">
        <v>127</v>
      </c>
      <c r="O483" t="s">
        <v>6567</v>
      </c>
      <c r="P483" s="4">
        <v>2500</v>
      </c>
      <c r="Q483">
        <f>(P483/60)+45</f>
        <v>86.666666666666657</v>
      </c>
      <c r="R483">
        <f>Q483/60</f>
        <v>1.4444444444444442</v>
      </c>
      <c r="S483" s="2">
        <v>45724</v>
      </c>
      <c r="U483">
        <v>88</v>
      </c>
      <c r="V483" s="4">
        <v>220000</v>
      </c>
      <c r="W483" t="s">
        <v>65</v>
      </c>
      <c r="X483" t="s">
        <v>1347</v>
      </c>
      <c r="Y483">
        <v>0</v>
      </c>
      <c r="Z483" s="4">
        <v>200000</v>
      </c>
      <c r="AA483" s="4">
        <v>20000</v>
      </c>
      <c r="AB483">
        <v>0</v>
      </c>
      <c r="AC483">
        <v>0</v>
      </c>
      <c r="AD483">
        <v>0</v>
      </c>
      <c r="AG483">
        <v>0</v>
      </c>
      <c r="AP483" t="s">
        <v>1348</v>
      </c>
      <c r="AQ483" t="s">
        <v>107</v>
      </c>
      <c r="AR483" t="s">
        <v>6638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BC483" t="s">
        <v>69</v>
      </c>
      <c r="BD483" t="s">
        <v>1349</v>
      </c>
      <c r="BE483">
        <v>0</v>
      </c>
      <c r="BG483" t="s">
        <v>107</v>
      </c>
      <c r="BJ483" t="s">
        <v>1350</v>
      </c>
    </row>
    <row r="484" spans="1:62" x14ac:dyDescent="0.35">
      <c r="A484" t="s">
        <v>1351</v>
      </c>
      <c r="B484">
        <v>10000</v>
      </c>
      <c r="C484">
        <v>30000</v>
      </c>
      <c r="D484" s="2">
        <v>45726</v>
      </c>
      <c r="E484" t="s">
        <v>61</v>
      </c>
      <c r="F484" s="3">
        <v>0.48101851851851851</v>
      </c>
      <c r="G484">
        <v>10639931011</v>
      </c>
      <c r="I484">
        <v>3</v>
      </c>
      <c r="J484" t="s">
        <v>63</v>
      </c>
      <c r="K484" s="8">
        <v>85</v>
      </c>
      <c r="L484" s="8" t="s">
        <v>6585</v>
      </c>
      <c r="M484" s="8" t="s">
        <v>6628</v>
      </c>
      <c r="N484" t="s">
        <v>327</v>
      </c>
      <c r="O484" t="s">
        <v>6580</v>
      </c>
      <c r="P484" s="4">
        <v>7273</v>
      </c>
      <c r="S484" s="2">
        <v>45724</v>
      </c>
      <c r="U484">
        <v>11</v>
      </c>
      <c r="V484" s="4">
        <v>80003</v>
      </c>
      <c r="W484" t="s">
        <v>65</v>
      </c>
      <c r="X484" t="s">
        <v>1352</v>
      </c>
      <c r="Y484">
        <v>0</v>
      </c>
      <c r="Z484" s="4">
        <v>80000</v>
      </c>
      <c r="AA484">
        <v>3</v>
      </c>
      <c r="AB484">
        <v>0</v>
      </c>
      <c r="AC484">
        <v>0</v>
      </c>
      <c r="AD484">
        <v>0</v>
      </c>
      <c r="AG484">
        <v>0</v>
      </c>
      <c r="AP484" t="s">
        <v>1353</v>
      </c>
      <c r="AQ484" t="s">
        <v>107</v>
      </c>
      <c r="AR484" t="s">
        <v>6638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BC484" t="s">
        <v>69</v>
      </c>
      <c r="BD484" t="s">
        <v>1354</v>
      </c>
      <c r="BE484">
        <v>0</v>
      </c>
      <c r="BG484" t="s">
        <v>107</v>
      </c>
      <c r="BJ484" t="s">
        <v>1355</v>
      </c>
    </row>
    <row r="485" spans="1:62" x14ac:dyDescent="0.35">
      <c r="A485" t="s">
        <v>955</v>
      </c>
      <c r="B485">
        <v>10000</v>
      </c>
      <c r="C485">
        <v>20000</v>
      </c>
      <c r="D485" s="2">
        <v>45734</v>
      </c>
      <c r="E485" t="s">
        <v>61</v>
      </c>
      <c r="F485" t="s">
        <v>956</v>
      </c>
      <c r="G485">
        <v>10639931051</v>
      </c>
      <c r="I485">
        <v>2</v>
      </c>
      <c r="J485" t="s">
        <v>63</v>
      </c>
      <c r="K485" s="8">
        <v>77</v>
      </c>
      <c r="L485" s="8" t="s">
        <v>6584</v>
      </c>
      <c r="M485" s="8" t="s">
        <v>6627</v>
      </c>
      <c r="N485" t="s">
        <v>127</v>
      </c>
      <c r="O485" t="s">
        <v>6567</v>
      </c>
      <c r="P485">
        <v>410</v>
      </c>
      <c r="Q485">
        <f t="shared" ref="Q485:Q490" si="114">(P485/60)+45</f>
        <v>51.833333333333336</v>
      </c>
      <c r="R485">
        <f t="shared" ref="R485:R490" si="115">Q485/60</f>
        <v>0.86388888888888893</v>
      </c>
      <c r="S485" s="2">
        <v>45724</v>
      </c>
      <c r="U485">
        <v>88</v>
      </c>
      <c r="V485" s="4">
        <v>36080</v>
      </c>
      <c r="W485" t="s">
        <v>65</v>
      </c>
      <c r="X485" t="s">
        <v>957</v>
      </c>
      <c r="Y485">
        <v>0</v>
      </c>
      <c r="Z485" s="4">
        <v>20000</v>
      </c>
      <c r="AA485" s="4">
        <v>16080</v>
      </c>
      <c r="AB485">
        <v>0</v>
      </c>
      <c r="AC485">
        <v>0</v>
      </c>
      <c r="AD485">
        <v>0</v>
      </c>
      <c r="AG485">
        <v>0</v>
      </c>
      <c r="AP485" t="s">
        <v>958</v>
      </c>
      <c r="AQ485" t="s">
        <v>107</v>
      </c>
      <c r="AR485" t="s">
        <v>6638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C485" t="s">
        <v>69</v>
      </c>
      <c r="BD485" t="s">
        <v>959</v>
      </c>
      <c r="BE485">
        <v>0</v>
      </c>
      <c r="BG485" t="s">
        <v>107</v>
      </c>
      <c r="BJ485" t="s">
        <v>960</v>
      </c>
    </row>
    <row r="486" spans="1:62" x14ac:dyDescent="0.35">
      <c r="A486" t="s">
        <v>1373</v>
      </c>
      <c r="B486">
        <v>10000</v>
      </c>
      <c r="C486">
        <v>20000</v>
      </c>
      <c r="D486" s="2">
        <v>45734</v>
      </c>
      <c r="E486" t="s">
        <v>61</v>
      </c>
      <c r="F486" t="s">
        <v>1374</v>
      </c>
      <c r="G486" t="s">
        <v>1346</v>
      </c>
      <c r="I486">
        <v>2</v>
      </c>
      <c r="J486" t="s">
        <v>63</v>
      </c>
      <c r="K486" s="8">
        <v>77</v>
      </c>
      <c r="L486" s="8" t="s">
        <v>6584</v>
      </c>
      <c r="M486" s="8" t="s">
        <v>6627</v>
      </c>
      <c r="N486" t="s">
        <v>127</v>
      </c>
      <c r="O486" t="s">
        <v>6567</v>
      </c>
      <c r="P486" s="4">
        <v>2500</v>
      </c>
      <c r="Q486">
        <f t="shared" si="114"/>
        <v>86.666666666666657</v>
      </c>
      <c r="R486">
        <f t="shared" si="115"/>
        <v>1.4444444444444442</v>
      </c>
      <c r="S486" s="2">
        <v>45724</v>
      </c>
      <c r="U486">
        <v>88</v>
      </c>
      <c r="V486" s="4">
        <v>220000</v>
      </c>
      <c r="W486" t="s">
        <v>65</v>
      </c>
      <c r="X486" t="s">
        <v>1375</v>
      </c>
      <c r="Y486">
        <v>0</v>
      </c>
      <c r="Z486" s="4">
        <v>200000</v>
      </c>
      <c r="AA486" s="4">
        <v>20000</v>
      </c>
      <c r="AB486">
        <v>0</v>
      </c>
      <c r="AC486">
        <v>0</v>
      </c>
      <c r="AD486">
        <v>0</v>
      </c>
      <c r="AG486">
        <v>0</v>
      </c>
      <c r="AP486" t="s">
        <v>1376</v>
      </c>
      <c r="AQ486" t="s">
        <v>107</v>
      </c>
      <c r="AR486" t="s">
        <v>6638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BC486" t="s">
        <v>69</v>
      </c>
      <c r="BD486" t="s">
        <v>1377</v>
      </c>
      <c r="BE486">
        <v>0</v>
      </c>
      <c r="BG486" t="s">
        <v>107</v>
      </c>
      <c r="BJ486" t="s">
        <v>1378</v>
      </c>
    </row>
    <row r="487" spans="1:62" x14ac:dyDescent="0.35">
      <c r="A487" t="s">
        <v>1379</v>
      </c>
      <c r="B487">
        <v>10000</v>
      </c>
      <c r="C487">
        <v>20000</v>
      </c>
      <c r="D487" s="2">
        <v>45734</v>
      </c>
      <c r="E487" t="s">
        <v>61</v>
      </c>
      <c r="F487" t="s">
        <v>1380</v>
      </c>
      <c r="G487" t="s">
        <v>1346</v>
      </c>
      <c r="I487">
        <v>2</v>
      </c>
      <c r="J487" t="s">
        <v>63</v>
      </c>
      <c r="K487" s="8">
        <v>77</v>
      </c>
      <c r="L487" s="8" t="s">
        <v>6584</v>
      </c>
      <c r="M487" s="8" t="s">
        <v>6627</v>
      </c>
      <c r="N487" t="s">
        <v>127</v>
      </c>
      <c r="O487" t="s">
        <v>6567</v>
      </c>
      <c r="P487" s="4">
        <v>2500</v>
      </c>
      <c r="Q487">
        <f t="shared" si="114"/>
        <v>86.666666666666657</v>
      </c>
      <c r="R487">
        <f t="shared" si="115"/>
        <v>1.4444444444444442</v>
      </c>
      <c r="S487" s="2">
        <v>45724</v>
      </c>
      <c r="U487">
        <v>88</v>
      </c>
      <c r="V487" s="4">
        <v>220000</v>
      </c>
      <c r="W487" t="s">
        <v>65</v>
      </c>
      <c r="X487" t="s">
        <v>1381</v>
      </c>
      <c r="Y487">
        <v>0</v>
      </c>
      <c r="Z487" s="4">
        <v>200000</v>
      </c>
      <c r="AA487" s="4">
        <v>20000</v>
      </c>
      <c r="AB487">
        <v>0</v>
      </c>
      <c r="AC487">
        <v>0</v>
      </c>
      <c r="AD487">
        <v>0</v>
      </c>
      <c r="AG487">
        <v>0</v>
      </c>
      <c r="AP487" t="s">
        <v>1382</v>
      </c>
      <c r="AQ487" t="s">
        <v>107</v>
      </c>
      <c r="AR487" t="s">
        <v>6638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C487" t="s">
        <v>69</v>
      </c>
      <c r="BD487" t="s">
        <v>1383</v>
      </c>
      <c r="BE487">
        <v>0</v>
      </c>
      <c r="BG487" t="s">
        <v>107</v>
      </c>
      <c r="BJ487" t="s">
        <v>1384</v>
      </c>
    </row>
    <row r="488" spans="1:62" x14ac:dyDescent="0.35">
      <c r="A488" t="s">
        <v>1392</v>
      </c>
      <c r="B488">
        <v>10000</v>
      </c>
      <c r="C488">
        <v>20000</v>
      </c>
      <c r="D488" s="2">
        <v>45740</v>
      </c>
      <c r="E488" t="s">
        <v>61</v>
      </c>
      <c r="F488" s="3">
        <v>0.44521990740740741</v>
      </c>
      <c r="G488" t="s">
        <v>1346</v>
      </c>
      <c r="I488">
        <v>2</v>
      </c>
      <c r="J488" t="s">
        <v>63</v>
      </c>
      <c r="K488" s="8">
        <v>77</v>
      </c>
      <c r="L488" s="8" t="s">
        <v>6584</v>
      </c>
      <c r="M488" s="8" t="s">
        <v>6627</v>
      </c>
      <c r="N488" t="s">
        <v>127</v>
      </c>
      <c r="O488" t="s">
        <v>6567</v>
      </c>
      <c r="P488" s="4">
        <v>1250</v>
      </c>
      <c r="Q488">
        <f t="shared" si="114"/>
        <v>65.833333333333329</v>
      </c>
      <c r="R488">
        <f t="shared" si="115"/>
        <v>1.0972222222222221</v>
      </c>
      <c r="S488" s="2">
        <v>45724</v>
      </c>
      <c r="U488">
        <v>88</v>
      </c>
      <c r="V488" s="4">
        <v>110000</v>
      </c>
      <c r="W488" t="s">
        <v>65</v>
      </c>
      <c r="X488" t="s">
        <v>1393</v>
      </c>
      <c r="Y488">
        <v>0</v>
      </c>
      <c r="Z488" s="4">
        <v>100000</v>
      </c>
      <c r="AA488" s="4">
        <v>10000</v>
      </c>
      <c r="AB488">
        <v>0</v>
      </c>
      <c r="AC488">
        <v>0</v>
      </c>
      <c r="AD488">
        <v>0</v>
      </c>
      <c r="AG488">
        <v>0</v>
      </c>
      <c r="AP488" t="s">
        <v>1394</v>
      </c>
      <c r="AQ488" t="s">
        <v>107</v>
      </c>
      <c r="AR488" t="s">
        <v>6638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BC488" t="s">
        <v>69</v>
      </c>
      <c r="BD488" t="s">
        <v>1395</v>
      </c>
      <c r="BE488">
        <v>0</v>
      </c>
      <c r="BG488" t="s">
        <v>107</v>
      </c>
      <c r="BJ488" t="s">
        <v>1396</v>
      </c>
    </row>
    <row r="489" spans="1:62" x14ac:dyDescent="0.35">
      <c r="A489" t="s">
        <v>1397</v>
      </c>
      <c r="B489">
        <v>10000</v>
      </c>
      <c r="C489">
        <v>20000</v>
      </c>
      <c r="D489" s="2">
        <v>45740</v>
      </c>
      <c r="E489" t="s">
        <v>61</v>
      </c>
      <c r="F489" t="s">
        <v>2204</v>
      </c>
      <c r="G489" t="s">
        <v>1346</v>
      </c>
      <c r="I489">
        <v>2</v>
      </c>
      <c r="J489" t="s">
        <v>63</v>
      </c>
      <c r="K489" s="8">
        <v>77</v>
      </c>
      <c r="L489" s="8" t="s">
        <v>6584</v>
      </c>
      <c r="M489" s="8" t="s">
        <v>6627</v>
      </c>
      <c r="N489" t="s">
        <v>127</v>
      </c>
      <c r="O489" t="s">
        <v>6567</v>
      </c>
      <c r="P489" s="4">
        <v>1250</v>
      </c>
      <c r="Q489">
        <f t="shared" si="114"/>
        <v>65.833333333333329</v>
      </c>
      <c r="R489">
        <f t="shared" si="115"/>
        <v>1.0972222222222221</v>
      </c>
      <c r="S489" s="2">
        <v>45724</v>
      </c>
      <c r="U489">
        <v>88</v>
      </c>
      <c r="V489" s="4">
        <v>110000</v>
      </c>
      <c r="W489" t="s">
        <v>65</v>
      </c>
      <c r="X489" t="s">
        <v>1206</v>
      </c>
      <c r="Y489">
        <v>0</v>
      </c>
      <c r="Z489" s="4">
        <v>100000</v>
      </c>
      <c r="AA489" s="4">
        <v>10000</v>
      </c>
      <c r="AB489">
        <v>0</v>
      </c>
      <c r="AC489">
        <v>0</v>
      </c>
      <c r="AD489">
        <v>0</v>
      </c>
      <c r="AG489">
        <v>0</v>
      </c>
      <c r="AP489" t="s">
        <v>1207</v>
      </c>
      <c r="AQ489" t="s">
        <v>107</v>
      </c>
      <c r="AR489" t="s">
        <v>6638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BC489" t="s">
        <v>69</v>
      </c>
      <c r="BD489" t="s">
        <v>1398</v>
      </c>
      <c r="BE489">
        <v>0</v>
      </c>
      <c r="BG489" t="s">
        <v>107</v>
      </c>
      <c r="BJ489" t="s">
        <v>1399</v>
      </c>
    </row>
    <row r="490" spans="1:62" x14ac:dyDescent="0.35">
      <c r="A490" t="s">
        <v>1400</v>
      </c>
      <c r="B490">
        <v>10000</v>
      </c>
      <c r="C490">
        <v>20000</v>
      </c>
      <c r="D490" s="2">
        <v>45734</v>
      </c>
      <c r="E490" t="s">
        <v>61</v>
      </c>
      <c r="F490" t="s">
        <v>1187</v>
      </c>
      <c r="G490" t="s">
        <v>1346</v>
      </c>
      <c r="I490">
        <v>2</v>
      </c>
      <c r="J490" t="s">
        <v>63</v>
      </c>
      <c r="K490" s="8">
        <v>77</v>
      </c>
      <c r="L490" s="8" t="s">
        <v>6584</v>
      </c>
      <c r="M490" s="8" t="s">
        <v>6627</v>
      </c>
      <c r="N490" t="s">
        <v>127</v>
      </c>
      <c r="O490" t="s">
        <v>6567</v>
      </c>
      <c r="P490" s="4">
        <v>1250</v>
      </c>
      <c r="Q490">
        <f t="shared" si="114"/>
        <v>65.833333333333329</v>
      </c>
      <c r="R490">
        <f t="shared" si="115"/>
        <v>1.0972222222222221</v>
      </c>
      <c r="S490" s="2">
        <v>45724</v>
      </c>
      <c r="U490">
        <v>88</v>
      </c>
      <c r="V490" s="4">
        <v>110000</v>
      </c>
      <c r="W490" t="s">
        <v>65</v>
      </c>
      <c r="X490" t="s">
        <v>1218</v>
      </c>
      <c r="Y490">
        <v>0</v>
      </c>
      <c r="Z490" s="4">
        <v>100000</v>
      </c>
      <c r="AA490" s="4">
        <v>10000</v>
      </c>
      <c r="AB490">
        <v>0</v>
      </c>
      <c r="AC490">
        <v>0</v>
      </c>
      <c r="AD490">
        <v>0</v>
      </c>
      <c r="AG490">
        <v>0</v>
      </c>
      <c r="AP490" t="s">
        <v>1219</v>
      </c>
      <c r="AQ490" t="s">
        <v>107</v>
      </c>
      <c r="AR490" t="s">
        <v>6638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BC490" t="s">
        <v>69</v>
      </c>
      <c r="BD490" t="s">
        <v>1401</v>
      </c>
      <c r="BE490">
        <v>0</v>
      </c>
      <c r="BG490" t="s">
        <v>107</v>
      </c>
      <c r="BJ490" t="s">
        <v>1402</v>
      </c>
    </row>
    <row r="491" spans="1:62" x14ac:dyDescent="0.35">
      <c r="A491" t="s">
        <v>1820</v>
      </c>
      <c r="B491">
        <v>10000</v>
      </c>
      <c r="C491">
        <v>20000</v>
      </c>
      <c r="D491" s="2">
        <v>45726</v>
      </c>
      <c r="E491" t="s">
        <v>61</v>
      </c>
      <c r="F491" t="s">
        <v>1821</v>
      </c>
      <c r="G491" t="s">
        <v>1822</v>
      </c>
      <c r="I491">
        <v>2</v>
      </c>
      <c r="J491" t="s">
        <v>63</v>
      </c>
      <c r="K491" s="8">
        <v>71</v>
      </c>
      <c r="L491" s="8" t="s">
        <v>6588</v>
      </c>
      <c r="M491" s="8" t="s">
        <v>6630</v>
      </c>
      <c r="N491" t="s">
        <v>135</v>
      </c>
      <c r="O491" t="s">
        <v>6573</v>
      </c>
      <c r="P491">
        <v>625</v>
      </c>
      <c r="S491" s="2">
        <v>45724</v>
      </c>
      <c r="U491">
        <v>8</v>
      </c>
      <c r="V491" s="4">
        <v>5000</v>
      </c>
      <c r="W491" t="s">
        <v>65</v>
      </c>
      <c r="X491" t="s">
        <v>1823</v>
      </c>
      <c r="Y491">
        <v>0</v>
      </c>
      <c r="Z491" s="4">
        <v>5000</v>
      </c>
      <c r="AA491">
        <v>0</v>
      </c>
      <c r="AB491">
        <v>0</v>
      </c>
      <c r="AC491">
        <v>0</v>
      </c>
      <c r="AD491">
        <v>0</v>
      </c>
      <c r="AG491">
        <v>0</v>
      </c>
      <c r="AP491" t="s">
        <v>1824</v>
      </c>
      <c r="AQ491" t="s">
        <v>449</v>
      </c>
      <c r="AR491" t="s">
        <v>6654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BC491" t="s">
        <v>69</v>
      </c>
      <c r="BD491" t="s">
        <v>1825</v>
      </c>
      <c r="BE491">
        <v>0</v>
      </c>
      <c r="BG491" t="s">
        <v>449</v>
      </c>
      <c r="BJ491" t="s">
        <v>584</v>
      </c>
    </row>
    <row r="492" spans="1:62" x14ac:dyDescent="0.35">
      <c r="A492" t="s">
        <v>2205</v>
      </c>
      <c r="B492">
        <v>10000</v>
      </c>
      <c r="C492">
        <v>10000</v>
      </c>
      <c r="D492" s="2">
        <v>45726</v>
      </c>
      <c r="E492" t="s">
        <v>61</v>
      </c>
      <c r="F492" t="s">
        <v>2206</v>
      </c>
      <c r="G492" t="s">
        <v>2069</v>
      </c>
      <c r="I492">
        <v>1</v>
      </c>
      <c r="J492" t="s">
        <v>63</v>
      </c>
      <c r="K492" s="8">
        <v>94</v>
      </c>
      <c r="L492" s="8" t="s">
        <v>6599</v>
      </c>
      <c r="M492" s="8" t="s">
        <v>6629</v>
      </c>
      <c r="N492" t="s">
        <v>181</v>
      </c>
      <c r="O492" t="s">
        <v>6544</v>
      </c>
      <c r="P492" s="4">
        <v>10000</v>
      </c>
      <c r="S492" s="2">
        <v>45724</v>
      </c>
      <c r="U492">
        <v>4</v>
      </c>
      <c r="V492" s="4">
        <v>40000</v>
      </c>
      <c r="W492" t="s">
        <v>65</v>
      </c>
      <c r="X492" t="s">
        <v>1701</v>
      </c>
      <c r="Y492">
        <v>0</v>
      </c>
      <c r="Z492" s="4">
        <v>40000</v>
      </c>
      <c r="AA492">
        <v>0</v>
      </c>
      <c r="AB492">
        <v>0</v>
      </c>
      <c r="AC492">
        <v>0</v>
      </c>
      <c r="AD492">
        <v>0</v>
      </c>
      <c r="AG492">
        <v>0</v>
      </c>
      <c r="AP492" t="s">
        <v>1702</v>
      </c>
      <c r="AQ492" t="s">
        <v>364</v>
      </c>
      <c r="AR492" t="s">
        <v>6653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BC492" t="s">
        <v>69</v>
      </c>
      <c r="BD492" t="s">
        <v>2207</v>
      </c>
      <c r="BE492">
        <v>0</v>
      </c>
      <c r="BG492" t="s">
        <v>364</v>
      </c>
      <c r="BJ492" t="s">
        <v>2208</v>
      </c>
    </row>
    <row r="493" spans="1:62" x14ac:dyDescent="0.35">
      <c r="A493" t="s">
        <v>2209</v>
      </c>
      <c r="B493">
        <v>10000</v>
      </c>
      <c r="C493">
        <v>10000</v>
      </c>
      <c r="D493" s="2">
        <v>45726</v>
      </c>
      <c r="E493" t="s">
        <v>61</v>
      </c>
      <c r="F493" t="s">
        <v>2210</v>
      </c>
      <c r="G493" t="s">
        <v>2211</v>
      </c>
      <c r="I493">
        <v>1</v>
      </c>
      <c r="J493" t="s">
        <v>63</v>
      </c>
      <c r="K493" s="8">
        <v>61</v>
      </c>
      <c r="L493" s="8" t="s">
        <v>6594</v>
      </c>
      <c r="M493" s="8" t="s">
        <v>6629</v>
      </c>
      <c r="N493" t="s">
        <v>216</v>
      </c>
      <c r="O493" t="s">
        <v>6394</v>
      </c>
      <c r="P493" s="4">
        <v>5000</v>
      </c>
      <c r="Q493">
        <f>(P493/50)+45</f>
        <v>145</v>
      </c>
      <c r="R493">
        <f>Q493/60</f>
        <v>2.4166666666666665</v>
      </c>
      <c r="S493" s="2">
        <v>45724</v>
      </c>
      <c r="U493">
        <v>1</v>
      </c>
      <c r="V493" s="4">
        <v>5000</v>
      </c>
      <c r="W493" t="s">
        <v>65</v>
      </c>
      <c r="X493" t="s">
        <v>2212</v>
      </c>
      <c r="Y493">
        <v>0</v>
      </c>
      <c r="Z493" s="4">
        <v>5000</v>
      </c>
      <c r="AA493">
        <v>0</v>
      </c>
      <c r="AB493">
        <v>0</v>
      </c>
      <c r="AC493">
        <v>0</v>
      </c>
      <c r="AD493">
        <v>0</v>
      </c>
      <c r="AG493">
        <v>0</v>
      </c>
      <c r="AP493" t="s">
        <v>2213</v>
      </c>
      <c r="AQ493" t="s">
        <v>1016</v>
      </c>
      <c r="AR493" t="s">
        <v>6669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BC493" t="s">
        <v>69</v>
      </c>
      <c r="BD493" t="s">
        <v>2214</v>
      </c>
      <c r="BE493">
        <v>0</v>
      </c>
      <c r="BG493" t="s">
        <v>1016</v>
      </c>
      <c r="BJ493" t="s">
        <v>1018</v>
      </c>
    </row>
    <row r="494" spans="1:62" x14ac:dyDescent="0.35">
      <c r="A494" t="s">
        <v>2215</v>
      </c>
      <c r="B494">
        <v>10000</v>
      </c>
      <c r="C494">
        <v>10000</v>
      </c>
      <c r="D494" s="2">
        <v>45726</v>
      </c>
      <c r="E494" t="s">
        <v>61</v>
      </c>
      <c r="F494" t="s">
        <v>2216</v>
      </c>
      <c r="G494" t="s">
        <v>2217</v>
      </c>
      <c r="I494">
        <v>1</v>
      </c>
      <c r="J494" t="s">
        <v>63</v>
      </c>
      <c r="K494" s="8">
        <v>46</v>
      </c>
      <c r="L494" s="8" t="s">
        <v>6587</v>
      </c>
      <c r="M494" s="8" t="s">
        <v>6629</v>
      </c>
      <c r="N494" t="s">
        <v>113</v>
      </c>
      <c r="O494" t="s">
        <v>6499</v>
      </c>
      <c r="P494" s="4">
        <v>6000</v>
      </c>
      <c r="Q494">
        <f>(P494/40)+45</f>
        <v>195</v>
      </c>
      <c r="R494">
        <f>Q494/60</f>
        <v>3.25</v>
      </c>
      <c r="S494" s="2">
        <v>45724</v>
      </c>
      <c r="U494">
        <v>1</v>
      </c>
      <c r="V494" s="4">
        <v>6000</v>
      </c>
      <c r="W494" t="s">
        <v>65</v>
      </c>
      <c r="X494" t="s">
        <v>2218</v>
      </c>
      <c r="Y494">
        <v>0</v>
      </c>
      <c r="Z494" s="4">
        <v>6000</v>
      </c>
      <c r="AA494">
        <v>0</v>
      </c>
      <c r="AB494">
        <v>0</v>
      </c>
      <c r="AC494">
        <v>0</v>
      </c>
      <c r="AD494">
        <v>0</v>
      </c>
      <c r="AG494">
        <v>0</v>
      </c>
      <c r="AP494" t="s">
        <v>2219</v>
      </c>
      <c r="AQ494" t="s">
        <v>1016</v>
      </c>
      <c r="AR494" t="s">
        <v>6669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BC494" t="s">
        <v>69</v>
      </c>
      <c r="BD494" t="s">
        <v>2220</v>
      </c>
      <c r="BE494">
        <v>0</v>
      </c>
      <c r="BG494" t="s">
        <v>1016</v>
      </c>
      <c r="BJ494" t="s">
        <v>1018</v>
      </c>
    </row>
    <row r="495" spans="1:62" x14ac:dyDescent="0.35">
      <c r="A495" t="s">
        <v>2221</v>
      </c>
      <c r="B495">
        <v>10000</v>
      </c>
      <c r="C495">
        <v>10000</v>
      </c>
      <c r="D495" s="2">
        <v>45726</v>
      </c>
      <c r="E495" t="s">
        <v>61</v>
      </c>
      <c r="F495" t="s">
        <v>2068</v>
      </c>
      <c r="G495" t="s">
        <v>2222</v>
      </c>
      <c r="I495">
        <v>1</v>
      </c>
      <c r="J495" t="s">
        <v>63</v>
      </c>
      <c r="K495" s="8">
        <v>22</v>
      </c>
      <c r="L495" s="8" t="s">
        <v>6603</v>
      </c>
      <c r="M495" s="8" t="s">
        <v>6629</v>
      </c>
      <c r="N495" t="s">
        <v>466</v>
      </c>
      <c r="O495" t="s">
        <v>6474</v>
      </c>
      <c r="P495" s="4">
        <v>2500</v>
      </c>
      <c r="Q495">
        <f t="shared" ref="Q495:Q497" si="116">(P495/50)+45</f>
        <v>95</v>
      </c>
      <c r="R495">
        <f t="shared" ref="R495:R497" si="117">Q495/60</f>
        <v>1.5833333333333333</v>
      </c>
      <c r="S495" s="2">
        <v>45724</v>
      </c>
      <c r="U495">
        <v>2</v>
      </c>
      <c r="V495" s="4">
        <v>5000</v>
      </c>
      <c r="W495" t="s">
        <v>65</v>
      </c>
      <c r="X495" t="s">
        <v>2223</v>
      </c>
      <c r="Y495">
        <v>0</v>
      </c>
      <c r="Z495" s="4">
        <v>5000</v>
      </c>
      <c r="AA495">
        <v>0</v>
      </c>
      <c r="AB495">
        <v>0</v>
      </c>
      <c r="AC495">
        <v>0</v>
      </c>
      <c r="AD495">
        <v>0</v>
      </c>
      <c r="AG495">
        <v>0</v>
      </c>
      <c r="AP495" t="s">
        <v>2224</v>
      </c>
      <c r="AQ495" t="s">
        <v>116</v>
      </c>
      <c r="AR495" t="s">
        <v>6639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BC495" t="s">
        <v>69</v>
      </c>
      <c r="BD495" t="s">
        <v>2225</v>
      </c>
      <c r="BE495">
        <v>0</v>
      </c>
      <c r="BG495" t="s">
        <v>116</v>
      </c>
      <c r="BJ495" t="s">
        <v>1906</v>
      </c>
    </row>
    <row r="496" spans="1:62" x14ac:dyDescent="0.35">
      <c r="A496" t="s">
        <v>2226</v>
      </c>
      <c r="B496">
        <v>10000</v>
      </c>
      <c r="C496">
        <v>10000</v>
      </c>
      <c r="D496" s="2">
        <v>45726</v>
      </c>
      <c r="E496" t="s">
        <v>61</v>
      </c>
      <c r="F496" t="s">
        <v>2206</v>
      </c>
      <c r="G496" t="s">
        <v>2222</v>
      </c>
      <c r="I496">
        <v>1</v>
      </c>
      <c r="J496" t="s">
        <v>63</v>
      </c>
      <c r="K496" s="8">
        <v>22</v>
      </c>
      <c r="L496" s="8" t="s">
        <v>6603</v>
      </c>
      <c r="M496" s="8" t="s">
        <v>6629</v>
      </c>
      <c r="N496" t="s">
        <v>466</v>
      </c>
      <c r="O496" t="s">
        <v>6474</v>
      </c>
      <c r="P496" s="4">
        <v>2500</v>
      </c>
      <c r="Q496">
        <f t="shared" si="116"/>
        <v>95</v>
      </c>
      <c r="R496">
        <f t="shared" si="117"/>
        <v>1.5833333333333333</v>
      </c>
      <c r="S496" s="2">
        <v>45724</v>
      </c>
      <c r="U496">
        <v>2</v>
      </c>
      <c r="V496" s="4">
        <v>5000</v>
      </c>
      <c r="W496" t="s">
        <v>65</v>
      </c>
      <c r="X496" t="s">
        <v>2227</v>
      </c>
      <c r="Y496">
        <v>0</v>
      </c>
      <c r="Z496" s="4">
        <v>5000</v>
      </c>
      <c r="AA496">
        <v>0</v>
      </c>
      <c r="AB496">
        <v>0</v>
      </c>
      <c r="AC496">
        <v>0</v>
      </c>
      <c r="AD496">
        <v>0</v>
      </c>
      <c r="AG496">
        <v>0</v>
      </c>
      <c r="AP496" t="s">
        <v>2228</v>
      </c>
      <c r="AQ496" t="s">
        <v>116</v>
      </c>
      <c r="AR496" t="s">
        <v>6639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BC496" t="s">
        <v>69</v>
      </c>
      <c r="BD496" t="s">
        <v>2229</v>
      </c>
      <c r="BE496">
        <v>0</v>
      </c>
      <c r="BG496" t="s">
        <v>116</v>
      </c>
      <c r="BJ496" t="s">
        <v>2230</v>
      </c>
    </row>
    <row r="497" spans="1:62" x14ac:dyDescent="0.35">
      <c r="A497" t="s">
        <v>2231</v>
      </c>
      <c r="B497">
        <v>10000</v>
      </c>
      <c r="C497">
        <v>10000</v>
      </c>
      <c r="D497" s="2">
        <v>45726</v>
      </c>
      <c r="E497" t="s">
        <v>61</v>
      </c>
      <c r="F497" s="3">
        <v>0.47267361111111111</v>
      </c>
      <c r="G497" t="s">
        <v>2222</v>
      </c>
      <c r="I497">
        <v>1</v>
      </c>
      <c r="J497" t="s">
        <v>63</v>
      </c>
      <c r="K497" s="8">
        <v>22</v>
      </c>
      <c r="L497" s="8" t="s">
        <v>6603</v>
      </c>
      <c r="M497" s="8" t="s">
        <v>6629</v>
      </c>
      <c r="N497" t="s">
        <v>466</v>
      </c>
      <c r="O497" t="s">
        <v>6474</v>
      </c>
      <c r="P497" s="4">
        <v>11000</v>
      </c>
      <c r="Q497">
        <f t="shared" si="116"/>
        <v>265</v>
      </c>
      <c r="R497">
        <f t="shared" si="117"/>
        <v>4.416666666666667</v>
      </c>
      <c r="S497" s="2">
        <v>45724</v>
      </c>
      <c r="U497">
        <v>2</v>
      </c>
      <c r="V497" s="4">
        <v>22000</v>
      </c>
      <c r="W497" t="s">
        <v>65</v>
      </c>
      <c r="X497" t="s">
        <v>2232</v>
      </c>
      <c r="Y497">
        <v>0</v>
      </c>
      <c r="Z497" s="4">
        <v>22000</v>
      </c>
      <c r="AA497">
        <v>0</v>
      </c>
      <c r="AB497">
        <v>0</v>
      </c>
      <c r="AC497">
        <v>0</v>
      </c>
      <c r="AD497">
        <v>0</v>
      </c>
      <c r="AG497">
        <v>0</v>
      </c>
      <c r="AP497" t="s">
        <v>2233</v>
      </c>
      <c r="AQ497" t="s">
        <v>116</v>
      </c>
      <c r="AR497" t="s">
        <v>6639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BC497" t="s">
        <v>69</v>
      </c>
      <c r="BD497" t="s">
        <v>2234</v>
      </c>
      <c r="BE497">
        <v>0</v>
      </c>
      <c r="BG497" t="s">
        <v>116</v>
      </c>
      <c r="BJ497" t="s">
        <v>2230</v>
      </c>
    </row>
    <row r="498" spans="1:62" x14ac:dyDescent="0.35">
      <c r="A498" t="s">
        <v>1511</v>
      </c>
      <c r="B498">
        <v>10000</v>
      </c>
      <c r="C498">
        <v>20000</v>
      </c>
      <c r="D498" s="2">
        <v>45734</v>
      </c>
      <c r="E498" t="s">
        <v>61</v>
      </c>
      <c r="F498" t="s">
        <v>310</v>
      </c>
      <c r="G498" t="s">
        <v>1346</v>
      </c>
      <c r="I498">
        <v>2</v>
      </c>
      <c r="J498" t="s">
        <v>63</v>
      </c>
      <c r="K498" s="8">
        <v>77</v>
      </c>
      <c r="L498" s="8" t="s">
        <v>6584</v>
      </c>
      <c r="M498" s="8" t="s">
        <v>6627</v>
      </c>
      <c r="N498" t="s">
        <v>127</v>
      </c>
      <c r="O498" t="s">
        <v>6567</v>
      </c>
      <c r="P498" s="4">
        <v>2500</v>
      </c>
      <c r="Q498">
        <f>(P498/60)+45</f>
        <v>86.666666666666657</v>
      </c>
      <c r="R498">
        <f>Q498/60</f>
        <v>1.4444444444444442</v>
      </c>
      <c r="S498" s="2">
        <v>45724</v>
      </c>
      <c r="U498">
        <v>88</v>
      </c>
      <c r="V498" s="4">
        <v>220000</v>
      </c>
      <c r="W498" t="s">
        <v>65</v>
      </c>
      <c r="X498" t="s">
        <v>1512</v>
      </c>
      <c r="Y498">
        <v>0</v>
      </c>
      <c r="Z498" s="4">
        <v>200000</v>
      </c>
      <c r="AA498" s="4">
        <v>20000</v>
      </c>
      <c r="AB498">
        <v>0</v>
      </c>
      <c r="AC498">
        <v>0</v>
      </c>
      <c r="AD498">
        <v>0</v>
      </c>
      <c r="AG498">
        <v>0</v>
      </c>
      <c r="AP498" t="s">
        <v>1513</v>
      </c>
      <c r="AQ498" t="s">
        <v>107</v>
      </c>
      <c r="AR498" t="s">
        <v>6638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BC498" t="s">
        <v>69</v>
      </c>
      <c r="BD498" t="s">
        <v>1514</v>
      </c>
      <c r="BE498">
        <v>0</v>
      </c>
      <c r="BG498" t="s">
        <v>107</v>
      </c>
      <c r="BJ498" t="s">
        <v>1515</v>
      </c>
    </row>
    <row r="499" spans="1:62" x14ac:dyDescent="0.35">
      <c r="A499" t="s">
        <v>1955</v>
      </c>
      <c r="B499">
        <v>10000</v>
      </c>
      <c r="C499">
        <v>20000</v>
      </c>
      <c r="D499" s="2">
        <v>45726</v>
      </c>
      <c r="E499" t="s">
        <v>61</v>
      </c>
      <c r="F499" t="s">
        <v>1956</v>
      </c>
      <c r="G499" t="s">
        <v>1822</v>
      </c>
      <c r="I499">
        <v>2</v>
      </c>
      <c r="J499" t="s">
        <v>63</v>
      </c>
      <c r="K499" s="8">
        <v>71</v>
      </c>
      <c r="L499" s="8" t="s">
        <v>6588</v>
      </c>
      <c r="M499" s="8" t="s">
        <v>6630</v>
      </c>
      <c r="N499" t="s">
        <v>135</v>
      </c>
      <c r="O499" t="s">
        <v>6573</v>
      </c>
      <c r="P499">
        <v>625</v>
      </c>
      <c r="S499" s="2">
        <v>45724</v>
      </c>
      <c r="U499">
        <v>8</v>
      </c>
      <c r="V499" s="4">
        <v>5000</v>
      </c>
      <c r="W499" t="s">
        <v>65</v>
      </c>
      <c r="X499" t="s">
        <v>1957</v>
      </c>
      <c r="Y499">
        <v>0</v>
      </c>
      <c r="Z499" s="4">
        <v>5000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1958</v>
      </c>
      <c r="AQ499" t="s">
        <v>449</v>
      </c>
      <c r="AR499" t="s">
        <v>6654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BC499" t="s">
        <v>69</v>
      </c>
      <c r="BD499" t="s">
        <v>1959</v>
      </c>
      <c r="BE499">
        <v>0</v>
      </c>
      <c r="BG499" t="s">
        <v>449</v>
      </c>
      <c r="BJ499" t="s">
        <v>1960</v>
      </c>
    </row>
    <row r="500" spans="1:62" x14ac:dyDescent="0.35">
      <c r="A500" t="s">
        <v>2235</v>
      </c>
      <c r="B500">
        <v>10000</v>
      </c>
      <c r="C500">
        <v>10000</v>
      </c>
      <c r="D500" s="2">
        <v>45726</v>
      </c>
      <c r="E500" t="s">
        <v>61</v>
      </c>
      <c r="F500" t="s">
        <v>2236</v>
      </c>
      <c r="G500" t="s">
        <v>2237</v>
      </c>
      <c r="I500">
        <v>1</v>
      </c>
      <c r="J500" t="s">
        <v>63</v>
      </c>
      <c r="K500" s="8">
        <v>71</v>
      </c>
      <c r="L500" s="8" t="s">
        <v>6588</v>
      </c>
      <c r="M500" s="8" t="s">
        <v>6630</v>
      </c>
      <c r="N500" t="s">
        <v>135</v>
      </c>
      <c r="O500" t="s">
        <v>6573</v>
      </c>
      <c r="P500" s="4">
        <v>20000</v>
      </c>
      <c r="S500" s="2">
        <v>45724</v>
      </c>
      <c r="U500">
        <v>1</v>
      </c>
      <c r="V500" s="4">
        <v>20000</v>
      </c>
      <c r="W500" t="s">
        <v>65</v>
      </c>
      <c r="X500" t="s">
        <v>2238</v>
      </c>
      <c r="Y500">
        <v>0</v>
      </c>
      <c r="Z500" s="4">
        <v>20000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2239</v>
      </c>
      <c r="AQ500" t="s">
        <v>2240</v>
      </c>
      <c r="AR500" t="s">
        <v>6698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C500" t="s">
        <v>69</v>
      </c>
      <c r="BD500" t="s">
        <v>2241</v>
      </c>
      <c r="BE500">
        <v>0</v>
      </c>
      <c r="BG500" t="s">
        <v>2240</v>
      </c>
      <c r="BJ500" t="s">
        <v>2242</v>
      </c>
    </row>
    <row r="501" spans="1:62" x14ac:dyDescent="0.35">
      <c r="A501" t="s">
        <v>1968</v>
      </c>
      <c r="B501">
        <v>10000</v>
      </c>
      <c r="C501">
        <v>50000</v>
      </c>
      <c r="D501" s="2">
        <v>45727</v>
      </c>
      <c r="E501" t="s">
        <v>61</v>
      </c>
      <c r="F501" s="3">
        <v>0.44810185185185186</v>
      </c>
      <c r="G501">
        <v>59469</v>
      </c>
      <c r="I501">
        <v>2</v>
      </c>
      <c r="J501" t="s">
        <v>63</v>
      </c>
      <c r="K501" s="8">
        <v>96</v>
      </c>
      <c r="L501" s="8" t="s">
        <v>6585</v>
      </c>
      <c r="M501" s="8" t="s">
        <v>6628</v>
      </c>
      <c r="N501" t="s">
        <v>2243</v>
      </c>
      <c r="O501" t="s">
        <v>6578</v>
      </c>
      <c r="P501" s="4">
        <v>157500</v>
      </c>
      <c r="S501" s="2">
        <v>45724</v>
      </c>
      <c r="U501">
        <v>6</v>
      </c>
      <c r="V501" s="4">
        <v>945000</v>
      </c>
      <c r="W501" t="s">
        <v>65</v>
      </c>
      <c r="X501" t="s">
        <v>1410</v>
      </c>
      <c r="Y501">
        <v>0</v>
      </c>
      <c r="Z501" s="4">
        <v>963435</v>
      </c>
      <c r="AA501" s="4">
        <v>-18435</v>
      </c>
      <c r="AB501">
        <v>0</v>
      </c>
      <c r="AC501">
        <v>0</v>
      </c>
      <c r="AD501">
        <v>0</v>
      </c>
      <c r="AG501">
        <v>0</v>
      </c>
      <c r="AP501" t="s">
        <v>1411</v>
      </c>
      <c r="AQ501" t="s">
        <v>321</v>
      </c>
      <c r="AR501" t="s">
        <v>6652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BC501" t="s">
        <v>69</v>
      </c>
      <c r="BD501" t="s">
        <v>1970</v>
      </c>
      <c r="BE501">
        <v>0</v>
      </c>
      <c r="BG501" t="s">
        <v>321</v>
      </c>
      <c r="BJ501" t="s">
        <v>1971</v>
      </c>
    </row>
    <row r="502" spans="1:62" x14ac:dyDescent="0.35">
      <c r="A502" t="s">
        <v>2245</v>
      </c>
      <c r="B502">
        <v>10000</v>
      </c>
      <c r="C502">
        <v>30000</v>
      </c>
      <c r="D502" s="2">
        <v>45727</v>
      </c>
      <c r="E502" t="s">
        <v>61</v>
      </c>
      <c r="F502" t="s">
        <v>2246</v>
      </c>
      <c r="G502" t="s">
        <v>2247</v>
      </c>
      <c r="I502">
        <v>2</v>
      </c>
      <c r="J502" t="s">
        <v>63</v>
      </c>
      <c r="K502" s="8">
        <v>82</v>
      </c>
      <c r="L502" s="8" t="s">
        <v>6598</v>
      </c>
      <c r="M502" s="8" t="s">
        <v>6630</v>
      </c>
      <c r="N502" t="s">
        <v>341</v>
      </c>
      <c r="O502" t="s">
        <v>6346</v>
      </c>
      <c r="P502" s="4">
        <v>6250</v>
      </c>
      <c r="S502" s="2">
        <v>45726</v>
      </c>
      <c r="U502">
        <v>8</v>
      </c>
      <c r="V502" s="4">
        <v>50000</v>
      </c>
      <c r="W502" t="s">
        <v>65</v>
      </c>
      <c r="X502" t="s">
        <v>2248</v>
      </c>
      <c r="Y502">
        <v>0</v>
      </c>
      <c r="Z502" s="4">
        <v>50000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2249</v>
      </c>
      <c r="AQ502" t="s">
        <v>271</v>
      </c>
      <c r="AR502" t="s">
        <v>6648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BC502" t="s">
        <v>69</v>
      </c>
      <c r="BD502" t="s">
        <v>2250</v>
      </c>
      <c r="BE502">
        <v>0</v>
      </c>
      <c r="BG502" t="s">
        <v>271</v>
      </c>
      <c r="BJ502" t="s">
        <v>2251</v>
      </c>
    </row>
    <row r="503" spans="1:62" x14ac:dyDescent="0.35">
      <c r="A503" t="s">
        <v>725</v>
      </c>
      <c r="B503">
        <v>10000</v>
      </c>
      <c r="C503">
        <v>40000</v>
      </c>
      <c r="D503" s="2">
        <v>45730</v>
      </c>
      <c r="E503" t="s">
        <v>61</v>
      </c>
      <c r="F503" t="s">
        <v>726</v>
      </c>
      <c r="G503" t="s">
        <v>727</v>
      </c>
      <c r="I503">
        <v>3</v>
      </c>
      <c r="J503" t="s">
        <v>63</v>
      </c>
      <c r="K503" s="8">
        <v>91</v>
      </c>
      <c r="L503" s="8" t="s">
        <v>6585</v>
      </c>
      <c r="M503" s="8" t="s">
        <v>6628</v>
      </c>
      <c r="N503" t="s">
        <v>75</v>
      </c>
      <c r="O503" t="s">
        <v>6581</v>
      </c>
      <c r="P503" s="4">
        <v>111000</v>
      </c>
      <c r="S503" s="2">
        <v>45726</v>
      </c>
      <c r="U503">
        <v>9</v>
      </c>
      <c r="V503" s="4">
        <v>999000</v>
      </c>
      <c r="W503" t="s">
        <v>65</v>
      </c>
      <c r="X503" t="s">
        <v>728</v>
      </c>
      <c r="Y503">
        <v>0</v>
      </c>
      <c r="Z503" s="4">
        <v>940678</v>
      </c>
      <c r="AA503" s="4">
        <v>58322</v>
      </c>
      <c r="AB503">
        <v>0</v>
      </c>
      <c r="AC503">
        <v>0</v>
      </c>
      <c r="AD503">
        <v>0</v>
      </c>
      <c r="AG503">
        <v>0</v>
      </c>
      <c r="AP503" t="s">
        <v>729</v>
      </c>
      <c r="AQ503" t="s">
        <v>68</v>
      </c>
      <c r="AR503" t="s">
        <v>6636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BC503" t="s">
        <v>69</v>
      </c>
      <c r="BD503" t="s">
        <v>730</v>
      </c>
      <c r="BE503">
        <v>0</v>
      </c>
      <c r="BG503" t="s">
        <v>68</v>
      </c>
      <c r="BJ503" t="s">
        <v>731</v>
      </c>
    </row>
    <row r="504" spans="1:62" x14ac:dyDescent="0.35">
      <c r="A504" t="s">
        <v>2252</v>
      </c>
      <c r="B504">
        <v>10000</v>
      </c>
      <c r="C504">
        <v>10000</v>
      </c>
      <c r="D504" s="2">
        <v>45726</v>
      </c>
      <c r="E504" t="s">
        <v>61</v>
      </c>
      <c r="F504" t="s">
        <v>2253</v>
      </c>
      <c r="G504" t="s">
        <v>885</v>
      </c>
      <c r="I504">
        <v>1</v>
      </c>
      <c r="J504" t="s">
        <v>63</v>
      </c>
      <c r="K504" s="8">
        <v>59</v>
      </c>
      <c r="L504" s="8" t="s">
        <v>6592</v>
      </c>
      <c r="M504" s="8" t="s">
        <v>6629</v>
      </c>
      <c r="N504" t="s">
        <v>745</v>
      </c>
      <c r="O504" t="s">
        <v>6501</v>
      </c>
      <c r="P504" s="4">
        <v>7500</v>
      </c>
      <c r="Q504">
        <f t="shared" ref="Q504:Q506" si="118">(P504/40)+45</f>
        <v>232.5</v>
      </c>
      <c r="R504">
        <f t="shared" ref="R504:R506" si="119">Q504/60</f>
        <v>3.875</v>
      </c>
      <c r="S504" s="2">
        <v>45726</v>
      </c>
      <c r="U504">
        <v>6</v>
      </c>
      <c r="V504" s="4">
        <v>45000</v>
      </c>
      <c r="W504" t="s">
        <v>65</v>
      </c>
      <c r="X504" t="s">
        <v>2254</v>
      </c>
      <c r="Y504">
        <v>0</v>
      </c>
      <c r="Z504" s="4">
        <v>45000</v>
      </c>
      <c r="AA504">
        <v>0</v>
      </c>
      <c r="AB504">
        <v>0</v>
      </c>
      <c r="AC504">
        <v>0</v>
      </c>
      <c r="AD504">
        <v>0</v>
      </c>
      <c r="AG504">
        <v>0</v>
      </c>
      <c r="AP504">
        <v>15058363</v>
      </c>
      <c r="AQ504" t="s">
        <v>311</v>
      </c>
      <c r="AR504" t="s">
        <v>6651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BC504" t="s">
        <v>69</v>
      </c>
      <c r="BD504" t="s">
        <v>2255</v>
      </c>
      <c r="BE504">
        <v>0</v>
      </c>
      <c r="BG504" t="s">
        <v>311</v>
      </c>
      <c r="BJ504" t="s">
        <v>2256</v>
      </c>
    </row>
    <row r="505" spans="1:62" x14ac:dyDescent="0.35">
      <c r="A505" t="s">
        <v>2257</v>
      </c>
      <c r="B505">
        <v>10000</v>
      </c>
      <c r="C505">
        <v>10000</v>
      </c>
      <c r="D505" s="2">
        <v>45727</v>
      </c>
      <c r="E505" t="s">
        <v>61</v>
      </c>
      <c r="F505" t="s">
        <v>2258</v>
      </c>
      <c r="G505" t="s">
        <v>2089</v>
      </c>
      <c r="I505">
        <v>1</v>
      </c>
      <c r="J505" t="s">
        <v>63</v>
      </c>
      <c r="K505" s="8">
        <v>31</v>
      </c>
      <c r="L505" s="8" t="s">
        <v>6595</v>
      </c>
      <c r="M505" s="8" t="s">
        <v>6629</v>
      </c>
      <c r="N505" t="s">
        <v>1311</v>
      </c>
      <c r="O505" t="s">
        <v>6491</v>
      </c>
      <c r="P505" s="4">
        <v>30125</v>
      </c>
      <c r="Q505">
        <f t="shared" si="118"/>
        <v>798.125</v>
      </c>
      <c r="R505">
        <f t="shared" si="119"/>
        <v>13.302083333333334</v>
      </c>
      <c r="S505" s="2">
        <v>45726</v>
      </c>
      <c r="U505">
        <v>4</v>
      </c>
      <c r="V505" s="4">
        <v>120500</v>
      </c>
      <c r="W505" t="s">
        <v>65</v>
      </c>
      <c r="X505">
        <v>200129790001</v>
      </c>
      <c r="Y505">
        <v>0</v>
      </c>
      <c r="Z505" s="4">
        <v>120500</v>
      </c>
      <c r="AA505">
        <v>0</v>
      </c>
      <c r="AB505">
        <v>0</v>
      </c>
      <c r="AC505">
        <v>0</v>
      </c>
      <c r="AD505">
        <v>0</v>
      </c>
      <c r="AG505">
        <v>0</v>
      </c>
      <c r="AP505">
        <v>20012979</v>
      </c>
      <c r="AQ505" t="s">
        <v>311</v>
      </c>
      <c r="AR505" t="s">
        <v>6651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BC505" t="s">
        <v>69</v>
      </c>
      <c r="BD505" t="s">
        <v>2259</v>
      </c>
      <c r="BE505">
        <v>0</v>
      </c>
      <c r="BG505" t="s">
        <v>311</v>
      </c>
      <c r="BJ505" t="s">
        <v>2260</v>
      </c>
    </row>
    <row r="506" spans="1:62" x14ac:dyDescent="0.35">
      <c r="A506" t="s">
        <v>2261</v>
      </c>
      <c r="B506">
        <v>10000</v>
      </c>
      <c r="C506">
        <v>10000</v>
      </c>
      <c r="D506" s="2">
        <v>45727</v>
      </c>
      <c r="E506" t="s">
        <v>61</v>
      </c>
      <c r="F506" t="s">
        <v>2262</v>
      </c>
      <c r="G506" t="s">
        <v>2263</v>
      </c>
      <c r="I506">
        <v>1</v>
      </c>
      <c r="J506" t="s">
        <v>63</v>
      </c>
      <c r="K506" s="8">
        <v>63</v>
      </c>
      <c r="L506" s="8" t="s">
        <v>6605</v>
      </c>
      <c r="M506" s="8" t="s">
        <v>6630</v>
      </c>
      <c r="N506" t="s">
        <v>519</v>
      </c>
      <c r="O506" t="s">
        <v>6569</v>
      </c>
      <c r="P506" s="4">
        <v>5000</v>
      </c>
      <c r="Q506">
        <f t="shared" si="118"/>
        <v>170</v>
      </c>
      <c r="R506">
        <f t="shared" si="119"/>
        <v>2.8333333333333335</v>
      </c>
      <c r="S506" s="2">
        <v>45726</v>
      </c>
      <c r="U506">
        <v>100</v>
      </c>
      <c r="V506" s="4">
        <v>500000</v>
      </c>
      <c r="W506" t="s">
        <v>65</v>
      </c>
      <c r="X506" t="s">
        <v>2264</v>
      </c>
      <c r="Y506">
        <v>0</v>
      </c>
      <c r="Z506" s="4">
        <v>500000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2265</v>
      </c>
      <c r="AQ506" t="s">
        <v>2266</v>
      </c>
      <c r="AR506" t="s">
        <v>6699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C506" t="s">
        <v>69</v>
      </c>
      <c r="BD506" t="s">
        <v>2267</v>
      </c>
      <c r="BE506">
        <v>0</v>
      </c>
      <c r="BG506" t="s">
        <v>2266</v>
      </c>
      <c r="BJ506" t="s">
        <v>2268</v>
      </c>
    </row>
    <row r="507" spans="1:62" x14ac:dyDescent="0.35">
      <c r="A507" t="s">
        <v>2269</v>
      </c>
      <c r="B507">
        <v>10000</v>
      </c>
      <c r="C507">
        <v>20000</v>
      </c>
      <c r="D507" s="2">
        <v>45726</v>
      </c>
      <c r="E507" t="s">
        <v>61</v>
      </c>
      <c r="F507" t="s">
        <v>2270</v>
      </c>
      <c r="G507" t="s">
        <v>2271</v>
      </c>
      <c r="I507">
        <v>1</v>
      </c>
      <c r="J507" t="s">
        <v>63</v>
      </c>
      <c r="K507" s="8">
        <v>94</v>
      </c>
      <c r="L507" s="8" t="s">
        <v>6599</v>
      </c>
      <c r="M507" s="8" t="s">
        <v>6629</v>
      </c>
      <c r="N507" t="s">
        <v>181</v>
      </c>
      <c r="O507" t="s">
        <v>6544</v>
      </c>
      <c r="P507" s="4">
        <v>4500</v>
      </c>
      <c r="S507" s="2">
        <v>45726</v>
      </c>
      <c r="U507">
        <v>4</v>
      </c>
      <c r="V507" s="4">
        <v>18000</v>
      </c>
      <c r="W507" t="s">
        <v>65</v>
      </c>
      <c r="X507" t="s">
        <v>2272</v>
      </c>
      <c r="Y507">
        <v>0</v>
      </c>
      <c r="Z507" s="4">
        <v>9000</v>
      </c>
      <c r="AA507" s="4">
        <v>9000</v>
      </c>
      <c r="AB507">
        <v>0</v>
      </c>
      <c r="AC507">
        <v>0</v>
      </c>
      <c r="AD507">
        <v>0</v>
      </c>
      <c r="AG507">
        <v>0</v>
      </c>
      <c r="AP507" t="s">
        <v>2273</v>
      </c>
      <c r="AQ507" t="s">
        <v>364</v>
      </c>
      <c r="AR507" t="s">
        <v>6653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BC507" t="s">
        <v>69</v>
      </c>
      <c r="BD507" t="s">
        <v>2274</v>
      </c>
      <c r="BE507">
        <v>0</v>
      </c>
      <c r="BG507" t="s">
        <v>364</v>
      </c>
      <c r="BJ507" t="s">
        <v>2275</v>
      </c>
    </row>
    <row r="508" spans="1:62" x14ac:dyDescent="0.35">
      <c r="A508" t="s">
        <v>2276</v>
      </c>
      <c r="B508">
        <v>10000</v>
      </c>
      <c r="C508">
        <v>10000</v>
      </c>
      <c r="D508" s="2">
        <v>45728</v>
      </c>
      <c r="E508" t="s">
        <v>61</v>
      </c>
      <c r="F508" t="s">
        <v>2277</v>
      </c>
      <c r="G508" t="s">
        <v>2278</v>
      </c>
      <c r="I508">
        <v>1</v>
      </c>
      <c r="J508" t="s">
        <v>63</v>
      </c>
      <c r="K508" s="8">
        <v>60</v>
      </c>
      <c r="L508" s="8" t="s">
        <v>6590</v>
      </c>
      <c r="M508" s="8" t="s">
        <v>6630</v>
      </c>
      <c r="N508" t="s">
        <v>277</v>
      </c>
      <c r="O508" t="s">
        <v>6554</v>
      </c>
      <c r="P508" s="4">
        <v>5100</v>
      </c>
      <c r="Q508">
        <f>(P508/50)+45</f>
        <v>147</v>
      </c>
      <c r="R508">
        <f>Q508/60</f>
        <v>2.4500000000000002</v>
      </c>
      <c r="S508" s="2">
        <v>45726</v>
      </c>
      <c r="U508">
        <v>10</v>
      </c>
      <c r="V508" s="4">
        <v>51000</v>
      </c>
      <c r="W508" t="s">
        <v>65</v>
      </c>
      <c r="X508" t="s">
        <v>2153</v>
      </c>
      <c r="Y508">
        <v>0</v>
      </c>
      <c r="Z508" s="4">
        <v>51000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2154</v>
      </c>
      <c r="AQ508" t="s">
        <v>321</v>
      </c>
      <c r="AR508" t="s">
        <v>6652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BC508" t="s">
        <v>69</v>
      </c>
      <c r="BD508" t="s">
        <v>2279</v>
      </c>
      <c r="BE508">
        <v>0</v>
      </c>
      <c r="BG508" t="s">
        <v>321</v>
      </c>
      <c r="BJ508" t="s">
        <v>2280</v>
      </c>
    </row>
    <row r="509" spans="1:62" x14ac:dyDescent="0.35">
      <c r="A509" t="s">
        <v>1179</v>
      </c>
      <c r="B509">
        <v>10000</v>
      </c>
      <c r="C509">
        <v>30000</v>
      </c>
      <c r="D509" s="2">
        <v>45727</v>
      </c>
      <c r="E509" t="s">
        <v>61</v>
      </c>
      <c r="F509" t="s">
        <v>1180</v>
      </c>
      <c r="G509" t="s">
        <v>1181</v>
      </c>
      <c r="I509">
        <v>3</v>
      </c>
      <c r="J509" t="s">
        <v>63</v>
      </c>
      <c r="K509" s="8">
        <v>85</v>
      </c>
      <c r="L509" s="8" t="s">
        <v>6585</v>
      </c>
      <c r="M509" s="8" t="s">
        <v>6628</v>
      </c>
      <c r="N509" t="s">
        <v>327</v>
      </c>
      <c r="O509" t="s">
        <v>6580</v>
      </c>
      <c r="P509" s="4">
        <v>10000</v>
      </c>
      <c r="S509" s="2">
        <v>45726</v>
      </c>
      <c r="U509">
        <v>11</v>
      </c>
      <c r="V509" s="4">
        <v>110000</v>
      </c>
      <c r="W509" t="s">
        <v>65</v>
      </c>
      <c r="X509" t="s">
        <v>1182</v>
      </c>
      <c r="Y509">
        <v>0</v>
      </c>
      <c r="Z509" s="4">
        <v>100000</v>
      </c>
      <c r="AA509" s="4">
        <v>10000</v>
      </c>
      <c r="AB509">
        <v>0</v>
      </c>
      <c r="AC509">
        <v>0</v>
      </c>
      <c r="AD509">
        <v>0</v>
      </c>
      <c r="AG509">
        <v>0</v>
      </c>
      <c r="AP509" t="s">
        <v>1183</v>
      </c>
      <c r="AQ509" t="s">
        <v>107</v>
      </c>
      <c r="AR509" t="s">
        <v>6638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BC509" t="s">
        <v>69</v>
      </c>
      <c r="BD509" t="s">
        <v>1184</v>
      </c>
      <c r="BE509">
        <v>0</v>
      </c>
      <c r="BG509" t="s">
        <v>107</v>
      </c>
      <c r="BJ509" t="s">
        <v>1185</v>
      </c>
    </row>
    <row r="510" spans="1:62" x14ac:dyDescent="0.35">
      <c r="A510" t="s">
        <v>1186</v>
      </c>
      <c r="B510">
        <v>10000</v>
      </c>
      <c r="C510">
        <v>30000</v>
      </c>
      <c r="D510" s="2">
        <v>45727</v>
      </c>
      <c r="E510" t="s">
        <v>61</v>
      </c>
      <c r="F510" t="s">
        <v>1187</v>
      </c>
      <c r="G510" t="s">
        <v>1181</v>
      </c>
      <c r="I510">
        <v>3</v>
      </c>
      <c r="J510" t="s">
        <v>63</v>
      </c>
      <c r="K510" s="8">
        <v>85</v>
      </c>
      <c r="L510" s="8" t="s">
        <v>6585</v>
      </c>
      <c r="M510" s="8" t="s">
        <v>6628</v>
      </c>
      <c r="N510" t="s">
        <v>327</v>
      </c>
      <c r="O510" t="s">
        <v>6580</v>
      </c>
      <c r="P510" s="4">
        <v>10000</v>
      </c>
      <c r="S510" s="2">
        <v>45726</v>
      </c>
      <c r="U510">
        <v>11</v>
      </c>
      <c r="V510" s="4">
        <v>110000</v>
      </c>
      <c r="W510" t="s">
        <v>65</v>
      </c>
      <c r="X510" t="s">
        <v>1188</v>
      </c>
      <c r="Y510">
        <v>0</v>
      </c>
      <c r="Z510" s="4">
        <v>100000</v>
      </c>
      <c r="AA510" s="4">
        <v>10000</v>
      </c>
      <c r="AB510">
        <v>0</v>
      </c>
      <c r="AC510">
        <v>0</v>
      </c>
      <c r="AD510">
        <v>0</v>
      </c>
      <c r="AG510">
        <v>0</v>
      </c>
      <c r="AP510" t="s">
        <v>1189</v>
      </c>
      <c r="AQ510" t="s">
        <v>107</v>
      </c>
      <c r="AR510" t="s">
        <v>6638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BC510" t="s">
        <v>69</v>
      </c>
      <c r="BD510" t="s">
        <v>1190</v>
      </c>
      <c r="BE510">
        <v>0</v>
      </c>
      <c r="BG510" t="s">
        <v>107</v>
      </c>
      <c r="BJ510" t="s">
        <v>1191</v>
      </c>
    </row>
    <row r="511" spans="1:62" x14ac:dyDescent="0.35">
      <c r="A511" t="s">
        <v>1192</v>
      </c>
      <c r="B511">
        <v>10000</v>
      </c>
      <c r="C511">
        <v>30000</v>
      </c>
      <c r="D511" s="2">
        <v>45727</v>
      </c>
      <c r="E511" t="s">
        <v>61</v>
      </c>
      <c r="F511" t="s">
        <v>1193</v>
      </c>
      <c r="G511" t="s">
        <v>1181</v>
      </c>
      <c r="I511">
        <v>3</v>
      </c>
      <c r="J511" t="s">
        <v>63</v>
      </c>
      <c r="K511" s="8">
        <v>85</v>
      </c>
      <c r="L511" s="8" t="s">
        <v>6585</v>
      </c>
      <c r="M511" s="8" t="s">
        <v>6628</v>
      </c>
      <c r="N511" t="s">
        <v>327</v>
      </c>
      <c r="O511" t="s">
        <v>6580</v>
      </c>
      <c r="P511" s="4">
        <v>10000</v>
      </c>
      <c r="S511" s="2">
        <v>45726</v>
      </c>
      <c r="U511">
        <v>11</v>
      </c>
      <c r="V511" s="4">
        <v>110000</v>
      </c>
      <c r="W511" t="s">
        <v>65</v>
      </c>
      <c r="X511" t="s">
        <v>1194</v>
      </c>
      <c r="Y511">
        <v>0</v>
      </c>
      <c r="Z511" s="4">
        <v>100000</v>
      </c>
      <c r="AA511" s="4">
        <v>10000</v>
      </c>
      <c r="AB511">
        <v>0</v>
      </c>
      <c r="AC511">
        <v>0</v>
      </c>
      <c r="AD511">
        <v>0</v>
      </c>
      <c r="AG511">
        <v>0</v>
      </c>
      <c r="AP511" t="s">
        <v>1195</v>
      </c>
      <c r="AQ511" t="s">
        <v>107</v>
      </c>
      <c r="AR511" t="s">
        <v>6638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BC511" t="s">
        <v>69</v>
      </c>
      <c r="BD511" t="s">
        <v>1196</v>
      </c>
      <c r="BE511">
        <v>0</v>
      </c>
      <c r="BG511" t="s">
        <v>107</v>
      </c>
      <c r="BJ511" t="s">
        <v>1197</v>
      </c>
    </row>
    <row r="512" spans="1:62" x14ac:dyDescent="0.35">
      <c r="A512" t="s">
        <v>1198</v>
      </c>
      <c r="B512">
        <v>10000</v>
      </c>
      <c r="C512">
        <v>30000</v>
      </c>
      <c r="D512" s="2">
        <v>45727</v>
      </c>
      <c r="E512" t="s">
        <v>61</v>
      </c>
      <c r="F512" t="s">
        <v>1199</v>
      </c>
      <c r="G512" t="s">
        <v>1181</v>
      </c>
      <c r="I512">
        <v>3</v>
      </c>
      <c r="J512" t="s">
        <v>63</v>
      </c>
      <c r="K512" s="8">
        <v>85</v>
      </c>
      <c r="L512" s="8" t="s">
        <v>6585</v>
      </c>
      <c r="M512" s="8" t="s">
        <v>6628</v>
      </c>
      <c r="N512" t="s">
        <v>327</v>
      </c>
      <c r="O512" t="s">
        <v>6580</v>
      </c>
      <c r="P512" s="4">
        <v>10000</v>
      </c>
      <c r="S512" s="2">
        <v>45726</v>
      </c>
      <c r="U512">
        <v>11</v>
      </c>
      <c r="V512" s="4">
        <v>110000</v>
      </c>
      <c r="W512" t="s">
        <v>65</v>
      </c>
      <c r="X512" t="s">
        <v>1200</v>
      </c>
      <c r="Y512">
        <v>0</v>
      </c>
      <c r="Z512" s="4">
        <v>100000</v>
      </c>
      <c r="AA512" s="4">
        <v>10000</v>
      </c>
      <c r="AB512">
        <v>0</v>
      </c>
      <c r="AC512">
        <v>0</v>
      </c>
      <c r="AD512">
        <v>0</v>
      </c>
      <c r="AG512">
        <v>0</v>
      </c>
      <c r="AP512" t="s">
        <v>1201</v>
      </c>
      <c r="AQ512" t="s">
        <v>107</v>
      </c>
      <c r="AR512" t="s">
        <v>6638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BC512" t="s">
        <v>69</v>
      </c>
      <c r="BD512" t="s">
        <v>1202</v>
      </c>
      <c r="BE512">
        <v>0</v>
      </c>
      <c r="BG512" t="s">
        <v>107</v>
      </c>
      <c r="BJ512" t="s">
        <v>1203</v>
      </c>
    </row>
    <row r="513" spans="1:62" x14ac:dyDescent="0.35">
      <c r="A513" t="s">
        <v>1204</v>
      </c>
      <c r="B513">
        <v>10000</v>
      </c>
      <c r="C513">
        <v>30000</v>
      </c>
      <c r="D513" s="2">
        <v>45727</v>
      </c>
      <c r="E513" t="s">
        <v>61</v>
      </c>
      <c r="F513" t="s">
        <v>1205</v>
      </c>
      <c r="G513" t="s">
        <v>1181</v>
      </c>
      <c r="I513">
        <v>3</v>
      </c>
      <c r="J513" t="s">
        <v>63</v>
      </c>
      <c r="K513" s="8">
        <v>85</v>
      </c>
      <c r="L513" s="8" t="s">
        <v>6585</v>
      </c>
      <c r="M513" s="8" t="s">
        <v>6628</v>
      </c>
      <c r="N513" t="s">
        <v>327</v>
      </c>
      <c r="O513" t="s">
        <v>6580</v>
      </c>
      <c r="P513" s="4">
        <v>10000</v>
      </c>
      <c r="S513" s="2">
        <v>45726</v>
      </c>
      <c r="U513">
        <v>11</v>
      </c>
      <c r="V513" s="4">
        <v>110000</v>
      </c>
      <c r="W513" t="s">
        <v>65</v>
      </c>
      <c r="X513" t="s">
        <v>1206</v>
      </c>
      <c r="Y513">
        <v>0</v>
      </c>
      <c r="Z513" s="4">
        <v>100000</v>
      </c>
      <c r="AA513" s="4">
        <v>10000</v>
      </c>
      <c r="AB513">
        <v>0</v>
      </c>
      <c r="AC513">
        <v>0</v>
      </c>
      <c r="AD513">
        <v>0</v>
      </c>
      <c r="AG513">
        <v>0</v>
      </c>
      <c r="AP513" t="s">
        <v>1207</v>
      </c>
      <c r="AQ513" t="s">
        <v>107</v>
      </c>
      <c r="AR513" t="s">
        <v>6638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BC513" t="s">
        <v>69</v>
      </c>
      <c r="BD513" t="s">
        <v>1208</v>
      </c>
      <c r="BE513">
        <v>0</v>
      </c>
      <c r="BG513" t="s">
        <v>107</v>
      </c>
      <c r="BJ513" t="s">
        <v>1209</v>
      </c>
    </row>
    <row r="514" spans="1:62" x14ac:dyDescent="0.35">
      <c r="A514" t="s">
        <v>1210</v>
      </c>
      <c r="B514">
        <v>10000</v>
      </c>
      <c r="C514">
        <v>30000</v>
      </c>
      <c r="D514" s="2">
        <v>45727</v>
      </c>
      <c r="E514" t="s">
        <v>61</v>
      </c>
      <c r="F514" t="s">
        <v>1211</v>
      </c>
      <c r="G514" t="s">
        <v>1181</v>
      </c>
      <c r="I514">
        <v>3</v>
      </c>
      <c r="J514" t="s">
        <v>63</v>
      </c>
      <c r="K514" s="8">
        <v>85</v>
      </c>
      <c r="L514" s="8" t="s">
        <v>6585</v>
      </c>
      <c r="M514" s="8" t="s">
        <v>6628</v>
      </c>
      <c r="N514" t="s">
        <v>327</v>
      </c>
      <c r="O514" t="s">
        <v>6580</v>
      </c>
      <c r="P514" s="4">
        <v>10000</v>
      </c>
      <c r="S514" s="2">
        <v>45726</v>
      </c>
      <c r="U514">
        <v>11</v>
      </c>
      <c r="V514" s="4">
        <v>110000</v>
      </c>
      <c r="W514" t="s">
        <v>65</v>
      </c>
      <c r="X514" t="s">
        <v>1212</v>
      </c>
      <c r="Y514">
        <v>0</v>
      </c>
      <c r="Z514" s="4">
        <v>100000</v>
      </c>
      <c r="AA514" s="4">
        <v>10000</v>
      </c>
      <c r="AB514">
        <v>0</v>
      </c>
      <c r="AC514">
        <v>0</v>
      </c>
      <c r="AD514">
        <v>0</v>
      </c>
      <c r="AG514">
        <v>0</v>
      </c>
      <c r="AP514" t="s">
        <v>1213</v>
      </c>
      <c r="AQ514" t="s">
        <v>107</v>
      </c>
      <c r="AR514" t="s">
        <v>6638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BC514" t="s">
        <v>69</v>
      </c>
      <c r="BD514" t="s">
        <v>1214</v>
      </c>
      <c r="BE514">
        <v>0</v>
      </c>
      <c r="BG514" t="s">
        <v>107</v>
      </c>
      <c r="BJ514" t="s">
        <v>1215</v>
      </c>
    </row>
    <row r="515" spans="1:62" x14ac:dyDescent="0.35">
      <c r="A515" t="s">
        <v>1216</v>
      </c>
      <c r="B515">
        <v>10000</v>
      </c>
      <c r="C515">
        <v>30000</v>
      </c>
      <c r="D515" s="2">
        <v>45727</v>
      </c>
      <c r="E515" t="s">
        <v>61</v>
      </c>
      <c r="F515" t="s">
        <v>1217</v>
      </c>
      <c r="G515" t="s">
        <v>1181</v>
      </c>
      <c r="I515">
        <v>3</v>
      </c>
      <c r="J515" t="s">
        <v>63</v>
      </c>
      <c r="K515" s="8">
        <v>85</v>
      </c>
      <c r="L515" s="8" t="s">
        <v>6585</v>
      </c>
      <c r="M515" s="8" t="s">
        <v>6628</v>
      </c>
      <c r="N515" t="s">
        <v>327</v>
      </c>
      <c r="O515" t="s">
        <v>6580</v>
      </c>
      <c r="P515" s="4">
        <v>10000</v>
      </c>
      <c r="S515" s="2">
        <v>45726</v>
      </c>
      <c r="U515">
        <v>11</v>
      </c>
      <c r="V515" s="4">
        <v>110000</v>
      </c>
      <c r="W515" t="s">
        <v>65</v>
      </c>
      <c r="X515" t="s">
        <v>1218</v>
      </c>
      <c r="Y515">
        <v>0</v>
      </c>
      <c r="Z515" s="4">
        <v>100000</v>
      </c>
      <c r="AA515" s="4">
        <v>10000</v>
      </c>
      <c r="AB515">
        <v>0</v>
      </c>
      <c r="AC515">
        <v>0</v>
      </c>
      <c r="AD515">
        <v>0</v>
      </c>
      <c r="AG515">
        <v>0</v>
      </c>
      <c r="AP515" t="s">
        <v>1219</v>
      </c>
      <c r="AQ515" t="s">
        <v>107</v>
      </c>
      <c r="AR515" t="s">
        <v>6638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BC515" t="s">
        <v>69</v>
      </c>
      <c r="BD515" t="s">
        <v>1220</v>
      </c>
      <c r="BE515">
        <v>0</v>
      </c>
      <c r="BG515" t="s">
        <v>107</v>
      </c>
      <c r="BJ515" t="s">
        <v>1221</v>
      </c>
    </row>
    <row r="516" spans="1:62" x14ac:dyDescent="0.35">
      <c r="A516" t="s">
        <v>1222</v>
      </c>
      <c r="B516">
        <v>10000</v>
      </c>
      <c r="C516">
        <v>30000</v>
      </c>
      <c r="D516" s="2">
        <v>45727</v>
      </c>
      <c r="E516" t="s">
        <v>61</v>
      </c>
      <c r="F516" t="s">
        <v>1223</v>
      </c>
      <c r="G516" t="s">
        <v>1181</v>
      </c>
      <c r="I516">
        <v>3</v>
      </c>
      <c r="J516" t="s">
        <v>63</v>
      </c>
      <c r="K516" s="8">
        <v>85</v>
      </c>
      <c r="L516" s="8" t="s">
        <v>6585</v>
      </c>
      <c r="M516" s="8" t="s">
        <v>6628</v>
      </c>
      <c r="N516" t="s">
        <v>327</v>
      </c>
      <c r="O516" t="s">
        <v>6580</v>
      </c>
      <c r="P516" s="4">
        <v>20000</v>
      </c>
      <c r="S516" s="2">
        <v>45726</v>
      </c>
      <c r="U516">
        <v>11</v>
      </c>
      <c r="V516" s="4">
        <v>220000</v>
      </c>
      <c r="W516" t="s">
        <v>65</v>
      </c>
      <c r="X516" t="s">
        <v>1224</v>
      </c>
      <c r="Y516">
        <v>0</v>
      </c>
      <c r="Z516" s="4">
        <v>200000</v>
      </c>
      <c r="AA516" s="4">
        <v>20000</v>
      </c>
      <c r="AB516">
        <v>0</v>
      </c>
      <c r="AC516">
        <v>0</v>
      </c>
      <c r="AD516">
        <v>0</v>
      </c>
      <c r="AG516">
        <v>0</v>
      </c>
      <c r="AP516" t="s">
        <v>1225</v>
      </c>
      <c r="AQ516" t="s">
        <v>107</v>
      </c>
      <c r="AR516" t="s">
        <v>6638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BC516" t="s">
        <v>69</v>
      </c>
      <c r="BD516" t="s">
        <v>1226</v>
      </c>
      <c r="BE516">
        <v>0</v>
      </c>
      <c r="BG516" t="s">
        <v>107</v>
      </c>
      <c r="BJ516" t="s">
        <v>1227</v>
      </c>
    </row>
    <row r="517" spans="1:62" x14ac:dyDescent="0.35">
      <c r="A517" t="s">
        <v>1244</v>
      </c>
      <c r="B517">
        <v>10000</v>
      </c>
      <c r="C517">
        <v>20000</v>
      </c>
      <c r="D517" s="2">
        <v>45726</v>
      </c>
      <c r="E517" t="s">
        <v>61</v>
      </c>
      <c r="F517" t="s">
        <v>1245</v>
      </c>
      <c r="G517" t="s">
        <v>1246</v>
      </c>
      <c r="I517">
        <v>2</v>
      </c>
      <c r="J517" t="s">
        <v>63</v>
      </c>
      <c r="K517" s="8">
        <v>82</v>
      </c>
      <c r="L517" s="8" t="s">
        <v>6598</v>
      </c>
      <c r="M517" s="8" t="s">
        <v>6630</v>
      </c>
      <c r="N517" t="s">
        <v>341</v>
      </c>
      <c r="O517" t="s">
        <v>6346</v>
      </c>
      <c r="P517" s="4">
        <v>5000</v>
      </c>
      <c r="S517" s="2">
        <v>45726</v>
      </c>
      <c r="U517">
        <v>8</v>
      </c>
      <c r="V517" s="4">
        <v>40000</v>
      </c>
      <c r="W517" t="s">
        <v>65</v>
      </c>
      <c r="X517" t="s">
        <v>1247</v>
      </c>
      <c r="Y517">
        <v>0</v>
      </c>
      <c r="Z517" s="4">
        <v>20000</v>
      </c>
      <c r="AA517" s="4">
        <v>20000</v>
      </c>
      <c r="AB517">
        <v>0</v>
      </c>
      <c r="AC517">
        <v>0</v>
      </c>
      <c r="AD517">
        <v>0</v>
      </c>
      <c r="AG517">
        <v>0</v>
      </c>
      <c r="AP517" t="s">
        <v>1248</v>
      </c>
      <c r="AQ517" t="s">
        <v>107</v>
      </c>
      <c r="AR517" t="s">
        <v>6638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C517" t="s">
        <v>69</v>
      </c>
      <c r="BD517" t="s">
        <v>1249</v>
      </c>
      <c r="BE517">
        <v>0</v>
      </c>
      <c r="BG517" t="s">
        <v>107</v>
      </c>
      <c r="BJ517" t="s">
        <v>1250</v>
      </c>
    </row>
    <row r="518" spans="1:62" x14ac:dyDescent="0.35">
      <c r="A518" t="s">
        <v>2281</v>
      </c>
      <c r="B518">
        <v>10000</v>
      </c>
      <c r="C518">
        <v>10000</v>
      </c>
      <c r="D518" s="2">
        <v>45727</v>
      </c>
      <c r="E518" t="s">
        <v>61</v>
      </c>
      <c r="F518" t="s">
        <v>2282</v>
      </c>
      <c r="G518" t="s">
        <v>2052</v>
      </c>
      <c r="I518">
        <v>1</v>
      </c>
      <c r="J518" t="s">
        <v>63</v>
      </c>
      <c r="K518" s="8">
        <v>59</v>
      </c>
      <c r="L518" s="8" t="s">
        <v>6592</v>
      </c>
      <c r="M518" s="8" t="s">
        <v>6629</v>
      </c>
      <c r="N518" t="s">
        <v>745</v>
      </c>
      <c r="O518" t="s">
        <v>6501</v>
      </c>
      <c r="P518" s="4">
        <v>1118</v>
      </c>
      <c r="Q518">
        <f t="shared" ref="Q518:Q519" si="120">(P518/40)+45</f>
        <v>72.95</v>
      </c>
      <c r="R518">
        <f t="shared" ref="R518:R519" si="121">Q518/60</f>
        <v>1.2158333333333333</v>
      </c>
      <c r="S518" s="2">
        <v>45726</v>
      </c>
      <c r="U518">
        <v>4</v>
      </c>
      <c r="V518" s="4">
        <v>4472</v>
      </c>
      <c r="W518" t="s">
        <v>65</v>
      </c>
      <c r="X518">
        <v>112888470001</v>
      </c>
      <c r="Y518">
        <v>0</v>
      </c>
      <c r="Z518" s="4">
        <v>4470</v>
      </c>
      <c r="AA518">
        <v>2</v>
      </c>
      <c r="AB518">
        <v>0</v>
      </c>
      <c r="AC518">
        <v>0</v>
      </c>
      <c r="AD518">
        <v>0</v>
      </c>
      <c r="AG518">
        <v>0</v>
      </c>
      <c r="AP518">
        <v>11288847</v>
      </c>
      <c r="AQ518" t="s">
        <v>182</v>
      </c>
      <c r="AR518" t="s">
        <v>6643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C518" t="s">
        <v>69</v>
      </c>
      <c r="BD518" t="s">
        <v>2283</v>
      </c>
      <c r="BE518">
        <v>0</v>
      </c>
      <c r="BG518" t="s">
        <v>182</v>
      </c>
      <c r="BJ518" t="s">
        <v>2284</v>
      </c>
    </row>
    <row r="519" spans="1:62" x14ac:dyDescent="0.35">
      <c r="A519" t="s">
        <v>2285</v>
      </c>
      <c r="B519">
        <v>10000</v>
      </c>
      <c r="C519">
        <v>10000</v>
      </c>
      <c r="D519" s="2">
        <v>45727</v>
      </c>
      <c r="E519" t="s">
        <v>61</v>
      </c>
      <c r="F519" t="s">
        <v>1993</v>
      </c>
      <c r="G519" t="s">
        <v>2052</v>
      </c>
      <c r="I519">
        <v>1</v>
      </c>
      <c r="J519" t="s">
        <v>63</v>
      </c>
      <c r="K519" s="8">
        <v>59</v>
      </c>
      <c r="L519" s="8" t="s">
        <v>6592</v>
      </c>
      <c r="M519" s="8" t="s">
        <v>6629</v>
      </c>
      <c r="N519" t="s">
        <v>745</v>
      </c>
      <c r="O519" t="s">
        <v>6501</v>
      </c>
      <c r="P519" s="4">
        <v>1118</v>
      </c>
      <c r="Q519">
        <f t="shared" si="120"/>
        <v>72.95</v>
      </c>
      <c r="R519">
        <f t="shared" si="121"/>
        <v>1.2158333333333333</v>
      </c>
      <c r="S519" s="2">
        <v>45726</v>
      </c>
      <c r="U519">
        <v>4</v>
      </c>
      <c r="V519" s="4">
        <v>4472</v>
      </c>
      <c r="W519" t="s">
        <v>65</v>
      </c>
      <c r="X519">
        <v>112887910001</v>
      </c>
      <c r="Y519">
        <v>0</v>
      </c>
      <c r="Z519" s="4">
        <v>4470</v>
      </c>
      <c r="AA519">
        <v>2</v>
      </c>
      <c r="AB519">
        <v>0</v>
      </c>
      <c r="AC519">
        <v>0</v>
      </c>
      <c r="AD519">
        <v>0</v>
      </c>
      <c r="AG519">
        <v>0</v>
      </c>
      <c r="AP519">
        <v>11288791</v>
      </c>
      <c r="AQ519" t="s">
        <v>182</v>
      </c>
      <c r="AR519" t="s">
        <v>6643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BC519" t="s">
        <v>69</v>
      </c>
      <c r="BD519" t="s">
        <v>2286</v>
      </c>
      <c r="BE519">
        <v>0</v>
      </c>
      <c r="BG519" t="s">
        <v>182</v>
      </c>
      <c r="BJ519" t="s">
        <v>2284</v>
      </c>
    </row>
    <row r="520" spans="1:62" x14ac:dyDescent="0.35">
      <c r="A520" t="s">
        <v>1251</v>
      </c>
      <c r="B520">
        <v>10000</v>
      </c>
      <c r="C520">
        <v>20000</v>
      </c>
      <c r="D520" s="2">
        <v>45726</v>
      </c>
      <c r="E520" t="s">
        <v>61</v>
      </c>
      <c r="F520" t="s">
        <v>1245</v>
      </c>
      <c r="G520" t="s">
        <v>1246</v>
      </c>
      <c r="I520">
        <v>2</v>
      </c>
      <c r="J520" t="s">
        <v>63</v>
      </c>
      <c r="K520" s="8">
        <v>82</v>
      </c>
      <c r="L520" s="8" t="s">
        <v>6598</v>
      </c>
      <c r="M520" s="8" t="s">
        <v>6630</v>
      </c>
      <c r="N520" t="s">
        <v>341</v>
      </c>
      <c r="O520" t="s">
        <v>6346</v>
      </c>
      <c r="P520" s="4">
        <v>1250</v>
      </c>
      <c r="S520" s="2">
        <v>45726</v>
      </c>
      <c r="U520">
        <v>8</v>
      </c>
      <c r="V520" s="4">
        <v>10000</v>
      </c>
      <c r="W520" t="s">
        <v>65</v>
      </c>
      <c r="X520" t="s">
        <v>1247</v>
      </c>
      <c r="Y520">
        <v>0</v>
      </c>
      <c r="Z520" s="4">
        <v>5000</v>
      </c>
      <c r="AA520" s="4">
        <v>5000</v>
      </c>
      <c r="AB520">
        <v>0</v>
      </c>
      <c r="AC520">
        <v>0</v>
      </c>
      <c r="AD520">
        <v>0</v>
      </c>
      <c r="AG520">
        <v>0</v>
      </c>
      <c r="AP520" t="s">
        <v>1252</v>
      </c>
      <c r="AQ520" t="s">
        <v>1253</v>
      </c>
      <c r="AR520" t="s">
        <v>6636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BC520" t="s">
        <v>69</v>
      </c>
      <c r="BD520" t="s">
        <v>1254</v>
      </c>
      <c r="BE520">
        <v>0</v>
      </c>
      <c r="BG520" t="s">
        <v>1253</v>
      </c>
      <c r="BJ520" t="s">
        <v>1255</v>
      </c>
    </row>
    <row r="521" spans="1:62" x14ac:dyDescent="0.35">
      <c r="A521" t="s">
        <v>1731</v>
      </c>
      <c r="B521">
        <v>10000</v>
      </c>
      <c r="C521">
        <v>20000</v>
      </c>
      <c r="D521" s="2">
        <v>45727</v>
      </c>
      <c r="E521" t="s">
        <v>61</v>
      </c>
      <c r="F521" t="s">
        <v>1732</v>
      </c>
      <c r="G521" t="s">
        <v>1733</v>
      </c>
      <c r="I521">
        <v>2</v>
      </c>
      <c r="J521" t="s">
        <v>63</v>
      </c>
      <c r="K521" s="8">
        <v>63</v>
      </c>
      <c r="L521" s="8" t="s">
        <v>6605</v>
      </c>
      <c r="M521" s="8" t="s">
        <v>6630</v>
      </c>
      <c r="N521" t="s">
        <v>519</v>
      </c>
      <c r="O521" t="s">
        <v>6569</v>
      </c>
      <c r="P521" s="4">
        <v>2500</v>
      </c>
      <c r="Q521">
        <f t="shared" ref="Q521:Q523" si="122">(P521/40)+45</f>
        <v>107.5</v>
      </c>
      <c r="R521">
        <f t="shared" ref="R521:R523" si="123">Q521/60</f>
        <v>1.7916666666666667</v>
      </c>
      <c r="S521" s="2">
        <v>45726</v>
      </c>
      <c r="U521">
        <v>16</v>
      </c>
      <c r="V521" s="4">
        <v>40000</v>
      </c>
      <c r="W521" t="s">
        <v>65</v>
      </c>
      <c r="X521" t="s">
        <v>1734</v>
      </c>
      <c r="Y521">
        <v>0</v>
      </c>
      <c r="Z521" s="4">
        <v>40000</v>
      </c>
      <c r="AA521">
        <v>0</v>
      </c>
      <c r="AB521">
        <v>0</v>
      </c>
      <c r="AC521">
        <v>0</v>
      </c>
      <c r="AD521">
        <v>0</v>
      </c>
      <c r="AG521">
        <v>0</v>
      </c>
      <c r="AP521" t="s">
        <v>1735</v>
      </c>
      <c r="AQ521" t="s">
        <v>157</v>
      </c>
      <c r="AR521" t="s">
        <v>6640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BC521" t="s">
        <v>69</v>
      </c>
      <c r="BD521" t="s">
        <v>1736</v>
      </c>
      <c r="BE521">
        <v>0</v>
      </c>
      <c r="BG521" t="s">
        <v>157</v>
      </c>
      <c r="BJ521" t="s">
        <v>1737</v>
      </c>
    </row>
    <row r="522" spans="1:62" x14ac:dyDescent="0.35">
      <c r="A522" t="s">
        <v>2287</v>
      </c>
      <c r="B522">
        <v>10000</v>
      </c>
      <c r="C522">
        <v>10000</v>
      </c>
      <c r="D522" s="2">
        <v>45730</v>
      </c>
      <c r="E522" t="s">
        <v>61</v>
      </c>
      <c r="F522" t="s">
        <v>2288</v>
      </c>
      <c r="G522" t="s">
        <v>2289</v>
      </c>
      <c r="I522">
        <v>1</v>
      </c>
      <c r="J522" t="s">
        <v>63</v>
      </c>
      <c r="K522" s="8">
        <v>78</v>
      </c>
      <c r="L522" s="8" t="s">
        <v>6593</v>
      </c>
      <c r="M522" s="8" t="s">
        <v>6629</v>
      </c>
      <c r="N522" t="s">
        <v>188</v>
      </c>
      <c r="O522" t="s">
        <v>6410</v>
      </c>
      <c r="P522" s="4">
        <v>5500</v>
      </c>
      <c r="Q522">
        <f t="shared" si="122"/>
        <v>182.5</v>
      </c>
      <c r="R522">
        <f t="shared" si="123"/>
        <v>3.0416666666666665</v>
      </c>
      <c r="S522" s="2">
        <v>45726</v>
      </c>
      <c r="U522">
        <v>16</v>
      </c>
      <c r="V522" s="4">
        <v>88000</v>
      </c>
      <c r="W522" t="s">
        <v>65</v>
      </c>
      <c r="X522" t="s">
        <v>2290</v>
      </c>
      <c r="Y522">
        <v>0</v>
      </c>
      <c r="Z522" s="4">
        <v>80000</v>
      </c>
      <c r="AA522" s="4">
        <v>8000</v>
      </c>
      <c r="AB522">
        <v>0</v>
      </c>
      <c r="AC522">
        <v>0</v>
      </c>
      <c r="AD522">
        <v>0</v>
      </c>
      <c r="AG522">
        <v>0</v>
      </c>
      <c r="AP522" t="s">
        <v>2291</v>
      </c>
      <c r="AQ522" t="s">
        <v>157</v>
      </c>
      <c r="AR522" t="s">
        <v>6640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BC522" t="s">
        <v>69</v>
      </c>
      <c r="BD522" t="s">
        <v>2292</v>
      </c>
      <c r="BE522">
        <v>0</v>
      </c>
      <c r="BG522" t="s">
        <v>157</v>
      </c>
      <c r="BJ522" t="s">
        <v>2293</v>
      </c>
    </row>
    <row r="523" spans="1:62" x14ac:dyDescent="0.35">
      <c r="A523" t="s">
        <v>2294</v>
      </c>
      <c r="B523">
        <v>10000</v>
      </c>
      <c r="C523">
        <v>10000</v>
      </c>
      <c r="D523" s="2">
        <v>45726</v>
      </c>
      <c r="E523" t="s">
        <v>61</v>
      </c>
      <c r="F523" t="s">
        <v>2253</v>
      </c>
      <c r="G523" t="s">
        <v>418</v>
      </c>
      <c r="I523">
        <v>1</v>
      </c>
      <c r="J523" t="s">
        <v>63</v>
      </c>
      <c r="K523" s="8">
        <v>59</v>
      </c>
      <c r="L523" s="8" t="s">
        <v>6592</v>
      </c>
      <c r="M523" s="8" t="s">
        <v>6629</v>
      </c>
      <c r="N523" t="s">
        <v>745</v>
      </c>
      <c r="O523" t="s">
        <v>6501</v>
      </c>
      <c r="P523" s="4">
        <v>1000</v>
      </c>
      <c r="Q523">
        <f t="shared" si="122"/>
        <v>70</v>
      </c>
      <c r="R523">
        <f t="shared" si="123"/>
        <v>1.1666666666666667</v>
      </c>
      <c r="S523" s="2">
        <v>45726</v>
      </c>
      <c r="U523">
        <v>6</v>
      </c>
      <c r="V523" s="4">
        <v>6000</v>
      </c>
      <c r="W523" t="s">
        <v>65</v>
      </c>
      <c r="X523" t="s">
        <v>2254</v>
      </c>
      <c r="Y523">
        <v>0</v>
      </c>
      <c r="Z523" s="4">
        <v>6000</v>
      </c>
      <c r="AA523">
        <v>0</v>
      </c>
      <c r="AB523">
        <v>0</v>
      </c>
      <c r="AC523">
        <v>0</v>
      </c>
      <c r="AD523">
        <v>0</v>
      </c>
      <c r="AG523">
        <v>0</v>
      </c>
      <c r="AP523" t="s">
        <v>2295</v>
      </c>
      <c r="AQ523" t="s">
        <v>182</v>
      </c>
      <c r="AR523" t="s">
        <v>6643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C523" t="s">
        <v>69</v>
      </c>
      <c r="BD523" t="s">
        <v>2296</v>
      </c>
      <c r="BE523">
        <v>0</v>
      </c>
      <c r="BG523" t="s">
        <v>182</v>
      </c>
      <c r="BJ523" t="s">
        <v>2297</v>
      </c>
    </row>
    <row r="524" spans="1:62" x14ac:dyDescent="0.35">
      <c r="A524" t="s">
        <v>1752</v>
      </c>
      <c r="B524">
        <v>10000</v>
      </c>
      <c r="C524">
        <v>20000</v>
      </c>
      <c r="D524" s="2">
        <v>45727</v>
      </c>
      <c r="E524" t="s">
        <v>61</v>
      </c>
      <c r="F524" t="s">
        <v>1753</v>
      </c>
      <c r="G524" t="s">
        <v>1725</v>
      </c>
      <c r="I524">
        <v>2</v>
      </c>
      <c r="J524" t="s">
        <v>63</v>
      </c>
      <c r="K524" s="8">
        <v>105</v>
      </c>
      <c r="L524" s="8" t="s">
        <v>6612</v>
      </c>
      <c r="M524" s="8" t="s">
        <v>6632</v>
      </c>
      <c r="N524" t="s">
        <v>424</v>
      </c>
      <c r="O524" t="s">
        <v>6570</v>
      </c>
      <c r="P524" s="4">
        <v>19000</v>
      </c>
      <c r="S524" s="2">
        <v>45726</v>
      </c>
      <c r="U524">
        <v>3</v>
      </c>
      <c r="V524" s="4">
        <v>57000</v>
      </c>
      <c r="W524" t="s">
        <v>65</v>
      </c>
      <c r="X524" t="s">
        <v>1754</v>
      </c>
      <c r="Y524">
        <v>0</v>
      </c>
      <c r="Z524" s="4">
        <v>50000</v>
      </c>
      <c r="AA524" s="4">
        <v>7000</v>
      </c>
      <c r="AB524">
        <v>0</v>
      </c>
      <c r="AC524">
        <v>0</v>
      </c>
      <c r="AD524">
        <v>0</v>
      </c>
      <c r="AG524">
        <v>0</v>
      </c>
      <c r="AP524" t="s">
        <v>1755</v>
      </c>
      <c r="AQ524" t="s">
        <v>1756</v>
      </c>
      <c r="AR524" t="s">
        <v>6685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BC524" t="s">
        <v>69</v>
      </c>
      <c r="BD524" t="s">
        <v>1757</v>
      </c>
      <c r="BE524">
        <v>0</v>
      </c>
      <c r="BG524" t="s">
        <v>1756</v>
      </c>
      <c r="BJ524" t="s">
        <v>1758</v>
      </c>
    </row>
    <row r="525" spans="1:62" x14ac:dyDescent="0.35">
      <c r="A525" t="s">
        <v>2298</v>
      </c>
      <c r="B525">
        <v>10000</v>
      </c>
      <c r="C525">
        <v>10000</v>
      </c>
      <c r="D525" s="2">
        <v>45726</v>
      </c>
      <c r="E525" t="s">
        <v>61</v>
      </c>
      <c r="F525" t="s">
        <v>2112</v>
      </c>
      <c r="G525" t="s">
        <v>2299</v>
      </c>
      <c r="I525">
        <v>1</v>
      </c>
      <c r="J525" t="s">
        <v>63</v>
      </c>
      <c r="K525" s="8">
        <v>61</v>
      </c>
      <c r="L525" s="8" t="s">
        <v>6594</v>
      </c>
      <c r="M525" s="8" t="s">
        <v>6629</v>
      </c>
      <c r="N525" t="s">
        <v>216</v>
      </c>
      <c r="O525" t="s">
        <v>6394</v>
      </c>
      <c r="P525" s="4">
        <v>2000</v>
      </c>
      <c r="Q525">
        <f>(P525/50)+45</f>
        <v>85</v>
      </c>
      <c r="R525">
        <f>Q525/60</f>
        <v>1.4166666666666667</v>
      </c>
      <c r="S525" s="2">
        <v>45726</v>
      </c>
      <c r="U525">
        <v>1</v>
      </c>
      <c r="V525" s="4">
        <v>2000</v>
      </c>
      <c r="W525" t="s">
        <v>65</v>
      </c>
      <c r="X525" t="s">
        <v>2300</v>
      </c>
      <c r="Y525">
        <v>0</v>
      </c>
      <c r="Z525" s="4">
        <v>2000</v>
      </c>
      <c r="AA525">
        <v>0</v>
      </c>
      <c r="AB525">
        <v>0</v>
      </c>
      <c r="AC525">
        <v>0</v>
      </c>
      <c r="AD525">
        <v>0</v>
      </c>
      <c r="AG525">
        <v>0</v>
      </c>
      <c r="AP525" t="s">
        <v>2301</v>
      </c>
      <c r="AQ525" t="s">
        <v>206</v>
      </c>
      <c r="AR525" t="s">
        <v>6645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BC525" t="s">
        <v>69</v>
      </c>
      <c r="BD525" t="s">
        <v>2302</v>
      </c>
      <c r="BE525">
        <v>0</v>
      </c>
      <c r="BG525" t="s">
        <v>206</v>
      </c>
      <c r="BJ525" t="s">
        <v>1307</v>
      </c>
    </row>
    <row r="526" spans="1:62" x14ac:dyDescent="0.35">
      <c r="A526" t="s">
        <v>1781</v>
      </c>
      <c r="B526">
        <v>10000</v>
      </c>
      <c r="C526">
        <v>30000</v>
      </c>
      <c r="D526" s="2">
        <v>45728</v>
      </c>
      <c r="E526" t="s">
        <v>61</v>
      </c>
      <c r="F526" t="s">
        <v>2303</v>
      </c>
      <c r="G526" t="s">
        <v>1387</v>
      </c>
      <c r="I526">
        <v>1</v>
      </c>
      <c r="J526" t="s">
        <v>63</v>
      </c>
      <c r="K526" s="8">
        <v>46</v>
      </c>
      <c r="L526" s="8" t="s">
        <v>6587</v>
      </c>
      <c r="M526" s="8" t="s">
        <v>6629</v>
      </c>
      <c r="N526" t="s">
        <v>113</v>
      </c>
      <c r="O526" t="s">
        <v>6499</v>
      </c>
      <c r="P526" s="4">
        <v>6500</v>
      </c>
      <c r="Q526">
        <f>(P526/40)+45</f>
        <v>207.5</v>
      </c>
      <c r="R526">
        <f>Q526/60</f>
        <v>3.4583333333333335</v>
      </c>
      <c r="S526" s="2">
        <v>45726</v>
      </c>
      <c r="U526">
        <v>2</v>
      </c>
      <c r="V526" s="4">
        <v>13000</v>
      </c>
      <c r="W526" t="s">
        <v>65</v>
      </c>
      <c r="X526" t="s">
        <v>1782</v>
      </c>
      <c r="Y526">
        <v>0</v>
      </c>
      <c r="Z526" s="4">
        <v>6500</v>
      </c>
      <c r="AA526" s="4">
        <v>6500</v>
      </c>
      <c r="AB526">
        <v>0</v>
      </c>
      <c r="AC526">
        <v>0</v>
      </c>
      <c r="AD526">
        <v>0</v>
      </c>
      <c r="AG526">
        <v>0</v>
      </c>
      <c r="AP526" t="s">
        <v>1783</v>
      </c>
      <c r="AQ526" t="s">
        <v>206</v>
      </c>
      <c r="AR526" t="s">
        <v>6645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BC526" t="s">
        <v>69</v>
      </c>
      <c r="BD526" t="s">
        <v>1784</v>
      </c>
      <c r="BE526">
        <v>0</v>
      </c>
      <c r="BG526" t="s">
        <v>206</v>
      </c>
      <c r="BJ526" t="s">
        <v>1307</v>
      </c>
    </row>
    <row r="527" spans="1:62" x14ac:dyDescent="0.35">
      <c r="A527" t="s">
        <v>1332</v>
      </c>
      <c r="B527">
        <v>10000</v>
      </c>
      <c r="C527">
        <v>30000</v>
      </c>
      <c r="D527" s="2">
        <v>45740</v>
      </c>
      <c r="E527" t="s">
        <v>61</v>
      </c>
      <c r="F527" t="s">
        <v>2304</v>
      </c>
      <c r="G527" t="s">
        <v>1333</v>
      </c>
      <c r="I527">
        <v>2</v>
      </c>
      <c r="J527" t="s">
        <v>63</v>
      </c>
      <c r="K527" s="8">
        <v>77</v>
      </c>
      <c r="L527" s="8" t="s">
        <v>6584</v>
      </c>
      <c r="M527" s="8" t="s">
        <v>6627</v>
      </c>
      <c r="N527" t="s">
        <v>127</v>
      </c>
      <c r="O527" t="s">
        <v>6567</v>
      </c>
      <c r="P527" s="4">
        <v>2500</v>
      </c>
      <c r="Q527">
        <f>(P527/60)+45</f>
        <v>86.666666666666657</v>
      </c>
      <c r="R527">
        <f>Q527/60</f>
        <v>1.4444444444444442</v>
      </c>
      <c r="S527" s="2">
        <v>45726</v>
      </c>
      <c r="U527">
        <v>88</v>
      </c>
      <c r="V527" s="4">
        <v>220000</v>
      </c>
      <c r="W527" t="s">
        <v>65</v>
      </c>
      <c r="X527" t="s">
        <v>1334</v>
      </c>
      <c r="Y527">
        <v>0</v>
      </c>
      <c r="Z527" s="4">
        <v>200000</v>
      </c>
      <c r="AA527" s="4">
        <v>20000</v>
      </c>
      <c r="AB527">
        <v>0</v>
      </c>
      <c r="AC527">
        <v>0</v>
      </c>
      <c r="AD527">
        <v>0</v>
      </c>
      <c r="AG527">
        <v>0</v>
      </c>
      <c r="AP527" t="s">
        <v>1335</v>
      </c>
      <c r="AQ527" t="s">
        <v>107</v>
      </c>
      <c r="AR527" t="s">
        <v>6638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BC527" t="s">
        <v>69</v>
      </c>
      <c r="BD527" t="s">
        <v>1336</v>
      </c>
      <c r="BE527">
        <v>0</v>
      </c>
      <c r="BG527" t="s">
        <v>107</v>
      </c>
      <c r="BJ527" t="s">
        <v>1337</v>
      </c>
    </row>
    <row r="528" spans="1:62" x14ac:dyDescent="0.35">
      <c r="A528" t="s">
        <v>1338</v>
      </c>
      <c r="B528">
        <v>10000</v>
      </c>
      <c r="C528">
        <v>30000</v>
      </c>
      <c r="D528" s="2">
        <v>45727</v>
      </c>
      <c r="E528" t="s">
        <v>61</v>
      </c>
      <c r="F528" t="s">
        <v>1339</v>
      </c>
      <c r="G528" t="s">
        <v>1181</v>
      </c>
      <c r="I528">
        <v>3</v>
      </c>
      <c r="J528" t="s">
        <v>63</v>
      </c>
      <c r="K528" s="8">
        <v>85</v>
      </c>
      <c r="L528" s="8" t="s">
        <v>6585</v>
      </c>
      <c r="M528" s="8" t="s">
        <v>6628</v>
      </c>
      <c r="N528" t="s">
        <v>327</v>
      </c>
      <c r="O528" t="s">
        <v>6580</v>
      </c>
      <c r="P528" s="4">
        <v>10000</v>
      </c>
      <c r="S528" s="2">
        <v>45726</v>
      </c>
      <c r="U528">
        <v>11</v>
      </c>
      <c r="V528" s="4">
        <v>110000</v>
      </c>
      <c r="W528" t="s">
        <v>65</v>
      </c>
      <c r="X528" t="s">
        <v>1340</v>
      </c>
      <c r="Y528">
        <v>0</v>
      </c>
      <c r="Z528" s="4">
        <v>100000</v>
      </c>
      <c r="AA528" s="4">
        <v>10000</v>
      </c>
      <c r="AB528">
        <v>0</v>
      </c>
      <c r="AC528">
        <v>0</v>
      </c>
      <c r="AD528">
        <v>0</v>
      </c>
      <c r="AG528">
        <v>0</v>
      </c>
      <c r="AP528" t="s">
        <v>1341</v>
      </c>
      <c r="AQ528" t="s">
        <v>107</v>
      </c>
      <c r="AR528" t="s">
        <v>6638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BC528" t="s">
        <v>69</v>
      </c>
      <c r="BD528" t="s">
        <v>1342</v>
      </c>
      <c r="BE528">
        <v>0</v>
      </c>
      <c r="BG528" t="s">
        <v>107</v>
      </c>
      <c r="BJ528" t="s">
        <v>1343</v>
      </c>
    </row>
    <row r="529" spans="1:62" x14ac:dyDescent="0.35">
      <c r="A529" t="s">
        <v>1356</v>
      </c>
      <c r="B529">
        <v>10000</v>
      </c>
      <c r="C529">
        <v>30000</v>
      </c>
      <c r="D529" s="2">
        <v>45727</v>
      </c>
      <c r="E529" t="s">
        <v>61</v>
      </c>
      <c r="F529" t="s">
        <v>1357</v>
      </c>
      <c r="G529" t="s">
        <v>1181</v>
      </c>
      <c r="I529">
        <v>3</v>
      </c>
      <c r="J529" t="s">
        <v>63</v>
      </c>
      <c r="K529" s="8">
        <v>85</v>
      </c>
      <c r="L529" s="8" t="s">
        <v>6585</v>
      </c>
      <c r="M529" s="8" t="s">
        <v>6628</v>
      </c>
      <c r="N529" t="s">
        <v>327</v>
      </c>
      <c r="O529" t="s">
        <v>6580</v>
      </c>
      <c r="P529" s="4">
        <v>10000</v>
      </c>
      <c r="S529" s="2">
        <v>45726</v>
      </c>
      <c r="U529">
        <v>11</v>
      </c>
      <c r="V529" s="4">
        <v>110000</v>
      </c>
      <c r="W529" t="s">
        <v>65</v>
      </c>
      <c r="X529" t="s">
        <v>1358</v>
      </c>
      <c r="Y529">
        <v>0</v>
      </c>
      <c r="Z529" s="4">
        <v>100000</v>
      </c>
      <c r="AA529" s="4">
        <v>10000</v>
      </c>
      <c r="AB529">
        <v>0</v>
      </c>
      <c r="AC529">
        <v>0</v>
      </c>
      <c r="AD529">
        <v>0</v>
      </c>
      <c r="AG529">
        <v>0</v>
      </c>
      <c r="AP529" t="s">
        <v>1359</v>
      </c>
      <c r="AQ529" t="s">
        <v>107</v>
      </c>
      <c r="AR529" t="s">
        <v>6638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BC529" t="s">
        <v>69</v>
      </c>
      <c r="BD529" t="s">
        <v>1360</v>
      </c>
      <c r="BE529">
        <v>0</v>
      </c>
      <c r="BG529" t="s">
        <v>107</v>
      </c>
      <c r="BJ529" t="s">
        <v>1361</v>
      </c>
    </row>
    <row r="530" spans="1:62" x14ac:dyDescent="0.35">
      <c r="A530" t="s">
        <v>1362</v>
      </c>
      <c r="B530">
        <v>10000</v>
      </c>
      <c r="C530">
        <v>20000</v>
      </c>
      <c r="D530" s="2">
        <v>45735</v>
      </c>
      <c r="E530" t="s">
        <v>95</v>
      </c>
      <c r="F530" t="s">
        <v>1363</v>
      </c>
      <c r="G530" t="s">
        <v>1364</v>
      </c>
      <c r="I530">
        <v>2</v>
      </c>
      <c r="J530" t="s">
        <v>63</v>
      </c>
      <c r="K530" s="8">
        <v>77</v>
      </c>
      <c r="L530" s="8" t="s">
        <v>6584</v>
      </c>
      <c r="M530" s="8" t="s">
        <v>6627</v>
      </c>
      <c r="N530" t="s">
        <v>127</v>
      </c>
      <c r="O530" t="s">
        <v>6567</v>
      </c>
      <c r="P530" s="4">
        <v>1250</v>
      </c>
      <c r="Q530">
        <f t="shared" ref="Q530:Q531" si="124">(P530/60)+45</f>
        <v>65.833333333333329</v>
      </c>
      <c r="R530">
        <f t="shared" ref="R530:R533" si="125">Q530/60</f>
        <v>1.0972222222222221</v>
      </c>
      <c r="S530" s="2">
        <v>45726</v>
      </c>
      <c r="U530">
        <v>88</v>
      </c>
      <c r="V530" s="4">
        <v>110000</v>
      </c>
      <c r="W530" t="s">
        <v>65</v>
      </c>
      <c r="X530" t="s">
        <v>1365</v>
      </c>
      <c r="Y530">
        <v>0</v>
      </c>
      <c r="Z530" s="4">
        <v>100000</v>
      </c>
      <c r="AA530" s="4">
        <v>10000</v>
      </c>
      <c r="AB530">
        <v>0</v>
      </c>
      <c r="AC530">
        <v>0</v>
      </c>
      <c r="AD530">
        <v>0</v>
      </c>
      <c r="AG530">
        <v>0</v>
      </c>
      <c r="AP530" t="s">
        <v>1366</v>
      </c>
      <c r="AQ530" t="s">
        <v>107</v>
      </c>
      <c r="AR530" t="s">
        <v>6638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C530" t="s">
        <v>69</v>
      </c>
      <c r="BD530" t="s">
        <v>1367</v>
      </c>
      <c r="BE530">
        <v>0</v>
      </c>
      <c r="BG530" t="s">
        <v>107</v>
      </c>
      <c r="BJ530" t="s">
        <v>1368</v>
      </c>
    </row>
    <row r="531" spans="1:62" x14ac:dyDescent="0.35">
      <c r="A531" t="s">
        <v>2305</v>
      </c>
      <c r="B531">
        <v>10000</v>
      </c>
      <c r="C531">
        <v>20000</v>
      </c>
      <c r="D531" s="2">
        <v>45729</v>
      </c>
      <c r="E531" t="s">
        <v>61</v>
      </c>
      <c r="F531" t="s">
        <v>2306</v>
      </c>
      <c r="G531" t="s">
        <v>2307</v>
      </c>
      <c r="I531">
        <v>2</v>
      </c>
      <c r="J531" t="s">
        <v>63</v>
      </c>
      <c r="K531" s="8">
        <v>77</v>
      </c>
      <c r="L531" s="8" t="s">
        <v>6584</v>
      </c>
      <c r="M531" s="8" t="s">
        <v>6627</v>
      </c>
      <c r="N531" t="s">
        <v>127</v>
      </c>
      <c r="O531" t="s">
        <v>6567</v>
      </c>
      <c r="P531" s="4">
        <v>3705</v>
      </c>
      <c r="Q531">
        <f t="shared" si="124"/>
        <v>106.75</v>
      </c>
      <c r="R531">
        <f t="shared" si="125"/>
        <v>1.7791666666666666</v>
      </c>
      <c r="S531" s="2">
        <v>45726</v>
      </c>
      <c r="U531">
        <v>88</v>
      </c>
      <c r="V531" s="4">
        <v>326040</v>
      </c>
      <c r="W531" t="s">
        <v>65</v>
      </c>
      <c r="X531" t="s">
        <v>1634</v>
      </c>
      <c r="Y531">
        <v>0</v>
      </c>
      <c r="Z531" s="4">
        <v>300000</v>
      </c>
      <c r="AA531" s="4">
        <v>26040</v>
      </c>
      <c r="AB531">
        <v>0</v>
      </c>
      <c r="AC531">
        <v>0</v>
      </c>
      <c r="AD531">
        <v>0</v>
      </c>
      <c r="AG531">
        <v>0</v>
      </c>
      <c r="AP531" t="s">
        <v>1635</v>
      </c>
      <c r="AQ531" t="s">
        <v>107</v>
      </c>
      <c r="AR531" t="s">
        <v>6638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C531" t="s">
        <v>69</v>
      </c>
      <c r="BD531" t="s">
        <v>2308</v>
      </c>
      <c r="BE531">
        <v>0</v>
      </c>
      <c r="BG531" t="s">
        <v>107</v>
      </c>
      <c r="BJ531" t="s">
        <v>2309</v>
      </c>
    </row>
    <row r="532" spans="1:62" x14ac:dyDescent="0.35">
      <c r="A532" t="s">
        <v>1813</v>
      </c>
      <c r="B532">
        <v>10000</v>
      </c>
      <c r="C532">
        <v>20000</v>
      </c>
      <c r="D532" s="2">
        <v>45726</v>
      </c>
      <c r="E532" t="s">
        <v>61</v>
      </c>
      <c r="F532" t="s">
        <v>1814</v>
      </c>
      <c r="G532" t="s">
        <v>1815</v>
      </c>
      <c r="I532">
        <v>2</v>
      </c>
      <c r="J532" t="s">
        <v>63</v>
      </c>
      <c r="K532" s="8">
        <v>60</v>
      </c>
      <c r="L532" s="8" t="s">
        <v>6590</v>
      </c>
      <c r="M532" s="8" t="s">
        <v>6630</v>
      </c>
      <c r="N532" t="s">
        <v>277</v>
      </c>
      <c r="O532" t="s">
        <v>6554</v>
      </c>
      <c r="P532" s="4">
        <v>5000</v>
      </c>
      <c r="Q532">
        <f t="shared" ref="Q532:Q533" si="126">(P532/50)+45</f>
        <v>145</v>
      </c>
      <c r="R532">
        <f t="shared" si="125"/>
        <v>2.4166666666666665</v>
      </c>
      <c r="S532" s="2">
        <v>45726</v>
      </c>
      <c r="U532">
        <v>6</v>
      </c>
      <c r="V532" s="4">
        <v>30000</v>
      </c>
      <c r="W532" t="s">
        <v>65</v>
      </c>
      <c r="X532" t="s">
        <v>1816</v>
      </c>
      <c r="Y532">
        <v>0</v>
      </c>
      <c r="Z532" s="4">
        <v>30000</v>
      </c>
      <c r="AA532">
        <v>0</v>
      </c>
      <c r="AB532">
        <v>0</v>
      </c>
      <c r="AC532">
        <v>0</v>
      </c>
      <c r="AD532">
        <v>0</v>
      </c>
      <c r="AG532">
        <v>0</v>
      </c>
      <c r="AP532" t="s">
        <v>1817</v>
      </c>
      <c r="AQ532" t="s">
        <v>206</v>
      </c>
      <c r="AR532" t="s">
        <v>6645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C532" t="s">
        <v>69</v>
      </c>
      <c r="BD532" t="s">
        <v>1818</v>
      </c>
      <c r="BE532">
        <v>0</v>
      </c>
      <c r="BG532" t="s">
        <v>206</v>
      </c>
      <c r="BJ532" t="s">
        <v>1819</v>
      </c>
    </row>
    <row r="533" spans="1:62" x14ac:dyDescent="0.35">
      <c r="A533" t="s">
        <v>1813</v>
      </c>
      <c r="B533">
        <v>10000</v>
      </c>
      <c r="C533">
        <v>40000</v>
      </c>
      <c r="D533" s="2">
        <v>45727</v>
      </c>
      <c r="E533" t="s">
        <v>61</v>
      </c>
      <c r="F533" t="s">
        <v>2310</v>
      </c>
      <c r="G533" t="s">
        <v>1815</v>
      </c>
      <c r="I533">
        <v>2</v>
      </c>
      <c r="J533" t="s">
        <v>63</v>
      </c>
      <c r="K533" s="8">
        <v>60</v>
      </c>
      <c r="L533" s="8" t="s">
        <v>6590</v>
      </c>
      <c r="M533" s="8" t="s">
        <v>6630</v>
      </c>
      <c r="N533" t="s">
        <v>277</v>
      </c>
      <c r="O533" t="s">
        <v>6554</v>
      </c>
      <c r="P533" s="4">
        <v>5000</v>
      </c>
      <c r="Q533">
        <f t="shared" si="126"/>
        <v>145</v>
      </c>
      <c r="R533">
        <f t="shared" si="125"/>
        <v>2.4166666666666665</v>
      </c>
      <c r="S533" s="2">
        <v>45726</v>
      </c>
      <c r="U533">
        <v>6</v>
      </c>
      <c r="V533" s="4">
        <v>30000</v>
      </c>
      <c r="W533" t="s">
        <v>65</v>
      </c>
      <c r="X533" t="s">
        <v>1816</v>
      </c>
      <c r="Y533">
        <v>0</v>
      </c>
      <c r="Z533" s="4">
        <v>30000</v>
      </c>
      <c r="AA533">
        <v>0</v>
      </c>
      <c r="AB533">
        <v>0</v>
      </c>
      <c r="AC533">
        <v>0</v>
      </c>
      <c r="AD533">
        <v>0</v>
      </c>
      <c r="AG533">
        <v>0</v>
      </c>
      <c r="AP533" t="s">
        <v>1817</v>
      </c>
      <c r="AQ533" t="s">
        <v>206</v>
      </c>
      <c r="AR533" t="s">
        <v>6645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BC533" t="s">
        <v>69</v>
      </c>
      <c r="BD533" t="s">
        <v>1818</v>
      </c>
      <c r="BE533">
        <v>0</v>
      </c>
      <c r="BG533" t="s">
        <v>206</v>
      </c>
      <c r="BJ533" t="s">
        <v>1819</v>
      </c>
    </row>
    <row r="534" spans="1:62" x14ac:dyDescent="0.35">
      <c r="A534" t="s">
        <v>985</v>
      </c>
      <c r="B534">
        <v>10000</v>
      </c>
      <c r="C534">
        <v>20000</v>
      </c>
      <c r="D534" s="2">
        <v>45727</v>
      </c>
      <c r="E534" t="s">
        <v>61</v>
      </c>
      <c r="F534" s="3">
        <v>0.47247685185185184</v>
      </c>
      <c r="G534" t="s">
        <v>986</v>
      </c>
      <c r="I534">
        <v>2</v>
      </c>
      <c r="J534" t="s">
        <v>63</v>
      </c>
      <c r="K534" s="8">
        <v>92</v>
      </c>
      <c r="L534" s="8" t="s">
        <v>6614</v>
      </c>
      <c r="M534" s="8" t="s">
        <v>6633</v>
      </c>
      <c r="N534" t="s">
        <v>424</v>
      </c>
      <c r="O534" t="s">
        <v>6570</v>
      </c>
      <c r="P534">
        <v>300</v>
      </c>
      <c r="S534" s="2">
        <v>45726</v>
      </c>
      <c r="U534">
        <v>4</v>
      </c>
      <c r="V534" s="4">
        <v>1200</v>
      </c>
      <c r="W534" t="s">
        <v>65</v>
      </c>
      <c r="X534" t="s">
        <v>987</v>
      </c>
      <c r="Y534">
        <v>0</v>
      </c>
      <c r="Z534" s="4">
        <v>1000</v>
      </c>
      <c r="AA534">
        <v>200</v>
      </c>
      <c r="AB534">
        <v>0</v>
      </c>
      <c r="AC534">
        <v>0</v>
      </c>
      <c r="AD534">
        <v>0</v>
      </c>
      <c r="AG534">
        <v>0</v>
      </c>
      <c r="AP534" t="s">
        <v>988</v>
      </c>
      <c r="AQ534" t="s">
        <v>989</v>
      </c>
      <c r="AR534" t="s">
        <v>6668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BC534" t="s">
        <v>69</v>
      </c>
      <c r="BD534" t="s">
        <v>990</v>
      </c>
      <c r="BE534">
        <v>0</v>
      </c>
      <c r="BG534" t="s">
        <v>989</v>
      </c>
      <c r="BJ534" t="s">
        <v>991</v>
      </c>
    </row>
    <row r="535" spans="1:62" x14ac:dyDescent="0.35">
      <c r="A535" t="s">
        <v>2311</v>
      </c>
      <c r="B535">
        <v>10000</v>
      </c>
      <c r="C535">
        <v>10000</v>
      </c>
      <c r="D535" s="2">
        <v>45730</v>
      </c>
      <c r="E535" t="s">
        <v>61</v>
      </c>
      <c r="F535" t="s">
        <v>2312</v>
      </c>
      <c r="G535" t="s">
        <v>2313</v>
      </c>
      <c r="I535">
        <v>1</v>
      </c>
      <c r="J535" t="s">
        <v>63</v>
      </c>
      <c r="K535" s="8">
        <v>93</v>
      </c>
      <c r="L535" t="s">
        <v>6611</v>
      </c>
      <c r="M535" s="8" t="s">
        <v>6631</v>
      </c>
      <c r="N535" t="s">
        <v>2315</v>
      </c>
      <c r="O535" t="s">
        <v>6540</v>
      </c>
      <c r="P535" s="4">
        <v>2800</v>
      </c>
      <c r="S535" s="2">
        <v>45726</v>
      </c>
      <c r="U535">
        <v>1344</v>
      </c>
      <c r="V535" s="4">
        <v>3763200</v>
      </c>
      <c r="W535" t="s">
        <v>65</v>
      </c>
      <c r="X535" t="s">
        <v>2316</v>
      </c>
      <c r="Y535">
        <v>0</v>
      </c>
      <c r="Z535" s="4">
        <v>3040000</v>
      </c>
      <c r="AA535" s="4">
        <v>723200</v>
      </c>
      <c r="AB535">
        <v>0</v>
      </c>
      <c r="AC535">
        <v>0</v>
      </c>
      <c r="AD535">
        <v>0</v>
      </c>
      <c r="AG535">
        <v>0</v>
      </c>
      <c r="AP535" t="s">
        <v>2317</v>
      </c>
      <c r="AQ535" t="s">
        <v>481</v>
      </c>
      <c r="AR535" t="s">
        <v>6655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C535" t="s">
        <v>69</v>
      </c>
      <c r="BD535" t="s">
        <v>2318</v>
      </c>
      <c r="BE535">
        <v>0</v>
      </c>
      <c r="BG535" t="s">
        <v>481</v>
      </c>
      <c r="BJ535" t="s">
        <v>1418</v>
      </c>
    </row>
    <row r="536" spans="1:62" x14ac:dyDescent="0.35">
      <c r="A536" t="s">
        <v>2319</v>
      </c>
      <c r="B536">
        <v>10000</v>
      </c>
      <c r="C536">
        <v>10000</v>
      </c>
      <c r="D536" s="2">
        <v>45733</v>
      </c>
      <c r="E536" t="s">
        <v>61</v>
      </c>
      <c r="F536" t="s">
        <v>2320</v>
      </c>
      <c r="G536" t="s">
        <v>2289</v>
      </c>
      <c r="I536">
        <v>1</v>
      </c>
      <c r="J536" t="s">
        <v>63</v>
      </c>
      <c r="K536" s="8">
        <v>78</v>
      </c>
      <c r="L536" s="8" t="s">
        <v>6593</v>
      </c>
      <c r="M536" s="8" t="s">
        <v>6629</v>
      </c>
      <c r="N536" t="s">
        <v>188</v>
      </c>
      <c r="O536" t="s">
        <v>6410</v>
      </c>
      <c r="P536" s="4">
        <v>2750</v>
      </c>
      <c r="Q536">
        <f t="shared" ref="Q536:Q537" si="127">(P536/40)+45</f>
        <v>113.75</v>
      </c>
      <c r="R536">
        <f t="shared" ref="R536:R537" si="128">Q536/60</f>
        <v>1.8958333333333333</v>
      </c>
      <c r="S536" s="2">
        <v>45726</v>
      </c>
      <c r="U536">
        <v>16</v>
      </c>
      <c r="V536" s="4">
        <v>44000</v>
      </c>
      <c r="W536" t="s">
        <v>65</v>
      </c>
      <c r="X536" t="s">
        <v>2290</v>
      </c>
      <c r="Y536">
        <v>0</v>
      </c>
      <c r="Z536" s="4">
        <v>40000</v>
      </c>
      <c r="AA536" s="4">
        <v>4000</v>
      </c>
      <c r="AB536">
        <v>0</v>
      </c>
      <c r="AC536">
        <v>0</v>
      </c>
      <c r="AD536">
        <v>0</v>
      </c>
      <c r="AG536">
        <v>0</v>
      </c>
      <c r="AP536" t="s">
        <v>2291</v>
      </c>
      <c r="AQ536" t="s">
        <v>175</v>
      </c>
      <c r="AR536" t="s">
        <v>6642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BC536" t="s">
        <v>69</v>
      </c>
      <c r="BD536" t="s">
        <v>2321</v>
      </c>
      <c r="BE536">
        <v>0</v>
      </c>
      <c r="BG536" t="s">
        <v>175</v>
      </c>
      <c r="BJ536" t="s">
        <v>2322</v>
      </c>
    </row>
    <row r="537" spans="1:62" x14ac:dyDescent="0.35">
      <c r="A537" t="s">
        <v>2323</v>
      </c>
      <c r="B537">
        <v>10000</v>
      </c>
      <c r="C537">
        <v>10000</v>
      </c>
      <c r="D537" s="2">
        <v>45733</v>
      </c>
      <c r="E537" t="s">
        <v>61</v>
      </c>
      <c r="F537" t="s">
        <v>2320</v>
      </c>
      <c r="G537" t="s">
        <v>2289</v>
      </c>
      <c r="I537">
        <v>1</v>
      </c>
      <c r="J537" t="s">
        <v>63</v>
      </c>
      <c r="K537" s="8">
        <v>78</v>
      </c>
      <c r="L537" s="8" t="s">
        <v>6593</v>
      </c>
      <c r="M537" s="8" t="s">
        <v>6629</v>
      </c>
      <c r="N537" t="s">
        <v>188</v>
      </c>
      <c r="O537" t="s">
        <v>6410</v>
      </c>
      <c r="P537" s="4">
        <v>2750</v>
      </c>
      <c r="Q537">
        <f t="shared" si="127"/>
        <v>113.75</v>
      </c>
      <c r="R537">
        <f t="shared" si="128"/>
        <v>1.8958333333333333</v>
      </c>
      <c r="S537" s="2">
        <v>45726</v>
      </c>
      <c r="U537">
        <v>16</v>
      </c>
      <c r="V537" s="4">
        <v>44000</v>
      </c>
      <c r="W537" t="s">
        <v>65</v>
      </c>
      <c r="X537" t="s">
        <v>2290</v>
      </c>
      <c r="Y537">
        <v>0</v>
      </c>
      <c r="Z537" s="4">
        <v>40000</v>
      </c>
      <c r="AA537" s="4">
        <v>4000</v>
      </c>
      <c r="AB537">
        <v>0</v>
      </c>
      <c r="AC537">
        <v>0</v>
      </c>
      <c r="AD537">
        <v>0</v>
      </c>
      <c r="AG537">
        <v>0</v>
      </c>
      <c r="AP537" t="s">
        <v>2291</v>
      </c>
      <c r="AQ537" t="s">
        <v>175</v>
      </c>
      <c r="AR537" t="s">
        <v>6642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C537" t="s">
        <v>69</v>
      </c>
      <c r="BD537" t="s">
        <v>2324</v>
      </c>
      <c r="BE537">
        <v>0</v>
      </c>
      <c r="BG537" t="s">
        <v>175</v>
      </c>
      <c r="BJ537" t="s">
        <v>2325</v>
      </c>
    </row>
    <row r="538" spans="1:62" x14ac:dyDescent="0.35">
      <c r="A538" t="s">
        <v>1438</v>
      </c>
      <c r="B538">
        <v>10000</v>
      </c>
      <c r="C538">
        <v>20000</v>
      </c>
      <c r="D538" s="2">
        <v>45735</v>
      </c>
      <c r="E538" t="s">
        <v>95</v>
      </c>
      <c r="F538" t="s">
        <v>1439</v>
      </c>
      <c r="G538" t="s">
        <v>1364</v>
      </c>
      <c r="I538">
        <v>2</v>
      </c>
      <c r="J538" t="s">
        <v>63</v>
      </c>
      <c r="K538" s="8">
        <v>77</v>
      </c>
      <c r="L538" s="8" t="s">
        <v>6584</v>
      </c>
      <c r="M538" s="8" t="s">
        <v>6627</v>
      </c>
      <c r="N538" t="s">
        <v>127</v>
      </c>
      <c r="O538" t="s">
        <v>6567</v>
      </c>
      <c r="P538" s="4">
        <v>1250</v>
      </c>
      <c r="Q538">
        <f>(P538/60)+45</f>
        <v>65.833333333333329</v>
      </c>
      <c r="R538">
        <f>Q538/60</f>
        <v>1.0972222222222221</v>
      </c>
      <c r="S538" s="2">
        <v>45726</v>
      </c>
      <c r="U538">
        <v>88</v>
      </c>
      <c r="V538" s="4">
        <v>110000</v>
      </c>
      <c r="W538" t="s">
        <v>65</v>
      </c>
      <c r="X538" t="s">
        <v>1440</v>
      </c>
      <c r="Y538">
        <v>0</v>
      </c>
      <c r="Z538" s="4">
        <v>100000</v>
      </c>
      <c r="AA538" s="4">
        <v>10000</v>
      </c>
      <c r="AB538">
        <v>0</v>
      </c>
      <c r="AC538">
        <v>0</v>
      </c>
      <c r="AD538">
        <v>0</v>
      </c>
      <c r="AG538">
        <v>0</v>
      </c>
      <c r="AP538" t="s">
        <v>1441</v>
      </c>
      <c r="AQ538" t="s">
        <v>107</v>
      </c>
      <c r="AR538" t="s">
        <v>6638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BC538" t="s">
        <v>69</v>
      </c>
      <c r="BD538" t="s">
        <v>1442</v>
      </c>
      <c r="BE538">
        <v>0</v>
      </c>
      <c r="BG538" t="s">
        <v>107</v>
      </c>
      <c r="BJ538" t="s">
        <v>1443</v>
      </c>
    </row>
    <row r="539" spans="1:62" x14ac:dyDescent="0.35">
      <c r="A539" t="s">
        <v>1023</v>
      </c>
      <c r="B539">
        <v>10000</v>
      </c>
      <c r="C539">
        <v>20000</v>
      </c>
      <c r="D539" s="2">
        <v>45727</v>
      </c>
      <c r="E539" t="s">
        <v>61</v>
      </c>
      <c r="F539" t="s">
        <v>1024</v>
      </c>
      <c r="G539" t="s">
        <v>1025</v>
      </c>
      <c r="I539">
        <v>1</v>
      </c>
      <c r="J539" t="s">
        <v>63</v>
      </c>
      <c r="K539" s="8">
        <v>71</v>
      </c>
      <c r="L539" s="8" t="s">
        <v>6588</v>
      </c>
      <c r="M539" s="8" t="s">
        <v>6630</v>
      </c>
      <c r="N539" t="s">
        <v>135</v>
      </c>
      <c r="O539" t="s">
        <v>6573</v>
      </c>
      <c r="P539" s="4">
        <v>22500</v>
      </c>
      <c r="S539" s="2">
        <v>45726</v>
      </c>
      <c r="U539">
        <v>6</v>
      </c>
      <c r="V539" s="4">
        <v>135000</v>
      </c>
      <c r="W539" t="s">
        <v>65</v>
      </c>
      <c r="X539" t="s">
        <v>1026</v>
      </c>
      <c r="Y539">
        <v>0</v>
      </c>
      <c r="Z539" s="4">
        <v>134997</v>
      </c>
      <c r="AA539">
        <v>3</v>
      </c>
      <c r="AB539">
        <v>0</v>
      </c>
      <c r="AC539">
        <v>0</v>
      </c>
      <c r="AD539">
        <v>0</v>
      </c>
      <c r="AG539">
        <v>0</v>
      </c>
      <c r="AP539" t="s">
        <v>1027</v>
      </c>
      <c r="AQ539" t="s">
        <v>107</v>
      </c>
      <c r="AR539" t="s">
        <v>6638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BC539" t="s">
        <v>69</v>
      </c>
      <c r="BD539" t="s">
        <v>1028</v>
      </c>
      <c r="BE539">
        <v>0</v>
      </c>
      <c r="BG539" t="s">
        <v>107</v>
      </c>
      <c r="BJ539" t="s">
        <v>1029</v>
      </c>
    </row>
    <row r="540" spans="1:62" x14ac:dyDescent="0.35">
      <c r="A540" t="s">
        <v>622</v>
      </c>
      <c r="B540">
        <v>10000</v>
      </c>
      <c r="C540">
        <v>20000</v>
      </c>
      <c r="D540" s="2">
        <v>45740</v>
      </c>
      <c r="E540" t="s">
        <v>61</v>
      </c>
      <c r="F540" t="s">
        <v>2326</v>
      </c>
      <c r="G540">
        <v>10639931001</v>
      </c>
      <c r="I540">
        <v>2</v>
      </c>
      <c r="J540" t="s">
        <v>63</v>
      </c>
      <c r="K540" s="8">
        <v>77</v>
      </c>
      <c r="L540" s="8" t="s">
        <v>6584</v>
      </c>
      <c r="M540" s="8" t="s">
        <v>6627</v>
      </c>
      <c r="N540" t="s">
        <v>127</v>
      </c>
      <c r="O540" t="s">
        <v>6567</v>
      </c>
      <c r="P540">
        <v>750</v>
      </c>
      <c r="Q540">
        <f>(P540/60)+45</f>
        <v>57.5</v>
      </c>
      <c r="R540">
        <f>Q540/60</f>
        <v>0.95833333333333337</v>
      </c>
      <c r="S540" s="2">
        <v>45726</v>
      </c>
      <c r="U540">
        <v>88</v>
      </c>
      <c r="V540" s="4">
        <v>66000</v>
      </c>
      <c r="W540" t="s">
        <v>65</v>
      </c>
      <c r="X540" t="s">
        <v>623</v>
      </c>
      <c r="Y540">
        <v>0</v>
      </c>
      <c r="Z540" s="4">
        <v>25385</v>
      </c>
      <c r="AA540" s="4">
        <v>40615</v>
      </c>
      <c r="AB540">
        <v>0</v>
      </c>
      <c r="AC540">
        <v>0</v>
      </c>
      <c r="AD540">
        <v>0</v>
      </c>
      <c r="AG540">
        <v>0</v>
      </c>
      <c r="AP540" t="s">
        <v>624</v>
      </c>
      <c r="AQ540" t="s">
        <v>107</v>
      </c>
      <c r="AR540" t="s">
        <v>6638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BC540" t="s">
        <v>69</v>
      </c>
      <c r="BD540" t="s">
        <v>625</v>
      </c>
      <c r="BE540">
        <v>0</v>
      </c>
      <c r="BG540" t="s">
        <v>107</v>
      </c>
      <c r="BJ540" t="s">
        <v>626</v>
      </c>
    </row>
    <row r="541" spans="1:62" x14ac:dyDescent="0.35">
      <c r="A541" t="s">
        <v>2327</v>
      </c>
      <c r="B541">
        <v>10000</v>
      </c>
      <c r="C541">
        <v>10000</v>
      </c>
      <c r="D541" s="2">
        <v>45726</v>
      </c>
      <c r="E541" t="s">
        <v>61</v>
      </c>
      <c r="F541" t="s">
        <v>2253</v>
      </c>
      <c r="G541" t="s">
        <v>2328</v>
      </c>
      <c r="I541">
        <v>1</v>
      </c>
      <c r="J541" t="s">
        <v>63</v>
      </c>
      <c r="K541" s="8">
        <v>59</v>
      </c>
      <c r="L541" s="8" t="s">
        <v>6592</v>
      </c>
      <c r="M541" s="8" t="s">
        <v>6629</v>
      </c>
      <c r="N541" t="s">
        <v>745</v>
      </c>
      <c r="O541" t="s">
        <v>6501</v>
      </c>
      <c r="P541" s="4">
        <v>1500</v>
      </c>
      <c r="Q541">
        <f t="shared" ref="Q541:Q544" si="129">(P541/40)+45</f>
        <v>82.5</v>
      </c>
      <c r="R541">
        <f t="shared" ref="R541:R544" si="130">Q541/60</f>
        <v>1.375</v>
      </c>
      <c r="S541" s="2">
        <v>45726</v>
      </c>
      <c r="U541">
        <v>6</v>
      </c>
      <c r="V541" s="4">
        <v>9000</v>
      </c>
      <c r="W541" t="s">
        <v>65</v>
      </c>
      <c r="X541" t="s">
        <v>2254</v>
      </c>
      <c r="Y541">
        <v>0</v>
      </c>
      <c r="Z541" s="4">
        <v>9000</v>
      </c>
      <c r="AA541">
        <v>0</v>
      </c>
      <c r="AB541">
        <v>0</v>
      </c>
      <c r="AC541">
        <v>0</v>
      </c>
      <c r="AD541">
        <v>0</v>
      </c>
      <c r="AG541">
        <v>0</v>
      </c>
      <c r="AP541" t="s">
        <v>2295</v>
      </c>
      <c r="AQ541" t="s">
        <v>182</v>
      </c>
      <c r="AR541" t="s">
        <v>6643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BC541" t="s">
        <v>69</v>
      </c>
      <c r="BD541" t="s">
        <v>2329</v>
      </c>
      <c r="BE541">
        <v>0</v>
      </c>
      <c r="BG541" t="s">
        <v>182</v>
      </c>
      <c r="BJ541" t="s">
        <v>2330</v>
      </c>
    </row>
    <row r="542" spans="1:62" x14ac:dyDescent="0.35">
      <c r="A542" t="s">
        <v>2092</v>
      </c>
      <c r="B542">
        <v>10000</v>
      </c>
      <c r="C542">
        <v>20000</v>
      </c>
      <c r="D542" s="2">
        <v>45734</v>
      </c>
      <c r="E542" t="s">
        <v>61</v>
      </c>
      <c r="F542" t="s">
        <v>2093</v>
      </c>
      <c r="G542" t="s">
        <v>2094</v>
      </c>
      <c r="I542">
        <v>1</v>
      </c>
      <c r="J542" t="s">
        <v>63</v>
      </c>
      <c r="K542" s="8">
        <v>29</v>
      </c>
      <c r="L542" s="8" t="s">
        <v>6595</v>
      </c>
      <c r="M542" s="8" t="s">
        <v>6629</v>
      </c>
      <c r="N542" t="s">
        <v>361</v>
      </c>
      <c r="O542" t="s">
        <v>6485</v>
      </c>
      <c r="P542" s="4">
        <v>62822</v>
      </c>
      <c r="Q542">
        <f t="shared" si="129"/>
        <v>1615.55</v>
      </c>
      <c r="R542">
        <f t="shared" si="130"/>
        <v>26.925833333333333</v>
      </c>
      <c r="S542" s="2">
        <v>45726</v>
      </c>
      <c r="U542">
        <v>28</v>
      </c>
      <c r="V542" s="4">
        <v>1759016</v>
      </c>
      <c r="W542" t="s">
        <v>65</v>
      </c>
      <c r="X542">
        <v>6622480001</v>
      </c>
      <c r="Y542">
        <v>0</v>
      </c>
      <c r="Z542" s="4">
        <v>1741854</v>
      </c>
      <c r="AA542" s="4">
        <v>17162</v>
      </c>
      <c r="AB542">
        <v>0</v>
      </c>
      <c r="AC542">
        <v>0</v>
      </c>
      <c r="AD542">
        <v>0</v>
      </c>
      <c r="AG542">
        <v>0</v>
      </c>
      <c r="AP542">
        <v>662248</v>
      </c>
      <c r="AQ542" t="s">
        <v>481</v>
      </c>
      <c r="AR542" t="s">
        <v>6655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BC542" t="s">
        <v>69</v>
      </c>
      <c r="BD542" t="s">
        <v>2095</v>
      </c>
      <c r="BE542">
        <v>0</v>
      </c>
      <c r="BG542" t="s">
        <v>481</v>
      </c>
      <c r="BJ542" t="s">
        <v>2096</v>
      </c>
    </row>
    <row r="543" spans="1:62" x14ac:dyDescent="0.35">
      <c r="A543" t="s">
        <v>2331</v>
      </c>
      <c r="B543">
        <v>10000</v>
      </c>
      <c r="C543">
        <v>10000</v>
      </c>
      <c r="D543" s="2">
        <v>45726</v>
      </c>
      <c r="E543" t="s">
        <v>61</v>
      </c>
      <c r="F543" t="s">
        <v>2332</v>
      </c>
      <c r="G543" t="s">
        <v>2333</v>
      </c>
      <c r="I543">
        <v>1</v>
      </c>
      <c r="J543" t="s">
        <v>63</v>
      </c>
      <c r="K543" s="8">
        <v>78</v>
      </c>
      <c r="L543" s="8" t="s">
        <v>6593</v>
      </c>
      <c r="M543" s="8" t="s">
        <v>6629</v>
      </c>
      <c r="N543" t="s">
        <v>188</v>
      </c>
      <c r="O543" t="s">
        <v>6410</v>
      </c>
      <c r="P543">
        <v>500</v>
      </c>
      <c r="Q543">
        <f t="shared" si="129"/>
        <v>57.5</v>
      </c>
      <c r="R543">
        <f t="shared" si="130"/>
        <v>0.95833333333333337</v>
      </c>
      <c r="S543" s="2">
        <v>45726</v>
      </c>
      <c r="U543">
        <v>2</v>
      </c>
      <c r="V543" s="4">
        <v>1000</v>
      </c>
      <c r="W543" t="s">
        <v>65</v>
      </c>
      <c r="X543" t="s">
        <v>2334</v>
      </c>
      <c r="Y543">
        <v>0</v>
      </c>
      <c r="Z543" s="4">
        <v>1000</v>
      </c>
      <c r="AA543">
        <v>0</v>
      </c>
      <c r="AB543">
        <v>0</v>
      </c>
      <c r="AC543">
        <v>0</v>
      </c>
      <c r="AD543">
        <v>0</v>
      </c>
      <c r="AG543">
        <v>0</v>
      </c>
      <c r="AP543" t="s">
        <v>2335</v>
      </c>
      <c r="AQ543" t="s">
        <v>2336</v>
      </c>
      <c r="AR543" t="s">
        <v>6700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BC543" t="s">
        <v>69</v>
      </c>
      <c r="BD543" t="s">
        <v>2337</v>
      </c>
      <c r="BE543">
        <v>0</v>
      </c>
      <c r="BG543" t="s">
        <v>2336</v>
      </c>
      <c r="BJ543" t="s">
        <v>2338</v>
      </c>
    </row>
    <row r="544" spans="1:62" x14ac:dyDescent="0.35">
      <c r="A544" t="s">
        <v>2339</v>
      </c>
      <c r="B544">
        <v>10000</v>
      </c>
      <c r="C544">
        <v>10000</v>
      </c>
      <c r="D544" s="2">
        <v>45726</v>
      </c>
      <c r="E544" t="s">
        <v>61</v>
      </c>
      <c r="F544" t="s">
        <v>2332</v>
      </c>
      <c r="G544" t="s">
        <v>2333</v>
      </c>
      <c r="I544">
        <v>1</v>
      </c>
      <c r="J544" t="s">
        <v>63</v>
      </c>
      <c r="K544" s="8">
        <v>78</v>
      </c>
      <c r="L544" s="8" t="s">
        <v>6593</v>
      </c>
      <c r="M544" s="8" t="s">
        <v>6629</v>
      </c>
      <c r="N544" t="s">
        <v>188</v>
      </c>
      <c r="O544" t="s">
        <v>6410</v>
      </c>
      <c r="P544">
        <v>500</v>
      </c>
      <c r="Q544">
        <f t="shared" si="129"/>
        <v>57.5</v>
      </c>
      <c r="R544">
        <f t="shared" si="130"/>
        <v>0.95833333333333337</v>
      </c>
      <c r="S544" s="2">
        <v>45726</v>
      </c>
      <c r="U544">
        <v>2</v>
      </c>
      <c r="V544" s="4">
        <v>1000</v>
      </c>
      <c r="W544" t="s">
        <v>65</v>
      </c>
      <c r="X544" t="s">
        <v>2340</v>
      </c>
      <c r="Y544">
        <v>0</v>
      </c>
      <c r="Z544" s="4">
        <v>1000</v>
      </c>
      <c r="AA544">
        <v>0</v>
      </c>
      <c r="AB544">
        <v>0</v>
      </c>
      <c r="AC544">
        <v>0</v>
      </c>
      <c r="AD544">
        <v>0</v>
      </c>
      <c r="AG544">
        <v>0</v>
      </c>
      <c r="AP544" t="s">
        <v>2341</v>
      </c>
      <c r="AQ544" t="s">
        <v>2336</v>
      </c>
      <c r="AR544" t="s">
        <v>6700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BC544" t="s">
        <v>69</v>
      </c>
      <c r="BD544" t="s">
        <v>2342</v>
      </c>
      <c r="BE544">
        <v>0</v>
      </c>
      <c r="BG544" t="s">
        <v>2336</v>
      </c>
      <c r="BJ544" t="s">
        <v>2338</v>
      </c>
    </row>
    <row r="545" spans="1:62" x14ac:dyDescent="0.35">
      <c r="A545" t="s">
        <v>2343</v>
      </c>
      <c r="B545">
        <v>10000</v>
      </c>
      <c r="C545">
        <v>10000</v>
      </c>
      <c r="D545" s="2">
        <v>45726</v>
      </c>
      <c r="E545" t="s">
        <v>61</v>
      </c>
      <c r="F545" t="s">
        <v>2216</v>
      </c>
      <c r="G545" t="s">
        <v>2344</v>
      </c>
      <c r="I545">
        <v>1</v>
      </c>
      <c r="J545" t="s">
        <v>63</v>
      </c>
      <c r="K545" s="8">
        <v>71</v>
      </c>
      <c r="L545" s="8" t="s">
        <v>6588</v>
      </c>
      <c r="M545" s="8" t="s">
        <v>6630</v>
      </c>
      <c r="N545" t="s">
        <v>135</v>
      </c>
      <c r="O545" t="s">
        <v>6573</v>
      </c>
      <c r="P545" s="4">
        <v>1000</v>
      </c>
      <c r="S545" s="2">
        <v>45726</v>
      </c>
      <c r="U545">
        <v>2</v>
      </c>
      <c r="V545" s="4">
        <v>2000</v>
      </c>
      <c r="W545" t="s">
        <v>65</v>
      </c>
      <c r="X545" t="s">
        <v>2345</v>
      </c>
      <c r="Y545">
        <v>0</v>
      </c>
      <c r="Z545" s="4">
        <v>2000</v>
      </c>
      <c r="AA545">
        <v>0</v>
      </c>
      <c r="AB545">
        <v>0</v>
      </c>
      <c r="AC545">
        <v>0</v>
      </c>
      <c r="AD545">
        <v>0</v>
      </c>
      <c r="AG545">
        <v>0</v>
      </c>
      <c r="AP545" t="s">
        <v>2346</v>
      </c>
      <c r="AQ545" t="s">
        <v>2347</v>
      </c>
      <c r="AR545" t="s">
        <v>6701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BC545" t="s">
        <v>69</v>
      </c>
      <c r="BD545" t="s">
        <v>2348</v>
      </c>
      <c r="BE545">
        <v>0</v>
      </c>
      <c r="BG545" t="s">
        <v>2347</v>
      </c>
      <c r="BJ545" t="s">
        <v>2349</v>
      </c>
    </row>
    <row r="546" spans="1:62" x14ac:dyDescent="0.35">
      <c r="A546" t="s">
        <v>2350</v>
      </c>
      <c r="B546">
        <v>10000</v>
      </c>
      <c r="C546">
        <v>10000</v>
      </c>
      <c r="D546" s="2">
        <v>45726</v>
      </c>
      <c r="E546" t="s">
        <v>61</v>
      </c>
      <c r="F546" t="s">
        <v>2351</v>
      </c>
      <c r="G546" t="s">
        <v>2352</v>
      </c>
      <c r="I546">
        <v>1</v>
      </c>
      <c r="J546" t="s">
        <v>63</v>
      </c>
      <c r="K546" s="8">
        <v>61</v>
      </c>
      <c r="L546" s="8" t="s">
        <v>6594</v>
      </c>
      <c r="M546" s="8" t="s">
        <v>6629</v>
      </c>
      <c r="N546" t="s">
        <v>216</v>
      </c>
      <c r="O546" t="s">
        <v>6394</v>
      </c>
      <c r="P546">
        <v>750</v>
      </c>
      <c r="Q546">
        <f>(P546/50)+45</f>
        <v>60</v>
      </c>
      <c r="R546">
        <f>Q546/60</f>
        <v>1</v>
      </c>
      <c r="S546" s="2">
        <v>45726</v>
      </c>
      <c r="U546">
        <v>2</v>
      </c>
      <c r="V546" s="4">
        <v>1500</v>
      </c>
      <c r="W546" t="s">
        <v>65</v>
      </c>
      <c r="X546" t="s">
        <v>2353</v>
      </c>
      <c r="Y546">
        <v>0</v>
      </c>
      <c r="Z546" s="4">
        <v>1500</v>
      </c>
      <c r="AA546">
        <v>0</v>
      </c>
      <c r="AB546">
        <v>0</v>
      </c>
      <c r="AC546">
        <v>0</v>
      </c>
      <c r="AD546">
        <v>0</v>
      </c>
      <c r="AG546">
        <v>0</v>
      </c>
      <c r="AP546" t="s">
        <v>2354</v>
      </c>
      <c r="AQ546" t="s">
        <v>2355</v>
      </c>
      <c r="AR546" t="s">
        <v>6702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BC546" t="s">
        <v>69</v>
      </c>
      <c r="BD546" t="s">
        <v>2356</v>
      </c>
      <c r="BE546">
        <v>0</v>
      </c>
      <c r="BG546" t="s">
        <v>2355</v>
      </c>
      <c r="BJ546" t="s">
        <v>2357</v>
      </c>
    </row>
    <row r="547" spans="1:62" x14ac:dyDescent="0.35">
      <c r="A547" t="s">
        <v>2358</v>
      </c>
      <c r="B547">
        <v>10000</v>
      </c>
      <c r="C547">
        <v>10000</v>
      </c>
      <c r="D547" s="2">
        <v>45727</v>
      </c>
      <c r="E547" t="s">
        <v>61</v>
      </c>
      <c r="F547" t="s">
        <v>2359</v>
      </c>
      <c r="G547" t="s">
        <v>2360</v>
      </c>
      <c r="I547">
        <v>1</v>
      </c>
      <c r="J547" t="s">
        <v>63</v>
      </c>
      <c r="K547" s="8">
        <v>79</v>
      </c>
      <c r="L547" s="8" t="s">
        <v>6608</v>
      </c>
      <c r="M547" s="8" t="s">
        <v>6631</v>
      </c>
      <c r="N547" t="s">
        <v>573</v>
      </c>
      <c r="O547" t="s">
        <v>6547</v>
      </c>
      <c r="P547">
        <v>100</v>
      </c>
      <c r="Q547">
        <f t="shared" ref="Q547:Q549" si="131">(P547/20)+30</f>
        <v>35</v>
      </c>
      <c r="R547">
        <f t="shared" ref="R547:R549" si="132">Q547/60</f>
        <v>0.58333333333333337</v>
      </c>
      <c r="S547" s="2">
        <v>45726</v>
      </c>
      <c r="U547">
        <v>66</v>
      </c>
      <c r="V547" s="4">
        <v>6600</v>
      </c>
      <c r="W547" t="s">
        <v>65</v>
      </c>
      <c r="X547" t="s">
        <v>2361</v>
      </c>
      <c r="Y547">
        <v>0</v>
      </c>
      <c r="Z547" s="4">
        <v>3000</v>
      </c>
      <c r="AA547" s="4">
        <v>3600</v>
      </c>
      <c r="AB547">
        <v>0</v>
      </c>
      <c r="AC547">
        <v>0</v>
      </c>
      <c r="AD547">
        <v>0</v>
      </c>
      <c r="AG547">
        <v>0</v>
      </c>
      <c r="AP547" t="s">
        <v>2362</v>
      </c>
      <c r="AQ547" t="s">
        <v>878</v>
      </c>
      <c r="AR547" t="s">
        <v>6665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BC547" t="s">
        <v>69</v>
      </c>
      <c r="BD547" t="s">
        <v>2363</v>
      </c>
      <c r="BE547">
        <v>0</v>
      </c>
      <c r="BG547" t="s">
        <v>878</v>
      </c>
      <c r="BJ547" t="s">
        <v>2364</v>
      </c>
    </row>
    <row r="548" spans="1:62" x14ac:dyDescent="0.35">
      <c r="A548" t="s">
        <v>2365</v>
      </c>
      <c r="B548">
        <v>10000</v>
      </c>
      <c r="C548">
        <v>10000</v>
      </c>
      <c r="D548" s="2">
        <v>45727</v>
      </c>
      <c r="E548" t="s">
        <v>61</v>
      </c>
      <c r="F548" t="s">
        <v>2366</v>
      </c>
      <c r="G548" t="s">
        <v>2360</v>
      </c>
      <c r="I548">
        <v>1</v>
      </c>
      <c r="J548" t="s">
        <v>63</v>
      </c>
      <c r="K548" s="8">
        <v>79</v>
      </c>
      <c r="L548" s="8" t="s">
        <v>6608</v>
      </c>
      <c r="M548" s="8" t="s">
        <v>6631</v>
      </c>
      <c r="N548" t="s">
        <v>573</v>
      </c>
      <c r="O548" t="s">
        <v>6547</v>
      </c>
      <c r="P548">
        <v>100</v>
      </c>
      <c r="Q548">
        <f t="shared" si="131"/>
        <v>35</v>
      </c>
      <c r="R548">
        <f t="shared" si="132"/>
        <v>0.58333333333333337</v>
      </c>
      <c r="S548" s="2">
        <v>45726</v>
      </c>
      <c r="U548">
        <v>66</v>
      </c>
      <c r="V548" s="4">
        <v>6600</v>
      </c>
      <c r="W548" t="s">
        <v>65</v>
      </c>
      <c r="X548" t="s">
        <v>2367</v>
      </c>
      <c r="Y548">
        <v>0</v>
      </c>
      <c r="Z548" s="4">
        <v>3000</v>
      </c>
      <c r="AA548" s="4">
        <v>3600</v>
      </c>
      <c r="AB548">
        <v>0</v>
      </c>
      <c r="AC548">
        <v>0</v>
      </c>
      <c r="AD548">
        <v>0</v>
      </c>
      <c r="AG548">
        <v>0</v>
      </c>
      <c r="AP548" t="s">
        <v>2368</v>
      </c>
      <c r="AQ548" t="s">
        <v>878</v>
      </c>
      <c r="AR548" t="s">
        <v>6665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BC548" t="s">
        <v>69</v>
      </c>
      <c r="BD548" t="s">
        <v>2369</v>
      </c>
      <c r="BE548">
        <v>0</v>
      </c>
      <c r="BG548" t="s">
        <v>878</v>
      </c>
      <c r="BJ548" t="s">
        <v>2364</v>
      </c>
    </row>
    <row r="549" spans="1:62" x14ac:dyDescent="0.35">
      <c r="A549" t="s">
        <v>2370</v>
      </c>
      <c r="B549">
        <v>10000</v>
      </c>
      <c r="C549">
        <v>10000</v>
      </c>
      <c r="D549" s="2">
        <v>45727</v>
      </c>
      <c r="E549" t="s">
        <v>61</v>
      </c>
      <c r="F549" t="s">
        <v>2371</v>
      </c>
      <c r="G549" t="s">
        <v>2360</v>
      </c>
      <c r="I549">
        <v>1</v>
      </c>
      <c r="J549" t="s">
        <v>63</v>
      </c>
      <c r="K549" s="8">
        <v>79</v>
      </c>
      <c r="L549" s="8" t="s">
        <v>6608</v>
      </c>
      <c r="M549" s="8" t="s">
        <v>6631</v>
      </c>
      <c r="N549" t="s">
        <v>573</v>
      </c>
      <c r="O549" t="s">
        <v>6547</v>
      </c>
      <c r="P549">
        <v>100</v>
      </c>
      <c r="Q549">
        <f t="shared" si="131"/>
        <v>35</v>
      </c>
      <c r="R549">
        <f t="shared" si="132"/>
        <v>0.58333333333333337</v>
      </c>
      <c r="S549" s="2">
        <v>45726</v>
      </c>
      <c r="U549">
        <v>66</v>
      </c>
      <c r="V549" s="4">
        <v>6600</v>
      </c>
      <c r="W549" t="s">
        <v>65</v>
      </c>
      <c r="X549" t="s">
        <v>2372</v>
      </c>
      <c r="Y549">
        <v>0</v>
      </c>
      <c r="Z549" s="4">
        <v>3000</v>
      </c>
      <c r="AA549" s="4">
        <v>3600</v>
      </c>
      <c r="AB549">
        <v>0</v>
      </c>
      <c r="AC549">
        <v>0</v>
      </c>
      <c r="AD549">
        <v>0</v>
      </c>
      <c r="AG549">
        <v>0</v>
      </c>
      <c r="AP549" t="s">
        <v>2373</v>
      </c>
      <c r="AQ549" t="s">
        <v>878</v>
      </c>
      <c r="AR549" t="s">
        <v>6665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BC549" t="s">
        <v>69</v>
      </c>
      <c r="BD549" t="s">
        <v>2374</v>
      </c>
      <c r="BE549">
        <v>0</v>
      </c>
      <c r="BG549" t="s">
        <v>878</v>
      </c>
      <c r="BJ549" t="s">
        <v>2364</v>
      </c>
    </row>
    <row r="550" spans="1:62" x14ac:dyDescent="0.35">
      <c r="A550" t="s">
        <v>2375</v>
      </c>
      <c r="B550">
        <v>10000</v>
      </c>
      <c r="C550">
        <v>10000</v>
      </c>
      <c r="D550" s="2">
        <v>45726</v>
      </c>
      <c r="E550" t="s">
        <v>61</v>
      </c>
      <c r="F550" t="s">
        <v>2376</v>
      </c>
      <c r="G550" t="s">
        <v>2222</v>
      </c>
      <c r="I550">
        <v>1</v>
      </c>
      <c r="J550" t="s">
        <v>63</v>
      </c>
      <c r="K550" s="8">
        <v>22</v>
      </c>
      <c r="L550" s="8" t="s">
        <v>6603</v>
      </c>
      <c r="M550" s="8" t="s">
        <v>6629</v>
      </c>
      <c r="N550" t="s">
        <v>466</v>
      </c>
      <c r="O550" t="s">
        <v>6474</v>
      </c>
      <c r="P550">
        <v>500</v>
      </c>
      <c r="Q550">
        <f t="shared" ref="Q550:Q553" si="133">(P550/50)+45</f>
        <v>55</v>
      </c>
      <c r="R550">
        <f t="shared" ref="R550:R553" si="134">Q550/60</f>
        <v>0.91666666666666663</v>
      </c>
      <c r="S550" s="2">
        <v>45726</v>
      </c>
      <c r="U550">
        <v>2</v>
      </c>
      <c r="V550" s="4">
        <v>1000</v>
      </c>
      <c r="W550" t="s">
        <v>65</v>
      </c>
      <c r="X550" t="s">
        <v>2377</v>
      </c>
      <c r="Y550">
        <v>0</v>
      </c>
      <c r="Z550" s="4">
        <v>1000</v>
      </c>
      <c r="AA550">
        <v>0</v>
      </c>
      <c r="AB550">
        <v>0</v>
      </c>
      <c r="AC550">
        <v>0</v>
      </c>
      <c r="AD550">
        <v>0</v>
      </c>
      <c r="AG550">
        <v>0</v>
      </c>
      <c r="AP550" t="s">
        <v>2378</v>
      </c>
      <c r="AQ550" t="s">
        <v>116</v>
      </c>
      <c r="AR550" t="s">
        <v>6639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BC550" t="s">
        <v>69</v>
      </c>
      <c r="BD550" t="s">
        <v>2379</v>
      </c>
      <c r="BE550">
        <v>0</v>
      </c>
      <c r="BG550" t="s">
        <v>116</v>
      </c>
      <c r="BJ550" t="s">
        <v>2380</v>
      </c>
    </row>
    <row r="551" spans="1:62" x14ac:dyDescent="0.35">
      <c r="A551" t="s">
        <v>2381</v>
      </c>
      <c r="B551">
        <v>10000</v>
      </c>
      <c r="C551">
        <v>10000</v>
      </c>
      <c r="D551" s="2">
        <v>45726</v>
      </c>
      <c r="E551" t="s">
        <v>61</v>
      </c>
      <c r="F551" t="s">
        <v>2376</v>
      </c>
      <c r="G551" t="s">
        <v>2222</v>
      </c>
      <c r="I551">
        <v>1</v>
      </c>
      <c r="J551" t="s">
        <v>63</v>
      </c>
      <c r="K551" s="8">
        <v>22</v>
      </c>
      <c r="L551" s="8" t="s">
        <v>6603</v>
      </c>
      <c r="M551" s="8" t="s">
        <v>6629</v>
      </c>
      <c r="N551" t="s">
        <v>466</v>
      </c>
      <c r="O551" t="s">
        <v>6474</v>
      </c>
      <c r="P551">
        <v>500</v>
      </c>
      <c r="Q551">
        <f t="shared" si="133"/>
        <v>55</v>
      </c>
      <c r="R551">
        <f t="shared" si="134"/>
        <v>0.91666666666666663</v>
      </c>
      <c r="S551" s="2">
        <v>45726</v>
      </c>
      <c r="U551">
        <v>2</v>
      </c>
      <c r="V551" s="4">
        <v>1000</v>
      </c>
      <c r="W551" t="s">
        <v>65</v>
      </c>
      <c r="X551" t="s">
        <v>2382</v>
      </c>
      <c r="Y551">
        <v>0</v>
      </c>
      <c r="Z551" s="4">
        <v>1000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2383</v>
      </c>
      <c r="AQ551" t="s">
        <v>116</v>
      </c>
      <c r="AR551" t="s">
        <v>6639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BC551" t="s">
        <v>69</v>
      </c>
      <c r="BD551" t="s">
        <v>2384</v>
      </c>
      <c r="BE551">
        <v>0</v>
      </c>
      <c r="BG551" t="s">
        <v>116</v>
      </c>
      <c r="BJ551" t="s">
        <v>2380</v>
      </c>
    </row>
    <row r="552" spans="1:62" x14ac:dyDescent="0.35">
      <c r="A552" t="s">
        <v>2385</v>
      </c>
      <c r="B552">
        <v>10000</v>
      </c>
      <c r="C552">
        <v>10000</v>
      </c>
      <c r="D552" s="2">
        <v>45726</v>
      </c>
      <c r="E552" t="s">
        <v>61</v>
      </c>
      <c r="F552" t="s">
        <v>2376</v>
      </c>
      <c r="G552" t="s">
        <v>2222</v>
      </c>
      <c r="I552">
        <v>1</v>
      </c>
      <c r="J552" t="s">
        <v>63</v>
      </c>
      <c r="K552" s="8">
        <v>22</v>
      </c>
      <c r="L552" s="8" t="s">
        <v>6603</v>
      </c>
      <c r="M552" s="8" t="s">
        <v>6629</v>
      </c>
      <c r="N552" t="s">
        <v>466</v>
      </c>
      <c r="O552" t="s">
        <v>6474</v>
      </c>
      <c r="P552">
        <v>500</v>
      </c>
      <c r="Q552">
        <f t="shared" si="133"/>
        <v>55</v>
      </c>
      <c r="R552">
        <f t="shared" si="134"/>
        <v>0.91666666666666663</v>
      </c>
      <c r="S552" s="2">
        <v>45726</v>
      </c>
      <c r="U552">
        <v>2</v>
      </c>
      <c r="V552" s="4">
        <v>1000</v>
      </c>
      <c r="W552" t="s">
        <v>65</v>
      </c>
      <c r="X552" t="s">
        <v>2386</v>
      </c>
      <c r="Y552">
        <v>0</v>
      </c>
      <c r="Z552" s="4">
        <v>1000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2387</v>
      </c>
      <c r="AQ552" t="s">
        <v>116</v>
      </c>
      <c r="AR552" t="s">
        <v>6639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BC552" t="s">
        <v>69</v>
      </c>
      <c r="BD552" t="s">
        <v>2388</v>
      </c>
      <c r="BE552">
        <v>0</v>
      </c>
      <c r="BG552" t="s">
        <v>116</v>
      </c>
      <c r="BJ552" t="s">
        <v>2380</v>
      </c>
    </row>
    <row r="553" spans="1:62" x14ac:dyDescent="0.35">
      <c r="A553" t="s">
        <v>2389</v>
      </c>
      <c r="B553">
        <v>10000</v>
      </c>
      <c r="C553">
        <v>10000</v>
      </c>
      <c r="D553" s="2">
        <v>45726</v>
      </c>
      <c r="E553" t="s">
        <v>61</v>
      </c>
      <c r="F553" t="s">
        <v>2376</v>
      </c>
      <c r="G553" t="s">
        <v>2222</v>
      </c>
      <c r="I553">
        <v>1</v>
      </c>
      <c r="J553" t="s">
        <v>63</v>
      </c>
      <c r="K553" s="8">
        <v>22</v>
      </c>
      <c r="L553" s="8" t="s">
        <v>6603</v>
      </c>
      <c r="M553" s="8" t="s">
        <v>6629</v>
      </c>
      <c r="N553" t="s">
        <v>466</v>
      </c>
      <c r="O553" t="s">
        <v>6474</v>
      </c>
      <c r="P553">
        <v>500</v>
      </c>
      <c r="Q553">
        <f t="shared" si="133"/>
        <v>55</v>
      </c>
      <c r="R553">
        <f t="shared" si="134"/>
        <v>0.91666666666666663</v>
      </c>
      <c r="S553" s="2">
        <v>45726</v>
      </c>
      <c r="U553">
        <v>2</v>
      </c>
      <c r="V553" s="4">
        <v>1000</v>
      </c>
      <c r="W553" t="s">
        <v>65</v>
      </c>
      <c r="X553" t="s">
        <v>2390</v>
      </c>
      <c r="Y553">
        <v>0</v>
      </c>
      <c r="Z553" s="4">
        <v>1000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2391</v>
      </c>
      <c r="AQ553" t="s">
        <v>116</v>
      </c>
      <c r="AR553" t="s">
        <v>6639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BC553" t="s">
        <v>69</v>
      </c>
      <c r="BD553" t="s">
        <v>2392</v>
      </c>
      <c r="BE553">
        <v>0</v>
      </c>
      <c r="BG553" t="s">
        <v>116</v>
      </c>
      <c r="BJ553" t="s">
        <v>2380</v>
      </c>
    </row>
    <row r="554" spans="1:62" x14ac:dyDescent="0.35">
      <c r="A554" t="s">
        <v>2393</v>
      </c>
      <c r="B554">
        <v>10000</v>
      </c>
      <c r="C554">
        <v>10000</v>
      </c>
      <c r="D554" s="2">
        <v>45728</v>
      </c>
      <c r="E554" t="s">
        <v>61</v>
      </c>
      <c r="F554" t="s">
        <v>2394</v>
      </c>
      <c r="G554" t="s">
        <v>2395</v>
      </c>
      <c r="I554">
        <v>1</v>
      </c>
      <c r="J554" t="s">
        <v>63</v>
      </c>
      <c r="K554" s="8">
        <v>93</v>
      </c>
      <c r="L554" t="s">
        <v>6611</v>
      </c>
      <c r="M554" s="8" t="s">
        <v>6631</v>
      </c>
      <c r="N554" t="s">
        <v>2315</v>
      </c>
      <c r="O554" t="s">
        <v>6540</v>
      </c>
      <c r="P554">
        <v>60</v>
      </c>
      <c r="S554" s="2">
        <v>45726</v>
      </c>
      <c r="U554">
        <v>686</v>
      </c>
      <c r="V554" s="4">
        <v>41160</v>
      </c>
      <c r="W554" t="s">
        <v>65</v>
      </c>
      <c r="X554" t="s">
        <v>2396</v>
      </c>
      <c r="Y554">
        <v>0</v>
      </c>
      <c r="Z554" s="4">
        <v>20000</v>
      </c>
      <c r="AA554" s="4">
        <v>21160</v>
      </c>
      <c r="AB554">
        <v>0</v>
      </c>
      <c r="AC554">
        <v>0</v>
      </c>
      <c r="AD554">
        <v>0</v>
      </c>
      <c r="AG554">
        <v>0</v>
      </c>
      <c r="AP554" t="s">
        <v>2397</v>
      </c>
      <c r="AQ554" t="s">
        <v>68</v>
      </c>
      <c r="AR554" t="s">
        <v>6636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BC554" t="s">
        <v>69</v>
      </c>
      <c r="BD554" t="s">
        <v>2398</v>
      </c>
      <c r="BE554">
        <v>0</v>
      </c>
      <c r="BG554" t="s">
        <v>68</v>
      </c>
      <c r="BJ554" t="s">
        <v>2399</v>
      </c>
    </row>
    <row r="555" spans="1:62" x14ac:dyDescent="0.35">
      <c r="A555" t="s">
        <v>2400</v>
      </c>
      <c r="B555">
        <v>10000</v>
      </c>
      <c r="C555">
        <v>10000</v>
      </c>
      <c r="D555" s="2">
        <v>45728</v>
      </c>
      <c r="E555" t="s">
        <v>61</v>
      </c>
      <c r="F555" t="s">
        <v>2401</v>
      </c>
      <c r="G555" t="s">
        <v>2395</v>
      </c>
      <c r="I555">
        <v>1</v>
      </c>
      <c r="J555" t="s">
        <v>63</v>
      </c>
      <c r="K555" s="8">
        <v>93</v>
      </c>
      <c r="L555" t="s">
        <v>6611</v>
      </c>
      <c r="M555" s="8" t="s">
        <v>6631</v>
      </c>
      <c r="N555" t="s">
        <v>2315</v>
      </c>
      <c r="O555" t="s">
        <v>6540</v>
      </c>
      <c r="P555">
        <v>80</v>
      </c>
      <c r="S555" s="2">
        <v>45726</v>
      </c>
      <c r="U555">
        <v>75</v>
      </c>
      <c r="V555" s="4">
        <v>6000</v>
      </c>
      <c r="W555" t="s">
        <v>65</v>
      </c>
      <c r="X555" t="s">
        <v>2402</v>
      </c>
      <c r="Y555">
        <v>0</v>
      </c>
      <c r="Z555" s="4">
        <v>1000</v>
      </c>
      <c r="AA555" s="4">
        <v>5000</v>
      </c>
      <c r="AB555">
        <v>0</v>
      </c>
      <c r="AC555">
        <v>0</v>
      </c>
      <c r="AD555">
        <v>0</v>
      </c>
      <c r="AG555">
        <v>0</v>
      </c>
      <c r="AP555" t="s">
        <v>2403</v>
      </c>
      <c r="AQ555" t="s">
        <v>68</v>
      </c>
      <c r="AR555" t="s">
        <v>6636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BC555" t="s">
        <v>69</v>
      </c>
      <c r="BD555" t="s">
        <v>2404</v>
      </c>
      <c r="BE555">
        <v>0</v>
      </c>
      <c r="BG555" t="s">
        <v>68</v>
      </c>
      <c r="BJ555" t="s">
        <v>2405</v>
      </c>
    </row>
    <row r="556" spans="1:62" x14ac:dyDescent="0.35">
      <c r="A556" t="s">
        <v>2406</v>
      </c>
      <c r="B556">
        <v>10000</v>
      </c>
      <c r="C556">
        <v>10000</v>
      </c>
      <c r="D556" s="2">
        <v>45728</v>
      </c>
      <c r="E556" t="s">
        <v>61</v>
      </c>
      <c r="F556" t="s">
        <v>2407</v>
      </c>
      <c r="G556" t="s">
        <v>2113</v>
      </c>
      <c r="I556">
        <v>1</v>
      </c>
      <c r="J556" t="s">
        <v>63</v>
      </c>
      <c r="K556" s="8">
        <v>12</v>
      </c>
      <c r="L556" s="8" t="s">
        <v>6604</v>
      </c>
      <c r="M556" s="8" t="s">
        <v>6629</v>
      </c>
      <c r="N556" t="s">
        <v>478</v>
      </c>
      <c r="O556" t="s">
        <v>6434</v>
      </c>
      <c r="P556" s="4">
        <v>32000</v>
      </c>
      <c r="Q556">
        <f t="shared" ref="Q556:Q559" si="135">(P556/50)+45</f>
        <v>685</v>
      </c>
      <c r="R556">
        <f t="shared" ref="R556:R559" si="136">Q556/60</f>
        <v>11.416666666666666</v>
      </c>
      <c r="S556" s="2">
        <v>45726</v>
      </c>
      <c r="U556">
        <v>1</v>
      </c>
      <c r="V556" s="4">
        <v>32000</v>
      </c>
      <c r="W556" t="s">
        <v>65</v>
      </c>
      <c r="X556" t="s">
        <v>2408</v>
      </c>
      <c r="Y556">
        <v>0</v>
      </c>
      <c r="Z556" s="4">
        <v>32000</v>
      </c>
      <c r="AA556">
        <v>0</v>
      </c>
      <c r="AB556">
        <v>0</v>
      </c>
      <c r="AC556">
        <v>0</v>
      </c>
      <c r="AD556">
        <v>0</v>
      </c>
      <c r="AG556">
        <v>0</v>
      </c>
      <c r="AP556" t="s">
        <v>2409</v>
      </c>
      <c r="AQ556" t="s">
        <v>116</v>
      </c>
      <c r="AR556" t="s">
        <v>6639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BC556" t="s">
        <v>69</v>
      </c>
      <c r="BD556" t="s">
        <v>2410</v>
      </c>
      <c r="BE556">
        <v>0</v>
      </c>
      <c r="BG556" t="s">
        <v>116</v>
      </c>
      <c r="BJ556" t="s">
        <v>1906</v>
      </c>
    </row>
    <row r="557" spans="1:62" x14ac:dyDescent="0.35">
      <c r="A557" t="s">
        <v>2411</v>
      </c>
      <c r="B557">
        <v>10000</v>
      </c>
      <c r="C557">
        <v>10000</v>
      </c>
      <c r="D557" s="2">
        <v>45726</v>
      </c>
      <c r="E557" t="s">
        <v>61</v>
      </c>
      <c r="F557" t="s">
        <v>2088</v>
      </c>
      <c r="G557" t="s">
        <v>2412</v>
      </c>
      <c r="I557">
        <v>1</v>
      </c>
      <c r="J557" t="s">
        <v>63</v>
      </c>
      <c r="K557" s="8">
        <v>61</v>
      </c>
      <c r="L557" s="8" t="s">
        <v>6594</v>
      </c>
      <c r="M557" s="8" t="s">
        <v>6629</v>
      </c>
      <c r="N557" t="s">
        <v>197</v>
      </c>
      <c r="O557" t="s">
        <v>6565</v>
      </c>
      <c r="P557" s="4">
        <v>1834</v>
      </c>
      <c r="Q557">
        <f t="shared" si="135"/>
        <v>81.680000000000007</v>
      </c>
      <c r="R557">
        <f t="shared" si="136"/>
        <v>1.3613333333333335</v>
      </c>
      <c r="S557" s="2">
        <v>45726</v>
      </c>
      <c r="U557">
        <v>6</v>
      </c>
      <c r="V557" s="4">
        <v>11004</v>
      </c>
      <c r="W557" t="s">
        <v>65</v>
      </c>
      <c r="X557" t="s">
        <v>2413</v>
      </c>
      <c r="Y557">
        <v>0</v>
      </c>
      <c r="Z557" s="4">
        <v>11000</v>
      </c>
      <c r="AA557">
        <v>4</v>
      </c>
      <c r="AB557">
        <v>0</v>
      </c>
      <c r="AC557">
        <v>0</v>
      </c>
      <c r="AD557">
        <v>0</v>
      </c>
      <c r="AG557">
        <v>0</v>
      </c>
      <c r="AP557" t="s">
        <v>2414</v>
      </c>
      <c r="AQ557" t="s">
        <v>116</v>
      </c>
      <c r="AR557" t="s">
        <v>6639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BC557" t="s">
        <v>69</v>
      </c>
      <c r="BD557" t="s">
        <v>2415</v>
      </c>
      <c r="BE557">
        <v>0</v>
      </c>
      <c r="BG557" t="s">
        <v>116</v>
      </c>
      <c r="BJ557" t="s">
        <v>2230</v>
      </c>
    </row>
    <row r="558" spans="1:62" x14ac:dyDescent="0.35">
      <c r="A558" t="s">
        <v>2416</v>
      </c>
      <c r="B558">
        <v>10000</v>
      </c>
      <c r="C558">
        <v>10000</v>
      </c>
      <c r="D558" s="2">
        <v>45727</v>
      </c>
      <c r="E558" t="s">
        <v>61</v>
      </c>
      <c r="F558" t="s">
        <v>2417</v>
      </c>
      <c r="G558" t="s">
        <v>2412</v>
      </c>
      <c r="I558">
        <v>1</v>
      </c>
      <c r="J558" t="s">
        <v>63</v>
      </c>
      <c r="K558" s="8">
        <v>61</v>
      </c>
      <c r="L558" s="8" t="s">
        <v>6594</v>
      </c>
      <c r="M558" s="8" t="s">
        <v>6629</v>
      </c>
      <c r="N558" t="s">
        <v>197</v>
      </c>
      <c r="O558" t="s">
        <v>6565</v>
      </c>
      <c r="P558" s="4">
        <v>8334</v>
      </c>
      <c r="Q558">
        <f t="shared" si="135"/>
        <v>211.68</v>
      </c>
      <c r="R558">
        <f t="shared" si="136"/>
        <v>3.528</v>
      </c>
      <c r="S558" s="2">
        <v>45726</v>
      </c>
      <c r="U558">
        <v>6</v>
      </c>
      <c r="V558" s="4">
        <v>50004</v>
      </c>
      <c r="W558" t="s">
        <v>65</v>
      </c>
      <c r="X558" t="s">
        <v>2418</v>
      </c>
      <c r="Y558">
        <v>0</v>
      </c>
      <c r="Z558" s="4">
        <v>50000</v>
      </c>
      <c r="AA558">
        <v>4</v>
      </c>
      <c r="AB558">
        <v>0</v>
      </c>
      <c r="AC558">
        <v>0</v>
      </c>
      <c r="AD558">
        <v>0</v>
      </c>
      <c r="AG558">
        <v>0</v>
      </c>
      <c r="AP558" t="s">
        <v>2419</v>
      </c>
      <c r="AQ558" t="s">
        <v>116</v>
      </c>
      <c r="AR558" t="s">
        <v>6639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BC558" t="s">
        <v>69</v>
      </c>
      <c r="BD558" t="s">
        <v>2420</v>
      </c>
      <c r="BE558">
        <v>0</v>
      </c>
      <c r="BG558" t="s">
        <v>116</v>
      </c>
      <c r="BJ558" t="s">
        <v>2230</v>
      </c>
    </row>
    <row r="559" spans="1:62" x14ac:dyDescent="0.35">
      <c r="A559" t="s">
        <v>2421</v>
      </c>
      <c r="B559">
        <v>10000</v>
      </c>
      <c r="C559">
        <v>10000</v>
      </c>
      <c r="D559" s="2">
        <v>45726</v>
      </c>
      <c r="E559" t="s">
        <v>61</v>
      </c>
      <c r="F559" t="s">
        <v>2112</v>
      </c>
      <c r="G559" t="s">
        <v>1902</v>
      </c>
      <c r="I559">
        <v>1</v>
      </c>
      <c r="J559" t="s">
        <v>63</v>
      </c>
      <c r="K559" s="8">
        <v>61</v>
      </c>
      <c r="L559" s="8" t="s">
        <v>6594</v>
      </c>
      <c r="M559" s="8" t="s">
        <v>6629</v>
      </c>
      <c r="N559" t="s">
        <v>197</v>
      </c>
      <c r="O559" t="s">
        <v>6565</v>
      </c>
      <c r="P559" s="4">
        <v>3667</v>
      </c>
      <c r="Q559">
        <f t="shared" si="135"/>
        <v>118.34</v>
      </c>
      <c r="R559">
        <f t="shared" si="136"/>
        <v>1.9723333333333335</v>
      </c>
      <c r="S559" s="2">
        <v>45726</v>
      </c>
      <c r="U559">
        <v>6</v>
      </c>
      <c r="V559" s="4">
        <v>22002</v>
      </c>
      <c r="W559" t="s">
        <v>65</v>
      </c>
      <c r="X559" t="s">
        <v>2422</v>
      </c>
      <c r="Y559">
        <v>0</v>
      </c>
      <c r="Z559" s="4">
        <v>22000</v>
      </c>
      <c r="AA559">
        <v>2</v>
      </c>
      <c r="AB559">
        <v>0</v>
      </c>
      <c r="AC559">
        <v>0</v>
      </c>
      <c r="AD559">
        <v>0</v>
      </c>
      <c r="AG559">
        <v>0</v>
      </c>
      <c r="AP559" t="s">
        <v>2423</v>
      </c>
      <c r="AQ559" t="s">
        <v>116</v>
      </c>
      <c r="AR559" t="s">
        <v>6639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BC559" t="s">
        <v>69</v>
      </c>
      <c r="BD559" t="s">
        <v>2424</v>
      </c>
      <c r="BE559">
        <v>0</v>
      </c>
      <c r="BG559" t="s">
        <v>116</v>
      </c>
      <c r="BJ559" t="s">
        <v>2230</v>
      </c>
    </row>
    <row r="560" spans="1:62" x14ac:dyDescent="0.35">
      <c r="A560" t="s">
        <v>2425</v>
      </c>
      <c r="B560">
        <v>10000</v>
      </c>
      <c r="C560">
        <v>20000</v>
      </c>
      <c r="D560" s="2">
        <v>45742</v>
      </c>
      <c r="E560" t="s">
        <v>61</v>
      </c>
      <c r="F560" t="s">
        <v>2426</v>
      </c>
      <c r="G560" t="s">
        <v>2427</v>
      </c>
      <c r="I560">
        <v>1</v>
      </c>
      <c r="J560" t="s">
        <v>63</v>
      </c>
      <c r="K560" s="8">
        <v>79</v>
      </c>
      <c r="L560" s="8" t="s">
        <v>6608</v>
      </c>
      <c r="M560" s="8" t="s">
        <v>6631</v>
      </c>
      <c r="N560" t="s">
        <v>573</v>
      </c>
      <c r="O560" t="s">
        <v>6547</v>
      </c>
      <c r="P560">
        <v>534</v>
      </c>
      <c r="Q560">
        <f>(P560/20)+30</f>
        <v>56.7</v>
      </c>
      <c r="R560">
        <f>Q560/60</f>
        <v>0.94500000000000006</v>
      </c>
      <c r="S560" s="2">
        <v>45726</v>
      </c>
      <c r="U560">
        <v>15</v>
      </c>
      <c r="V560" s="4">
        <v>8010</v>
      </c>
      <c r="W560" t="s">
        <v>65</v>
      </c>
      <c r="X560" t="s">
        <v>2428</v>
      </c>
      <c r="Y560">
        <v>0</v>
      </c>
      <c r="Z560" s="4">
        <v>5000</v>
      </c>
      <c r="AA560" s="4">
        <v>3010</v>
      </c>
      <c r="AB560">
        <v>0</v>
      </c>
      <c r="AC560">
        <v>0</v>
      </c>
      <c r="AD560">
        <v>0</v>
      </c>
      <c r="AG560">
        <v>0</v>
      </c>
      <c r="AP560" t="s">
        <v>2429</v>
      </c>
      <c r="AQ560" t="s">
        <v>107</v>
      </c>
      <c r="AR560" t="s">
        <v>6638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BC560" t="s">
        <v>69</v>
      </c>
      <c r="BD560" t="s">
        <v>2430</v>
      </c>
      <c r="BE560">
        <v>0</v>
      </c>
      <c r="BG560" t="s">
        <v>107</v>
      </c>
      <c r="BJ560" t="s">
        <v>2431</v>
      </c>
    </row>
    <row r="561" spans="1:62" x14ac:dyDescent="0.35">
      <c r="A561" t="s">
        <v>1516</v>
      </c>
      <c r="B561">
        <v>10000</v>
      </c>
      <c r="C561">
        <v>20000</v>
      </c>
      <c r="D561" s="2">
        <v>45735</v>
      </c>
      <c r="E561" t="s">
        <v>61</v>
      </c>
      <c r="F561" t="s">
        <v>2432</v>
      </c>
      <c r="G561" t="s">
        <v>1364</v>
      </c>
      <c r="I561">
        <v>2</v>
      </c>
      <c r="J561" t="s">
        <v>63</v>
      </c>
      <c r="K561" s="8">
        <v>77</v>
      </c>
      <c r="L561" s="8" t="s">
        <v>6584</v>
      </c>
      <c r="M561" s="8" t="s">
        <v>6627</v>
      </c>
      <c r="N561" t="s">
        <v>127</v>
      </c>
      <c r="O561" t="s">
        <v>6567</v>
      </c>
      <c r="P561" s="4">
        <v>2500</v>
      </c>
      <c r="Q561">
        <f t="shared" ref="Q561:Q565" si="137">(P561/60)+45</f>
        <v>86.666666666666657</v>
      </c>
      <c r="R561">
        <f t="shared" ref="R561:R565" si="138">Q561/60</f>
        <v>1.4444444444444442</v>
      </c>
      <c r="S561" s="2">
        <v>45726</v>
      </c>
      <c r="U561">
        <v>88</v>
      </c>
      <c r="V561" s="4">
        <v>220000</v>
      </c>
      <c r="W561" t="s">
        <v>65</v>
      </c>
      <c r="X561" t="s">
        <v>1517</v>
      </c>
      <c r="Y561">
        <v>0</v>
      </c>
      <c r="Z561" s="4">
        <v>200000</v>
      </c>
      <c r="AA561" s="4">
        <v>20000</v>
      </c>
      <c r="AB561">
        <v>0</v>
      </c>
      <c r="AC561">
        <v>0</v>
      </c>
      <c r="AD561">
        <v>0</v>
      </c>
      <c r="AG561">
        <v>0</v>
      </c>
      <c r="AP561" t="s">
        <v>1518</v>
      </c>
      <c r="AQ561" t="s">
        <v>107</v>
      </c>
      <c r="AR561" t="s">
        <v>6638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BC561" t="s">
        <v>69</v>
      </c>
      <c r="BD561" t="s">
        <v>1519</v>
      </c>
      <c r="BE561">
        <v>0</v>
      </c>
      <c r="BG561" t="s">
        <v>107</v>
      </c>
      <c r="BJ561" t="s">
        <v>1520</v>
      </c>
    </row>
    <row r="562" spans="1:62" x14ac:dyDescent="0.35">
      <c r="A562" t="s">
        <v>1521</v>
      </c>
      <c r="B562">
        <v>10000</v>
      </c>
      <c r="C562">
        <v>30000</v>
      </c>
      <c r="D562" s="2">
        <v>45742</v>
      </c>
      <c r="E562" t="s">
        <v>61</v>
      </c>
      <c r="F562" t="s">
        <v>1522</v>
      </c>
      <c r="G562">
        <v>10620258036</v>
      </c>
      <c r="I562">
        <v>2</v>
      </c>
      <c r="J562" t="s">
        <v>63</v>
      </c>
      <c r="K562" s="8">
        <v>77</v>
      </c>
      <c r="L562" s="8" t="s">
        <v>6584</v>
      </c>
      <c r="M562" s="8" t="s">
        <v>6627</v>
      </c>
      <c r="N562" t="s">
        <v>127</v>
      </c>
      <c r="O562" t="s">
        <v>6567</v>
      </c>
      <c r="P562" s="4">
        <v>4319</v>
      </c>
      <c r="Q562">
        <f t="shared" si="137"/>
        <v>116.98333333333333</v>
      </c>
      <c r="R562">
        <f t="shared" si="138"/>
        <v>1.9497222222222221</v>
      </c>
      <c r="S562" s="2">
        <v>45726</v>
      </c>
      <c r="U562">
        <v>88</v>
      </c>
      <c r="V562" s="4">
        <v>380072</v>
      </c>
      <c r="W562" t="s">
        <v>65</v>
      </c>
      <c r="X562" t="s">
        <v>328</v>
      </c>
      <c r="Y562">
        <v>0</v>
      </c>
      <c r="Z562" s="4">
        <v>360000</v>
      </c>
      <c r="AA562" s="4">
        <v>20072</v>
      </c>
      <c r="AB562">
        <v>0</v>
      </c>
      <c r="AC562">
        <v>0</v>
      </c>
      <c r="AD562">
        <v>0</v>
      </c>
      <c r="AG562">
        <v>0</v>
      </c>
      <c r="AP562" t="s">
        <v>329</v>
      </c>
      <c r="AQ562" t="s">
        <v>107</v>
      </c>
      <c r="AR562" t="s">
        <v>6638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C562" t="s">
        <v>69</v>
      </c>
      <c r="BD562" t="s">
        <v>1523</v>
      </c>
      <c r="BE562">
        <v>0</v>
      </c>
      <c r="BG562" t="s">
        <v>107</v>
      </c>
      <c r="BJ562" t="s">
        <v>1524</v>
      </c>
    </row>
    <row r="563" spans="1:62" x14ac:dyDescent="0.35">
      <c r="A563" t="s">
        <v>1525</v>
      </c>
      <c r="B563">
        <v>10000</v>
      </c>
      <c r="C563">
        <v>20000</v>
      </c>
      <c r="D563" s="2">
        <v>45735</v>
      </c>
      <c r="E563" t="s">
        <v>95</v>
      </c>
      <c r="F563" t="s">
        <v>1526</v>
      </c>
      <c r="G563" t="s">
        <v>1364</v>
      </c>
      <c r="I563">
        <v>2</v>
      </c>
      <c r="J563" t="s">
        <v>63</v>
      </c>
      <c r="K563" s="8">
        <v>77</v>
      </c>
      <c r="L563" s="8" t="s">
        <v>6584</v>
      </c>
      <c r="M563" s="8" t="s">
        <v>6627</v>
      </c>
      <c r="N563" t="s">
        <v>127</v>
      </c>
      <c r="O563" t="s">
        <v>6567</v>
      </c>
      <c r="P563" s="4">
        <v>1250</v>
      </c>
      <c r="Q563">
        <f t="shared" si="137"/>
        <v>65.833333333333329</v>
      </c>
      <c r="R563">
        <f t="shared" si="138"/>
        <v>1.0972222222222221</v>
      </c>
      <c r="S563" s="2">
        <v>45726</v>
      </c>
      <c r="U563">
        <v>88</v>
      </c>
      <c r="V563" s="4">
        <v>110000</v>
      </c>
      <c r="W563" t="s">
        <v>65</v>
      </c>
      <c r="X563" t="s">
        <v>1527</v>
      </c>
      <c r="Y563">
        <v>0</v>
      </c>
      <c r="Z563" s="4">
        <v>100000</v>
      </c>
      <c r="AA563" s="4">
        <v>10000</v>
      </c>
      <c r="AB563">
        <v>0</v>
      </c>
      <c r="AC563">
        <v>0</v>
      </c>
      <c r="AD563">
        <v>0</v>
      </c>
      <c r="AG563">
        <v>0</v>
      </c>
      <c r="AP563" t="s">
        <v>1528</v>
      </c>
      <c r="AQ563" t="s">
        <v>107</v>
      </c>
      <c r="AR563" t="s">
        <v>6638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BC563" t="s">
        <v>69</v>
      </c>
      <c r="BD563" t="s">
        <v>1529</v>
      </c>
      <c r="BE563">
        <v>0</v>
      </c>
      <c r="BG563" t="s">
        <v>107</v>
      </c>
      <c r="BJ563" t="s">
        <v>1530</v>
      </c>
    </row>
    <row r="564" spans="1:62" x14ac:dyDescent="0.35">
      <c r="A564" t="s">
        <v>1531</v>
      </c>
      <c r="B564">
        <v>10000</v>
      </c>
      <c r="C564">
        <v>20000</v>
      </c>
      <c r="D564" s="2">
        <v>45735</v>
      </c>
      <c r="E564" t="s">
        <v>61</v>
      </c>
      <c r="F564" t="s">
        <v>1532</v>
      </c>
      <c r="G564" t="s">
        <v>1364</v>
      </c>
      <c r="I564">
        <v>2</v>
      </c>
      <c r="J564" t="s">
        <v>63</v>
      </c>
      <c r="K564" s="8">
        <v>77</v>
      </c>
      <c r="L564" s="8" t="s">
        <v>6584</v>
      </c>
      <c r="M564" s="8" t="s">
        <v>6627</v>
      </c>
      <c r="N564" t="s">
        <v>127</v>
      </c>
      <c r="O564" t="s">
        <v>6567</v>
      </c>
      <c r="P564" s="4">
        <v>2500</v>
      </c>
      <c r="Q564">
        <f t="shared" si="137"/>
        <v>86.666666666666657</v>
      </c>
      <c r="R564">
        <f t="shared" si="138"/>
        <v>1.4444444444444442</v>
      </c>
      <c r="S564" s="2">
        <v>45726</v>
      </c>
      <c r="U564">
        <v>88</v>
      </c>
      <c r="V564" s="4">
        <v>220000</v>
      </c>
      <c r="W564" t="s">
        <v>65</v>
      </c>
      <c r="X564" t="s">
        <v>1381</v>
      </c>
      <c r="Y564">
        <v>0</v>
      </c>
      <c r="Z564" s="4">
        <v>200000</v>
      </c>
      <c r="AA564" s="4">
        <v>20000</v>
      </c>
      <c r="AB564">
        <v>0</v>
      </c>
      <c r="AC564">
        <v>0</v>
      </c>
      <c r="AD564">
        <v>0</v>
      </c>
      <c r="AG564">
        <v>0</v>
      </c>
      <c r="AP564" t="s">
        <v>1382</v>
      </c>
      <c r="AQ564" t="s">
        <v>107</v>
      </c>
      <c r="AR564" t="s">
        <v>6638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BC564" t="s">
        <v>69</v>
      </c>
      <c r="BD564" t="s">
        <v>1533</v>
      </c>
      <c r="BE564">
        <v>0</v>
      </c>
      <c r="BG564" t="s">
        <v>107</v>
      </c>
      <c r="BJ564" t="s">
        <v>1534</v>
      </c>
    </row>
    <row r="565" spans="1:62" x14ac:dyDescent="0.35">
      <c r="A565" t="s">
        <v>1535</v>
      </c>
      <c r="B565">
        <v>10000</v>
      </c>
      <c r="C565">
        <v>20000</v>
      </c>
      <c r="D565" s="2">
        <v>45735</v>
      </c>
      <c r="E565" t="s">
        <v>95</v>
      </c>
      <c r="F565" t="s">
        <v>1439</v>
      </c>
      <c r="G565" t="s">
        <v>1364</v>
      </c>
      <c r="I565">
        <v>2</v>
      </c>
      <c r="J565" t="s">
        <v>63</v>
      </c>
      <c r="K565" s="8">
        <v>77</v>
      </c>
      <c r="L565" s="8" t="s">
        <v>6584</v>
      </c>
      <c r="M565" s="8" t="s">
        <v>6627</v>
      </c>
      <c r="N565" t="s">
        <v>127</v>
      </c>
      <c r="O565" t="s">
        <v>6567</v>
      </c>
      <c r="P565" s="4">
        <v>2500</v>
      </c>
      <c r="Q565">
        <f t="shared" si="137"/>
        <v>86.666666666666657</v>
      </c>
      <c r="R565">
        <f t="shared" si="138"/>
        <v>1.4444444444444442</v>
      </c>
      <c r="S565" s="2">
        <v>45726</v>
      </c>
      <c r="U565">
        <v>88</v>
      </c>
      <c r="V565" s="4">
        <v>220000</v>
      </c>
      <c r="W565" t="s">
        <v>65</v>
      </c>
      <c r="X565" t="s">
        <v>1440</v>
      </c>
      <c r="Y565">
        <v>0</v>
      </c>
      <c r="Z565" s="4">
        <v>200000</v>
      </c>
      <c r="AA565" s="4">
        <v>20000</v>
      </c>
      <c r="AB565">
        <v>0</v>
      </c>
      <c r="AC565">
        <v>0</v>
      </c>
      <c r="AD565">
        <v>0</v>
      </c>
      <c r="AG565">
        <v>0</v>
      </c>
      <c r="AP565" t="s">
        <v>1441</v>
      </c>
      <c r="AQ565" t="s">
        <v>107</v>
      </c>
      <c r="AR565" t="s">
        <v>6638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BC565" t="s">
        <v>69</v>
      </c>
      <c r="BD565" t="s">
        <v>1536</v>
      </c>
      <c r="BE565">
        <v>0</v>
      </c>
      <c r="BG565" t="s">
        <v>107</v>
      </c>
      <c r="BJ565" t="s">
        <v>1537</v>
      </c>
    </row>
    <row r="566" spans="1:62" x14ac:dyDescent="0.35">
      <c r="A566" t="s">
        <v>1555</v>
      </c>
      <c r="B566">
        <v>10000</v>
      </c>
      <c r="C566">
        <v>20000</v>
      </c>
      <c r="D566" s="2">
        <v>45727</v>
      </c>
      <c r="E566" t="s">
        <v>61</v>
      </c>
      <c r="F566" t="s">
        <v>1556</v>
      </c>
      <c r="G566" t="s">
        <v>1557</v>
      </c>
      <c r="I566">
        <v>2</v>
      </c>
      <c r="J566" t="s">
        <v>63</v>
      </c>
      <c r="K566" s="8">
        <v>82</v>
      </c>
      <c r="L566" s="8" t="s">
        <v>6598</v>
      </c>
      <c r="M566" s="8" t="s">
        <v>6630</v>
      </c>
      <c r="N566" t="s">
        <v>341</v>
      </c>
      <c r="O566" t="s">
        <v>6346</v>
      </c>
      <c r="P566" s="4">
        <v>1250</v>
      </c>
      <c r="S566" s="2">
        <v>45726</v>
      </c>
      <c r="U566">
        <v>8</v>
      </c>
      <c r="V566" s="4">
        <v>10000</v>
      </c>
      <c r="W566" t="s">
        <v>65</v>
      </c>
      <c r="X566" t="s">
        <v>581</v>
      </c>
      <c r="Y566">
        <v>0</v>
      </c>
      <c r="Z566" s="4">
        <v>10000</v>
      </c>
      <c r="AA566">
        <v>0</v>
      </c>
      <c r="AB566">
        <v>0</v>
      </c>
      <c r="AC566">
        <v>0</v>
      </c>
      <c r="AD566">
        <v>0</v>
      </c>
      <c r="AG566">
        <v>0</v>
      </c>
      <c r="AP566" t="s">
        <v>582</v>
      </c>
      <c r="AQ566" t="s">
        <v>449</v>
      </c>
      <c r="AR566" t="s">
        <v>6654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BC566" t="s">
        <v>69</v>
      </c>
      <c r="BD566" t="s">
        <v>1558</v>
      </c>
      <c r="BE566">
        <v>0</v>
      </c>
      <c r="BG566" t="s">
        <v>449</v>
      </c>
      <c r="BJ566" t="s">
        <v>1559</v>
      </c>
    </row>
    <row r="567" spans="1:62" x14ac:dyDescent="0.35">
      <c r="A567" t="s">
        <v>1968</v>
      </c>
      <c r="B567">
        <v>10000</v>
      </c>
      <c r="C567">
        <v>30000</v>
      </c>
      <c r="D567" s="2">
        <v>45727</v>
      </c>
      <c r="E567" t="s">
        <v>61</v>
      </c>
      <c r="F567" s="3">
        <v>0.44810185185185186</v>
      </c>
      <c r="G567">
        <v>59469</v>
      </c>
      <c r="I567">
        <v>2</v>
      </c>
      <c r="J567" t="s">
        <v>63</v>
      </c>
      <c r="K567" s="8">
        <v>96</v>
      </c>
      <c r="L567" s="8" t="s">
        <v>6585</v>
      </c>
      <c r="M567" s="8" t="s">
        <v>6628</v>
      </c>
      <c r="N567" t="s">
        <v>2433</v>
      </c>
      <c r="O567" t="s">
        <v>6576</v>
      </c>
      <c r="P567" s="4">
        <v>42000</v>
      </c>
      <c r="S567" s="2">
        <v>45726</v>
      </c>
      <c r="U567">
        <v>6</v>
      </c>
      <c r="V567" s="4">
        <v>252000</v>
      </c>
      <c r="W567" t="s">
        <v>65</v>
      </c>
      <c r="X567" t="s">
        <v>1410</v>
      </c>
      <c r="Y567">
        <v>0</v>
      </c>
      <c r="Z567" s="4">
        <v>256916</v>
      </c>
      <c r="AA567" s="4">
        <v>-4916</v>
      </c>
      <c r="AB567">
        <v>0</v>
      </c>
      <c r="AC567">
        <v>0</v>
      </c>
      <c r="AD567">
        <v>0</v>
      </c>
      <c r="AG567">
        <v>0</v>
      </c>
      <c r="AP567" t="s">
        <v>1411</v>
      </c>
      <c r="AQ567" t="s">
        <v>321</v>
      </c>
      <c r="AR567" t="s">
        <v>6652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BC567" t="s">
        <v>69</v>
      </c>
      <c r="BD567" t="s">
        <v>1970</v>
      </c>
      <c r="BE567">
        <v>0</v>
      </c>
      <c r="BG567" t="s">
        <v>321</v>
      </c>
      <c r="BJ567" t="s">
        <v>1971</v>
      </c>
    </row>
    <row r="568" spans="1:62" x14ac:dyDescent="0.35">
      <c r="A568" t="s">
        <v>2434</v>
      </c>
      <c r="B568">
        <v>10000</v>
      </c>
      <c r="C568">
        <v>10000</v>
      </c>
      <c r="D568" s="2">
        <v>45727</v>
      </c>
      <c r="E568" t="s">
        <v>61</v>
      </c>
      <c r="F568" t="s">
        <v>2435</v>
      </c>
      <c r="G568">
        <v>59469</v>
      </c>
      <c r="I568">
        <v>1</v>
      </c>
      <c r="J568" t="s">
        <v>63</v>
      </c>
      <c r="K568" s="8">
        <v>73</v>
      </c>
      <c r="L568" s="8" t="s">
        <v>6586</v>
      </c>
      <c r="M568" s="8" t="s">
        <v>6627</v>
      </c>
      <c r="N568" t="s">
        <v>90</v>
      </c>
      <c r="O568" t="s">
        <v>6564</v>
      </c>
      <c r="P568" s="4">
        <v>54105</v>
      </c>
      <c r="Q568">
        <f>(P568/60)+45</f>
        <v>946.75</v>
      </c>
      <c r="R568">
        <f>Q568/60</f>
        <v>15.779166666666667</v>
      </c>
      <c r="S568" s="2">
        <v>45726</v>
      </c>
      <c r="U568">
        <v>12</v>
      </c>
      <c r="V568" s="4">
        <v>649260</v>
      </c>
      <c r="W568" t="s">
        <v>65</v>
      </c>
      <c r="X568" t="s">
        <v>993</v>
      </c>
      <c r="Y568">
        <v>0</v>
      </c>
      <c r="Z568" s="4">
        <v>649249</v>
      </c>
      <c r="AA568">
        <v>11</v>
      </c>
      <c r="AB568">
        <v>0</v>
      </c>
      <c r="AC568">
        <v>0</v>
      </c>
      <c r="AD568">
        <v>0</v>
      </c>
      <c r="AG568">
        <v>0</v>
      </c>
      <c r="AP568" t="s">
        <v>994</v>
      </c>
      <c r="AQ568" t="s">
        <v>321</v>
      </c>
      <c r="AR568" t="s">
        <v>6652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C568" t="s">
        <v>69</v>
      </c>
      <c r="BD568" t="s">
        <v>2436</v>
      </c>
      <c r="BE568">
        <v>0</v>
      </c>
      <c r="BG568" t="s">
        <v>321</v>
      </c>
      <c r="BJ568" t="s">
        <v>2437</v>
      </c>
    </row>
    <row r="569" spans="1:62" x14ac:dyDescent="0.35">
      <c r="A569" t="s">
        <v>2434</v>
      </c>
      <c r="B569">
        <v>10000</v>
      </c>
      <c r="C569">
        <v>20000</v>
      </c>
      <c r="D569" s="2">
        <v>45727</v>
      </c>
      <c r="E569" t="s">
        <v>61</v>
      </c>
      <c r="F569" t="s">
        <v>2435</v>
      </c>
      <c r="G569">
        <v>59869</v>
      </c>
      <c r="I569">
        <v>1</v>
      </c>
      <c r="J569" t="s">
        <v>63</v>
      </c>
      <c r="K569" s="8">
        <v>73</v>
      </c>
      <c r="L569" t="s">
        <v>6586</v>
      </c>
      <c r="M569" s="8" t="s">
        <v>6627</v>
      </c>
      <c r="N569" t="s">
        <v>98</v>
      </c>
      <c r="O569" t="s">
        <v>6549</v>
      </c>
      <c r="P569" s="4">
        <v>35584</v>
      </c>
      <c r="S569" s="2">
        <v>45726</v>
      </c>
      <c r="U569">
        <v>12</v>
      </c>
      <c r="V569" s="4">
        <v>427008</v>
      </c>
      <c r="W569" t="s">
        <v>65</v>
      </c>
      <c r="X569" t="s">
        <v>993</v>
      </c>
      <c r="Y569">
        <v>0</v>
      </c>
      <c r="Z569" s="4">
        <v>427001</v>
      </c>
      <c r="AA569">
        <v>7</v>
      </c>
      <c r="AB569">
        <v>0</v>
      </c>
      <c r="AC569">
        <v>0</v>
      </c>
      <c r="AD569">
        <v>0</v>
      </c>
      <c r="AG569">
        <v>0</v>
      </c>
      <c r="AP569" t="s">
        <v>994</v>
      </c>
      <c r="AQ569" t="s">
        <v>321</v>
      </c>
      <c r="AR569" t="s">
        <v>6652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BC569" t="s">
        <v>69</v>
      </c>
      <c r="BD569" t="s">
        <v>2436</v>
      </c>
      <c r="BE569">
        <v>0</v>
      </c>
      <c r="BG569" t="s">
        <v>321</v>
      </c>
      <c r="BJ569" t="s">
        <v>2437</v>
      </c>
    </row>
    <row r="570" spans="1:62" x14ac:dyDescent="0.35">
      <c r="A570" t="s">
        <v>2438</v>
      </c>
      <c r="B570">
        <v>10000</v>
      </c>
      <c r="C570">
        <v>30000</v>
      </c>
      <c r="D570" s="2">
        <v>45734</v>
      </c>
      <c r="E570" t="s">
        <v>61</v>
      </c>
      <c r="F570" t="s">
        <v>2439</v>
      </c>
      <c r="G570" t="s">
        <v>2440</v>
      </c>
      <c r="I570">
        <v>1</v>
      </c>
      <c r="J570" t="s">
        <v>63</v>
      </c>
      <c r="K570" s="8">
        <v>75</v>
      </c>
      <c r="L570" t="s">
        <v>6602</v>
      </c>
      <c r="M570" s="8" t="s">
        <v>6630</v>
      </c>
      <c r="N570" t="s">
        <v>154</v>
      </c>
      <c r="O570" t="s">
        <v>6575</v>
      </c>
      <c r="P570">
        <v>17</v>
      </c>
      <c r="S570" s="2">
        <v>45726</v>
      </c>
      <c r="U570">
        <v>12</v>
      </c>
      <c r="V570">
        <v>204</v>
      </c>
      <c r="W570" t="s">
        <v>65</v>
      </c>
      <c r="X570" t="s">
        <v>460</v>
      </c>
      <c r="Y570">
        <v>0</v>
      </c>
      <c r="Z570">
        <v>200</v>
      </c>
      <c r="AA570">
        <v>4</v>
      </c>
      <c r="AB570">
        <v>0</v>
      </c>
      <c r="AC570">
        <v>0</v>
      </c>
      <c r="AD570">
        <v>0</v>
      </c>
      <c r="AG570">
        <v>0</v>
      </c>
      <c r="AP570" t="s">
        <v>461</v>
      </c>
      <c r="AQ570" t="s">
        <v>661</v>
      </c>
      <c r="AR570" t="s">
        <v>6660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BC570" t="s">
        <v>69</v>
      </c>
      <c r="BD570" t="s">
        <v>2441</v>
      </c>
      <c r="BE570">
        <v>0</v>
      </c>
      <c r="BG570" t="s">
        <v>661</v>
      </c>
      <c r="BJ570" t="s">
        <v>2442</v>
      </c>
    </row>
    <row r="571" spans="1:62" x14ac:dyDescent="0.35">
      <c r="A571" t="s">
        <v>2443</v>
      </c>
      <c r="B571">
        <v>10000</v>
      </c>
      <c r="C571">
        <v>10000</v>
      </c>
      <c r="D571" s="2">
        <v>45728</v>
      </c>
      <c r="E571" t="s">
        <v>61</v>
      </c>
      <c r="F571" t="s">
        <v>2444</v>
      </c>
      <c r="G571" t="s">
        <v>2445</v>
      </c>
      <c r="I571">
        <v>1</v>
      </c>
      <c r="J571" t="s">
        <v>63</v>
      </c>
      <c r="K571" s="8">
        <v>88</v>
      </c>
      <c r="L571" s="8" t="s">
        <v>6610</v>
      </c>
      <c r="M571" s="8" t="s">
        <v>6631</v>
      </c>
      <c r="N571" t="s">
        <v>630</v>
      </c>
      <c r="O571" t="s">
        <v>6571</v>
      </c>
      <c r="P571">
        <v>330</v>
      </c>
      <c r="S571" s="2">
        <v>45726</v>
      </c>
      <c r="U571">
        <v>1</v>
      </c>
      <c r="V571">
        <v>330</v>
      </c>
      <c r="W571" t="s">
        <v>65</v>
      </c>
      <c r="X571" t="s">
        <v>2446</v>
      </c>
      <c r="Y571">
        <v>0</v>
      </c>
      <c r="Z571">
        <v>330</v>
      </c>
      <c r="AA571">
        <v>0</v>
      </c>
      <c r="AB571">
        <v>0</v>
      </c>
      <c r="AC571">
        <v>0</v>
      </c>
      <c r="AD571">
        <v>0</v>
      </c>
      <c r="AG571">
        <v>0</v>
      </c>
      <c r="AP571" t="s">
        <v>2447</v>
      </c>
      <c r="AQ571" t="s">
        <v>2448</v>
      </c>
      <c r="AR571" t="s">
        <v>6703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BC571" t="s">
        <v>69</v>
      </c>
      <c r="BD571" t="s">
        <v>2449</v>
      </c>
      <c r="BE571">
        <v>0</v>
      </c>
      <c r="BG571" t="s">
        <v>2448</v>
      </c>
      <c r="BJ571" t="s">
        <v>2450</v>
      </c>
    </row>
    <row r="572" spans="1:62" x14ac:dyDescent="0.35">
      <c r="A572" t="s">
        <v>2443</v>
      </c>
      <c r="B572">
        <v>20000</v>
      </c>
      <c r="C572">
        <v>10000</v>
      </c>
      <c r="D572" s="2">
        <v>45728</v>
      </c>
      <c r="E572" t="s">
        <v>61</v>
      </c>
      <c r="F572" t="s">
        <v>2444</v>
      </c>
      <c r="G572" t="s">
        <v>2445</v>
      </c>
      <c r="I572">
        <v>1</v>
      </c>
      <c r="J572" t="s">
        <v>63</v>
      </c>
      <c r="K572" s="8">
        <v>88</v>
      </c>
      <c r="L572" s="8" t="s">
        <v>6610</v>
      </c>
      <c r="M572" s="8" t="s">
        <v>6631</v>
      </c>
      <c r="N572" t="s">
        <v>630</v>
      </c>
      <c r="O572" t="s">
        <v>6571</v>
      </c>
      <c r="P572">
        <v>540</v>
      </c>
      <c r="S572" s="2">
        <v>45726</v>
      </c>
      <c r="U572">
        <v>1</v>
      </c>
      <c r="V572">
        <v>540</v>
      </c>
      <c r="W572" t="s">
        <v>65</v>
      </c>
      <c r="X572" t="s">
        <v>2446</v>
      </c>
      <c r="Y572">
        <v>0</v>
      </c>
      <c r="Z572">
        <v>540</v>
      </c>
      <c r="AA572">
        <v>0</v>
      </c>
      <c r="AB572">
        <v>0</v>
      </c>
      <c r="AC572">
        <v>0</v>
      </c>
      <c r="AD572">
        <v>0</v>
      </c>
      <c r="AG572">
        <v>0</v>
      </c>
      <c r="AP572" t="s">
        <v>2447</v>
      </c>
      <c r="AQ572" t="s">
        <v>2448</v>
      </c>
      <c r="AR572" t="s">
        <v>6703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BC572" t="s">
        <v>69</v>
      </c>
      <c r="BD572" t="s">
        <v>2449</v>
      </c>
      <c r="BE572">
        <v>0</v>
      </c>
      <c r="BG572" t="s">
        <v>2448</v>
      </c>
      <c r="BJ572" t="s">
        <v>2450</v>
      </c>
    </row>
    <row r="573" spans="1:62" x14ac:dyDescent="0.35">
      <c r="A573" t="s">
        <v>2443</v>
      </c>
      <c r="B573">
        <v>30000</v>
      </c>
      <c r="C573">
        <v>10000</v>
      </c>
      <c r="D573" s="2">
        <v>45728</v>
      </c>
      <c r="E573" t="s">
        <v>61</v>
      </c>
      <c r="F573" t="s">
        <v>2444</v>
      </c>
      <c r="G573" t="s">
        <v>2445</v>
      </c>
      <c r="I573">
        <v>1</v>
      </c>
      <c r="J573" t="s">
        <v>63</v>
      </c>
      <c r="K573" s="8">
        <v>88</v>
      </c>
      <c r="L573" s="8" t="s">
        <v>6610</v>
      </c>
      <c r="M573" s="8" t="s">
        <v>6631</v>
      </c>
      <c r="N573" t="s">
        <v>630</v>
      </c>
      <c r="O573" t="s">
        <v>6571</v>
      </c>
      <c r="P573">
        <v>150</v>
      </c>
      <c r="S573" s="2">
        <v>45726</v>
      </c>
      <c r="U573">
        <v>1</v>
      </c>
      <c r="V573">
        <v>150</v>
      </c>
      <c r="W573" t="s">
        <v>65</v>
      </c>
      <c r="X573" t="s">
        <v>2446</v>
      </c>
      <c r="Y573">
        <v>0</v>
      </c>
      <c r="Z573">
        <v>150</v>
      </c>
      <c r="AA573">
        <v>0</v>
      </c>
      <c r="AB573">
        <v>0</v>
      </c>
      <c r="AC573">
        <v>0</v>
      </c>
      <c r="AD573">
        <v>0</v>
      </c>
      <c r="AG573">
        <v>0</v>
      </c>
      <c r="AP573" t="s">
        <v>2447</v>
      </c>
      <c r="AQ573" t="s">
        <v>2448</v>
      </c>
      <c r="AR573" t="s">
        <v>6703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BC573" t="s">
        <v>69</v>
      </c>
      <c r="BD573" t="s">
        <v>2449</v>
      </c>
      <c r="BE573">
        <v>0</v>
      </c>
      <c r="BG573" t="s">
        <v>2448</v>
      </c>
      <c r="BJ573" t="s">
        <v>2450</v>
      </c>
    </row>
    <row r="574" spans="1:62" x14ac:dyDescent="0.35">
      <c r="A574" t="s">
        <v>2451</v>
      </c>
      <c r="B574">
        <v>10000</v>
      </c>
      <c r="C574">
        <v>20000</v>
      </c>
      <c r="D574" s="2">
        <v>45728</v>
      </c>
      <c r="E574" t="s">
        <v>61</v>
      </c>
      <c r="F574" t="s">
        <v>2452</v>
      </c>
      <c r="G574" t="s">
        <v>2445</v>
      </c>
      <c r="I574">
        <v>1</v>
      </c>
      <c r="J574" t="s">
        <v>63</v>
      </c>
      <c r="K574" s="8">
        <v>88</v>
      </c>
      <c r="L574" s="8" t="s">
        <v>6610</v>
      </c>
      <c r="M574" s="8" t="s">
        <v>6631</v>
      </c>
      <c r="N574" t="s">
        <v>630</v>
      </c>
      <c r="O574" t="s">
        <v>6571</v>
      </c>
      <c r="P574">
        <v>60</v>
      </c>
      <c r="S574" s="2">
        <v>45726</v>
      </c>
      <c r="U574">
        <v>1</v>
      </c>
      <c r="V574">
        <v>60</v>
      </c>
      <c r="W574" t="s">
        <v>65</v>
      </c>
      <c r="X574" t="s">
        <v>2453</v>
      </c>
      <c r="Y574">
        <v>0</v>
      </c>
      <c r="Z574">
        <v>60</v>
      </c>
      <c r="AA574">
        <v>0</v>
      </c>
      <c r="AB574">
        <v>0</v>
      </c>
      <c r="AC574">
        <v>0</v>
      </c>
      <c r="AD574">
        <v>0</v>
      </c>
      <c r="AG574">
        <v>0</v>
      </c>
      <c r="AP574" t="s">
        <v>2454</v>
      </c>
      <c r="AQ574" t="s">
        <v>2448</v>
      </c>
      <c r="AR574" t="s">
        <v>6703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BC574" t="s">
        <v>69</v>
      </c>
      <c r="BD574" t="s">
        <v>2455</v>
      </c>
      <c r="BE574">
        <v>0</v>
      </c>
      <c r="BG574" t="s">
        <v>2448</v>
      </c>
      <c r="BJ574" t="s">
        <v>2450</v>
      </c>
    </row>
    <row r="575" spans="1:62" x14ac:dyDescent="0.35">
      <c r="A575" t="s">
        <v>2451</v>
      </c>
      <c r="B575">
        <v>20000</v>
      </c>
      <c r="C575">
        <v>10000</v>
      </c>
      <c r="D575" s="2">
        <v>45728</v>
      </c>
      <c r="E575" t="s">
        <v>61</v>
      </c>
      <c r="F575" t="s">
        <v>2452</v>
      </c>
      <c r="G575" t="s">
        <v>2445</v>
      </c>
      <c r="I575">
        <v>1</v>
      </c>
      <c r="J575" t="s">
        <v>63</v>
      </c>
      <c r="K575" s="8">
        <v>88</v>
      </c>
      <c r="L575" s="8" t="s">
        <v>6610</v>
      </c>
      <c r="M575" s="8" t="s">
        <v>6631</v>
      </c>
      <c r="N575" t="s">
        <v>630</v>
      </c>
      <c r="O575" t="s">
        <v>6571</v>
      </c>
      <c r="P575">
        <v>150</v>
      </c>
      <c r="S575" s="2">
        <v>45726</v>
      </c>
      <c r="U575">
        <v>1</v>
      </c>
      <c r="V575">
        <v>150</v>
      </c>
      <c r="W575" t="s">
        <v>65</v>
      </c>
      <c r="X575" t="s">
        <v>2453</v>
      </c>
      <c r="Y575">
        <v>0</v>
      </c>
      <c r="Z575">
        <v>150</v>
      </c>
      <c r="AA575">
        <v>0</v>
      </c>
      <c r="AB575">
        <v>0</v>
      </c>
      <c r="AC575">
        <v>0</v>
      </c>
      <c r="AD575">
        <v>0</v>
      </c>
      <c r="AG575">
        <v>0</v>
      </c>
      <c r="AP575" t="s">
        <v>2454</v>
      </c>
      <c r="AQ575" t="s">
        <v>2448</v>
      </c>
      <c r="AR575" t="s">
        <v>6703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BC575" t="s">
        <v>69</v>
      </c>
      <c r="BD575" t="s">
        <v>2455</v>
      </c>
      <c r="BE575">
        <v>0</v>
      </c>
      <c r="BG575" t="s">
        <v>2448</v>
      </c>
      <c r="BJ575" t="s">
        <v>2450</v>
      </c>
    </row>
    <row r="576" spans="1:62" x14ac:dyDescent="0.35">
      <c r="A576" t="s">
        <v>2451</v>
      </c>
      <c r="B576">
        <v>30000</v>
      </c>
      <c r="C576">
        <v>10000</v>
      </c>
      <c r="D576" s="2">
        <v>45728</v>
      </c>
      <c r="E576" t="s">
        <v>61</v>
      </c>
      <c r="F576" t="s">
        <v>2452</v>
      </c>
      <c r="G576" t="s">
        <v>2445</v>
      </c>
      <c r="I576">
        <v>1</v>
      </c>
      <c r="J576" t="s">
        <v>63</v>
      </c>
      <c r="K576" s="8">
        <v>88</v>
      </c>
      <c r="L576" s="8" t="s">
        <v>6610</v>
      </c>
      <c r="M576" s="8" t="s">
        <v>6631</v>
      </c>
      <c r="N576" t="s">
        <v>630</v>
      </c>
      <c r="O576" t="s">
        <v>6571</v>
      </c>
      <c r="P576">
        <v>30</v>
      </c>
      <c r="S576" s="2">
        <v>45726</v>
      </c>
      <c r="U576">
        <v>1</v>
      </c>
      <c r="V576">
        <v>30</v>
      </c>
      <c r="W576" t="s">
        <v>65</v>
      </c>
      <c r="X576" t="s">
        <v>2453</v>
      </c>
      <c r="Y576">
        <v>0</v>
      </c>
      <c r="Z576">
        <v>30</v>
      </c>
      <c r="AA576">
        <v>0</v>
      </c>
      <c r="AB576">
        <v>0</v>
      </c>
      <c r="AC576">
        <v>0</v>
      </c>
      <c r="AD576">
        <v>0</v>
      </c>
      <c r="AG576">
        <v>0</v>
      </c>
      <c r="AP576" t="s">
        <v>2454</v>
      </c>
      <c r="AQ576" t="s">
        <v>2448</v>
      </c>
      <c r="AR576" t="s">
        <v>6703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BC576" t="s">
        <v>69</v>
      </c>
      <c r="BD576" t="s">
        <v>2455</v>
      </c>
      <c r="BE576">
        <v>0</v>
      </c>
      <c r="BG576" t="s">
        <v>2448</v>
      </c>
      <c r="BJ576" t="s">
        <v>2450</v>
      </c>
    </row>
    <row r="577" spans="1:62" x14ac:dyDescent="0.35">
      <c r="A577" t="s">
        <v>2456</v>
      </c>
      <c r="B577">
        <v>10000</v>
      </c>
      <c r="C577">
        <v>10000</v>
      </c>
      <c r="D577" s="2">
        <v>45728</v>
      </c>
      <c r="E577" t="s">
        <v>61</v>
      </c>
      <c r="F577" t="s">
        <v>2457</v>
      </c>
      <c r="G577" t="s">
        <v>2458</v>
      </c>
      <c r="I577">
        <v>1</v>
      </c>
      <c r="J577" t="s">
        <v>63</v>
      </c>
      <c r="K577" s="8">
        <v>70</v>
      </c>
      <c r="L577" s="8" t="s">
        <v>6605</v>
      </c>
      <c r="M577" s="8" t="s">
        <v>6630</v>
      </c>
      <c r="N577" t="s">
        <v>795</v>
      </c>
      <c r="O577" t="s">
        <v>6508</v>
      </c>
      <c r="P577" s="4">
        <v>22500</v>
      </c>
      <c r="Q577">
        <f t="shared" ref="Q577:Q582" si="139">(P577/40)+45</f>
        <v>607.5</v>
      </c>
      <c r="R577">
        <f t="shared" ref="R577:R582" si="140">Q577/60</f>
        <v>10.125</v>
      </c>
      <c r="S577" s="2">
        <v>45726</v>
      </c>
      <c r="U577">
        <v>4</v>
      </c>
      <c r="V577" s="4">
        <v>90000</v>
      </c>
      <c r="W577" t="s">
        <v>65</v>
      </c>
      <c r="X577" t="s">
        <v>1259</v>
      </c>
      <c r="Y577">
        <v>0</v>
      </c>
      <c r="Z577" s="4">
        <v>90000</v>
      </c>
      <c r="AA577">
        <v>0</v>
      </c>
      <c r="AB577">
        <v>0</v>
      </c>
      <c r="AC577">
        <v>0</v>
      </c>
      <c r="AD577">
        <v>0</v>
      </c>
      <c r="AG577">
        <v>0</v>
      </c>
      <c r="AP577" t="s">
        <v>1260</v>
      </c>
      <c r="AQ577" t="s">
        <v>157</v>
      </c>
      <c r="AR577" t="s">
        <v>6640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BC577" t="s">
        <v>69</v>
      </c>
      <c r="BD577" t="s">
        <v>2459</v>
      </c>
      <c r="BE577">
        <v>0</v>
      </c>
      <c r="BG577" t="s">
        <v>157</v>
      </c>
      <c r="BJ577" t="s">
        <v>2460</v>
      </c>
    </row>
    <row r="578" spans="1:62" x14ac:dyDescent="0.35">
      <c r="A578" t="s">
        <v>2461</v>
      </c>
      <c r="B578">
        <v>10000</v>
      </c>
      <c r="C578">
        <v>10000</v>
      </c>
      <c r="D578" s="2">
        <v>45726</v>
      </c>
      <c r="E578" t="s">
        <v>61</v>
      </c>
      <c r="F578" t="s">
        <v>2462</v>
      </c>
      <c r="G578" t="s">
        <v>1258</v>
      </c>
      <c r="I578">
        <v>1</v>
      </c>
      <c r="J578" t="s">
        <v>63</v>
      </c>
      <c r="K578" s="8">
        <v>26</v>
      </c>
      <c r="L578" s="8" t="s">
        <v>6595</v>
      </c>
      <c r="M578" s="8" t="s">
        <v>6629</v>
      </c>
      <c r="N578" t="s">
        <v>249</v>
      </c>
      <c r="O578" t="s">
        <v>6500</v>
      </c>
      <c r="P578" s="4">
        <v>9000</v>
      </c>
      <c r="Q578">
        <f t="shared" si="139"/>
        <v>270</v>
      </c>
      <c r="R578">
        <f t="shared" si="140"/>
        <v>4.5</v>
      </c>
      <c r="S578" s="2">
        <v>45726</v>
      </c>
      <c r="U578">
        <v>4</v>
      </c>
      <c r="V578" s="4">
        <v>36000</v>
      </c>
      <c r="W578" t="s">
        <v>65</v>
      </c>
      <c r="X578" t="s">
        <v>861</v>
      </c>
      <c r="Y578">
        <v>0</v>
      </c>
      <c r="Z578" s="4">
        <v>36000</v>
      </c>
      <c r="AA578">
        <v>0</v>
      </c>
      <c r="AB578">
        <v>0</v>
      </c>
      <c r="AC578">
        <v>0</v>
      </c>
      <c r="AD578">
        <v>0</v>
      </c>
      <c r="AG578">
        <v>0</v>
      </c>
      <c r="AP578" t="s">
        <v>862</v>
      </c>
      <c r="AQ578" t="s">
        <v>157</v>
      </c>
      <c r="AR578" t="s">
        <v>6640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BC578" t="s">
        <v>69</v>
      </c>
      <c r="BD578" t="s">
        <v>2463</v>
      </c>
      <c r="BE578">
        <v>0</v>
      </c>
      <c r="BG578" t="s">
        <v>157</v>
      </c>
      <c r="BJ578" t="s">
        <v>2464</v>
      </c>
    </row>
    <row r="579" spans="1:62" x14ac:dyDescent="0.35">
      <c r="A579" t="s">
        <v>2465</v>
      </c>
      <c r="B579">
        <v>10000</v>
      </c>
      <c r="C579">
        <v>10000</v>
      </c>
      <c r="D579" s="2">
        <v>45728</v>
      </c>
      <c r="E579" t="s">
        <v>61</v>
      </c>
      <c r="F579" t="s">
        <v>2040</v>
      </c>
      <c r="G579">
        <v>1006323</v>
      </c>
      <c r="I579">
        <v>1</v>
      </c>
      <c r="J579" t="s">
        <v>63</v>
      </c>
      <c r="K579" s="8">
        <v>63</v>
      </c>
      <c r="L579" s="8" t="s">
        <v>6605</v>
      </c>
      <c r="M579" s="8" t="s">
        <v>6630</v>
      </c>
      <c r="N579" t="s">
        <v>519</v>
      </c>
      <c r="O579" t="s">
        <v>6569</v>
      </c>
      <c r="P579" s="4">
        <v>5000</v>
      </c>
      <c r="Q579">
        <f t="shared" si="139"/>
        <v>170</v>
      </c>
      <c r="R579">
        <f t="shared" si="140"/>
        <v>2.8333333333333335</v>
      </c>
      <c r="S579" s="2">
        <v>45726</v>
      </c>
      <c r="U579">
        <v>40</v>
      </c>
      <c r="V579" s="4">
        <v>200000</v>
      </c>
      <c r="W579" t="s">
        <v>65</v>
      </c>
      <c r="X579" t="s">
        <v>2466</v>
      </c>
      <c r="Y579">
        <v>0</v>
      </c>
      <c r="Z579" s="4">
        <v>200000</v>
      </c>
      <c r="AA579">
        <v>0</v>
      </c>
      <c r="AB579">
        <v>0</v>
      </c>
      <c r="AC579">
        <v>0</v>
      </c>
      <c r="AD579">
        <v>0</v>
      </c>
      <c r="AG579">
        <v>0</v>
      </c>
      <c r="AP579" t="s">
        <v>2467</v>
      </c>
      <c r="AQ579" t="s">
        <v>157</v>
      </c>
      <c r="AR579" t="s">
        <v>6640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BC579" t="s">
        <v>69</v>
      </c>
      <c r="BD579" t="s">
        <v>2468</v>
      </c>
      <c r="BE579">
        <v>0</v>
      </c>
      <c r="BG579" t="s">
        <v>157</v>
      </c>
      <c r="BJ579" t="s">
        <v>2469</v>
      </c>
    </row>
    <row r="580" spans="1:62" x14ac:dyDescent="0.35">
      <c r="A580" t="s">
        <v>2470</v>
      </c>
      <c r="B580">
        <v>10000</v>
      </c>
      <c r="C580">
        <v>10000</v>
      </c>
      <c r="D580" s="2">
        <v>45727</v>
      </c>
      <c r="E580" t="s">
        <v>61</v>
      </c>
      <c r="F580" t="s">
        <v>2014</v>
      </c>
      <c r="G580" t="s">
        <v>518</v>
      </c>
      <c r="I580">
        <v>1</v>
      </c>
      <c r="J580" t="s">
        <v>63</v>
      </c>
      <c r="K580" s="8">
        <v>63</v>
      </c>
      <c r="L580" s="8" t="s">
        <v>6605</v>
      </c>
      <c r="M580" s="8" t="s">
        <v>6630</v>
      </c>
      <c r="N580" t="s">
        <v>519</v>
      </c>
      <c r="O580" t="s">
        <v>6569</v>
      </c>
      <c r="P580" s="4">
        <v>2000</v>
      </c>
      <c r="Q580">
        <f t="shared" si="139"/>
        <v>95</v>
      </c>
      <c r="R580">
        <f t="shared" si="140"/>
        <v>1.5833333333333333</v>
      </c>
      <c r="S580" s="2">
        <v>45726</v>
      </c>
      <c r="U580">
        <v>40</v>
      </c>
      <c r="V580" s="4">
        <v>80000</v>
      </c>
      <c r="W580" t="s">
        <v>65</v>
      </c>
      <c r="X580" t="s">
        <v>2471</v>
      </c>
      <c r="Y580">
        <v>0</v>
      </c>
      <c r="Z580" s="4">
        <v>80000</v>
      </c>
      <c r="AA580">
        <v>0</v>
      </c>
      <c r="AB580">
        <v>0</v>
      </c>
      <c r="AC580">
        <v>0</v>
      </c>
      <c r="AD580">
        <v>0</v>
      </c>
      <c r="AG580">
        <v>0</v>
      </c>
      <c r="AP580" t="s">
        <v>2472</v>
      </c>
      <c r="AQ580" t="s">
        <v>157</v>
      </c>
      <c r="AR580" t="s">
        <v>6640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BC580" t="s">
        <v>69</v>
      </c>
      <c r="BD580" t="s">
        <v>2473</v>
      </c>
      <c r="BE580">
        <v>0</v>
      </c>
      <c r="BG580" t="s">
        <v>157</v>
      </c>
      <c r="BJ580" t="s">
        <v>2474</v>
      </c>
    </row>
    <row r="581" spans="1:62" x14ac:dyDescent="0.35">
      <c r="A581" t="s">
        <v>2475</v>
      </c>
      <c r="B581">
        <v>10000</v>
      </c>
      <c r="C581">
        <v>10000</v>
      </c>
      <c r="D581" s="2">
        <v>45727</v>
      </c>
      <c r="E581" t="s">
        <v>61</v>
      </c>
      <c r="F581" t="s">
        <v>2014</v>
      </c>
      <c r="G581" t="s">
        <v>518</v>
      </c>
      <c r="I581">
        <v>1</v>
      </c>
      <c r="J581" t="s">
        <v>63</v>
      </c>
      <c r="K581" s="8">
        <v>63</v>
      </c>
      <c r="L581" s="8" t="s">
        <v>6605</v>
      </c>
      <c r="M581" s="8" t="s">
        <v>6630</v>
      </c>
      <c r="N581" t="s">
        <v>519</v>
      </c>
      <c r="O581" t="s">
        <v>6569</v>
      </c>
      <c r="P581" s="4">
        <v>2000</v>
      </c>
      <c r="Q581">
        <f t="shared" si="139"/>
        <v>95</v>
      </c>
      <c r="R581">
        <f t="shared" si="140"/>
        <v>1.5833333333333333</v>
      </c>
      <c r="S581" s="2">
        <v>45726</v>
      </c>
      <c r="U581">
        <v>40</v>
      </c>
      <c r="V581" s="4">
        <v>80000</v>
      </c>
      <c r="W581" t="s">
        <v>65</v>
      </c>
      <c r="X581" t="s">
        <v>2471</v>
      </c>
      <c r="Y581">
        <v>0</v>
      </c>
      <c r="Z581" s="4">
        <v>80000</v>
      </c>
      <c r="AA581">
        <v>0</v>
      </c>
      <c r="AB581">
        <v>0</v>
      </c>
      <c r="AC581">
        <v>0</v>
      </c>
      <c r="AD581">
        <v>0</v>
      </c>
      <c r="AG581">
        <v>0</v>
      </c>
      <c r="AP581" t="s">
        <v>2472</v>
      </c>
      <c r="AQ581" t="s">
        <v>157</v>
      </c>
      <c r="AR581" t="s">
        <v>6640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C581" t="s">
        <v>69</v>
      </c>
      <c r="BD581" t="s">
        <v>2476</v>
      </c>
      <c r="BE581">
        <v>0</v>
      </c>
      <c r="BG581" t="s">
        <v>157</v>
      </c>
      <c r="BJ581" t="s">
        <v>2477</v>
      </c>
    </row>
    <row r="582" spans="1:62" x14ac:dyDescent="0.35">
      <c r="A582" t="s">
        <v>2478</v>
      </c>
      <c r="B582">
        <v>10000</v>
      </c>
      <c r="C582">
        <v>10000</v>
      </c>
      <c r="D582" s="2">
        <v>45727</v>
      </c>
      <c r="E582" t="s">
        <v>61</v>
      </c>
      <c r="F582" t="s">
        <v>2262</v>
      </c>
      <c r="G582" t="s">
        <v>518</v>
      </c>
      <c r="I582">
        <v>1</v>
      </c>
      <c r="J582" t="s">
        <v>63</v>
      </c>
      <c r="K582" s="8">
        <v>63</v>
      </c>
      <c r="L582" s="8" t="s">
        <v>6605</v>
      </c>
      <c r="M582" s="8" t="s">
        <v>6630</v>
      </c>
      <c r="N582" t="s">
        <v>519</v>
      </c>
      <c r="O582" t="s">
        <v>6569</v>
      </c>
      <c r="P582" s="4">
        <v>2000</v>
      </c>
      <c r="Q582">
        <f t="shared" si="139"/>
        <v>95</v>
      </c>
      <c r="R582">
        <f t="shared" si="140"/>
        <v>1.5833333333333333</v>
      </c>
      <c r="S582" s="2">
        <v>45726</v>
      </c>
      <c r="U582">
        <v>40</v>
      </c>
      <c r="V582" s="4">
        <v>80000</v>
      </c>
      <c r="W582" t="s">
        <v>65</v>
      </c>
      <c r="X582" t="s">
        <v>2471</v>
      </c>
      <c r="Y582">
        <v>0</v>
      </c>
      <c r="Z582" s="4">
        <v>80000</v>
      </c>
      <c r="AA582">
        <v>0</v>
      </c>
      <c r="AB582">
        <v>0</v>
      </c>
      <c r="AC582">
        <v>0</v>
      </c>
      <c r="AD582">
        <v>0</v>
      </c>
      <c r="AG582">
        <v>0</v>
      </c>
      <c r="AP582" t="s">
        <v>2472</v>
      </c>
      <c r="AQ582" t="s">
        <v>157</v>
      </c>
      <c r="AR582" t="s">
        <v>6640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BC582" t="s">
        <v>69</v>
      </c>
      <c r="BD582" t="s">
        <v>2479</v>
      </c>
      <c r="BE582">
        <v>0</v>
      </c>
      <c r="BG582" t="s">
        <v>157</v>
      </c>
      <c r="BJ582" t="s">
        <v>2480</v>
      </c>
    </row>
    <row r="583" spans="1:62" x14ac:dyDescent="0.35">
      <c r="A583" t="s">
        <v>2145</v>
      </c>
      <c r="B583">
        <v>10000</v>
      </c>
      <c r="C583">
        <v>20000</v>
      </c>
      <c r="D583" s="2">
        <v>45727</v>
      </c>
      <c r="E583" t="s">
        <v>61</v>
      </c>
      <c r="F583" t="s">
        <v>2018</v>
      </c>
      <c r="G583" t="s">
        <v>2146</v>
      </c>
      <c r="I583">
        <v>1</v>
      </c>
      <c r="J583" t="s">
        <v>63</v>
      </c>
      <c r="K583" s="8">
        <v>66</v>
      </c>
      <c r="L583" s="8" t="s">
        <v>6600</v>
      </c>
      <c r="M583" s="8" t="s">
        <v>6630</v>
      </c>
      <c r="N583" t="s">
        <v>800</v>
      </c>
      <c r="O583" t="s">
        <v>6562</v>
      </c>
      <c r="P583" s="4">
        <v>35000</v>
      </c>
      <c r="Q583">
        <f>(P583/50)+45</f>
        <v>745</v>
      </c>
      <c r="R583">
        <f>Q583/60</f>
        <v>12.416666666666666</v>
      </c>
      <c r="S583" s="2">
        <v>45726</v>
      </c>
      <c r="U583">
        <v>1</v>
      </c>
      <c r="V583" s="4">
        <v>35000</v>
      </c>
      <c r="W583" t="s">
        <v>65</v>
      </c>
      <c r="X583" t="s">
        <v>381</v>
      </c>
      <c r="Y583">
        <v>0</v>
      </c>
      <c r="Z583" s="4">
        <v>35000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382</v>
      </c>
      <c r="AQ583" t="s">
        <v>157</v>
      </c>
      <c r="AR583" t="s">
        <v>6640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BC583" t="s">
        <v>69</v>
      </c>
      <c r="BD583" t="s">
        <v>2147</v>
      </c>
      <c r="BE583">
        <v>0</v>
      </c>
      <c r="BG583" t="s">
        <v>157</v>
      </c>
      <c r="BJ583" t="s">
        <v>2148</v>
      </c>
    </row>
    <row r="584" spans="1:62" x14ac:dyDescent="0.35">
      <c r="A584" t="s">
        <v>2481</v>
      </c>
      <c r="B584">
        <v>10000</v>
      </c>
      <c r="C584">
        <v>10000</v>
      </c>
      <c r="D584" s="2">
        <v>45728</v>
      </c>
      <c r="E584" t="s">
        <v>61</v>
      </c>
      <c r="F584" t="s">
        <v>2040</v>
      </c>
      <c r="G584">
        <v>12190705005</v>
      </c>
      <c r="I584">
        <v>1</v>
      </c>
      <c r="J584" t="s">
        <v>63</v>
      </c>
      <c r="K584" s="8">
        <v>68</v>
      </c>
      <c r="L584" t="s">
        <v>6605</v>
      </c>
      <c r="M584" s="8" t="s">
        <v>6630</v>
      </c>
      <c r="N584" t="s">
        <v>154</v>
      </c>
      <c r="O584" t="s">
        <v>6575</v>
      </c>
      <c r="P584" s="4">
        <v>25000</v>
      </c>
      <c r="S584" s="2">
        <v>45726</v>
      </c>
      <c r="U584">
        <v>2</v>
      </c>
      <c r="V584" s="4">
        <v>50000</v>
      </c>
      <c r="W584" t="s">
        <v>65</v>
      </c>
      <c r="X584" t="s">
        <v>803</v>
      </c>
      <c r="Y584">
        <v>0</v>
      </c>
      <c r="Z584" s="4">
        <v>50000</v>
      </c>
      <c r="AA584">
        <v>0</v>
      </c>
      <c r="AB584">
        <v>0</v>
      </c>
      <c r="AC584">
        <v>0</v>
      </c>
      <c r="AD584">
        <v>0</v>
      </c>
      <c r="AG584">
        <v>0</v>
      </c>
      <c r="AP584" t="s">
        <v>804</v>
      </c>
      <c r="AQ584" t="s">
        <v>157</v>
      </c>
      <c r="AR584" t="s">
        <v>6640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BC584" t="s">
        <v>69</v>
      </c>
      <c r="BD584" t="s">
        <v>2483</v>
      </c>
      <c r="BE584">
        <v>0</v>
      </c>
      <c r="BG584" t="s">
        <v>157</v>
      </c>
      <c r="BJ584" t="s">
        <v>2484</v>
      </c>
    </row>
    <row r="585" spans="1:62" x14ac:dyDescent="0.35">
      <c r="A585" t="s">
        <v>2485</v>
      </c>
      <c r="B585">
        <v>10000</v>
      </c>
      <c r="C585">
        <v>10000</v>
      </c>
      <c r="D585" s="2">
        <v>45728</v>
      </c>
      <c r="E585" t="s">
        <v>61</v>
      </c>
      <c r="F585" t="s">
        <v>2486</v>
      </c>
      <c r="G585" t="s">
        <v>2487</v>
      </c>
      <c r="I585">
        <v>1</v>
      </c>
      <c r="J585" t="s">
        <v>63</v>
      </c>
      <c r="K585" s="8">
        <v>62</v>
      </c>
      <c r="L585" s="8" t="s">
        <v>6600</v>
      </c>
      <c r="M585" s="8" t="s">
        <v>6630</v>
      </c>
      <c r="N585" t="s">
        <v>385</v>
      </c>
      <c r="O585" t="s">
        <v>6541</v>
      </c>
      <c r="P585" s="4">
        <v>60000</v>
      </c>
      <c r="Q585">
        <f>(P585/50)+45</f>
        <v>1245</v>
      </c>
      <c r="R585">
        <f>Q585/60</f>
        <v>20.75</v>
      </c>
      <c r="S585" s="2">
        <v>45726</v>
      </c>
      <c r="U585">
        <v>1</v>
      </c>
      <c r="V585" s="4">
        <v>60000</v>
      </c>
      <c r="W585" t="s">
        <v>65</v>
      </c>
      <c r="X585" t="s">
        <v>2488</v>
      </c>
      <c r="Y585">
        <v>0</v>
      </c>
      <c r="Z585" s="4">
        <v>60000</v>
      </c>
      <c r="AA585">
        <v>0</v>
      </c>
      <c r="AB585">
        <v>0</v>
      </c>
      <c r="AC585">
        <v>0</v>
      </c>
      <c r="AD585">
        <v>0</v>
      </c>
      <c r="AG585">
        <v>0</v>
      </c>
      <c r="AP585" t="s">
        <v>2489</v>
      </c>
      <c r="AQ585" t="s">
        <v>157</v>
      </c>
      <c r="AR585" t="s">
        <v>6640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BC585" t="s">
        <v>69</v>
      </c>
      <c r="BD585" t="s">
        <v>2490</v>
      </c>
      <c r="BE585">
        <v>0</v>
      </c>
      <c r="BG585" t="s">
        <v>157</v>
      </c>
      <c r="BJ585" t="s">
        <v>2491</v>
      </c>
    </row>
    <row r="586" spans="1:62" x14ac:dyDescent="0.35">
      <c r="A586" t="s">
        <v>2492</v>
      </c>
      <c r="B586">
        <v>10000</v>
      </c>
      <c r="C586">
        <v>10000</v>
      </c>
      <c r="D586" s="2">
        <v>45729</v>
      </c>
      <c r="E586" t="s">
        <v>61</v>
      </c>
      <c r="F586" t="s">
        <v>2493</v>
      </c>
      <c r="G586" t="s">
        <v>2494</v>
      </c>
      <c r="I586">
        <v>1</v>
      </c>
      <c r="J586" t="s">
        <v>63</v>
      </c>
      <c r="K586" s="8">
        <v>87</v>
      </c>
      <c r="L586" s="8" t="s">
        <v>6591</v>
      </c>
      <c r="M586" s="8" t="s">
        <v>6630</v>
      </c>
      <c r="N586" t="s">
        <v>172</v>
      </c>
      <c r="O586" t="s">
        <v>6546</v>
      </c>
      <c r="P586" s="4">
        <v>20250</v>
      </c>
      <c r="S586" s="2">
        <v>45726</v>
      </c>
      <c r="U586">
        <v>2</v>
      </c>
      <c r="V586" s="4">
        <v>40500</v>
      </c>
      <c r="W586" t="s">
        <v>65</v>
      </c>
      <c r="X586" t="s">
        <v>2495</v>
      </c>
      <c r="Y586">
        <v>0</v>
      </c>
      <c r="Z586" s="4">
        <v>40500</v>
      </c>
      <c r="AA586">
        <v>0</v>
      </c>
      <c r="AB586">
        <v>0</v>
      </c>
      <c r="AC586">
        <v>0</v>
      </c>
      <c r="AD586">
        <v>0</v>
      </c>
      <c r="AG586">
        <v>0</v>
      </c>
      <c r="AP586" t="s">
        <v>2496</v>
      </c>
      <c r="AQ586" t="s">
        <v>157</v>
      </c>
      <c r="AR586" t="s">
        <v>6640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BC586" t="s">
        <v>69</v>
      </c>
      <c r="BD586" t="s">
        <v>2497</v>
      </c>
      <c r="BE586">
        <v>0</v>
      </c>
      <c r="BG586" t="s">
        <v>157</v>
      </c>
      <c r="BJ586" t="s">
        <v>2498</v>
      </c>
    </row>
    <row r="587" spans="1:62" x14ac:dyDescent="0.35">
      <c r="A587" t="s">
        <v>2499</v>
      </c>
      <c r="B587">
        <v>10000</v>
      </c>
      <c r="C587">
        <v>10000</v>
      </c>
      <c r="D587" s="2">
        <v>45730</v>
      </c>
      <c r="E587" t="s">
        <v>61</v>
      </c>
      <c r="F587" t="s">
        <v>2500</v>
      </c>
      <c r="G587" t="s">
        <v>394</v>
      </c>
      <c r="I587">
        <v>1</v>
      </c>
      <c r="J587" t="s">
        <v>63</v>
      </c>
      <c r="K587" s="8">
        <v>66</v>
      </c>
      <c r="L587" s="8" t="s">
        <v>6600</v>
      </c>
      <c r="M587" s="8" t="s">
        <v>6630</v>
      </c>
      <c r="N587" t="s">
        <v>800</v>
      </c>
      <c r="O587" t="s">
        <v>6562</v>
      </c>
      <c r="P587" s="4">
        <v>150000</v>
      </c>
      <c r="Q587">
        <f t="shared" ref="Q587:Q588" si="141">(P587/50)+45</f>
        <v>3045</v>
      </c>
      <c r="R587">
        <f t="shared" ref="R587:R588" si="142">Q587/60</f>
        <v>50.75</v>
      </c>
      <c r="S587" s="2">
        <v>45726</v>
      </c>
      <c r="U587">
        <v>1</v>
      </c>
      <c r="V587" s="4">
        <v>150000</v>
      </c>
      <c r="W587" t="s">
        <v>65</v>
      </c>
      <c r="X587" t="s">
        <v>381</v>
      </c>
      <c r="Y587">
        <v>0</v>
      </c>
      <c r="Z587" s="4">
        <v>150000</v>
      </c>
      <c r="AA587">
        <v>0</v>
      </c>
      <c r="AB587">
        <v>0</v>
      </c>
      <c r="AC587">
        <v>0</v>
      </c>
      <c r="AD587">
        <v>0</v>
      </c>
      <c r="AG587">
        <v>0</v>
      </c>
      <c r="AP587" t="s">
        <v>382</v>
      </c>
      <c r="AQ587" t="s">
        <v>175</v>
      </c>
      <c r="AR587" t="s">
        <v>6642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C587" t="s">
        <v>69</v>
      </c>
      <c r="BD587" t="s">
        <v>2501</v>
      </c>
      <c r="BE587">
        <v>0</v>
      </c>
      <c r="BG587" t="s">
        <v>175</v>
      </c>
      <c r="BJ587" t="s">
        <v>2502</v>
      </c>
    </row>
    <row r="588" spans="1:62" x14ac:dyDescent="0.35">
      <c r="A588" t="s">
        <v>2499</v>
      </c>
      <c r="B588">
        <v>10000</v>
      </c>
      <c r="C588">
        <v>20000</v>
      </c>
      <c r="D588" s="2">
        <v>45730</v>
      </c>
      <c r="E588" t="s">
        <v>61</v>
      </c>
      <c r="F588" t="s">
        <v>2500</v>
      </c>
      <c r="G588" t="s">
        <v>394</v>
      </c>
      <c r="I588">
        <v>1</v>
      </c>
      <c r="J588" t="s">
        <v>63</v>
      </c>
      <c r="K588" s="8">
        <v>67</v>
      </c>
      <c r="L588" s="8" t="s">
        <v>6601</v>
      </c>
      <c r="M588" s="8" t="s">
        <v>6630</v>
      </c>
      <c r="N588" t="s">
        <v>380</v>
      </c>
      <c r="O588" t="s">
        <v>6558</v>
      </c>
      <c r="P588" s="4">
        <v>130000</v>
      </c>
      <c r="Q588">
        <f t="shared" si="141"/>
        <v>2645</v>
      </c>
      <c r="R588">
        <f t="shared" si="142"/>
        <v>44.083333333333336</v>
      </c>
      <c r="S588" s="2">
        <v>45726</v>
      </c>
      <c r="U588">
        <v>1</v>
      </c>
      <c r="V588" s="4">
        <v>130000</v>
      </c>
      <c r="W588" t="s">
        <v>65</v>
      </c>
      <c r="X588" t="s">
        <v>381</v>
      </c>
      <c r="Y588">
        <v>0</v>
      </c>
      <c r="Z588" s="4">
        <v>130000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382</v>
      </c>
      <c r="AQ588" t="s">
        <v>175</v>
      </c>
      <c r="AR588" t="s">
        <v>6642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BC588" t="s">
        <v>69</v>
      </c>
      <c r="BD588" t="s">
        <v>2501</v>
      </c>
      <c r="BE588">
        <v>0</v>
      </c>
      <c r="BG588" t="s">
        <v>175</v>
      </c>
      <c r="BJ588" t="s">
        <v>2502</v>
      </c>
    </row>
    <row r="589" spans="1:62" x14ac:dyDescent="0.35">
      <c r="A589" t="s">
        <v>2503</v>
      </c>
      <c r="B589">
        <v>10000</v>
      </c>
      <c r="C589">
        <v>30000</v>
      </c>
      <c r="D589" s="2">
        <v>45737</v>
      </c>
      <c r="E589" t="s">
        <v>61</v>
      </c>
      <c r="F589" s="3">
        <v>0.48155092592592591</v>
      </c>
      <c r="G589">
        <v>10639931036</v>
      </c>
      <c r="I589">
        <v>1</v>
      </c>
      <c r="J589" t="s">
        <v>63</v>
      </c>
      <c r="K589" s="8">
        <v>93</v>
      </c>
      <c r="L589" t="s">
        <v>6611</v>
      </c>
      <c r="M589" s="8" t="s">
        <v>6631</v>
      </c>
      <c r="N589" t="s">
        <v>2315</v>
      </c>
      <c r="O589" t="s">
        <v>6540</v>
      </c>
      <c r="P589">
        <v>230</v>
      </c>
      <c r="S589" s="2">
        <v>45726</v>
      </c>
      <c r="U589">
        <v>352</v>
      </c>
      <c r="V589" s="4">
        <v>80960</v>
      </c>
      <c r="W589" t="s">
        <v>65</v>
      </c>
      <c r="X589" t="s">
        <v>2504</v>
      </c>
      <c r="Y589">
        <v>0</v>
      </c>
      <c r="Z589" s="4">
        <v>70000</v>
      </c>
      <c r="AA589" s="4">
        <v>10960</v>
      </c>
      <c r="AB589">
        <v>0</v>
      </c>
      <c r="AC589">
        <v>0</v>
      </c>
      <c r="AD589">
        <v>0</v>
      </c>
      <c r="AG589">
        <v>0</v>
      </c>
      <c r="AP589" t="s">
        <v>2505</v>
      </c>
      <c r="AQ589" t="s">
        <v>107</v>
      </c>
      <c r="AR589" t="s">
        <v>6638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C589" t="s">
        <v>69</v>
      </c>
      <c r="BD589" t="s">
        <v>2506</v>
      </c>
      <c r="BE589">
        <v>0</v>
      </c>
      <c r="BG589" t="s">
        <v>107</v>
      </c>
      <c r="BJ589" t="s">
        <v>2507</v>
      </c>
    </row>
    <row r="590" spans="1:62" x14ac:dyDescent="0.35">
      <c r="A590" t="s">
        <v>2508</v>
      </c>
      <c r="B590">
        <v>10000</v>
      </c>
      <c r="C590">
        <v>30000</v>
      </c>
      <c r="D590" s="2">
        <v>45737</v>
      </c>
      <c r="E590" t="s">
        <v>61</v>
      </c>
      <c r="F590" s="3">
        <v>0.48155092592592591</v>
      </c>
      <c r="G590">
        <v>10639931036</v>
      </c>
      <c r="I590">
        <v>1</v>
      </c>
      <c r="J590" t="s">
        <v>63</v>
      </c>
      <c r="K590" s="8">
        <v>93</v>
      </c>
      <c r="L590" t="s">
        <v>6611</v>
      </c>
      <c r="M590" s="8" t="s">
        <v>6631</v>
      </c>
      <c r="N590" t="s">
        <v>2315</v>
      </c>
      <c r="O590" t="s">
        <v>6540</v>
      </c>
      <c r="P590">
        <v>230</v>
      </c>
      <c r="S590" s="2">
        <v>45726</v>
      </c>
      <c r="U590">
        <v>352</v>
      </c>
      <c r="V590" s="4">
        <v>80960</v>
      </c>
      <c r="W590" t="s">
        <v>65</v>
      </c>
      <c r="X590" t="s">
        <v>2509</v>
      </c>
      <c r="Y590">
        <v>0</v>
      </c>
      <c r="Z590" s="4">
        <v>50000</v>
      </c>
      <c r="AA590" s="4">
        <v>30960</v>
      </c>
      <c r="AB590">
        <v>0</v>
      </c>
      <c r="AC590">
        <v>0</v>
      </c>
      <c r="AD590">
        <v>0</v>
      </c>
      <c r="AG590">
        <v>0</v>
      </c>
      <c r="AP590" t="s">
        <v>2510</v>
      </c>
      <c r="AQ590" t="s">
        <v>107</v>
      </c>
      <c r="AR590" t="s">
        <v>6638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C590" t="s">
        <v>69</v>
      </c>
      <c r="BD590" t="s">
        <v>2511</v>
      </c>
      <c r="BE590">
        <v>0</v>
      </c>
      <c r="BG590" t="s">
        <v>107</v>
      </c>
      <c r="BJ590" t="s">
        <v>2507</v>
      </c>
    </row>
    <row r="591" spans="1:62" x14ac:dyDescent="0.35">
      <c r="A591" t="s">
        <v>2512</v>
      </c>
      <c r="B591">
        <v>10000</v>
      </c>
      <c r="C591">
        <v>10000</v>
      </c>
      <c r="D591" s="2">
        <v>45726</v>
      </c>
      <c r="E591" t="s">
        <v>61</v>
      </c>
      <c r="F591" t="s">
        <v>2351</v>
      </c>
      <c r="G591" t="s">
        <v>2513</v>
      </c>
      <c r="I591">
        <v>1</v>
      </c>
      <c r="J591" t="s">
        <v>63</v>
      </c>
      <c r="K591" s="8">
        <v>79</v>
      </c>
      <c r="L591" s="8" t="s">
        <v>6608</v>
      </c>
      <c r="M591" s="8" t="s">
        <v>6631</v>
      </c>
      <c r="N591" t="s">
        <v>573</v>
      </c>
      <c r="O591" t="s">
        <v>6547</v>
      </c>
      <c r="P591">
        <v>64</v>
      </c>
      <c r="Q591">
        <f>(P591/20)+30</f>
        <v>33.200000000000003</v>
      </c>
      <c r="R591">
        <f>Q591/60</f>
        <v>0.55333333333333334</v>
      </c>
      <c r="S591" s="2">
        <v>45726</v>
      </c>
      <c r="U591">
        <v>126</v>
      </c>
      <c r="V591" s="4">
        <v>8064</v>
      </c>
      <c r="W591" t="s">
        <v>65</v>
      </c>
      <c r="X591">
        <v>200717140001</v>
      </c>
      <c r="Y591">
        <v>0</v>
      </c>
      <c r="Z591" s="4">
        <v>4000</v>
      </c>
      <c r="AA591" s="4">
        <v>4064</v>
      </c>
      <c r="AB591">
        <v>0</v>
      </c>
      <c r="AC591">
        <v>0</v>
      </c>
      <c r="AD591">
        <v>0</v>
      </c>
      <c r="AG591">
        <v>0</v>
      </c>
      <c r="AP591">
        <v>20071714</v>
      </c>
      <c r="AQ591" t="s">
        <v>182</v>
      </c>
      <c r="AR591" t="s">
        <v>6643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BC591" t="s">
        <v>69</v>
      </c>
      <c r="BD591" t="s">
        <v>2514</v>
      </c>
      <c r="BE591">
        <v>0</v>
      </c>
      <c r="BG591" t="s">
        <v>182</v>
      </c>
      <c r="BJ591" t="s">
        <v>2515</v>
      </c>
    </row>
    <row r="592" spans="1:62" x14ac:dyDescent="0.35">
      <c r="A592" t="s">
        <v>2512</v>
      </c>
      <c r="B592">
        <v>10000</v>
      </c>
      <c r="C592">
        <v>20000</v>
      </c>
      <c r="D592" s="2">
        <v>45726</v>
      </c>
      <c r="E592" t="s">
        <v>61</v>
      </c>
      <c r="F592" t="s">
        <v>2351</v>
      </c>
      <c r="G592" t="s">
        <v>2513</v>
      </c>
      <c r="I592">
        <v>2</v>
      </c>
      <c r="J592" t="s">
        <v>63</v>
      </c>
      <c r="K592" s="8">
        <v>86</v>
      </c>
      <c r="L592" s="8" t="s">
        <v>6584</v>
      </c>
      <c r="M592" s="8" t="s">
        <v>6627</v>
      </c>
      <c r="N592" t="s">
        <v>64</v>
      </c>
      <c r="O592" t="s">
        <v>6559</v>
      </c>
      <c r="P592">
        <v>334</v>
      </c>
      <c r="Q592">
        <f>(P592/60)+45</f>
        <v>50.566666666666663</v>
      </c>
      <c r="R592">
        <f>Q592/60</f>
        <v>0.84277777777777774</v>
      </c>
      <c r="S592" s="2">
        <v>45726</v>
      </c>
      <c r="U592">
        <v>21</v>
      </c>
      <c r="V592" s="4">
        <v>7014</v>
      </c>
      <c r="W592" t="s">
        <v>65</v>
      </c>
      <c r="X592">
        <v>200717140001</v>
      </c>
      <c r="Y592">
        <v>0</v>
      </c>
      <c r="Z592" s="4">
        <v>4000</v>
      </c>
      <c r="AA592" s="4">
        <v>3014</v>
      </c>
      <c r="AB592">
        <v>0</v>
      </c>
      <c r="AC592">
        <v>0</v>
      </c>
      <c r="AD592">
        <v>0</v>
      </c>
      <c r="AG592">
        <v>0</v>
      </c>
      <c r="AP592">
        <v>20071714</v>
      </c>
      <c r="AQ592" t="s">
        <v>182</v>
      </c>
      <c r="AR592" t="s">
        <v>6643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BC592" t="s">
        <v>69</v>
      </c>
      <c r="BD592" t="s">
        <v>2514</v>
      </c>
      <c r="BE592">
        <v>0</v>
      </c>
      <c r="BG592" t="s">
        <v>182</v>
      </c>
      <c r="BJ592" t="s">
        <v>2515</v>
      </c>
    </row>
    <row r="593" spans="1:62" x14ac:dyDescent="0.35">
      <c r="A593" t="s">
        <v>2517</v>
      </c>
      <c r="B593">
        <v>10000</v>
      </c>
      <c r="C593">
        <v>10000</v>
      </c>
      <c r="D593" s="2">
        <v>45756</v>
      </c>
      <c r="E593" t="s">
        <v>61</v>
      </c>
      <c r="F593" t="s">
        <v>2518</v>
      </c>
      <c r="G593">
        <v>860909190840</v>
      </c>
      <c r="H593" t="s">
        <v>2519</v>
      </c>
      <c r="I593">
        <v>1</v>
      </c>
      <c r="J593" t="s">
        <v>69</v>
      </c>
      <c r="K593" s="8">
        <v>79</v>
      </c>
      <c r="L593" s="8" t="s">
        <v>6608</v>
      </c>
      <c r="M593" s="8" t="s">
        <v>6631</v>
      </c>
      <c r="N593" t="s">
        <v>573</v>
      </c>
      <c r="O593" t="s">
        <v>6547</v>
      </c>
      <c r="P593">
        <v>185</v>
      </c>
      <c r="Q593">
        <f t="shared" ref="Q593:Q598" si="143">(P593/20)+30</f>
        <v>39.25</v>
      </c>
      <c r="R593">
        <f t="shared" ref="R593:R598" si="144">Q593/60</f>
        <v>0.65416666666666667</v>
      </c>
      <c r="S593" s="2">
        <v>45727</v>
      </c>
      <c r="U593">
        <v>38</v>
      </c>
      <c r="V593" s="4">
        <v>7034</v>
      </c>
      <c r="W593" t="s">
        <v>65</v>
      </c>
      <c r="X593">
        <v>200699050001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G593">
        <v>0</v>
      </c>
      <c r="AK593" t="s">
        <v>69</v>
      </c>
      <c r="AL593">
        <v>0</v>
      </c>
      <c r="AM593" t="s">
        <v>69</v>
      </c>
      <c r="AP593">
        <v>20069905</v>
      </c>
      <c r="AQ593" t="s">
        <v>182</v>
      </c>
      <c r="AR593" t="s">
        <v>6643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BC593" t="s">
        <v>69</v>
      </c>
      <c r="BG593" t="s">
        <v>182</v>
      </c>
      <c r="BJ593" t="s">
        <v>2520</v>
      </c>
    </row>
    <row r="594" spans="1:62" x14ac:dyDescent="0.35">
      <c r="A594" t="s">
        <v>2517</v>
      </c>
      <c r="B594">
        <v>20000</v>
      </c>
      <c r="C594">
        <v>10000</v>
      </c>
      <c r="D594" s="2">
        <v>45756</v>
      </c>
      <c r="E594" t="s">
        <v>61</v>
      </c>
      <c r="F594" t="s">
        <v>2518</v>
      </c>
      <c r="G594">
        <v>860909190840</v>
      </c>
      <c r="H594" t="s">
        <v>2519</v>
      </c>
      <c r="I594">
        <v>1</v>
      </c>
      <c r="J594" t="s">
        <v>69</v>
      </c>
      <c r="K594" s="8">
        <v>79</v>
      </c>
      <c r="L594" s="8" t="s">
        <v>6608</v>
      </c>
      <c r="M594" s="8" t="s">
        <v>6631</v>
      </c>
      <c r="N594" t="s">
        <v>573</v>
      </c>
      <c r="O594" t="s">
        <v>6547</v>
      </c>
      <c r="P594">
        <v>79</v>
      </c>
      <c r="Q594">
        <f t="shared" si="143"/>
        <v>33.950000000000003</v>
      </c>
      <c r="R594">
        <f t="shared" si="144"/>
        <v>0.56583333333333341</v>
      </c>
      <c r="S594" s="2">
        <v>45727</v>
      </c>
      <c r="U594">
        <v>38</v>
      </c>
      <c r="V594" s="4">
        <v>3000</v>
      </c>
      <c r="W594" t="s">
        <v>65</v>
      </c>
      <c r="X594">
        <v>200699050001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G594">
        <v>0</v>
      </c>
      <c r="AK594" t="s">
        <v>69</v>
      </c>
      <c r="AL594">
        <v>0</v>
      </c>
      <c r="AM594" t="s">
        <v>69</v>
      </c>
      <c r="AP594">
        <v>20069905</v>
      </c>
      <c r="AQ594" t="s">
        <v>182</v>
      </c>
      <c r="AR594" t="s">
        <v>6643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C594" t="s">
        <v>69</v>
      </c>
      <c r="BG594" t="s">
        <v>182</v>
      </c>
      <c r="BJ594" t="s">
        <v>2520</v>
      </c>
    </row>
    <row r="595" spans="1:62" x14ac:dyDescent="0.35">
      <c r="A595" t="s">
        <v>2517</v>
      </c>
      <c r="B595">
        <v>30000</v>
      </c>
      <c r="C595">
        <v>10000</v>
      </c>
      <c r="D595" s="2">
        <v>45756</v>
      </c>
      <c r="E595" t="s">
        <v>61</v>
      </c>
      <c r="F595" t="s">
        <v>2518</v>
      </c>
      <c r="G595">
        <v>860909190840</v>
      </c>
      <c r="H595" t="s">
        <v>2519</v>
      </c>
      <c r="I595">
        <v>1</v>
      </c>
      <c r="J595" t="s">
        <v>69</v>
      </c>
      <c r="K595" s="8">
        <v>79</v>
      </c>
      <c r="L595" s="8" t="s">
        <v>6608</v>
      </c>
      <c r="M595" s="8" t="s">
        <v>6631</v>
      </c>
      <c r="N595" t="s">
        <v>573</v>
      </c>
      <c r="O595" t="s">
        <v>6547</v>
      </c>
      <c r="P595">
        <v>79</v>
      </c>
      <c r="Q595">
        <f t="shared" si="143"/>
        <v>33.950000000000003</v>
      </c>
      <c r="R595">
        <f t="shared" si="144"/>
        <v>0.56583333333333341</v>
      </c>
      <c r="S595" s="2">
        <v>45727</v>
      </c>
      <c r="U595">
        <v>38</v>
      </c>
      <c r="V595" s="4">
        <v>3000</v>
      </c>
      <c r="W595" t="s">
        <v>65</v>
      </c>
      <c r="X595">
        <v>200699050001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G595">
        <v>0</v>
      </c>
      <c r="AK595" t="s">
        <v>69</v>
      </c>
      <c r="AL595">
        <v>0</v>
      </c>
      <c r="AM595" t="s">
        <v>69</v>
      </c>
      <c r="AP595">
        <v>20069905</v>
      </c>
      <c r="AQ595" t="s">
        <v>182</v>
      </c>
      <c r="AR595" t="s">
        <v>6643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BC595" t="s">
        <v>69</v>
      </c>
      <c r="BG595" t="s">
        <v>182</v>
      </c>
      <c r="BJ595" t="s">
        <v>2520</v>
      </c>
    </row>
    <row r="596" spans="1:62" x14ac:dyDescent="0.35">
      <c r="A596" t="s">
        <v>2521</v>
      </c>
      <c r="B596">
        <v>10000</v>
      </c>
      <c r="C596">
        <v>10000</v>
      </c>
      <c r="D596" s="2">
        <v>45742</v>
      </c>
      <c r="E596" t="s">
        <v>61</v>
      </c>
      <c r="F596" t="s">
        <v>2522</v>
      </c>
      <c r="G596">
        <v>860909190840</v>
      </c>
      <c r="H596" t="s">
        <v>2519</v>
      </c>
      <c r="I596">
        <v>1</v>
      </c>
      <c r="J596" t="s">
        <v>69</v>
      </c>
      <c r="K596" s="8">
        <v>79</v>
      </c>
      <c r="L596" s="8" t="s">
        <v>6608</v>
      </c>
      <c r="M596" s="8" t="s">
        <v>6631</v>
      </c>
      <c r="N596" t="s">
        <v>573</v>
      </c>
      <c r="O596" t="s">
        <v>6547</v>
      </c>
      <c r="P596">
        <v>237</v>
      </c>
      <c r="Q596">
        <f t="shared" si="143"/>
        <v>41.85</v>
      </c>
      <c r="R596">
        <f t="shared" si="144"/>
        <v>0.69750000000000001</v>
      </c>
      <c r="S596" s="2">
        <v>45727</v>
      </c>
      <c r="U596">
        <v>38</v>
      </c>
      <c r="V596" s="4">
        <v>9012</v>
      </c>
      <c r="W596" t="s">
        <v>65</v>
      </c>
      <c r="X596">
        <v>200717160001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G596">
        <v>0</v>
      </c>
      <c r="AK596" t="s">
        <v>69</v>
      </c>
      <c r="AL596">
        <v>0</v>
      </c>
      <c r="AM596" t="s">
        <v>69</v>
      </c>
      <c r="AP596">
        <v>20071716</v>
      </c>
      <c r="AQ596" t="s">
        <v>182</v>
      </c>
      <c r="AR596" t="s">
        <v>6643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BC596" t="s">
        <v>69</v>
      </c>
      <c r="BG596" t="s">
        <v>182</v>
      </c>
      <c r="BJ596" t="s">
        <v>2523</v>
      </c>
    </row>
    <row r="597" spans="1:62" x14ac:dyDescent="0.35">
      <c r="A597" t="s">
        <v>2521</v>
      </c>
      <c r="B597">
        <v>20000</v>
      </c>
      <c r="C597">
        <v>10000</v>
      </c>
      <c r="D597" s="2">
        <v>45742</v>
      </c>
      <c r="E597" t="s">
        <v>61</v>
      </c>
      <c r="F597" t="s">
        <v>2522</v>
      </c>
      <c r="G597">
        <v>860909190840</v>
      </c>
      <c r="H597" t="s">
        <v>2519</v>
      </c>
      <c r="I597">
        <v>1</v>
      </c>
      <c r="J597" t="s">
        <v>69</v>
      </c>
      <c r="K597" s="8">
        <v>79</v>
      </c>
      <c r="L597" s="8" t="s">
        <v>6608</v>
      </c>
      <c r="M597" s="8" t="s">
        <v>6631</v>
      </c>
      <c r="N597" t="s">
        <v>573</v>
      </c>
      <c r="O597" t="s">
        <v>6547</v>
      </c>
      <c r="P597">
        <v>79</v>
      </c>
      <c r="Q597">
        <f t="shared" si="143"/>
        <v>33.950000000000003</v>
      </c>
      <c r="R597">
        <f t="shared" si="144"/>
        <v>0.56583333333333341</v>
      </c>
      <c r="S597" s="2">
        <v>45727</v>
      </c>
      <c r="U597">
        <v>38</v>
      </c>
      <c r="V597" s="4">
        <v>3000</v>
      </c>
      <c r="W597" t="s">
        <v>65</v>
      </c>
      <c r="X597">
        <v>200717160001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G597">
        <v>0</v>
      </c>
      <c r="AK597" t="s">
        <v>69</v>
      </c>
      <c r="AL597">
        <v>0</v>
      </c>
      <c r="AM597" t="s">
        <v>69</v>
      </c>
      <c r="AP597">
        <v>20071716</v>
      </c>
      <c r="AQ597" t="s">
        <v>182</v>
      </c>
      <c r="AR597" t="s">
        <v>6643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BC597" t="s">
        <v>69</v>
      </c>
      <c r="BG597" t="s">
        <v>182</v>
      </c>
      <c r="BJ597" t="s">
        <v>2523</v>
      </c>
    </row>
    <row r="598" spans="1:62" x14ac:dyDescent="0.35">
      <c r="A598" t="s">
        <v>2521</v>
      </c>
      <c r="B598">
        <v>30000</v>
      </c>
      <c r="C598">
        <v>10000</v>
      </c>
      <c r="D598" s="2">
        <v>45742</v>
      </c>
      <c r="E598" t="s">
        <v>61</v>
      </c>
      <c r="F598" t="s">
        <v>2522</v>
      </c>
      <c r="G598">
        <v>860909190840</v>
      </c>
      <c r="H598" t="s">
        <v>2519</v>
      </c>
      <c r="I598">
        <v>1</v>
      </c>
      <c r="J598" t="s">
        <v>69</v>
      </c>
      <c r="K598" s="8">
        <v>79</v>
      </c>
      <c r="L598" s="8" t="s">
        <v>6608</v>
      </c>
      <c r="M598" s="8" t="s">
        <v>6631</v>
      </c>
      <c r="N598" t="s">
        <v>573</v>
      </c>
      <c r="O598" t="s">
        <v>6547</v>
      </c>
      <c r="P598">
        <v>158</v>
      </c>
      <c r="Q598">
        <f t="shared" si="143"/>
        <v>37.9</v>
      </c>
      <c r="R598">
        <f t="shared" si="144"/>
        <v>0.6316666666666666</v>
      </c>
      <c r="S598" s="2">
        <v>45727</v>
      </c>
      <c r="U598">
        <v>38</v>
      </c>
      <c r="V598" s="4">
        <v>6000</v>
      </c>
      <c r="W598" t="s">
        <v>65</v>
      </c>
      <c r="X598">
        <v>200717160001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G598">
        <v>0</v>
      </c>
      <c r="AK598" t="s">
        <v>69</v>
      </c>
      <c r="AL598">
        <v>0</v>
      </c>
      <c r="AM598" t="s">
        <v>69</v>
      </c>
      <c r="AP598">
        <v>20071716</v>
      </c>
      <c r="AQ598" t="s">
        <v>182</v>
      </c>
      <c r="AR598" t="s">
        <v>6643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C598" t="s">
        <v>69</v>
      </c>
      <c r="BG598" t="s">
        <v>182</v>
      </c>
      <c r="BJ598" t="s">
        <v>2523</v>
      </c>
    </row>
    <row r="599" spans="1:62" x14ac:dyDescent="0.35">
      <c r="A599" t="s">
        <v>2524</v>
      </c>
      <c r="B599">
        <v>10000</v>
      </c>
      <c r="C599">
        <v>20000</v>
      </c>
      <c r="D599" s="2">
        <v>45728</v>
      </c>
      <c r="E599" t="s">
        <v>61</v>
      </c>
      <c r="F599" t="s">
        <v>2525</v>
      </c>
      <c r="G599" t="s">
        <v>2526</v>
      </c>
      <c r="I599">
        <v>1</v>
      </c>
      <c r="J599" t="s">
        <v>63</v>
      </c>
      <c r="K599" s="8">
        <v>82</v>
      </c>
      <c r="L599" s="8" t="s">
        <v>6598</v>
      </c>
      <c r="M599" s="8" t="s">
        <v>6630</v>
      </c>
      <c r="N599" t="s">
        <v>341</v>
      </c>
      <c r="O599" t="s">
        <v>6346</v>
      </c>
      <c r="P599" s="4">
        <v>7353</v>
      </c>
      <c r="S599" s="2">
        <v>45727</v>
      </c>
      <c r="U599">
        <v>17</v>
      </c>
      <c r="V599" s="4">
        <v>125001</v>
      </c>
      <c r="W599" t="s">
        <v>65</v>
      </c>
      <c r="X599" t="s">
        <v>2527</v>
      </c>
      <c r="Y599">
        <v>0</v>
      </c>
      <c r="Z599" s="4">
        <v>125000</v>
      </c>
      <c r="AA599">
        <v>1</v>
      </c>
      <c r="AB599">
        <v>0</v>
      </c>
      <c r="AC599">
        <v>0</v>
      </c>
      <c r="AD599">
        <v>0</v>
      </c>
      <c r="AG599">
        <v>0</v>
      </c>
      <c r="AP599" t="s">
        <v>2528</v>
      </c>
      <c r="AQ599" t="s">
        <v>271</v>
      </c>
      <c r="AR599" t="s">
        <v>6648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C599" t="s">
        <v>69</v>
      </c>
      <c r="BD599" t="s">
        <v>2529</v>
      </c>
      <c r="BE599">
        <v>0</v>
      </c>
      <c r="BG599" t="s">
        <v>271</v>
      </c>
      <c r="BJ599" t="s">
        <v>2530</v>
      </c>
    </row>
    <row r="600" spans="1:62" x14ac:dyDescent="0.35">
      <c r="A600" t="s">
        <v>2531</v>
      </c>
      <c r="B600">
        <v>10000</v>
      </c>
      <c r="C600">
        <v>20000</v>
      </c>
      <c r="D600" s="2">
        <v>45727</v>
      </c>
      <c r="E600" t="s">
        <v>61</v>
      </c>
      <c r="F600" t="s">
        <v>2532</v>
      </c>
      <c r="G600" t="s">
        <v>2533</v>
      </c>
      <c r="I600">
        <v>2</v>
      </c>
      <c r="J600" t="s">
        <v>63</v>
      </c>
      <c r="K600" s="8">
        <v>82</v>
      </c>
      <c r="L600" s="8" t="s">
        <v>6598</v>
      </c>
      <c r="M600" s="8" t="s">
        <v>6630</v>
      </c>
      <c r="N600" t="s">
        <v>341</v>
      </c>
      <c r="O600" t="s">
        <v>6346</v>
      </c>
      <c r="P600" s="4">
        <v>7500</v>
      </c>
      <c r="S600" s="2">
        <v>45727</v>
      </c>
      <c r="U600">
        <v>8</v>
      </c>
      <c r="V600" s="4">
        <v>60000</v>
      </c>
      <c r="W600" t="s">
        <v>65</v>
      </c>
      <c r="X600" t="s">
        <v>2248</v>
      </c>
      <c r="Y600">
        <v>0</v>
      </c>
      <c r="Z600" s="4">
        <v>60000</v>
      </c>
      <c r="AA600">
        <v>0</v>
      </c>
      <c r="AB600">
        <v>0</v>
      </c>
      <c r="AC600">
        <v>0</v>
      </c>
      <c r="AD600">
        <v>0</v>
      </c>
      <c r="AG600">
        <v>0</v>
      </c>
      <c r="AP600" t="s">
        <v>2249</v>
      </c>
      <c r="AQ600" t="s">
        <v>271</v>
      </c>
      <c r="AR600" t="s">
        <v>6648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C600" t="s">
        <v>69</v>
      </c>
      <c r="BD600" t="s">
        <v>2534</v>
      </c>
      <c r="BE600">
        <v>0</v>
      </c>
      <c r="BG600" t="s">
        <v>271</v>
      </c>
      <c r="BJ600" t="s">
        <v>2535</v>
      </c>
    </row>
    <row r="601" spans="1:62" x14ac:dyDescent="0.35">
      <c r="A601" t="s">
        <v>2536</v>
      </c>
      <c r="B601">
        <v>10000</v>
      </c>
      <c r="C601">
        <v>30000</v>
      </c>
      <c r="D601" s="2">
        <v>45727</v>
      </c>
      <c r="E601" t="s">
        <v>61</v>
      </c>
      <c r="F601" s="3">
        <v>0.47321759259259261</v>
      </c>
      <c r="G601" t="s">
        <v>2271</v>
      </c>
      <c r="I601">
        <v>1</v>
      </c>
      <c r="J601" t="s">
        <v>63</v>
      </c>
      <c r="K601" s="8">
        <v>94</v>
      </c>
      <c r="L601" s="8" t="s">
        <v>6599</v>
      </c>
      <c r="M601" s="8" t="s">
        <v>6629</v>
      </c>
      <c r="N601" t="s">
        <v>181</v>
      </c>
      <c r="O601" t="s">
        <v>6544</v>
      </c>
      <c r="P601" s="4">
        <v>4500</v>
      </c>
      <c r="S601" s="2">
        <v>45727</v>
      </c>
      <c r="U601">
        <v>4</v>
      </c>
      <c r="V601" s="4">
        <v>18000</v>
      </c>
      <c r="W601" t="s">
        <v>65</v>
      </c>
      <c r="X601" t="s">
        <v>2537</v>
      </c>
      <c r="Y601">
        <v>0</v>
      </c>
      <c r="Z601" s="4">
        <v>12000</v>
      </c>
      <c r="AA601" s="4">
        <v>6000</v>
      </c>
      <c r="AB601">
        <v>0</v>
      </c>
      <c r="AC601">
        <v>0</v>
      </c>
      <c r="AD601">
        <v>0</v>
      </c>
      <c r="AG601">
        <v>0</v>
      </c>
      <c r="AP601" t="s">
        <v>2538</v>
      </c>
      <c r="AQ601" t="s">
        <v>364</v>
      </c>
      <c r="AR601" t="s">
        <v>6653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BC601" t="s">
        <v>69</v>
      </c>
      <c r="BD601" t="s">
        <v>2539</v>
      </c>
      <c r="BE601">
        <v>0</v>
      </c>
      <c r="BG601" t="s">
        <v>364</v>
      </c>
      <c r="BJ601" t="s">
        <v>2540</v>
      </c>
    </row>
    <row r="602" spans="1:62" x14ac:dyDescent="0.35">
      <c r="A602" t="s">
        <v>2541</v>
      </c>
      <c r="B602">
        <v>10000</v>
      </c>
      <c r="C602">
        <v>10000</v>
      </c>
      <c r="D602" s="2">
        <v>45727</v>
      </c>
      <c r="E602" t="s">
        <v>61</v>
      </c>
      <c r="F602" t="s">
        <v>2542</v>
      </c>
      <c r="G602" t="s">
        <v>2271</v>
      </c>
      <c r="I602">
        <v>1</v>
      </c>
      <c r="J602" t="s">
        <v>63</v>
      </c>
      <c r="K602" s="8">
        <v>94</v>
      </c>
      <c r="L602" s="8" t="s">
        <v>6599</v>
      </c>
      <c r="M602" s="8" t="s">
        <v>6629</v>
      </c>
      <c r="N602" t="s">
        <v>181</v>
      </c>
      <c r="O602" t="s">
        <v>6544</v>
      </c>
      <c r="P602" s="4">
        <v>9000</v>
      </c>
      <c r="S602" s="2">
        <v>45727</v>
      </c>
      <c r="U602">
        <v>4</v>
      </c>
      <c r="V602" s="4">
        <v>36000</v>
      </c>
      <c r="W602" t="s">
        <v>65</v>
      </c>
      <c r="X602" t="s">
        <v>2537</v>
      </c>
      <c r="Y602">
        <v>0</v>
      </c>
      <c r="Z602" s="4">
        <v>36000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2538</v>
      </c>
      <c r="AQ602" t="s">
        <v>364</v>
      </c>
      <c r="AR602" t="s">
        <v>6653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BC602" t="s">
        <v>69</v>
      </c>
      <c r="BD602" t="s">
        <v>2543</v>
      </c>
      <c r="BE602">
        <v>0</v>
      </c>
      <c r="BG602" t="s">
        <v>364</v>
      </c>
      <c r="BJ602" t="s">
        <v>2544</v>
      </c>
    </row>
    <row r="603" spans="1:62" x14ac:dyDescent="0.35">
      <c r="A603" t="s">
        <v>2545</v>
      </c>
      <c r="B603">
        <v>10000</v>
      </c>
      <c r="C603">
        <v>10000</v>
      </c>
      <c r="D603" s="2">
        <v>45728</v>
      </c>
      <c r="E603" t="s">
        <v>61</v>
      </c>
      <c r="F603" t="s">
        <v>2277</v>
      </c>
      <c r="G603" t="s">
        <v>2546</v>
      </c>
      <c r="I603">
        <v>1</v>
      </c>
      <c r="J603" t="s">
        <v>63</v>
      </c>
      <c r="K603" s="8">
        <v>60</v>
      </c>
      <c r="L603" s="8" t="s">
        <v>6590</v>
      </c>
      <c r="M603" s="8" t="s">
        <v>6630</v>
      </c>
      <c r="N603" t="s">
        <v>277</v>
      </c>
      <c r="O603" t="s">
        <v>6554</v>
      </c>
      <c r="P603" s="4">
        <v>2000</v>
      </c>
      <c r="Q603">
        <f>(P603/50)+45</f>
        <v>85</v>
      </c>
      <c r="R603">
        <f>Q603/60</f>
        <v>1.4166666666666667</v>
      </c>
      <c r="S603" s="2">
        <v>45727</v>
      </c>
      <c r="U603">
        <v>1</v>
      </c>
      <c r="V603" s="4">
        <v>2000</v>
      </c>
      <c r="W603" t="s">
        <v>65</v>
      </c>
      <c r="X603" t="s">
        <v>2547</v>
      </c>
      <c r="Y603">
        <v>0</v>
      </c>
      <c r="Z603" s="4">
        <v>1000</v>
      </c>
      <c r="AA603" s="4">
        <v>1000</v>
      </c>
      <c r="AB603">
        <v>0</v>
      </c>
      <c r="AC603">
        <v>0</v>
      </c>
      <c r="AD603">
        <v>0</v>
      </c>
      <c r="AG603">
        <v>0</v>
      </c>
      <c r="AP603" t="s">
        <v>2548</v>
      </c>
      <c r="AQ603" t="s">
        <v>2549</v>
      </c>
      <c r="AR603" t="s">
        <v>6704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C603" t="s">
        <v>69</v>
      </c>
      <c r="BD603" t="s">
        <v>2550</v>
      </c>
      <c r="BE603">
        <v>0</v>
      </c>
      <c r="BG603" t="s">
        <v>2549</v>
      </c>
      <c r="BJ603" t="s">
        <v>2551</v>
      </c>
    </row>
    <row r="604" spans="1:62" x14ac:dyDescent="0.35">
      <c r="A604" t="s">
        <v>2552</v>
      </c>
      <c r="B604">
        <v>10000</v>
      </c>
      <c r="C604">
        <v>10000</v>
      </c>
      <c r="D604" s="2">
        <v>45730</v>
      </c>
      <c r="E604" t="s">
        <v>61</v>
      </c>
      <c r="F604" t="s">
        <v>2553</v>
      </c>
      <c r="G604" t="s">
        <v>89</v>
      </c>
      <c r="I604">
        <v>1</v>
      </c>
      <c r="J604" t="s">
        <v>63</v>
      </c>
      <c r="K604" s="8">
        <v>73</v>
      </c>
      <c r="L604" t="s">
        <v>6586</v>
      </c>
      <c r="M604" s="8" t="s">
        <v>6627</v>
      </c>
      <c r="N604" t="s">
        <v>98</v>
      </c>
      <c r="O604" t="s">
        <v>6549</v>
      </c>
      <c r="P604" s="4">
        <v>57000</v>
      </c>
      <c r="S604" s="2">
        <v>45727</v>
      </c>
      <c r="U604">
        <v>12</v>
      </c>
      <c r="V604" s="4">
        <v>684000</v>
      </c>
      <c r="W604" t="s">
        <v>65</v>
      </c>
      <c r="X604">
        <v>80256230001</v>
      </c>
      <c r="Y604">
        <v>0</v>
      </c>
      <c r="Z604" s="4">
        <v>684000</v>
      </c>
      <c r="AA604">
        <v>0</v>
      </c>
      <c r="AB604">
        <v>0</v>
      </c>
      <c r="AC604">
        <v>0</v>
      </c>
      <c r="AD604">
        <v>0</v>
      </c>
      <c r="AG604">
        <v>0</v>
      </c>
      <c r="AP604">
        <v>8025623</v>
      </c>
      <c r="AQ604" t="s">
        <v>91</v>
      </c>
      <c r="AR604" t="s">
        <v>6637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BC604" t="s">
        <v>69</v>
      </c>
      <c r="BD604" t="s">
        <v>2554</v>
      </c>
      <c r="BE604">
        <v>0</v>
      </c>
      <c r="BG604" t="s">
        <v>91</v>
      </c>
      <c r="BJ604" t="s">
        <v>2555</v>
      </c>
    </row>
    <row r="605" spans="1:62" x14ac:dyDescent="0.35">
      <c r="A605" t="s">
        <v>2556</v>
      </c>
      <c r="B605">
        <v>10000</v>
      </c>
      <c r="C605">
        <v>20000</v>
      </c>
      <c r="D605" s="2">
        <v>45728</v>
      </c>
      <c r="E605" t="s">
        <v>61</v>
      </c>
      <c r="F605" t="s">
        <v>2303</v>
      </c>
      <c r="G605" t="s">
        <v>1994</v>
      </c>
      <c r="I605">
        <v>1</v>
      </c>
      <c r="J605" t="s">
        <v>63</v>
      </c>
      <c r="K605" s="8">
        <v>65</v>
      </c>
      <c r="L605" s="8" t="s">
        <v>6596</v>
      </c>
      <c r="M605" s="8" t="s">
        <v>6630</v>
      </c>
      <c r="N605" t="s">
        <v>268</v>
      </c>
      <c r="O605" t="s">
        <v>6543</v>
      </c>
      <c r="P605" s="4">
        <v>24000</v>
      </c>
      <c r="Q605">
        <f>(P605/40)+45</f>
        <v>645</v>
      </c>
      <c r="R605">
        <f>Q605/60</f>
        <v>10.75</v>
      </c>
      <c r="S605" s="2">
        <v>45727</v>
      </c>
      <c r="U605">
        <v>1</v>
      </c>
      <c r="V605" s="4">
        <v>24000</v>
      </c>
      <c r="W605" t="s">
        <v>65</v>
      </c>
      <c r="X605" t="s">
        <v>2557</v>
      </c>
      <c r="Y605">
        <v>0</v>
      </c>
      <c r="Z605" s="4">
        <v>24000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2558</v>
      </c>
      <c r="AQ605" t="s">
        <v>1424</v>
      </c>
      <c r="AR605" t="s">
        <v>6678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BC605" t="s">
        <v>69</v>
      </c>
      <c r="BD605" t="s">
        <v>2559</v>
      </c>
      <c r="BE605">
        <v>0</v>
      </c>
      <c r="BG605" t="s">
        <v>1424</v>
      </c>
      <c r="BJ605" t="s">
        <v>2560</v>
      </c>
    </row>
    <row r="606" spans="1:62" x14ac:dyDescent="0.35">
      <c r="A606" t="s">
        <v>812</v>
      </c>
      <c r="B606">
        <v>10000</v>
      </c>
      <c r="C606">
        <v>40000</v>
      </c>
      <c r="D606" s="2">
        <v>45729</v>
      </c>
      <c r="E606" t="s">
        <v>61</v>
      </c>
      <c r="F606" t="s">
        <v>813</v>
      </c>
      <c r="G606">
        <v>10639931052</v>
      </c>
      <c r="I606">
        <v>3</v>
      </c>
      <c r="J606" t="s">
        <v>63</v>
      </c>
      <c r="K606" s="8">
        <v>85</v>
      </c>
      <c r="L606" s="8" t="s">
        <v>6585</v>
      </c>
      <c r="M606" s="8" t="s">
        <v>6628</v>
      </c>
      <c r="N606" t="s">
        <v>104</v>
      </c>
      <c r="O606" t="s">
        <v>6579</v>
      </c>
      <c r="P606" s="4">
        <v>7273</v>
      </c>
      <c r="S606" s="2">
        <v>45727</v>
      </c>
      <c r="U606">
        <v>11</v>
      </c>
      <c r="V606" s="4">
        <v>80003</v>
      </c>
      <c r="W606" t="s">
        <v>65</v>
      </c>
      <c r="X606" t="s">
        <v>814</v>
      </c>
      <c r="Y606">
        <v>0</v>
      </c>
      <c r="Z606" s="4">
        <v>70000</v>
      </c>
      <c r="AA606" s="4">
        <v>10003</v>
      </c>
      <c r="AB606">
        <v>0</v>
      </c>
      <c r="AC606">
        <v>0</v>
      </c>
      <c r="AD606">
        <v>0</v>
      </c>
      <c r="AG606">
        <v>0</v>
      </c>
      <c r="AP606" t="s">
        <v>815</v>
      </c>
      <c r="AQ606" t="s">
        <v>107</v>
      </c>
      <c r="AR606" t="s">
        <v>6638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C606" t="s">
        <v>69</v>
      </c>
      <c r="BD606" t="s">
        <v>816</v>
      </c>
      <c r="BE606">
        <v>0</v>
      </c>
      <c r="BG606" t="s">
        <v>107</v>
      </c>
      <c r="BJ606" t="s">
        <v>817</v>
      </c>
    </row>
    <row r="607" spans="1:62" x14ac:dyDescent="0.35">
      <c r="A607" t="s">
        <v>1689</v>
      </c>
      <c r="B607">
        <v>10000</v>
      </c>
      <c r="C607">
        <v>30000</v>
      </c>
      <c r="D607" s="2">
        <v>45727</v>
      </c>
      <c r="E607" t="s">
        <v>61</v>
      </c>
      <c r="F607" s="3">
        <v>0.47407407407407409</v>
      </c>
      <c r="G607">
        <v>10620258028</v>
      </c>
      <c r="I607">
        <v>3</v>
      </c>
      <c r="J607" t="s">
        <v>63</v>
      </c>
      <c r="K607" s="8">
        <v>85</v>
      </c>
      <c r="L607" s="8" t="s">
        <v>6585</v>
      </c>
      <c r="M607" s="8" t="s">
        <v>6628</v>
      </c>
      <c r="N607" t="s">
        <v>327</v>
      </c>
      <c r="O607" t="s">
        <v>6580</v>
      </c>
      <c r="P607" s="4">
        <v>10000</v>
      </c>
      <c r="S607" s="2">
        <v>45727</v>
      </c>
      <c r="U607">
        <v>11</v>
      </c>
      <c r="V607" s="4">
        <v>110000</v>
      </c>
      <c r="W607" t="s">
        <v>65</v>
      </c>
      <c r="X607" t="s">
        <v>1690</v>
      </c>
      <c r="Y607">
        <v>0</v>
      </c>
      <c r="Z607" s="4">
        <v>100000</v>
      </c>
      <c r="AA607" s="4">
        <v>10000</v>
      </c>
      <c r="AB607">
        <v>0</v>
      </c>
      <c r="AC607">
        <v>0</v>
      </c>
      <c r="AD607">
        <v>0</v>
      </c>
      <c r="AG607">
        <v>0</v>
      </c>
      <c r="AP607" t="s">
        <v>1691</v>
      </c>
      <c r="AQ607" t="s">
        <v>107</v>
      </c>
      <c r="AR607" t="s">
        <v>6638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BC607" t="s">
        <v>69</v>
      </c>
      <c r="BD607" t="s">
        <v>1692</v>
      </c>
      <c r="BE607">
        <v>0</v>
      </c>
      <c r="BG607" t="s">
        <v>107</v>
      </c>
      <c r="BJ607" t="s">
        <v>1693</v>
      </c>
    </row>
    <row r="608" spans="1:62" x14ac:dyDescent="0.35">
      <c r="A608" t="s">
        <v>1694</v>
      </c>
      <c r="B608">
        <v>10000</v>
      </c>
      <c r="C608">
        <v>30000</v>
      </c>
      <c r="D608" s="2">
        <v>45727</v>
      </c>
      <c r="E608" t="s">
        <v>61</v>
      </c>
      <c r="F608" t="s">
        <v>1695</v>
      </c>
      <c r="G608">
        <v>10620258028</v>
      </c>
      <c r="I608">
        <v>3</v>
      </c>
      <c r="J608" t="s">
        <v>63</v>
      </c>
      <c r="K608" s="8">
        <v>85</v>
      </c>
      <c r="L608" s="8" t="s">
        <v>6585</v>
      </c>
      <c r="M608" s="8" t="s">
        <v>6628</v>
      </c>
      <c r="N608" t="s">
        <v>327</v>
      </c>
      <c r="O608" t="s">
        <v>6580</v>
      </c>
      <c r="P608" s="4">
        <v>10000</v>
      </c>
      <c r="S608" s="2">
        <v>45727</v>
      </c>
      <c r="U608">
        <v>11</v>
      </c>
      <c r="V608" s="4">
        <v>110000</v>
      </c>
      <c r="W608" t="s">
        <v>65</v>
      </c>
      <c r="X608" t="s">
        <v>784</v>
      </c>
      <c r="Y608">
        <v>0</v>
      </c>
      <c r="Z608" s="4">
        <v>100000</v>
      </c>
      <c r="AA608" s="4">
        <v>10000</v>
      </c>
      <c r="AB608">
        <v>0</v>
      </c>
      <c r="AC608">
        <v>0</v>
      </c>
      <c r="AD608">
        <v>0</v>
      </c>
      <c r="AG608">
        <v>0</v>
      </c>
      <c r="AP608" t="s">
        <v>785</v>
      </c>
      <c r="AQ608" t="s">
        <v>107</v>
      </c>
      <c r="AR608" t="s">
        <v>6638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BC608" t="s">
        <v>69</v>
      </c>
      <c r="BD608" t="s">
        <v>1696</v>
      </c>
      <c r="BE608">
        <v>0</v>
      </c>
      <c r="BG608" t="s">
        <v>107</v>
      </c>
      <c r="BJ608" t="s">
        <v>1697</v>
      </c>
    </row>
    <row r="609" spans="1:62" x14ac:dyDescent="0.35">
      <c r="A609" t="s">
        <v>818</v>
      </c>
      <c r="B609">
        <v>10000</v>
      </c>
      <c r="C609">
        <v>40000</v>
      </c>
      <c r="D609" s="2">
        <v>45729</v>
      </c>
      <c r="E609" t="s">
        <v>61</v>
      </c>
      <c r="F609" t="s">
        <v>819</v>
      </c>
      <c r="G609">
        <v>10639931052</v>
      </c>
      <c r="I609">
        <v>3</v>
      </c>
      <c r="J609" t="s">
        <v>63</v>
      </c>
      <c r="K609" s="8">
        <v>85</v>
      </c>
      <c r="L609" s="8" t="s">
        <v>6585</v>
      </c>
      <c r="M609" s="8" t="s">
        <v>6628</v>
      </c>
      <c r="N609" t="s">
        <v>327</v>
      </c>
      <c r="O609" t="s">
        <v>6580</v>
      </c>
      <c r="P609" s="4">
        <v>8182</v>
      </c>
      <c r="S609" s="2">
        <v>45727</v>
      </c>
      <c r="U609">
        <v>11</v>
      </c>
      <c r="V609" s="4">
        <v>90002</v>
      </c>
      <c r="W609" t="s">
        <v>65</v>
      </c>
      <c r="X609" t="s">
        <v>820</v>
      </c>
      <c r="Y609">
        <v>0</v>
      </c>
      <c r="Z609" s="4">
        <v>80000</v>
      </c>
      <c r="AA609" s="4">
        <v>10002</v>
      </c>
      <c r="AB609">
        <v>0</v>
      </c>
      <c r="AC609">
        <v>0</v>
      </c>
      <c r="AD609">
        <v>0</v>
      </c>
      <c r="AG609">
        <v>0</v>
      </c>
      <c r="AP609" t="s">
        <v>821</v>
      </c>
      <c r="AQ609" t="s">
        <v>107</v>
      </c>
      <c r="AR609" t="s">
        <v>6638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BC609" t="s">
        <v>69</v>
      </c>
      <c r="BD609" t="s">
        <v>822</v>
      </c>
      <c r="BE609">
        <v>0</v>
      </c>
      <c r="BG609" t="s">
        <v>107</v>
      </c>
      <c r="BJ609" t="s">
        <v>823</v>
      </c>
    </row>
    <row r="610" spans="1:62" x14ac:dyDescent="0.35">
      <c r="A610" t="s">
        <v>2561</v>
      </c>
      <c r="B610">
        <v>10000</v>
      </c>
      <c r="C610">
        <v>10000</v>
      </c>
      <c r="D610" s="2">
        <v>45730</v>
      </c>
      <c r="E610" t="s">
        <v>61</v>
      </c>
      <c r="F610" t="s">
        <v>2288</v>
      </c>
      <c r="G610" t="s">
        <v>2289</v>
      </c>
      <c r="I610">
        <v>1</v>
      </c>
      <c r="J610" t="s">
        <v>63</v>
      </c>
      <c r="K610" s="8">
        <v>78</v>
      </c>
      <c r="L610" s="8" t="s">
        <v>6593</v>
      </c>
      <c r="M610" s="8" t="s">
        <v>6629</v>
      </c>
      <c r="N610" t="s">
        <v>188</v>
      </c>
      <c r="O610" t="s">
        <v>6410</v>
      </c>
      <c r="P610" s="4">
        <v>5500</v>
      </c>
      <c r="Q610">
        <f t="shared" ref="Q610:Q615" si="145">(P610/40)+45</f>
        <v>182.5</v>
      </c>
      <c r="R610">
        <f t="shared" ref="R610:R615" si="146">Q610/60</f>
        <v>3.0416666666666665</v>
      </c>
      <c r="S610" s="2">
        <v>45727</v>
      </c>
      <c r="U610">
        <v>16</v>
      </c>
      <c r="V610" s="4">
        <v>88000</v>
      </c>
      <c r="W610" t="s">
        <v>65</v>
      </c>
      <c r="X610" t="s">
        <v>1740</v>
      </c>
      <c r="Y610">
        <v>0</v>
      </c>
      <c r="Z610" s="4">
        <v>80000</v>
      </c>
      <c r="AA610" s="4">
        <v>8000</v>
      </c>
      <c r="AB610">
        <v>0</v>
      </c>
      <c r="AC610">
        <v>0</v>
      </c>
      <c r="AD610">
        <v>0</v>
      </c>
      <c r="AG610">
        <v>0</v>
      </c>
      <c r="AP610" t="s">
        <v>1741</v>
      </c>
      <c r="AQ610" t="s">
        <v>157</v>
      </c>
      <c r="AR610" t="s">
        <v>6640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BC610" t="s">
        <v>69</v>
      </c>
      <c r="BD610" t="s">
        <v>2562</v>
      </c>
      <c r="BE610">
        <v>0</v>
      </c>
      <c r="BG610" t="s">
        <v>157</v>
      </c>
      <c r="BJ610" t="s">
        <v>2563</v>
      </c>
    </row>
    <row r="611" spans="1:62" x14ac:dyDescent="0.35">
      <c r="A611" t="s">
        <v>2564</v>
      </c>
      <c r="B611">
        <v>10000</v>
      </c>
      <c r="C611">
        <v>10000</v>
      </c>
      <c r="D611" s="2">
        <v>45727</v>
      </c>
      <c r="E611" t="s">
        <v>61</v>
      </c>
      <c r="F611" s="3">
        <v>0.43938657407407405</v>
      </c>
      <c r="G611" t="s">
        <v>2052</v>
      </c>
      <c r="I611">
        <v>1</v>
      </c>
      <c r="J611" t="s">
        <v>63</v>
      </c>
      <c r="K611" s="8">
        <v>59</v>
      </c>
      <c r="L611" s="8" t="s">
        <v>6592</v>
      </c>
      <c r="M611" s="8" t="s">
        <v>6629</v>
      </c>
      <c r="N611" t="s">
        <v>745</v>
      </c>
      <c r="O611" t="s">
        <v>6501</v>
      </c>
      <c r="P611">
        <v>373</v>
      </c>
      <c r="Q611">
        <f t="shared" si="145"/>
        <v>54.325000000000003</v>
      </c>
      <c r="R611">
        <f t="shared" si="146"/>
        <v>0.90541666666666676</v>
      </c>
      <c r="S611" s="2">
        <v>45727</v>
      </c>
      <c r="U611">
        <v>4</v>
      </c>
      <c r="V611" s="4">
        <v>1492</v>
      </c>
      <c r="W611" t="s">
        <v>65</v>
      </c>
      <c r="X611">
        <v>112888630001</v>
      </c>
      <c r="Y611">
        <v>0</v>
      </c>
      <c r="Z611" s="4">
        <v>1490</v>
      </c>
      <c r="AA611">
        <v>2</v>
      </c>
      <c r="AB611">
        <v>0</v>
      </c>
      <c r="AC611">
        <v>0</v>
      </c>
      <c r="AD611">
        <v>0</v>
      </c>
      <c r="AG611">
        <v>0</v>
      </c>
      <c r="AP611">
        <v>11288863</v>
      </c>
      <c r="AQ611" t="s">
        <v>182</v>
      </c>
      <c r="AR611" t="s">
        <v>6643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BC611" t="s">
        <v>69</v>
      </c>
      <c r="BD611" t="s">
        <v>2565</v>
      </c>
      <c r="BE611">
        <v>0</v>
      </c>
      <c r="BG611" t="s">
        <v>182</v>
      </c>
      <c r="BJ611" t="s">
        <v>2566</v>
      </c>
    </row>
    <row r="612" spans="1:62" x14ac:dyDescent="0.35">
      <c r="A612" t="s">
        <v>2567</v>
      </c>
      <c r="B612">
        <v>10000</v>
      </c>
      <c r="C612">
        <v>10000</v>
      </c>
      <c r="D612" s="2">
        <v>45727</v>
      </c>
      <c r="E612" t="s">
        <v>61</v>
      </c>
      <c r="F612" t="s">
        <v>2568</v>
      </c>
      <c r="G612" t="s">
        <v>418</v>
      </c>
      <c r="I612">
        <v>1</v>
      </c>
      <c r="J612" t="s">
        <v>63</v>
      </c>
      <c r="K612" s="8">
        <v>59</v>
      </c>
      <c r="L612" s="8" t="s">
        <v>6592</v>
      </c>
      <c r="M612" s="8" t="s">
        <v>6629</v>
      </c>
      <c r="N612" t="s">
        <v>745</v>
      </c>
      <c r="O612" t="s">
        <v>6501</v>
      </c>
      <c r="P612">
        <v>200</v>
      </c>
      <c r="Q612">
        <f t="shared" si="145"/>
        <v>50</v>
      </c>
      <c r="R612">
        <f t="shared" si="146"/>
        <v>0.83333333333333337</v>
      </c>
      <c r="S612" s="2">
        <v>45727</v>
      </c>
      <c r="U612">
        <v>10</v>
      </c>
      <c r="V612" s="4">
        <v>2000</v>
      </c>
      <c r="W612" t="s">
        <v>65</v>
      </c>
      <c r="X612">
        <v>112063620001</v>
      </c>
      <c r="Y612">
        <v>0</v>
      </c>
      <c r="Z612" s="4">
        <v>2000</v>
      </c>
      <c r="AA612">
        <v>0</v>
      </c>
      <c r="AB612">
        <v>0</v>
      </c>
      <c r="AC612">
        <v>0</v>
      </c>
      <c r="AD612">
        <v>0</v>
      </c>
      <c r="AG612">
        <v>0</v>
      </c>
      <c r="AP612">
        <v>11206362</v>
      </c>
      <c r="AQ612" t="s">
        <v>182</v>
      </c>
      <c r="AR612" t="s">
        <v>6643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BC612" t="s">
        <v>69</v>
      </c>
      <c r="BD612" t="s">
        <v>2569</v>
      </c>
      <c r="BE612">
        <v>0</v>
      </c>
      <c r="BG612" t="s">
        <v>182</v>
      </c>
      <c r="BJ612" t="s">
        <v>2570</v>
      </c>
    </row>
    <row r="613" spans="1:62" x14ac:dyDescent="0.35">
      <c r="A613" t="s">
        <v>2567</v>
      </c>
      <c r="B613">
        <v>20000</v>
      </c>
      <c r="C613">
        <v>10000</v>
      </c>
      <c r="D613" s="2">
        <v>45727</v>
      </c>
      <c r="E613" t="s">
        <v>61</v>
      </c>
      <c r="F613" t="s">
        <v>2568</v>
      </c>
      <c r="G613" t="s">
        <v>418</v>
      </c>
      <c r="I613">
        <v>1</v>
      </c>
      <c r="J613" t="s">
        <v>63</v>
      </c>
      <c r="K613" s="8">
        <v>59</v>
      </c>
      <c r="L613" s="8" t="s">
        <v>6592</v>
      </c>
      <c r="M613" s="8" t="s">
        <v>6629</v>
      </c>
      <c r="N613" t="s">
        <v>745</v>
      </c>
      <c r="O613" t="s">
        <v>6501</v>
      </c>
      <c r="P613">
        <v>200</v>
      </c>
      <c r="Q613">
        <f t="shared" si="145"/>
        <v>50</v>
      </c>
      <c r="R613">
        <f t="shared" si="146"/>
        <v>0.83333333333333337</v>
      </c>
      <c r="S613" s="2">
        <v>45727</v>
      </c>
      <c r="U613">
        <v>10</v>
      </c>
      <c r="V613" s="4">
        <v>2000</v>
      </c>
      <c r="W613" t="s">
        <v>65</v>
      </c>
      <c r="X613">
        <v>112063620001</v>
      </c>
      <c r="Y613">
        <v>0</v>
      </c>
      <c r="Z613" s="4">
        <v>2000</v>
      </c>
      <c r="AA613">
        <v>0</v>
      </c>
      <c r="AB613">
        <v>0</v>
      </c>
      <c r="AC613">
        <v>0</v>
      </c>
      <c r="AD613">
        <v>0</v>
      </c>
      <c r="AG613">
        <v>0</v>
      </c>
      <c r="AP613">
        <v>11206362</v>
      </c>
      <c r="AQ613" t="s">
        <v>182</v>
      </c>
      <c r="AR613" t="s">
        <v>6643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BC613" t="s">
        <v>69</v>
      </c>
      <c r="BD613" t="s">
        <v>2569</v>
      </c>
      <c r="BE613">
        <v>0</v>
      </c>
      <c r="BG613" t="s">
        <v>182</v>
      </c>
      <c r="BJ613" t="s">
        <v>2570</v>
      </c>
    </row>
    <row r="614" spans="1:62" x14ac:dyDescent="0.35">
      <c r="A614" t="s">
        <v>2567</v>
      </c>
      <c r="B614">
        <v>30000</v>
      </c>
      <c r="C614">
        <v>10000</v>
      </c>
      <c r="D614" s="2">
        <v>45727</v>
      </c>
      <c r="E614" t="s">
        <v>61</v>
      </c>
      <c r="F614" t="s">
        <v>2568</v>
      </c>
      <c r="G614" t="s">
        <v>418</v>
      </c>
      <c r="I614">
        <v>1</v>
      </c>
      <c r="J614" t="s">
        <v>63</v>
      </c>
      <c r="K614" s="8">
        <v>59</v>
      </c>
      <c r="L614" s="8" t="s">
        <v>6592</v>
      </c>
      <c r="M614" s="8" t="s">
        <v>6629</v>
      </c>
      <c r="N614" t="s">
        <v>745</v>
      </c>
      <c r="O614" t="s">
        <v>6501</v>
      </c>
      <c r="P614">
        <v>200</v>
      </c>
      <c r="Q614">
        <f t="shared" si="145"/>
        <v>50</v>
      </c>
      <c r="R614">
        <f t="shared" si="146"/>
        <v>0.83333333333333337</v>
      </c>
      <c r="S614" s="2">
        <v>45727</v>
      </c>
      <c r="U614">
        <v>10</v>
      </c>
      <c r="V614" s="4">
        <v>2000</v>
      </c>
      <c r="W614" t="s">
        <v>65</v>
      </c>
      <c r="X614">
        <v>112063620001</v>
      </c>
      <c r="Y614">
        <v>0</v>
      </c>
      <c r="Z614" s="4">
        <v>2000</v>
      </c>
      <c r="AA614">
        <v>0</v>
      </c>
      <c r="AB614">
        <v>0</v>
      </c>
      <c r="AC614">
        <v>0</v>
      </c>
      <c r="AD614">
        <v>0</v>
      </c>
      <c r="AG614">
        <v>0</v>
      </c>
      <c r="AP614">
        <v>11206362</v>
      </c>
      <c r="AQ614" t="s">
        <v>182</v>
      </c>
      <c r="AR614" t="s">
        <v>6643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BC614" t="s">
        <v>69</v>
      </c>
      <c r="BD614" t="s">
        <v>2569</v>
      </c>
      <c r="BE614">
        <v>0</v>
      </c>
      <c r="BG614" t="s">
        <v>182</v>
      </c>
      <c r="BJ614" t="s">
        <v>2570</v>
      </c>
    </row>
    <row r="615" spans="1:62" x14ac:dyDescent="0.35">
      <c r="A615" t="s">
        <v>2571</v>
      </c>
      <c r="B615">
        <v>10000</v>
      </c>
      <c r="C615">
        <v>10000</v>
      </c>
      <c r="D615" s="2">
        <v>45727</v>
      </c>
      <c r="E615" t="s">
        <v>61</v>
      </c>
      <c r="F615" t="s">
        <v>2572</v>
      </c>
      <c r="G615" t="s">
        <v>418</v>
      </c>
      <c r="I615">
        <v>1</v>
      </c>
      <c r="J615" t="s">
        <v>63</v>
      </c>
      <c r="K615" s="8">
        <v>59</v>
      </c>
      <c r="L615" s="8" t="s">
        <v>6592</v>
      </c>
      <c r="M615" s="8" t="s">
        <v>6629</v>
      </c>
      <c r="N615" t="s">
        <v>745</v>
      </c>
      <c r="O615" t="s">
        <v>6501</v>
      </c>
      <c r="P615">
        <v>200</v>
      </c>
      <c r="Q615">
        <f t="shared" si="145"/>
        <v>50</v>
      </c>
      <c r="R615">
        <f t="shared" si="146"/>
        <v>0.83333333333333337</v>
      </c>
      <c r="S615" s="2">
        <v>45727</v>
      </c>
      <c r="U615">
        <v>10</v>
      </c>
      <c r="V615" s="4">
        <v>2000</v>
      </c>
      <c r="W615" t="s">
        <v>65</v>
      </c>
      <c r="X615">
        <v>112026100001</v>
      </c>
      <c r="Y615">
        <v>0</v>
      </c>
      <c r="Z615" s="4">
        <v>2000</v>
      </c>
      <c r="AA615">
        <v>0</v>
      </c>
      <c r="AB615">
        <v>0</v>
      </c>
      <c r="AC615">
        <v>0</v>
      </c>
      <c r="AD615">
        <v>0</v>
      </c>
      <c r="AG615">
        <v>0</v>
      </c>
      <c r="AP615">
        <v>11202610</v>
      </c>
      <c r="AQ615" t="s">
        <v>182</v>
      </c>
      <c r="AR615" t="s">
        <v>6643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BC615" t="s">
        <v>69</v>
      </c>
      <c r="BD615" t="s">
        <v>2573</v>
      </c>
      <c r="BE615">
        <v>0</v>
      </c>
      <c r="BG615" t="s">
        <v>182</v>
      </c>
      <c r="BJ615" t="s">
        <v>2574</v>
      </c>
    </row>
    <row r="616" spans="1:62" x14ac:dyDescent="0.35">
      <c r="A616" t="s">
        <v>2575</v>
      </c>
      <c r="B616">
        <v>10000</v>
      </c>
      <c r="C616">
        <v>10000</v>
      </c>
      <c r="D616" s="2">
        <v>45727</v>
      </c>
      <c r="E616" t="s">
        <v>61</v>
      </c>
      <c r="F616" t="s">
        <v>2576</v>
      </c>
      <c r="G616" t="s">
        <v>1773</v>
      </c>
      <c r="I616">
        <v>1</v>
      </c>
      <c r="J616" t="s">
        <v>63</v>
      </c>
      <c r="K616" s="8">
        <v>32</v>
      </c>
      <c r="L616" s="8" t="s">
        <v>6607</v>
      </c>
      <c r="M616" s="8" t="s">
        <v>6629</v>
      </c>
      <c r="N616" t="s">
        <v>553</v>
      </c>
      <c r="O616" t="s">
        <v>6552</v>
      </c>
      <c r="P616" s="4">
        <v>5860</v>
      </c>
      <c r="S616" s="2">
        <v>45727</v>
      </c>
      <c r="U616">
        <v>1</v>
      </c>
      <c r="V616" s="4">
        <v>5860</v>
      </c>
      <c r="W616" t="s">
        <v>65</v>
      </c>
      <c r="X616" t="s">
        <v>2199</v>
      </c>
      <c r="Y616">
        <v>0</v>
      </c>
      <c r="Z616" s="4">
        <v>5360</v>
      </c>
      <c r="AA616">
        <v>500</v>
      </c>
      <c r="AB616">
        <v>0</v>
      </c>
      <c r="AC616">
        <v>0</v>
      </c>
      <c r="AD616">
        <v>0</v>
      </c>
      <c r="AG616">
        <v>0</v>
      </c>
      <c r="AP616" t="s">
        <v>2200</v>
      </c>
      <c r="AQ616" t="s">
        <v>116</v>
      </c>
      <c r="AR616" t="s">
        <v>6639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BC616" t="s">
        <v>69</v>
      </c>
      <c r="BD616" t="s">
        <v>2577</v>
      </c>
      <c r="BE616">
        <v>0</v>
      </c>
      <c r="BG616" t="s">
        <v>116</v>
      </c>
      <c r="BJ616" t="s">
        <v>1288</v>
      </c>
    </row>
    <row r="617" spans="1:62" x14ac:dyDescent="0.35">
      <c r="A617" t="s">
        <v>2578</v>
      </c>
      <c r="B617">
        <v>10000</v>
      </c>
      <c r="C617">
        <v>10000</v>
      </c>
      <c r="D617" s="2">
        <v>45727</v>
      </c>
      <c r="E617" t="s">
        <v>61</v>
      </c>
      <c r="F617" t="s">
        <v>2576</v>
      </c>
      <c r="G617" t="s">
        <v>1773</v>
      </c>
      <c r="I617">
        <v>1</v>
      </c>
      <c r="J617" t="s">
        <v>63</v>
      </c>
      <c r="K617" s="8">
        <v>32</v>
      </c>
      <c r="L617" s="8" t="s">
        <v>6607</v>
      </c>
      <c r="M617" s="8" t="s">
        <v>6629</v>
      </c>
      <c r="N617" t="s">
        <v>553</v>
      </c>
      <c r="O617" t="s">
        <v>6552</v>
      </c>
      <c r="P617" s="4">
        <v>5860</v>
      </c>
      <c r="S617" s="2">
        <v>45727</v>
      </c>
      <c r="U617">
        <v>1</v>
      </c>
      <c r="V617" s="4">
        <v>5860</v>
      </c>
      <c r="W617" t="s">
        <v>65</v>
      </c>
      <c r="X617" t="s">
        <v>2199</v>
      </c>
      <c r="Y617">
        <v>0</v>
      </c>
      <c r="Z617" s="4">
        <v>5360</v>
      </c>
      <c r="AA617">
        <v>500</v>
      </c>
      <c r="AB617">
        <v>0</v>
      </c>
      <c r="AC617">
        <v>0</v>
      </c>
      <c r="AD617">
        <v>0</v>
      </c>
      <c r="AG617">
        <v>0</v>
      </c>
      <c r="AP617" t="s">
        <v>2200</v>
      </c>
      <c r="AQ617" t="s">
        <v>116</v>
      </c>
      <c r="AR617" t="s">
        <v>6639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BC617" t="s">
        <v>69</v>
      </c>
      <c r="BD617" t="s">
        <v>2579</v>
      </c>
      <c r="BE617">
        <v>0</v>
      </c>
      <c r="BG617" t="s">
        <v>116</v>
      </c>
      <c r="BJ617" t="s">
        <v>1291</v>
      </c>
    </row>
    <row r="618" spans="1:62" x14ac:dyDescent="0.35">
      <c r="A618" t="s">
        <v>2580</v>
      </c>
      <c r="B618">
        <v>10000</v>
      </c>
      <c r="C618">
        <v>10000</v>
      </c>
      <c r="D618" s="2">
        <v>45735</v>
      </c>
      <c r="E618" t="s">
        <v>61</v>
      </c>
      <c r="F618" t="s">
        <v>2581</v>
      </c>
      <c r="G618" t="s">
        <v>2582</v>
      </c>
      <c r="I618">
        <v>1</v>
      </c>
      <c r="J618" t="s">
        <v>63</v>
      </c>
      <c r="K618" s="8">
        <v>103</v>
      </c>
      <c r="L618" s="8" t="s">
        <v>6589</v>
      </c>
      <c r="M618" s="8" t="s">
        <v>6630</v>
      </c>
      <c r="N618" t="s">
        <v>1986</v>
      </c>
      <c r="O618" t="s">
        <v>6551</v>
      </c>
      <c r="P618" s="4">
        <v>31875</v>
      </c>
      <c r="Q618">
        <f>(P618/20)+45</f>
        <v>1638.75</v>
      </c>
      <c r="R618">
        <f>Q618/60</f>
        <v>27.3125</v>
      </c>
      <c r="S618" s="2">
        <v>45727</v>
      </c>
      <c r="U618">
        <v>8</v>
      </c>
      <c r="V618" s="4">
        <v>255000</v>
      </c>
      <c r="W618" t="s">
        <v>65</v>
      </c>
      <c r="X618" s="12" t="s">
        <v>319</v>
      </c>
      <c r="Y618">
        <v>0</v>
      </c>
      <c r="Z618" s="4">
        <v>254986</v>
      </c>
      <c r="AA618">
        <v>14</v>
      </c>
      <c r="AB618">
        <v>0</v>
      </c>
      <c r="AC618">
        <v>0</v>
      </c>
      <c r="AD618">
        <v>0</v>
      </c>
      <c r="AG618">
        <v>0</v>
      </c>
      <c r="AP618" t="s">
        <v>320</v>
      </c>
      <c r="AQ618" t="s">
        <v>321</v>
      </c>
      <c r="AR618" t="s">
        <v>6652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BC618" t="s">
        <v>69</v>
      </c>
      <c r="BD618" t="s">
        <v>2583</v>
      </c>
      <c r="BE618">
        <v>0</v>
      </c>
      <c r="BG618" t="s">
        <v>321</v>
      </c>
      <c r="BJ618" t="s">
        <v>2584</v>
      </c>
    </row>
    <row r="619" spans="1:62" x14ac:dyDescent="0.35">
      <c r="A619" t="s">
        <v>2580</v>
      </c>
      <c r="B619">
        <v>10000</v>
      </c>
      <c r="C619">
        <v>20000</v>
      </c>
      <c r="D619" s="2">
        <v>45735</v>
      </c>
      <c r="E619" t="s">
        <v>61</v>
      </c>
      <c r="F619" t="s">
        <v>2581</v>
      </c>
      <c r="G619" t="s">
        <v>2582</v>
      </c>
      <c r="I619">
        <v>1</v>
      </c>
      <c r="J619" t="s">
        <v>63</v>
      </c>
      <c r="K619" s="8">
        <v>103</v>
      </c>
      <c r="L619" s="8" t="s">
        <v>6589</v>
      </c>
      <c r="M619" s="8" t="s">
        <v>6630</v>
      </c>
      <c r="N619" t="s">
        <v>732</v>
      </c>
      <c r="O619" t="s">
        <v>6563</v>
      </c>
      <c r="P619" s="4">
        <v>37500</v>
      </c>
      <c r="S619" s="2">
        <v>45727</v>
      </c>
      <c r="U619">
        <v>8</v>
      </c>
      <c r="V619" s="4">
        <v>300000</v>
      </c>
      <c r="W619" t="s">
        <v>65</v>
      </c>
      <c r="X619" t="s">
        <v>319</v>
      </c>
      <c r="Y619">
        <v>0</v>
      </c>
      <c r="Z619" s="4">
        <v>299983</v>
      </c>
      <c r="AA619">
        <v>17</v>
      </c>
      <c r="AB619">
        <v>0</v>
      </c>
      <c r="AC619">
        <v>0</v>
      </c>
      <c r="AD619">
        <v>0</v>
      </c>
      <c r="AG619">
        <v>0</v>
      </c>
      <c r="AP619" t="s">
        <v>320</v>
      </c>
      <c r="AQ619" t="s">
        <v>321</v>
      </c>
      <c r="AR619" t="s">
        <v>6652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BC619" t="s">
        <v>69</v>
      </c>
      <c r="BD619" t="s">
        <v>2583</v>
      </c>
      <c r="BE619">
        <v>0</v>
      </c>
      <c r="BG619" t="s">
        <v>321</v>
      </c>
      <c r="BJ619" t="s">
        <v>2584</v>
      </c>
    </row>
    <row r="620" spans="1:62" x14ac:dyDescent="0.35">
      <c r="A620" t="s">
        <v>2585</v>
      </c>
      <c r="B620">
        <v>10000</v>
      </c>
      <c r="C620">
        <v>10000</v>
      </c>
      <c r="D620" s="2">
        <v>45727</v>
      </c>
      <c r="E620" t="s">
        <v>61</v>
      </c>
      <c r="F620" s="3">
        <v>0.48379629629629628</v>
      </c>
      <c r="G620" t="s">
        <v>2052</v>
      </c>
      <c r="I620">
        <v>1</v>
      </c>
      <c r="J620" t="s">
        <v>63</v>
      </c>
      <c r="K620" s="8">
        <v>59</v>
      </c>
      <c r="L620" s="8" t="s">
        <v>6592</v>
      </c>
      <c r="M620" s="8" t="s">
        <v>6629</v>
      </c>
      <c r="N620" t="s">
        <v>745</v>
      </c>
      <c r="O620" t="s">
        <v>6501</v>
      </c>
      <c r="P620">
        <v>745</v>
      </c>
      <c r="Q620">
        <f>(P620/40)+45</f>
        <v>63.625</v>
      </c>
      <c r="R620">
        <f>Q620/60</f>
        <v>1.0604166666666666</v>
      </c>
      <c r="S620" s="2">
        <v>45727</v>
      </c>
      <c r="U620">
        <v>4</v>
      </c>
      <c r="V620" s="4">
        <v>2980</v>
      </c>
      <c r="W620" t="s">
        <v>65</v>
      </c>
      <c r="X620">
        <v>112966280001</v>
      </c>
      <c r="Y620">
        <v>0</v>
      </c>
      <c r="Z620" s="4">
        <v>2980</v>
      </c>
      <c r="AA620">
        <v>0</v>
      </c>
      <c r="AB620">
        <v>0</v>
      </c>
      <c r="AC620">
        <v>0</v>
      </c>
      <c r="AD620">
        <v>0</v>
      </c>
      <c r="AG620">
        <v>0</v>
      </c>
      <c r="AP620">
        <v>11296628</v>
      </c>
      <c r="AQ620" t="s">
        <v>182</v>
      </c>
      <c r="AR620" t="s">
        <v>6643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BC620" t="s">
        <v>69</v>
      </c>
      <c r="BD620" t="s">
        <v>2586</v>
      </c>
      <c r="BE620">
        <v>0</v>
      </c>
      <c r="BG620" t="s">
        <v>182</v>
      </c>
      <c r="BJ620" t="s">
        <v>2587</v>
      </c>
    </row>
    <row r="621" spans="1:62" x14ac:dyDescent="0.35">
      <c r="A621" t="s">
        <v>2588</v>
      </c>
      <c r="B621">
        <v>10000</v>
      </c>
      <c r="C621">
        <v>10000</v>
      </c>
      <c r="D621" s="2">
        <v>45729</v>
      </c>
      <c r="E621" t="s">
        <v>61</v>
      </c>
      <c r="F621" t="s">
        <v>2589</v>
      </c>
      <c r="G621" t="s">
        <v>2590</v>
      </c>
      <c r="I621">
        <v>1</v>
      </c>
      <c r="J621" t="s">
        <v>63</v>
      </c>
      <c r="K621" s="8">
        <v>71</v>
      </c>
      <c r="L621" s="8" t="s">
        <v>6588</v>
      </c>
      <c r="M621" s="8" t="s">
        <v>6630</v>
      </c>
      <c r="N621" t="s">
        <v>135</v>
      </c>
      <c r="O621" t="s">
        <v>6573</v>
      </c>
      <c r="P621" s="4">
        <v>28667</v>
      </c>
      <c r="S621" s="2">
        <v>45727</v>
      </c>
      <c r="U621">
        <v>6</v>
      </c>
      <c r="V621" s="4">
        <v>172002</v>
      </c>
      <c r="W621" t="s">
        <v>65</v>
      </c>
      <c r="X621" t="s">
        <v>1026</v>
      </c>
      <c r="Y621">
        <v>0</v>
      </c>
      <c r="Z621" s="4">
        <v>171999</v>
      </c>
      <c r="AA621">
        <v>3</v>
      </c>
      <c r="AB621">
        <v>0</v>
      </c>
      <c r="AC621">
        <v>0</v>
      </c>
      <c r="AD621">
        <v>0</v>
      </c>
      <c r="AG621">
        <v>0</v>
      </c>
      <c r="AP621" t="s">
        <v>1027</v>
      </c>
      <c r="AQ621" t="s">
        <v>1253</v>
      </c>
      <c r="AR621" t="s">
        <v>6636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C621" t="s">
        <v>69</v>
      </c>
      <c r="BD621" t="s">
        <v>2591</v>
      </c>
      <c r="BE621">
        <v>0</v>
      </c>
      <c r="BG621" t="s">
        <v>1253</v>
      </c>
      <c r="BJ621" t="s">
        <v>2592</v>
      </c>
    </row>
    <row r="622" spans="1:62" x14ac:dyDescent="0.35">
      <c r="A622" t="s">
        <v>949</v>
      </c>
      <c r="B622">
        <v>10000</v>
      </c>
      <c r="C622">
        <v>20000</v>
      </c>
      <c r="D622" s="2">
        <v>45729</v>
      </c>
      <c r="E622" t="s">
        <v>61</v>
      </c>
      <c r="F622" t="s">
        <v>950</v>
      </c>
      <c r="G622">
        <v>10639931049</v>
      </c>
      <c r="I622">
        <v>2</v>
      </c>
      <c r="J622" t="s">
        <v>63</v>
      </c>
      <c r="K622" s="8">
        <v>77</v>
      </c>
      <c r="L622" s="8" t="s">
        <v>6584</v>
      </c>
      <c r="M622" s="8" t="s">
        <v>6627</v>
      </c>
      <c r="N622" t="s">
        <v>127</v>
      </c>
      <c r="O622" t="s">
        <v>6567</v>
      </c>
      <c r="P622" s="4">
        <v>2697</v>
      </c>
      <c r="Q622">
        <f>(P622/60)+45</f>
        <v>89.95</v>
      </c>
      <c r="R622">
        <f>Q622/60</f>
        <v>1.4991666666666668</v>
      </c>
      <c r="S622" s="2">
        <v>45727</v>
      </c>
      <c r="U622">
        <v>66</v>
      </c>
      <c r="V622" s="4">
        <v>178002</v>
      </c>
      <c r="W622" t="s">
        <v>65</v>
      </c>
      <c r="X622" t="s">
        <v>951</v>
      </c>
      <c r="Y622">
        <v>0</v>
      </c>
      <c r="Z622" s="4">
        <v>160000</v>
      </c>
      <c r="AA622" s="4">
        <v>18002</v>
      </c>
      <c r="AB622">
        <v>0</v>
      </c>
      <c r="AC622">
        <v>0</v>
      </c>
      <c r="AD622">
        <v>0</v>
      </c>
      <c r="AG622">
        <v>0</v>
      </c>
      <c r="AP622" t="s">
        <v>952</v>
      </c>
      <c r="AQ622" t="s">
        <v>107</v>
      </c>
      <c r="AR622" t="s">
        <v>6638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BC622" t="s">
        <v>69</v>
      </c>
      <c r="BD622" t="s">
        <v>953</v>
      </c>
      <c r="BE622">
        <v>0</v>
      </c>
      <c r="BG622" t="s">
        <v>107</v>
      </c>
      <c r="BJ622" t="s">
        <v>954</v>
      </c>
    </row>
    <row r="623" spans="1:62" x14ac:dyDescent="0.35">
      <c r="A623" t="s">
        <v>955</v>
      </c>
      <c r="B623">
        <v>10000</v>
      </c>
      <c r="C623">
        <v>30000</v>
      </c>
      <c r="D623" s="2">
        <v>45734</v>
      </c>
      <c r="E623" t="s">
        <v>61</v>
      </c>
      <c r="F623" t="s">
        <v>956</v>
      </c>
      <c r="G623">
        <v>10639931051</v>
      </c>
      <c r="I623">
        <v>3</v>
      </c>
      <c r="J623" t="s">
        <v>63</v>
      </c>
      <c r="K623" s="8">
        <v>85</v>
      </c>
      <c r="L623" s="8" t="s">
        <v>6585</v>
      </c>
      <c r="M623" s="8" t="s">
        <v>6628</v>
      </c>
      <c r="N623" t="s">
        <v>327</v>
      </c>
      <c r="O623" t="s">
        <v>6580</v>
      </c>
      <c r="P623" s="4">
        <v>1819</v>
      </c>
      <c r="S623" s="2">
        <v>45727</v>
      </c>
      <c r="U623">
        <v>11</v>
      </c>
      <c r="V623" s="4">
        <v>20009</v>
      </c>
      <c r="W623" t="s">
        <v>65</v>
      </c>
      <c r="X623" t="s">
        <v>957</v>
      </c>
      <c r="Y623">
        <v>0</v>
      </c>
      <c r="Z623" s="4">
        <v>20000</v>
      </c>
      <c r="AA623">
        <v>9</v>
      </c>
      <c r="AB623">
        <v>0</v>
      </c>
      <c r="AC623">
        <v>0</v>
      </c>
      <c r="AD623">
        <v>0</v>
      </c>
      <c r="AG623">
        <v>0</v>
      </c>
      <c r="AP623" t="s">
        <v>958</v>
      </c>
      <c r="AQ623" t="s">
        <v>107</v>
      </c>
      <c r="AR623" t="s">
        <v>6638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BC623" t="s">
        <v>69</v>
      </c>
      <c r="BD623" t="s">
        <v>959</v>
      </c>
      <c r="BE623">
        <v>0</v>
      </c>
      <c r="BG623" t="s">
        <v>107</v>
      </c>
      <c r="BJ623" t="s">
        <v>960</v>
      </c>
    </row>
    <row r="624" spans="1:62" x14ac:dyDescent="0.35">
      <c r="A624" t="s">
        <v>961</v>
      </c>
      <c r="B624">
        <v>10000</v>
      </c>
      <c r="C624">
        <v>20000</v>
      </c>
      <c r="D624" s="2">
        <v>45733</v>
      </c>
      <c r="E624" t="s">
        <v>61</v>
      </c>
      <c r="F624" t="s">
        <v>962</v>
      </c>
      <c r="G624" t="s">
        <v>963</v>
      </c>
      <c r="I624">
        <v>2</v>
      </c>
      <c r="J624" t="s">
        <v>63</v>
      </c>
      <c r="K624" s="8">
        <v>77</v>
      </c>
      <c r="L624" s="8" t="s">
        <v>6584</v>
      </c>
      <c r="M624" s="8" t="s">
        <v>6627</v>
      </c>
      <c r="N624" t="s">
        <v>127</v>
      </c>
      <c r="O624" t="s">
        <v>6567</v>
      </c>
      <c r="P624" s="4">
        <v>1455</v>
      </c>
      <c r="Q624">
        <f>(P624/60)+45</f>
        <v>69.25</v>
      </c>
      <c r="R624">
        <f>Q624/60</f>
        <v>1.1541666666666666</v>
      </c>
      <c r="S624" s="2">
        <v>45727</v>
      </c>
      <c r="U624">
        <v>66</v>
      </c>
      <c r="V624" s="4">
        <v>96030</v>
      </c>
      <c r="W624" t="s">
        <v>65</v>
      </c>
      <c r="X624" t="s">
        <v>964</v>
      </c>
      <c r="Y624">
        <v>0</v>
      </c>
      <c r="Z624" s="4">
        <v>80000</v>
      </c>
      <c r="AA624" s="4">
        <v>16030</v>
      </c>
      <c r="AB624">
        <v>0</v>
      </c>
      <c r="AC624">
        <v>0</v>
      </c>
      <c r="AD624">
        <v>0</v>
      </c>
      <c r="AG624">
        <v>0</v>
      </c>
      <c r="AP624" t="s">
        <v>965</v>
      </c>
      <c r="AQ624" t="s">
        <v>107</v>
      </c>
      <c r="AR624" t="s">
        <v>6638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BC624" t="s">
        <v>69</v>
      </c>
      <c r="BD624" t="s">
        <v>966</v>
      </c>
      <c r="BE624">
        <v>0</v>
      </c>
      <c r="BG624" t="s">
        <v>107</v>
      </c>
      <c r="BJ624" t="s">
        <v>967</v>
      </c>
    </row>
    <row r="625" spans="1:62" x14ac:dyDescent="0.35">
      <c r="A625" t="s">
        <v>968</v>
      </c>
      <c r="B625">
        <v>10000</v>
      </c>
      <c r="C625">
        <v>30000</v>
      </c>
      <c r="D625" s="2">
        <v>45729</v>
      </c>
      <c r="E625" t="s">
        <v>61</v>
      </c>
      <c r="F625" t="s">
        <v>969</v>
      </c>
      <c r="G625">
        <v>10639931050</v>
      </c>
      <c r="I625">
        <v>3</v>
      </c>
      <c r="J625" t="s">
        <v>63</v>
      </c>
      <c r="K625" s="8">
        <v>85</v>
      </c>
      <c r="L625" s="8" t="s">
        <v>6585</v>
      </c>
      <c r="M625" s="8" t="s">
        <v>6628</v>
      </c>
      <c r="N625" t="s">
        <v>327</v>
      </c>
      <c r="O625" t="s">
        <v>6580</v>
      </c>
      <c r="P625" s="4">
        <v>15910</v>
      </c>
      <c r="S625" s="2">
        <v>45727</v>
      </c>
      <c r="U625">
        <v>11</v>
      </c>
      <c r="V625" s="4">
        <v>175010</v>
      </c>
      <c r="W625" t="s">
        <v>65</v>
      </c>
      <c r="X625" t="s">
        <v>970</v>
      </c>
      <c r="Y625">
        <v>0</v>
      </c>
      <c r="Z625" s="4">
        <v>180000</v>
      </c>
      <c r="AA625" s="4">
        <v>-4990</v>
      </c>
      <c r="AB625">
        <v>0</v>
      </c>
      <c r="AC625">
        <v>0</v>
      </c>
      <c r="AD625">
        <v>0</v>
      </c>
      <c r="AG625">
        <v>0</v>
      </c>
      <c r="AP625" t="s">
        <v>971</v>
      </c>
      <c r="AQ625" t="s">
        <v>107</v>
      </c>
      <c r="AR625" t="s">
        <v>6638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BC625" t="s">
        <v>69</v>
      </c>
      <c r="BD625" t="s">
        <v>972</v>
      </c>
      <c r="BE625">
        <v>0</v>
      </c>
      <c r="BG625" t="s">
        <v>107</v>
      </c>
      <c r="BJ625" t="s">
        <v>973</v>
      </c>
    </row>
    <row r="626" spans="1:62" x14ac:dyDescent="0.35">
      <c r="A626" t="s">
        <v>2593</v>
      </c>
      <c r="B626">
        <v>10000</v>
      </c>
      <c r="C626">
        <v>10000</v>
      </c>
      <c r="D626" s="2">
        <v>45730</v>
      </c>
      <c r="E626" t="s">
        <v>61</v>
      </c>
      <c r="F626" t="s">
        <v>2288</v>
      </c>
      <c r="G626" t="s">
        <v>2289</v>
      </c>
      <c r="I626">
        <v>1</v>
      </c>
      <c r="J626" t="s">
        <v>63</v>
      </c>
      <c r="K626" s="8">
        <v>78</v>
      </c>
      <c r="L626" s="8" t="s">
        <v>6593</v>
      </c>
      <c r="M626" s="8" t="s">
        <v>6629</v>
      </c>
      <c r="N626" t="s">
        <v>188</v>
      </c>
      <c r="O626" t="s">
        <v>6410</v>
      </c>
      <c r="P626" s="4">
        <v>2750</v>
      </c>
      <c r="Q626">
        <f t="shared" ref="Q626:Q627" si="147">(P626/40)+45</f>
        <v>113.75</v>
      </c>
      <c r="R626">
        <f t="shared" ref="R626:R627" si="148">Q626/60</f>
        <v>1.8958333333333333</v>
      </c>
      <c r="S626" s="2">
        <v>45727</v>
      </c>
      <c r="U626">
        <v>16</v>
      </c>
      <c r="V626" s="4">
        <v>44000</v>
      </c>
      <c r="W626" t="s">
        <v>65</v>
      </c>
      <c r="X626" t="s">
        <v>2594</v>
      </c>
      <c r="Y626">
        <v>0</v>
      </c>
      <c r="Z626" s="4">
        <v>40000</v>
      </c>
      <c r="AA626" s="4">
        <v>4000</v>
      </c>
      <c r="AB626">
        <v>0</v>
      </c>
      <c r="AC626">
        <v>0</v>
      </c>
      <c r="AD626">
        <v>0</v>
      </c>
      <c r="AG626">
        <v>0</v>
      </c>
      <c r="AP626" t="s">
        <v>2595</v>
      </c>
      <c r="AQ626" t="s">
        <v>175</v>
      </c>
      <c r="AR626" t="s">
        <v>6642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C626" t="s">
        <v>69</v>
      </c>
      <c r="BD626" t="s">
        <v>2596</v>
      </c>
      <c r="BE626">
        <v>0</v>
      </c>
      <c r="BG626" t="s">
        <v>175</v>
      </c>
      <c r="BJ626" t="s">
        <v>2597</v>
      </c>
    </row>
    <row r="627" spans="1:62" x14ac:dyDescent="0.35">
      <c r="A627" t="s">
        <v>2598</v>
      </c>
      <c r="B627">
        <v>10000</v>
      </c>
      <c r="C627">
        <v>10000</v>
      </c>
      <c r="D627" s="2">
        <v>45730</v>
      </c>
      <c r="E627" t="s">
        <v>61</v>
      </c>
      <c r="F627" t="s">
        <v>2288</v>
      </c>
      <c r="G627" t="s">
        <v>2289</v>
      </c>
      <c r="I627">
        <v>1</v>
      </c>
      <c r="J627" t="s">
        <v>63</v>
      </c>
      <c r="K627" s="8">
        <v>78</v>
      </c>
      <c r="L627" s="8" t="s">
        <v>6593</v>
      </c>
      <c r="M627" s="8" t="s">
        <v>6629</v>
      </c>
      <c r="N627" t="s">
        <v>188</v>
      </c>
      <c r="O627" t="s">
        <v>6410</v>
      </c>
      <c r="P627" s="4">
        <v>2750</v>
      </c>
      <c r="Q627">
        <f t="shared" si="147"/>
        <v>113.75</v>
      </c>
      <c r="R627">
        <f t="shared" si="148"/>
        <v>1.8958333333333333</v>
      </c>
      <c r="S627" s="2">
        <v>45727</v>
      </c>
      <c r="U627">
        <v>16</v>
      </c>
      <c r="V627" s="4">
        <v>44000</v>
      </c>
      <c r="W627" t="s">
        <v>65</v>
      </c>
      <c r="X627" t="s">
        <v>1740</v>
      </c>
      <c r="Y627">
        <v>0</v>
      </c>
      <c r="Z627" s="4">
        <v>40000</v>
      </c>
      <c r="AA627" s="4">
        <v>4000</v>
      </c>
      <c r="AB627">
        <v>0</v>
      </c>
      <c r="AC627">
        <v>0</v>
      </c>
      <c r="AD627">
        <v>0</v>
      </c>
      <c r="AG627">
        <v>0</v>
      </c>
      <c r="AP627" t="s">
        <v>1741</v>
      </c>
      <c r="AQ627" t="s">
        <v>175</v>
      </c>
      <c r="AR627" t="s">
        <v>6642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BC627" t="s">
        <v>69</v>
      </c>
      <c r="BD627" t="s">
        <v>2599</v>
      </c>
      <c r="BE627">
        <v>0</v>
      </c>
      <c r="BG627" t="s">
        <v>175</v>
      </c>
      <c r="BJ627" t="s">
        <v>2600</v>
      </c>
    </row>
    <row r="628" spans="1:62" x14ac:dyDescent="0.35">
      <c r="A628" t="s">
        <v>1839</v>
      </c>
      <c r="B628">
        <v>10000</v>
      </c>
      <c r="C628">
        <v>20000</v>
      </c>
      <c r="D628" s="2">
        <v>45728</v>
      </c>
      <c r="E628" t="s">
        <v>61</v>
      </c>
      <c r="F628" s="3">
        <v>0.46938657407407408</v>
      </c>
      <c r="G628" t="s">
        <v>1840</v>
      </c>
      <c r="I628">
        <v>2</v>
      </c>
      <c r="J628" t="s">
        <v>63</v>
      </c>
      <c r="K628" s="8">
        <v>105</v>
      </c>
      <c r="L628" s="8" t="s">
        <v>6612</v>
      </c>
      <c r="M628" s="8" t="s">
        <v>6632</v>
      </c>
      <c r="N628" t="s">
        <v>424</v>
      </c>
      <c r="O628" t="s">
        <v>6570</v>
      </c>
      <c r="P628">
        <v>550</v>
      </c>
      <c r="S628" s="2">
        <v>45727</v>
      </c>
      <c r="U628">
        <v>1</v>
      </c>
      <c r="V628">
        <v>550</v>
      </c>
      <c r="W628" t="s">
        <v>65</v>
      </c>
      <c r="X628">
        <v>10104870001</v>
      </c>
      <c r="Y628">
        <v>0</v>
      </c>
      <c r="Z628">
        <v>500</v>
      </c>
      <c r="AA628">
        <v>50</v>
      </c>
      <c r="AB628">
        <v>0</v>
      </c>
      <c r="AC628">
        <v>0</v>
      </c>
      <c r="AD628">
        <v>0</v>
      </c>
      <c r="AG628">
        <v>0</v>
      </c>
      <c r="AP628">
        <v>1010487</v>
      </c>
      <c r="AQ628" t="s">
        <v>1841</v>
      </c>
      <c r="AR628" t="s">
        <v>6687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BC628" t="s">
        <v>69</v>
      </c>
      <c r="BD628" t="s">
        <v>1842</v>
      </c>
      <c r="BE628">
        <v>0</v>
      </c>
      <c r="BG628" t="s">
        <v>1841</v>
      </c>
      <c r="BJ628" t="s">
        <v>1843</v>
      </c>
    </row>
    <row r="629" spans="1:62" x14ac:dyDescent="0.35">
      <c r="A629" t="s">
        <v>609</v>
      </c>
      <c r="B629">
        <v>10000</v>
      </c>
      <c r="C629">
        <v>20000</v>
      </c>
      <c r="D629" s="2">
        <v>45730</v>
      </c>
      <c r="E629" t="s">
        <v>61</v>
      </c>
      <c r="F629" t="s">
        <v>610</v>
      </c>
      <c r="G629">
        <v>10639931002</v>
      </c>
      <c r="I629">
        <v>2</v>
      </c>
      <c r="J629" t="s">
        <v>63</v>
      </c>
      <c r="K629" s="8">
        <v>77</v>
      </c>
      <c r="L629" s="8" t="s">
        <v>6584</v>
      </c>
      <c r="M629" s="8" t="s">
        <v>6627</v>
      </c>
      <c r="N629" t="s">
        <v>127</v>
      </c>
      <c r="O629" t="s">
        <v>6567</v>
      </c>
      <c r="P629" s="4">
        <v>4410</v>
      </c>
      <c r="Q629">
        <f>(P629/60)+45</f>
        <v>118.5</v>
      </c>
      <c r="R629">
        <f>Q629/60</f>
        <v>1.9750000000000001</v>
      </c>
      <c r="S629" s="2">
        <v>45727</v>
      </c>
      <c r="U629">
        <v>66</v>
      </c>
      <c r="V629" s="4">
        <v>291060</v>
      </c>
      <c r="W629" t="s">
        <v>65</v>
      </c>
      <c r="X629" t="s">
        <v>611</v>
      </c>
      <c r="Y629">
        <v>0</v>
      </c>
      <c r="Z629" s="4">
        <v>260000</v>
      </c>
      <c r="AA629" s="4">
        <v>31060</v>
      </c>
      <c r="AB629">
        <v>0</v>
      </c>
      <c r="AC629">
        <v>0</v>
      </c>
      <c r="AD629">
        <v>0</v>
      </c>
      <c r="AG629">
        <v>0</v>
      </c>
      <c r="AP629" t="s">
        <v>612</v>
      </c>
      <c r="AQ629" t="s">
        <v>107</v>
      </c>
      <c r="AR629" t="s">
        <v>6638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BC629" t="s">
        <v>69</v>
      </c>
      <c r="BD629" t="s">
        <v>613</v>
      </c>
      <c r="BE629">
        <v>0</v>
      </c>
      <c r="BG629" t="s">
        <v>107</v>
      </c>
      <c r="BJ629" t="s">
        <v>614</v>
      </c>
    </row>
    <row r="630" spans="1:62" x14ac:dyDescent="0.35">
      <c r="A630" t="s">
        <v>664</v>
      </c>
      <c r="B630">
        <v>10000</v>
      </c>
      <c r="C630">
        <v>30000</v>
      </c>
      <c r="D630" s="2">
        <v>45734</v>
      </c>
      <c r="E630" t="s">
        <v>61</v>
      </c>
      <c r="F630" t="s">
        <v>665</v>
      </c>
      <c r="G630">
        <v>10639931060</v>
      </c>
      <c r="I630">
        <v>3</v>
      </c>
      <c r="J630" t="s">
        <v>63</v>
      </c>
      <c r="K630" s="8">
        <v>85</v>
      </c>
      <c r="L630" s="8" t="s">
        <v>6585</v>
      </c>
      <c r="M630" s="8" t="s">
        <v>6628</v>
      </c>
      <c r="N630" t="s">
        <v>327</v>
      </c>
      <c r="O630" t="s">
        <v>6580</v>
      </c>
      <c r="P630" s="4">
        <v>1819</v>
      </c>
      <c r="S630" s="2">
        <v>45727</v>
      </c>
      <c r="U630">
        <v>11</v>
      </c>
      <c r="V630" s="4">
        <v>20009</v>
      </c>
      <c r="W630" t="s">
        <v>65</v>
      </c>
      <c r="X630" t="s">
        <v>666</v>
      </c>
      <c r="Y630">
        <v>0</v>
      </c>
      <c r="Z630" s="4">
        <v>20000</v>
      </c>
      <c r="AA630">
        <v>9</v>
      </c>
      <c r="AB630">
        <v>0</v>
      </c>
      <c r="AC630">
        <v>0</v>
      </c>
      <c r="AD630">
        <v>0</v>
      </c>
      <c r="AG630">
        <v>0</v>
      </c>
      <c r="AP630" t="s">
        <v>667</v>
      </c>
      <c r="AQ630" t="s">
        <v>107</v>
      </c>
      <c r="AR630" t="s">
        <v>6638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BC630" t="s">
        <v>69</v>
      </c>
      <c r="BD630" t="s">
        <v>668</v>
      </c>
      <c r="BE630">
        <v>0</v>
      </c>
      <c r="BG630" t="s">
        <v>107</v>
      </c>
      <c r="BJ630" t="s">
        <v>669</v>
      </c>
    </row>
    <row r="631" spans="1:62" x14ac:dyDescent="0.35">
      <c r="A631" t="s">
        <v>670</v>
      </c>
      <c r="B631">
        <v>10000</v>
      </c>
      <c r="C631">
        <v>30000</v>
      </c>
      <c r="D631" s="2">
        <v>45729</v>
      </c>
      <c r="E631" t="s">
        <v>61</v>
      </c>
      <c r="F631" t="s">
        <v>671</v>
      </c>
      <c r="G631">
        <v>10639931060</v>
      </c>
      <c r="I631">
        <v>3</v>
      </c>
      <c r="J631" t="s">
        <v>63</v>
      </c>
      <c r="K631" s="8">
        <v>85</v>
      </c>
      <c r="L631" s="8" t="s">
        <v>6585</v>
      </c>
      <c r="M631" s="8" t="s">
        <v>6628</v>
      </c>
      <c r="N631" t="s">
        <v>327</v>
      </c>
      <c r="O631" t="s">
        <v>6580</v>
      </c>
      <c r="P631" s="4">
        <v>4546</v>
      </c>
      <c r="S631" s="2">
        <v>45727</v>
      </c>
      <c r="U631">
        <v>11</v>
      </c>
      <c r="V631" s="4">
        <v>50006</v>
      </c>
      <c r="W631" t="s">
        <v>65</v>
      </c>
      <c r="X631" t="s">
        <v>672</v>
      </c>
      <c r="Y631">
        <v>0</v>
      </c>
      <c r="Z631" s="4">
        <v>50000</v>
      </c>
      <c r="AA631">
        <v>6</v>
      </c>
      <c r="AB631">
        <v>0</v>
      </c>
      <c r="AC631">
        <v>0</v>
      </c>
      <c r="AD631">
        <v>0</v>
      </c>
      <c r="AG631">
        <v>0</v>
      </c>
      <c r="AP631" t="s">
        <v>673</v>
      </c>
      <c r="AQ631" t="s">
        <v>107</v>
      </c>
      <c r="AR631" t="s">
        <v>6638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BC631" t="s">
        <v>69</v>
      </c>
      <c r="BD631" t="s">
        <v>674</v>
      </c>
      <c r="BE631">
        <v>0</v>
      </c>
      <c r="BG631" t="s">
        <v>107</v>
      </c>
      <c r="BJ631" t="s">
        <v>675</v>
      </c>
    </row>
    <row r="632" spans="1:62" x14ac:dyDescent="0.35">
      <c r="A632" t="s">
        <v>676</v>
      </c>
      <c r="B632">
        <v>10000</v>
      </c>
      <c r="C632">
        <v>30000</v>
      </c>
      <c r="D632" s="2">
        <v>45729</v>
      </c>
      <c r="E632" t="s">
        <v>61</v>
      </c>
      <c r="F632" t="s">
        <v>677</v>
      </c>
      <c r="G632">
        <v>10639931060</v>
      </c>
      <c r="I632">
        <v>3</v>
      </c>
      <c r="J632" t="s">
        <v>63</v>
      </c>
      <c r="K632" s="8">
        <v>85</v>
      </c>
      <c r="L632" s="8" t="s">
        <v>6585</v>
      </c>
      <c r="M632" s="8" t="s">
        <v>6628</v>
      </c>
      <c r="N632" t="s">
        <v>327</v>
      </c>
      <c r="O632" t="s">
        <v>6580</v>
      </c>
      <c r="P632" s="4">
        <v>1819</v>
      </c>
      <c r="S632" s="2">
        <v>45727</v>
      </c>
      <c r="U632">
        <v>11</v>
      </c>
      <c r="V632" s="4">
        <v>20009</v>
      </c>
      <c r="W632" t="s">
        <v>65</v>
      </c>
      <c r="X632" t="s">
        <v>678</v>
      </c>
      <c r="Y632">
        <v>0</v>
      </c>
      <c r="Z632" s="4">
        <v>20000</v>
      </c>
      <c r="AA632">
        <v>9</v>
      </c>
      <c r="AB632">
        <v>0</v>
      </c>
      <c r="AC632">
        <v>0</v>
      </c>
      <c r="AD632">
        <v>0</v>
      </c>
      <c r="AG632">
        <v>0</v>
      </c>
      <c r="AP632" t="s">
        <v>679</v>
      </c>
      <c r="AQ632" t="s">
        <v>107</v>
      </c>
      <c r="AR632" t="s">
        <v>6638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BC632" t="s">
        <v>69</v>
      </c>
      <c r="BD632" t="s">
        <v>680</v>
      </c>
      <c r="BE632">
        <v>0</v>
      </c>
      <c r="BG632" t="s">
        <v>107</v>
      </c>
      <c r="BJ632" t="s">
        <v>681</v>
      </c>
    </row>
    <row r="633" spans="1:62" x14ac:dyDescent="0.35">
      <c r="A633" t="s">
        <v>682</v>
      </c>
      <c r="B633">
        <v>10000</v>
      </c>
      <c r="C633">
        <v>30000</v>
      </c>
      <c r="D633" s="2">
        <v>45729</v>
      </c>
      <c r="E633" t="s">
        <v>61</v>
      </c>
      <c r="F633" t="s">
        <v>683</v>
      </c>
      <c r="G633">
        <v>10639931060</v>
      </c>
      <c r="I633">
        <v>3</v>
      </c>
      <c r="J633" t="s">
        <v>63</v>
      </c>
      <c r="K633" s="8">
        <v>85</v>
      </c>
      <c r="L633" s="8" t="s">
        <v>6585</v>
      </c>
      <c r="M633" s="8" t="s">
        <v>6628</v>
      </c>
      <c r="N633" t="s">
        <v>327</v>
      </c>
      <c r="O633" t="s">
        <v>6580</v>
      </c>
      <c r="P633" s="4">
        <v>1819</v>
      </c>
      <c r="S633" s="2">
        <v>45727</v>
      </c>
      <c r="U633">
        <v>11</v>
      </c>
      <c r="V633" s="4">
        <v>20009</v>
      </c>
      <c r="W633" t="s">
        <v>65</v>
      </c>
      <c r="X633" t="s">
        <v>684</v>
      </c>
      <c r="Y633">
        <v>0</v>
      </c>
      <c r="Z633" s="4">
        <v>20000</v>
      </c>
      <c r="AA633">
        <v>9</v>
      </c>
      <c r="AB633">
        <v>0</v>
      </c>
      <c r="AC633">
        <v>0</v>
      </c>
      <c r="AD633">
        <v>0</v>
      </c>
      <c r="AG633">
        <v>0</v>
      </c>
      <c r="AP633" t="s">
        <v>685</v>
      </c>
      <c r="AQ633" t="s">
        <v>107</v>
      </c>
      <c r="AR633" t="s">
        <v>6638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BC633" t="s">
        <v>69</v>
      </c>
      <c r="BD633" t="s">
        <v>686</v>
      </c>
      <c r="BE633">
        <v>0</v>
      </c>
      <c r="BG633" t="s">
        <v>107</v>
      </c>
      <c r="BJ633" t="s">
        <v>687</v>
      </c>
    </row>
    <row r="634" spans="1:62" x14ac:dyDescent="0.35">
      <c r="A634" t="s">
        <v>688</v>
      </c>
      <c r="B634">
        <v>10000</v>
      </c>
      <c r="C634">
        <v>30000</v>
      </c>
      <c r="D634" s="2">
        <v>45729</v>
      </c>
      <c r="E634" t="s">
        <v>61</v>
      </c>
      <c r="F634" t="s">
        <v>689</v>
      </c>
      <c r="G634">
        <v>10639931060</v>
      </c>
      <c r="I634">
        <v>3</v>
      </c>
      <c r="J634" t="s">
        <v>63</v>
      </c>
      <c r="K634" s="8">
        <v>85</v>
      </c>
      <c r="L634" s="8" t="s">
        <v>6585</v>
      </c>
      <c r="M634" s="8" t="s">
        <v>6628</v>
      </c>
      <c r="N634" t="s">
        <v>327</v>
      </c>
      <c r="O634" t="s">
        <v>6580</v>
      </c>
      <c r="P634" s="4">
        <v>1819</v>
      </c>
      <c r="S634" s="2">
        <v>45727</v>
      </c>
      <c r="U634">
        <v>11</v>
      </c>
      <c r="V634" s="4">
        <v>20009</v>
      </c>
      <c r="W634" t="s">
        <v>65</v>
      </c>
      <c r="X634" t="s">
        <v>690</v>
      </c>
      <c r="Y634">
        <v>0</v>
      </c>
      <c r="Z634" s="4">
        <v>20000</v>
      </c>
      <c r="AA634">
        <v>9</v>
      </c>
      <c r="AB634">
        <v>0</v>
      </c>
      <c r="AC634">
        <v>0</v>
      </c>
      <c r="AD634">
        <v>0</v>
      </c>
      <c r="AG634">
        <v>0</v>
      </c>
      <c r="AP634" t="s">
        <v>691</v>
      </c>
      <c r="AQ634" t="s">
        <v>107</v>
      </c>
      <c r="AR634" t="s">
        <v>6638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BC634" t="s">
        <v>69</v>
      </c>
      <c r="BD634" t="s">
        <v>692</v>
      </c>
      <c r="BE634">
        <v>0</v>
      </c>
      <c r="BG634" t="s">
        <v>107</v>
      </c>
      <c r="BJ634" t="s">
        <v>693</v>
      </c>
    </row>
    <row r="635" spans="1:62" x14ac:dyDescent="0.35">
      <c r="A635" t="s">
        <v>2601</v>
      </c>
      <c r="B635">
        <v>10000</v>
      </c>
      <c r="C635">
        <v>10000</v>
      </c>
      <c r="D635" s="2">
        <v>45728</v>
      </c>
      <c r="E635" t="s">
        <v>61</v>
      </c>
      <c r="F635" s="3">
        <v>0.46886574074074072</v>
      </c>
      <c r="G635" t="s">
        <v>1852</v>
      </c>
      <c r="I635">
        <v>1</v>
      </c>
      <c r="J635" t="s">
        <v>63</v>
      </c>
      <c r="K635" s="8">
        <v>86</v>
      </c>
      <c r="L635" s="8" t="s">
        <v>6584</v>
      </c>
      <c r="M635" s="8" t="s">
        <v>6627</v>
      </c>
      <c r="N635" t="s">
        <v>64</v>
      </c>
      <c r="O635" t="s">
        <v>6559</v>
      </c>
      <c r="P635" s="4">
        <v>27500</v>
      </c>
      <c r="Q635">
        <f>(P635/60)+45</f>
        <v>503.33333333333331</v>
      </c>
      <c r="R635">
        <f>Q635/60</f>
        <v>8.3888888888888893</v>
      </c>
      <c r="S635" s="2">
        <v>45727</v>
      </c>
      <c r="U635">
        <v>2</v>
      </c>
      <c r="V635" s="4">
        <v>55000</v>
      </c>
      <c r="W635" t="s">
        <v>65</v>
      </c>
      <c r="X635" t="s">
        <v>2602</v>
      </c>
      <c r="Y635">
        <v>0</v>
      </c>
      <c r="Z635" s="4">
        <v>55000</v>
      </c>
      <c r="AA635">
        <v>0</v>
      </c>
      <c r="AB635">
        <v>0</v>
      </c>
      <c r="AC635">
        <v>0</v>
      </c>
      <c r="AD635">
        <v>0</v>
      </c>
      <c r="AG635">
        <v>0</v>
      </c>
      <c r="AP635" t="s">
        <v>2603</v>
      </c>
      <c r="AQ635" t="s">
        <v>1855</v>
      </c>
      <c r="AR635" t="s">
        <v>6689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BC635" t="s">
        <v>69</v>
      </c>
      <c r="BD635" t="s">
        <v>2604</v>
      </c>
      <c r="BE635">
        <v>0</v>
      </c>
      <c r="BG635" t="s">
        <v>1855</v>
      </c>
      <c r="BJ635" t="s">
        <v>2605</v>
      </c>
    </row>
    <row r="636" spans="1:62" x14ac:dyDescent="0.35">
      <c r="A636" t="s">
        <v>2358</v>
      </c>
      <c r="B636">
        <v>10000</v>
      </c>
      <c r="C636">
        <v>20000</v>
      </c>
      <c r="D636" s="2">
        <v>45727</v>
      </c>
      <c r="E636" t="s">
        <v>61</v>
      </c>
      <c r="F636" t="s">
        <v>2359</v>
      </c>
      <c r="G636" t="s">
        <v>2360</v>
      </c>
      <c r="I636">
        <v>2</v>
      </c>
      <c r="J636" t="s">
        <v>63</v>
      </c>
      <c r="K636" s="8">
        <v>105</v>
      </c>
      <c r="L636" s="8" t="s">
        <v>6612</v>
      </c>
      <c r="M636" s="8" t="s">
        <v>6632</v>
      </c>
      <c r="N636" t="s">
        <v>424</v>
      </c>
      <c r="O636" t="s">
        <v>6570</v>
      </c>
      <c r="P636" s="4">
        <v>1300</v>
      </c>
      <c r="S636" s="2">
        <v>45727</v>
      </c>
      <c r="U636">
        <v>3</v>
      </c>
      <c r="V636" s="4">
        <v>3900</v>
      </c>
      <c r="W636" t="s">
        <v>65</v>
      </c>
      <c r="X636" t="s">
        <v>2361</v>
      </c>
      <c r="Y636">
        <v>0</v>
      </c>
      <c r="Z636" s="4">
        <v>3000</v>
      </c>
      <c r="AA636">
        <v>900</v>
      </c>
      <c r="AB636">
        <v>0</v>
      </c>
      <c r="AC636">
        <v>0</v>
      </c>
      <c r="AD636">
        <v>0</v>
      </c>
      <c r="AG636">
        <v>0</v>
      </c>
      <c r="AP636" t="s">
        <v>2362</v>
      </c>
      <c r="AQ636" t="s">
        <v>878</v>
      </c>
      <c r="AR636" t="s">
        <v>6665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BC636" t="s">
        <v>69</v>
      </c>
      <c r="BD636" t="s">
        <v>2363</v>
      </c>
      <c r="BE636">
        <v>0</v>
      </c>
      <c r="BG636" t="s">
        <v>878</v>
      </c>
      <c r="BJ636" t="s">
        <v>2364</v>
      </c>
    </row>
    <row r="637" spans="1:62" x14ac:dyDescent="0.35">
      <c r="A637" t="s">
        <v>2365</v>
      </c>
      <c r="B637">
        <v>10000</v>
      </c>
      <c r="C637">
        <v>20000</v>
      </c>
      <c r="D637" s="2">
        <v>45727</v>
      </c>
      <c r="E637" t="s">
        <v>61</v>
      </c>
      <c r="F637" t="s">
        <v>2366</v>
      </c>
      <c r="G637" t="s">
        <v>2360</v>
      </c>
      <c r="I637">
        <v>2</v>
      </c>
      <c r="J637" t="s">
        <v>63</v>
      </c>
      <c r="K637" s="8">
        <v>105</v>
      </c>
      <c r="L637" s="8" t="s">
        <v>6612</v>
      </c>
      <c r="M637" s="8" t="s">
        <v>6632</v>
      </c>
      <c r="N637" t="s">
        <v>424</v>
      </c>
      <c r="O637" t="s">
        <v>6570</v>
      </c>
      <c r="P637" s="4">
        <v>1300</v>
      </c>
      <c r="S637" s="2">
        <v>45727</v>
      </c>
      <c r="U637">
        <v>3</v>
      </c>
      <c r="V637" s="4">
        <v>3900</v>
      </c>
      <c r="W637" t="s">
        <v>65</v>
      </c>
      <c r="X637" t="s">
        <v>2367</v>
      </c>
      <c r="Y637">
        <v>0</v>
      </c>
      <c r="Z637" s="4">
        <v>3000</v>
      </c>
      <c r="AA637">
        <v>900</v>
      </c>
      <c r="AB637">
        <v>0</v>
      </c>
      <c r="AC637">
        <v>0</v>
      </c>
      <c r="AD637">
        <v>0</v>
      </c>
      <c r="AG637">
        <v>0</v>
      </c>
      <c r="AP637" t="s">
        <v>2368</v>
      </c>
      <c r="AQ637" t="s">
        <v>878</v>
      </c>
      <c r="AR637" t="s">
        <v>6665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BC637" t="s">
        <v>69</v>
      </c>
      <c r="BD637" t="s">
        <v>2369</v>
      </c>
      <c r="BE637">
        <v>0</v>
      </c>
      <c r="BG637" t="s">
        <v>878</v>
      </c>
      <c r="BJ637" t="s">
        <v>2364</v>
      </c>
    </row>
    <row r="638" spans="1:62" x14ac:dyDescent="0.35">
      <c r="A638" t="s">
        <v>2370</v>
      </c>
      <c r="B638">
        <v>10000</v>
      </c>
      <c r="C638">
        <v>20000</v>
      </c>
      <c r="D638" s="2">
        <v>45727</v>
      </c>
      <c r="E638" t="s">
        <v>61</v>
      </c>
      <c r="F638" t="s">
        <v>2371</v>
      </c>
      <c r="G638" t="s">
        <v>2360</v>
      </c>
      <c r="I638">
        <v>2</v>
      </c>
      <c r="J638" t="s">
        <v>63</v>
      </c>
      <c r="K638" s="8">
        <v>105</v>
      </c>
      <c r="L638" s="8" t="s">
        <v>6612</v>
      </c>
      <c r="M638" s="8" t="s">
        <v>6632</v>
      </c>
      <c r="N638" t="s">
        <v>424</v>
      </c>
      <c r="O638" t="s">
        <v>6570</v>
      </c>
      <c r="P638" s="4">
        <v>1300</v>
      </c>
      <c r="S638" s="2">
        <v>45727</v>
      </c>
      <c r="U638">
        <v>3</v>
      </c>
      <c r="V638" s="4">
        <v>3900</v>
      </c>
      <c r="W638" t="s">
        <v>65</v>
      </c>
      <c r="X638" t="s">
        <v>2372</v>
      </c>
      <c r="Y638">
        <v>0</v>
      </c>
      <c r="Z638" s="4">
        <v>3000</v>
      </c>
      <c r="AA638">
        <v>900</v>
      </c>
      <c r="AB638">
        <v>0</v>
      </c>
      <c r="AC638">
        <v>0</v>
      </c>
      <c r="AD638">
        <v>0</v>
      </c>
      <c r="AG638">
        <v>0</v>
      </c>
      <c r="AP638" t="s">
        <v>2373</v>
      </c>
      <c r="AQ638" t="s">
        <v>878</v>
      </c>
      <c r="AR638" t="s">
        <v>6665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BC638" t="s">
        <v>69</v>
      </c>
      <c r="BD638" t="s">
        <v>2374</v>
      </c>
      <c r="BE638">
        <v>0</v>
      </c>
      <c r="BG638" t="s">
        <v>878</v>
      </c>
      <c r="BJ638" t="s">
        <v>2364</v>
      </c>
    </row>
    <row r="639" spans="1:62" x14ac:dyDescent="0.35">
      <c r="A639" t="s">
        <v>1875</v>
      </c>
      <c r="B639">
        <v>10000</v>
      </c>
      <c r="C639">
        <v>20000</v>
      </c>
      <c r="D639" s="2">
        <v>45728</v>
      </c>
      <c r="E639" t="s">
        <v>61</v>
      </c>
      <c r="F639" s="3">
        <v>0.43936342592592592</v>
      </c>
      <c r="G639" t="s">
        <v>1876</v>
      </c>
      <c r="I639">
        <v>2</v>
      </c>
      <c r="J639" t="s">
        <v>63</v>
      </c>
      <c r="K639" s="8">
        <v>92</v>
      </c>
      <c r="L639" s="8" t="s">
        <v>6614</v>
      </c>
      <c r="M639" s="8" t="s">
        <v>6633</v>
      </c>
      <c r="N639" t="s">
        <v>424</v>
      </c>
      <c r="O639" t="s">
        <v>6570</v>
      </c>
      <c r="P639" s="4">
        <v>1000</v>
      </c>
      <c r="S639" s="2">
        <v>45727</v>
      </c>
      <c r="U639">
        <v>1</v>
      </c>
      <c r="V639" s="4">
        <v>1000</v>
      </c>
      <c r="W639" t="s">
        <v>65</v>
      </c>
      <c r="X639" t="s">
        <v>1877</v>
      </c>
      <c r="Y639">
        <v>0</v>
      </c>
      <c r="Z639" s="4">
        <v>1000</v>
      </c>
      <c r="AA639">
        <v>0</v>
      </c>
      <c r="AB639">
        <v>0</v>
      </c>
      <c r="AC639">
        <v>0</v>
      </c>
      <c r="AD639">
        <v>0</v>
      </c>
      <c r="AG639">
        <v>0</v>
      </c>
      <c r="AP639" t="s">
        <v>1878</v>
      </c>
      <c r="AQ639" t="s">
        <v>1879</v>
      </c>
      <c r="AR639" t="s">
        <v>6691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BC639" t="s">
        <v>69</v>
      </c>
      <c r="BD639" t="s">
        <v>1880</v>
      </c>
      <c r="BE639">
        <v>0</v>
      </c>
      <c r="BG639" t="s">
        <v>1879</v>
      </c>
      <c r="BJ639" t="s">
        <v>1881</v>
      </c>
    </row>
    <row r="640" spans="1:62" x14ac:dyDescent="0.35">
      <c r="A640" t="s">
        <v>2393</v>
      </c>
      <c r="B640">
        <v>10000</v>
      </c>
      <c r="C640">
        <v>20000</v>
      </c>
      <c r="D640" s="2">
        <v>45728</v>
      </c>
      <c r="E640" t="s">
        <v>61</v>
      </c>
      <c r="F640" t="s">
        <v>2394</v>
      </c>
      <c r="G640" t="s">
        <v>2395</v>
      </c>
      <c r="I640">
        <v>2</v>
      </c>
      <c r="J640" t="s">
        <v>63</v>
      </c>
      <c r="K640" s="8">
        <v>77</v>
      </c>
      <c r="L640" s="8" t="s">
        <v>6584</v>
      </c>
      <c r="M640" s="8" t="s">
        <v>6627</v>
      </c>
      <c r="N640" t="s">
        <v>127</v>
      </c>
      <c r="O640" t="s">
        <v>6567</v>
      </c>
      <c r="P640">
        <v>227</v>
      </c>
      <c r="Q640">
        <f t="shared" ref="Q640:Q641" si="149">(P640/60)+45</f>
        <v>48.783333333333331</v>
      </c>
      <c r="R640">
        <f t="shared" ref="R640:R646" si="150">Q640/60</f>
        <v>0.81305555555555553</v>
      </c>
      <c r="S640" s="2">
        <v>45727</v>
      </c>
      <c r="U640">
        <v>168</v>
      </c>
      <c r="V640" s="4">
        <v>38136</v>
      </c>
      <c r="W640" t="s">
        <v>65</v>
      </c>
      <c r="X640" t="s">
        <v>2396</v>
      </c>
      <c r="Y640">
        <v>0</v>
      </c>
      <c r="Z640" s="4">
        <v>20000</v>
      </c>
      <c r="AA640" s="4">
        <v>18136</v>
      </c>
      <c r="AB640">
        <v>0</v>
      </c>
      <c r="AC640">
        <v>0</v>
      </c>
      <c r="AD640">
        <v>0</v>
      </c>
      <c r="AG640">
        <v>0</v>
      </c>
      <c r="AP640" t="s">
        <v>2397</v>
      </c>
      <c r="AQ640" t="s">
        <v>68</v>
      </c>
      <c r="AR640" t="s">
        <v>6636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BC640" t="s">
        <v>69</v>
      </c>
      <c r="BD640" t="s">
        <v>2398</v>
      </c>
      <c r="BE640">
        <v>0</v>
      </c>
      <c r="BG640" t="s">
        <v>68</v>
      </c>
      <c r="BJ640" t="s">
        <v>2399</v>
      </c>
    </row>
    <row r="641" spans="1:62" x14ac:dyDescent="0.35">
      <c r="A641" t="s">
        <v>2400</v>
      </c>
      <c r="B641">
        <v>10000</v>
      </c>
      <c r="C641">
        <v>20000</v>
      </c>
      <c r="D641" s="2">
        <v>45728</v>
      </c>
      <c r="E641" t="s">
        <v>61</v>
      </c>
      <c r="F641" t="s">
        <v>2401</v>
      </c>
      <c r="G641" t="s">
        <v>2395</v>
      </c>
      <c r="I641">
        <v>2</v>
      </c>
      <c r="J641" t="s">
        <v>63</v>
      </c>
      <c r="K641" s="8">
        <v>77</v>
      </c>
      <c r="L641" s="8" t="s">
        <v>6584</v>
      </c>
      <c r="M641" s="8" t="s">
        <v>6627</v>
      </c>
      <c r="N641" t="s">
        <v>127</v>
      </c>
      <c r="O641" t="s">
        <v>6567</v>
      </c>
      <c r="P641">
        <v>220</v>
      </c>
      <c r="Q641">
        <f t="shared" si="149"/>
        <v>48.666666666666664</v>
      </c>
      <c r="R641">
        <f t="shared" si="150"/>
        <v>0.81111111111111112</v>
      </c>
      <c r="S641" s="2">
        <v>45727</v>
      </c>
      <c r="U641">
        <v>25</v>
      </c>
      <c r="V641" s="4">
        <v>5500</v>
      </c>
      <c r="W641" t="s">
        <v>65</v>
      </c>
      <c r="X641" t="s">
        <v>2402</v>
      </c>
      <c r="Y641">
        <v>0</v>
      </c>
      <c r="Z641" s="4">
        <v>1000</v>
      </c>
      <c r="AA641" s="4">
        <v>4500</v>
      </c>
      <c r="AB641">
        <v>0</v>
      </c>
      <c r="AC641">
        <v>0</v>
      </c>
      <c r="AD641">
        <v>0</v>
      </c>
      <c r="AG641">
        <v>0</v>
      </c>
      <c r="AP641" t="s">
        <v>2403</v>
      </c>
      <c r="AQ641" t="s">
        <v>68</v>
      </c>
      <c r="AR641" t="s">
        <v>6636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BC641" t="s">
        <v>69</v>
      </c>
      <c r="BD641" t="s">
        <v>2404</v>
      </c>
      <c r="BE641">
        <v>0</v>
      </c>
      <c r="BG641" t="s">
        <v>68</v>
      </c>
      <c r="BJ641" t="s">
        <v>2405</v>
      </c>
    </row>
    <row r="642" spans="1:62" x14ac:dyDescent="0.35">
      <c r="A642" t="s">
        <v>2606</v>
      </c>
      <c r="B642">
        <v>10000</v>
      </c>
      <c r="C642">
        <v>10000</v>
      </c>
      <c r="D642" s="2">
        <v>45729</v>
      </c>
      <c r="E642" t="s">
        <v>61</v>
      </c>
      <c r="F642" t="s">
        <v>2607</v>
      </c>
      <c r="G642" t="s">
        <v>2113</v>
      </c>
      <c r="I642">
        <v>1</v>
      </c>
      <c r="J642" t="s">
        <v>63</v>
      </c>
      <c r="K642" s="8">
        <v>12</v>
      </c>
      <c r="L642" s="8" t="s">
        <v>6604</v>
      </c>
      <c r="M642" s="8" t="s">
        <v>6629</v>
      </c>
      <c r="N642" t="s">
        <v>478</v>
      </c>
      <c r="O642" t="s">
        <v>6434</v>
      </c>
      <c r="P642" s="4">
        <v>32000</v>
      </c>
      <c r="Q642">
        <f t="shared" ref="Q642:Q646" si="151">(P642/50)+45</f>
        <v>685</v>
      </c>
      <c r="R642">
        <f t="shared" si="150"/>
        <v>11.416666666666666</v>
      </c>
      <c r="S642" s="2">
        <v>45727</v>
      </c>
      <c r="U642">
        <v>1</v>
      </c>
      <c r="V642" s="4">
        <v>32000</v>
      </c>
      <c r="W642" t="s">
        <v>65</v>
      </c>
      <c r="X642" t="s">
        <v>2608</v>
      </c>
      <c r="Y642">
        <v>0</v>
      </c>
      <c r="Z642" s="4">
        <v>32000</v>
      </c>
      <c r="AA642">
        <v>0</v>
      </c>
      <c r="AB642">
        <v>0</v>
      </c>
      <c r="AC642">
        <v>0</v>
      </c>
      <c r="AD642">
        <v>0</v>
      </c>
      <c r="AG642">
        <v>0</v>
      </c>
      <c r="AP642" t="s">
        <v>2609</v>
      </c>
      <c r="AQ642" t="s">
        <v>116</v>
      </c>
      <c r="AR642" t="s">
        <v>6639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BC642" t="s">
        <v>69</v>
      </c>
      <c r="BD642" t="s">
        <v>2610</v>
      </c>
      <c r="BE642">
        <v>0</v>
      </c>
      <c r="BG642" t="s">
        <v>116</v>
      </c>
      <c r="BJ642" t="s">
        <v>1906</v>
      </c>
    </row>
    <row r="643" spans="1:62" x14ac:dyDescent="0.35">
      <c r="A643" t="s">
        <v>2611</v>
      </c>
      <c r="B643">
        <v>10000</v>
      </c>
      <c r="C643">
        <v>10000</v>
      </c>
      <c r="D643" s="2">
        <v>45727</v>
      </c>
      <c r="E643" t="s">
        <v>61</v>
      </c>
      <c r="F643" t="s">
        <v>2612</v>
      </c>
      <c r="G643" t="s">
        <v>2613</v>
      </c>
      <c r="I643">
        <v>1</v>
      </c>
      <c r="J643" t="s">
        <v>63</v>
      </c>
      <c r="K643" s="8">
        <v>22</v>
      </c>
      <c r="L643" s="8" t="s">
        <v>6603</v>
      </c>
      <c r="M643" s="8" t="s">
        <v>6629</v>
      </c>
      <c r="N643" t="s">
        <v>466</v>
      </c>
      <c r="O643" t="s">
        <v>6474</v>
      </c>
      <c r="P643" s="4">
        <v>2000</v>
      </c>
      <c r="Q643">
        <f t="shared" si="151"/>
        <v>85</v>
      </c>
      <c r="R643">
        <f t="shared" si="150"/>
        <v>1.4166666666666667</v>
      </c>
      <c r="S643" s="2">
        <v>45727</v>
      </c>
      <c r="U643">
        <v>1</v>
      </c>
      <c r="V643" s="4">
        <v>2000</v>
      </c>
      <c r="W643" t="s">
        <v>65</v>
      </c>
      <c r="X643" t="s">
        <v>2614</v>
      </c>
      <c r="Y643">
        <v>0</v>
      </c>
      <c r="Z643" s="4">
        <v>2000</v>
      </c>
      <c r="AA643">
        <v>0</v>
      </c>
      <c r="AB643">
        <v>0</v>
      </c>
      <c r="AC643">
        <v>0</v>
      </c>
      <c r="AD643">
        <v>0</v>
      </c>
      <c r="AG643">
        <v>0</v>
      </c>
      <c r="AP643" t="s">
        <v>2615</v>
      </c>
      <c r="AQ643" t="s">
        <v>116</v>
      </c>
      <c r="AR643" t="s">
        <v>6639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BC643" t="s">
        <v>69</v>
      </c>
      <c r="BD643" t="s">
        <v>2616</v>
      </c>
      <c r="BE643">
        <v>0</v>
      </c>
      <c r="BG643" t="s">
        <v>116</v>
      </c>
      <c r="BJ643" t="s">
        <v>2230</v>
      </c>
    </row>
    <row r="644" spans="1:62" x14ac:dyDescent="0.35">
      <c r="A644" t="s">
        <v>2617</v>
      </c>
      <c r="B644">
        <v>10000</v>
      </c>
      <c r="C644">
        <v>10000</v>
      </c>
      <c r="D644" s="2">
        <v>45727</v>
      </c>
      <c r="E644" t="s">
        <v>61</v>
      </c>
      <c r="F644" t="s">
        <v>2618</v>
      </c>
      <c r="G644" t="s">
        <v>465</v>
      </c>
      <c r="I644">
        <v>1</v>
      </c>
      <c r="J644" t="s">
        <v>63</v>
      </c>
      <c r="K644" s="8">
        <v>22</v>
      </c>
      <c r="L644" s="8" t="s">
        <v>6603</v>
      </c>
      <c r="M644" s="8" t="s">
        <v>6629</v>
      </c>
      <c r="N644" t="s">
        <v>466</v>
      </c>
      <c r="O644" t="s">
        <v>6474</v>
      </c>
      <c r="P644" s="4">
        <v>6000</v>
      </c>
      <c r="Q644">
        <f t="shared" si="151"/>
        <v>165</v>
      </c>
      <c r="R644">
        <f t="shared" si="150"/>
        <v>2.75</v>
      </c>
      <c r="S644" s="2">
        <v>45727</v>
      </c>
      <c r="U644">
        <v>1</v>
      </c>
      <c r="V644" s="4">
        <v>6000</v>
      </c>
      <c r="W644" t="s">
        <v>65</v>
      </c>
      <c r="X644" t="s">
        <v>2619</v>
      </c>
      <c r="Y644">
        <v>0</v>
      </c>
      <c r="Z644" s="4">
        <v>6000</v>
      </c>
      <c r="AA644">
        <v>0</v>
      </c>
      <c r="AB644">
        <v>0</v>
      </c>
      <c r="AC644">
        <v>0</v>
      </c>
      <c r="AD644">
        <v>0</v>
      </c>
      <c r="AG644">
        <v>0</v>
      </c>
      <c r="AP644" t="s">
        <v>2620</v>
      </c>
      <c r="AQ644" t="s">
        <v>116</v>
      </c>
      <c r="AR644" t="s">
        <v>6639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BC644" t="s">
        <v>69</v>
      </c>
      <c r="BD644" t="s">
        <v>2621</v>
      </c>
      <c r="BE644">
        <v>0</v>
      </c>
      <c r="BG644" t="s">
        <v>116</v>
      </c>
      <c r="BJ644" t="s">
        <v>2230</v>
      </c>
    </row>
    <row r="645" spans="1:62" x14ac:dyDescent="0.35">
      <c r="A645" t="s">
        <v>2622</v>
      </c>
      <c r="B645">
        <v>10000</v>
      </c>
      <c r="C645">
        <v>10000</v>
      </c>
      <c r="D645" s="2">
        <v>45728</v>
      </c>
      <c r="E645" t="s">
        <v>61</v>
      </c>
      <c r="F645" t="s">
        <v>2407</v>
      </c>
      <c r="G645" t="s">
        <v>2623</v>
      </c>
      <c r="I645">
        <v>1</v>
      </c>
      <c r="J645" t="s">
        <v>63</v>
      </c>
      <c r="K645" s="8">
        <v>22</v>
      </c>
      <c r="L645" s="8" t="s">
        <v>6603</v>
      </c>
      <c r="M645" s="8" t="s">
        <v>6629</v>
      </c>
      <c r="N645" t="s">
        <v>466</v>
      </c>
      <c r="O645" t="s">
        <v>6474</v>
      </c>
      <c r="P645" s="4">
        <v>4000</v>
      </c>
      <c r="Q645">
        <f t="shared" si="151"/>
        <v>125</v>
      </c>
      <c r="R645">
        <f t="shared" si="150"/>
        <v>2.0833333333333335</v>
      </c>
      <c r="S645" s="2">
        <v>45727</v>
      </c>
      <c r="U645">
        <v>1</v>
      </c>
      <c r="V645" s="4">
        <v>4000</v>
      </c>
      <c r="W645" t="s">
        <v>65</v>
      </c>
      <c r="X645" t="s">
        <v>2624</v>
      </c>
      <c r="Y645">
        <v>0</v>
      </c>
      <c r="Z645" s="4">
        <v>4000</v>
      </c>
      <c r="AA645">
        <v>0</v>
      </c>
      <c r="AB645">
        <v>0</v>
      </c>
      <c r="AC645">
        <v>0</v>
      </c>
      <c r="AD645">
        <v>0</v>
      </c>
      <c r="AG645">
        <v>0</v>
      </c>
      <c r="AP645" t="s">
        <v>2625</v>
      </c>
      <c r="AQ645" t="s">
        <v>116</v>
      </c>
      <c r="AR645" t="s">
        <v>6639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BC645" t="s">
        <v>69</v>
      </c>
      <c r="BD645" t="s">
        <v>2626</v>
      </c>
      <c r="BE645">
        <v>0</v>
      </c>
      <c r="BG645" t="s">
        <v>116</v>
      </c>
      <c r="BJ645" t="s">
        <v>2230</v>
      </c>
    </row>
    <row r="646" spans="1:62" x14ac:dyDescent="0.35">
      <c r="A646" t="s">
        <v>2627</v>
      </c>
      <c r="B646">
        <v>10000</v>
      </c>
      <c r="C646">
        <v>10000</v>
      </c>
      <c r="D646" s="2">
        <v>45727</v>
      </c>
      <c r="E646" t="s">
        <v>61</v>
      </c>
      <c r="F646" t="s">
        <v>2417</v>
      </c>
      <c r="G646" t="s">
        <v>465</v>
      </c>
      <c r="I646">
        <v>1</v>
      </c>
      <c r="J646" t="s">
        <v>63</v>
      </c>
      <c r="K646" s="8">
        <v>22</v>
      </c>
      <c r="L646" s="8" t="s">
        <v>6603</v>
      </c>
      <c r="M646" s="8" t="s">
        <v>6629</v>
      </c>
      <c r="N646" t="s">
        <v>466</v>
      </c>
      <c r="O646" t="s">
        <v>6474</v>
      </c>
      <c r="P646" s="4">
        <v>4000</v>
      </c>
      <c r="Q646">
        <f t="shared" si="151"/>
        <v>125</v>
      </c>
      <c r="R646">
        <f t="shared" si="150"/>
        <v>2.0833333333333335</v>
      </c>
      <c r="S646" s="2">
        <v>45727</v>
      </c>
      <c r="U646">
        <v>1</v>
      </c>
      <c r="V646" s="4">
        <v>4000</v>
      </c>
      <c r="W646" t="s">
        <v>65</v>
      </c>
      <c r="X646" t="s">
        <v>2628</v>
      </c>
      <c r="Y646">
        <v>0</v>
      </c>
      <c r="Z646" s="4">
        <v>4000</v>
      </c>
      <c r="AA646">
        <v>0</v>
      </c>
      <c r="AB646">
        <v>0</v>
      </c>
      <c r="AC646">
        <v>0</v>
      </c>
      <c r="AD646">
        <v>0</v>
      </c>
      <c r="AG646">
        <v>0</v>
      </c>
      <c r="AP646" t="s">
        <v>2629</v>
      </c>
      <c r="AQ646" t="s">
        <v>116</v>
      </c>
      <c r="AR646" t="s">
        <v>6639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BC646" t="s">
        <v>69</v>
      </c>
      <c r="BD646" t="s">
        <v>2630</v>
      </c>
      <c r="BE646">
        <v>0</v>
      </c>
      <c r="BG646" t="s">
        <v>116</v>
      </c>
      <c r="BJ646" t="s">
        <v>1918</v>
      </c>
    </row>
    <row r="647" spans="1:62" x14ac:dyDescent="0.35">
      <c r="A647" t="s">
        <v>2425</v>
      </c>
      <c r="B647">
        <v>10000</v>
      </c>
      <c r="C647">
        <v>30000</v>
      </c>
      <c r="D647" s="2">
        <v>45742</v>
      </c>
      <c r="E647" t="s">
        <v>61</v>
      </c>
      <c r="F647" t="s">
        <v>2426</v>
      </c>
      <c r="G647" t="s">
        <v>2427</v>
      </c>
      <c r="I647">
        <v>2</v>
      </c>
      <c r="J647" t="s">
        <v>63</v>
      </c>
      <c r="K647" s="8">
        <v>77</v>
      </c>
      <c r="L647" s="8" t="s">
        <v>6584</v>
      </c>
      <c r="M647" s="8" t="s">
        <v>6627</v>
      </c>
      <c r="N647" t="s">
        <v>127</v>
      </c>
      <c r="O647" t="s">
        <v>6567</v>
      </c>
      <c r="P647" s="4">
        <v>1167</v>
      </c>
      <c r="Q647">
        <f t="shared" ref="Q647:Q648" si="152">(P647/60)+45</f>
        <v>64.45</v>
      </c>
      <c r="R647">
        <f t="shared" ref="R647:R648" si="153">Q647/60</f>
        <v>1.0741666666666667</v>
      </c>
      <c r="S647" s="2">
        <v>45727</v>
      </c>
      <c r="U647">
        <v>6</v>
      </c>
      <c r="V647" s="4">
        <v>7002</v>
      </c>
      <c r="W647" t="s">
        <v>65</v>
      </c>
      <c r="X647" t="s">
        <v>2428</v>
      </c>
      <c r="Y647">
        <v>0</v>
      </c>
      <c r="Z647" s="4">
        <v>5000</v>
      </c>
      <c r="AA647" s="4">
        <v>2002</v>
      </c>
      <c r="AB647">
        <v>0</v>
      </c>
      <c r="AC647">
        <v>0</v>
      </c>
      <c r="AD647">
        <v>0</v>
      </c>
      <c r="AG647">
        <v>0</v>
      </c>
      <c r="AP647" t="s">
        <v>2429</v>
      </c>
      <c r="AQ647" t="s">
        <v>107</v>
      </c>
      <c r="AR647" t="s">
        <v>6638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BC647" t="s">
        <v>69</v>
      </c>
      <c r="BD647" t="s">
        <v>2430</v>
      </c>
      <c r="BE647">
        <v>0</v>
      </c>
      <c r="BG647" t="s">
        <v>107</v>
      </c>
      <c r="BJ647" t="s">
        <v>2431</v>
      </c>
    </row>
    <row r="648" spans="1:62" x14ac:dyDescent="0.35">
      <c r="A648" t="s">
        <v>1949</v>
      </c>
      <c r="B648">
        <v>10000</v>
      </c>
      <c r="C648">
        <v>20000</v>
      </c>
      <c r="D648" s="2">
        <v>45733</v>
      </c>
      <c r="E648" t="s">
        <v>61</v>
      </c>
      <c r="F648" t="s">
        <v>1950</v>
      </c>
      <c r="G648">
        <v>10639931107</v>
      </c>
      <c r="I648">
        <v>2</v>
      </c>
      <c r="J648" t="s">
        <v>63</v>
      </c>
      <c r="K648" s="8">
        <v>77</v>
      </c>
      <c r="L648" s="8" t="s">
        <v>6584</v>
      </c>
      <c r="M648" s="8" t="s">
        <v>6627</v>
      </c>
      <c r="N648" t="s">
        <v>127</v>
      </c>
      <c r="O648" t="s">
        <v>6567</v>
      </c>
      <c r="P648" s="4">
        <v>1364</v>
      </c>
      <c r="Q648">
        <f t="shared" si="152"/>
        <v>67.733333333333334</v>
      </c>
      <c r="R648">
        <f t="shared" si="153"/>
        <v>1.1288888888888888</v>
      </c>
      <c r="S648" s="2">
        <v>45727</v>
      </c>
      <c r="U648">
        <v>66</v>
      </c>
      <c r="V648" s="4">
        <v>90024</v>
      </c>
      <c r="W648" t="s">
        <v>65</v>
      </c>
      <c r="X648" t="s">
        <v>1951</v>
      </c>
      <c r="Y648">
        <v>0</v>
      </c>
      <c r="Z648" s="4">
        <v>80000</v>
      </c>
      <c r="AA648" s="4">
        <v>10024</v>
      </c>
      <c r="AB648">
        <v>0</v>
      </c>
      <c r="AC648">
        <v>0</v>
      </c>
      <c r="AD648">
        <v>0</v>
      </c>
      <c r="AG648">
        <v>0</v>
      </c>
      <c r="AP648" t="s">
        <v>1952</v>
      </c>
      <c r="AQ648" t="s">
        <v>107</v>
      </c>
      <c r="AR648" t="s">
        <v>6638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BC648" t="s">
        <v>69</v>
      </c>
      <c r="BD648" t="s">
        <v>1953</v>
      </c>
      <c r="BE648">
        <v>0</v>
      </c>
      <c r="BG648" t="s">
        <v>107</v>
      </c>
      <c r="BJ648" t="s">
        <v>1954</v>
      </c>
    </row>
    <row r="649" spans="1:62" x14ac:dyDescent="0.35">
      <c r="A649" t="s">
        <v>2434</v>
      </c>
      <c r="B649">
        <v>10000</v>
      </c>
      <c r="C649">
        <v>30000</v>
      </c>
      <c r="D649" s="2">
        <v>45729</v>
      </c>
      <c r="E649" t="s">
        <v>61</v>
      </c>
      <c r="F649" t="s">
        <v>2631</v>
      </c>
      <c r="G649">
        <v>59469</v>
      </c>
      <c r="I649">
        <v>2</v>
      </c>
      <c r="J649" t="s">
        <v>63</v>
      </c>
      <c r="K649" s="8">
        <v>96</v>
      </c>
      <c r="L649" s="8" t="s">
        <v>6585</v>
      </c>
      <c r="M649" s="8" t="s">
        <v>6628</v>
      </c>
      <c r="N649" t="s">
        <v>104</v>
      </c>
      <c r="O649" t="s">
        <v>6579</v>
      </c>
      <c r="P649" s="4">
        <v>179375</v>
      </c>
      <c r="S649" s="2">
        <v>45727</v>
      </c>
      <c r="U649">
        <v>6</v>
      </c>
      <c r="V649" s="4">
        <v>1076250</v>
      </c>
      <c r="W649" t="s">
        <v>65</v>
      </c>
      <c r="X649" t="s">
        <v>993</v>
      </c>
      <c r="Y649">
        <v>0</v>
      </c>
      <c r="Z649" s="4">
        <v>1076250</v>
      </c>
      <c r="AA649">
        <v>0</v>
      </c>
      <c r="AB649">
        <v>0</v>
      </c>
      <c r="AC649">
        <v>0</v>
      </c>
      <c r="AD649">
        <v>0</v>
      </c>
      <c r="AG649">
        <v>0</v>
      </c>
      <c r="AP649" t="s">
        <v>994</v>
      </c>
      <c r="AQ649" t="s">
        <v>321</v>
      </c>
      <c r="AR649" t="s">
        <v>6652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BC649" t="s">
        <v>69</v>
      </c>
      <c r="BD649" t="s">
        <v>2436</v>
      </c>
      <c r="BE649">
        <v>0</v>
      </c>
      <c r="BG649" t="s">
        <v>321</v>
      </c>
      <c r="BJ649" t="s">
        <v>2437</v>
      </c>
    </row>
    <row r="650" spans="1:62" x14ac:dyDescent="0.35">
      <c r="A650" t="s">
        <v>2632</v>
      </c>
      <c r="B650">
        <v>10000</v>
      </c>
      <c r="C650">
        <v>10000</v>
      </c>
      <c r="D650" s="2">
        <v>45728</v>
      </c>
      <c r="E650" t="s">
        <v>61</v>
      </c>
      <c r="F650" t="s">
        <v>2633</v>
      </c>
      <c r="G650" t="s">
        <v>2634</v>
      </c>
      <c r="I650">
        <v>1</v>
      </c>
      <c r="J650" t="s">
        <v>63</v>
      </c>
      <c r="K650" s="8">
        <v>31</v>
      </c>
      <c r="L650" s="8" t="s">
        <v>6595</v>
      </c>
      <c r="M650" s="8" t="s">
        <v>6629</v>
      </c>
      <c r="N650" t="s">
        <v>1311</v>
      </c>
      <c r="O650" t="s">
        <v>6491</v>
      </c>
      <c r="P650" s="4">
        <v>5000</v>
      </c>
      <c r="Q650">
        <f t="shared" ref="Q650:Q651" si="154">(P650/40)+45</f>
        <v>170</v>
      </c>
      <c r="R650">
        <f t="shared" ref="R650:R651" si="155">Q650/60</f>
        <v>2.8333333333333335</v>
      </c>
      <c r="S650" s="2">
        <v>45727</v>
      </c>
      <c r="U650">
        <v>6</v>
      </c>
      <c r="V650" s="4">
        <v>30000</v>
      </c>
      <c r="W650" t="s">
        <v>65</v>
      </c>
      <c r="X650" t="s">
        <v>2635</v>
      </c>
      <c r="Y650">
        <v>0</v>
      </c>
      <c r="Z650" s="4">
        <v>25000</v>
      </c>
      <c r="AA650" s="4">
        <v>5000</v>
      </c>
      <c r="AB650">
        <v>0</v>
      </c>
      <c r="AC650">
        <v>0</v>
      </c>
      <c r="AD650">
        <v>0</v>
      </c>
      <c r="AG650">
        <v>0</v>
      </c>
      <c r="AP650" t="s">
        <v>2636</v>
      </c>
      <c r="AQ650" t="s">
        <v>2637</v>
      </c>
      <c r="AR650" t="s">
        <v>6705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BC650" t="s">
        <v>69</v>
      </c>
      <c r="BD650" t="s">
        <v>2638</v>
      </c>
      <c r="BE650">
        <v>0</v>
      </c>
      <c r="BG650" t="s">
        <v>2637</v>
      </c>
      <c r="BJ650" t="s">
        <v>2639</v>
      </c>
    </row>
    <row r="651" spans="1:62" x14ac:dyDescent="0.35">
      <c r="A651" t="s">
        <v>2640</v>
      </c>
      <c r="B651">
        <v>10000</v>
      </c>
      <c r="C651">
        <v>10000</v>
      </c>
      <c r="D651" s="2">
        <v>45728</v>
      </c>
      <c r="E651" t="s">
        <v>61</v>
      </c>
      <c r="F651" t="s">
        <v>2641</v>
      </c>
      <c r="G651" t="s">
        <v>518</v>
      </c>
      <c r="I651">
        <v>1</v>
      </c>
      <c r="J651" t="s">
        <v>63</v>
      </c>
      <c r="K651" s="8">
        <v>63</v>
      </c>
      <c r="L651" s="8" t="s">
        <v>6605</v>
      </c>
      <c r="M651" s="8" t="s">
        <v>6630</v>
      </c>
      <c r="N651" t="s">
        <v>519</v>
      </c>
      <c r="O651" t="s">
        <v>6569</v>
      </c>
      <c r="P651">
        <v>14</v>
      </c>
      <c r="Q651">
        <f t="shared" si="154"/>
        <v>45.35</v>
      </c>
      <c r="R651">
        <f t="shared" si="155"/>
        <v>0.75583333333333336</v>
      </c>
      <c r="S651" s="2">
        <v>45727</v>
      </c>
      <c r="U651">
        <v>15</v>
      </c>
      <c r="V651">
        <v>210</v>
      </c>
      <c r="W651" t="s">
        <v>65</v>
      </c>
      <c r="X651" t="s">
        <v>2642</v>
      </c>
      <c r="Y651">
        <v>0</v>
      </c>
      <c r="Z651">
        <v>200</v>
      </c>
      <c r="AA651">
        <v>10</v>
      </c>
      <c r="AB651">
        <v>0</v>
      </c>
      <c r="AC651">
        <v>0</v>
      </c>
      <c r="AD651">
        <v>0</v>
      </c>
      <c r="AG651">
        <v>0</v>
      </c>
      <c r="AP651" t="s">
        <v>2643</v>
      </c>
      <c r="AQ651" t="s">
        <v>661</v>
      </c>
      <c r="AR651" t="s">
        <v>6660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BC651" t="s">
        <v>69</v>
      </c>
      <c r="BD651" t="s">
        <v>2644</v>
      </c>
      <c r="BE651">
        <v>0</v>
      </c>
      <c r="BG651" t="s">
        <v>661</v>
      </c>
      <c r="BJ651" t="s">
        <v>2645</v>
      </c>
    </row>
    <row r="652" spans="1:62" x14ac:dyDescent="0.35">
      <c r="A652" t="s">
        <v>2646</v>
      </c>
      <c r="B652">
        <v>10000</v>
      </c>
      <c r="C652">
        <v>10000</v>
      </c>
      <c r="D652" s="2">
        <v>45728</v>
      </c>
      <c r="E652" t="s">
        <v>61</v>
      </c>
      <c r="F652" t="s">
        <v>2641</v>
      </c>
      <c r="G652" t="s">
        <v>2494</v>
      </c>
      <c r="I652">
        <v>1</v>
      </c>
      <c r="J652" t="s">
        <v>63</v>
      </c>
      <c r="K652" s="8">
        <v>87</v>
      </c>
      <c r="L652" s="8" t="s">
        <v>6591</v>
      </c>
      <c r="M652" s="8" t="s">
        <v>6630</v>
      </c>
      <c r="N652" t="s">
        <v>172</v>
      </c>
      <c r="O652" t="s">
        <v>6546</v>
      </c>
      <c r="P652">
        <v>100</v>
      </c>
      <c r="S652" s="2">
        <v>45727</v>
      </c>
      <c r="U652">
        <v>2</v>
      </c>
      <c r="V652">
        <v>200</v>
      </c>
      <c r="W652" t="s">
        <v>65</v>
      </c>
      <c r="X652" t="s">
        <v>2495</v>
      </c>
      <c r="Y652">
        <v>0</v>
      </c>
      <c r="Z652">
        <v>200</v>
      </c>
      <c r="AA652">
        <v>0</v>
      </c>
      <c r="AB652">
        <v>0</v>
      </c>
      <c r="AC652">
        <v>0</v>
      </c>
      <c r="AD652">
        <v>0</v>
      </c>
      <c r="AG652">
        <v>0</v>
      </c>
      <c r="AP652" t="s">
        <v>2496</v>
      </c>
      <c r="AQ652" t="s">
        <v>661</v>
      </c>
      <c r="AR652" t="s">
        <v>6660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BC652" t="s">
        <v>69</v>
      </c>
      <c r="BD652" t="s">
        <v>2647</v>
      </c>
      <c r="BE652">
        <v>0</v>
      </c>
      <c r="BG652" t="s">
        <v>661</v>
      </c>
      <c r="BJ652" t="s">
        <v>2648</v>
      </c>
    </row>
    <row r="653" spans="1:62" x14ac:dyDescent="0.35">
      <c r="A653" t="s">
        <v>2649</v>
      </c>
      <c r="B653">
        <v>10000</v>
      </c>
      <c r="C653">
        <v>10000</v>
      </c>
      <c r="D653" s="2">
        <v>45735</v>
      </c>
      <c r="E653" t="s">
        <v>61</v>
      </c>
      <c r="F653" s="3">
        <v>0.45159722222222221</v>
      </c>
      <c r="G653" t="s">
        <v>2650</v>
      </c>
      <c r="I653">
        <v>1</v>
      </c>
      <c r="J653" t="s">
        <v>63</v>
      </c>
      <c r="K653" s="8">
        <v>79</v>
      </c>
      <c r="L653" s="8" t="s">
        <v>6608</v>
      </c>
      <c r="M653" s="8" t="s">
        <v>6631</v>
      </c>
      <c r="N653" t="s">
        <v>573</v>
      </c>
      <c r="O653" t="s">
        <v>6547</v>
      </c>
      <c r="P653">
        <v>100</v>
      </c>
      <c r="Q653">
        <f>(P653/20)+30</f>
        <v>35</v>
      </c>
      <c r="R653">
        <f>Q653/60</f>
        <v>0.58333333333333337</v>
      </c>
      <c r="S653" s="2">
        <v>45727</v>
      </c>
      <c r="U653">
        <v>20</v>
      </c>
      <c r="V653" s="4">
        <v>2000</v>
      </c>
      <c r="W653" t="s">
        <v>65</v>
      </c>
      <c r="X653" t="s">
        <v>2651</v>
      </c>
      <c r="Y653">
        <v>0</v>
      </c>
      <c r="Z653" s="4">
        <v>2000</v>
      </c>
      <c r="AA653">
        <v>0</v>
      </c>
      <c r="AB653">
        <v>0</v>
      </c>
      <c r="AC653">
        <v>0</v>
      </c>
      <c r="AD653">
        <v>0</v>
      </c>
      <c r="AG653">
        <v>0</v>
      </c>
      <c r="AP653" t="s">
        <v>2652</v>
      </c>
      <c r="AQ653" t="s">
        <v>2653</v>
      </c>
      <c r="AR653" t="s">
        <v>6706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BC653" t="s">
        <v>69</v>
      </c>
      <c r="BD653" t="s">
        <v>2654</v>
      </c>
      <c r="BE653">
        <v>0</v>
      </c>
      <c r="BG653" t="s">
        <v>2653</v>
      </c>
      <c r="BJ653" t="s">
        <v>2655</v>
      </c>
    </row>
    <row r="654" spans="1:62" x14ac:dyDescent="0.35">
      <c r="A654" t="s">
        <v>2656</v>
      </c>
      <c r="B654">
        <v>10000</v>
      </c>
      <c r="C654">
        <v>10000</v>
      </c>
      <c r="D654" s="2">
        <v>45728</v>
      </c>
      <c r="E654" t="s">
        <v>61</v>
      </c>
      <c r="F654" t="s">
        <v>2657</v>
      </c>
      <c r="G654" t="s">
        <v>2445</v>
      </c>
      <c r="I654">
        <v>1</v>
      </c>
      <c r="J654" t="s">
        <v>63</v>
      </c>
      <c r="K654" s="8">
        <v>88</v>
      </c>
      <c r="L654" s="8" t="s">
        <v>6610</v>
      </c>
      <c r="M654" s="8" t="s">
        <v>6631</v>
      </c>
      <c r="N654" t="s">
        <v>630</v>
      </c>
      <c r="O654" t="s">
        <v>6571</v>
      </c>
      <c r="P654" s="4">
        <v>1090</v>
      </c>
      <c r="S654" s="2">
        <v>45727</v>
      </c>
      <c r="U654">
        <v>1</v>
      </c>
      <c r="V654" s="4">
        <v>1090</v>
      </c>
      <c r="W654" t="s">
        <v>65</v>
      </c>
      <c r="X654" t="s">
        <v>2658</v>
      </c>
      <c r="Y654">
        <v>0</v>
      </c>
      <c r="Z654" s="4">
        <v>1090</v>
      </c>
      <c r="AA654">
        <v>0</v>
      </c>
      <c r="AB654">
        <v>0</v>
      </c>
      <c r="AC654">
        <v>0</v>
      </c>
      <c r="AD654">
        <v>0</v>
      </c>
      <c r="AG654">
        <v>0</v>
      </c>
      <c r="AP654" t="s">
        <v>2659</v>
      </c>
      <c r="AQ654" t="s">
        <v>2448</v>
      </c>
      <c r="AR654" t="s">
        <v>6703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BC654" t="s">
        <v>69</v>
      </c>
      <c r="BD654" t="s">
        <v>2660</v>
      </c>
      <c r="BE654">
        <v>0</v>
      </c>
      <c r="BG654" t="s">
        <v>2448</v>
      </c>
      <c r="BJ654" t="s">
        <v>2450</v>
      </c>
    </row>
    <row r="655" spans="1:62" x14ac:dyDescent="0.35">
      <c r="A655" t="s">
        <v>2656</v>
      </c>
      <c r="B655">
        <v>20000</v>
      </c>
      <c r="C655">
        <v>10000</v>
      </c>
      <c r="D655" s="2">
        <v>45728</v>
      </c>
      <c r="E655" t="s">
        <v>61</v>
      </c>
      <c r="F655" t="s">
        <v>2657</v>
      </c>
      <c r="G655" t="s">
        <v>2445</v>
      </c>
      <c r="I655">
        <v>1</v>
      </c>
      <c r="J655" t="s">
        <v>63</v>
      </c>
      <c r="K655" s="8">
        <v>88</v>
      </c>
      <c r="L655" s="8" t="s">
        <v>6610</v>
      </c>
      <c r="M655" s="8" t="s">
        <v>6631</v>
      </c>
      <c r="N655" t="s">
        <v>630</v>
      </c>
      <c r="O655" t="s">
        <v>6571</v>
      </c>
      <c r="P655">
        <v>450</v>
      </c>
      <c r="S655" s="2">
        <v>45727</v>
      </c>
      <c r="U655">
        <v>1</v>
      </c>
      <c r="V655">
        <v>450</v>
      </c>
      <c r="W655" t="s">
        <v>65</v>
      </c>
      <c r="X655" t="s">
        <v>2658</v>
      </c>
      <c r="Y655">
        <v>0</v>
      </c>
      <c r="Z655">
        <v>450</v>
      </c>
      <c r="AA655">
        <v>0</v>
      </c>
      <c r="AB655">
        <v>0</v>
      </c>
      <c r="AC655">
        <v>0</v>
      </c>
      <c r="AD655">
        <v>0</v>
      </c>
      <c r="AG655">
        <v>0</v>
      </c>
      <c r="AP655" t="s">
        <v>2659</v>
      </c>
      <c r="AQ655" t="s">
        <v>2448</v>
      </c>
      <c r="AR655" t="s">
        <v>6703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BC655" t="s">
        <v>69</v>
      </c>
      <c r="BD655" t="s">
        <v>2660</v>
      </c>
      <c r="BE655">
        <v>0</v>
      </c>
      <c r="BG655" t="s">
        <v>2448</v>
      </c>
      <c r="BJ655" t="s">
        <v>2450</v>
      </c>
    </row>
    <row r="656" spans="1:62" x14ac:dyDescent="0.35">
      <c r="A656" t="s">
        <v>2656</v>
      </c>
      <c r="B656">
        <v>30000</v>
      </c>
      <c r="C656">
        <v>10000</v>
      </c>
      <c r="D656" s="2">
        <v>45728</v>
      </c>
      <c r="E656" t="s">
        <v>61</v>
      </c>
      <c r="F656" t="s">
        <v>2657</v>
      </c>
      <c r="G656" t="s">
        <v>2445</v>
      </c>
      <c r="I656">
        <v>1</v>
      </c>
      <c r="J656" t="s">
        <v>63</v>
      </c>
      <c r="K656" s="8">
        <v>88</v>
      </c>
      <c r="L656" s="8" t="s">
        <v>6610</v>
      </c>
      <c r="M656" s="8" t="s">
        <v>6631</v>
      </c>
      <c r="N656" t="s">
        <v>630</v>
      </c>
      <c r="O656" t="s">
        <v>6571</v>
      </c>
      <c r="P656">
        <v>150</v>
      </c>
      <c r="S656" s="2">
        <v>45727</v>
      </c>
      <c r="U656">
        <v>1</v>
      </c>
      <c r="V656">
        <v>150</v>
      </c>
      <c r="W656" t="s">
        <v>65</v>
      </c>
      <c r="X656" t="s">
        <v>2658</v>
      </c>
      <c r="Y656">
        <v>0</v>
      </c>
      <c r="Z656">
        <v>150</v>
      </c>
      <c r="AA656">
        <v>0</v>
      </c>
      <c r="AB656">
        <v>0</v>
      </c>
      <c r="AC656">
        <v>0</v>
      </c>
      <c r="AD656">
        <v>0</v>
      </c>
      <c r="AG656">
        <v>0</v>
      </c>
      <c r="AP656" t="s">
        <v>2659</v>
      </c>
      <c r="AQ656" t="s">
        <v>2448</v>
      </c>
      <c r="AR656" t="s">
        <v>6703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BC656" t="s">
        <v>69</v>
      </c>
      <c r="BD656" t="s">
        <v>2660</v>
      </c>
      <c r="BE656">
        <v>0</v>
      </c>
      <c r="BG656" t="s">
        <v>2448</v>
      </c>
      <c r="BJ656" t="s">
        <v>2450</v>
      </c>
    </row>
    <row r="657" spans="1:62" x14ac:dyDescent="0.35">
      <c r="A657" t="s">
        <v>2661</v>
      </c>
      <c r="B657">
        <v>10000</v>
      </c>
      <c r="C657">
        <v>10000</v>
      </c>
      <c r="D657" s="2">
        <v>45728</v>
      </c>
      <c r="E657" t="s">
        <v>61</v>
      </c>
      <c r="F657" t="s">
        <v>2457</v>
      </c>
      <c r="G657" t="s">
        <v>518</v>
      </c>
      <c r="I657">
        <v>1</v>
      </c>
      <c r="J657" t="s">
        <v>63</v>
      </c>
      <c r="K657" s="8">
        <v>63</v>
      </c>
      <c r="L657" s="8" t="s">
        <v>6605</v>
      </c>
      <c r="M657" s="8" t="s">
        <v>6630</v>
      </c>
      <c r="N657" t="s">
        <v>519</v>
      </c>
      <c r="O657" t="s">
        <v>6569</v>
      </c>
      <c r="P657" s="4">
        <v>3000</v>
      </c>
      <c r="Q657">
        <f t="shared" ref="Q657:Q664" si="156">(P657/40)+45</f>
        <v>120</v>
      </c>
      <c r="R657">
        <f t="shared" ref="R657:R664" si="157">Q657/60</f>
        <v>2</v>
      </c>
      <c r="S657" s="2">
        <v>45727</v>
      </c>
      <c r="U657">
        <v>40</v>
      </c>
      <c r="V657" s="4">
        <v>120000</v>
      </c>
      <c r="W657" t="s">
        <v>65</v>
      </c>
      <c r="X657" t="s">
        <v>2662</v>
      </c>
      <c r="Y657">
        <v>0</v>
      </c>
      <c r="Z657" s="4">
        <v>120000</v>
      </c>
      <c r="AA657">
        <v>0</v>
      </c>
      <c r="AB657">
        <v>0</v>
      </c>
      <c r="AC657">
        <v>0</v>
      </c>
      <c r="AD657">
        <v>0</v>
      </c>
      <c r="AG657">
        <v>0</v>
      </c>
      <c r="AP657" t="s">
        <v>2663</v>
      </c>
      <c r="AQ657" t="s">
        <v>157</v>
      </c>
      <c r="AR657" t="s">
        <v>6640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BC657" t="s">
        <v>69</v>
      </c>
      <c r="BD657" t="s">
        <v>2664</v>
      </c>
      <c r="BE657">
        <v>0</v>
      </c>
      <c r="BG657" t="s">
        <v>157</v>
      </c>
      <c r="BJ657" t="s">
        <v>2665</v>
      </c>
    </row>
    <row r="658" spans="1:62" x14ac:dyDescent="0.35">
      <c r="A658" t="s">
        <v>2666</v>
      </c>
      <c r="B658">
        <v>10000</v>
      </c>
      <c r="C658">
        <v>10000</v>
      </c>
      <c r="D658" s="2">
        <v>45729</v>
      </c>
      <c r="E658" t="s">
        <v>61</v>
      </c>
      <c r="F658" t="s">
        <v>2493</v>
      </c>
      <c r="G658" t="s">
        <v>518</v>
      </c>
      <c r="I658">
        <v>1</v>
      </c>
      <c r="J658" t="s">
        <v>63</v>
      </c>
      <c r="K658" s="8">
        <v>63</v>
      </c>
      <c r="L658" s="8" t="s">
        <v>6605</v>
      </c>
      <c r="M658" s="8" t="s">
        <v>6630</v>
      </c>
      <c r="N658" t="s">
        <v>519</v>
      </c>
      <c r="O658" t="s">
        <v>6569</v>
      </c>
      <c r="P658" s="4">
        <v>5000</v>
      </c>
      <c r="Q658">
        <f t="shared" si="156"/>
        <v>170</v>
      </c>
      <c r="R658">
        <f t="shared" si="157"/>
        <v>2.8333333333333335</v>
      </c>
      <c r="S658" s="2">
        <v>45727</v>
      </c>
      <c r="U658">
        <v>60</v>
      </c>
      <c r="V658" s="4">
        <v>300000</v>
      </c>
      <c r="W658" t="s">
        <v>65</v>
      </c>
      <c r="X658" t="s">
        <v>2667</v>
      </c>
      <c r="Y658">
        <v>0</v>
      </c>
      <c r="Z658" s="4">
        <v>300000</v>
      </c>
      <c r="AA658">
        <v>0</v>
      </c>
      <c r="AB658">
        <v>0</v>
      </c>
      <c r="AC658">
        <v>0</v>
      </c>
      <c r="AD658">
        <v>0</v>
      </c>
      <c r="AG658">
        <v>0</v>
      </c>
      <c r="AP658" t="s">
        <v>2668</v>
      </c>
      <c r="AQ658" t="s">
        <v>157</v>
      </c>
      <c r="AR658" t="s">
        <v>6640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BC658" t="s">
        <v>69</v>
      </c>
      <c r="BD658" t="s">
        <v>2669</v>
      </c>
      <c r="BE658">
        <v>0</v>
      </c>
      <c r="BG658" t="s">
        <v>157</v>
      </c>
      <c r="BJ658" t="s">
        <v>2670</v>
      </c>
    </row>
    <row r="659" spans="1:62" x14ac:dyDescent="0.35">
      <c r="A659" t="s">
        <v>2671</v>
      </c>
      <c r="B659">
        <v>10000</v>
      </c>
      <c r="C659">
        <v>10000</v>
      </c>
      <c r="D659" s="2">
        <v>45728</v>
      </c>
      <c r="E659" t="s">
        <v>61</v>
      </c>
      <c r="F659" t="s">
        <v>2457</v>
      </c>
      <c r="G659">
        <v>1006323</v>
      </c>
      <c r="I659">
        <v>1</v>
      </c>
      <c r="J659" t="s">
        <v>63</v>
      </c>
      <c r="K659" s="8">
        <v>63</v>
      </c>
      <c r="L659" s="8" t="s">
        <v>6605</v>
      </c>
      <c r="M659" s="8" t="s">
        <v>6630</v>
      </c>
      <c r="N659" t="s">
        <v>519</v>
      </c>
      <c r="O659" t="s">
        <v>6569</v>
      </c>
      <c r="P659" s="4">
        <v>5000</v>
      </c>
      <c r="Q659">
        <f t="shared" si="156"/>
        <v>170</v>
      </c>
      <c r="R659">
        <f t="shared" si="157"/>
        <v>2.8333333333333335</v>
      </c>
      <c r="S659" s="2">
        <v>45727</v>
      </c>
      <c r="U659">
        <v>40</v>
      </c>
      <c r="V659" s="4">
        <v>200000</v>
      </c>
      <c r="W659" t="s">
        <v>65</v>
      </c>
      <c r="X659" t="s">
        <v>2466</v>
      </c>
      <c r="Y659">
        <v>0</v>
      </c>
      <c r="Z659" s="4">
        <v>200000</v>
      </c>
      <c r="AA659">
        <v>0</v>
      </c>
      <c r="AB659">
        <v>0</v>
      </c>
      <c r="AC659">
        <v>0</v>
      </c>
      <c r="AD659">
        <v>0</v>
      </c>
      <c r="AG659">
        <v>0</v>
      </c>
      <c r="AP659" t="s">
        <v>2467</v>
      </c>
      <c r="AQ659" t="s">
        <v>157</v>
      </c>
      <c r="AR659" t="s">
        <v>6640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BC659" t="s">
        <v>69</v>
      </c>
      <c r="BD659" t="s">
        <v>2672</v>
      </c>
      <c r="BE659">
        <v>0</v>
      </c>
      <c r="BG659" t="s">
        <v>157</v>
      </c>
      <c r="BJ659" t="s">
        <v>2673</v>
      </c>
    </row>
    <row r="660" spans="1:62" x14ac:dyDescent="0.35">
      <c r="A660" t="s">
        <v>2674</v>
      </c>
      <c r="B660">
        <v>10000</v>
      </c>
      <c r="C660">
        <v>10000</v>
      </c>
      <c r="D660" s="2">
        <v>45728</v>
      </c>
      <c r="E660" t="s">
        <v>61</v>
      </c>
      <c r="F660" t="s">
        <v>2457</v>
      </c>
      <c r="G660">
        <v>1006323</v>
      </c>
      <c r="I660">
        <v>1</v>
      </c>
      <c r="J660" t="s">
        <v>63</v>
      </c>
      <c r="K660" s="8">
        <v>63</v>
      </c>
      <c r="L660" s="8" t="s">
        <v>6605</v>
      </c>
      <c r="M660" s="8" t="s">
        <v>6630</v>
      </c>
      <c r="N660" t="s">
        <v>519</v>
      </c>
      <c r="O660" t="s">
        <v>6569</v>
      </c>
      <c r="P660" s="4">
        <v>5000</v>
      </c>
      <c r="Q660">
        <f t="shared" si="156"/>
        <v>170</v>
      </c>
      <c r="R660">
        <f t="shared" si="157"/>
        <v>2.8333333333333335</v>
      </c>
      <c r="S660" s="2">
        <v>45727</v>
      </c>
      <c r="U660">
        <v>40</v>
      </c>
      <c r="V660" s="4">
        <v>200000</v>
      </c>
      <c r="W660" t="s">
        <v>65</v>
      </c>
      <c r="X660" t="s">
        <v>2466</v>
      </c>
      <c r="Y660">
        <v>0</v>
      </c>
      <c r="Z660" s="4">
        <v>200000</v>
      </c>
      <c r="AA660">
        <v>0</v>
      </c>
      <c r="AB660">
        <v>0</v>
      </c>
      <c r="AC660">
        <v>0</v>
      </c>
      <c r="AD660">
        <v>0</v>
      </c>
      <c r="AG660">
        <v>0</v>
      </c>
      <c r="AP660" t="s">
        <v>2467</v>
      </c>
      <c r="AQ660" t="s">
        <v>157</v>
      </c>
      <c r="AR660" t="s">
        <v>6640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BC660" t="s">
        <v>69</v>
      </c>
      <c r="BD660" t="s">
        <v>2675</v>
      </c>
      <c r="BE660">
        <v>0</v>
      </c>
      <c r="BG660" t="s">
        <v>157</v>
      </c>
      <c r="BJ660" t="s">
        <v>2676</v>
      </c>
    </row>
    <row r="661" spans="1:62" x14ac:dyDescent="0.35">
      <c r="A661" t="s">
        <v>2677</v>
      </c>
      <c r="B661">
        <v>10000</v>
      </c>
      <c r="C661">
        <v>10000</v>
      </c>
      <c r="D661" s="2">
        <v>45728</v>
      </c>
      <c r="E661" t="s">
        <v>61</v>
      </c>
      <c r="F661" t="s">
        <v>2457</v>
      </c>
      <c r="G661" t="s">
        <v>518</v>
      </c>
      <c r="I661">
        <v>1</v>
      </c>
      <c r="J661" t="s">
        <v>63</v>
      </c>
      <c r="K661" s="8">
        <v>63</v>
      </c>
      <c r="L661" s="8" t="s">
        <v>6605</v>
      </c>
      <c r="M661" s="8" t="s">
        <v>6630</v>
      </c>
      <c r="N661" t="s">
        <v>519</v>
      </c>
      <c r="O661" t="s">
        <v>6569</v>
      </c>
      <c r="P661" s="4">
        <v>2000</v>
      </c>
      <c r="Q661">
        <f t="shared" si="156"/>
        <v>95</v>
      </c>
      <c r="R661">
        <f t="shared" si="157"/>
        <v>1.5833333333333333</v>
      </c>
      <c r="S661" s="2">
        <v>45727</v>
      </c>
      <c r="U661">
        <v>60</v>
      </c>
      <c r="V661" s="4">
        <v>120000</v>
      </c>
      <c r="W661" t="s">
        <v>65</v>
      </c>
      <c r="X661" t="s">
        <v>2642</v>
      </c>
      <c r="Y661">
        <v>0</v>
      </c>
      <c r="Z661" s="4">
        <v>120000</v>
      </c>
      <c r="AA661">
        <v>0</v>
      </c>
      <c r="AB661">
        <v>0</v>
      </c>
      <c r="AC661">
        <v>0</v>
      </c>
      <c r="AD661">
        <v>0</v>
      </c>
      <c r="AG661">
        <v>0</v>
      </c>
      <c r="AP661" t="s">
        <v>2643</v>
      </c>
      <c r="AQ661" t="s">
        <v>157</v>
      </c>
      <c r="AR661" t="s">
        <v>6640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BC661" t="s">
        <v>69</v>
      </c>
      <c r="BD661" t="s">
        <v>2678</v>
      </c>
      <c r="BE661">
        <v>0</v>
      </c>
      <c r="BG661" t="s">
        <v>157</v>
      </c>
      <c r="BJ661" t="s">
        <v>2679</v>
      </c>
    </row>
    <row r="662" spans="1:62" x14ac:dyDescent="0.35">
      <c r="A662" t="s">
        <v>2680</v>
      </c>
      <c r="B662">
        <v>10000</v>
      </c>
      <c r="C662">
        <v>10000</v>
      </c>
      <c r="D662" s="2">
        <v>45733</v>
      </c>
      <c r="E662" t="s">
        <v>61</v>
      </c>
      <c r="F662" t="s">
        <v>2326</v>
      </c>
      <c r="G662" t="s">
        <v>2289</v>
      </c>
      <c r="I662">
        <v>1</v>
      </c>
      <c r="J662" t="s">
        <v>63</v>
      </c>
      <c r="K662" s="8">
        <v>78</v>
      </c>
      <c r="L662" s="8" t="s">
        <v>6593</v>
      </c>
      <c r="M662" s="8" t="s">
        <v>6629</v>
      </c>
      <c r="N662" t="s">
        <v>188</v>
      </c>
      <c r="O662" t="s">
        <v>6410</v>
      </c>
      <c r="P662" s="4">
        <v>5500</v>
      </c>
      <c r="Q662">
        <f t="shared" si="156"/>
        <v>182.5</v>
      </c>
      <c r="R662">
        <f t="shared" si="157"/>
        <v>3.0416666666666665</v>
      </c>
      <c r="S662" s="2">
        <v>45727</v>
      </c>
      <c r="U662">
        <v>16</v>
      </c>
      <c r="V662" s="4">
        <v>88000</v>
      </c>
      <c r="W662" t="s">
        <v>65</v>
      </c>
      <c r="X662" t="s">
        <v>2290</v>
      </c>
      <c r="Y662">
        <v>0</v>
      </c>
      <c r="Z662" s="4">
        <v>80000</v>
      </c>
      <c r="AA662" s="4">
        <v>8000</v>
      </c>
      <c r="AB662">
        <v>0</v>
      </c>
      <c r="AC662">
        <v>0</v>
      </c>
      <c r="AD662">
        <v>0</v>
      </c>
      <c r="AG662">
        <v>0</v>
      </c>
      <c r="AP662" t="s">
        <v>2291</v>
      </c>
      <c r="AQ662" t="s">
        <v>157</v>
      </c>
      <c r="AR662" t="s">
        <v>6640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BC662" t="s">
        <v>69</v>
      </c>
      <c r="BD662" t="s">
        <v>2681</v>
      </c>
      <c r="BE662">
        <v>0</v>
      </c>
      <c r="BG662" t="s">
        <v>157</v>
      </c>
      <c r="BJ662" t="s">
        <v>2682</v>
      </c>
    </row>
    <row r="663" spans="1:62" x14ac:dyDescent="0.35">
      <c r="A663" t="s">
        <v>2683</v>
      </c>
      <c r="B663">
        <v>10000</v>
      </c>
      <c r="C663">
        <v>10000</v>
      </c>
      <c r="D663" s="2">
        <v>45730</v>
      </c>
      <c r="E663" t="s">
        <v>61</v>
      </c>
      <c r="F663" t="s">
        <v>2684</v>
      </c>
      <c r="G663" t="s">
        <v>2289</v>
      </c>
      <c r="I663">
        <v>1</v>
      </c>
      <c r="J663" t="s">
        <v>63</v>
      </c>
      <c r="K663" s="8">
        <v>78</v>
      </c>
      <c r="L663" s="8" t="s">
        <v>6593</v>
      </c>
      <c r="M663" s="8" t="s">
        <v>6629</v>
      </c>
      <c r="N663" t="s">
        <v>188</v>
      </c>
      <c r="O663" t="s">
        <v>6410</v>
      </c>
      <c r="P663" s="4">
        <v>5500</v>
      </c>
      <c r="Q663">
        <f t="shared" si="156"/>
        <v>182.5</v>
      </c>
      <c r="R663">
        <f t="shared" si="157"/>
        <v>3.0416666666666665</v>
      </c>
      <c r="S663" s="2">
        <v>45727</v>
      </c>
      <c r="U663">
        <v>16</v>
      </c>
      <c r="V663" s="4">
        <v>88000</v>
      </c>
      <c r="W663" t="s">
        <v>65</v>
      </c>
      <c r="X663" t="s">
        <v>1740</v>
      </c>
      <c r="Y663">
        <v>0</v>
      </c>
      <c r="Z663" s="4">
        <v>80000</v>
      </c>
      <c r="AA663" s="4">
        <v>8000</v>
      </c>
      <c r="AB663">
        <v>0</v>
      </c>
      <c r="AC663">
        <v>0</v>
      </c>
      <c r="AD663">
        <v>0</v>
      </c>
      <c r="AG663">
        <v>0</v>
      </c>
      <c r="AP663" t="s">
        <v>1741</v>
      </c>
      <c r="AQ663" t="s">
        <v>157</v>
      </c>
      <c r="AR663" t="s">
        <v>6640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BC663" t="s">
        <v>69</v>
      </c>
      <c r="BD663" t="s">
        <v>2685</v>
      </c>
      <c r="BE663">
        <v>0</v>
      </c>
      <c r="BG663" t="s">
        <v>157</v>
      </c>
      <c r="BJ663" t="s">
        <v>2686</v>
      </c>
    </row>
    <row r="664" spans="1:62" x14ac:dyDescent="0.35">
      <c r="A664" t="s">
        <v>2687</v>
      </c>
      <c r="B664">
        <v>10000</v>
      </c>
      <c r="C664">
        <v>10000</v>
      </c>
      <c r="D664" s="2">
        <v>45730</v>
      </c>
      <c r="E664" t="s">
        <v>61</v>
      </c>
      <c r="F664" t="s">
        <v>2684</v>
      </c>
      <c r="G664" t="s">
        <v>2289</v>
      </c>
      <c r="I664">
        <v>1</v>
      </c>
      <c r="J664" t="s">
        <v>63</v>
      </c>
      <c r="K664" s="8">
        <v>78</v>
      </c>
      <c r="L664" s="8" t="s">
        <v>6593</v>
      </c>
      <c r="M664" s="8" t="s">
        <v>6629</v>
      </c>
      <c r="N664" t="s">
        <v>188</v>
      </c>
      <c r="O664" t="s">
        <v>6410</v>
      </c>
      <c r="P664" s="4">
        <v>5500</v>
      </c>
      <c r="Q664">
        <f t="shared" si="156"/>
        <v>182.5</v>
      </c>
      <c r="R664">
        <f t="shared" si="157"/>
        <v>3.0416666666666665</v>
      </c>
      <c r="S664" s="2">
        <v>45727</v>
      </c>
      <c r="U664">
        <v>16</v>
      </c>
      <c r="V664" s="4">
        <v>88000</v>
      </c>
      <c r="W664" t="s">
        <v>65</v>
      </c>
      <c r="X664" t="s">
        <v>1740</v>
      </c>
      <c r="Y664">
        <v>0</v>
      </c>
      <c r="Z664" s="4">
        <v>80000</v>
      </c>
      <c r="AA664" s="4">
        <v>8000</v>
      </c>
      <c r="AB664">
        <v>0</v>
      </c>
      <c r="AC664">
        <v>0</v>
      </c>
      <c r="AD664">
        <v>0</v>
      </c>
      <c r="AG664">
        <v>0</v>
      </c>
      <c r="AP664" t="s">
        <v>1741</v>
      </c>
      <c r="AQ664" t="s">
        <v>157</v>
      </c>
      <c r="AR664" t="s">
        <v>6640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BC664" t="s">
        <v>69</v>
      </c>
      <c r="BD664" t="s">
        <v>2688</v>
      </c>
      <c r="BE664">
        <v>0</v>
      </c>
      <c r="BG664" t="s">
        <v>157</v>
      </c>
      <c r="BJ664" t="s">
        <v>2689</v>
      </c>
    </row>
    <row r="665" spans="1:62" x14ac:dyDescent="0.35">
      <c r="A665" t="s">
        <v>2690</v>
      </c>
      <c r="B665">
        <v>10000</v>
      </c>
      <c r="C665">
        <v>10000</v>
      </c>
      <c r="D665" s="2">
        <v>45730</v>
      </c>
      <c r="E665" t="s">
        <v>61</v>
      </c>
      <c r="F665" t="s">
        <v>2691</v>
      </c>
      <c r="G665">
        <v>12190705006</v>
      </c>
      <c r="I665">
        <v>1</v>
      </c>
      <c r="J665" t="s">
        <v>63</v>
      </c>
      <c r="K665" s="8">
        <v>68</v>
      </c>
      <c r="L665" t="s">
        <v>6605</v>
      </c>
      <c r="M665" s="8" t="s">
        <v>6630</v>
      </c>
      <c r="N665" t="s">
        <v>154</v>
      </c>
      <c r="O665" t="s">
        <v>6575</v>
      </c>
      <c r="P665" s="4">
        <v>35000</v>
      </c>
      <c r="S665" s="2">
        <v>45727</v>
      </c>
      <c r="U665">
        <v>2</v>
      </c>
      <c r="V665" s="4">
        <v>70000</v>
      </c>
      <c r="W665" t="s">
        <v>65</v>
      </c>
      <c r="X665" t="s">
        <v>803</v>
      </c>
      <c r="Y665">
        <v>0</v>
      </c>
      <c r="Z665" s="4">
        <v>70000</v>
      </c>
      <c r="AA665">
        <v>0</v>
      </c>
      <c r="AB665">
        <v>0</v>
      </c>
      <c r="AC665">
        <v>0</v>
      </c>
      <c r="AD665">
        <v>0</v>
      </c>
      <c r="AG665">
        <v>0</v>
      </c>
      <c r="AP665" t="s">
        <v>804</v>
      </c>
      <c r="AQ665" t="s">
        <v>157</v>
      </c>
      <c r="AR665" t="s">
        <v>6640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BC665" t="s">
        <v>69</v>
      </c>
      <c r="BD665" t="s">
        <v>2692</v>
      </c>
      <c r="BE665">
        <v>0</v>
      </c>
      <c r="BG665" t="s">
        <v>157</v>
      </c>
      <c r="BJ665" t="s">
        <v>2693</v>
      </c>
    </row>
    <row r="666" spans="1:62" x14ac:dyDescent="0.35">
      <c r="A666" t="s">
        <v>2694</v>
      </c>
      <c r="B666">
        <v>10000</v>
      </c>
      <c r="C666">
        <v>10000</v>
      </c>
      <c r="D666" s="2">
        <v>45728</v>
      </c>
      <c r="E666" t="s">
        <v>61</v>
      </c>
      <c r="F666" t="s">
        <v>2303</v>
      </c>
      <c r="G666" t="s">
        <v>860</v>
      </c>
      <c r="I666">
        <v>1</v>
      </c>
      <c r="J666" t="s">
        <v>63</v>
      </c>
      <c r="K666" s="8">
        <v>26</v>
      </c>
      <c r="L666" s="8" t="s">
        <v>6595</v>
      </c>
      <c r="M666" s="8" t="s">
        <v>6629</v>
      </c>
      <c r="N666" t="s">
        <v>249</v>
      </c>
      <c r="O666" t="s">
        <v>6500</v>
      </c>
      <c r="P666" s="4">
        <v>4500</v>
      </c>
      <c r="Q666">
        <f t="shared" ref="Q666:Q668" si="158">(P666/40)+45</f>
        <v>157.5</v>
      </c>
      <c r="R666">
        <f t="shared" ref="R666:R668" si="159">Q666/60</f>
        <v>2.625</v>
      </c>
      <c r="S666" s="2">
        <v>45727</v>
      </c>
      <c r="U666">
        <v>4</v>
      </c>
      <c r="V666" s="4">
        <v>18000</v>
      </c>
      <c r="W666" t="s">
        <v>65</v>
      </c>
      <c r="X666" t="s">
        <v>2695</v>
      </c>
      <c r="Y666">
        <v>0</v>
      </c>
      <c r="Z666" s="4">
        <v>18000</v>
      </c>
      <c r="AA666">
        <v>0</v>
      </c>
      <c r="AB666">
        <v>0</v>
      </c>
      <c r="AC666">
        <v>0</v>
      </c>
      <c r="AD666">
        <v>0</v>
      </c>
      <c r="AG666">
        <v>0</v>
      </c>
      <c r="AP666" t="s">
        <v>2696</v>
      </c>
      <c r="AQ666" t="s">
        <v>175</v>
      </c>
      <c r="AR666" t="s">
        <v>6642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BC666" t="s">
        <v>69</v>
      </c>
      <c r="BD666" t="s">
        <v>2697</v>
      </c>
      <c r="BE666">
        <v>0</v>
      </c>
      <c r="BG666" t="s">
        <v>175</v>
      </c>
      <c r="BJ666" t="s">
        <v>2698</v>
      </c>
    </row>
    <row r="667" spans="1:62" x14ac:dyDescent="0.35">
      <c r="A667" t="s">
        <v>2699</v>
      </c>
      <c r="B667">
        <v>10000</v>
      </c>
      <c r="C667">
        <v>10000</v>
      </c>
      <c r="D667" s="2">
        <v>45727</v>
      </c>
      <c r="E667" t="s">
        <v>61</v>
      </c>
      <c r="F667" t="s">
        <v>2700</v>
      </c>
      <c r="G667" t="s">
        <v>860</v>
      </c>
      <c r="I667">
        <v>1</v>
      </c>
      <c r="J667" t="s">
        <v>63</v>
      </c>
      <c r="K667" s="8">
        <v>26</v>
      </c>
      <c r="L667" s="8" t="s">
        <v>6595</v>
      </c>
      <c r="M667" s="8" t="s">
        <v>6629</v>
      </c>
      <c r="N667" t="s">
        <v>249</v>
      </c>
      <c r="O667" t="s">
        <v>6500</v>
      </c>
      <c r="P667" s="4">
        <v>4500</v>
      </c>
      <c r="Q667">
        <f t="shared" si="158"/>
        <v>157.5</v>
      </c>
      <c r="R667">
        <f t="shared" si="159"/>
        <v>2.625</v>
      </c>
      <c r="S667" s="2">
        <v>45727</v>
      </c>
      <c r="U667">
        <v>4</v>
      </c>
      <c r="V667" s="4">
        <v>18000</v>
      </c>
      <c r="W667" t="s">
        <v>65</v>
      </c>
      <c r="X667" t="s">
        <v>1003</v>
      </c>
      <c r="Y667">
        <v>0</v>
      </c>
      <c r="Z667" s="4">
        <v>18000</v>
      </c>
      <c r="AA667">
        <v>0</v>
      </c>
      <c r="AB667">
        <v>0</v>
      </c>
      <c r="AC667">
        <v>0</v>
      </c>
      <c r="AD667">
        <v>0</v>
      </c>
      <c r="AG667">
        <v>0</v>
      </c>
      <c r="AP667" t="s">
        <v>1004</v>
      </c>
      <c r="AQ667" t="s">
        <v>175</v>
      </c>
      <c r="AR667" t="s">
        <v>6642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C667" t="s">
        <v>69</v>
      </c>
      <c r="BD667" t="s">
        <v>2701</v>
      </c>
      <c r="BE667">
        <v>0</v>
      </c>
      <c r="BG667" t="s">
        <v>175</v>
      </c>
      <c r="BJ667" t="s">
        <v>2702</v>
      </c>
    </row>
    <row r="668" spans="1:62" x14ac:dyDescent="0.35">
      <c r="A668" t="s">
        <v>2703</v>
      </c>
      <c r="B668">
        <v>10000</v>
      </c>
      <c r="C668">
        <v>10000</v>
      </c>
      <c r="D668" s="2">
        <v>45728</v>
      </c>
      <c r="E668" t="s">
        <v>61</v>
      </c>
      <c r="F668" t="s">
        <v>2486</v>
      </c>
      <c r="G668" t="s">
        <v>518</v>
      </c>
      <c r="I668">
        <v>1</v>
      </c>
      <c r="J668" t="s">
        <v>63</v>
      </c>
      <c r="K668" s="8">
        <v>63</v>
      </c>
      <c r="L668" s="8" t="s">
        <v>6605</v>
      </c>
      <c r="M668" s="8" t="s">
        <v>6630</v>
      </c>
      <c r="N668" t="s">
        <v>519</v>
      </c>
      <c r="O668" t="s">
        <v>6569</v>
      </c>
      <c r="P668" s="4">
        <v>2000</v>
      </c>
      <c r="Q668">
        <f t="shared" si="158"/>
        <v>95</v>
      </c>
      <c r="R668">
        <f t="shared" si="159"/>
        <v>1.5833333333333333</v>
      </c>
      <c r="S668" s="2">
        <v>45727</v>
      </c>
      <c r="U668">
        <v>40</v>
      </c>
      <c r="V668" s="4">
        <v>80000</v>
      </c>
      <c r="W668" t="s">
        <v>65</v>
      </c>
      <c r="X668" t="s">
        <v>520</v>
      </c>
      <c r="Y668">
        <v>0</v>
      </c>
      <c r="Z668" s="4">
        <v>80000</v>
      </c>
      <c r="AA668">
        <v>0</v>
      </c>
      <c r="AB668">
        <v>0</v>
      </c>
      <c r="AC668">
        <v>0</v>
      </c>
      <c r="AD668">
        <v>0</v>
      </c>
      <c r="AG668">
        <v>0</v>
      </c>
      <c r="AP668" t="s">
        <v>521</v>
      </c>
      <c r="AQ668" t="s">
        <v>175</v>
      </c>
      <c r="AR668" t="s">
        <v>6642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BC668" t="s">
        <v>69</v>
      </c>
      <c r="BD668" t="s">
        <v>2704</v>
      </c>
      <c r="BE668">
        <v>0</v>
      </c>
      <c r="BG668" t="s">
        <v>175</v>
      </c>
      <c r="BJ668" t="s">
        <v>2705</v>
      </c>
    </row>
    <row r="669" spans="1:62" x14ac:dyDescent="0.35">
      <c r="A669" t="s">
        <v>2706</v>
      </c>
      <c r="B669">
        <v>10000</v>
      </c>
      <c r="C669">
        <v>10000</v>
      </c>
      <c r="D669" s="2">
        <v>45733</v>
      </c>
      <c r="E669" t="s">
        <v>61</v>
      </c>
      <c r="F669" t="s">
        <v>2707</v>
      </c>
      <c r="G669" t="s">
        <v>2708</v>
      </c>
      <c r="I669">
        <v>1</v>
      </c>
      <c r="J669" t="s">
        <v>63</v>
      </c>
      <c r="K669" s="8">
        <v>62</v>
      </c>
      <c r="L669" s="8" t="s">
        <v>6600</v>
      </c>
      <c r="M669" s="8" t="s">
        <v>6630</v>
      </c>
      <c r="N669" t="s">
        <v>385</v>
      </c>
      <c r="O669" t="s">
        <v>6541</v>
      </c>
      <c r="P669" s="4">
        <v>150000</v>
      </c>
      <c r="Q669">
        <f>(P669/50)+45</f>
        <v>3045</v>
      </c>
      <c r="R669">
        <f>Q669/60</f>
        <v>50.75</v>
      </c>
      <c r="S669" s="2">
        <v>45727</v>
      </c>
      <c r="U669">
        <v>1</v>
      </c>
      <c r="V669" s="4">
        <v>150000</v>
      </c>
      <c r="W669" t="s">
        <v>65</v>
      </c>
      <c r="X669" t="s">
        <v>2488</v>
      </c>
      <c r="Y669">
        <v>0</v>
      </c>
      <c r="Z669" s="4">
        <v>150000</v>
      </c>
      <c r="AA669">
        <v>0</v>
      </c>
      <c r="AB669">
        <v>0</v>
      </c>
      <c r="AC669">
        <v>0</v>
      </c>
      <c r="AD669">
        <v>0</v>
      </c>
      <c r="AG669">
        <v>0</v>
      </c>
      <c r="AP669" t="s">
        <v>2489</v>
      </c>
      <c r="AQ669" t="s">
        <v>175</v>
      </c>
      <c r="AR669" t="s">
        <v>6642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BC669" t="s">
        <v>69</v>
      </c>
      <c r="BD669" t="s">
        <v>2709</v>
      </c>
      <c r="BE669">
        <v>0</v>
      </c>
      <c r="BG669" t="s">
        <v>175</v>
      </c>
      <c r="BJ669" t="s">
        <v>2710</v>
      </c>
    </row>
    <row r="670" spans="1:62" x14ac:dyDescent="0.35">
      <c r="A670" t="s">
        <v>2711</v>
      </c>
      <c r="B670">
        <v>10000</v>
      </c>
      <c r="C670">
        <v>10000</v>
      </c>
      <c r="D670" s="2">
        <v>45728</v>
      </c>
      <c r="E670" t="s">
        <v>61</v>
      </c>
      <c r="F670" s="3">
        <v>0.44052083333333331</v>
      </c>
      <c r="G670" t="s">
        <v>2712</v>
      </c>
      <c r="I670">
        <v>1</v>
      </c>
      <c r="J670" t="s">
        <v>63</v>
      </c>
      <c r="K670" s="8">
        <v>88</v>
      </c>
      <c r="L670" s="8" t="s">
        <v>6610</v>
      </c>
      <c r="M670" s="8" t="s">
        <v>6631</v>
      </c>
      <c r="N670" t="s">
        <v>630</v>
      </c>
      <c r="O670" t="s">
        <v>6571</v>
      </c>
      <c r="P670">
        <v>20</v>
      </c>
      <c r="S670" s="2">
        <v>45727</v>
      </c>
      <c r="U670">
        <v>1</v>
      </c>
      <c r="V670">
        <v>20</v>
      </c>
      <c r="W670" t="s">
        <v>65</v>
      </c>
      <c r="X670">
        <v>107456090001</v>
      </c>
      <c r="Y670">
        <v>0</v>
      </c>
      <c r="Z670">
        <v>10</v>
      </c>
      <c r="AA670">
        <v>10</v>
      </c>
      <c r="AB670">
        <v>0</v>
      </c>
      <c r="AC670">
        <v>0</v>
      </c>
      <c r="AD670">
        <v>0</v>
      </c>
      <c r="AG670">
        <v>0</v>
      </c>
      <c r="AP670">
        <v>10745609</v>
      </c>
      <c r="AQ670" t="s">
        <v>487</v>
      </c>
      <c r="AR670" t="s">
        <v>6656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BC670" t="s">
        <v>69</v>
      </c>
      <c r="BD670" t="s">
        <v>2713</v>
      </c>
      <c r="BE670">
        <v>0</v>
      </c>
      <c r="BG670" t="s">
        <v>487</v>
      </c>
      <c r="BJ670" t="s">
        <v>2714</v>
      </c>
    </row>
    <row r="671" spans="1:62" x14ac:dyDescent="0.35">
      <c r="A671" t="s">
        <v>2711</v>
      </c>
      <c r="B671">
        <v>10000</v>
      </c>
      <c r="C671">
        <v>20000</v>
      </c>
      <c r="D671" s="2">
        <v>45728</v>
      </c>
      <c r="E671" t="s">
        <v>61</v>
      </c>
      <c r="F671" s="3">
        <v>0.44052083333333331</v>
      </c>
      <c r="G671" t="s">
        <v>2712</v>
      </c>
      <c r="I671">
        <v>2</v>
      </c>
      <c r="J671" t="s">
        <v>63</v>
      </c>
      <c r="K671" s="8">
        <v>100</v>
      </c>
      <c r="L671" s="8" t="s">
        <v>6613</v>
      </c>
      <c r="M671" s="8" t="s">
        <v>6633</v>
      </c>
      <c r="N671" t="s">
        <v>424</v>
      </c>
      <c r="O671" t="s">
        <v>6570</v>
      </c>
      <c r="P671">
        <v>20</v>
      </c>
      <c r="S671" s="2">
        <v>45727</v>
      </c>
      <c r="U671">
        <v>1</v>
      </c>
      <c r="V671">
        <v>20</v>
      </c>
      <c r="W671" t="s">
        <v>65</v>
      </c>
      <c r="X671">
        <v>107456090001</v>
      </c>
      <c r="Y671">
        <v>0</v>
      </c>
      <c r="Z671">
        <v>10</v>
      </c>
      <c r="AA671">
        <v>10</v>
      </c>
      <c r="AB671">
        <v>0</v>
      </c>
      <c r="AC671">
        <v>0</v>
      </c>
      <c r="AD671">
        <v>0</v>
      </c>
      <c r="AG671">
        <v>0</v>
      </c>
      <c r="AP671">
        <v>10745609</v>
      </c>
      <c r="AQ671" t="s">
        <v>487</v>
      </c>
      <c r="AR671" t="s">
        <v>6656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BC671" t="s">
        <v>69</v>
      </c>
      <c r="BD671" t="s">
        <v>2713</v>
      </c>
      <c r="BE671">
        <v>0</v>
      </c>
      <c r="BG671" t="s">
        <v>487</v>
      </c>
      <c r="BJ671" t="s">
        <v>2714</v>
      </c>
    </row>
    <row r="672" spans="1:62" x14ac:dyDescent="0.35">
      <c r="A672" t="s">
        <v>2715</v>
      </c>
      <c r="B672">
        <v>10000</v>
      </c>
      <c r="C672">
        <v>10000</v>
      </c>
      <c r="D672" s="2">
        <v>45728</v>
      </c>
      <c r="E672" t="s">
        <v>61</v>
      </c>
      <c r="F672" t="s">
        <v>2716</v>
      </c>
      <c r="G672" t="s">
        <v>180</v>
      </c>
      <c r="I672">
        <v>1</v>
      </c>
      <c r="J672" t="s">
        <v>63</v>
      </c>
      <c r="K672" s="8">
        <v>59</v>
      </c>
      <c r="L672" s="8" t="s">
        <v>6592</v>
      </c>
      <c r="M672" s="8" t="s">
        <v>6629</v>
      </c>
      <c r="N672" t="s">
        <v>745</v>
      </c>
      <c r="O672" t="s">
        <v>6501</v>
      </c>
      <c r="P672" s="4">
        <v>15000</v>
      </c>
      <c r="Q672">
        <f t="shared" ref="Q672:Q679" si="160">(P672/40)+45</f>
        <v>420</v>
      </c>
      <c r="R672">
        <f t="shared" ref="R672:R679" si="161">Q672/60</f>
        <v>7</v>
      </c>
      <c r="S672" s="2">
        <v>45727</v>
      </c>
      <c r="U672">
        <v>2</v>
      </c>
      <c r="V672" s="4">
        <v>30000</v>
      </c>
      <c r="W672" t="s">
        <v>65</v>
      </c>
      <c r="X672">
        <v>200748640001</v>
      </c>
      <c r="Y672">
        <v>0</v>
      </c>
      <c r="Z672" s="4">
        <v>30000</v>
      </c>
      <c r="AA672">
        <v>0</v>
      </c>
      <c r="AB672">
        <v>0</v>
      </c>
      <c r="AC672">
        <v>0</v>
      </c>
      <c r="AD672">
        <v>0</v>
      </c>
      <c r="AG672">
        <v>0</v>
      </c>
      <c r="AP672">
        <v>20074864</v>
      </c>
      <c r="AQ672" t="s">
        <v>182</v>
      </c>
      <c r="AR672" t="s">
        <v>6643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BC672" t="s">
        <v>69</v>
      </c>
      <c r="BD672" t="s">
        <v>2717</v>
      </c>
      <c r="BE672">
        <v>0</v>
      </c>
      <c r="BG672" t="s">
        <v>182</v>
      </c>
      <c r="BJ672" t="s">
        <v>2718</v>
      </c>
    </row>
    <row r="673" spans="1:62" x14ac:dyDescent="0.35">
      <c r="A673" t="s">
        <v>2719</v>
      </c>
      <c r="B673">
        <v>10000</v>
      </c>
      <c r="C673">
        <v>10000</v>
      </c>
      <c r="D673" s="2">
        <v>45727</v>
      </c>
      <c r="E673" t="s">
        <v>61</v>
      </c>
      <c r="F673" s="3">
        <v>0.43938657407407405</v>
      </c>
      <c r="G673" t="s">
        <v>2052</v>
      </c>
      <c r="I673">
        <v>1</v>
      </c>
      <c r="J673" t="s">
        <v>63</v>
      </c>
      <c r="K673" s="8">
        <v>59</v>
      </c>
      <c r="L673" s="8" t="s">
        <v>6592</v>
      </c>
      <c r="M673" s="8" t="s">
        <v>6629</v>
      </c>
      <c r="N673" t="s">
        <v>745</v>
      </c>
      <c r="O673" t="s">
        <v>6501</v>
      </c>
      <c r="P673">
        <v>373</v>
      </c>
      <c r="Q673">
        <f t="shared" si="160"/>
        <v>54.325000000000003</v>
      </c>
      <c r="R673">
        <f t="shared" si="161"/>
        <v>0.90541666666666676</v>
      </c>
      <c r="S673" s="2">
        <v>45727</v>
      </c>
      <c r="U673">
        <v>4</v>
      </c>
      <c r="V673" s="4">
        <v>1492</v>
      </c>
      <c r="W673" t="s">
        <v>65</v>
      </c>
      <c r="X673">
        <v>112888630001</v>
      </c>
      <c r="Y673">
        <v>0</v>
      </c>
      <c r="Z673" s="4">
        <v>1490</v>
      </c>
      <c r="AA673">
        <v>2</v>
      </c>
      <c r="AB673">
        <v>0</v>
      </c>
      <c r="AC673">
        <v>0</v>
      </c>
      <c r="AD673">
        <v>0</v>
      </c>
      <c r="AG673">
        <v>0</v>
      </c>
      <c r="AP673">
        <v>11288863</v>
      </c>
      <c r="AQ673" t="s">
        <v>182</v>
      </c>
      <c r="AR673" t="s">
        <v>6643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BC673" t="s">
        <v>69</v>
      </c>
      <c r="BD673" t="s">
        <v>2720</v>
      </c>
      <c r="BE673">
        <v>0</v>
      </c>
      <c r="BG673" t="s">
        <v>182</v>
      </c>
      <c r="BJ673" t="s">
        <v>2721</v>
      </c>
    </row>
    <row r="674" spans="1:62" x14ac:dyDescent="0.35">
      <c r="A674" t="s">
        <v>2722</v>
      </c>
      <c r="B674">
        <v>10000</v>
      </c>
      <c r="C674">
        <v>10000</v>
      </c>
      <c r="D674" s="2">
        <v>45727</v>
      </c>
      <c r="E674" t="s">
        <v>61</v>
      </c>
      <c r="F674" t="s">
        <v>2700</v>
      </c>
      <c r="G674" t="s">
        <v>2052</v>
      </c>
      <c r="I674">
        <v>1</v>
      </c>
      <c r="J674" t="s">
        <v>63</v>
      </c>
      <c r="K674" s="8">
        <v>59</v>
      </c>
      <c r="L674" s="8" t="s">
        <v>6592</v>
      </c>
      <c r="M674" s="8" t="s">
        <v>6629</v>
      </c>
      <c r="N674" t="s">
        <v>745</v>
      </c>
      <c r="O674" t="s">
        <v>6501</v>
      </c>
      <c r="P674">
        <v>373</v>
      </c>
      <c r="Q674">
        <f t="shared" si="160"/>
        <v>54.325000000000003</v>
      </c>
      <c r="R674">
        <f t="shared" si="161"/>
        <v>0.90541666666666676</v>
      </c>
      <c r="S674" s="2">
        <v>45727</v>
      </c>
      <c r="U674">
        <v>4</v>
      </c>
      <c r="V674" s="4">
        <v>1490</v>
      </c>
      <c r="W674" t="s">
        <v>65</v>
      </c>
      <c r="X674">
        <v>112888120001</v>
      </c>
      <c r="Y674">
        <v>0</v>
      </c>
      <c r="Z674" s="4">
        <v>1490</v>
      </c>
      <c r="AA674">
        <v>0</v>
      </c>
      <c r="AB674">
        <v>0</v>
      </c>
      <c r="AC674">
        <v>0</v>
      </c>
      <c r="AD674">
        <v>0</v>
      </c>
      <c r="AG674">
        <v>0</v>
      </c>
      <c r="AP674">
        <v>11288812</v>
      </c>
      <c r="AQ674" t="s">
        <v>182</v>
      </c>
      <c r="AR674" t="s">
        <v>6643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BC674" t="s">
        <v>69</v>
      </c>
      <c r="BD674" t="s">
        <v>2723</v>
      </c>
      <c r="BE674">
        <v>0</v>
      </c>
      <c r="BG674" t="s">
        <v>182</v>
      </c>
      <c r="BJ674" t="s">
        <v>2724</v>
      </c>
    </row>
    <row r="675" spans="1:62" x14ac:dyDescent="0.35">
      <c r="A675" t="s">
        <v>2722</v>
      </c>
      <c r="B675">
        <v>20000</v>
      </c>
      <c r="C675">
        <v>10000</v>
      </c>
      <c r="D675" s="2">
        <v>45727</v>
      </c>
      <c r="E675" t="s">
        <v>61</v>
      </c>
      <c r="F675" t="s">
        <v>2700</v>
      </c>
      <c r="G675" t="s">
        <v>2052</v>
      </c>
      <c r="I675">
        <v>1</v>
      </c>
      <c r="J675" t="s">
        <v>63</v>
      </c>
      <c r="K675" s="8">
        <v>59</v>
      </c>
      <c r="L675" s="8" t="s">
        <v>6592</v>
      </c>
      <c r="M675" s="8" t="s">
        <v>6629</v>
      </c>
      <c r="N675" t="s">
        <v>745</v>
      </c>
      <c r="O675" t="s">
        <v>6501</v>
      </c>
      <c r="P675">
        <v>373</v>
      </c>
      <c r="Q675">
        <f t="shared" si="160"/>
        <v>54.325000000000003</v>
      </c>
      <c r="R675">
        <f t="shared" si="161"/>
        <v>0.90541666666666676</v>
      </c>
      <c r="S675" s="2">
        <v>45727</v>
      </c>
      <c r="U675">
        <v>4</v>
      </c>
      <c r="V675" s="4">
        <v>1490</v>
      </c>
      <c r="W675" t="s">
        <v>65</v>
      </c>
      <c r="X675">
        <v>112888120001</v>
      </c>
      <c r="Y675">
        <v>0</v>
      </c>
      <c r="Z675" s="4">
        <v>1490</v>
      </c>
      <c r="AA675">
        <v>0</v>
      </c>
      <c r="AB675">
        <v>0</v>
      </c>
      <c r="AC675">
        <v>0</v>
      </c>
      <c r="AD675">
        <v>0</v>
      </c>
      <c r="AG675">
        <v>0</v>
      </c>
      <c r="AP675">
        <v>11288812</v>
      </c>
      <c r="AQ675" t="s">
        <v>182</v>
      </c>
      <c r="AR675" t="s">
        <v>6643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BC675" t="s">
        <v>69</v>
      </c>
      <c r="BD675" t="s">
        <v>2723</v>
      </c>
      <c r="BE675">
        <v>0</v>
      </c>
      <c r="BG675" t="s">
        <v>182</v>
      </c>
      <c r="BJ675" t="s">
        <v>2724</v>
      </c>
    </row>
    <row r="676" spans="1:62" x14ac:dyDescent="0.35">
      <c r="A676" t="s">
        <v>2725</v>
      </c>
      <c r="B676">
        <v>10000</v>
      </c>
      <c r="C676">
        <v>10000</v>
      </c>
      <c r="D676" s="2">
        <v>45727</v>
      </c>
      <c r="E676" t="s">
        <v>61</v>
      </c>
      <c r="F676" s="3">
        <v>0.47438657407407409</v>
      </c>
      <c r="G676" t="s">
        <v>2052</v>
      </c>
      <c r="I676">
        <v>1</v>
      </c>
      <c r="J676" t="s">
        <v>63</v>
      </c>
      <c r="K676" s="8">
        <v>59</v>
      </c>
      <c r="L676" s="8" t="s">
        <v>6592</v>
      </c>
      <c r="M676" s="8" t="s">
        <v>6629</v>
      </c>
      <c r="N676" t="s">
        <v>745</v>
      </c>
      <c r="O676" t="s">
        <v>6501</v>
      </c>
      <c r="P676">
        <v>373</v>
      </c>
      <c r="Q676">
        <f t="shared" si="160"/>
        <v>54.325000000000003</v>
      </c>
      <c r="R676">
        <f t="shared" si="161"/>
        <v>0.90541666666666676</v>
      </c>
      <c r="S676" s="2">
        <v>45727</v>
      </c>
      <c r="U676">
        <v>4</v>
      </c>
      <c r="V676" s="4">
        <v>1492</v>
      </c>
      <c r="W676" t="s">
        <v>65</v>
      </c>
      <c r="X676">
        <v>113275270001</v>
      </c>
      <c r="Y676">
        <v>0</v>
      </c>
      <c r="Z676" s="4">
        <v>1490</v>
      </c>
      <c r="AA676">
        <v>2</v>
      </c>
      <c r="AB676">
        <v>0</v>
      </c>
      <c r="AC676">
        <v>0</v>
      </c>
      <c r="AD676">
        <v>0</v>
      </c>
      <c r="AG676">
        <v>0</v>
      </c>
      <c r="AP676">
        <v>11327527</v>
      </c>
      <c r="AQ676" t="s">
        <v>182</v>
      </c>
      <c r="AR676" t="s">
        <v>6643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BC676" t="s">
        <v>69</v>
      </c>
      <c r="BD676" t="s">
        <v>2726</v>
      </c>
      <c r="BE676">
        <v>0</v>
      </c>
      <c r="BG676" t="s">
        <v>182</v>
      </c>
      <c r="BJ676" t="s">
        <v>2727</v>
      </c>
    </row>
    <row r="677" spans="1:62" x14ac:dyDescent="0.35">
      <c r="A677" t="s">
        <v>2728</v>
      </c>
      <c r="B677">
        <v>10000</v>
      </c>
      <c r="C677">
        <v>10000</v>
      </c>
      <c r="D677" s="2">
        <v>45727</v>
      </c>
      <c r="E677" t="s">
        <v>61</v>
      </c>
      <c r="F677" t="s">
        <v>2568</v>
      </c>
      <c r="G677" t="s">
        <v>418</v>
      </c>
      <c r="I677">
        <v>1</v>
      </c>
      <c r="J677" t="s">
        <v>63</v>
      </c>
      <c r="K677" s="8">
        <v>59</v>
      </c>
      <c r="L677" s="8" t="s">
        <v>6592</v>
      </c>
      <c r="M677" s="8" t="s">
        <v>6629</v>
      </c>
      <c r="N677" t="s">
        <v>745</v>
      </c>
      <c r="O677" t="s">
        <v>6501</v>
      </c>
      <c r="P677">
        <v>400</v>
      </c>
      <c r="Q677">
        <f t="shared" si="160"/>
        <v>55</v>
      </c>
      <c r="R677">
        <f t="shared" si="161"/>
        <v>0.91666666666666663</v>
      </c>
      <c r="S677" s="2">
        <v>45727</v>
      </c>
      <c r="U677">
        <v>10</v>
      </c>
      <c r="V677" s="4">
        <v>4000</v>
      </c>
      <c r="W677" t="s">
        <v>65</v>
      </c>
      <c r="X677">
        <v>112063620001</v>
      </c>
      <c r="Y677">
        <v>0</v>
      </c>
      <c r="Z677" s="4">
        <v>4000</v>
      </c>
      <c r="AA677">
        <v>0</v>
      </c>
      <c r="AB677">
        <v>0</v>
      </c>
      <c r="AC677">
        <v>0</v>
      </c>
      <c r="AD677">
        <v>0</v>
      </c>
      <c r="AG677">
        <v>0</v>
      </c>
      <c r="AP677">
        <v>11206362</v>
      </c>
      <c r="AQ677" t="s">
        <v>182</v>
      </c>
      <c r="AR677" t="s">
        <v>6643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BC677" t="s">
        <v>69</v>
      </c>
      <c r="BD677" t="s">
        <v>2729</v>
      </c>
      <c r="BE677">
        <v>0</v>
      </c>
      <c r="BG677" t="s">
        <v>182</v>
      </c>
      <c r="BJ677" t="s">
        <v>2730</v>
      </c>
    </row>
    <row r="678" spans="1:62" x14ac:dyDescent="0.35">
      <c r="A678" t="s">
        <v>2731</v>
      </c>
      <c r="B678">
        <v>10000</v>
      </c>
      <c r="C678">
        <v>10000</v>
      </c>
      <c r="D678" s="2">
        <v>45727</v>
      </c>
      <c r="E678" t="s">
        <v>61</v>
      </c>
      <c r="F678" t="s">
        <v>2572</v>
      </c>
      <c r="G678" t="s">
        <v>418</v>
      </c>
      <c r="I678">
        <v>1</v>
      </c>
      <c r="J678" t="s">
        <v>63</v>
      </c>
      <c r="K678" s="8">
        <v>59</v>
      </c>
      <c r="L678" s="8" t="s">
        <v>6592</v>
      </c>
      <c r="M678" s="8" t="s">
        <v>6629</v>
      </c>
      <c r="N678" t="s">
        <v>745</v>
      </c>
      <c r="O678" t="s">
        <v>6501</v>
      </c>
      <c r="P678">
        <v>200</v>
      </c>
      <c r="Q678">
        <f t="shared" si="160"/>
        <v>50</v>
      </c>
      <c r="R678">
        <f t="shared" si="161"/>
        <v>0.83333333333333337</v>
      </c>
      <c r="S678" s="2">
        <v>45727</v>
      </c>
      <c r="U678">
        <v>10</v>
      </c>
      <c r="V678" s="4">
        <v>2000</v>
      </c>
      <c r="W678" t="s">
        <v>65</v>
      </c>
      <c r="X678">
        <v>112026100001</v>
      </c>
      <c r="Y678">
        <v>0</v>
      </c>
      <c r="Z678" s="4">
        <v>2000</v>
      </c>
      <c r="AA678">
        <v>0</v>
      </c>
      <c r="AB678">
        <v>0</v>
      </c>
      <c r="AC678">
        <v>0</v>
      </c>
      <c r="AD678">
        <v>0</v>
      </c>
      <c r="AG678">
        <v>0</v>
      </c>
      <c r="AP678">
        <v>11202610</v>
      </c>
      <c r="AQ678" t="s">
        <v>182</v>
      </c>
      <c r="AR678" t="s">
        <v>6643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BC678" t="s">
        <v>69</v>
      </c>
      <c r="BD678" t="s">
        <v>2732</v>
      </c>
      <c r="BE678">
        <v>0</v>
      </c>
      <c r="BG678" t="s">
        <v>182</v>
      </c>
      <c r="BJ678" t="s">
        <v>2733</v>
      </c>
    </row>
    <row r="679" spans="1:62" x14ac:dyDescent="0.35">
      <c r="A679" t="s">
        <v>2734</v>
      </c>
      <c r="B679">
        <v>10000</v>
      </c>
      <c r="C679">
        <v>10000</v>
      </c>
      <c r="D679" s="2">
        <v>45727</v>
      </c>
      <c r="E679" t="s">
        <v>61</v>
      </c>
      <c r="F679" t="s">
        <v>2572</v>
      </c>
      <c r="G679" t="s">
        <v>418</v>
      </c>
      <c r="I679">
        <v>1</v>
      </c>
      <c r="J679" t="s">
        <v>63</v>
      </c>
      <c r="K679" s="8">
        <v>59</v>
      </c>
      <c r="L679" s="8" t="s">
        <v>6592</v>
      </c>
      <c r="M679" s="8" t="s">
        <v>6629</v>
      </c>
      <c r="N679" t="s">
        <v>745</v>
      </c>
      <c r="O679" t="s">
        <v>6501</v>
      </c>
      <c r="P679">
        <v>200</v>
      </c>
      <c r="Q679">
        <f t="shared" si="160"/>
        <v>50</v>
      </c>
      <c r="R679">
        <f t="shared" si="161"/>
        <v>0.83333333333333337</v>
      </c>
      <c r="S679" s="2">
        <v>45727</v>
      </c>
      <c r="U679">
        <v>10</v>
      </c>
      <c r="V679" s="4">
        <v>2000</v>
      </c>
      <c r="W679" t="s">
        <v>65</v>
      </c>
      <c r="X679">
        <v>112026100001</v>
      </c>
      <c r="Y679">
        <v>0</v>
      </c>
      <c r="Z679" s="4">
        <v>2000</v>
      </c>
      <c r="AA679">
        <v>0</v>
      </c>
      <c r="AB679">
        <v>0</v>
      </c>
      <c r="AC679">
        <v>0</v>
      </c>
      <c r="AD679">
        <v>0</v>
      </c>
      <c r="AG679">
        <v>0</v>
      </c>
      <c r="AP679">
        <v>11202610</v>
      </c>
      <c r="AQ679" t="s">
        <v>182</v>
      </c>
      <c r="AR679" t="s">
        <v>6643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BC679" t="s">
        <v>69</v>
      </c>
      <c r="BD679" t="s">
        <v>2735</v>
      </c>
      <c r="BE679">
        <v>0</v>
      </c>
      <c r="BG679" t="s">
        <v>182</v>
      </c>
      <c r="BJ679" t="s">
        <v>2736</v>
      </c>
    </row>
    <row r="680" spans="1:62" x14ac:dyDescent="0.35">
      <c r="A680" t="s">
        <v>2737</v>
      </c>
      <c r="B680">
        <v>10000</v>
      </c>
      <c r="C680">
        <v>10000</v>
      </c>
      <c r="D680" s="2">
        <v>45728</v>
      </c>
      <c r="E680" t="s">
        <v>61</v>
      </c>
      <c r="F680" t="s">
        <v>2738</v>
      </c>
      <c r="G680">
        <v>860909190840</v>
      </c>
      <c r="I680">
        <v>1</v>
      </c>
      <c r="J680" t="s">
        <v>63</v>
      </c>
      <c r="K680" s="8">
        <v>79</v>
      </c>
      <c r="L680" s="8" t="s">
        <v>6608</v>
      </c>
      <c r="M680" s="8" t="s">
        <v>6631</v>
      </c>
      <c r="N680" t="s">
        <v>573</v>
      </c>
      <c r="O680" t="s">
        <v>6547</v>
      </c>
      <c r="P680">
        <v>96</v>
      </c>
      <c r="Q680">
        <f t="shared" ref="Q680:Q684" si="162">(P680/20)+30</f>
        <v>34.799999999999997</v>
      </c>
      <c r="R680">
        <f t="shared" ref="R680:R684" si="163">Q680/60</f>
        <v>0.57999999999999996</v>
      </c>
      <c r="S680" s="2">
        <v>45727</v>
      </c>
      <c r="U680">
        <v>42</v>
      </c>
      <c r="V680" s="4">
        <v>4032</v>
      </c>
      <c r="W680" t="s">
        <v>65</v>
      </c>
      <c r="X680">
        <v>200909620001</v>
      </c>
      <c r="Y680">
        <v>0</v>
      </c>
      <c r="Z680" s="4">
        <v>2000</v>
      </c>
      <c r="AA680" s="4">
        <v>2032</v>
      </c>
      <c r="AB680">
        <v>0</v>
      </c>
      <c r="AC680">
        <v>0</v>
      </c>
      <c r="AD680">
        <v>0</v>
      </c>
      <c r="AG680">
        <v>0</v>
      </c>
      <c r="AP680">
        <v>20090962</v>
      </c>
      <c r="AQ680" t="s">
        <v>182</v>
      </c>
      <c r="AR680" t="s">
        <v>6643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BC680" t="s">
        <v>69</v>
      </c>
      <c r="BD680" t="s">
        <v>2739</v>
      </c>
      <c r="BE680">
        <v>0</v>
      </c>
      <c r="BG680" t="s">
        <v>182</v>
      </c>
      <c r="BJ680" t="s">
        <v>2740</v>
      </c>
    </row>
    <row r="681" spans="1:62" x14ac:dyDescent="0.35">
      <c r="A681" t="s">
        <v>2741</v>
      </c>
      <c r="B681">
        <v>10000</v>
      </c>
      <c r="C681">
        <v>10000</v>
      </c>
      <c r="D681" s="2">
        <v>45728</v>
      </c>
      <c r="E681" t="s">
        <v>61</v>
      </c>
      <c r="F681" t="s">
        <v>2742</v>
      </c>
      <c r="G681">
        <v>860909190840</v>
      </c>
      <c r="I681">
        <v>1</v>
      </c>
      <c r="J681" t="s">
        <v>63</v>
      </c>
      <c r="K681" s="8">
        <v>79</v>
      </c>
      <c r="L681" s="8" t="s">
        <v>6608</v>
      </c>
      <c r="M681" s="8" t="s">
        <v>6631</v>
      </c>
      <c r="N681" t="s">
        <v>573</v>
      </c>
      <c r="O681" t="s">
        <v>6547</v>
      </c>
      <c r="P681">
        <v>239</v>
      </c>
      <c r="Q681">
        <f t="shared" si="162"/>
        <v>41.95</v>
      </c>
      <c r="R681">
        <f t="shared" si="163"/>
        <v>0.69916666666666671</v>
      </c>
      <c r="S681" s="2">
        <v>45727</v>
      </c>
      <c r="U681">
        <v>42</v>
      </c>
      <c r="V681" s="4">
        <v>10038</v>
      </c>
      <c r="W681" t="s">
        <v>65</v>
      </c>
      <c r="X681">
        <v>200909620001</v>
      </c>
      <c r="Y681">
        <v>0</v>
      </c>
      <c r="Z681" s="4">
        <v>9000</v>
      </c>
      <c r="AA681" s="4">
        <v>1038</v>
      </c>
      <c r="AB681">
        <v>0</v>
      </c>
      <c r="AC681">
        <v>0</v>
      </c>
      <c r="AD681">
        <v>0</v>
      </c>
      <c r="AG681">
        <v>0</v>
      </c>
      <c r="AP681">
        <v>20090962</v>
      </c>
      <c r="AQ681" t="s">
        <v>182</v>
      </c>
      <c r="AR681" t="s">
        <v>6643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BC681" t="s">
        <v>69</v>
      </c>
      <c r="BD681" t="s">
        <v>2743</v>
      </c>
      <c r="BE681">
        <v>0</v>
      </c>
      <c r="BG681" t="s">
        <v>182</v>
      </c>
      <c r="BJ681" t="s">
        <v>2744</v>
      </c>
    </row>
    <row r="682" spans="1:62" x14ac:dyDescent="0.35">
      <c r="A682" t="s">
        <v>2745</v>
      </c>
      <c r="B682">
        <v>10000</v>
      </c>
      <c r="C682">
        <v>10000</v>
      </c>
      <c r="D682" s="2">
        <v>45728</v>
      </c>
      <c r="E682" t="s">
        <v>61</v>
      </c>
      <c r="F682" t="s">
        <v>2746</v>
      </c>
      <c r="G682">
        <v>860909190840</v>
      </c>
      <c r="I682">
        <v>1</v>
      </c>
      <c r="J682" t="s">
        <v>63</v>
      </c>
      <c r="K682" s="8">
        <v>79</v>
      </c>
      <c r="L682" s="8" t="s">
        <v>6608</v>
      </c>
      <c r="M682" s="8" t="s">
        <v>6631</v>
      </c>
      <c r="N682" t="s">
        <v>573</v>
      </c>
      <c r="O682" t="s">
        <v>6547</v>
      </c>
      <c r="P682">
        <v>143</v>
      </c>
      <c r="Q682">
        <f t="shared" si="162"/>
        <v>37.15</v>
      </c>
      <c r="R682">
        <f t="shared" si="163"/>
        <v>0.61916666666666664</v>
      </c>
      <c r="S682" s="2">
        <v>45727</v>
      </c>
      <c r="U682">
        <v>42</v>
      </c>
      <c r="V682" s="4">
        <v>6022</v>
      </c>
      <c r="W682" t="s">
        <v>65</v>
      </c>
      <c r="X682">
        <v>200717170001</v>
      </c>
      <c r="Y682">
        <v>0</v>
      </c>
      <c r="Z682" s="4">
        <v>7000</v>
      </c>
      <c r="AA682">
        <v>-978</v>
      </c>
      <c r="AB682">
        <v>0</v>
      </c>
      <c r="AC682">
        <v>0</v>
      </c>
      <c r="AD682">
        <v>0</v>
      </c>
      <c r="AG682">
        <v>0</v>
      </c>
      <c r="AP682">
        <v>20071717</v>
      </c>
      <c r="AQ682" t="s">
        <v>182</v>
      </c>
      <c r="AR682" t="s">
        <v>6643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BC682" t="s">
        <v>69</v>
      </c>
      <c r="BD682" t="s">
        <v>2747</v>
      </c>
      <c r="BE682">
        <v>0</v>
      </c>
      <c r="BG682" t="s">
        <v>182</v>
      </c>
      <c r="BJ682" t="s">
        <v>2748</v>
      </c>
    </row>
    <row r="683" spans="1:62" x14ac:dyDescent="0.35">
      <c r="A683" t="s">
        <v>2745</v>
      </c>
      <c r="B683">
        <v>20000</v>
      </c>
      <c r="C683">
        <v>10000</v>
      </c>
      <c r="D683" s="2">
        <v>45728</v>
      </c>
      <c r="E683" t="s">
        <v>61</v>
      </c>
      <c r="F683" t="s">
        <v>2746</v>
      </c>
      <c r="G683">
        <v>860909190840</v>
      </c>
      <c r="I683">
        <v>1</v>
      </c>
      <c r="J683" t="s">
        <v>63</v>
      </c>
      <c r="K683" s="8">
        <v>79</v>
      </c>
      <c r="L683" s="8" t="s">
        <v>6608</v>
      </c>
      <c r="M683" s="8" t="s">
        <v>6631</v>
      </c>
      <c r="N683" t="s">
        <v>573</v>
      </c>
      <c r="O683" t="s">
        <v>6547</v>
      </c>
      <c r="P683">
        <v>48</v>
      </c>
      <c r="Q683">
        <f t="shared" si="162"/>
        <v>32.4</v>
      </c>
      <c r="R683">
        <f t="shared" si="163"/>
        <v>0.53999999999999992</v>
      </c>
      <c r="S683" s="2">
        <v>45727</v>
      </c>
      <c r="U683">
        <v>42</v>
      </c>
      <c r="V683" s="4">
        <v>2000</v>
      </c>
      <c r="W683" t="s">
        <v>65</v>
      </c>
      <c r="X683">
        <v>200717170001</v>
      </c>
      <c r="Y683">
        <v>0</v>
      </c>
      <c r="Z683" s="4">
        <v>2000</v>
      </c>
      <c r="AA683">
        <v>0</v>
      </c>
      <c r="AB683">
        <v>0</v>
      </c>
      <c r="AC683">
        <v>0</v>
      </c>
      <c r="AD683">
        <v>0</v>
      </c>
      <c r="AG683">
        <v>0</v>
      </c>
      <c r="AP683">
        <v>20071717</v>
      </c>
      <c r="AQ683" t="s">
        <v>182</v>
      </c>
      <c r="AR683" t="s">
        <v>6643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BC683" t="s">
        <v>69</v>
      </c>
      <c r="BD683" t="s">
        <v>2747</v>
      </c>
      <c r="BE683">
        <v>0</v>
      </c>
      <c r="BG683" t="s">
        <v>182</v>
      </c>
      <c r="BJ683" t="s">
        <v>2748</v>
      </c>
    </row>
    <row r="684" spans="1:62" x14ac:dyDescent="0.35">
      <c r="A684" t="s">
        <v>2749</v>
      </c>
      <c r="B684">
        <v>10000</v>
      </c>
      <c r="C684">
        <v>10000</v>
      </c>
      <c r="D684" s="2">
        <v>45728</v>
      </c>
      <c r="E684" t="s">
        <v>61</v>
      </c>
      <c r="F684" t="s">
        <v>2750</v>
      </c>
      <c r="G684">
        <v>860909190840</v>
      </c>
      <c r="I684">
        <v>1</v>
      </c>
      <c r="J684" t="s">
        <v>63</v>
      </c>
      <c r="K684" s="8">
        <v>79</v>
      </c>
      <c r="L684" s="8" t="s">
        <v>6608</v>
      </c>
      <c r="M684" s="8" t="s">
        <v>6631</v>
      </c>
      <c r="N684" t="s">
        <v>573</v>
      </c>
      <c r="O684" t="s">
        <v>6547</v>
      </c>
      <c r="P684">
        <v>334</v>
      </c>
      <c r="Q684">
        <f t="shared" si="162"/>
        <v>46.7</v>
      </c>
      <c r="R684">
        <f t="shared" si="163"/>
        <v>0.77833333333333343</v>
      </c>
      <c r="S684" s="2">
        <v>45727</v>
      </c>
      <c r="U684">
        <v>36</v>
      </c>
      <c r="V684" s="4">
        <v>12024</v>
      </c>
      <c r="W684" t="s">
        <v>65</v>
      </c>
      <c r="X684">
        <v>200717150001</v>
      </c>
      <c r="Y684">
        <v>0</v>
      </c>
      <c r="Z684" s="4">
        <v>14000</v>
      </c>
      <c r="AA684" s="4">
        <v>-1976</v>
      </c>
      <c r="AB684">
        <v>0</v>
      </c>
      <c r="AC684">
        <v>0</v>
      </c>
      <c r="AD684">
        <v>0</v>
      </c>
      <c r="AG684">
        <v>0</v>
      </c>
      <c r="AP684">
        <v>20071715</v>
      </c>
      <c r="AQ684" t="s">
        <v>182</v>
      </c>
      <c r="AR684" t="s">
        <v>6643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BC684" t="s">
        <v>69</v>
      </c>
      <c r="BD684" t="s">
        <v>2751</v>
      </c>
      <c r="BE684">
        <v>0</v>
      </c>
      <c r="BG684" t="s">
        <v>182</v>
      </c>
      <c r="BJ684" t="s">
        <v>2752</v>
      </c>
    </row>
    <row r="685" spans="1:62" x14ac:dyDescent="0.35">
      <c r="A685" t="s">
        <v>2753</v>
      </c>
      <c r="B685">
        <v>10000</v>
      </c>
      <c r="C685">
        <v>10000</v>
      </c>
      <c r="D685" s="2">
        <v>45728</v>
      </c>
      <c r="E685" t="s">
        <v>61</v>
      </c>
      <c r="F685" t="s">
        <v>2277</v>
      </c>
      <c r="G685" t="s">
        <v>2754</v>
      </c>
      <c r="I685">
        <v>1</v>
      </c>
      <c r="J685" t="s">
        <v>63</v>
      </c>
      <c r="K685" s="8">
        <v>65</v>
      </c>
      <c r="L685" s="8" t="s">
        <v>6596</v>
      </c>
      <c r="M685" s="8" t="s">
        <v>6630</v>
      </c>
      <c r="N685" t="s">
        <v>268</v>
      </c>
      <c r="O685" t="s">
        <v>6543</v>
      </c>
      <c r="P685">
        <v>715</v>
      </c>
      <c r="Q685">
        <f>(P685/40)+45</f>
        <v>62.875</v>
      </c>
      <c r="R685">
        <f>Q685/60</f>
        <v>1.0479166666666666</v>
      </c>
      <c r="S685" s="2">
        <v>45727</v>
      </c>
      <c r="U685">
        <v>14</v>
      </c>
      <c r="V685" s="4">
        <v>10010</v>
      </c>
      <c r="W685" t="s">
        <v>65</v>
      </c>
      <c r="X685" t="s">
        <v>2755</v>
      </c>
      <c r="Y685">
        <v>0</v>
      </c>
      <c r="Z685" s="4">
        <v>10000</v>
      </c>
      <c r="AA685">
        <v>10</v>
      </c>
      <c r="AB685">
        <v>0</v>
      </c>
      <c r="AC685">
        <v>0</v>
      </c>
      <c r="AD685">
        <v>0</v>
      </c>
      <c r="AG685">
        <v>0</v>
      </c>
      <c r="AP685" t="s">
        <v>2756</v>
      </c>
      <c r="AQ685" t="s">
        <v>206</v>
      </c>
      <c r="AR685" t="s">
        <v>6645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BC685" t="s">
        <v>69</v>
      </c>
      <c r="BD685" t="s">
        <v>2757</v>
      </c>
      <c r="BE685">
        <v>0</v>
      </c>
      <c r="BG685" t="s">
        <v>206</v>
      </c>
      <c r="BJ685" t="s">
        <v>2758</v>
      </c>
    </row>
    <row r="686" spans="1:62" x14ac:dyDescent="0.35">
      <c r="A686" t="s">
        <v>2759</v>
      </c>
      <c r="B686">
        <v>10000</v>
      </c>
      <c r="C686">
        <v>10000</v>
      </c>
      <c r="D686" s="2">
        <v>45728</v>
      </c>
      <c r="E686" t="s">
        <v>61</v>
      </c>
      <c r="F686" t="s">
        <v>2760</v>
      </c>
      <c r="G686" t="s">
        <v>1773</v>
      </c>
      <c r="I686">
        <v>1</v>
      </c>
      <c r="J686" t="s">
        <v>63</v>
      </c>
      <c r="K686" s="8">
        <v>32</v>
      </c>
      <c r="L686" s="8" t="s">
        <v>6607</v>
      </c>
      <c r="M686" s="8" t="s">
        <v>6629</v>
      </c>
      <c r="N686" t="s">
        <v>553</v>
      </c>
      <c r="O686" t="s">
        <v>6552</v>
      </c>
      <c r="P686" s="4">
        <v>5860</v>
      </c>
      <c r="S686" s="2">
        <v>45727</v>
      </c>
      <c r="U686">
        <v>1</v>
      </c>
      <c r="V686" s="4">
        <v>5860</v>
      </c>
      <c r="W686" t="s">
        <v>65</v>
      </c>
      <c r="X686" t="s">
        <v>2199</v>
      </c>
      <c r="Y686">
        <v>0</v>
      </c>
      <c r="Z686" s="4">
        <v>5360</v>
      </c>
      <c r="AA686">
        <v>500</v>
      </c>
      <c r="AB686">
        <v>0</v>
      </c>
      <c r="AC686">
        <v>0</v>
      </c>
      <c r="AD686">
        <v>0</v>
      </c>
      <c r="AG686">
        <v>0</v>
      </c>
      <c r="AP686" t="s">
        <v>2200</v>
      </c>
      <c r="AQ686" t="s">
        <v>116</v>
      </c>
      <c r="AR686" t="s">
        <v>6639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BC686" t="s">
        <v>69</v>
      </c>
      <c r="BD686" t="s">
        <v>2761</v>
      </c>
      <c r="BE686">
        <v>0</v>
      </c>
      <c r="BG686" t="s">
        <v>116</v>
      </c>
      <c r="BJ686" t="s">
        <v>2762</v>
      </c>
    </row>
    <row r="687" spans="1:62" x14ac:dyDescent="0.35">
      <c r="A687" t="s">
        <v>2764</v>
      </c>
      <c r="B687">
        <v>10000</v>
      </c>
      <c r="C687">
        <v>10000</v>
      </c>
      <c r="D687" s="2">
        <v>45733</v>
      </c>
      <c r="E687" t="s">
        <v>61</v>
      </c>
      <c r="F687" t="s">
        <v>2765</v>
      </c>
      <c r="G687" t="s">
        <v>2766</v>
      </c>
      <c r="H687" t="s">
        <v>2767</v>
      </c>
      <c r="I687">
        <v>1</v>
      </c>
      <c r="J687" t="s">
        <v>69</v>
      </c>
      <c r="K687" s="8">
        <v>95</v>
      </c>
      <c r="L687" s="8" t="s">
        <v>6609</v>
      </c>
      <c r="M687" s="8" t="s">
        <v>6630</v>
      </c>
      <c r="N687" t="s">
        <v>597</v>
      </c>
      <c r="O687" t="s">
        <v>6556</v>
      </c>
      <c r="P687" s="4">
        <v>87000</v>
      </c>
      <c r="Q687">
        <f>(P687/20)+45</f>
        <v>4395</v>
      </c>
      <c r="R687">
        <f>Q687/60</f>
        <v>73.25</v>
      </c>
      <c r="S687" s="2">
        <v>45728</v>
      </c>
      <c r="U687">
        <v>28</v>
      </c>
      <c r="V687" s="4">
        <v>2436000</v>
      </c>
      <c r="W687" t="s">
        <v>65</v>
      </c>
      <c r="X687" t="s">
        <v>2768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G687">
        <v>0</v>
      </c>
      <c r="AK687" t="s">
        <v>69</v>
      </c>
      <c r="AL687">
        <v>0</v>
      </c>
      <c r="AM687" t="s">
        <v>69</v>
      </c>
      <c r="AP687" t="s">
        <v>2769</v>
      </c>
      <c r="AQ687" t="s">
        <v>116</v>
      </c>
      <c r="AR687" t="s">
        <v>6639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BC687" t="s">
        <v>69</v>
      </c>
      <c r="BG687" t="s">
        <v>116</v>
      </c>
      <c r="BJ687" t="s">
        <v>2770</v>
      </c>
    </row>
    <row r="688" spans="1:62" x14ac:dyDescent="0.35">
      <c r="A688" t="s">
        <v>2771</v>
      </c>
      <c r="B688">
        <v>10000</v>
      </c>
      <c r="C688">
        <v>10000</v>
      </c>
      <c r="D688" s="2">
        <v>45729</v>
      </c>
      <c r="E688" t="s">
        <v>61</v>
      </c>
      <c r="F688" t="s">
        <v>2772</v>
      </c>
      <c r="G688" t="s">
        <v>2773</v>
      </c>
      <c r="H688" t="s">
        <v>1577</v>
      </c>
      <c r="I688">
        <v>1</v>
      </c>
      <c r="J688" t="s">
        <v>69</v>
      </c>
      <c r="K688" s="8">
        <v>94</v>
      </c>
      <c r="L688" s="8" t="s">
        <v>6599</v>
      </c>
      <c r="M688" s="8" t="s">
        <v>6629</v>
      </c>
      <c r="N688" t="s">
        <v>181</v>
      </c>
      <c r="O688" t="s">
        <v>6544</v>
      </c>
      <c r="P688" s="4">
        <v>3000</v>
      </c>
      <c r="S688" s="2">
        <v>45728</v>
      </c>
      <c r="U688">
        <v>4</v>
      </c>
      <c r="V688" s="4">
        <v>12000</v>
      </c>
      <c r="W688" t="s">
        <v>65</v>
      </c>
      <c r="X688" t="s">
        <v>2774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G688">
        <v>0</v>
      </c>
      <c r="AK688" t="s">
        <v>69</v>
      </c>
      <c r="AL688">
        <v>0</v>
      </c>
      <c r="AM688" t="s">
        <v>69</v>
      </c>
      <c r="AP688" t="s">
        <v>2775</v>
      </c>
      <c r="AQ688" t="s">
        <v>364</v>
      </c>
      <c r="AR688" t="s">
        <v>6653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BC688" t="s">
        <v>69</v>
      </c>
      <c r="BG688" t="s">
        <v>364</v>
      </c>
      <c r="BJ688" t="s">
        <v>2776</v>
      </c>
    </row>
    <row r="689" spans="1:62" x14ac:dyDescent="0.35">
      <c r="A689" t="s">
        <v>2777</v>
      </c>
      <c r="B689">
        <v>10000</v>
      </c>
      <c r="C689">
        <v>10000</v>
      </c>
      <c r="D689" s="2">
        <v>45728</v>
      </c>
      <c r="E689" t="s">
        <v>61</v>
      </c>
      <c r="F689" t="s">
        <v>2778</v>
      </c>
      <c r="G689" t="s">
        <v>826</v>
      </c>
      <c r="H689" t="s">
        <v>1577</v>
      </c>
      <c r="I689">
        <v>1</v>
      </c>
      <c r="J689" t="s">
        <v>69</v>
      </c>
      <c r="K689" s="8">
        <v>94</v>
      </c>
      <c r="L689" s="8" t="s">
        <v>6599</v>
      </c>
      <c r="M689" s="8" t="s">
        <v>6629</v>
      </c>
      <c r="N689" t="s">
        <v>181</v>
      </c>
      <c r="O689" t="s">
        <v>6544</v>
      </c>
      <c r="P689" s="4">
        <v>3000</v>
      </c>
      <c r="S689" s="2">
        <v>45728</v>
      </c>
      <c r="U689">
        <v>4</v>
      </c>
      <c r="V689" s="4">
        <v>12000</v>
      </c>
      <c r="W689" t="s">
        <v>65</v>
      </c>
      <c r="X689" t="s">
        <v>2779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G689">
        <v>0</v>
      </c>
      <c r="AK689" t="s">
        <v>69</v>
      </c>
      <c r="AL689">
        <v>0</v>
      </c>
      <c r="AM689" t="s">
        <v>69</v>
      </c>
      <c r="AP689" t="s">
        <v>2780</v>
      </c>
      <c r="AQ689" t="s">
        <v>364</v>
      </c>
      <c r="AR689" t="s">
        <v>6653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BC689" t="s">
        <v>69</v>
      </c>
      <c r="BG689" t="s">
        <v>364</v>
      </c>
      <c r="BJ689" t="s">
        <v>2781</v>
      </c>
    </row>
    <row r="690" spans="1:62" x14ac:dyDescent="0.35">
      <c r="A690" t="s">
        <v>2517</v>
      </c>
      <c r="B690">
        <v>10000</v>
      </c>
      <c r="C690">
        <v>20000</v>
      </c>
      <c r="D690" s="2">
        <v>45756</v>
      </c>
      <c r="E690" t="s">
        <v>61</v>
      </c>
      <c r="F690" t="s">
        <v>2518</v>
      </c>
      <c r="G690">
        <v>860909190840</v>
      </c>
      <c r="H690" t="s">
        <v>2519</v>
      </c>
      <c r="I690">
        <v>2</v>
      </c>
      <c r="J690" t="s">
        <v>69</v>
      </c>
      <c r="K690" s="8">
        <v>86</v>
      </c>
      <c r="L690" s="8" t="s">
        <v>6584</v>
      </c>
      <c r="M690" s="8" t="s">
        <v>6627</v>
      </c>
      <c r="N690" t="s">
        <v>64</v>
      </c>
      <c r="O690" t="s">
        <v>6559</v>
      </c>
      <c r="P690" s="4">
        <v>3000</v>
      </c>
      <c r="Q690">
        <f t="shared" ref="Q690:Q691" si="164">(P690/60)+45</f>
        <v>95</v>
      </c>
      <c r="R690">
        <f t="shared" ref="R690:R691" si="165">Q690/60</f>
        <v>1.5833333333333333</v>
      </c>
      <c r="S690" s="2">
        <v>45728</v>
      </c>
      <c r="U690">
        <v>1</v>
      </c>
      <c r="V690" s="4">
        <v>3000</v>
      </c>
      <c r="W690" t="s">
        <v>65</v>
      </c>
      <c r="X690">
        <v>200699050001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G690">
        <v>0</v>
      </c>
      <c r="AK690" t="s">
        <v>69</v>
      </c>
      <c r="AL690">
        <v>0</v>
      </c>
      <c r="AM690" t="s">
        <v>69</v>
      </c>
      <c r="AP690">
        <v>20069905</v>
      </c>
      <c r="AQ690" t="s">
        <v>182</v>
      </c>
      <c r="AR690" t="s">
        <v>6643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BC690" t="s">
        <v>69</v>
      </c>
      <c r="BG690" t="s">
        <v>182</v>
      </c>
      <c r="BJ690" t="s">
        <v>2520</v>
      </c>
    </row>
    <row r="691" spans="1:62" x14ac:dyDescent="0.35">
      <c r="A691" t="s">
        <v>2521</v>
      </c>
      <c r="B691">
        <v>10000</v>
      </c>
      <c r="C691">
        <v>20000</v>
      </c>
      <c r="D691" s="2">
        <v>45742</v>
      </c>
      <c r="E691" t="s">
        <v>61</v>
      </c>
      <c r="F691" t="s">
        <v>2522</v>
      </c>
      <c r="G691">
        <v>860909190840</v>
      </c>
      <c r="H691" t="s">
        <v>2519</v>
      </c>
      <c r="I691">
        <v>2</v>
      </c>
      <c r="J691" t="s">
        <v>69</v>
      </c>
      <c r="K691" s="8">
        <v>86</v>
      </c>
      <c r="L691" s="8" t="s">
        <v>6584</v>
      </c>
      <c r="M691" s="8" t="s">
        <v>6627</v>
      </c>
      <c r="N691" t="s">
        <v>64</v>
      </c>
      <c r="O691" t="s">
        <v>6559</v>
      </c>
      <c r="P691" s="4">
        <v>18000</v>
      </c>
      <c r="Q691">
        <f t="shared" si="164"/>
        <v>345</v>
      </c>
      <c r="R691">
        <f t="shared" si="165"/>
        <v>5.75</v>
      </c>
      <c r="S691" s="2">
        <v>45728</v>
      </c>
      <c r="U691">
        <v>1</v>
      </c>
      <c r="V691" s="4">
        <v>18000</v>
      </c>
      <c r="W691" t="s">
        <v>65</v>
      </c>
      <c r="X691">
        <v>200717160001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G691">
        <v>0</v>
      </c>
      <c r="AK691" t="s">
        <v>69</v>
      </c>
      <c r="AL691">
        <v>0</v>
      </c>
      <c r="AM691" t="s">
        <v>69</v>
      </c>
      <c r="AP691">
        <v>20071716</v>
      </c>
      <c r="AQ691" t="s">
        <v>182</v>
      </c>
      <c r="AR691" t="s">
        <v>6643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BC691" t="s">
        <v>69</v>
      </c>
      <c r="BG691" t="s">
        <v>182</v>
      </c>
      <c r="BJ691" t="s">
        <v>2523</v>
      </c>
    </row>
    <row r="692" spans="1:62" x14ac:dyDescent="0.35">
      <c r="A692" t="s">
        <v>2782</v>
      </c>
      <c r="B692">
        <v>10000</v>
      </c>
      <c r="C692">
        <v>10000</v>
      </c>
      <c r="D692" s="2">
        <v>45743</v>
      </c>
      <c r="E692" t="s">
        <v>61</v>
      </c>
      <c r="F692" t="s">
        <v>2783</v>
      </c>
      <c r="G692" t="s">
        <v>2427</v>
      </c>
      <c r="H692" t="s">
        <v>2784</v>
      </c>
      <c r="I692">
        <v>1</v>
      </c>
      <c r="J692" t="s">
        <v>69</v>
      </c>
      <c r="K692" s="8">
        <v>79</v>
      </c>
      <c r="L692" s="8" t="s">
        <v>6608</v>
      </c>
      <c r="M692" s="8" t="s">
        <v>6631</v>
      </c>
      <c r="N692" t="s">
        <v>573</v>
      </c>
      <c r="O692" t="s">
        <v>6547</v>
      </c>
      <c r="P692" s="4">
        <v>1934</v>
      </c>
      <c r="Q692">
        <f>(P692/20)+30</f>
        <v>126.7</v>
      </c>
      <c r="R692">
        <f>Q692/60</f>
        <v>2.1116666666666668</v>
      </c>
      <c r="S692" s="2">
        <v>45728</v>
      </c>
      <c r="U692">
        <v>15</v>
      </c>
      <c r="V692" s="4">
        <v>29010</v>
      </c>
      <c r="W692" t="s">
        <v>65</v>
      </c>
      <c r="X692" t="s">
        <v>2785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G692">
        <v>0</v>
      </c>
      <c r="AK692" t="s">
        <v>69</v>
      </c>
      <c r="AL692">
        <v>0</v>
      </c>
      <c r="AM692" t="s">
        <v>69</v>
      </c>
      <c r="AP692" t="s">
        <v>2786</v>
      </c>
      <c r="AQ692" t="s">
        <v>107</v>
      </c>
      <c r="AR692" t="s">
        <v>6638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BC692" t="s">
        <v>69</v>
      </c>
      <c r="BG692" t="s">
        <v>107</v>
      </c>
      <c r="BJ692" t="s">
        <v>2787</v>
      </c>
    </row>
    <row r="693" spans="1:62" x14ac:dyDescent="0.35">
      <c r="A693" t="s">
        <v>2782</v>
      </c>
      <c r="B693">
        <v>10000</v>
      </c>
      <c r="C693">
        <v>20000</v>
      </c>
      <c r="D693" s="2">
        <v>45743</v>
      </c>
      <c r="E693" t="s">
        <v>61</v>
      </c>
      <c r="F693" t="s">
        <v>2783</v>
      </c>
      <c r="G693" t="s">
        <v>2427</v>
      </c>
      <c r="H693" t="s">
        <v>2784</v>
      </c>
      <c r="I693">
        <v>1</v>
      </c>
      <c r="J693" t="s">
        <v>69</v>
      </c>
      <c r="K693" s="8">
        <v>79</v>
      </c>
      <c r="L693" t="s">
        <v>6608</v>
      </c>
      <c r="M693" s="8" t="s">
        <v>6631</v>
      </c>
      <c r="N693" t="s">
        <v>296</v>
      </c>
      <c r="O693" t="s">
        <v>6550</v>
      </c>
      <c r="P693" s="4">
        <v>11467</v>
      </c>
      <c r="S693" s="2">
        <v>45728</v>
      </c>
      <c r="U693">
        <v>15</v>
      </c>
      <c r="V693" s="4">
        <v>172005</v>
      </c>
      <c r="W693" t="s">
        <v>65</v>
      </c>
      <c r="X693" t="s">
        <v>2785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G693">
        <v>0</v>
      </c>
      <c r="AK693" t="s">
        <v>69</v>
      </c>
      <c r="AL693">
        <v>0</v>
      </c>
      <c r="AM693" t="s">
        <v>69</v>
      </c>
      <c r="AP693" t="s">
        <v>2786</v>
      </c>
      <c r="AQ693" t="s">
        <v>107</v>
      </c>
      <c r="AR693" t="s">
        <v>6638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BC693" t="s">
        <v>69</v>
      </c>
      <c r="BG693" t="s">
        <v>107</v>
      </c>
      <c r="BJ693" t="s">
        <v>2787</v>
      </c>
    </row>
    <row r="694" spans="1:62" x14ac:dyDescent="0.35">
      <c r="A694" t="s">
        <v>2788</v>
      </c>
      <c r="B694">
        <v>10000</v>
      </c>
      <c r="C694">
        <v>10000</v>
      </c>
      <c r="D694" s="2">
        <v>45748</v>
      </c>
      <c r="E694" t="s">
        <v>61</v>
      </c>
      <c r="F694" t="s">
        <v>2789</v>
      </c>
      <c r="G694" t="s">
        <v>2790</v>
      </c>
      <c r="H694" t="s">
        <v>2791</v>
      </c>
      <c r="I694">
        <v>1</v>
      </c>
      <c r="J694" t="s">
        <v>69</v>
      </c>
      <c r="K694" s="8">
        <v>93</v>
      </c>
      <c r="L694" s="8" t="s">
        <v>6611</v>
      </c>
      <c r="M694" s="8" t="s">
        <v>6631</v>
      </c>
      <c r="N694" t="s">
        <v>573</v>
      </c>
      <c r="O694" t="s">
        <v>6547</v>
      </c>
      <c r="P694">
        <v>964</v>
      </c>
      <c r="Q694">
        <f>(P694/20)+30</f>
        <v>78.2</v>
      </c>
      <c r="R694">
        <f>Q694/60</f>
        <v>1.3033333333333335</v>
      </c>
      <c r="S694" s="2">
        <v>45728</v>
      </c>
      <c r="U694">
        <v>352</v>
      </c>
      <c r="V694" s="4">
        <v>339328</v>
      </c>
      <c r="W694" t="s">
        <v>65</v>
      </c>
      <c r="X694" t="s">
        <v>328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G694">
        <v>0</v>
      </c>
      <c r="AK694" t="s">
        <v>69</v>
      </c>
      <c r="AL694">
        <v>0</v>
      </c>
      <c r="AM694" t="s">
        <v>69</v>
      </c>
      <c r="AP694" t="s">
        <v>329</v>
      </c>
      <c r="AQ694" t="s">
        <v>107</v>
      </c>
      <c r="AR694" t="s">
        <v>6638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BC694" t="s">
        <v>69</v>
      </c>
      <c r="BG694" t="s">
        <v>107</v>
      </c>
      <c r="BJ694" t="s">
        <v>2792</v>
      </c>
    </row>
    <row r="695" spans="1:62" x14ac:dyDescent="0.35">
      <c r="A695" t="s">
        <v>2793</v>
      </c>
      <c r="B695">
        <v>10000</v>
      </c>
      <c r="C695">
        <v>20000</v>
      </c>
      <c r="D695" s="2">
        <v>45728</v>
      </c>
      <c r="E695" t="s">
        <v>61</v>
      </c>
      <c r="F695" t="s">
        <v>2794</v>
      </c>
      <c r="G695" t="s">
        <v>2795</v>
      </c>
      <c r="I695">
        <v>1</v>
      </c>
      <c r="J695" t="s">
        <v>63</v>
      </c>
      <c r="K695" s="8">
        <v>73</v>
      </c>
      <c r="L695" s="8" t="s">
        <v>6586</v>
      </c>
      <c r="M695" s="8" t="s">
        <v>6627</v>
      </c>
      <c r="N695" t="s">
        <v>90</v>
      </c>
      <c r="O695" t="s">
        <v>6564</v>
      </c>
      <c r="P695" s="4">
        <v>6834</v>
      </c>
      <c r="Q695">
        <f t="shared" ref="Q695:Q696" si="166">(P695/60)+45</f>
        <v>158.9</v>
      </c>
      <c r="R695">
        <f t="shared" ref="R695:R696" si="167">Q695/60</f>
        <v>2.6483333333333334</v>
      </c>
      <c r="S695" s="2">
        <v>45728</v>
      </c>
      <c r="U695">
        <v>30</v>
      </c>
      <c r="V695" s="4">
        <v>205020</v>
      </c>
      <c r="W695" t="s">
        <v>65</v>
      </c>
      <c r="X695" t="s">
        <v>2796</v>
      </c>
      <c r="Y695">
        <v>0</v>
      </c>
      <c r="Z695" s="4">
        <v>195239</v>
      </c>
      <c r="AA695" s="4">
        <v>9781</v>
      </c>
      <c r="AB695">
        <v>0</v>
      </c>
      <c r="AC695">
        <v>0</v>
      </c>
      <c r="AD695">
        <v>0</v>
      </c>
      <c r="AG695">
        <v>0</v>
      </c>
      <c r="AP695" t="s">
        <v>2797</v>
      </c>
      <c r="AQ695" t="s">
        <v>2798</v>
      </c>
      <c r="AR695" t="s">
        <v>6707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BC695" t="s">
        <v>69</v>
      </c>
      <c r="BD695" t="s">
        <v>2799</v>
      </c>
      <c r="BE695">
        <v>0</v>
      </c>
      <c r="BG695" t="s">
        <v>2798</v>
      </c>
      <c r="BJ695" t="s">
        <v>2800</v>
      </c>
    </row>
    <row r="696" spans="1:62" x14ac:dyDescent="0.35">
      <c r="A696" t="s">
        <v>2793</v>
      </c>
      <c r="B696">
        <v>10000</v>
      </c>
      <c r="C696">
        <v>30000</v>
      </c>
      <c r="D696" s="2">
        <v>45728</v>
      </c>
      <c r="E696" t="s">
        <v>61</v>
      </c>
      <c r="F696" t="s">
        <v>2794</v>
      </c>
      <c r="G696" t="s">
        <v>2795</v>
      </c>
      <c r="I696">
        <v>2</v>
      </c>
      <c r="J696" t="s">
        <v>63</v>
      </c>
      <c r="K696" s="8">
        <v>73</v>
      </c>
      <c r="L696" s="8" t="s">
        <v>6586</v>
      </c>
      <c r="M696" s="8" t="s">
        <v>6627</v>
      </c>
      <c r="N696" t="s">
        <v>90</v>
      </c>
      <c r="O696" t="s">
        <v>6564</v>
      </c>
      <c r="P696" s="4">
        <v>6667</v>
      </c>
      <c r="Q696">
        <f t="shared" si="166"/>
        <v>156.11666666666667</v>
      </c>
      <c r="R696">
        <f t="shared" si="167"/>
        <v>2.6019444444444444</v>
      </c>
      <c r="S696" s="2">
        <v>45728</v>
      </c>
      <c r="U696">
        <v>30</v>
      </c>
      <c r="V696" s="4">
        <v>200010</v>
      </c>
      <c r="W696" t="s">
        <v>65</v>
      </c>
      <c r="X696" t="s">
        <v>2796</v>
      </c>
      <c r="Y696">
        <v>0</v>
      </c>
      <c r="Z696" s="4">
        <v>199990</v>
      </c>
      <c r="AA696">
        <v>20</v>
      </c>
      <c r="AB696">
        <v>0</v>
      </c>
      <c r="AC696">
        <v>0</v>
      </c>
      <c r="AD696">
        <v>0</v>
      </c>
      <c r="AG696">
        <v>0</v>
      </c>
      <c r="AP696" t="s">
        <v>2797</v>
      </c>
      <c r="AQ696" t="s">
        <v>2798</v>
      </c>
      <c r="AR696" t="s">
        <v>6707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BC696" t="s">
        <v>69</v>
      </c>
      <c r="BD696" t="s">
        <v>2799</v>
      </c>
      <c r="BE696">
        <v>0</v>
      </c>
      <c r="BG696" t="s">
        <v>2798</v>
      </c>
      <c r="BJ696" t="s">
        <v>2800</v>
      </c>
    </row>
    <row r="697" spans="1:62" x14ac:dyDescent="0.35">
      <c r="A697" t="s">
        <v>2801</v>
      </c>
      <c r="B697">
        <v>10000</v>
      </c>
      <c r="C697">
        <v>10000</v>
      </c>
      <c r="D697" s="2">
        <v>45734</v>
      </c>
      <c r="E697" t="s">
        <v>61</v>
      </c>
      <c r="F697" t="s">
        <v>2802</v>
      </c>
      <c r="G697" t="s">
        <v>2526</v>
      </c>
      <c r="I697">
        <v>1</v>
      </c>
      <c r="J697" t="s">
        <v>63</v>
      </c>
      <c r="K697" s="8">
        <v>82</v>
      </c>
      <c r="L697" s="8" t="s">
        <v>6598</v>
      </c>
      <c r="M697" s="8" t="s">
        <v>6630</v>
      </c>
      <c r="N697" t="s">
        <v>341</v>
      </c>
      <c r="O697" t="s">
        <v>6346</v>
      </c>
      <c r="P697" s="4">
        <v>5883</v>
      </c>
      <c r="S697" s="2">
        <v>45728</v>
      </c>
      <c r="U697">
        <v>17</v>
      </c>
      <c r="V697" s="4">
        <v>100011</v>
      </c>
      <c r="W697" t="s">
        <v>65</v>
      </c>
      <c r="X697" t="s">
        <v>2527</v>
      </c>
      <c r="Y697">
        <v>0</v>
      </c>
      <c r="Z697" s="4">
        <v>92310</v>
      </c>
      <c r="AA697" s="4">
        <v>7701</v>
      </c>
      <c r="AB697">
        <v>0</v>
      </c>
      <c r="AC697">
        <v>0</v>
      </c>
      <c r="AD697">
        <v>0</v>
      </c>
      <c r="AG697">
        <v>0</v>
      </c>
      <c r="AP697" t="s">
        <v>2528</v>
      </c>
      <c r="AQ697" t="s">
        <v>271</v>
      </c>
      <c r="AR697" t="s">
        <v>6648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BC697" t="s">
        <v>69</v>
      </c>
      <c r="BD697" t="s">
        <v>2803</v>
      </c>
      <c r="BE697">
        <v>0</v>
      </c>
      <c r="BG697" t="s">
        <v>271</v>
      </c>
      <c r="BJ697" t="s">
        <v>2804</v>
      </c>
    </row>
    <row r="698" spans="1:62" x14ac:dyDescent="0.35">
      <c r="A698" t="s">
        <v>72</v>
      </c>
      <c r="B698">
        <v>10000</v>
      </c>
      <c r="C698">
        <v>40000</v>
      </c>
      <c r="D698" s="2">
        <v>45729</v>
      </c>
      <c r="E698" t="s">
        <v>61</v>
      </c>
      <c r="F698" t="s">
        <v>2805</v>
      </c>
      <c r="G698" t="s">
        <v>74</v>
      </c>
      <c r="I698">
        <v>3</v>
      </c>
      <c r="J698" t="s">
        <v>63</v>
      </c>
      <c r="K698" s="8">
        <v>91</v>
      </c>
      <c r="L698" s="8" t="s">
        <v>6585</v>
      </c>
      <c r="M698" s="8" t="s">
        <v>6628</v>
      </c>
      <c r="N698" t="s">
        <v>75</v>
      </c>
      <c r="O698" t="s">
        <v>6581</v>
      </c>
      <c r="P698" s="4">
        <v>12000</v>
      </c>
      <c r="S698" s="2">
        <v>45728</v>
      </c>
      <c r="U698">
        <v>9</v>
      </c>
      <c r="V698" s="4">
        <v>108000</v>
      </c>
      <c r="W698" t="s">
        <v>65</v>
      </c>
      <c r="X698" t="s">
        <v>76</v>
      </c>
      <c r="Y698">
        <v>0</v>
      </c>
      <c r="Z698" s="4">
        <v>107143</v>
      </c>
      <c r="AA698">
        <v>857</v>
      </c>
      <c r="AB698">
        <v>0</v>
      </c>
      <c r="AC698">
        <v>0</v>
      </c>
      <c r="AD698">
        <v>0</v>
      </c>
      <c r="AG698">
        <v>0</v>
      </c>
      <c r="AP698" t="s">
        <v>77</v>
      </c>
      <c r="AQ698" t="s">
        <v>68</v>
      </c>
      <c r="AR698" t="s">
        <v>6636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BC698" t="s">
        <v>69</v>
      </c>
      <c r="BD698" t="s">
        <v>78</v>
      </c>
      <c r="BE698">
        <v>0</v>
      </c>
      <c r="BG698" t="s">
        <v>68</v>
      </c>
      <c r="BJ698" t="s">
        <v>79</v>
      </c>
    </row>
    <row r="699" spans="1:62" x14ac:dyDescent="0.35">
      <c r="A699" t="s">
        <v>2545</v>
      </c>
      <c r="B699">
        <v>10000</v>
      </c>
      <c r="C699">
        <v>20000</v>
      </c>
      <c r="D699" s="2">
        <v>45729</v>
      </c>
      <c r="E699" t="s">
        <v>61</v>
      </c>
      <c r="F699" t="s">
        <v>2806</v>
      </c>
      <c r="G699" t="s">
        <v>2546</v>
      </c>
      <c r="I699">
        <v>1</v>
      </c>
      <c r="J699" t="s">
        <v>63</v>
      </c>
      <c r="K699" s="8">
        <v>65</v>
      </c>
      <c r="L699" s="8" t="s">
        <v>6596</v>
      </c>
      <c r="M699" s="8" t="s">
        <v>6630</v>
      </c>
      <c r="N699" t="s">
        <v>268</v>
      </c>
      <c r="O699" t="s">
        <v>6543</v>
      </c>
      <c r="P699" s="4">
        <v>2000</v>
      </c>
      <c r="Q699">
        <f>(P699/40)+45</f>
        <v>95</v>
      </c>
      <c r="R699">
        <f>Q699/60</f>
        <v>1.5833333333333333</v>
      </c>
      <c r="S699" s="2">
        <v>45728</v>
      </c>
      <c r="U699">
        <v>1</v>
      </c>
      <c r="V699" s="4">
        <v>2000</v>
      </c>
      <c r="W699" t="s">
        <v>65</v>
      </c>
      <c r="X699" t="s">
        <v>2547</v>
      </c>
      <c r="Y699">
        <v>0</v>
      </c>
      <c r="Z699" s="4">
        <v>1000</v>
      </c>
      <c r="AA699" s="4">
        <v>1000</v>
      </c>
      <c r="AB699">
        <v>0</v>
      </c>
      <c r="AC699">
        <v>0</v>
      </c>
      <c r="AD699">
        <v>0</v>
      </c>
      <c r="AG699">
        <v>0</v>
      </c>
      <c r="AP699" t="s">
        <v>2548</v>
      </c>
      <c r="AQ699" t="s">
        <v>2549</v>
      </c>
      <c r="AR699" t="s">
        <v>6704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BC699" t="s">
        <v>69</v>
      </c>
      <c r="BD699" t="s">
        <v>2550</v>
      </c>
      <c r="BE699">
        <v>0</v>
      </c>
      <c r="BG699" t="s">
        <v>2549</v>
      </c>
      <c r="BJ699" t="s">
        <v>2551</v>
      </c>
    </row>
    <row r="700" spans="1:62" x14ac:dyDescent="0.35">
      <c r="A700" t="s">
        <v>2807</v>
      </c>
      <c r="B700">
        <v>10000</v>
      </c>
      <c r="C700">
        <v>10000</v>
      </c>
      <c r="D700" s="2">
        <v>45728</v>
      </c>
      <c r="E700" t="s">
        <v>61</v>
      </c>
      <c r="F700" t="s">
        <v>2808</v>
      </c>
      <c r="G700" t="s">
        <v>304</v>
      </c>
      <c r="I700">
        <v>1</v>
      </c>
      <c r="J700" t="s">
        <v>63</v>
      </c>
      <c r="K700" s="8">
        <v>73</v>
      </c>
      <c r="L700" s="8" t="s">
        <v>6586</v>
      </c>
      <c r="M700" s="8" t="s">
        <v>6627</v>
      </c>
      <c r="N700" t="s">
        <v>90</v>
      </c>
      <c r="O700" t="s">
        <v>6564</v>
      </c>
      <c r="P700" s="4">
        <v>15750</v>
      </c>
      <c r="Q700">
        <f>(P700/60)+45</f>
        <v>307.5</v>
      </c>
      <c r="R700">
        <f>Q700/60</f>
        <v>5.125</v>
      </c>
      <c r="S700" s="2">
        <v>45728</v>
      </c>
      <c r="U700">
        <v>8</v>
      </c>
      <c r="V700" s="4">
        <v>126000</v>
      </c>
      <c r="W700" t="s">
        <v>65</v>
      </c>
      <c r="X700" t="s">
        <v>305</v>
      </c>
      <c r="Y700">
        <v>0</v>
      </c>
      <c r="Z700" s="4">
        <v>126000</v>
      </c>
      <c r="AA700">
        <v>0</v>
      </c>
      <c r="AB700">
        <v>0</v>
      </c>
      <c r="AC700">
        <v>0</v>
      </c>
      <c r="AD700">
        <v>0</v>
      </c>
      <c r="AG700">
        <v>0</v>
      </c>
      <c r="AP700" t="s">
        <v>306</v>
      </c>
      <c r="AQ700" t="s">
        <v>271</v>
      </c>
      <c r="AR700" t="s">
        <v>6648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C700" t="s">
        <v>69</v>
      </c>
      <c r="BD700" t="s">
        <v>2809</v>
      </c>
      <c r="BE700">
        <v>0</v>
      </c>
      <c r="BG700" t="s">
        <v>271</v>
      </c>
      <c r="BJ700" t="s">
        <v>2810</v>
      </c>
    </row>
    <row r="701" spans="1:62" x14ac:dyDescent="0.35">
      <c r="A701" t="s">
        <v>2811</v>
      </c>
      <c r="B701">
        <v>10000</v>
      </c>
      <c r="C701">
        <v>30000</v>
      </c>
      <c r="D701" s="2">
        <v>45728</v>
      </c>
      <c r="E701" t="s">
        <v>61</v>
      </c>
      <c r="F701" t="s">
        <v>2812</v>
      </c>
      <c r="G701" t="s">
        <v>333</v>
      </c>
      <c r="I701">
        <v>3</v>
      </c>
      <c r="J701" t="s">
        <v>63</v>
      </c>
      <c r="K701" s="8">
        <v>101</v>
      </c>
      <c r="L701" t="s">
        <v>6585</v>
      </c>
      <c r="M701" s="8" t="s">
        <v>6628</v>
      </c>
      <c r="N701" t="s">
        <v>104</v>
      </c>
      <c r="O701" t="s">
        <v>6579</v>
      </c>
      <c r="P701" s="4">
        <v>6667</v>
      </c>
      <c r="S701" s="2">
        <v>45728</v>
      </c>
      <c r="U701">
        <v>3</v>
      </c>
      <c r="V701" s="4">
        <v>20001</v>
      </c>
      <c r="W701" t="s">
        <v>65</v>
      </c>
      <c r="X701" t="s">
        <v>2813</v>
      </c>
      <c r="Y701">
        <v>0</v>
      </c>
      <c r="Z701" s="4">
        <v>20000</v>
      </c>
      <c r="AA701">
        <v>1</v>
      </c>
      <c r="AB701">
        <v>0</v>
      </c>
      <c r="AC701">
        <v>0</v>
      </c>
      <c r="AD701">
        <v>0</v>
      </c>
      <c r="AG701">
        <v>0</v>
      </c>
      <c r="AP701" t="s">
        <v>2814</v>
      </c>
      <c r="AQ701" t="s">
        <v>107</v>
      </c>
      <c r="AR701" t="s">
        <v>6638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C701" t="s">
        <v>69</v>
      </c>
      <c r="BD701" t="s">
        <v>2815</v>
      </c>
      <c r="BE701">
        <v>0</v>
      </c>
      <c r="BG701" t="s">
        <v>107</v>
      </c>
      <c r="BJ701" t="s">
        <v>2816</v>
      </c>
    </row>
    <row r="702" spans="1:62" x14ac:dyDescent="0.35">
      <c r="A702" t="s">
        <v>2817</v>
      </c>
      <c r="B702">
        <v>10000</v>
      </c>
      <c r="C702">
        <v>10000</v>
      </c>
      <c r="D702" s="2">
        <v>45728</v>
      </c>
      <c r="E702" t="s">
        <v>61</v>
      </c>
      <c r="F702" t="s">
        <v>2818</v>
      </c>
      <c r="G702" t="s">
        <v>203</v>
      </c>
      <c r="I702">
        <v>1</v>
      </c>
      <c r="J702" t="s">
        <v>63</v>
      </c>
      <c r="K702" s="8">
        <v>61</v>
      </c>
      <c r="L702" s="8" t="s">
        <v>6594</v>
      </c>
      <c r="M702" s="8" t="s">
        <v>6629</v>
      </c>
      <c r="N702" t="s">
        <v>216</v>
      </c>
      <c r="O702" t="s">
        <v>6394</v>
      </c>
      <c r="P702" s="4">
        <v>1000</v>
      </c>
      <c r="Q702">
        <f t="shared" ref="Q702:Q703" si="168">(P702/50)+45</f>
        <v>65</v>
      </c>
      <c r="R702">
        <f t="shared" ref="R702:R705" si="169">Q702/60</f>
        <v>1.0833333333333333</v>
      </c>
      <c r="S702" s="2">
        <v>45728</v>
      </c>
      <c r="U702">
        <v>1</v>
      </c>
      <c r="V702" s="4">
        <v>1000</v>
      </c>
      <c r="W702" t="s">
        <v>65</v>
      </c>
      <c r="X702" t="s">
        <v>2819</v>
      </c>
      <c r="Y702">
        <v>0</v>
      </c>
      <c r="Z702" s="4">
        <v>1000</v>
      </c>
      <c r="AA702">
        <v>0</v>
      </c>
      <c r="AB702">
        <v>0</v>
      </c>
      <c r="AC702">
        <v>0</v>
      </c>
      <c r="AD702">
        <v>0</v>
      </c>
      <c r="AG702">
        <v>0</v>
      </c>
      <c r="AP702" t="s">
        <v>2820</v>
      </c>
      <c r="AQ702" t="s">
        <v>206</v>
      </c>
      <c r="AR702" t="s">
        <v>6645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C702" t="s">
        <v>69</v>
      </c>
      <c r="BD702" t="s">
        <v>2821</v>
      </c>
      <c r="BE702">
        <v>0</v>
      </c>
      <c r="BG702" t="s">
        <v>206</v>
      </c>
      <c r="BJ702" t="s">
        <v>2822</v>
      </c>
    </row>
    <row r="703" spans="1:62" x14ac:dyDescent="0.35">
      <c r="A703" t="s">
        <v>2823</v>
      </c>
      <c r="B703">
        <v>10000</v>
      </c>
      <c r="C703">
        <v>10000</v>
      </c>
      <c r="D703" s="2">
        <v>45728</v>
      </c>
      <c r="E703" t="s">
        <v>61</v>
      </c>
      <c r="F703" t="s">
        <v>2824</v>
      </c>
      <c r="G703" t="s">
        <v>180</v>
      </c>
      <c r="I703">
        <v>1</v>
      </c>
      <c r="J703" t="s">
        <v>63</v>
      </c>
      <c r="K703" s="8">
        <v>61</v>
      </c>
      <c r="L703" s="8" t="s">
        <v>6594</v>
      </c>
      <c r="M703" s="8" t="s">
        <v>6629</v>
      </c>
      <c r="N703" t="s">
        <v>216</v>
      </c>
      <c r="O703" t="s">
        <v>6394</v>
      </c>
      <c r="P703" s="4">
        <v>2000</v>
      </c>
      <c r="Q703">
        <f t="shared" si="168"/>
        <v>85</v>
      </c>
      <c r="R703">
        <f t="shared" si="169"/>
        <v>1.4166666666666667</v>
      </c>
      <c r="S703" s="2">
        <v>45728</v>
      </c>
      <c r="U703">
        <v>1</v>
      </c>
      <c r="V703" s="4">
        <v>2000</v>
      </c>
      <c r="W703" t="s">
        <v>65</v>
      </c>
      <c r="X703">
        <v>200094640001</v>
      </c>
      <c r="Y703">
        <v>0</v>
      </c>
      <c r="Z703" s="4">
        <v>2000</v>
      </c>
      <c r="AA703">
        <v>0</v>
      </c>
      <c r="AB703">
        <v>0</v>
      </c>
      <c r="AC703">
        <v>0</v>
      </c>
      <c r="AD703">
        <v>0</v>
      </c>
      <c r="AG703">
        <v>0</v>
      </c>
      <c r="AP703">
        <v>20009464</v>
      </c>
      <c r="AQ703" t="s">
        <v>2825</v>
      </c>
      <c r="AR703" t="s">
        <v>6708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BC703" t="s">
        <v>69</v>
      </c>
      <c r="BD703" t="s">
        <v>2826</v>
      </c>
      <c r="BE703">
        <v>0</v>
      </c>
      <c r="BG703" t="s">
        <v>2825</v>
      </c>
      <c r="BJ703" t="s">
        <v>2827</v>
      </c>
    </row>
    <row r="704" spans="1:62" x14ac:dyDescent="0.35">
      <c r="A704" t="s">
        <v>2828</v>
      </c>
      <c r="B704">
        <v>10000</v>
      </c>
      <c r="C704">
        <v>30000</v>
      </c>
      <c r="D704" s="2">
        <v>45728</v>
      </c>
      <c r="E704" t="s">
        <v>61</v>
      </c>
      <c r="F704" t="s">
        <v>2829</v>
      </c>
      <c r="G704" t="s">
        <v>2247</v>
      </c>
      <c r="I704">
        <v>1</v>
      </c>
      <c r="J704" t="s">
        <v>63</v>
      </c>
      <c r="K704" s="8">
        <v>31</v>
      </c>
      <c r="L704" s="8" t="s">
        <v>6595</v>
      </c>
      <c r="M704" s="8" t="s">
        <v>6629</v>
      </c>
      <c r="N704" t="s">
        <v>1311</v>
      </c>
      <c r="O704" t="s">
        <v>6491</v>
      </c>
      <c r="P704">
        <v>7</v>
      </c>
      <c r="Q704">
        <f t="shared" ref="Q704:Q705" si="170">(P704/40)+45</f>
        <v>45.174999999999997</v>
      </c>
      <c r="R704">
        <f t="shared" si="169"/>
        <v>0.75291666666666657</v>
      </c>
      <c r="S704" s="2">
        <v>45728</v>
      </c>
      <c r="U704">
        <v>8</v>
      </c>
      <c r="V704">
        <v>56</v>
      </c>
      <c r="W704" t="s">
        <v>65</v>
      </c>
      <c r="X704" t="s">
        <v>2830</v>
      </c>
      <c r="Y704">
        <v>0</v>
      </c>
      <c r="Z704">
        <v>5</v>
      </c>
      <c r="AA704">
        <v>51</v>
      </c>
      <c r="AB704">
        <v>0</v>
      </c>
      <c r="AC704">
        <v>0</v>
      </c>
      <c r="AD704">
        <v>0</v>
      </c>
      <c r="AG704">
        <v>0</v>
      </c>
      <c r="AP704" t="s">
        <v>2831</v>
      </c>
      <c r="AQ704" t="s">
        <v>271</v>
      </c>
      <c r="AR704" t="s">
        <v>6648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C704" t="s">
        <v>69</v>
      </c>
      <c r="BD704" t="s">
        <v>2832</v>
      </c>
      <c r="BE704">
        <v>0</v>
      </c>
      <c r="BG704" t="s">
        <v>271</v>
      </c>
      <c r="BJ704" t="s">
        <v>2833</v>
      </c>
    </row>
    <row r="705" spans="1:62" x14ac:dyDescent="0.35">
      <c r="A705" t="s">
        <v>2834</v>
      </c>
      <c r="B705">
        <v>10000</v>
      </c>
      <c r="C705">
        <v>10000</v>
      </c>
      <c r="D705" s="2">
        <v>45728</v>
      </c>
      <c r="E705" t="s">
        <v>61</v>
      </c>
      <c r="F705" t="s">
        <v>2835</v>
      </c>
      <c r="G705" t="s">
        <v>2836</v>
      </c>
      <c r="I705">
        <v>1</v>
      </c>
      <c r="J705" t="s">
        <v>63</v>
      </c>
      <c r="K705" s="8">
        <v>46</v>
      </c>
      <c r="L705" s="8" t="s">
        <v>6587</v>
      </c>
      <c r="M705" s="8" t="s">
        <v>6629</v>
      </c>
      <c r="N705" t="s">
        <v>113</v>
      </c>
      <c r="O705" t="s">
        <v>6499</v>
      </c>
      <c r="P705" s="4">
        <v>3000</v>
      </c>
      <c r="Q705">
        <f t="shared" si="170"/>
        <v>120</v>
      </c>
      <c r="R705">
        <f t="shared" si="169"/>
        <v>2</v>
      </c>
      <c r="S705" s="2">
        <v>45728</v>
      </c>
      <c r="U705">
        <v>1</v>
      </c>
      <c r="V705" s="4">
        <v>3000</v>
      </c>
      <c r="W705" t="s">
        <v>65</v>
      </c>
      <c r="X705" t="s">
        <v>2837</v>
      </c>
      <c r="Y705">
        <v>0</v>
      </c>
      <c r="Z705" s="4">
        <v>3000</v>
      </c>
      <c r="AA705">
        <v>0</v>
      </c>
      <c r="AB705">
        <v>0</v>
      </c>
      <c r="AC705">
        <v>0</v>
      </c>
      <c r="AD705">
        <v>0</v>
      </c>
      <c r="AG705">
        <v>0</v>
      </c>
      <c r="AP705" t="s">
        <v>2838</v>
      </c>
      <c r="AQ705" t="s">
        <v>427</v>
      </c>
      <c r="AR705" t="s">
        <v>6709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BC705" t="s">
        <v>69</v>
      </c>
      <c r="BD705" t="s">
        <v>2839</v>
      </c>
      <c r="BE705">
        <v>0</v>
      </c>
      <c r="BG705" t="s">
        <v>427</v>
      </c>
      <c r="BJ705" t="s">
        <v>2840</v>
      </c>
    </row>
    <row r="706" spans="1:62" x14ac:dyDescent="0.35">
      <c r="A706" t="s">
        <v>2580</v>
      </c>
      <c r="B706">
        <v>10000</v>
      </c>
      <c r="C706">
        <v>30000</v>
      </c>
      <c r="D706" s="2">
        <v>45735</v>
      </c>
      <c r="E706" t="s">
        <v>61</v>
      </c>
      <c r="F706" t="s">
        <v>2581</v>
      </c>
      <c r="G706" t="s">
        <v>2582</v>
      </c>
      <c r="I706">
        <v>1</v>
      </c>
      <c r="J706" t="s">
        <v>63</v>
      </c>
      <c r="K706" s="8">
        <v>103</v>
      </c>
      <c r="L706" s="8" t="s">
        <v>6589</v>
      </c>
      <c r="M706" s="8" t="s">
        <v>6630</v>
      </c>
      <c r="N706" t="s">
        <v>318</v>
      </c>
      <c r="O706" t="s">
        <v>6557</v>
      </c>
      <c r="P706" s="4">
        <v>20625</v>
      </c>
      <c r="S706" s="2">
        <v>45728</v>
      </c>
      <c r="U706">
        <v>8</v>
      </c>
      <c r="V706" s="4">
        <v>165000</v>
      </c>
      <c r="W706" t="s">
        <v>65</v>
      </c>
      <c r="X706" t="s">
        <v>319</v>
      </c>
      <c r="Y706">
        <v>0</v>
      </c>
      <c r="Z706" s="4">
        <v>164991</v>
      </c>
      <c r="AA706">
        <v>9</v>
      </c>
      <c r="AB706">
        <v>0</v>
      </c>
      <c r="AC706">
        <v>0</v>
      </c>
      <c r="AD706">
        <v>0</v>
      </c>
      <c r="AG706">
        <v>0</v>
      </c>
      <c r="AP706" t="s">
        <v>320</v>
      </c>
      <c r="AQ706" t="s">
        <v>321</v>
      </c>
      <c r="AR706" t="s">
        <v>6652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BC706" t="s">
        <v>69</v>
      </c>
      <c r="BD706" t="s">
        <v>2583</v>
      </c>
      <c r="BE706">
        <v>0</v>
      </c>
      <c r="BG706" t="s">
        <v>321</v>
      </c>
      <c r="BJ706" t="s">
        <v>2584</v>
      </c>
    </row>
    <row r="707" spans="1:62" x14ac:dyDescent="0.35">
      <c r="A707" t="s">
        <v>2580</v>
      </c>
      <c r="B707">
        <v>20000</v>
      </c>
      <c r="C707">
        <v>10000</v>
      </c>
      <c r="D707" s="2">
        <v>45735</v>
      </c>
      <c r="E707" t="s">
        <v>61</v>
      </c>
      <c r="F707" t="s">
        <v>2581</v>
      </c>
      <c r="G707" t="s">
        <v>2582</v>
      </c>
      <c r="I707">
        <v>1</v>
      </c>
      <c r="J707" t="s">
        <v>63</v>
      </c>
      <c r="K707" s="8">
        <v>103</v>
      </c>
      <c r="L707" s="8" t="s">
        <v>6589</v>
      </c>
      <c r="M707" s="8" t="s">
        <v>6630</v>
      </c>
      <c r="N707" t="s">
        <v>318</v>
      </c>
      <c r="O707" t="s">
        <v>6557</v>
      </c>
      <c r="P707" s="4">
        <v>31875</v>
      </c>
      <c r="S707" s="2">
        <v>45728</v>
      </c>
      <c r="U707">
        <v>8</v>
      </c>
      <c r="V707" s="4">
        <v>255000</v>
      </c>
      <c r="W707" t="s">
        <v>65</v>
      </c>
      <c r="X707" t="s">
        <v>319</v>
      </c>
      <c r="Y707">
        <v>0</v>
      </c>
      <c r="Z707" s="4">
        <v>255000</v>
      </c>
      <c r="AA707">
        <v>0</v>
      </c>
      <c r="AB707">
        <v>0</v>
      </c>
      <c r="AC707">
        <v>0</v>
      </c>
      <c r="AD707">
        <v>0</v>
      </c>
      <c r="AG707">
        <v>0</v>
      </c>
      <c r="AP707" t="s">
        <v>320</v>
      </c>
      <c r="AQ707" t="s">
        <v>321</v>
      </c>
      <c r="AR707" t="s">
        <v>6652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C707" t="s">
        <v>69</v>
      </c>
      <c r="BD707" t="s">
        <v>2583</v>
      </c>
      <c r="BE707">
        <v>0</v>
      </c>
      <c r="BG707" t="s">
        <v>321</v>
      </c>
      <c r="BJ707" t="s">
        <v>2584</v>
      </c>
    </row>
    <row r="708" spans="1:62" x14ac:dyDescent="0.35">
      <c r="A708" t="s">
        <v>2841</v>
      </c>
      <c r="B708">
        <v>10000</v>
      </c>
      <c r="C708">
        <v>10000</v>
      </c>
      <c r="D708" s="2">
        <v>45728</v>
      </c>
      <c r="E708" t="s">
        <v>61</v>
      </c>
      <c r="F708" t="s">
        <v>2835</v>
      </c>
      <c r="G708" t="s">
        <v>2836</v>
      </c>
      <c r="I708">
        <v>1</v>
      </c>
      <c r="J708" t="s">
        <v>63</v>
      </c>
      <c r="K708" s="8">
        <v>46</v>
      </c>
      <c r="L708" s="8" t="s">
        <v>6587</v>
      </c>
      <c r="M708" s="8" t="s">
        <v>6629</v>
      </c>
      <c r="N708" t="s">
        <v>113</v>
      </c>
      <c r="O708" t="s">
        <v>6499</v>
      </c>
      <c r="P708" s="4">
        <v>3000</v>
      </c>
      <c r="Q708">
        <f>(P708/40)+45</f>
        <v>120</v>
      </c>
      <c r="R708">
        <f>Q708/60</f>
        <v>2</v>
      </c>
      <c r="S708" s="2">
        <v>45728</v>
      </c>
      <c r="U708">
        <v>1</v>
      </c>
      <c r="V708" s="4">
        <v>3000</v>
      </c>
      <c r="W708" t="s">
        <v>65</v>
      </c>
      <c r="X708" t="s">
        <v>2837</v>
      </c>
      <c r="Y708">
        <v>0</v>
      </c>
      <c r="Z708" s="4">
        <v>3000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2838</v>
      </c>
      <c r="AQ708" t="s">
        <v>427</v>
      </c>
      <c r="AR708" t="s">
        <v>6709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C708" t="s">
        <v>69</v>
      </c>
      <c r="BD708" t="s">
        <v>2842</v>
      </c>
      <c r="BE708">
        <v>0</v>
      </c>
      <c r="BG708" t="s">
        <v>427</v>
      </c>
      <c r="BJ708" t="s">
        <v>2843</v>
      </c>
    </row>
    <row r="709" spans="1:62" x14ac:dyDescent="0.35">
      <c r="A709" t="s">
        <v>2844</v>
      </c>
      <c r="B709">
        <v>10000</v>
      </c>
      <c r="C709">
        <v>20000</v>
      </c>
      <c r="D709" s="2">
        <v>45736</v>
      </c>
      <c r="E709" t="s">
        <v>61</v>
      </c>
      <c r="F709" t="s">
        <v>956</v>
      </c>
      <c r="G709" t="s">
        <v>2845</v>
      </c>
      <c r="I709">
        <v>2</v>
      </c>
      <c r="J709" t="s">
        <v>63</v>
      </c>
      <c r="K709" s="8">
        <v>77</v>
      </c>
      <c r="L709" s="8" t="s">
        <v>6584</v>
      </c>
      <c r="M709" s="8" t="s">
        <v>6627</v>
      </c>
      <c r="N709" t="s">
        <v>127</v>
      </c>
      <c r="O709" t="s">
        <v>6567</v>
      </c>
      <c r="P709" s="4">
        <v>9319</v>
      </c>
      <c r="Q709">
        <f t="shared" ref="Q709:Q710" si="171">(P709/60)+45</f>
        <v>200.31666666666666</v>
      </c>
      <c r="R709">
        <f t="shared" ref="R709:R710" si="172">Q709/60</f>
        <v>3.3386111111111112</v>
      </c>
      <c r="S709" s="2">
        <v>45728</v>
      </c>
      <c r="U709">
        <v>88</v>
      </c>
      <c r="V709" s="4">
        <v>820072</v>
      </c>
      <c r="W709" t="s">
        <v>65</v>
      </c>
      <c r="X709" t="s">
        <v>2846</v>
      </c>
      <c r="Y709">
        <v>0</v>
      </c>
      <c r="Z709" s="4">
        <v>770000</v>
      </c>
      <c r="AA709" s="4">
        <v>50072</v>
      </c>
      <c r="AB709">
        <v>0</v>
      </c>
      <c r="AC709">
        <v>0</v>
      </c>
      <c r="AD709">
        <v>0</v>
      </c>
      <c r="AG709">
        <v>0</v>
      </c>
      <c r="AP709" t="s">
        <v>2847</v>
      </c>
      <c r="AQ709" t="s">
        <v>107</v>
      </c>
      <c r="AR709" t="s">
        <v>6638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BC709" t="s">
        <v>69</v>
      </c>
      <c r="BD709" t="s">
        <v>2848</v>
      </c>
      <c r="BE709">
        <v>0</v>
      </c>
      <c r="BG709" t="s">
        <v>107</v>
      </c>
      <c r="BJ709" t="s">
        <v>2849</v>
      </c>
    </row>
    <row r="710" spans="1:62" x14ac:dyDescent="0.35">
      <c r="A710" t="s">
        <v>570</v>
      </c>
      <c r="B710">
        <v>10000</v>
      </c>
      <c r="C710">
        <v>40000</v>
      </c>
      <c r="D710" s="2">
        <v>45740</v>
      </c>
      <c r="E710" t="s">
        <v>61</v>
      </c>
      <c r="F710" t="s">
        <v>2850</v>
      </c>
      <c r="G710" t="s">
        <v>572</v>
      </c>
      <c r="I710">
        <v>2</v>
      </c>
      <c r="J710" t="s">
        <v>63</v>
      </c>
      <c r="K710" s="8">
        <v>77</v>
      </c>
      <c r="L710" s="8" t="s">
        <v>6584</v>
      </c>
      <c r="M710" s="8" t="s">
        <v>6627</v>
      </c>
      <c r="N710" t="s">
        <v>127</v>
      </c>
      <c r="O710" t="s">
        <v>6567</v>
      </c>
      <c r="P710" s="4">
        <v>6023</v>
      </c>
      <c r="Q710">
        <f t="shared" si="171"/>
        <v>145.38333333333333</v>
      </c>
      <c r="R710">
        <f t="shared" si="172"/>
        <v>2.4230555555555555</v>
      </c>
      <c r="S710" s="2">
        <v>45728</v>
      </c>
      <c r="U710">
        <v>88</v>
      </c>
      <c r="V710" s="4">
        <v>530024</v>
      </c>
      <c r="W710" t="s">
        <v>65</v>
      </c>
      <c r="X710" t="s">
        <v>574</v>
      </c>
      <c r="Y710">
        <v>0</v>
      </c>
      <c r="Z710" s="4">
        <v>500000</v>
      </c>
      <c r="AA710" s="4">
        <v>30024</v>
      </c>
      <c r="AB710">
        <v>0</v>
      </c>
      <c r="AC710">
        <v>0</v>
      </c>
      <c r="AD710">
        <v>0</v>
      </c>
      <c r="AG710">
        <v>0</v>
      </c>
      <c r="AP710" t="s">
        <v>575</v>
      </c>
      <c r="AQ710" t="s">
        <v>107</v>
      </c>
      <c r="AR710" t="s">
        <v>6638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BC710" t="s">
        <v>69</v>
      </c>
      <c r="BD710" t="s">
        <v>576</v>
      </c>
      <c r="BE710">
        <v>0</v>
      </c>
      <c r="BG710" t="s">
        <v>107</v>
      </c>
      <c r="BJ710" t="s">
        <v>577</v>
      </c>
    </row>
    <row r="711" spans="1:62" x14ac:dyDescent="0.35">
      <c r="A711" t="s">
        <v>2305</v>
      </c>
      <c r="B711">
        <v>10000</v>
      </c>
      <c r="C711">
        <v>30000</v>
      </c>
      <c r="D711" s="2">
        <v>45729</v>
      </c>
      <c r="E711" t="s">
        <v>61</v>
      </c>
      <c r="F711" t="s">
        <v>2306</v>
      </c>
      <c r="G711" t="s">
        <v>2307</v>
      </c>
      <c r="I711">
        <v>3</v>
      </c>
      <c r="J711" t="s">
        <v>63</v>
      </c>
      <c r="K711" s="8">
        <v>85</v>
      </c>
      <c r="L711" s="8" t="s">
        <v>6585</v>
      </c>
      <c r="M711" s="8" t="s">
        <v>6628</v>
      </c>
      <c r="N711" t="s">
        <v>327</v>
      </c>
      <c r="O711" t="s">
        <v>6580</v>
      </c>
      <c r="P711" s="4">
        <v>27273</v>
      </c>
      <c r="S711" s="2">
        <v>45728</v>
      </c>
      <c r="U711">
        <v>11</v>
      </c>
      <c r="V711" s="4">
        <v>300003</v>
      </c>
      <c r="W711" t="s">
        <v>65</v>
      </c>
      <c r="X711" t="s">
        <v>1634</v>
      </c>
      <c r="Y711">
        <v>0</v>
      </c>
      <c r="Z711" s="4">
        <v>300000</v>
      </c>
      <c r="AA711">
        <v>3</v>
      </c>
      <c r="AB711">
        <v>0</v>
      </c>
      <c r="AC711">
        <v>0</v>
      </c>
      <c r="AD711">
        <v>0</v>
      </c>
      <c r="AG711">
        <v>0</v>
      </c>
      <c r="AP711" t="s">
        <v>1635</v>
      </c>
      <c r="AQ711" t="s">
        <v>107</v>
      </c>
      <c r="AR711" t="s">
        <v>6638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BC711" t="s">
        <v>69</v>
      </c>
      <c r="BD711" t="s">
        <v>2308</v>
      </c>
      <c r="BE711">
        <v>0</v>
      </c>
      <c r="BG711" t="s">
        <v>107</v>
      </c>
      <c r="BJ711" t="s">
        <v>2309</v>
      </c>
    </row>
    <row r="712" spans="1:62" x14ac:dyDescent="0.35">
      <c r="A712" t="s">
        <v>2851</v>
      </c>
      <c r="B712">
        <v>10000</v>
      </c>
      <c r="C712">
        <v>30000</v>
      </c>
      <c r="D712" s="2">
        <v>45740</v>
      </c>
      <c r="E712" t="s">
        <v>61</v>
      </c>
      <c r="F712" s="3">
        <v>0.48317129629629629</v>
      </c>
      <c r="G712" t="s">
        <v>2852</v>
      </c>
      <c r="I712">
        <v>2</v>
      </c>
      <c r="J712" t="s">
        <v>63</v>
      </c>
      <c r="K712" s="8">
        <v>77</v>
      </c>
      <c r="L712" s="8" t="s">
        <v>6584</v>
      </c>
      <c r="M712" s="8" t="s">
        <v>6627</v>
      </c>
      <c r="N712" t="s">
        <v>127</v>
      </c>
      <c r="O712" t="s">
        <v>6567</v>
      </c>
      <c r="P712" s="4">
        <v>3705</v>
      </c>
      <c r="Q712">
        <f t="shared" ref="Q712:Q713" si="173">(P712/60)+45</f>
        <v>106.75</v>
      </c>
      <c r="R712">
        <f t="shared" ref="R712:R713" si="174">Q712/60</f>
        <v>1.7791666666666666</v>
      </c>
      <c r="S712" s="2">
        <v>45728</v>
      </c>
      <c r="U712">
        <v>88</v>
      </c>
      <c r="V712" s="4">
        <v>326040</v>
      </c>
      <c r="W712" t="s">
        <v>65</v>
      </c>
      <c r="X712" t="s">
        <v>2853</v>
      </c>
      <c r="Y712">
        <v>0</v>
      </c>
      <c r="Z712" s="4">
        <v>300000</v>
      </c>
      <c r="AA712" s="4">
        <v>26040</v>
      </c>
      <c r="AB712">
        <v>0</v>
      </c>
      <c r="AC712">
        <v>0</v>
      </c>
      <c r="AD712">
        <v>0</v>
      </c>
      <c r="AG712">
        <v>0</v>
      </c>
      <c r="AP712" t="s">
        <v>2854</v>
      </c>
      <c r="AQ712" t="s">
        <v>107</v>
      </c>
      <c r="AR712" t="s">
        <v>6638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C712" t="s">
        <v>69</v>
      </c>
      <c r="BD712" t="s">
        <v>2855</v>
      </c>
      <c r="BE712">
        <v>0</v>
      </c>
      <c r="BG712" t="s">
        <v>107</v>
      </c>
      <c r="BJ712" t="s">
        <v>2856</v>
      </c>
    </row>
    <row r="713" spans="1:62" x14ac:dyDescent="0.35">
      <c r="A713" t="s">
        <v>2857</v>
      </c>
      <c r="B713">
        <v>10000</v>
      </c>
      <c r="C713">
        <v>20000</v>
      </c>
      <c r="D713" s="2">
        <v>45729</v>
      </c>
      <c r="E713" t="s">
        <v>61</v>
      </c>
      <c r="F713" t="s">
        <v>2858</v>
      </c>
      <c r="G713">
        <v>10639931012</v>
      </c>
      <c r="I713">
        <v>2</v>
      </c>
      <c r="J713" t="s">
        <v>63</v>
      </c>
      <c r="K713" s="8">
        <v>77</v>
      </c>
      <c r="L713" s="8" t="s">
        <v>6584</v>
      </c>
      <c r="M713" s="8" t="s">
        <v>6627</v>
      </c>
      <c r="N713" t="s">
        <v>127</v>
      </c>
      <c r="O713" t="s">
        <v>6567</v>
      </c>
      <c r="P713" s="4">
        <v>4061</v>
      </c>
      <c r="Q713">
        <f t="shared" si="173"/>
        <v>112.68333333333334</v>
      </c>
      <c r="R713">
        <f t="shared" si="174"/>
        <v>1.8780555555555556</v>
      </c>
      <c r="S713" s="2">
        <v>45728</v>
      </c>
      <c r="U713">
        <v>66</v>
      </c>
      <c r="V713" s="4">
        <v>268026</v>
      </c>
      <c r="W713" t="s">
        <v>65</v>
      </c>
      <c r="X713" t="s">
        <v>2859</v>
      </c>
      <c r="Y713">
        <v>0</v>
      </c>
      <c r="Z713" s="4">
        <v>240000</v>
      </c>
      <c r="AA713" s="4">
        <v>28026</v>
      </c>
      <c r="AB713">
        <v>0</v>
      </c>
      <c r="AC713">
        <v>0</v>
      </c>
      <c r="AD713">
        <v>0</v>
      </c>
      <c r="AG713">
        <v>0</v>
      </c>
      <c r="AP713" t="s">
        <v>2860</v>
      </c>
      <c r="AQ713" t="s">
        <v>107</v>
      </c>
      <c r="AR713" t="s">
        <v>6638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BC713" t="s">
        <v>69</v>
      </c>
      <c r="BD713" t="s">
        <v>2861</v>
      </c>
      <c r="BE713">
        <v>0</v>
      </c>
      <c r="BG713" t="s">
        <v>107</v>
      </c>
      <c r="BJ713" t="s">
        <v>2862</v>
      </c>
    </row>
    <row r="714" spans="1:62" x14ac:dyDescent="0.35">
      <c r="A714" t="s">
        <v>2857</v>
      </c>
      <c r="B714">
        <v>10000</v>
      </c>
      <c r="C714">
        <v>30000</v>
      </c>
      <c r="D714" s="2">
        <v>45729</v>
      </c>
      <c r="E714" t="s">
        <v>61</v>
      </c>
      <c r="F714" t="s">
        <v>2858</v>
      </c>
      <c r="G714">
        <v>10639931012</v>
      </c>
      <c r="I714">
        <v>3</v>
      </c>
      <c r="J714" t="s">
        <v>63</v>
      </c>
      <c r="K714" s="8">
        <v>85</v>
      </c>
      <c r="L714" s="8" t="s">
        <v>6585</v>
      </c>
      <c r="M714" s="8" t="s">
        <v>6628</v>
      </c>
      <c r="N714" t="s">
        <v>327</v>
      </c>
      <c r="O714" t="s">
        <v>6580</v>
      </c>
      <c r="P714" s="4">
        <v>24000</v>
      </c>
      <c r="S714" s="2">
        <v>45728</v>
      </c>
      <c r="U714">
        <v>11</v>
      </c>
      <c r="V714" s="4">
        <v>264000</v>
      </c>
      <c r="W714" t="s">
        <v>65</v>
      </c>
      <c r="X714" t="s">
        <v>2859</v>
      </c>
      <c r="Y714">
        <v>0</v>
      </c>
      <c r="Z714" s="4">
        <v>240000</v>
      </c>
      <c r="AA714" s="4">
        <v>24000</v>
      </c>
      <c r="AB714">
        <v>0</v>
      </c>
      <c r="AC714">
        <v>0</v>
      </c>
      <c r="AD714">
        <v>0</v>
      </c>
      <c r="AG714">
        <v>0</v>
      </c>
      <c r="AP714" t="s">
        <v>2860</v>
      </c>
      <c r="AQ714" t="s">
        <v>107</v>
      </c>
      <c r="AR714" t="s">
        <v>6638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BC714" t="s">
        <v>69</v>
      </c>
      <c r="BD714" t="s">
        <v>2861</v>
      </c>
      <c r="BE714">
        <v>0</v>
      </c>
      <c r="BG714" t="s">
        <v>107</v>
      </c>
      <c r="BJ714" t="s">
        <v>2862</v>
      </c>
    </row>
    <row r="715" spans="1:62" x14ac:dyDescent="0.35">
      <c r="A715" t="s">
        <v>974</v>
      </c>
      <c r="B715">
        <v>10000</v>
      </c>
      <c r="C715">
        <v>30000</v>
      </c>
      <c r="D715" s="2">
        <v>45729</v>
      </c>
      <c r="E715" t="s">
        <v>61</v>
      </c>
      <c r="F715" t="s">
        <v>975</v>
      </c>
      <c r="G715">
        <v>10639931052</v>
      </c>
      <c r="I715">
        <v>3</v>
      </c>
      <c r="J715" t="s">
        <v>63</v>
      </c>
      <c r="K715" s="8">
        <v>85</v>
      </c>
      <c r="L715" s="8" t="s">
        <v>6585</v>
      </c>
      <c r="M715" s="8" t="s">
        <v>6628</v>
      </c>
      <c r="N715" t="s">
        <v>327</v>
      </c>
      <c r="O715" t="s">
        <v>6580</v>
      </c>
      <c r="P715" s="4">
        <v>22728</v>
      </c>
      <c r="S715" s="2">
        <v>45728</v>
      </c>
      <c r="U715">
        <v>11</v>
      </c>
      <c r="V715" s="4">
        <v>250008</v>
      </c>
      <c r="W715" t="s">
        <v>65</v>
      </c>
      <c r="X715" t="s">
        <v>773</v>
      </c>
      <c r="Y715">
        <v>0</v>
      </c>
      <c r="Z715" s="4">
        <v>230000</v>
      </c>
      <c r="AA715" s="4">
        <v>20008</v>
      </c>
      <c r="AB715">
        <v>0</v>
      </c>
      <c r="AC715">
        <v>0</v>
      </c>
      <c r="AD715">
        <v>0</v>
      </c>
      <c r="AG715">
        <v>0</v>
      </c>
      <c r="AP715" t="s">
        <v>774</v>
      </c>
      <c r="AQ715" t="s">
        <v>107</v>
      </c>
      <c r="AR715" t="s">
        <v>6638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BC715" t="s">
        <v>69</v>
      </c>
      <c r="BD715" t="s">
        <v>976</v>
      </c>
      <c r="BE715">
        <v>0</v>
      </c>
      <c r="BG715" t="s">
        <v>107</v>
      </c>
      <c r="BJ715" t="s">
        <v>977</v>
      </c>
    </row>
    <row r="716" spans="1:62" x14ac:dyDescent="0.35">
      <c r="A716" t="s">
        <v>978</v>
      </c>
      <c r="B716">
        <v>10000</v>
      </c>
      <c r="C716">
        <v>30000</v>
      </c>
      <c r="D716" s="2">
        <v>45729</v>
      </c>
      <c r="E716" t="s">
        <v>61</v>
      </c>
      <c r="F716" t="s">
        <v>979</v>
      </c>
      <c r="G716" t="s">
        <v>980</v>
      </c>
      <c r="I716">
        <v>3</v>
      </c>
      <c r="J716" t="s">
        <v>63</v>
      </c>
      <c r="K716" s="8">
        <v>85</v>
      </c>
      <c r="L716" s="8" t="s">
        <v>6585</v>
      </c>
      <c r="M716" s="8" t="s">
        <v>6628</v>
      </c>
      <c r="N716" t="s">
        <v>327</v>
      </c>
      <c r="O716" t="s">
        <v>6580</v>
      </c>
      <c r="P716" s="4">
        <v>27273</v>
      </c>
      <c r="S716" s="2">
        <v>45728</v>
      </c>
      <c r="U716">
        <v>11</v>
      </c>
      <c r="V716" s="4">
        <v>300003</v>
      </c>
      <c r="W716" t="s">
        <v>65</v>
      </c>
      <c r="X716" t="s">
        <v>981</v>
      </c>
      <c r="Y716">
        <v>0</v>
      </c>
      <c r="Z716" s="4">
        <v>310000</v>
      </c>
      <c r="AA716" s="4">
        <v>-9997</v>
      </c>
      <c r="AB716">
        <v>0</v>
      </c>
      <c r="AC716">
        <v>0</v>
      </c>
      <c r="AD716">
        <v>0</v>
      </c>
      <c r="AG716">
        <v>0</v>
      </c>
      <c r="AP716" t="s">
        <v>982</v>
      </c>
      <c r="AQ716" t="s">
        <v>107</v>
      </c>
      <c r="AR716" t="s">
        <v>6638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BC716" t="s">
        <v>69</v>
      </c>
      <c r="BD716" t="s">
        <v>983</v>
      </c>
      <c r="BE716">
        <v>0</v>
      </c>
      <c r="BG716" t="s">
        <v>107</v>
      </c>
      <c r="BJ716" t="s">
        <v>984</v>
      </c>
    </row>
    <row r="717" spans="1:62" x14ac:dyDescent="0.35">
      <c r="A717" t="s">
        <v>2311</v>
      </c>
      <c r="B717">
        <v>10000</v>
      </c>
      <c r="C717">
        <v>20000</v>
      </c>
      <c r="D717" s="2">
        <v>45730</v>
      </c>
      <c r="E717" t="s">
        <v>61</v>
      </c>
      <c r="F717" t="s">
        <v>2312</v>
      </c>
      <c r="G717" t="s">
        <v>2313</v>
      </c>
      <c r="I717">
        <v>2</v>
      </c>
      <c r="J717" t="s">
        <v>63</v>
      </c>
      <c r="K717" s="8">
        <v>112</v>
      </c>
      <c r="L717" s="8" t="s">
        <v>6616</v>
      </c>
      <c r="M717" s="8" t="s">
        <v>6630</v>
      </c>
      <c r="N717" t="s">
        <v>533</v>
      </c>
      <c r="O717" t="s">
        <v>6572</v>
      </c>
      <c r="P717" s="4">
        <v>33598</v>
      </c>
      <c r="Q717">
        <f>(P717/20)+45</f>
        <v>1724.9</v>
      </c>
      <c r="R717">
        <f>Q717/60</f>
        <v>28.748333333333335</v>
      </c>
      <c r="S717" s="2">
        <v>45728</v>
      </c>
      <c r="U717">
        <v>112</v>
      </c>
      <c r="V717" s="4">
        <v>3762976</v>
      </c>
      <c r="W717" t="s">
        <v>65</v>
      </c>
      <c r="X717" t="s">
        <v>2316</v>
      </c>
      <c r="Y717">
        <v>0</v>
      </c>
      <c r="Z717" s="4">
        <v>3040000</v>
      </c>
      <c r="AA717" s="4">
        <v>722976</v>
      </c>
      <c r="AB717">
        <v>0</v>
      </c>
      <c r="AC717">
        <v>0</v>
      </c>
      <c r="AD717">
        <v>0</v>
      </c>
      <c r="AG717">
        <v>0</v>
      </c>
      <c r="AP717" t="s">
        <v>2317</v>
      </c>
      <c r="AQ717" t="s">
        <v>481</v>
      </c>
      <c r="AR717" t="s">
        <v>6655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BC717" t="s">
        <v>69</v>
      </c>
      <c r="BD717" t="s">
        <v>2318</v>
      </c>
      <c r="BE717">
        <v>0</v>
      </c>
      <c r="BG717" t="s">
        <v>481</v>
      </c>
      <c r="BJ717" t="s">
        <v>1418</v>
      </c>
    </row>
    <row r="718" spans="1:62" x14ac:dyDescent="0.35">
      <c r="A718" t="s">
        <v>2863</v>
      </c>
      <c r="B718">
        <v>10000</v>
      </c>
      <c r="C718">
        <v>10000</v>
      </c>
      <c r="D718" s="2">
        <v>45733</v>
      </c>
      <c r="E718" t="s">
        <v>61</v>
      </c>
      <c r="F718" t="s">
        <v>2864</v>
      </c>
      <c r="G718" t="s">
        <v>2289</v>
      </c>
      <c r="I718">
        <v>1</v>
      </c>
      <c r="J718" t="s">
        <v>63</v>
      </c>
      <c r="K718" s="8">
        <v>78</v>
      </c>
      <c r="L718" s="8" t="s">
        <v>6593</v>
      </c>
      <c r="M718" s="8" t="s">
        <v>6629</v>
      </c>
      <c r="N718" t="s">
        <v>188</v>
      </c>
      <c r="O718" t="s">
        <v>6410</v>
      </c>
      <c r="P718" s="4">
        <v>8000</v>
      </c>
      <c r="Q718">
        <f t="shared" ref="Q718:Q719" si="175">(P718/40)+45</f>
        <v>245</v>
      </c>
      <c r="R718">
        <f t="shared" ref="R718:R719" si="176">Q718/60</f>
        <v>4.083333333333333</v>
      </c>
      <c r="S718" s="2">
        <v>45728</v>
      </c>
      <c r="U718">
        <v>16</v>
      </c>
      <c r="V718" s="4">
        <v>128000</v>
      </c>
      <c r="W718" t="s">
        <v>65</v>
      </c>
      <c r="X718" t="s">
        <v>2865</v>
      </c>
      <c r="Y718">
        <v>0</v>
      </c>
      <c r="Z718" s="4">
        <v>120000</v>
      </c>
      <c r="AA718" s="4">
        <v>8000</v>
      </c>
      <c r="AB718">
        <v>0</v>
      </c>
      <c r="AC718">
        <v>0</v>
      </c>
      <c r="AD718">
        <v>0</v>
      </c>
      <c r="AG718">
        <v>0</v>
      </c>
      <c r="AP718" t="s">
        <v>2866</v>
      </c>
      <c r="AQ718" t="s">
        <v>175</v>
      </c>
      <c r="AR718" t="s">
        <v>6642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C718" t="s">
        <v>69</v>
      </c>
      <c r="BD718" t="s">
        <v>2867</v>
      </c>
      <c r="BE718">
        <v>0</v>
      </c>
      <c r="BG718" t="s">
        <v>175</v>
      </c>
      <c r="BJ718" t="s">
        <v>2868</v>
      </c>
    </row>
    <row r="719" spans="1:62" x14ac:dyDescent="0.35">
      <c r="A719" t="s">
        <v>2869</v>
      </c>
      <c r="B719">
        <v>10000</v>
      </c>
      <c r="C719">
        <v>10000</v>
      </c>
      <c r="D719" s="2">
        <v>45733</v>
      </c>
      <c r="E719" t="s">
        <v>61</v>
      </c>
      <c r="F719" t="s">
        <v>2320</v>
      </c>
      <c r="G719" t="s">
        <v>2289</v>
      </c>
      <c r="I719">
        <v>1</v>
      </c>
      <c r="J719" t="s">
        <v>63</v>
      </c>
      <c r="K719" s="8">
        <v>78</v>
      </c>
      <c r="L719" s="8" t="s">
        <v>6593</v>
      </c>
      <c r="M719" s="8" t="s">
        <v>6629</v>
      </c>
      <c r="N719" t="s">
        <v>188</v>
      </c>
      <c r="O719" t="s">
        <v>6410</v>
      </c>
      <c r="P719" s="4">
        <v>8000</v>
      </c>
      <c r="Q719">
        <f t="shared" si="175"/>
        <v>245</v>
      </c>
      <c r="R719">
        <f t="shared" si="176"/>
        <v>4.083333333333333</v>
      </c>
      <c r="S719" s="2">
        <v>45728</v>
      </c>
      <c r="U719">
        <v>16</v>
      </c>
      <c r="V719" s="4">
        <v>128000</v>
      </c>
      <c r="W719" t="s">
        <v>65</v>
      </c>
      <c r="X719" t="s">
        <v>2865</v>
      </c>
      <c r="Y719">
        <v>0</v>
      </c>
      <c r="Z719" s="4">
        <v>120000</v>
      </c>
      <c r="AA719" s="4">
        <v>8000</v>
      </c>
      <c r="AB719">
        <v>0</v>
      </c>
      <c r="AC719">
        <v>0</v>
      </c>
      <c r="AD719">
        <v>0</v>
      </c>
      <c r="AG719">
        <v>0</v>
      </c>
      <c r="AP719" t="s">
        <v>2866</v>
      </c>
      <c r="AQ719" t="s">
        <v>175</v>
      </c>
      <c r="AR719" t="s">
        <v>6642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BC719" t="s">
        <v>69</v>
      </c>
      <c r="BD719" t="s">
        <v>2870</v>
      </c>
      <c r="BE719">
        <v>0</v>
      </c>
      <c r="BG719" t="s">
        <v>175</v>
      </c>
      <c r="BJ719" t="s">
        <v>2871</v>
      </c>
    </row>
    <row r="720" spans="1:62" x14ac:dyDescent="0.35">
      <c r="A720" t="s">
        <v>609</v>
      </c>
      <c r="B720">
        <v>10000</v>
      </c>
      <c r="C720">
        <v>30000</v>
      </c>
      <c r="D720" s="2">
        <v>45730</v>
      </c>
      <c r="E720" t="s">
        <v>61</v>
      </c>
      <c r="F720" t="s">
        <v>610</v>
      </c>
      <c r="G720">
        <v>10639931002</v>
      </c>
      <c r="I720">
        <v>3</v>
      </c>
      <c r="J720" t="s">
        <v>63</v>
      </c>
      <c r="K720" s="8">
        <v>85</v>
      </c>
      <c r="L720" s="8" t="s">
        <v>6585</v>
      </c>
      <c r="M720" s="8" t="s">
        <v>6628</v>
      </c>
      <c r="N720" t="s">
        <v>327</v>
      </c>
      <c r="O720" t="s">
        <v>6580</v>
      </c>
      <c r="P720" s="4">
        <v>23637</v>
      </c>
      <c r="S720" s="2">
        <v>45728</v>
      </c>
      <c r="U720">
        <v>11</v>
      </c>
      <c r="V720" s="4">
        <v>260007</v>
      </c>
      <c r="W720" t="s">
        <v>65</v>
      </c>
      <c r="X720" t="s">
        <v>611</v>
      </c>
      <c r="Y720">
        <v>0</v>
      </c>
      <c r="Z720" s="4">
        <v>260000</v>
      </c>
      <c r="AA720">
        <v>7</v>
      </c>
      <c r="AB720">
        <v>0</v>
      </c>
      <c r="AC720">
        <v>0</v>
      </c>
      <c r="AD720">
        <v>0</v>
      </c>
      <c r="AG720">
        <v>0</v>
      </c>
      <c r="AP720" t="s">
        <v>612</v>
      </c>
      <c r="AQ720" t="s">
        <v>107</v>
      </c>
      <c r="AR720" t="s">
        <v>6638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BC720" t="s">
        <v>69</v>
      </c>
      <c r="BD720" t="s">
        <v>613</v>
      </c>
      <c r="BE720">
        <v>0</v>
      </c>
      <c r="BG720" t="s">
        <v>107</v>
      </c>
      <c r="BJ720" t="s">
        <v>614</v>
      </c>
    </row>
    <row r="721" spans="1:62" x14ac:dyDescent="0.35">
      <c r="A721" t="s">
        <v>2872</v>
      </c>
      <c r="B721">
        <v>10000</v>
      </c>
      <c r="C721">
        <v>10000</v>
      </c>
      <c r="D721" s="2">
        <v>45728</v>
      </c>
      <c r="E721" t="s">
        <v>61</v>
      </c>
      <c r="F721" t="s">
        <v>2824</v>
      </c>
      <c r="G721" t="s">
        <v>2873</v>
      </c>
      <c r="I721">
        <v>1</v>
      </c>
      <c r="J721" t="s">
        <v>63</v>
      </c>
      <c r="K721" s="8">
        <v>61</v>
      </c>
      <c r="L721" s="8" t="s">
        <v>6594</v>
      </c>
      <c r="M721" s="8" t="s">
        <v>6629</v>
      </c>
      <c r="N721" t="s">
        <v>216</v>
      </c>
      <c r="O721" t="s">
        <v>6394</v>
      </c>
      <c r="P721">
        <v>500</v>
      </c>
      <c r="Q721">
        <f t="shared" ref="Q721:Q723" si="177">(P721/50)+45</f>
        <v>55</v>
      </c>
      <c r="R721">
        <f t="shared" ref="R721:R723" si="178">Q721/60</f>
        <v>0.91666666666666663</v>
      </c>
      <c r="S721" s="2">
        <v>45728</v>
      </c>
      <c r="U721">
        <v>1</v>
      </c>
      <c r="V721">
        <v>500</v>
      </c>
      <c r="W721" t="s">
        <v>65</v>
      </c>
      <c r="X721" t="s">
        <v>2874</v>
      </c>
      <c r="Y721">
        <v>0</v>
      </c>
      <c r="Z721">
        <v>500</v>
      </c>
      <c r="AA721">
        <v>0</v>
      </c>
      <c r="AB721">
        <v>0</v>
      </c>
      <c r="AC721">
        <v>0</v>
      </c>
      <c r="AD721">
        <v>0</v>
      </c>
      <c r="AG721">
        <v>0</v>
      </c>
      <c r="AP721" t="s">
        <v>2875</v>
      </c>
      <c r="AQ721" t="s">
        <v>508</v>
      </c>
      <c r="AR721" t="s">
        <v>6657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BC721" t="s">
        <v>69</v>
      </c>
      <c r="BD721" t="s">
        <v>2876</v>
      </c>
      <c r="BE721">
        <v>0</v>
      </c>
      <c r="BG721" t="s">
        <v>508</v>
      </c>
      <c r="BJ721" t="s">
        <v>621</v>
      </c>
    </row>
    <row r="722" spans="1:62" x14ac:dyDescent="0.35">
      <c r="A722" t="s">
        <v>2877</v>
      </c>
      <c r="B722">
        <v>10000</v>
      </c>
      <c r="C722">
        <v>10000</v>
      </c>
      <c r="D722" s="2">
        <v>45729</v>
      </c>
      <c r="E722" t="s">
        <v>61</v>
      </c>
      <c r="F722" s="3">
        <v>0.42353009259259261</v>
      </c>
      <c r="G722" t="s">
        <v>2878</v>
      </c>
      <c r="I722">
        <v>1</v>
      </c>
      <c r="J722" t="s">
        <v>63</v>
      </c>
      <c r="K722" s="8">
        <v>61</v>
      </c>
      <c r="L722" s="8" t="s">
        <v>6594</v>
      </c>
      <c r="M722" s="8" t="s">
        <v>6629</v>
      </c>
      <c r="N722" t="s">
        <v>216</v>
      </c>
      <c r="O722" t="s">
        <v>6394</v>
      </c>
      <c r="P722" s="4">
        <v>1000</v>
      </c>
      <c r="Q722">
        <f t="shared" si="177"/>
        <v>65</v>
      </c>
      <c r="R722">
        <f t="shared" si="178"/>
        <v>1.0833333333333333</v>
      </c>
      <c r="S722" s="2">
        <v>45728</v>
      </c>
      <c r="U722">
        <v>2</v>
      </c>
      <c r="V722" s="4">
        <v>2000</v>
      </c>
      <c r="W722" t="s">
        <v>65</v>
      </c>
      <c r="X722">
        <v>701527430001</v>
      </c>
      <c r="Y722">
        <v>0</v>
      </c>
      <c r="Z722" s="4">
        <v>2000</v>
      </c>
      <c r="AA722">
        <v>0</v>
      </c>
      <c r="AB722">
        <v>0</v>
      </c>
      <c r="AC722">
        <v>0</v>
      </c>
      <c r="AD722">
        <v>0</v>
      </c>
      <c r="AG722">
        <v>0</v>
      </c>
      <c r="AP722">
        <v>70152743</v>
      </c>
      <c r="AQ722" t="s">
        <v>1139</v>
      </c>
      <c r="AR722" t="s">
        <v>6671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BC722" t="s">
        <v>69</v>
      </c>
      <c r="BD722" t="s">
        <v>2879</v>
      </c>
      <c r="BE722">
        <v>0</v>
      </c>
      <c r="BG722" t="s">
        <v>1139</v>
      </c>
      <c r="BJ722" t="s">
        <v>2880</v>
      </c>
    </row>
    <row r="723" spans="1:62" x14ac:dyDescent="0.35">
      <c r="A723" t="s">
        <v>2881</v>
      </c>
      <c r="B723">
        <v>10000</v>
      </c>
      <c r="C723">
        <v>10000</v>
      </c>
      <c r="D723" s="2">
        <v>45729</v>
      </c>
      <c r="E723" t="s">
        <v>61</v>
      </c>
      <c r="F723" t="s">
        <v>2882</v>
      </c>
      <c r="G723" t="s">
        <v>2883</v>
      </c>
      <c r="I723">
        <v>1</v>
      </c>
      <c r="J723" t="s">
        <v>63</v>
      </c>
      <c r="K723" s="8">
        <v>60</v>
      </c>
      <c r="L723" s="8" t="s">
        <v>6590</v>
      </c>
      <c r="M723" s="8" t="s">
        <v>6630</v>
      </c>
      <c r="N723" t="s">
        <v>277</v>
      </c>
      <c r="O723" t="s">
        <v>6554</v>
      </c>
      <c r="P723" s="4">
        <v>1000</v>
      </c>
      <c r="Q723">
        <f t="shared" si="177"/>
        <v>65</v>
      </c>
      <c r="R723">
        <f t="shared" si="178"/>
        <v>1.0833333333333333</v>
      </c>
      <c r="S723" s="2">
        <v>45728</v>
      </c>
      <c r="U723">
        <v>2</v>
      </c>
      <c r="V723" s="4">
        <v>2000</v>
      </c>
      <c r="W723" t="s">
        <v>65</v>
      </c>
      <c r="X723">
        <v>4.49053061001E+17</v>
      </c>
      <c r="Y723">
        <v>0</v>
      </c>
      <c r="Z723" s="4">
        <v>2000</v>
      </c>
      <c r="AA723">
        <v>0</v>
      </c>
      <c r="AB723">
        <v>0</v>
      </c>
      <c r="AC723">
        <v>0</v>
      </c>
      <c r="AD723">
        <v>0</v>
      </c>
      <c r="AG723">
        <v>0</v>
      </c>
      <c r="AP723">
        <v>44905306100100</v>
      </c>
      <c r="AQ723" t="s">
        <v>2347</v>
      </c>
      <c r="AR723" t="s">
        <v>6701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BC723" t="s">
        <v>69</v>
      </c>
      <c r="BD723" t="s">
        <v>2884</v>
      </c>
      <c r="BE723">
        <v>0</v>
      </c>
      <c r="BG723" t="s">
        <v>2347</v>
      </c>
      <c r="BJ723" t="s">
        <v>2349</v>
      </c>
    </row>
    <row r="724" spans="1:62" x14ac:dyDescent="0.35">
      <c r="A724" t="s">
        <v>2885</v>
      </c>
      <c r="B724">
        <v>10000</v>
      </c>
      <c r="C724">
        <v>10000</v>
      </c>
      <c r="D724" s="2">
        <v>45729</v>
      </c>
      <c r="E724" t="s">
        <v>61</v>
      </c>
      <c r="F724" s="3">
        <v>0.4465972222222222</v>
      </c>
      <c r="G724" t="s">
        <v>1293</v>
      </c>
      <c r="I724">
        <v>1</v>
      </c>
      <c r="J724" t="s">
        <v>63</v>
      </c>
      <c r="K724" s="8">
        <v>72</v>
      </c>
      <c r="L724" s="8" t="s">
        <v>6606</v>
      </c>
      <c r="M724" s="8" t="s">
        <v>6631</v>
      </c>
      <c r="N724" t="s">
        <v>163</v>
      </c>
      <c r="O724" t="s">
        <v>6548</v>
      </c>
      <c r="P724">
        <v>948</v>
      </c>
      <c r="S724" s="2">
        <v>45728</v>
      </c>
      <c r="U724">
        <v>3</v>
      </c>
      <c r="V724" s="4">
        <v>2845</v>
      </c>
      <c r="W724" t="s">
        <v>65</v>
      </c>
      <c r="X724" t="s">
        <v>2886</v>
      </c>
      <c r="Y724">
        <v>0</v>
      </c>
      <c r="Z724" s="4">
        <v>1515</v>
      </c>
      <c r="AA724" s="4">
        <v>1330</v>
      </c>
      <c r="AB724">
        <v>0</v>
      </c>
      <c r="AC724">
        <v>0</v>
      </c>
      <c r="AD724">
        <v>0</v>
      </c>
      <c r="AG724">
        <v>0</v>
      </c>
      <c r="AP724" t="s">
        <v>2887</v>
      </c>
      <c r="AQ724" t="s">
        <v>1282</v>
      </c>
      <c r="AR724" t="s">
        <v>6676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BC724" t="s">
        <v>69</v>
      </c>
      <c r="BD724" t="s">
        <v>2888</v>
      </c>
      <c r="BE724">
        <v>0</v>
      </c>
      <c r="BG724" t="s">
        <v>1282</v>
      </c>
      <c r="BJ724" t="s">
        <v>2889</v>
      </c>
    </row>
    <row r="725" spans="1:62" x14ac:dyDescent="0.35">
      <c r="A725" t="s">
        <v>2885</v>
      </c>
      <c r="B725">
        <v>20000</v>
      </c>
      <c r="C725">
        <v>10000</v>
      </c>
      <c r="D725" s="2">
        <v>45729</v>
      </c>
      <c r="E725" t="s">
        <v>61</v>
      </c>
      <c r="F725" s="3">
        <v>0.4465972222222222</v>
      </c>
      <c r="G725" t="s">
        <v>1293</v>
      </c>
      <c r="I725">
        <v>1</v>
      </c>
      <c r="J725" t="s">
        <v>63</v>
      </c>
      <c r="K725" s="8">
        <v>72</v>
      </c>
      <c r="L725" s="8" t="s">
        <v>6606</v>
      </c>
      <c r="M725" s="8" t="s">
        <v>6631</v>
      </c>
      <c r="N725" t="s">
        <v>163</v>
      </c>
      <c r="O725" t="s">
        <v>6548</v>
      </c>
      <c r="P725">
        <v>52</v>
      </c>
      <c r="S725" s="2">
        <v>45728</v>
      </c>
      <c r="U725">
        <v>3</v>
      </c>
      <c r="V725">
        <v>155</v>
      </c>
      <c r="W725" t="s">
        <v>65</v>
      </c>
      <c r="X725" t="s">
        <v>2886</v>
      </c>
      <c r="Y725">
        <v>0</v>
      </c>
      <c r="Z725">
        <v>155</v>
      </c>
      <c r="AA725">
        <v>0</v>
      </c>
      <c r="AB725">
        <v>0</v>
      </c>
      <c r="AC725">
        <v>0</v>
      </c>
      <c r="AD725">
        <v>0</v>
      </c>
      <c r="AG725">
        <v>0</v>
      </c>
      <c r="AP725" t="s">
        <v>2887</v>
      </c>
      <c r="AQ725" t="s">
        <v>1282</v>
      </c>
      <c r="AR725" t="s">
        <v>6676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BC725" t="s">
        <v>69</v>
      </c>
      <c r="BD725" t="s">
        <v>2888</v>
      </c>
      <c r="BE725">
        <v>0</v>
      </c>
      <c r="BG725" t="s">
        <v>1282</v>
      </c>
      <c r="BJ725" t="s">
        <v>2889</v>
      </c>
    </row>
    <row r="726" spans="1:62" x14ac:dyDescent="0.35">
      <c r="A726" t="s">
        <v>2890</v>
      </c>
      <c r="B726">
        <v>10000</v>
      </c>
      <c r="C726">
        <v>10000</v>
      </c>
      <c r="D726" s="2">
        <v>45729</v>
      </c>
      <c r="E726" t="s">
        <v>61</v>
      </c>
      <c r="F726" t="s">
        <v>2891</v>
      </c>
      <c r="G726" t="s">
        <v>2892</v>
      </c>
      <c r="I726">
        <v>1</v>
      </c>
      <c r="J726" t="s">
        <v>63</v>
      </c>
      <c r="K726" s="8">
        <v>46</v>
      </c>
      <c r="L726" s="8" t="s">
        <v>6587</v>
      </c>
      <c r="M726" s="8" t="s">
        <v>6629</v>
      </c>
      <c r="N726" t="s">
        <v>113</v>
      </c>
      <c r="O726" t="s">
        <v>6499</v>
      </c>
      <c r="P726" s="4">
        <v>1000</v>
      </c>
      <c r="Q726">
        <f>(P726/40)+45</f>
        <v>70</v>
      </c>
      <c r="R726">
        <f>Q726/60</f>
        <v>1.1666666666666667</v>
      </c>
      <c r="S726" s="2">
        <v>45728</v>
      </c>
      <c r="U726">
        <v>1</v>
      </c>
      <c r="V726" s="4">
        <v>1000</v>
      </c>
      <c r="W726" t="s">
        <v>65</v>
      </c>
      <c r="X726" t="s">
        <v>2893</v>
      </c>
      <c r="Y726">
        <v>0</v>
      </c>
      <c r="Z726" s="4">
        <v>1000</v>
      </c>
      <c r="AA726">
        <v>0</v>
      </c>
      <c r="AB726">
        <v>0</v>
      </c>
      <c r="AC726">
        <v>0</v>
      </c>
      <c r="AD726">
        <v>0</v>
      </c>
      <c r="AG726">
        <v>0</v>
      </c>
      <c r="AP726" t="s">
        <v>2894</v>
      </c>
      <c r="AQ726" t="s">
        <v>116</v>
      </c>
      <c r="AR726" t="s">
        <v>6639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BC726" t="s">
        <v>69</v>
      </c>
      <c r="BD726" t="s">
        <v>2895</v>
      </c>
      <c r="BE726">
        <v>0</v>
      </c>
      <c r="BG726" t="s">
        <v>116</v>
      </c>
      <c r="BJ726" t="s">
        <v>2380</v>
      </c>
    </row>
    <row r="727" spans="1:62" x14ac:dyDescent="0.35">
      <c r="A727" t="s">
        <v>2896</v>
      </c>
      <c r="B727">
        <v>10000</v>
      </c>
      <c r="C727">
        <v>10000</v>
      </c>
      <c r="D727" s="2">
        <v>45728</v>
      </c>
      <c r="E727" t="s">
        <v>61</v>
      </c>
      <c r="F727" t="s">
        <v>2897</v>
      </c>
      <c r="G727" t="s">
        <v>1902</v>
      </c>
      <c r="I727">
        <v>1</v>
      </c>
      <c r="J727" t="s">
        <v>63</v>
      </c>
      <c r="K727" s="8">
        <v>61</v>
      </c>
      <c r="L727" s="8" t="s">
        <v>6594</v>
      </c>
      <c r="M727" s="8" t="s">
        <v>6629</v>
      </c>
      <c r="N727" t="s">
        <v>197</v>
      </c>
      <c r="O727" t="s">
        <v>6565</v>
      </c>
      <c r="P727" s="4">
        <v>7500</v>
      </c>
      <c r="Q727">
        <f t="shared" ref="Q727:Q728" si="179">(P727/50)+45</f>
        <v>195</v>
      </c>
      <c r="R727">
        <f t="shared" ref="R727:R728" si="180">Q727/60</f>
        <v>3.25</v>
      </c>
      <c r="S727" s="2">
        <v>45728</v>
      </c>
      <c r="U727">
        <v>6</v>
      </c>
      <c r="V727" s="4">
        <v>45000</v>
      </c>
      <c r="W727" t="s">
        <v>65</v>
      </c>
      <c r="X727" t="s">
        <v>198</v>
      </c>
      <c r="Y727">
        <v>0</v>
      </c>
      <c r="Z727" s="4">
        <v>45000</v>
      </c>
      <c r="AA727">
        <v>0</v>
      </c>
      <c r="AB727">
        <v>0</v>
      </c>
      <c r="AC727">
        <v>0</v>
      </c>
      <c r="AD727">
        <v>0</v>
      </c>
      <c r="AG727">
        <v>0</v>
      </c>
      <c r="AP727" t="s">
        <v>199</v>
      </c>
      <c r="AQ727" t="s">
        <v>116</v>
      </c>
      <c r="AR727" t="s">
        <v>6639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BC727" t="s">
        <v>69</v>
      </c>
      <c r="BD727" t="s">
        <v>2898</v>
      </c>
      <c r="BE727">
        <v>0</v>
      </c>
      <c r="BG727" t="s">
        <v>116</v>
      </c>
      <c r="BJ727" t="s">
        <v>2230</v>
      </c>
    </row>
    <row r="728" spans="1:62" x14ac:dyDescent="0.35">
      <c r="A728" t="s">
        <v>2899</v>
      </c>
      <c r="B728">
        <v>10000</v>
      </c>
      <c r="C728">
        <v>10000</v>
      </c>
      <c r="D728" s="2">
        <v>45729</v>
      </c>
      <c r="E728" t="s">
        <v>61</v>
      </c>
      <c r="F728" t="s">
        <v>2900</v>
      </c>
      <c r="G728" t="s">
        <v>2901</v>
      </c>
      <c r="I728">
        <v>1</v>
      </c>
      <c r="J728" t="s">
        <v>63</v>
      </c>
      <c r="K728" s="8">
        <v>22</v>
      </c>
      <c r="L728" s="8" t="s">
        <v>6603</v>
      </c>
      <c r="M728" s="8" t="s">
        <v>6629</v>
      </c>
      <c r="N728" t="s">
        <v>466</v>
      </c>
      <c r="O728" t="s">
        <v>6474</v>
      </c>
      <c r="P728" s="4">
        <v>28000</v>
      </c>
      <c r="Q728">
        <f t="shared" si="179"/>
        <v>605</v>
      </c>
      <c r="R728">
        <f t="shared" si="180"/>
        <v>10.083333333333334</v>
      </c>
      <c r="S728" s="2">
        <v>45728</v>
      </c>
      <c r="U728">
        <v>2</v>
      </c>
      <c r="V728" s="4">
        <v>56000</v>
      </c>
      <c r="W728" t="s">
        <v>65</v>
      </c>
      <c r="X728" t="s">
        <v>2902</v>
      </c>
      <c r="Y728">
        <v>0</v>
      </c>
      <c r="Z728" s="4">
        <v>56000</v>
      </c>
      <c r="AA728">
        <v>0</v>
      </c>
      <c r="AB728">
        <v>0</v>
      </c>
      <c r="AC728">
        <v>0</v>
      </c>
      <c r="AD728">
        <v>0</v>
      </c>
      <c r="AG728">
        <v>0</v>
      </c>
      <c r="AP728" t="s">
        <v>2903</v>
      </c>
      <c r="AQ728" t="s">
        <v>116</v>
      </c>
      <c r="AR728" t="s">
        <v>6639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BC728" t="s">
        <v>69</v>
      </c>
      <c r="BD728" t="s">
        <v>2904</v>
      </c>
      <c r="BE728">
        <v>0</v>
      </c>
      <c r="BG728" t="s">
        <v>116</v>
      </c>
      <c r="BJ728" t="s">
        <v>1918</v>
      </c>
    </row>
    <row r="729" spans="1:62" x14ac:dyDescent="0.35">
      <c r="A729" t="s">
        <v>2905</v>
      </c>
      <c r="B729">
        <v>10000</v>
      </c>
      <c r="C729">
        <v>20000</v>
      </c>
      <c r="D729" s="2">
        <v>45729</v>
      </c>
      <c r="E729" t="s">
        <v>61</v>
      </c>
      <c r="F729" t="s">
        <v>2906</v>
      </c>
      <c r="G729" t="s">
        <v>2773</v>
      </c>
      <c r="I729">
        <v>1</v>
      </c>
      <c r="J729" t="s">
        <v>63</v>
      </c>
      <c r="K729" s="8">
        <v>94</v>
      </c>
      <c r="L729" s="8" t="s">
        <v>6599</v>
      </c>
      <c r="M729" s="8" t="s">
        <v>6629</v>
      </c>
      <c r="N729" t="s">
        <v>181</v>
      </c>
      <c r="O729" t="s">
        <v>6544</v>
      </c>
      <c r="P729" s="4">
        <v>3000</v>
      </c>
      <c r="S729" s="2">
        <v>45728</v>
      </c>
      <c r="U729">
        <v>4</v>
      </c>
      <c r="V729" s="4">
        <v>12000</v>
      </c>
      <c r="W729" t="s">
        <v>65</v>
      </c>
      <c r="X729" t="s">
        <v>2774</v>
      </c>
      <c r="Y729">
        <v>0</v>
      </c>
      <c r="Z729" s="4">
        <v>12000</v>
      </c>
      <c r="AA729">
        <v>0</v>
      </c>
      <c r="AB729">
        <v>0</v>
      </c>
      <c r="AC729">
        <v>0</v>
      </c>
      <c r="AD729">
        <v>0</v>
      </c>
      <c r="AG729">
        <v>0</v>
      </c>
      <c r="AP729" t="s">
        <v>2775</v>
      </c>
      <c r="AQ729" t="s">
        <v>364</v>
      </c>
      <c r="AR729" t="s">
        <v>6653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BC729" t="s">
        <v>69</v>
      </c>
      <c r="BD729" t="s">
        <v>2907</v>
      </c>
      <c r="BE729">
        <v>0</v>
      </c>
      <c r="BG729" t="s">
        <v>364</v>
      </c>
      <c r="BJ729" t="s">
        <v>2908</v>
      </c>
    </row>
    <row r="730" spans="1:62" x14ac:dyDescent="0.35">
      <c r="A730" t="s">
        <v>2909</v>
      </c>
      <c r="B730">
        <v>10000</v>
      </c>
      <c r="C730">
        <v>10000</v>
      </c>
      <c r="D730" s="2">
        <v>45728</v>
      </c>
      <c r="E730" t="s">
        <v>61</v>
      </c>
      <c r="F730" t="s">
        <v>2910</v>
      </c>
      <c r="G730" t="s">
        <v>2911</v>
      </c>
      <c r="I730">
        <v>1</v>
      </c>
      <c r="J730" t="s">
        <v>63</v>
      </c>
      <c r="K730" s="8">
        <v>65</v>
      </c>
      <c r="L730" s="8" t="s">
        <v>6596</v>
      </c>
      <c r="M730" s="8" t="s">
        <v>6630</v>
      </c>
      <c r="N730" t="s">
        <v>268</v>
      </c>
      <c r="O730" t="s">
        <v>6543</v>
      </c>
      <c r="P730" s="4">
        <v>13334</v>
      </c>
      <c r="Q730">
        <f>(P730/40)+45</f>
        <v>378.35</v>
      </c>
      <c r="R730">
        <f>Q730/60</f>
        <v>6.3058333333333341</v>
      </c>
      <c r="S730" s="2">
        <v>45728</v>
      </c>
      <c r="U730">
        <v>3</v>
      </c>
      <c r="V730" s="4">
        <v>40002</v>
      </c>
      <c r="W730" t="s">
        <v>65</v>
      </c>
      <c r="X730" t="s">
        <v>2912</v>
      </c>
      <c r="Y730">
        <v>0</v>
      </c>
      <c r="Z730" s="4">
        <v>40000</v>
      </c>
      <c r="AA730">
        <v>2</v>
      </c>
      <c r="AB730">
        <v>0</v>
      </c>
      <c r="AC730">
        <v>0</v>
      </c>
      <c r="AD730">
        <v>0</v>
      </c>
      <c r="AG730">
        <v>0</v>
      </c>
      <c r="AP730" t="s">
        <v>2913</v>
      </c>
      <c r="AQ730" t="s">
        <v>2914</v>
      </c>
      <c r="AR730" t="s">
        <v>6710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BC730" t="s">
        <v>69</v>
      </c>
      <c r="BD730" t="s">
        <v>2915</v>
      </c>
      <c r="BE730">
        <v>0</v>
      </c>
      <c r="BG730" t="s">
        <v>2914</v>
      </c>
      <c r="BJ730" t="s">
        <v>2916</v>
      </c>
    </row>
    <row r="731" spans="1:62" x14ac:dyDescent="0.35">
      <c r="A731" t="s">
        <v>2443</v>
      </c>
      <c r="B731">
        <v>10000</v>
      </c>
      <c r="C731">
        <v>20000</v>
      </c>
      <c r="D731" s="2">
        <v>45728</v>
      </c>
      <c r="E731" t="s">
        <v>61</v>
      </c>
      <c r="F731" t="s">
        <v>2917</v>
      </c>
      <c r="G731" t="s">
        <v>2445</v>
      </c>
      <c r="I731">
        <v>2</v>
      </c>
      <c r="J731" t="s">
        <v>63</v>
      </c>
      <c r="K731" s="8">
        <v>105</v>
      </c>
      <c r="L731" s="8" t="s">
        <v>6612</v>
      </c>
      <c r="M731" s="8" t="s">
        <v>6632</v>
      </c>
      <c r="N731" t="s">
        <v>424</v>
      </c>
      <c r="O731" t="s">
        <v>6570</v>
      </c>
      <c r="P731">
        <v>510</v>
      </c>
      <c r="S731" s="2">
        <v>45728</v>
      </c>
      <c r="U731">
        <v>2</v>
      </c>
      <c r="V731" s="4">
        <v>1020</v>
      </c>
      <c r="W731" t="s">
        <v>65</v>
      </c>
      <c r="X731" t="s">
        <v>2446</v>
      </c>
      <c r="Y731">
        <v>0</v>
      </c>
      <c r="Z731">
        <v>330</v>
      </c>
      <c r="AA731">
        <v>690</v>
      </c>
      <c r="AB731">
        <v>0</v>
      </c>
      <c r="AC731">
        <v>0</v>
      </c>
      <c r="AD731">
        <v>0</v>
      </c>
      <c r="AG731">
        <v>0</v>
      </c>
      <c r="AP731" t="s">
        <v>2447</v>
      </c>
      <c r="AQ731" t="s">
        <v>2448</v>
      </c>
      <c r="AR731" t="s">
        <v>6703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BC731" t="s">
        <v>69</v>
      </c>
      <c r="BD731" t="s">
        <v>2449</v>
      </c>
      <c r="BE731">
        <v>0</v>
      </c>
      <c r="BG731" t="s">
        <v>2448</v>
      </c>
      <c r="BJ731" t="s">
        <v>2450</v>
      </c>
    </row>
    <row r="732" spans="1:62" x14ac:dyDescent="0.35">
      <c r="A732" t="s">
        <v>2656</v>
      </c>
      <c r="B732">
        <v>10000</v>
      </c>
      <c r="C732">
        <v>20000</v>
      </c>
      <c r="D732" s="2">
        <v>45728</v>
      </c>
      <c r="E732" t="s">
        <v>61</v>
      </c>
      <c r="F732" t="s">
        <v>2657</v>
      </c>
      <c r="G732" t="s">
        <v>2445</v>
      </c>
      <c r="I732">
        <v>2</v>
      </c>
      <c r="J732" t="s">
        <v>63</v>
      </c>
      <c r="K732" s="8">
        <v>105</v>
      </c>
      <c r="L732" s="8" t="s">
        <v>6612</v>
      </c>
      <c r="M732" s="8" t="s">
        <v>6632</v>
      </c>
      <c r="N732" t="s">
        <v>424</v>
      </c>
      <c r="O732" t="s">
        <v>6570</v>
      </c>
      <c r="P732">
        <v>845</v>
      </c>
      <c r="S732" s="2">
        <v>45728</v>
      </c>
      <c r="U732">
        <v>2</v>
      </c>
      <c r="V732" s="4">
        <v>1690</v>
      </c>
      <c r="W732" t="s">
        <v>65</v>
      </c>
      <c r="X732" t="s">
        <v>2658</v>
      </c>
      <c r="Y732">
        <v>0</v>
      </c>
      <c r="Z732" s="4">
        <v>1090</v>
      </c>
      <c r="AA732">
        <v>600</v>
      </c>
      <c r="AB732">
        <v>0</v>
      </c>
      <c r="AC732">
        <v>0</v>
      </c>
      <c r="AD732">
        <v>0</v>
      </c>
      <c r="AG732">
        <v>0</v>
      </c>
      <c r="AP732" t="s">
        <v>2659</v>
      </c>
      <c r="AQ732" t="s">
        <v>2448</v>
      </c>
      <c r="AR732" t="s">
        <v>6703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BC732" t="s">
        <v>69</v>
      </c>
      <c r="BD732" t="s">
        <v>2660</v>
      </c>
      <c r="BE732">
        <v>0</v>
      </c>
      <c r="BG732" t="s">
        <v>2448</v>
      </c>
      <c r="BJ732" t="s">
        <v>2450</v>
      </c>
    </row>
    <row r="733" spans="1:62" x14ac:dyDescent="0.35">
      <c r="A733" t="s">
        <v>2451</v>
      </c>
      <c r="B733">
        <v>10000</v>
      </c>
      <c r="C733">
        <v>30000</v>
      </c>
      <c r="D733" s="2">
        <v>45728</v>
      </c>
      <c r="E733" t="s">
        <v>61</v>
      </c>
      <c r="F733" t="s">
        <v>2452</v>
      </c>
      <c r="G733" t="s">
        <v>2445</v>
      </c>
      <c r="I733">
        <v>2</v>
      </c>
      <c r="J733" t="s">
        <v>63</v>
      </c>
      <c r="K733" s="8">
        <v>105</v>
      </c>
      <c r="L733" s="8" t="s">
        <v>6612</v>
      </c>
      <c r="M733" s="8" t="s">
        <v>6632</v>
      </c>
      <c r="N733" t="s">
        <v>424</v>
      </c>
      <c r="O733" t="s">
        <v>6570</v>
      </c>
      <c r="P733">
        <v>120</v>
      </c>
      <c r="S733" s="2">
        <v>45728</v>
      </c>
      <c r="U733">
        <v>2</v>
      </c>
      <c r="V733">
        <v>240</v>
      </c>
      <c r="W733" t="s">
        <v>65</v>
      </c>
      <c r="X733" t="s">
        <v>2453</v>
      </c>
      <c r="Y733">
        <v>0</v>
      </c>
      <c r="Z733">
        <v>60</v>
      </c>
      <c r="AA733">
        <v>180</v>
      </c>
      <c r="AB733">
        <v>0</v>
      </c>
      <c r="AC733">
        <v>0</v>
      </c>
      <c r="AD733">
        <v>0</v>
      </c>
      <c r="AG733">
        <v>0</v>
      </c>
      <c r="AP733" t="s">
        <v>2454</v>
      </c>
      <c r="AQ733" t="s">
        <v>2448</v>
      </c>
      <c r="AR733" t="s">
        <v>6703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BC733" t="s">
        <v>69</v>
      </c>
      <c r="BD733" t="s">
        <v>2455</v>
      </c>
      <c r="BE733">
        <v>0</v>
      </c>
      <c r="BG733" t="s">
        <v>2448</v>
      </c>
      <c r="BJ733" t="s">
        <v>2450</v>
      </c>
    </row>
    <row r="734" spans="1:62" x14ac:dyDescent="0.35">
      <c r="A734" t="s">
        <v>2918</v>
      </c>
      <c r="B734">
        <v>10000</v>
      </c>
      <c r="C734">
        <v>10000</v>
      </c>
      <c r="D734" s="2">
        <v>45729</v>
      </c>
      <c r="E734" t="s">
        <v>61</v>
      </c>
      <c r="F734" t="s">
        <v>2906</v>
      </c>
      <c r="G734" t="s">
        <v>1258</v>
      </c>
      <c r="I734">
        <v>1</v>
      </c>
      <c r="J734" t="s">
        <v>63</v>
      </c>
      <c r="K734" s="8">
        <v>26</v>
      </c>
      <c r="L734" s="8" t="s">
        <v>6595</v>
      </c>
      <c r="M734" s="8" t="s">
        <v>6629</v>
      </c>
      <c r="N734" t="s">
        <v>249</v>
      </c>
      <c r="O734" t="s">
        <v>6500</v>
      </c>
      <c r="P734" s="4">
        <v>9000</v>
      </c>
      <c r="Q734">
        <f t="shared" ref="Q734:Q738" si="181">(P734/40)+45</f>
        <v>270</v>
      </c>
      <c r="R734">
        <f t="shared" ref="R734:R738" si="182">Q734/60</f>
        <v>4.5</v>
      </c>
      <c r="S734" s="2">
        <v>45728</v>
      </c>
      <c r="U734">
        <v>4</v>
      </c>
      <c r="V734" s="4">
        <v>36000</v>
      </c>
      <c r="W734" t="s">
        <v>65</v>
      </c>
      <c r="X734" t="s">
        <v>2919</v>
      </c>
      <c r="Y734">
        <v>0</v>
      </c>
      <c r="Z734" s="4">
        <v>36000</v>
      </c>
      <c r="AA734">
        <v>0</v>
      </c>
      <c r="AB734">
        <v>0</v>
      </c>
      <c r="AC734">
        <v>0</v>
      </c>
      <c r="AD734">
        <v>0</v>
      </c>
      <c r="AG734">
        <v>0</v>
      </c>
      <c r="AP734" t="s">
        <v>2920</v>
      </c>
      <c r="AQ734" t="s">
        <v>157</v>
      </c>
      <c r="AR734" t="s">
        <v>6640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BC734" t="s">
        <v>69</v>
      </c>
      <c r="BD734" t="s">
        <v>2921</v>
      </c>
      <c r="BE734">
        <v>0</v>
      </c>
      <c r="BG734" t="s">
        <v>157</v>
      </c>
      <c r="BJ734" t="s">
        <v>2922</v>
      </c>
    </row>
    <row r="735" spans="1:62" x14ac:dyDescent="0.35">
      <c r="A735" t="s">
        <v>2923</v>
      </c>
      <c r="B735">
        <v>10000</v>
      </c>
      <c r="C735">
        <v>10000</v>
      </c>
      <c r="D735" s="2">
        <v>45729</v>
      </c>
      <c r="E735" t="s">
        <v>61</v>
      </c>
      <c r="F735" t="s">
        <v>2493</v>
      </c>
      <c r="G735" t="s">
        <v>518</v>
      </c>
      <c r="I735">
        <v>1</v>
      </c>
      <c r="J735" t="s">
        <v>63</v>
      </c>
      <c r="K735" s="8">
        <v>63</v>
      </c>
      <c r="L735" s="8" t="s">
        <v>6605</v>
      </c>
      <c r="M735" s="8" t="s">
        <v>6630</v>
      </c>
      <c r="N735" t="s">
        <v>519</v>
      </c>
      <c r="O735" t="s">
        <v>6569</v>
      </c>
      <c r="P735" s="4">
        <v>5000</v>
      </c>
      <c r="Q735">
        <f t="shared" si="181"/>
        <v>170</v>
      </c>
      <c r="R735">
        <f t="shared" si="182"/>
        <v>2.8333333333333335</v>
      </c>
      <c r="S735" s="2">
        <v>45728</v>
      </c>
      <c r="U735">
        <v>60</v>
      </c>
      <c r="V735" s="4">
        <v>300000</v>
      </c>
      <c r="W735" t="s">
        <v>65</v>
      </c>
      <c r="X735" t="s">
        <v>2667</v>
      </c>
      <c r="Y735">
        <v>0</v>
      </c>
      <c r="Z735" s="4">
        <v>300000</v>
      </c>
      <c r="AA735">
        <v>0</v>
      </c>
      <c r="AB735">
        <v>0</v>
      </c>
      <c r="AC735">
        <v>0</v>
      </c>
      <c r="AD735">
        <v>0</v>
      </c>
      <c r="AG735">
        <v>0</v>
      </c>
      <c r="AP735" t="s">
        <v>2668</v>
      </c>
      <c r="AQ735" t="s">
        <v>157</v>
      </c>
      <c r="AR735" t="s">
        <v>6640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BC735" t="s">
        <v>69</v>
      </c>
      <c r="BD735" t="s">
        <v>2924</v>
      </c>
      <c r="BE735">
        <v>0</v>
      </c>
      <c r="BG735" t="s">
        <v>157</v>
      </c>
      <c r="BJ735" t="s">
        <v>2925</v>
      </c>
    </row>
    <row r="736" spans="1:62" x14ac:dyDescent="0.35">
      <c r="A736" t="s">
        <v>2926</v>
      </c>
      <c r="B736">
        <v>10000</v>
      </c>
      <c r="C736">
        <v>10000</v>
      </c>
      <c r="D736" s="2">
        <v>45730</v>
      </c>
      <c r="E736" t="s">
        <v>61</v>
      </c>
      <c r="F736" t="s">
        <v>2927</v>
      </c>
      <c r="G736">
        <v>1006323</v>
      </c>
      <c r="I736">
        <v>1</v>
      </c>
      <c r="J736" t="s">
        <v>63</v>
      </c>
      <c r="K736" s="8">
        <v>63</v>
      </c>
      <c r="L736" s="8" t="s">
        <v>6605</v>
      </c>
      <c r="M736" s="8" t="s">
        <v>6630</v>
      </c>
      <c r="N736" t="s">
        <v>519</v>
      </c>
      <c r="O736" t="s">
        <v>6569</v>
      </c>
      <c r="P736" s="4">
        <v>4000</v>
      </c>
      <c r="Q736">
        <f t="shared" si="181"/>
        <v>145</v>
      </c>
      <c r="R736">
        <f t="shared" si="182"/>
        <v>2.4166666666666665</v>
      </c>
      <c r="S736" s="2">
        <v>45728</v>
      </c>
      <c r="U736">
        <v>30</v>
      </c>
      <c r="V736" s="4">
        <v>120000</v>
      </c>
      <c r="W736" t="s">
        <v>65</v>
      </c>
      <c r="X736" t="s">
        <v>2928</v>
      </c>
      <c r="Y736">
        <v>0</v>
      </c>
      <c r="Z736" s="4">
        <v>120000</v>
      </c>
      <c r="AA736">
        <v>0</v>
      </c>
      <c r="AB736">
        <v>0</v>
      </c>
      <c r="AC736">
        <v>0</v>
      </c>
      <c r="AD736">
        <v>0</v>
      </c>
      <c r="AG736">
        <v>0</v>
      </c>
      <c r="AP736" t="s">
        <v>2929</v>
      </c>
      <c r="AQ736" t="s">
        <v>157</v>
      </c>
      <c r="AR736" t="s">
        <v>6640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BC736" t="s">
        <v>69</v>
      </c>
      <c r="BD736" t="s">
        <v>2930</v>
      </c>
      <c r="BE736">
        <v>0</v>
      </c>
      <c r="BG736" t="s">
        <v>157</v>
      </c>
      <c r="BJ736" t="s">
        <v>2931</v>
      </c>
    </row>
    <row r="737" spans="1:62" x14ac:dyDescent="0.35">
      <c r="A737" t="s">
        <v>2932</v>
      </c>
      <c r="B737">
        <v>10000</v>
      </c>
      <c r="C737">
        <v>10000</v>
      </c>
      <c r="D737" s="2">
        <v>45734</v>
      </c>
      <c r="E737" t="s">
        <v>61</v>
      </c>
      <c r="F737" t="s">
        <v>133</v>
      </c>
      <c r="G737" t="s">
        <v>2289</v>
      </c>
      <c r="I737">
        <v>1</v>
      </c>
      <c r="J737" t="s">
        <v>63</v>
      </c>
      <c r="K737" s="8">
        <v>78</v>
      </c>
      <c r="L737" s="8" t="s">
        <v>6593</v>
      </c>
      <c r="M737" s="8" t="s">
        <v>6629</v>
      </c>
      <c r="N737" t="s">
        <v>188</v>
      </c>
      <c r="O737" t="s">
        <v>6410</v>
      </c>
      <c r="P737" s="4">
        <v>2750</v>
      </c>
      <c r="Q737">
        <f t="shared" si="181"/>
        <v>113.75</v>
      </c>
      <c r="R737">
        <f t="shared" si="182"/>
        <v>1.8958333333333333</v>
      </c>
      <c r="S737" s="2">
        <v>45728</v>
      </c>
      <c r="U737">
        <v>16</v>
      </c>
      <c r="V737" s="4">
        <v>44000</v>
      </c>
      <c r="W737" t="s">
        <v>65</v>
      </c>
      <c r="X737" t="s">
        <v>2865</v>
      </c>
      <c r="Y737">
        <v>0</v>
      </c>
      <c r="Z737" s="4">
        <v>40000</v>
      </c>
      <c r="AA737" s="4">
        <v>4000</v>
      </c>
      <c r="AB737">
        <v>0</v>
      </c>
      <c r="AC737">
        <v>0</v>
      </c>
      <c r="AD737">
        <v>0</v>
      </c>
      <c r="AG737">
        <v>0</v>
      </c>
      <c r="AP737" t="s">
        <v>2866</v>
      </c>
      <c r="AQ737" t="s">
        <v>157</v>
      </c>
      <c r="AR737" t="s">
        <v>6640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BC737" t="s">
        <v>69</v>
      </c>
      <c r="BD737" t="s">
        <v>2933</v>
      </c>
      <c r="BE737">
        <v>0</v>
      </c>
      <c r="BG737" t="s">
        <v>157</v>
      </c>
      <c r="BJ737" t="s">
        <v>2934</v>
      </c>
    </row>
    <row r="738" spans="1:62" x14ac:dyDescent="0.35">
      <c r="A738" t="s">
        <v>2935</v>
      </c>
      <c r="B738">
        <v>10000</v>
      </c>
      <c r="C738">
        <v>10000</v>
      </c>
      <c r="D738" s="2">
        <v>45730</v>
      </c>
      <c r="E738" t="s">
        <v>61</v>
      </c>
      <c r="F738" t="s">
        <v>2684</v>
      </c>
      <c r="G738" t="s">
        <v>2289</v>
      </c>
      <c r="I738">
        <v>1</v>
      </c>
      <c r="J738" t="s">
        <v>63</v>
      </c>
      <c r="K738" s="8">
        <v>78</v>
      </c>
      <c r="L738" s="8" t="s">
        <v>6593</v>
      </c>
      <c r="M738" s="8" t="s">
        <v>6629</v>
      </c>
      <c r="N738" t="s">
        <v>188</v>
      </c>
      <c r="O738" t="s">
        <v>6410</v>
      </c>
      <c r="P738" s="4">
        <v>5500</v>
      </c>
      <c r="Q738">
        <f t="shared" si="181"/>
        <v>182.5</v>
      </c>
      <c r="R738">
        <f t="shared" si="182"/>
        <v>3.0416666666666665</v>
      </c>
      <c r="S738" s="2">
        <v>45728</v>
      </c>
      <c r="U738">
        <v>16</v>
      </c>
      <c r="V738" s="4">
        <v>88000</v>
      </c>
      <c r="W738" t="s">
        <v>65</v>
      </c>
      <c r="X738" t="s">
        <v>2594</v>
      </c>
      <c r="Y738">
        <v>0</v>
      </c>
      <c r="Z738" s="4">
        <v>80000</v>
      </c>
      <c r="AA738" s="4">
        <v>8000</v>
      </c>
      <c r="AB738">
        <v>0</v>
      </c>
      <c r="AC738">
        <v>0</v>
      </c>
      <c r="AD738">
        <v>0</v>
      </c>
      <c r="AG738">
        <v>0</v>
      </c>
      <c r="AP738" t="s">
        <v>2595</v>
      </c>
      <c r="AQ738" t="s">
        <v>157</v>
      </c>
      <c r="AR738" t="s">
        <v>6640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BC738" t="s">
        <v>69</v>
      </c>
      <c r="BD738" t="s">
        <v>2936</v>
      </c>
      <c r="BE738">
        <v>0</v>
      </c>
      <c r="BG738" t="s">
        <v>157</v>
      </c>
      <c r="BJ738" t="s">
        <v>2937</v>
      </c>
    </row>
    <row r="739" spans="1:62" x14ac:dyDescent="0.35">
      <c r="A739" t="s">
        <v>2938</v>
      </c>
      <c r="B739">
        <v>10000</v>
      </c>
      <c r="C739">
        <v>10000</v>
      </c>
      <c r="D739" s="2">
        <v>45730</v>
      </c>
      <c r="E739" t="s">
        <v>61</v>
      </c>
      <c r="F739" t="s">
        <v>2939</v>
      </c>
      <c r="G739" t="s">
        <v>2940</v>
      </c>
      <c r="I739">
        <v>1</v>
      </c>
      <c r="J739" t="s">
        <v>63</v>
      </c>
      <c r="K739" s="8">
        <v>67</v>
      </c>
      <c r="L739" s="8" t="s">
        <v>6601</v>
      </c>
      <c r="M739" s="8" t="s">
        <v>6630</v>
      </c>
      <c r="N739" t="s">
        <v>380</v>
      </c>
      <c r="O739" t="s">
        <v>6558</v>
      </c>
      <c r="P739" s="4">
        <v>50000</v>
      </c>
      <c r="Q739">
        <f>(P739/50)+45</f>
        <v>1045</v>
      </c>
      <c r="R739">
        <f>Q739/60</f>
        <v>17.416666666666668</v>
      </c>
      <c r="S739" s="2">
        <v>45728</v>
      </c>
      <c r="U739">
        <v>1</v>
      </c>
      <c r="V739" s="4">
        <v>50000</v>
      </c>
      <c r="W739" t="s">
        <v>65</v>
      </c>
      <c r="X739" t="s">
        <v>381</v>
      </c>
      <c r="Y739">
        <v>0</v>
      </c>
      <c r="Z739" s="4">
        <v>50000</v>
      </c>
      <c r="AA739">
        <v>0</v>
      </c>
      <c r="AB739">
        <v>0</v>
      </c>
      <c r="AC739">
        <v>0</v>
      </c>
      <c r="AD739">
        <v>0</v>
      </c>
      <c r="AG739">
        <v>0</v>
      </c>
      <c r="AP739" t="s">
        <v>382</v>
      </c>
      <c r="AQ739" t="s">
        <v>157</v>
      </c>
      <c r="AR739" t="s">
        <v>6640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BC739" t="s">
        <v>69</v>
      </c>
      <c r="BD739" t="s">
        <v>2941</v>
      </c>
      <c r="BE739">
        <v>0</v>
      </c>
      <c r="BG739" t="s">
        <v>157</v>
      </c>
      <c r="BJ739" t="s">
        <v>2942</v>
      </c>
    </row>
    <row r="740" spans="1:62" x14ac:dyDescent="0.35">
      <c r="A740" t="s">
        <v>2943</v>
      </c>
      <c r="B740">
        <v>10000</v>
      </c>
      <c r="C740">
        <v>10000</v>
      </c>
      <c r="D740" s="2">
        <v>45730</v>
      </c>
      <c r="E740" t="s">
        <v>61</v>
      </c>
      <c r="F740" t="s">
        <v>2927</v>
      </c>
      <c r="G740">
        <v>8628207</v>
      </c>
      <c r="I740">
        <v>1</v>
      </c>
      <c r="J740" t="s">
        <v>63</v>
      </c>
      <c r="K740" s="8">
        <v>63</v>
      </c>
      <c r="L740" s="8" t="s">
        <v>6605</v>
      </c>
      <c r="M740" s="8" t="s">
        <v>6630</v>
      </c>
      <c r="N740" t="s">
        <v>519</v>
      </c>
      <c r="O740" t="s">
        <v>6569</v>
      </c>
      <c r="P740" s="4">
        <v>1760</v>
      </c>
      <c r="Q740">
        <f t="shared" ref="Q740:Q741" si="183">(P740/40)+45</f>
        <v>89</v>
      </c>
      <c r="R740">
        <f t="shared" ref="R740:R741" si="184">Q740/60</f>
        <v>1.4833333333333334</v>
      </c>
      <c r="S740" s="2">
        <v>45728</v>
      </c>
      <c r="U740">
        <v>75</v>
      </c>
      <c r="V740" s="4">
        <v>132000</v>
      </c>
      <c r="W740" t="s">
        <v>65</v>
      </c>
      <c r="X740" t="s">
        <v>2944</v>
      </c>
      <c r="Y740">
        <v>0</v>
      </c>
      <c r="Z740" s="4">
        <v>132000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2945</v>
      </c>
      <c r="AQ740" t="s">
        <v>157</v>
      </c>
      <c r="AR740" t="s">
        <v>6640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BC740" t="s">
        <v>69</v>
      </c>
      <c r="BD740" t="s">
        <v>2946</v>
      </c>
      <c r="BE740">
        <v>0</v>
      </c>
      <c r="BG740" t="s">
        <v>157</v>
      </c>
      <c r="BJ740" t="s">
        <v>2947</v>
      </c>
    </row>
    <row r="741" spans="1:62" x14ac:dyDescent="0.35">
      <c r="A741" t="s">
        <v>2948</v>
      </c>
      <c r="B741">
        <v>10000</v>
      </c>
      <c r="C741">
        <v>10000</v>
      </c>
      <c r="D741" s="2">
        <v>45730</v>
      </c>
      <c r="E741" t="s">
        <v>61</v>
      </c>
      <c r="F741" t="s">
        <v>2939</v>
      </c>
      <c r="G741">
        <v>8628207</v>
      </c>
      <c r="I741">
        <v>1</v>
      </c>
      <c r="J741" t="s">
        <v>63</v>
      </c>
      <c r="K741" s="8">
        <v>63</v>
      </c>
      <c r="L741" s="8" t="s">
        <v>6605</v>
      </c>
      <c r="M741" s="8" t="s">
        <v>6630</v>
      </c>
      <c r="N741" t="s">
        <v>519</v>
      </c>
      <c r="O741" t="s">
        <v>6569</v>
      </c>
      <c r="P741" s="4">
        <v>2347</v>
      </c>
      <c r="Q741">
        <f t="shared" si="183"/>
        <v>103.675</v>
      </c>
      <c r="R741">
        <f t="shared" si="184"/>
        <v>1.7279166666666665</v>
      </c>
      <c r="S741" s="2">
        <v>45728</v>
      </c>
      <c r="U741">
        <v>75</v>
      </c>
      <c r="V741" s="4">
        <v>176025</v>
      </c>
      <c r="W741" t="s">
        <v>65</v>
      </c>
      <c r="X741" t="s">
        <v>2944</v>
      </c>
      <c r="Y741">
        <v>0</v>
      </c>
      <c r="Z741" s="4">
        <v>176000</v>
      </c>
      <c r="AA741">
        <v>25</v>
      </c>
      <c r="AB741">
        <v>0</v>
      </c>
      <c r="AC741">
        <v>0</v>
      </c>
      <c r="AD741">
        <v>0</v>
      </c>
      <c r="AG741">
        <v>0</v>
      </c>
      <c r="AP741" t="s">
        <v>2945</v>
      </c>
      <c r="AQ741" t="s">
        <v>157</v>
      </c>
      <c r="AR741" t="s">
        <v>6640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BC741" t="s">
        <v>69</v>
      </c>
      <c r="BD741" t="s">
        <v>2949</v>
      </c>
      <c r="BE741">
        <v>0</v>
      </c>
      <c r="BG741" t="s">
        <v>157</v>
      </c>
      <c r="BJ741" t="s">
        <v>2950</v>
      </c>
    </row>
    <row r="742" spans="1:62" x14ac:dyDescent="0.35">
      <c r="A742" t="s">
        <v>2951</v>
      </c>
      <c r="B742">
        <v>10000</v>
      </c>
      <c r="C742">
        <v>10000</v>
      </c>
      <c r="D742" s="2">
        <v>45730</v>
      </c>
      <c r="E742" t="s">
        <v>61</v>
      </c>
      <c r="F742" t="s">
        <v>2952</v>
      </c>
      <c r="G742">
        <v>1006323</v>
      </c>
      <c r="I742">
        <v>1</v>
      </c>
      <c r="J742" t="s">
        <v>63</v>
      </c>
      <c r="K742" s="8">
        <v>90</v>
      </c>
      <c r="L742" t="s">
        <v>6589</v>
      </c>
      <c r="M742" s="8" t="s">
        <v>6630</v>
      </c>
      <c r="N742" t="s">
        <v>154</v>
      </c>
      <c r="O742" t="s">
        <v>6575</v>
      </c>
      <c r="P742" s="4">
        <v>5264</v>
      </c>
      <c r="S742" s="2">
        <v>45728</v>
      </c>
      <c r="U742">
        <v>38</v>
      </c>
      <c r="V742" s="4">
        <v>200032</v>
      </c>
      <c r="W742" t="s">
        <v>65</v>
      </c>
      <c r="X742" t="s">
        <v>2953</v>
      </c>
      <c r="Y742">
        <v>0</v>
      </c>
      <c r="Z742" s="4">
        <v>200000</v>
      </c>
      <c r="AA742">
        <v>32</v>
      </c>
      <c r="AB742">
        <v>0</v>
      </c>
      <c r="AC742">
        <v>0</v>
      </c>
      <c r="AD742">
        <v>0</v>
      </c>
      <c r="AG742">
        <v>0</v>
      </c>
      <c r="AP742" t="s">
        <v>2954</v>
      </c>
      <c r="AQ742" t="s">
        <v>157</v>
      </c>
      <c r="AR742" t="s">
        <v>6640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BC742" t="s">
        <v>69</v>
      </c>
      <c r="BD742" t="s">
        <v>2955</v>
      </c>
      <c r="BE742">
        <v>0</v>
      </c>
      <c r="BG742" t="s">
        <v>157</v>
      </c>
      <c r="BJ742" t="s">
        <v>2956</v>
      </c>
    </row>
    <row r="743" spans="1:62" x14ac:dyDescent="0.35">
      <c r="A743" t="s">
        <v>2957</v>
      </c>
      <c r="B743">
        <v>10000</v>
      </c>
      <c r="C743">
        <v>10000</v>
      </c>
      <c r="D743" s="2">
        <v>45729</v>
      </c>
      <c r="E743" t="s">
        <v>61</v>
      </c>
      <c r="F743" t="s">
        <v>2958</v>
      </c>
      <c r="G743">
        <v>8628207</v>
      </c>
      <c r="I743">
        <v>1</v>
      </c>
      <c r="J743" t="s">
        <v>63</v>
      </c>
      <c r="K743" s="8">
        <v>63</v>
      </c>
      <c r="L743" s="8" t="s">
        <v>6605</v>
      </c>
      <c r="M743" s="8" t="s">
        <v>6630</v>
      </c>
      <c r="N743" t="s">
        <v>519</v>
      </c>
      <c r="O743" t="s">
        <v>6569</v>
      </c>
      <c r="P743" s="4">
        <v>2000</v>
      </c>
      <c r="Q743">
        <f t="shared" ref="Q743:Q744" si="185">(P743/40)+45</f>
        <v>95</v>
      </c>
      <c r="R743">
        <f t="shared" ref="R743:R744" si="186">Q743/60</f>
        <v>1.5833333333333333</v>
      </c>
      <c r="S743" s="2">
        <v>45728</v>
      </c>
      <c r="U743">
        <v>60</v>
      </c>
      <c r="V743" s="4">
        <v>120000</v>
      </c>
      <c r="W743" t="s">
        <v>65</v>
      </c>
      <c r="X743" t="s">
        <v>2959</v>
      </c>
      <c r="Y743">
        <v>0</v>
      </c>
      <c r="Z743" s="4">
        <v>120000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2960</v>
      </c>
      <c r="AQ743" t="s">
        <v>157</v>
      </c>
      <c r="AR743" t="s">
        <v>6640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BC743" t="s">
        <v>69</v>
      </c>
      <c r="BD743" t="s">
        <v>2961</v>
      </c>
      <c r="BE743">
        <v>0</v>
      </c>
      <c r="BG743" t="s">
        <v>157</v>
      </c>
      <c r="BJ743" t="s">
        <v>2962</v>
      </c>
    </row>
    <row r="744" spans="1:62" x14ac:dyDescent="0.35">
      <c r="A744" t="s">
        <v>2963</v>
      </c>
      <c r="B744">
        <v>10000</v>
      </c>
      <c r="C744">
        <v>10000</v>
      </c>
      <c r="D744" s="2">
        <v>45730</v>
      </c>
      <c r="E744" t="s">
        <v>61</v>
      </c>
      <c r="F744" t="s">
        <v>2939</v>
      </c>
      <c r="G744">
        <v>8628207</v>
      </c>
      <c r="I744">
        <v>1</v>
      </c>
      <c r="J744" t="s">
        <v>63</v>
      </c>
      <c r="K744" s="8">
        <v>63</v>
      </c>
      <c r="L744" s="8" t="s">
        <v>6605</v>
      </c>
      <c r="M744" s="8" t="s">
        <v>6630</v>
      </c>
      <c r="N744" t="s">
        <v>519</v>
      </c>
      <c r="O744" t="s">
        <v>6569</v>
      </c>
      <c r="P744" s="4">
        <v>1174</v>
      </c>
      <c r="Q744">
        <f t="shared" si="185"/>
        <v>74.349999999999994</v>
      </c>
      <c r="R744">
        <f t="shared" si="186"/>
        <v>1.2391666666666665</v>
      </c>
      <c r="S744" s="2">
        <v>45728</v>
      </c>
      <c r="U744">
        <v>75</v>
      </c>
      <c r="V744" s="4">
        <v>88050</v>
      </c>
      <c r="W744" t="s">
        <v>65</v>
      </c>
      <c r="X744" t="s">
        <v>2944</v>
      </c>
      <c r="Y744">
        <v>0</v>
      </c>
      <c r="Z744" s="4">
        <v>88000</v>
      </c>
      <c r="AA744">
        <v>50</v>
      </c>
      <c r="AB744">
        <v>0</v>
      </c>
      <c r="AC744">
        <v>0</v>
      </c>
      <c r="AD744">
        <v>0</v>
      </c>
      <c r="AG744">
        <v>0</v>
      </c>
      <c r="AP744" t="s">
        <v>2945</v>
      </c>
      <c r="AQ744" t="s">
        <v>175</v>
      </c>
      <c r="AR744" t="s">
        <v>6642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BC744" t="s">
        <v>69</v>
      </c>
      <c r="BD744" t="s">
        <v>2964</v>
      </c>
      <c r="BE744">
        <v>0</v>
      </c>
      <c r="BG744" t="s">
        <v>175</v>
      </c>
      <c r="BJ744" t="s">
        <v>2965</v>
      </c>
    </row>
    <row r="745" spans="1:62" x14ac:dyDescent="0.35">
      <c r="A745" t="s">
        <v>2966</v>
      </c>
      <c r="B745">
        <v>10000</v>
      </c>
      <c r="C745">
        <v>10000</v>
      </c>
      <c r="D745" s="2">
        <v>45728</v>
      </c>
      <c r="E745" t="s">
        <v>61</v>
      </c>
      <c r="F745" t="s">
        <v>2778</v>
      </c>
      <c r="G745" t="s">
        <v>826</v>
      </c>
      <c r="I745">
        <v>1</v>
      </c>
      <c r="J745" t="s">
        <v>63</v>
      </c>
      <c r="K745" s="8">
        <v>94</v>
      </c>
      <c r="L745" s="8" t="s">
        <v>6599</v>
      </c>
      <c r="M745" s="8" t="s">
        <v>6629</v>
      </c>
      <c r="N745" t="s">
        <v>181</v>
      </c>
      <c r="O745" t="s">
        <v>6544</v>
      </c>
      <c r="P745" s="4">
        <v>3000</v>
      </c>
      <c r="S745" s="2">
        <v>45728</v>
      </c>
      <c r="U745">
        <v>4</v>
      </c>
      <c r="V745" s="4">
        <v>12000</v>
      </c>
      <c r="W745" t="s">
        <v>65</v>
      </c>
      <c r="X745" t="s">
        <v>2779</v>
      </c>
      <c r="Y745">
        <v>0</v>
      </c>
      <c r="Z745" s="4">
        <v>12000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2780</v>
      </c>
      <c r="AQ745" t="s">
        <v>364</v>
      </c>
      <c r="AR745" t="s">
        <v>6653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BC745" t="s">
        <v>69</v>
      </c>
      <c r="BD745" t="s">
        <v>2967</v>
      </c>
      <c r="BE745">
        <v>0</v>
      </c>
      <c r="BG745" t="s">
        <v>364</v>
      </c>
      <c r="BJ745" t="s">
        <v>2968</v>
      </c>
    </row>
    <row r="746" spans="1:62" x14ac:dyDescent="0.35">
      <c r="A746" t="s">
        <v>2503</v>
      </c>
      <c r="B746">
        <v>10000</v>
      </c>
      <c r="C746">
        <v>50000</v>
      </c>
      <c r="D746" s="2">
        <v>45740</v>
      </c>
      <c r="E746" t="s">
        <v>61</v>
      </c>
      <c r="F746" t="s">
        <v>2969</v>
      </c>
      <c r="G746">
        <v>10639931036</v>
      </c>
      <c r="I746">
        <v>2</v>
      </c>
      <c r="J746" t="s">
        <v>63</v>
      </c>
      <c r="K746" s="8">
        <v>77</v>
      </c>
      <c r="L746" s="8" t="s">
        <v>6584</v>
      </c>
      <c r="M746" s="8" t="s">
        <v>6627</v>
      </c>
      <c r="N746" t="s">
        <v>127</v>
      </c>
      <c r="O746" t="s">
        <v>6567</v>
      </c>
      <c r="P746">
        <v>864</v>
      </c>
      <c r="Q746">
        <f t="shared" ref="Q746:Q747" si="187">(P746/60)+45</f>
        <v>59.4</v>
      </c>
      <c r="R746">
        <f t="shared" ref="R746:R747" si="188">Q746/60</f>
        <v>0.99</v>
      </c>
      <c r="S746" s="2">
        <v>45728</v>
      </c>
      <c r="U746">
        <v>88</v>
      </c>
      <c r="V746" s="4">
        <v>76032</v>
      </c>
      <c r="W746" t="s">
        <v>65</v>
      </c>
      <c r="X746" t="s">
        <v>2504</v>
      </c>
      <c r="Y746">
        <v>0</v>
      </c>
      <c r="Z746" s="4">
        <v>70000</v>
      </c>
      <c r="AA746" s="4">
        <v>6032</v>
      </c>
      <c r="AB746">
        <v>0</v>
      </c>
      <c r="AC746">
        <v>0</v>
      </c>
      <c r="AD746">
        <v>0</v>
      </c>
      <c r="AG746">
        <v>0</v>
      </c>
      <c r="AP746" t="s">
        <v>2505</v>
      </c>
      <c r="AQ746" t="s">
        <v>107</v>
      </c>
      <c r="AR746" t="s">
        <v>6638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BC746" t="s">
        <v>69</v>
      </c>
      <c r="BD746" t="s">
        <v>2506</v>
      </c>
      <c r="BE746">
        <v>0</v>
      </c>
      <c r="BG746" t="s">
        <v>107</v>
      </c>
      <c r="BJ746" t="s">
        <v>2507</v>
      </c>
    </row>
    <row r="747" spans="1:62" x14ac:dyDescent="0.35">
      <c r="A747" t="s">
        <v>2508</v>
      </c>
      <c r="B747">
        <v>10000</v>
      </c>
      <c r="C747">
        <v>40000</v>
      </c>
      <c r="D747" s="2">
        <v>45740</v>
      </c>
      <c r="E747" t="s">
        <v>61</v>
      </c>
      <c r="F747" t="s">
        <v>2970</v>
      </c>
      <c r="G747">
        <v>10639931036</v>
      </c>
      <c r="I747">
        <v>2</v>
      </c>
      <c r="J747" t="s">
        <v>63</v>
      </c>
      <c r="K747" s="8">
        <v>77</v>
      </c>
      <c r="L747" s="8" t="s">
        <v>6584</v>
      </c>
      <c r="M747" s="8" t="s">
        <v>6627</v>
      </c>
      <c r="N747" t="s">
        <v>127</v>
      </c>
      <c r="O747" t="s">
        <v>6567</v>
      </c>
      <c r="P747">
        <v>864</v>
      </c>
      <c r="Q747">
        <f t="shared" si="187"/>
        <v>59.4</v>
      </c>
      <c r="R747">
        <f t="shared" si="188"/>
        <v>0.99</v>
      </c>
      <c r="S747" s="2">
        <v>45728</v>
      </c>
      <c r="U747">
        <v>88</v>
      </c>
      <c r="V747" s="4">
        <v>76032</v>
      </c>
      <c r="W747" t="s">
        <v>65</v>
      </c>
      <c r="X747" t="s">
        <v>2509</v>
      </c>
      <c r="Y747">
        <v>0</v>
      </c>
      <c r="Z747" s="4">
        <v>50000</v>
      </c>
      <c r="AA747" s="4">
        <v>26032</v>
      </c>
      <c r="AB747">
        <v>0</v>
      </c>
      <c r="AC747">
        <v>0</v>
      </c>
      <c r="AD747">
        <v>0</v>
      </c>
      <c r="AG747">
        <v>0</v>
      </c>
      <c r="AP747" t="s">
        <v>2510</v>
      </c>
      <c r="AQ747" t="s">
        <v>107</v>
      </c>
      <c r="AR747" t="s">
        <v>6638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BC747" t="s">
        <v>69</v>
      </c>
      <c r="BD747" t="s">
        <v>2511</v>
      </c>
      <c r="BE747">
        <v>0</v>
      </c>
      <c r="BG747" t="s">
        <v>107</v>
      </c>
      <c r="BJ747" t="s">
        <v>2507</v>
      </c>
    </row>
    <row r="748" spans="1:62" x14ac:dyDescent="0.35">
      <c r="A748" t="s">
        <v>2971</v>
      </c>
      <c r="B748">
        <v>10000</v>
      </c>
      <c r="C748">
        <v>10000</v>
      </c>
      <c r="D748" s="2">
        <v>45736</v>
      </c>
      <c r="E748" t="s">
        <v>61</v>
      </c>
      <c r="F748" t="s">
        <v>2972</v>
      </c>
      <c r="G748" t="s">
        <v>2973</v>
      </c>
      <c r="I748">
        <v>1</v>
      </c>
      <c r="J748" t="s">
        <v>63</v>
      </c>
      <c r="K748" s="8">
        <v>88</v>
      </c>
      <c r="L748" s="8" t="s">
        <v>6610</v>
      </c>
      <c r="M748" s="8" t="s">
        <v>6631</v>
      </c>
      <c r="N748" t="s">
        <v>630</v>
      </c>
      <c r="O748" t="s">
        <v>6571</v>
      </c>
      <c r="P748" s="4">
        <v>2100</v>
      </c>
      <c r="S748" s="2">
        <v>45728</v>
      </c>
      <c r="U748">
        <v>5</v>
      </c>
      <c r="V748" s="4">
        <v>10500</v>
      </c>
      <c r="W748" t="s">
        <v>65</v>
      </c>
      <c r="X748" t="s">
        <v>2974</v>
      </c>
      <c r="Y748">
        <v>0</v>
      </c>
      <c r="Z748" s="4">
        <v>10000</v>
      </c>
      <c r="AA748">
        <v>500</v>
      </c>
      <c r="AB748">
        <v>0</v>
      </c>
      <c r="AC748">
        <v>0</v>
      </c>
      <c r="AD748">
        <v>0</v>
      </c>
      <c r="AG748">
        <v>0</v>
      </c>
      <c r="AP748" t="s">
        <v>2975</v>
      </c>
      <c r="AQ748" t="s">
        <v>2976</v>
      </c>
      <c r="AR748" t="s">
        <v>6711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BC748" t="s">
        <v>69</v>
      </c>
      <c r="BD748" t="s">
        <v>2977</v>
      </c>
      <c r="BE748">
        <v>0</v>
      </c>
      <c r="BG748" t="s">
        <v>2976</v>
      </c>
      <c r="BJ748" t="s">
        <v>2978</v>
      </c>
    </row>
    <row r="749" spans="1:62" x14ac:dyDescent="0.35">
      <c r="A749" t="s">
        <v>2979</v>
      </c>
      <c r="B749">
        <v>10000</v>
      </c>
      <c r="C749">
        <v>10000</v>
      </c>
      <c r="D749" s="2">
        <v>45729</v>
      </c>
      <c r="E749" t="s">
        <v>61</v>
      </c>
      <c r="F749" t="s">
        <v>2980</v>
      </c>
      <c r="G749" t="s">
        <v>2981</v>
      </c>
      <c r="I749">
        <v>1</v>
      </c>
      <c r="J749" t="s">
        <v>63</v>
      </c>
      <c r="K749" s="8">
        <v>88</v>
      </c>
      <c r="L749" s="8" t="s">
        <v>6610</v>
      </c>
      <c r="M749" s="8" t="s">
        <v>6631</v>
      </c>
      <c r="N749" t="s">
        <v>630</v>
      </c>
      <c r="O749" t="s">
        <v>6571</v>
      </c>
      <c r="P749" s="4">
        <v>1000</v>
      </c>
      <c r="S749" s="2">
        <v>45728</v>
      </c>
      <c r="U749">
        <v>1</v>
      </c>
      <c r="V749" s="4">
        <v>1000</v>
      </c>
      <c r="W749" t="s">
        <v>65</v>
      </c>
      <c r="X749">
        <v>107456090001</v>
      </c>
      <c r="Y749">
        <v>0</v>
      </c>
      <c r="Z749" s="4">
        <v>1000</v>
      </c>
      <c r="AA749">
        <v>0</v>
      </c>
      <c r="AB749">
        <v>0</v>
      </c>
      <c r="AC749">
        <v>0</v>
      </c>
      <c r="AD749">
        <v>0</v>
      </c>
      <c r="AG749">
        <v>0</v>
      </c>
      <c r="AP749">
        <v>10745609</v>
      </c>
      <c r="AQ749" t="s">
        <v>487</v>
      </c>
      <c r="AR749" t="s">
        <v>6656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BC749" t="s">
        <v>69</v>
      </c>
      <c r="BD749" t="s">
        <v>2982</v>
      </c>
      <c r="BE749">
        <v>0</v>
      </c>
      <c r="BG749" t="s">
        <v>487</v>
      </c>
      <c r="BJ749" t="s">
        <v>2983</v>
      </c>
    </row>
    <row r="750" spans="1:62" x14ac:dyDescent="0.35">
      <c r="A750" t="s">
        <v>2979</v>
      </c>
      <c r="B750">
        <v>10000</v>
      </c>
      <c r="C750">
        <v>20000</v>
      </c>
      <c r="D750" s="2">
        <v>45729</v>
      </c>
      <c r="E750" t="s">
        <v>61</v>
      </c>
      <c r="F750" t="s">
        <v>2980</v>
      </c>
      <c r="G750" t="s">
        <v>2981</v>
      </c>
      <c r="I750">
        <v>2</v>
      </c>
      <c r="J750" t="s">
        <v>63</v>
      </c>
      <c r="K750" s="8">
        <v>100</v>
      </c>
      <c r="L750" s="8" t="s">
        <v>6613</v>
      </c>
      <c r="M750" s="8" t="s">
        <v>6633</v>
      </c>
      <c r="N750" t="s">
        <v>424</v>
      </c>
      <c r="O750" t="s">
        <v>6570</v>
      </c>
      <c r="P750" s="4">
        <v>1000</v>
      </c>
      <c r="S750" s="2">
        <v>45728</v>
      </c>
      <c r="U750">
        <v>1</v>
      </c>
      <c r="V750" s="4">
        <v>1000</v>
      </c>
      <c r="W750" t="s">
        <v>65</v>
      </c>
      <c r="X750">
        <v>107456090001</v>
      </c>
      <c r="Y750">
        <v>0</v>
      </c>
      <c r="Z750" s="4">
        <v>1000</v>
      </c>
      <c r="AA750">
        <v>0</v>
      </c>
      <c r="AB750">
        <v>0</v>
      </c>
      <c r="AC750">
        <v>0</v>
      </c>
      <c r="AD750">
        <v>0</v>
      </c>
      <c r="AG750">
        <v>0</v>
      </c>
      <c r="AP750">
        <v>10745609</v>
      </c>
      <c r="AQ750" t="s">
        <v>487</v>
      </c>
      <c r="AR750" t="s">
        <v>6656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BC750" t="s">
        <v>69</v>
      </c>
      <c r="BD750" t="s">
        <v>2982</v>
      </c>
      <c r="BE750">
        <v>0</v>
      </c>
      <c r="BG750" t="s">
        <v>487</v>
      </c>
      <c r="BJ750" t="s">
        <v>2983</v>
      </c>
    </row>
    <row r="751" spans="1:62" x14ac:dyDescent="0.35">
      <c r="A751" t="s">
        <v>2711</v>
      </c>
      <c r="B751">
        <v>10000</v>
      </c>
      <c r="C751">
        <v>30000</v>
      </c>
      <c r="D751" s="2">
        <v>45729</v>
      </c>
      <c r="E751" t="s">
        <v>61</v>
      </c>
      <c r="F751" t="s">
        <v>2984</v>
      </c>
      <c r="G751" t="s">
        <v>2981</v>
      </c>
      <c r="I751">
        <v>1</v>
      </c>
      <c r="J751" t="s">
        <v>63</v>
      </c>
      <c r="K751" s="8">
        <v>88</v>
      </c>
      <c r="L751" s="8" t="s">
        <v>6610</v>
      </c>
      <c r="M751" s="8" t="s">
        <v>6631</v>
      </c>
      <c r="N751" t="s">
        <v>630</v>
      </c>
      <c r="O751" t="s">
        <v>6571</v>
      </c>
      <c r="P751">
        <v>20</v>
      </c>
      <c r="S751" s="2">
        <v>45728</v>
      </c>
      <c r="U751">
        <v>1</v>
      </c>
      <c r="V751">
        <v>20</v>
      </c>
      <c r="W751" t="s">
        <v>65</v>
      </c>
      <c r="X751">
        <v>107456090001</v>
      </c>
      <c r="Y751">
        <v>0</v>
      </c>
      <c r="Z751">
        <v>10</v>
      </c>
      <c r="AA751">
        <v>10</v>
      </c>
      <c r="AB751">
        <v>0</v>
      </c>
      <c r="AC751">
        <v>0</v>
      </c>
      <c r="AD751">
        <v>0</v>
      </c>
      <c r="AG751">
        <v>0</v>
      </c>
      <c r="AP751">
        <v>10745609</v>
      </c>
      <c r="AQ751" t="s">
        <v>487</v>
      </c>
      <c r="AR751" t="s">
        <v>6656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BC751" t="s">
        <v>69</v>
      </c>
      <c r="BD751" t="s">
        <v>2713</v>
      </c>
      <c r="BE751">
        <v>0</v>
      </c>
      <c r="BG751" t="s">
        <v>487</v>
      </c>
      <c r="BJ751" t="s">
        <v>2714</v>
      </c>
    </row>
    <row r="752" spans="1:62" x14ac:dyDescent="0.35">
      <c r="A752" t="s">
        <v>2711</v>
      </c>
      <c r="B752">
        <v>10000</v>
      </c>
      <c r="C752">
        <v>40000</v>
      </c>
      <c r="D752" s="2">
        <v>45729</v>
      </c>
      <c r="E752" t="s">
        <v>61</v>
      </c>
      <c r="F752" t="s">
        <v>2984</v>
      </c>
      <c r="G752" t="s">
        <v>2981</v>
      </c>
      <c r="I752">
        <v>2</v>
      </c>
      <c r="J752" t="s">
        <v>63</v>
      </c>
      <c r="K752" s="8">
        <v>100</v>
      </c>
      <c r="L752" s="8" t="s">
        <v>6613</v>
      </c>
      <c r="M752" s="8" t="s">
        <v>6633</v>
      </c>
      <c r="N752" t="s">
        <v>424</v>
      </c>
      <c r="O752" t="s">
        <v>6570</v>
      </c>
      <c r="P752">
        <v>20</v>
      </c>
      <c r="S752" s="2">
        <v>45728</v>
      </c>
      <c r="U752">
        <v>1</v>
      </c>
      <c r="V752">
        <v>20</v>
      </c>
      <c r="W752" t="s">
        <v>65</v>
      </c>
      <c r="X752">
        <v>107456090001</v>
      </c>
      <c r="Y752">
        <v>0</v>
      </c>
      <c r="Z752">
        <v>10</v>
      </c>
      <c r="AA752">
        <v>10</v>
      </c>
      <c r="AB752">
        <v>0</v>
      </c>
      <c r="AC752">
        <v>0</v>
      </c>
      <c r="AD752">
        <v>0</v>
      </c>
      <c r="AG752">
        <v>0</v>
      </c>
      <c r="AP752">
        <v>10745609</v>
      </c>
      <c r="AQ752" t="s">
        <v>487</v>
      </c>
      <c r="AR752" t="s">
        <v>6656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BC752" t="s">
        <v>69</v>
      </c>
      <c r="BD752" t="s">
        <v>2713</v>
      </c>
      <c r="BE752">
        <v>0</v>
      </c>
      <c r="BG752" t="s">
        <v>487</v>
      </c>
      <c r="BJ752" t="s">
        <v>2714</v>
      </c>
    </row>
    <row r="753" spans="1:62" x14ac:dyDescent="0.35">
      <c r="A753" t="s">
        <v>2985</v>
      </c>
      <c r="B753">
        <v>10000</v>
      </c>
      <c r="C753">
        <v>10000</v>
      </c>
      <c r="D753" s="2">
        <v>45729</v>
      </c>
      <c r="E753" t="s">
        <v>61</v>
      </c>
      <c r="F753" t="s">
        <v>2882</v>
      </c>
      <c r="G753" t="s">
        <v>2986</v>
      </c>
      <c r="I753">
        <v>1</v>
      </c>
      <c r="J753" t="s">
        <v>63</v>
      </c>
      <c r="K753" s="8">
        <v>65</v>
      </c>
      <c r="L753" s="8" t="s">
        <v>6596</v>
      </c>
      <c r="M753" s="8" t="s">
        <v>6630</v>
      </c>
      <c r="N753" t="s">
        <v>268</v>
      </c>
      <c r="O753" t="s">
        <v>6543</v>
      </c>
      <c r="P753">
        <v>334</v>
      </c>
      <c r="Q753">
        <f t="shared" ref="Q753:Q754" si="189">(P753/40)+45</f>
        <v>53.35</v>
      </c>
      <c r="R753">
        <f t="shared" ref="R753:R754" si="190">Q753/60</f>
        <v>0.88916666666666666</v>
      </c>
      <c r="S753" s="2">
        <v>45728</v>
      </c>
      <c r="U753">
        <v>3</v>
      </c>
      <c r="V753" s="4">
        <v>1002</v>
      </c>
      <c r="W753" t="s">
        <v>65</v>
      </c>
      <c r="X753" t="s">
        <v>2987</v>
      </c>
      <c r="Y753">
        <v>0</v>
      </c>
      <c r="Z753" s="4">
        <v>1000</v>
      </c>
      <c r="AA753">
        <v>2</v>
      </c>
      <c r="AB753">
        <v>0</v>
      </c>
      <c r="AC753">
        <v>0</v>
      </c>
      <c r="AD753">
        <v>0</v>
      </c>
      <c r="AG753">
        <v>0</v>
      </c>
      <c r="AP753" t="s">
        <v>2988</v>
      </c>
      <c r="AQ753" t="s">
        <v>508</v>
      </c>
      <c r="AR753" t="s">
        <v>6657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BC753" t="s">
        <v>69</v>
      </c>
      <c r="BD753" t="s">
        <v>2989</v>
      </c>
      <c r="BE753">
        <v>0</v>
      </c>
      <c r="BG753" t="s">
        <v>508</v>
      </c>
      <c r="BJ753" t="s">
        <v>2990</v>
      </c>
    </row>
    <row r="754" spans="1:62" x14ac:dyDescent="0.35">
      <c r="A754" t="s">
        <v>2991</v>
      </c>
      <c r="B754">
        <v>10000</v>
      </c>
      <c r="C754">
        <v>10000</v>
      </c>
      <c r="D754" s="2">
        <v>45729</v>
      </c>
      <c r="E754" t="s">
        <v>61</v>
      </c>
      <c r="F754" t="s">
        <v>2882</v>
      </c>
      <c r="G754" t="s">
        <v>2986</v>
      </c>
      <c r="I754">
        <v>1</v>
      </c>
      <c r="J754" t="s">
        <v>63</v>
      </c>
      <c r="K754" s="8">
        <v>65</v>
      </c>
      <c r="L754" s="8" t="s">
        <v>6596</v>
      </c>
      <c r="M754" s="8" t="s">
        <v>6630</v>
      </c>
      <c r="N754" t="s">
        <v>268</v>
      </c>
      <c r="O754" t="s">
        <v>6543</v>
      </c>
      <c r="P754">
        <v>334</v>
      </c>
      <c r="Q754">
        <f t="shared" si="189"/>
        <v>53.35</v>
      </c>
      <c r="R754">
        <f t="shared" si="190"/>
        <v>0.88916666666666666</v>
      </c>
      <c r="S754" s="2">
        <v>45728</v>
      </c>
      <c r="U754">
        <v>3</v>
      </c>
      <c r="V754" s="4">
        <v>1002</v>
      </c>
      <c r="W754" t="s">
        <v>65</v>
      </c>
      <c r="X754" t="s">
        <v>2987</v>
      </c>
      <c r="Y754">
        <v>0</v>
      </c>
      <c r="Z754" s="4">
        <v>1000</v>
      </c>
      <c r="AA754">
        <v>2</v>
      </c>
      <c r="AB754">
        <v>0</v>
      </c>
      <c r="AC754">
        <v>0</v>
      </c>
      <c r="AD754">
        <v>0</v>
      </c>
      <c r="AG754">
        <v>0</v>
      </c>
      <c r="AP754" t="s">
        <v>2988</v>
      </c>
      <c r="AQ754" t="s">
        <v>508</v>
      </c>
      <c r="AR754" t="s">
        <v>6657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C754" t="s">
        <v>69</v>
      </c>
      <c r="BD754" t="s">
        <v>2992</v>
      </c>
      <c r="BE754">
        <v>0</v>
      </c>
      <c r="BG754" t="s">
        <v>508</v>
      </c>
      <c r="BJ754" t="s">
        <v>2993</v>
      </c>
    </row>
    <row r="755" spans="1:62" x14ac:dyDescent="0.35">
      <c r="A755" t="s">
        <v>2994</v>
      </c>
      <c r="B755">
        <v>10000</v>
      </c>
      <c r="C755">
        <v>10000</v>
      </c>
      <c r="D755" s="2">
        <v>45729</v>
      </c>
      <c r="E755" t="s">
        <v>61</v>
      </c>
      <c r="F755" t="s">
        <v>2995</v>
      </c>
      <c r="G755" t="s">
        <v>1293</v>
      </c>
      <c r="I755">
        <v>1</v>
      </c>
      <c r="J755" t="s">
        <v>63</v>
      </c>
      <c r="K755" s="8">
        <v>72</v>
      </c>
      <c r="L755" s="8" t="s">
        <v>6606</v>
      </c>
      <c r="M755" s="8" t="s">
        <v>6631</v>
      </c>
      <c r="N755" t="s">
        <v>163</v>
      </c>
      <c r="O755" t="s">
        <v>6548</v>
      </c>
      <c r="P755" s="4">
        <v>1000</v>
      </c>
      <c r="S755" s="2">
        <v>45728</v>
      </c>
      <c r="U755">
        <v>10</v>
      </c>
      <c r="V755" s="4">
        <v>10000</v>
      </c>
      <c r="W755" t="s">
        <v>65</v>
      </c>
      <c r="X755" t="s">
        <v>2996</v>
      </c>
      <c r="Y755">
        <v>0</v>
      </c>
      <c r="Z755" s="4">
        <v>5000</v>
      </c>
      <c r="AA755" s="4">
        <v>5000</v>
      </c>
      <c r="AB755">
        <v>0</v>
      </c>
      <c r="AC755">
        <v>0</v>
      </c>
      <c r="AD755">
        <v>0</v>
      </c>
      <c r="AG755">
        <v>0</v>
      </c>
      <c r="AP755" t="s">
        <v>2997</v>
      </c>
      <c r="AQ755" t="s">
        <v>909</v>
      </c>
      <c r="AR755" t="s">
        <v>6667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C755" t="s">
        <v>69</v>
      </c>
      <c r="BD755" t="s">
        <v>2998</v>
      </c>
      <c r="BE755">
        <v>0</v>
      </c>
      <c r="BG755" t="s">
        <v>909</v>
      </c>
      <c r="BJ755" t="s">
        <v>2999</v>
      </c>
    </row>
    <row r="756" spans="1:62" x14ac:dyDescent="0.35">
      <c r="A756" t="s">
        <v>3000</v>
      </c>
      <c r="B756">
        <v>10000</v>
      </c>
      <c r="C756">
        <v>10000</v>
      </c>
      <c r="D756" s="2">
        <v>45729</v>
      </c>
      <c r="E756" t="s">
        <v>61</v>
      </c>
      <c r="F756" t="s">
        <v>2772</v>
      </c>
      <c r="G756" t="s">
        <v>1143</v>
      </c>
      <c r="I756">
        <v>1</v>
      </c>
      <c r="J756" t="s">
        <v>63</v>
      </c>
      <c r="K756" s="8">
        <v>82</v>
      </c>
      <c r="L756" s="8" t="s">
        <v>6598</v>
      </c>
      <c r="M756" s="8" t="s">
        <v>6630</v>
      </c>
      <c r="N756" t="s">
        <v>341</v>
      </c>
      <c r="O756" t="s">
        <v>6346</v>
      </c>
      <c r="P756" s="4">
        <v>3000</v>
      </c>
      <c r="S756" s="2">
        <v>45728</v>
      </c>
      <c r="U756">
        <v>2</v>
      </c>
      <c r="V756" s="4">
        <v>6000</v>
      </c>
      <c r="W756" t="s">
        <v>65</v>
      </c>
      <c r="X756" t="s">
        <v>3001</v>
      </c>
      <c r="Y756">
        <v>0</v>
      </c>
      <c r="Z756" s="4">
        <v>6000</v>
      </c>
      <c r="AA756">
        <v>0</v>
      </c>
      <c r="AB756">
        <v>0</v>
      </c>
      <c r="AC756">
        <v>0</v>
      </c>
      <c r="AD756">
        <v>0</v>
      </c>
      <c r="AG756">
        <v>0</v>
      </c>
      <c r="AP756" t="s">
        <v>3002</v>
      </c>
      <c r="AQ756" t="s">
        <v>116</v>
      </c>
      <c r="AR756" t="s">
        <v>6639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C756" t="s">
        <v>69</v>
      </c>
      <c r="BD756" t="s">
        <v>3003</v>
      </c>
      <c r="BE756">
        <v>0</v>
      </c>
      <c r="BG756" t="s">
        <v>116</v>
      </c>
      <c r="BJ756" t="s">
        <v>3004</v>
      </c>
    </row>
    <row r="757" spans="1:62" x14ac:dyDescent="0.35">
      <c r="A757" t="s">
        <v>3005</v>
      </c>
      <c r="B757">
        <v>10000</v>
      </c>
      <c r="C757">
        <v>10000</v>
      </c>
      <c r="D757" s="2">
        <v>45730</v>
      </c>
      <c r="E757" t="s">
        <v>61</v>
      </c>
      <c r="F757" t="s">
        <v>3006</v>
      </c>
      <c r="G757" t="s">
        <v>180</v>
      </c>
      <c r="I757">
        <v>1</v>
      </c>
      <c r="J757" t="s">
        <v>63</v>
      </c>
      <c r="K757" s="8">
        <v>59</v>
      </c>
      <c r="L757" s="8" t="s">
        <v>6592</v>
      </c>
      <c r="M757" s="8" t="s">
        <v>6629</v>
      </c>
      <c r="N757" t="s">
        <v>745</v>
      </c>
      <c r="O757" t="s">
        <v>6501</v>
      </c>
      <c r="P757" s="4">
        <v>15000</v>
      </c>
      <c r="Q757">
        <f t="shared" ref="Q757:Q758" si="191">(P757/40)+45</f>
        <v>420</v>
      </c>
      <c r="R757">
        <f t="shared" ref="R757:R758" si="192">Q757/60</f>
        <v>7</v>
      </c>
      <c r="S757" s="2">
        <v>45728</v>
      </c>
      <c r="U757">
        <v>2</v>
      </c>
      <c r="V757" s="4">
        <v>30000</v>
      </c>
      <c r="W757" t="s">
        <v>65</v>
      </c>
      <c r="X757">
        <v>200748640001</v>
      </c>
      <c r="Y757">
        <v>0</v>
      </c>
      <c r="Z757" s="4">
        <v>30000</v>
      </c>
      <c r="AA757">
        <v>0</v>
      </c>
      <c r="AB757">
        <v>0</v>
      </c>
      <c r="AC757">
        <v>0</v>
      </c>
      <c r="AD757">
        <v>0</v>
      </c>
      <c r="AG757">
        <v>0</v>
      </c>
      <c r="AP757">
        <v>20074864</v>
      </c>
      <c r="AQ757" t="s">
        <v>182</v>
      </c>
      <c r="AR757" t="s">
        <v>6643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BC757" t="s">
        <v>69</v>
      </c>
      <c r="BD757" t="s">
        <v>3007</v>
      </c>
      <c r="BE757">
        <v>0</v>
      </c>
      <c r="BG757" t="s">
        <v>182</v>
      </c>
      <c r="BJ757" t="s">
        <v>3008</v>
      </c>
    </row>
    <row r="758" spans="1:62" x14ac:dyDescent="0.35">
      <c r="A758" t="s">
        <v>3005</v>
      </c>
      <c r="B758">
        <v>20000</v>
      </c>
      <c r="C758">
        <v>10000</v>
      </c>
      <c r="D758" s="2">
        <v>45730</v>
      </c>
      <c r="E758" t="s">
        <v>61</v>
      </c>
      <c r="F758" t="s">
        <v>3006</v>
      </c>
      <c r="G758" t="s">
        <v>180</v>
      </c>
      <c r="I758">
        <v>1</v>
      </c>
      <c r="J758" t="s">
        <v>63</v>
      </c>
      <c r="K758" s="8">
        <v>59</v>
      </c>
      <c r="L758" s="8" t="s">
        <v>6592</v>
      </c>
      <c r="M758" s="8" t="s">
        <v>6629</v>
      </c>
      <c r="N758" t="s">
        <v>745</v>
      </c>
      <c r="O758" t="s">
        <v>6501</v>
      </c>
      <c r="P758" s="4">
        <v>15000</v>
      </c>
      <c r="Q758">
        <f t="shared" si="191"/>
        <v>420</v>
      </c>
      <c r="R758">
        <f t="shared" si="192"/>
        <v>7</v>
      </c>
      <c r="S758" s="2">
        <v>45728</v>
      </c>
      <c r="U758">
        <v>2</v>
      </c>
      <c r="V758" s="4">
        <v>30000</v>
      </c>
      <c r="W758" t="s">
        <v>65</v>
      </c>
      <c r="X758">
        <v>200748640001</v>
      </c>
      <c r="Y758">
        <v>0</v>
      </c>
      <c r="Z758" s="4">
        <v>30000</v>
      </c>
      <c r="AA758">
        <v>0</v>
      </c>
      <c r="AB758">
        <v>0</v>
      </c>
      <c r="AC758">
        <v>0</v>
      </c>
      <c r="AD758">
        <v>0</v>
      </c>
      <c r="AG758">
        <v>0</v>
      </c>
      <c r="AP758">
        <v>20074864</v>
      </c>
      <c r="AQ758" t="s">
        <v>182</v>
      </c>
      <c r="AR758" t="s">
        <v>6643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BC758" t="s">
        <v>69</v>
      </c>
      <c r="BD758" t="s">
        <v>3007</v>
      </c>
      <c r="BE758">
        <v>0</v>
      </c>
      <c r="BG758" t="s">
        <v>182</v>
      </c>
      <c r="BJ758" t="s">
        <v>3008</v>
      </c>
    </row>
    <row r="759" spans="1:62" x14ac:dyDescent="0.35">
      <c r="A759" t="s">
        <v>3009</v>
      </c>
      <c r="B759">
        <v>10000</v>
      </c>
      <c r="C759">
        <v>10000</v>
      </c>
      <c r="D759" s="2">
        <v>45729</v>
      </c>
      <c r="E759" t="s">
        <v>61</v>
      </c>
      <c r="F759" t="s">
        <v>2906</v>
      </c>
      <c r="G759" t="s">
        <v>699</v>
      </c>
      <c r="I759">
        <v>1</v>
      </c>
      <c r="J759" t="s">
        <v>63</v>
      </c>
      <c r="K759" s="8">
        <v>82</v>
      </c>
      <c r="L759" s="8" t="s">
        <v>6598</v>
      </c>
      <c r="M759" s="8" t="s">
        <v>6630</v>
      </c>
      <c r="N759" t="s">
        <v>341</v>
      </c>
      <c r="O759" t="s">
        <v>6346</v>
      </c>
      <c r="P759">
        <v>434</v>
      </c>
      <c r="S759" s="2">
        <v>45728</v>
      </c>
      <c r="U759">
        <v>30</v>
      </c>
      <c r="V759" s="4">
        <v>13020</v>
      </c>
      <c r="W759" t="s">
        <v>65</v>
      </c>
      <c r="X759">
        <v>150570120001</v>
      </c>
      <c r="Y759">
        <v>0</v>
      </c>
      <c r="Z759" s="4">
        <v>13000</v>
      </c>
      <c r="AA759">
        <v>20</v>
      </c>
      <c r="AB759">
        <v>0</v>
      </c>
      <c r="AC759">
        <v>0</v>
      </c>
      <c r="AD759">
        <v>0</v>
      </c>
      <c r="AG759">
        <v>0</v>
      </c>
      <c r="AP759">
        <v>15057012</v>
      </c>
      <c r="AQ759" t="s">
        <v>182</v>
      </c>
      <c r="AR759" t="s">
        <v>6643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BC759" t="s">
        <v>69</v>
      </c>
      <c r="BD759" t="s">
        <v>3010</v>
      </c>
      <c r="BE759">
        <v>0</v>
      </c>
      <c r="BG759" t="s">
        <v>182</v>
      </c>
      <c r="BJ759" t="s">
        <v>3011</v>
      </c>
    </row>
    <row r="760" spans="1:62" x14ac:dyDescent="0.35">
      <c r="A760" t="s">
        <v>3012</v>
      </c>
      <c r="B760">
        <v>10000</v>
      </c>
      <c r="C760">
        <v>10000</v>
      </c>
      <c r="D760" s="2">
        <v>45729</v>
      </c>
      <c r="E760" t="s">
        <v>61</v>
      </c>
      <c r="F760" s="3">
        <v>0.44581018518518517</v>
      </c>
      <c r="G760" t="s">
        <v>3013</v>
      </c>
      <c r="I760">
        <v>1</v>
      </c>
      <c r="J760" t="s">
        <v>63</v>
      </c>
      <c r="K760" s="8">
        <v>31</v>
      </c>
      <c r="L760" s="8" t="s">
        <v>6595</v>
      </c>
      <c r="M760" s="8" t="s">
        <v>6629</v>
      </c>
      <c r="N760" t="s">
        <v>1311</v>
      </c>
      <c r="O760" t="s">
        <v>6491</v>
      </c>
      <c r="P760" s="4">
        <v>39870</v>
      </c>
      <c r="Q760">
        <f t="shared" ref="Q760:Q762" si="193">(P760/40)+45</f>
        <v>1041.75</v>
      </c>
      <c r="R760">
        <f t="shared" ref="R760:R762" si="194">Q760/60</f>
        <v>17.362500000000001</v>
      </c>
      <c r="S760" s="2">
        <v>45728</v>
      </c>
      <c r="U760">
        <v>1</v>
      </c>
      <c r="V760" s="4">
        <v>39870</v>
      </c>
      <c r="W760" t="s">
        <v>65</v>
      </c>
      <c r="X760">
        <v>111818390001</v>
      </c>
      <c r="Y760">
        <v>0</v>
      </c>
      <c r="Z760" s="4">
        <v>39870</v>
      </c>
      <c r="AA760">
        <v>0</v>
      </c>
      <c r="AB760">
        <v>0</v>
      </c>
      <c r="AC760">
        <v>0</v>
      </c>
      <c r="AD760">
        <v>0</v>
      </c>
      <c r="AG760">
        <v>0</v>
      </c>
      <c r="AP760">
        <v>11181839</v>
      </c>
      <c r="AQ760" t="s">
        <v>182</v>
      </c>
      <c r="AR760" t="s">
        <v>6643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BC760" t="s">
        <v>69</v>
      </c>
      <c r="BD760" t="s">
        <v>3014</v>
      </c>
      <c r="BE760">
        <v>0</v>
      </c>
      <c r="BG760" t="s">
        <v>182</v>
      </c>
      <c r="BJ760" t="s">
        <v>3015</v>
      </c>
    </row>
    <row r="761" spans="1:62" x14ac:dyDescent="0.35">
      <c r="A761" t="s">
        <v>3012</v>
      </c>
      <c r="B761">
        <v>20000</v>
      </c>
      <c r="C761">
        <v>10000</v>
      </c>
      <c r="D761" s="2">
        <v>45729</v>
      </c>
      <c r="E761" t="s">
        <v>61</v>
      </c>
      <c r="F761" s="3">
        <v>0.44581018518518517</v>
      </c>
      <c r="G761" t="s">
        <v>3013</v>
      </c>
      <c r="I761">
        <v>1</v>
      </c>
      <c r="J761" t="s">
        <v>63</v>
      </c>
      <c r="K761" s="8">
        <v>31</v>
      </c>
      <c r="L761" s="8" t="s">
        <v>6595</v>
      </c>
      <c r="M761" s="8" t="s">
        <v>6629</v>
      </c>
      <c r="N761" t="s">
        <v>1311</v>
      </c>
      <c r="O761" t="s">
        <v>6491</v>
      </c>
      <c r="P761" s="4">
        <v>39870</v>
      </c>
      <c r="Q761">
        <f t="shared" si="193"/>
        <v>1041.75</v>
      </c>
      <c r="R761">
        <f t="shared" si="194"/>
        <v>17.362500000000001</v>
      </c>
      <c r="S761" s="2">
        <v>45728</v>
      </c>
      <c r="U761">
        <v>1</v>
      </c>
      <c r="V761" s="4">
        <v>39870</v>
      </c>
      <c r="W761" t="s">
        <v>65</v>
      </c>
      <c r="X761">
        <v>111818390001</v>
      </c>
      <c r="Y761">
        <v>0</v>
      </c>
      <c r="Z761" s="4">
        <v>39870</v>
      </c>
      <c r="AA761">
        <v>0</v>
      </c>
      <c r="AB761">
        <v>0</v>
      </c>
      <c r="AC761">
        <v>0</v>
      </c>
      <c r="AD761">
        <v>0</v>
      </c>
      <c r="AG761">
        <v>0</v>
      </c>
      <c r="AP761">
        <v>11181839</v>
      </c>
      <c r="AQ761" t="s">
        <v>182</v>
      </c>
      <c r="AR761" t="s">
        <v>6643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BC761" t="s">
        <v>69</v>
      </c>
      <c r="BD761" t="s">
        <v>3014</v>
      </c>
      <c r="BE761">
        <v>0</v>
      </c>
      <c r="BG761" t="s">
        <v>182</v>
      </c>
      <c r="BJ761" t="s">
        <v>3015</v>
      </c>
    </row>
    <row r="762" spans="1:62" x14ac:dyDescent="0.35">
      <c r="A762" t="s">
        <v>3012</v>
      </c>
      <c r="B762">
        <v>30000</v>
      </c>
      <c r="C762">
        <v>10000</v>
      </c>
      <c r="D762" s="2">
        <v>45729</v>
      </c>
      <c r="E762" t="s">
        <v>61</v>
      </c>
      <c r="F762" s="3">
        <v>0.44581018518518517</v>
      </c>
      <c r="G762" t="s">
        <v>3013</v>
      </c>
      <c r="I762">
        <v>1</v>
      </c>
      <c r="J762" t="s">
        <v>63</v>
      </c>
      <c r="K762" s="8">
        <v>31</v>
      </c>
      <c r="L762" s="8" t="s">
        <v>6595</v>
      </c>
      <c r="M762" s="8" t="s">
        <v>6629</v>
      </c>
      <c r="N762" t="s">
        <v>1311</v>
      </c>
      <c r="O762" t="s">
        <v>6491</v>
      </c>
      <c r="P762" s="4">
        <v>39870</v>
      </c>
      <c r="Q762">
        <f t="shared" si="193"/>
        <v>1041.75</v>
      </c>
      <c r="R762">
        <f t="shared" si="194"/>
        <v>17.362500000000001</v>
      </c>
      <c r="S762" s="2">
        <v>45728</v>
      </c>
      <c r="U762">
        <v>1</v>
      </c>
      <c r="V762" s="4">
        <v>39870</v>
      </c>
      <c r="W762" t="s">
        <v>65</v>
      </c>
      <c r="X762">
        <v>111818390001</v>
      </c>
      <c r="Y762">
        <v>0</v>
      </c>
      <c r="Z762" s="4">
        <v>39870</v>
      </c>
      <c r="AA762">
        <v>0</v>
      </c>
      <c r="AB762">
        <v>0</v>
      </c>
      <c r="AC762">
        <v>0</v>
      </c>
      <c r="AD762">
        <v>0</v>
      </c>
      <c r="AG762">
        <v>0</v>
      </c>
      <c r="AP762">
        <v>11181839</v>
      </c>
      <c r="AQ762" t="s">
        <v>182</v>
      </c>
      <c r="AR762" t="s">
        <v>6643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BC762" t="s">
        <v>69</v>
      </c>
      <c r="BD762" t="s">
        <v>3014</v>
      </c>
      <c r="BE762">
        <v>0</v>
      </c>
      <c r="BG762" t="s">
        <v>182</v>
      </c>
      <c r="BJ762" t="s">
        <v>3015</v>
      </c>
    </row>
    <row r="763" spans="1:62" x14ac:dyDescent="0.35">
      <c r="A763" t="s">
        <v>2737</v>
      </c>
      <c r="B763">
        <v>10000</v>
      </c>
      <c r="C763">
        <v>20000</v>
      </c>
      <c r="D763" s="2">
        <v>45728</v>
      </c>
      <c r="E763" t="s">
        <v>61</v>
      </c>
      <c r="F763" t="s">
        <v>2738</v>
      </c>
      <c r="G763">
        <v>860909190840</v>
      </c>
      <c r="I763">
        <v>2</v>
      </c>
      <c r="J763" t="s">
        <v>63</v>
      </c>
      <c r="K763" s="8">
        <v>86</v>
      </c>
      <c r="L763" s="8" t="s">
        <v>6584</v>
      </c>
      <c r="M763" s="8" t="s">
        <v>6627</v>
      </c>
      <c r="N763" t="s">
        <v>64</v>
      </c>
      <c r="O763" t="s">
        <v>6559</v>
      </c>
      <c r="P763">
        <v>250</v>
      </c>
      <c r="Q763">
        <f t="shared" ref="Q763:Q764" si="195">(P763/60)+45</f>
        <v>49.166666666666664</v>
      </c>
      <c r="R763">
        <f t="shared" ref="R763:R764" si="196">Q763/60</f>
        <v>0.81944444444444442</v>
      </c>
      <c r="S763" s="2">
        <v>45728</v>
      </c>
      <c r="U763">
        <v>14</v>
      </c>
      <c r="V763" s="4">
        <v>3500</v>
      </c>
      <c r="W763" t="s">
        <v>65</v>
      </c>
      <c r="X763">
        <v>200909620001</v>
      </c>
      <c r="Y763">
        <v>0</v>
      </c>
      <c r="Z763" s="4">
        <v>2000</v>
      </c>
      <c r="AA763" s="4">
        <v>1500</v>
      </c>
      <c r="AB763">
        <v>0</v>
      </c>
      <c r="AC763">
        <v>0</v>
      </c>
      <c r="AD763">
        <v>0</v>
      </c>
      <c r="AG763">
        <v>0</v>
      </c>
      <c r="AP763">
        <v>20090962</v>
      </c>
      <c r="AQ763" t="s">
        <v>182</v>
      </c>
      <c r="AR763" t="s">
        <v>6643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BC763" t="s">
        <v>69</v>
      </c>
      <c r="BD763" t="s">
        <v>2739</v>
      </c>
      <c r="BE763">
        <v>0</v>
      </c>
      <c r="BG763" t="s">
        <v>182</v>
      </c>
      <c r="BJ763" t="s">
        <v>2740</v>
      </c>
    </row>
    <row r="764" spans="1:62" x14ac:dyDescent="0.35">
      <c r="A764" t="s">
        <v>2741</v>
      </c>
      <c r="B764">
        <v>10000</v>
      </c>
      <c r="C764">
        <v>20000</v>
      </c>
      <c r="D764" s="2">
        <v>45728</v>
      </c>
      <c r="E764" t="s">
        <v>61</v>
      </c>
      <c r="F764" t="s">
        <v>2742</v>
      </c>
      <c r="G764">
        <v>860909190840</v>
      </c>
      <c r="I764">
        <v>2</v>
      </c>
      <c r="J764" t="s">
        <v>63</v>
      </c>
      <c r="K764" s="8">
        <v>86</v>
      </c>
      <c r="L764" s="8" t="s">
        <v>6584</v>
      </c>
      <c r="M764" s="8" t="s">
        <v>6627</v>
      </c>
      <c r="N764" t="s">
        <v>64</v>
      </c>
      <c r="O764" t="s">
        <v>6559</v>
      </c>
      <c r="P764">
        <v>642</v>
      </c>
      <c r="Q764">
        <f t="shared" si="195"/>
        <v>55.7</v>
      </c>
      <c r="R764">
        <f t="shared" si="196"/>
        <v>0.92833333333333334</v>
      </c>
      <c r="S764" s="2">
        <v>45728</v>
      </c>
      <c r="U764">
        <v>14</v>
      </c>
      <c r="V764" s="4">
        <v>8988</v>
      </c>
      <c r="W764" t="s">
        <v>65</v>
      </c>
      <c r="X764">
        <v>200909620001</v>
      </c>
      <c r="Y764">
        <v>0</v>
      </c>
      <c r="Z764" s="4">
        <v>9000</v>
      </c>
      <c r="AA764">
        <v>-12</v>
      </c>
      <c r="AB764">
        <v>0</v>
      </c>
      <c r="AC764">
        <v>0</v>
      </c>
      <c r="AD764">
        <v>0</v>
      </c>
      <c r="AG764">
        <v>0</v>
      </c>
      <c r="AP764">
        <v>20090962</v>
      </c>
      <c r="AQ764" t="s">
        <v>182</v>
      </c>
      <c r="AR764" t="s">
        <v>6643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BC764" t="s">
        <v>69</v>
      </c>
      <c r="BD764" t="s">
        <v>2743</v>
      </c>
      <c r="BE764">
        <v>0</v>
      </c>
      <c r="BG764" t="s">
        <v>182</v>
      </c>
      <c r="BJ764" t="s">
        <v>2744</v>
      </c>
    </row>
    <row r="765" spans="1:62" x14ac:dyDescent="0.35">
      <c r="A765" t="s">
        <v>3016</v>
      </c>
      <c r="B765">
        <v>10000</v>
      </c>
      <c r="C765">
        <v>10000</v>
      </c>
      <c r="D765" s="2">
        <v>45729</v>
      </c>
      <c r="E765" t="s">
        <v>61</v>
      </c>
      <c r="F765" t="s">
        <v>3017</v>
      </c>
      <c r="G765" t="s">
        <v>1264</v>
      </c>
      <c r="I765">
        <v>1</v>
      </c>
      <c r="J765" t="s">
        <v>63</v>
      </c>
      <c r="K765" s="8">
        <v>60</v>
      </c>
      <c r="L765" s="8" t="s">
        <v>6590</v>
      </c>
      <c r="M765" s="8" t="s">
        <v>6630</v>
      </c>
      <c r="N765" t="s">
        <v>277</v>
      </c>
      <c r="O765" t="s">
        <v>6554</v>
      </c>
      <c r="P765">
        <v>100</v>
      </c>
      <c r="Q765">
        <f>(P765/50)+45</f>
        <v>47</v>
      </c>
      <c r="R765">
        <f>Q765/60</f>
        <v>0.78333333333333333</v>
      </c>
      <c r="S765" s="2">
        <v>45728</v>
      </c>
      <c r="U765">
        <v>1</v>
      </c>
      <c r="V765">
        <v>100</v>
      </c>
      <c r="W765" t="s">
        <v>65</v>
      </c>
      <c r="X765" t="s">
        <v>3018</v>
      </c>
      <c r="Y765">
        <v>0</v>
      </c>
      <c r="Z765">
        <v>100</v>
      </c>
      <c r="AA765">
        <v>0</v>
      </c>
      <c r="AB765">
        <v>0</v>
      </c>
      <c r="AC765">
        <v>0</v>
      </c>
      <c r="AD765">
        <v>0</v>
      </c>
      <c r="AG765">
        <v>0</v>
      </c>
      <c r="AP765" t="s">
        <v>3019</v>
      </c>
      <c r="AQ765" t="s">
        <v>2976</v>
      </c>
      <c r="AR765" t="s">
        <v>6711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BC765" t="s">
        <v>69</v>
      </c>
      <c r="BD765" t="s">
        <v>3020</v>
      </c>
      <c r="BE765">
        <v>0</v>
      </c>
      <c r="BG765" t="s">
        <v>2976</v>
      </c>
      <c r="BJ765" t="s">
        <v>3021</v>
      </c>
    </row>
    <row r="766" spans="1:62" x14ac:dyDescent="0.35">
      <c r="A766" t="s">
        <v>2745</v>
      </c>
      <c r="B766">
        <v>10000</v>
      </c>
      <c r="C766">
        <v>20000</v>
      </c>
      <c r="D766" s="2">
        <v>45728</v>
      </c>
      <c r="E766" t="s">
        <v>61</v>
      </c>
      <c r="F766" t="s">
        <v>2746</v>
      </c>
      <c r="G766">
        <v>860909190840</v>
      </c>
      <c r="I766">
        <v>2</v>
      </c>
      <c r="J766" t="s">
        <v>63</v>
      </c>
      <c r="K766" s="8">
        <v>86</v>
      </c>
      <c r="L766" s="8" t="s">
        <v>6584</v>
      </c>
      <c r="M766" s="8" t="s">
        <v>6627</v>
      </c>
      <c r="N766" t="s">
        <v>64</v>
      </c>
      <c r="O766" t="s">
        <v>6559</v>
      </c>
      <c r="P766">
        <v>500</v>
      </c>
      <c r="Q766">
        <f t="shared" ref="Q766:Q767" si="197">(P766/60)+45</f>
        <v>53.333333333333336</v>
      </c>
      <c r="R766">
        <f t="shared" ref="R766:R767" si="198">Q766/60</f>
        <v>0.88888888888888895</v>
      </c>
      <c r="S766" s="2">
        <v>45728</v>
      </c>
      <c r="U766">
        <v>14</v>
      </c>
      <c r="V766" s="4">
        <v>7000</v>
      </c>
      <c r="W766" t="s">
        <v>65</v>
      </c>
      <c r="X766">
        <v>200717170001</v>
      </c>
      <c r="Y766">
        <v>0</v>
      </c>
      <c r="Z766" s="4">
        <v>7000</v>
      </c>
      <c r="AA766">
        <v>0</v>
      </c>
      <c r="AB766">
        <v>0</v>
      </c>
      <c r="AC766">
        <v>0</v>
      </c>
      <c r="AD766">
        <v>0</v>
      </c>
      <c r="AG766">
        <v>0</v>
      </c>
      <c r="AP766">
        <v>20071717</v>
      </c>
      <c r="AQ766" t="s">
        <v>182</v>
      </c>
      <c r="AR766" t="s">
        <v>6643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BC766" t="s">
        <v>69</v>
      </c>
      <c r="BD766" t="s">
        <v>2747</v>
      </c>
      <c r="BE766">
        <v>0</v>
      </c>
      <c r="BG766" t="s">
        <v>182</v>
      </c>
      <c r="BJ766" t="s">
        <v>2748</v>
      </c>
    </row>
    <row r="767" spans="1:62" x14ac:dyDescent="0.35">
      <c r="A767" t="s">
        <v>2749</v>
      </c>
      <c r="B767">
        <v>10000</v>
      </c>
      <c r="C767">
        <v>20000</v>
      </c>
      <c r="D767" s="2">
        <v>45728</v>
      </c>
      <c r="E767" t="s">
        <v>61</v>
      </c>
      <c r="F767" t="s">
        <v>2750</v>
      </c>
      <c r="G767">
        <v>860909190840</v>
      </c>
      <c r="I767">
        <v>2</v>
      </c>
      <c r="J767" t="s">
        <v>63</v>
      </c>
      <c r="K767" s="8">
        <v>86</v>
      </c>
      <c r="L767" s="8" t="s">
        <v>6584</v>
      </c>
      <c r="M767" s="8" t="s">
        <v>6627</v>
      </c>
      <c r="N767" t="s">
        <v>64</v>
      </c>
      <c r="O767" t="s">
        <v>6559</v>
      </c>
      <c r="P767" s="4">
        <v>1112</v>
      </c>
      <c r="Q767">
        <f t="shared" si="197"/>
        <v>63.533333333333331</v>
      </c>
      <c r="R767">
        <f t="shared" si="198"/>
        <v>1.0588888888888888</v>
      </c>
      <c r="S767" s="2">
        <v>45728</v>
      </c>
      <c r="U767">
        <v>9</v>
      </c>
      <c r="V767" s="4">
        <v>10008</v>
      </c>
      <c r="W767" t="s">
        <v>65</v>
      </c>
      <c r="X767">
        <v>200717150001</v>
      </c>
      <c r="Y767">
        <v>0</v>
      </c>
      <c r="Z767" s="4">
        <v>14000</v>
      </c>
      <c r="AA767" s="4">
        <v>-3992</v>
      </c>
      <c r="AB767">
        <v>0</v>
      </c>
      <c r="AC767">
        <v>0</v>
      </c>
      <c r="AD767">
        <v>0</v>
      </c>
      <c r="AG767">
        <v>0</v>
      </c>
      <c r="AP767">
        <v>20071715</v>
      </c>
      <c r="AQ767" t="s">
        <v>182</v>
      </c>
      <c r="AR767" t="s">
        <v>6643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BC767" t="s">
        <v>69</v>
      </c>
      <c r="BD767" t="s">
        <v>2751</v>
      </c>
      <c r="BE767">
        <v>0</v>
      </c>
      <c r="BG767" t="s">
        <v>182</v>
      </c>
      <c r="BJ767" t="s">
        <v>2752</v>
      </c>
    </row>
    <row r="768" spans="1:62" x14ac:dyDescent="0.35">
      <c r="A768" t="s">
        <v>3022</v>
      </c>
      <c r="B768">
        <v>10000</v>
      </c>
      <c r="C768">
        <v>10000</v>
      </c>
      <c r="D768" s="2">
        <v>45730</v>
      </c>
      <c r="E768" t="s">
        <v>61</v>
      </c>
      <c r="F768" t="s">
        <v>3023</v>
      </c>
      <c r="G768" t="s">
        <v>3024</v>
      </c>
      <c r="I768">
        <v>1</v>
      </c>
      <c r="J768" t="s">
        <v>63</v>
      </c>
      <c r="K768" s="8">
        <v>88</v>
      </c>
      <c r="L768" s="8" t="s">
        <v>6610</v>
      </c>
      <c r="M768" s="8" t="s">
        <v>6631</v>
      </c>
      <c r="N768" t="s">
        <v>630</v>
      </c>
      <c r="O768" t="s">
        <v>6571</v>
      </c>
      <c r="P768">
        <v>650</v>
      </c>
      <c r="S768" s="2">
        <v>45728</v>
      </c>
      <c r="U768">
        <v>2</v>
      </c>
      <c r="V768" s="4">
        <v>1300</v>
      </c>
      <c r="W768" t="s">
        <v>65</v>
      </c>
      <c r="X768">
        <v>107343410001</v>
      </c>
      <c r="Y768">
        <v>0</v>
      </c>
      <c r="Z768">
        <v>700</v>
      </c>
      <c r="AA768">
        <v>600</v>
      </c>
      <c r="AB768">
        <v>0</v>
      </c>
      <c r="AC768">
        <v>0</v>
      </c>
      <c r="AD768">
        <v>0</v>
      </c>
      <c r="AG768">
        <v>0</v>
      </c>
      <c r="AP768">
        <v>10734341</v>
      </c>
      <c r="AQ768" t="s">
        <v>487</v>
      </c>
      <c r="AR768" t="s">
        <v>6656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BC768" t="s">
        <v>69</v>
      </c>
      <c r="BD768" t="s">
        <v>3025</v>
      </c>
      <c r="BE768">
        <v>0</v>
      </c>
      <c r="BG768" t="s">
        <v>487</v>
      </c>
      <c r="BJ768" t="s">
        <v>3026</v>
      </c>
    </row>
    <row r="769" spans="1:62" x14ac:dyDescent="0.35">
      <c r="A769" t="s">
        <v>3022</v>
      </c>
      <c r="B769">
        <v>20000</v>
      </c>
      <c r="C769">
        <v>10000</v>
      </c>
      <c r="D769" s="2">
        <v>45730</v>
      </c>
      <c r="E769" t="s">
        <v>61</v>
      </c>
      <c r="F769" t="s">
        <v>3023</v>
      </c>
      <c r="G769" t="s">
        <v>3024</v>
      </c>
      <c r="I769">
        <v>1</v>
      </c>
      <c r="J769" t="s">
        <v>63</v>
      </c>
      <c r="K769" s="8">
        <v>88</v>
      </c>
      <c r="L769" s="8" t="s">
        <v>6610</v>
      </c>
      <c r="M769" s="8" t="s">
        <v>6631</v>
      </c>
      <c r="N769" t="s">
        <v>630</v>
      </c>
      <c r="O769" t="s">
        <v>6571</v>
      </c>
      <c r="P769">
        <v>350</v>
      </c>
      <c r="S769" s="2">
        <v>45728</v>
      </c>
      <c r="U769">
        <v>2</v>
      </c>
      <c r="V769">
        <v>700</v>
      </c>
      <c r="W769" t="s">
        <v>65</v>
      </c>
      <c r="X769">
        <v>107343410001</v>
      </c>
      <c r="Y769">
        <v>0</v>
      </c>
      <c r="Z769">
        <v>700</v>
      </c>
      <c r="AA769">
        <v>0</v>
      </c>
      <c r="AB769">
        <v>0</v>
      </c>
      <c r="AC769">
        <v>0</v>
      </c>
      <c r="AD769">
        <v>0</v>
      </c>
      <c r="AG769">
        <v>0</v>
      </c>
      <c r="AP769">
        <v>10734341</v>
      </c>
      <c r="AQ769" t="s">
        <v>487</v>
      </c>
      <c r="AR769" t="s">
        <v>6656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BC769" t="s">
        <v>69</v>
      </c>
      <c r="BD769" t="s">
        <v>3025</v>
      </c>
      <c r="BE769">
        <v>0</v>
      </c>
      <c r="BG769" t="s">
        <v>487</v>
      </c>
      <c r="BJ769" t="s">
        <v>3026</v>
      </c>
    </row>
    <row r="770" spans="1:62" x14ac:dyDescent="0.35">
      <c r="A770" t="s">
        <v>3027</v>
      </c>
      <c r="B770">
        <v>10000</v>
      </c>
      <c r="C770">
        <v>10000</v>
      </c>
      <c r="D770" s="2">
        <v>45729</v>
      </c>
      <c r="E770" t="s">
        <v>61</v>
      </c>
      <c r="F770" t="s">
        <v>3028</v>
      </c>
      <c r="G770" t="s">
        <v>3029</v>
      </c>
      <c r="I770">
        <v>1</v>
      </c>
      <c r="J770" t="s">
        <v>63</v>
      </c>
      <c r="K770" s="8">
        <v>86</v>
      </c>
      <c r="L770" s="8" t="s">
        <v>6584</v>
      </c>
      <c r="M770" s="8" t="s">
        <v>6627</v>
      </c>
      <c r="N770" t="s">
        <v>64</v>
      </c>
      <c r="O770" t="s">
        <v>6559</v>
      </c>
      <c r="P770" s="4">
        <v>27500</v>
      </c>
      <c r="Q770">
        <f>(P770/60)+45</f>
        <v>503.33333333333331</v>
      </c>
      <c r="R770">
        <f>Q770/60</f>
        <v>8.3888888888888893</v>
      </c>
      <c r="S770" s="2">
        <v>45728</v>
      </c>
      <c r="U770">
        <v>2</v>
      </c>
      <c r="V770" s="4">
        <v>55000</v>
      </c>
      <c r="W770" t="s">
        <v>65</v>
      </c>
      <c r="X770" t="s">
        <v>3030</v>
      </c>
      <c r="Y770">
        <v>0</v>
      </c>
      <c r="Z770" s="4">
        <v>55000</v>
      </c>
      <c r="AA770">
        <v>0</v>
      </c>
      <c r="AB770">
        <v>0</v>
      </c>
      <c r="AC770">
        <v>0</v>
      </c>
      <c r="AD770">
        <v>0</v>
      </c>
      <c r="AG770">
        <v>0</v>
      </c>
      <c r="AP770" t="s">
        <v>3031</v>
      </c>
      <c r="AQ770" t="s">
        <v>1855</v>
      </c>
      <c r="AR770" t="s">
        <v>6689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BC770" t="s">
        <v>69</v>
      </c>
      <c r="BD770" t="s">
        <v>3032</v>
      </c>
      <c r="BE770">
        <v>0</v>
      </c>
      <c r="BG770" t="s">
        <v>1855</v>
      </c>
      <c r="BJ770" t="s">
        <v>3033</v>
      </c>
    </row>
    <row r="771" spans="1:62" x14ac:dyDescent="0.35">
      <c r="A771" t="s">
        <v>3034</v>
      </c>
      <c r="B771">
        <v>10000</v>
      </c>
      <c r="C771">
        <v>10000</v>
      </c>
      <c r="D771" s="2">
        <v>45730</v>
      </c>
      <c r="E771" t="s">
        <v>61</v>
      </c>
      <c r="F771" s="3">
        <v>0.53435185185185186</v>
      </c>
      <c r="G771" t="s">
        <v>899</v>
      </c>
      <c r="I771">
        <v>1</v>
      </c>
      <c r="J771" t="s">
        <v>63</v>
      </c>
      <c r="K771" s="8">
        <v>93</v>
      </c>
      <c r="L771" s="8" t="s">
        <v>6611</v>
      </c>
      <c r="M771" s="8" t="s">
        <v>6631</v>
      </c>
      <c r="N771" t="s">
        <v>573</v>
      </c>
      <c r="O771" t="s">
        <v>6547</v>
      </c>
      <c r="P771">
        <v>439</v>
      </c>
      <c r="Q771">
        <f>(P771/20)+30</f>
        <v>51.95</v>
      </c>
      <c r="R771">
        <f>Q771/60</f>
        <v>0.86583333333333334</v>
      </c>
      <c r="S771" s="2">
        <v>45728</v>
      </c>
      <c r="U771">
        <v>342</v>
      </c>
      <c r="V771" s="4">
        <v>150138</v>
      </c>
      <c r="W771" t="s">
        <v>65</v>
      </c>
      <c r="X771" t="s">
        <v>901</v>
      </c>
      <c r="Y771">
        <v>0</v>
      </c>
      <c r="Z771" s="4">
        <v>120000</v>
      </c>
      <c r="AA771" s="4">
        <v>30138</v>
      </c>
      <c r="AB771">
        <v>0</v>
      </c>
      <c r="AC771">
        <v>0</v>
      </c>
      <c r="AD771">
        <v>0</v>
      </c>
      <c r="AG771">
        <v>0</v>
      </c>
      <c r="AP771" t="s">
        <v>902</v>
      </c>
      <c r="AQ771" t="s">
        <v>903</v>
      </c>
      <c r="AR771" t="s">
        <v>6666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BC771" t="s">
        <v>69</v>
      </c>
      <c r="BD771" t="s">
        <v>3035</v>
      </c>
      <c r="BE771">
        <v>0</v>
      </c>
      <c r="BG771" t="s">
        <v>903</v>
      </c>
      <c r="BJ771" t="s">
        <v>3036</v>
      </c>
    </row>
    <row r="772" spans="1:62" x14ac:dyDescent="0.35">
      <c r="A772" t="s">
        <v>3037</v>
      </c>
      <c r="B772">
        <v>10000</v>
      </c>
      <c r="C772">
        <v>10000</v>
      </c>
      <c r="D772" s="2">
        <v>45728</v>
      </c>
      <c r="E772" t="s">
        <v>61</v>
      </c>
      <c r="F772" t="s">
        <v>2824</v>
      </c>
      <c r="G772" t="s">
        <v>3038</v>
      </c>
      <c r="I772">
        <v>1</v>
      </c>
      <c r="J772" t="s">
        <v>63</v>
      </c>
      <c r="K772" s="8">
        <v>61</v>
      </c>
      <c r="L772" s="8" t="s">
        <v>6594</v>
      </c>
      <c r="M772" s="8" t="s">
        <v>6629</v>
      </c>
      <c r="N772" t="s">
        <v>216</v>
      </c>
      <c r="O772" t="s">
        <v>6394</v>
      </c>
      <c r="P772">
        <v>3</v>
      </c>
      <c r="Q772">
        <f>(P772/50)+45</f>
        <v>45.06</v>
      </c>
      <c r="R772">
        <f>Q772/60</f>
        <v>0.751</v>
      </c>
      <c r="S772" s="2">
        <v>45728</v>
      </c>
      <c r="U772">
        <v>10</v>
      </c>
      <c r="V772">
        <v>30</v>
      </c>
      <c r="W772" t="s">
        <v>65</v>
      </c>
      <c r="X772" t="s">
        <v>3039</v>
      </c>
      <c r="Y772">
        <v>0</v>
      </c>
      <c r="Z772">
        <v>25</v>
      </c>
      <c r="AA772">
        <v>5</v>
      </c>
      <c r="AB772">
        <v>0</v>
      </c>
      <c r="AC772">
        <v>0</v>
      </c>
      <c r="AD772">
        <v>0</v>
      </c>
      <c r="AG772">
        <v>0</v>
      </c>
      <c r="AP772" t="s">
        <v>3040</v>
      </c>
      <c r="AQ772" t="s">
        <v>3041</v>
      </c>
      <c r="AR772" t="s">
        <v>6712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BC772" t="s">
        <v>69</v>
      </c>
      <c r="BD772" t="s">
        <v>3042</v>
      </c>
      <c r="BE772">
        <v>0</v>
      </c>
      <c r="BG772" t="s">
        <v>3041</v>
      </c>
      <c r="BJ772" t="s">
        <v>3043</v>
      </c>
    </row>
    <row r="773" spans="1:62" x14ac:dyDescent="0.35">
      <c r="A773" t="s">
        <v>3044</v>
      </c>
      <c r="B773">
        <v>10000</v>
      </c>
      <c r="C773">
        <v>10000</v>
      </c>
      <c r="D773" s="2">
        <v>45728</v>
      </c>
      <c r="E773" t="s">
        <v>61</v>
      </c>
      <c r="F773" s="3">
        <v>0.43989583333333332</v>
      </c>
      <c r="G773" t="s">
        <v>3045</v>
      </c>
      <c r="I773">
        <v>1</v>
      </c>
      <c r="J773" t="s">
        <v>63</v>
      </c>
      <c r="K773" s="8">
        <v>65</v>
      </c>
      <c r="L773" s="8" t="s">
        <v>6596</v>
      </c>
      <c r="M773" s="8" t="s">
        <v>6630</v>
      </c>
      <c r="N773" t="s">
        <v>268</v>
      </c>
      <c r="O773" t="s">
        <v>6543</v>
      </c>
      <c r="P773">
        <v>17</v>
      </c>
      <c r="Q773">
        <f>(P773/40)+45</f>
        <v>45.424999999999997</v>
      </c>
      <c r="R773">
        <f>Q773/60</f>
        <v>0.75708333333333333</v>
      </c>
      <c r="S773" s="2">
        <v>45728</v>
      </c>
      <c r="U773">
        <v>6</v>
      </c>
      <c r="V773">
        <v>102</v>
      </c>
      <c r="W773" t="s">
        <v>65</v>
      </c>
      <c r="X773" t="s">
        <v>3046</v>
      </c>
      <c r="Y773">
        <v>0</v>
      </c>
      <c r="Z773">
        <v>100</v>
      </c>
      <c r="AA773">
        <v>2</v>
      </c>
      <c r="AB773">
        <v>0</v>
      </c>
      <c r="AC773">
        <v>0</v>
      </c>
      <c r="AD773">
        <v>0</v>
      </c>
      <c r="AG773">
        <v>0</v>
      </c>
      <c r="AP773" t="s">
        <v>3047</v>
      </c>
      <c r="AQ773" t="s">
        <v>2976</v>
      </c>
      <c r="AR773" t="s">
        <v>6711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BC773" t="s">
        <v>69</v>
      </c>
      <c r="BD773" t="s">
        <v>3048</v>
      </c>
      <c r="BE773">
        <v>0</v>
      </c>
      <c r="BG773" t="s">
        <v>2976</v>
      </c>
      <c r="BJ773" t="s">
        <v>3049</v>
      </c>
    </row>
    <row r="774" spans="1:62" x14ac:dyDescent="0.35">
      <c r="A774" t="s">
        <v>3050</v>
      </c>
      <c r="B774">
        <v>10000</v>
      </c>
      <c r="C774">
        <v>10000</v>
      </c>
      <c r="D774" s="2">
        <v>45730</v>
      </c>
      <c r="E774" t="s">
        <v>61</v>
      </c>
      <c r="F774" t="s">
        <v>3051</v>
      </c>
      <c r="G774" t="s">
        <v>3052</v>
      </c>
      <c r="I774">
        <v>1</v>
      </c>
      <c r="J774" t="s">
        <v>63</v>
      </c>
      <c r="K774" s="8">
        <v>88</v>
      </c>
      <c r="L774" s="8" t="s">
        <v>6610</v>
      </c>
      <c r="M774" s="8" t="s">
        <v>6631</v>
      </c>
      <c r="N774" t="s">
        <v>630</v>
      </c>
      <c r="O774" t="s">
        <v>6571</v>
      </c>
      <c r="P774" s="4">
        <v>2500</v>
      </c>
      <c r="S774" s="2">
        <v>45728</v>
      </c>
      <c r="U774">
        <v>1</v>
      </c>
      <c r="V774" s="4">
        <v>2500</v>
      </c>
      <c r="W774" t="s">
        <v>65</v>
      </c>
      <c r="X774" t="s">
        <v>3053</v>
      </c>
      <c r="Y774">
        <v>0</v>
      </c>
      <c r="Z774" s="4">
        <v>2000</v>
      </c>
      <c r="AA774">
        <v>500</v>
      </c>
      <c r="AB774">
        <v>0</v>
      </c>
      <c r="AC774">
        <v>0</v>
      </c>
      <c r="AD774">
        <v>0</v>
      </c>
      <c r="AG774">
        <v>0</v>
      </c>
      <c r="AP774" t="s">
        <v>3054</v>
      </c>
      <c r="AQ774" t="s">
        <v>3055</v>
      </c>
      <c r="AR774" t="s">
        <v>6713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BC774" t="s">
        <v>69</v>
      </c>
      <c r="BD774" t="s">
        <v>3056</v>
      </c>
      <c r="BE774">
        <v>0</v>
      </c>
      <c r="BG774" t="s">
        <v>3055</v>
      </c>
      <c r="BJ774" t="s">
        <v>3057</v>
      </c>
    </row>
    <row r="775" spans="1:62" x14ac:dyDescent="0.35">
      <c r="A775" t="s">
        <v>3058</v>
      </c>
      <c r="B775">
        <v>10000</v>
      </c>
      <c r="C775">
        <v>10000</v>
      </c>
      <c r="D775" s="2">
        <v>45730</v>
      </c>
      <c r="E775" t="s">
        <v>61</v>
      </c>
      <c r="F775" t="s">
        <v>3059</v>
      </c>
      <c r="G775" t="s">
        <v>3052</v>
      </c>
      <c r="I775">
        <v>1</v>
      </c>
      <c r="J775" t="s">
        <v>63</v>
      </c>
      <c r="K775" s="8">
        <v>88</v>
      </c>
      <c r="L775" s="8" t="s">
        <v>6610</v>
      </c>
      <c r="M775" s="8" t="s">
        <v>6631</v>
      </c>
      <c r="N775" t="s">
        <v>630</v>
      </c>
      <c r="O775" t="s">
        <v>6571</v>
      </c>
      <c r="P775" s="4">
        <v>1500</v>
      </c>
      <c r="S775" s="2">
        <v>45728</v>
      </c>
      <c r="U775">
        <v>1</v>
      </c>
      <c r="V775" s="4">
        <v>1500</v>
      </c>
      <c r="W775" t="s">
        <v>65</v>
      </c>
      <c r="X775" t="s">
        <v>3060</v>
      </c>
      <c r="Y775">
        <v>0</v>
      </c>
      <c r="Z775" s="4">
        <v>1000</v>
      </c>
      <c r="AA775">
        <v>500</v>
      </c>
      <c r="AB775">
        <v>0</v>
      </c>
      <c r="AC775">
        <v>0</v>
      </c>
      <c r="AD775">
        <v>0</v>
      </c>
      <c r="AG775">
        <v>0</v>
      </c>
      <c r="AP775" t="s">
        <v>3061</v>
      </c>
      <c r="AQ775" t="s">
        <v>3055</v>
      </c>
      <c r="AR775" t="s">
        <v>6713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BC775" t="s">
        <v>69</v>
      </c>
      <c r="BD775" t="s">
        <v>3062</v>
      </c>
      <c r="BE775">
        <v>0</v>
      </c>
      <c r="BG775" t="s">
        <v>3055</v>
      </c>
      <c r="BJ775" t="s">
        <v>3057</v>
      </c>
    </row>
    <row r="776" spans="1:62" x14ac:dyDescent="0.35">
      <c r="A776" t="s">
        <v>3058</v>
      </c>
      <c r="B776">
        <v>10000</v>
      </c>
      <c r="C776">
        <v>20000</v>
      </c>
      <c r="D776" s="2">
        <v>45730</v>
      </c>
      <c r="E776" t="s">
        <v>61</v>
      </c>
      <c r="F776" t="s">
        <v>3059</v>
      </c>
      <c r="G776" t="s">
        <v>3052</v>
      </c>
      <c r="I776">
        <v>2</v>
      </c>
      <c r="J776" t="s">
        <v>63</v>
      </c>
      <c r="K776" s="8">
        <v>92</v>
      </c>
      <c r="L776" s="8" t="s">
        <v>6614</v>
      </c>
      <c r="M776" s="8" t="s">
        <v>6633</v>
      </c>
      <c r="N776" t="s">
        <v>424</v>
      </c>
      <c r="O776" t="s">
        <v>6570</v>
      </c>
      <c r="P776" s="4">
        <v>1400</v>
      </c>
      <c r="S776" s="2">
        <v>45728</v>
      </c>
      <c r="U776">
        <v>1</v>
      </c>
      <c r="V776" s="4">
        <v>1400</v>
      </c>
      <c r="W776" t="s">
        <v>65</v>
      </c>
      <c r="X776" t="s">
        <v>3060</v>
      </c>
      <c r="Y776">
        <v>0</v>
      </c>
      <c r="Z776" s="4">
        <v>1000</v>
      </c>
      <c r="AA776">
        <v>400</v>
      </c>
      <c r="AB776">
        <v>0</v>
      </c>
      <c r="AC776">
        <v>0</v>
      </c>
      <c r="AD776">
        <v>0</v>
      </c>
      <c r="AG776">
        <v>0</v>
      </c>
      <c r="AP776" t="s">
        <v>3061</v>
      </c>
      <c r="AQ776" t="s">
        <v>3055</v>
      </c>
      <c r="AR776" t="s">
        <v>6713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C776" t="s">
        <v>69</v>
      </c>
      <c r="BD776" t="s">
        <v>3062</v>
      </c>
      <c r="BE776">
        <v>0</v>
      </c>
      <c r="BG776" t="s">
        <v>3055</v>
      </c>
      <c r="BJ776" t="s">
        <v>3057</v>
      </c>
    </row>
    <row r="777" spans="1:62" x14ac:dyDescent="0.35">
      <c r="A777" t="s">
        <v>3063</v>
      </c>
      <c r="B777">
        <v>10000</v>
      </c>
      <c r="C777">
        <v>10000</v>
      </c>
      <c r="D777" s="2">
        <v>45729</v>
      </c>
      <c r="E777" t="s">
        <v>61</v>
      </c>
      <c r="F777" t="s">
        <v>3017</v>
      </c>
      <c r="G777" t="s">
        <v>3064</v>
      </c>
      <c r="I777">
        <v>1</v>
      </c>
      <c r="J777" t="s">
        <v>63</v>
      </c>
      <c r="K777" s="8">
        <v>60</v>
      </c>
      <c r="L777" s="8" t="s">
        <v>6590</v>
      </c>
      <c r="M777" s="8" t="s">
        <v>6630</v>
      </c>
      <c r="N777" t="s">
        <v>277</v>
      </c>
      <c r="O777" t="s">
        <v>6554</v>
      </c>
      <c r="P777">
        <v>100</v>
      </c>
      <c r="Q777">
        <f>(P777/50)+45</f>
        <v>47</v>
      </c>
      <c r="R777">
        <f>Q777/60</f>
        <v>0.78333333333333333</v>
      </c>
      <c r="S777" s="2">
        <v>45728</v>
      </c>
      <c r="U777">
        <v>1</v>
      </c>
      <c r="V777">
        <v>100</v>
      </c>
      <c r="W777" t="s">
        <v>65</v>
      </c>
      <c r="X777" t="s">
        <v>3065</v>
      </c>
      <c r="Y777">
        <v>0</v>
      </c>
      <c r="Z777">
        <v>100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3066</v>
      </c>
      <c r="AQ777" t="s">
        <v>2976</v>
      </c>
      <c r="AR777" t="s">
        <v>6711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BC777" t="s">
        <v>69</v>
      </c>
      <c r="BD777" t="s">
        <v>3067</v>
      </c>
      <c r="BE777">
        <v>0</v>
      </c>
      <c r="BG777" t="s">
        <v>2976</v>
      </c>
      <c r="BJ777" t="s">
        <v>3049</v>
      </c>
    </row>
    <row r="778" spans="1:62" x14ac:dyDescent="0.35">
      <c r="A778" t="s">
        <v>3068</v>
      </c>
      <c r="B778">
        <v>10000</v>
      </c>
      <c r="C778">
        <v>10000</v>
      </c>
      <c r="D778" s="2">
        <v>45728</v>
      </c>
      <c r="E778" t="s">
        <v>61</v>
      </c>
      <c r="F778" t="s">
        <v>2760</v>
      </c>
      <c r="G778" t="s">
        <v>1773</v>
      </c>
      <c r="I778">
        <v>1</v>
      </c>
      <c r="J778" t="s">
        <v>63</v>
      </c>
      <c r="K778" s="8">
        <v>32</v>
      </c>
      <c r="L778" s="8" t="s">
        <v>6607</v>
      </c>
      <c r="M778" s="8" t="s">
        <v>6629</v>
      </c>
      <c r="N778" t="s">
        <v>553</v>
      </c>
      <c r="O778" t="s">
        <v>6552</v>
      </c>
      <c r="P778" s="4">
        <v>5860</v>
      </c>
      <c r="S778" s="2">
        <v>45728</v>
      </c>
      <c r="U778">
        <v>1</v>
      </c>
      <c r="V778" s="4">
        <v>5860</v>
      </c>
      <c r="W778" t="s">
        <v>65</v>
      </c>
      <c r="X778" t="s">
        <v>2059</v>
      </c>
      <c r="Y778">
        <v>0</v>
      </c>
      <c r="Z778" s="4">
        <v>5360</v>
      </c>
      <c r="AA778">
        <v>500</v>
      </c>
      <c r="AB778">
        <v>0</v>
      </c>
      <c r="AC778">
        <v>0</v>
      </c>
      <c r="AD778">
        <v>0</v>
      </c>
      <c r="AG778">
        <v>0</v>
      </c>
      <c r="AP778" t="s">
        <v>2060</v>
      </c>
      <c r="AQ778" t="s">
        <v>116</v>
      </c>
      <c r="AR778" t="s">
        <v>6639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BC778" t="s">
        <v>69</v>
      </c>
      <c r="BD778" t="s">
        <v>3069</v>
      </c>
      <c r="BE778">
        <v>0</v>
      </c>
      <c r="BG778" t="s">
        <v>116</v>
      </c>
      <c r="BJ778" t="s">
        <v>2762</v>
      </c>
    </row>
    <row r="779" spans="1:62" x14ac:dyDescent="0.35">
      <c r="A779" t="s">
        <v>3070</v>
      </c>
      <c r="B779">
        <v>10000</v>
      </c>
      <c r="C779">
        <v>10000</v>
      </c>
      <c r="D779" s="2">
        <v>45728</v>
      </c>
      <c r="E779" t="s">
        <v>61</v>
      </c>
      <c r="F779" t="s">
        <v>2818</v>
      </c>
      <c r="G779" t="s">
        <v>3071</v>
      </c>
      <c r="I779">
        <v>1</v>
      </c>
      <c r="J779" t="s">
        <v>63</v>
      </c>
      <c r="K779" s="8">
        <v>61</v>
      </c>
      <c r="L779" s="8" t="s">
        <v>6594</v>
      </c>
      <c r="M779" s="8" t="s">
        <v>6629</v>
      </c>
      <c r="N779" t="s">
        <v>197</v>
      </c>
      <c r="O779" t="s">
        <v>6565</v>
      </c>
      <c r="P779" s="4">
        <v>6667</v>
      </c>
      <c r="Q779">
        <f>(P779/50)+45</f>
        <v>178.34</v>
      </c>
      <c r="R779">
        <f>Q779/60</f>
        <v>2.9723333333333333</v>
      </c>
      <c r="S779" s="2">
        <v>45728</v>
      </c>
      <c r="U779">
        <v>6</v>
      </c>
      <c r="V779" s="4">
        <v>40002</v>
      </c>
      <c r="W779" t="s">
        <v>65</v>
      </c>
      <c r="X779" t="s">
        <v>198</v>
      </c>
      <c r="Y779">
        <v>0</v>
      </c>
      <c r="Z779" s="4">
        <v>40000</v>
      </c>
      <c r="AA779">
        <v>2</v>
      </c>
      <c r="AB779">
        <v>0</v>
      </c>
      <c r="AC779">
        <v>0</v>
      </c>
      <c r="AD779">
        <v>0</v>
      </c>
      <c r="AG779">
        <v>0</v>
      </c>
      <c r="AP779" t="s">
        <v>199</v>
      </c>
      <c r="AQ779" t="s">
        <v>116</v>
      </c>
      <c r="AR779" t="s">
        <v>6639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BC779" t="s">
        <v>69</v>
      </c>
      <c r="BD779" t="s">
        <v>3072</v>
      </c>
      <c r="BE779">
        <v>0</v>
      </c>
      <c r="BG779" t="s">
        <v>116</v>
      </c>
      <c r="BJ779" t="s">
        <v>3073</v>
      </c>
    </row>
    <row r="780" spans="1:62" x14ac:dyDescent="0.35">
      <c r="A780" t="s">
        <v>3074</v>
      </c>
      <c r="B780">
        <v>10000</v>
      </c>
      <c r="C780">
        <v>10000</v>
      </c>
      <c r="D780" s="2">
        <v>45735</v>
      </c>
      <c r="E780" t="s">
        <v>61</v>
      </c>
      <c r="F780" t="s">
        <v>3075</v>
      </c>
      <c r="G780">
        <v>10639931032</v>
      </c>
      <c r="I780">
        <v>1</v>
      </c>
      <c r="J780" t="s">
        <v>63</v>
      </c>
      <c r="K780" s="8">
        <v>93</v>
      </c>
      <c r="L780" s="8" t="s">
        <v>6611</v>
      </c>
      <c r="M780" s="8" t="s">
        <v>6631</v>
      </c>
      <c r="N780" t="s">
        <v>573</v>
      </c>
      <c r="O780" t="s">
        <v>6547</v>
      </c>
      <c r="P780">
        <v>107</v>
      </c>
      <c r="Q780">
        <f t="shared" ref="Q780:Q782" si="199">(P780/20)+30</f>
        <v>35.35</v>
      </c>
      <c r="R780">
        <f t="shared" ref="R780:R782" si="200">Q780/60</f>
        <v>0.58916666666666673</v>
      </c>
      <c r="S780" s="2">
        <v>45728</v>
      </c>
      <c r="U780">
        <v>75</v>
      </c>
      <c r="V780" s="4">
        <v>8025</v>
      </c>
      <c r="W780" t="s">
        <v>65</v>
      </c>
      <c r="X780" t="s">
        <v>3076</v>
      </c>
      <c r="Y780">
        <v>0</v>
      </c>
      <c r="Z780" s="4">
        <v>5000</v>
      </c>
      <c r="AA780" s="4">
        <v>3025</v>
      </c>
      <c r="AB780">
        <v>0</v>
      </c>
      <c r="AC780">
        <v>0</v>
      </c>
      <c r="AD780">
        <v>0</v>
      </c>
      <c r="AG780">
        <v>0</v>
      </c>
      <c r="AP780" t="s">
        <v>3077</v>
      </c>
      <c r="AQ780" t="s">
        <v>68</v>
      </c>
      <c r="AR780" t="s">
        <v>6636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BC780" t="s">
        <v>69</v>
      </c>
      <c r="BD780" t="s">
        <v>3078</v>
      </c>
      <c r="BE780">
        <v>0</v>
      </c>
      <c r="BG780" t="s">
        <v>68</v>
      </c>
      <c r="BJ780" t="s">
        <v>3079</v>
      </c>
    </row>
    <row r="781" spans="1:62" x14ac:dyDescent="0.35">
      <c r="A781" t="s">
        <v>3080</v>
      </c>
      <c r="B781">
        <v>10000</v>
      </c>
      <c r="C781">
        <v>10000</v>
      </c>
      <c r="D781" s="2">
        <v>45735</v>
      </c>
      <c r="E781" t="s">
        <v>61</v>
      </c>
      <c r="F781" t="s">
        <v>3081</v>
      </c>
      <c r="G781">
        <v>10639931032</v>
      </c>
      <c r="I781">
        <v>1</v>
      </c>
      <c r="J781" t="s">
        <v>63</v>
      </c>
      <c r="K781" s="8">
        <v>79</v>
      </c>
      <c r="L781" s="8" t="s">
        <v>6608</v>
      </c>
      <c r="M781" s="8" t="s">
        <v>6631</v>
      </c>
      <c r="N781" t="s">
        <v>573</v>
      </c>
      <c r="O781" t="s">
        <v>6547</v>
      </c>
      <c r="P781">
        <v>107</v>
      </c>
      <c r="Q781">
        <f t="shared" si="199"/>
        <v>35.35</v>
      </c>
      <c r="R781">
        <f t="shared" si="200"/>
        <v>0.58916666666666673</v>
      </c>
      <c r="S781" s="2">
        <v>45728</v>
      </c>
      <c r="U781">
        <v>75</v>
      </c>
      <c r="V781" s="4">
        <v>8025</v>
      </c>
      <c r="W781" t="s">
        <v>65</v>
      </c>
      <c r="X781" t="s">
        <v>3082</v>
      </c>
      <c r="Y781">
        <v>0</v>
      </c>
      <c r="Z781" s="4">
        <v>5000</v>
      </c>
      <c r="AA781" s="4">
        <v>3025</v>
      </c>
      <c r="AB781">
        <v>0</v>
      </c>
      <c r="AC781">
        <v>0</v>
      </c>
      <c r="AD781">
        <v>0</v>
      </c>
      <c r="AG781">
        <v>0</v>
      </c>
      <c r="AP781" t="s">
        <v>3083</v>
      </c>
      <c r="AQ781" t="s">
        <v>68</v>
      </c>
      <c r="AR781" t="s">
        <v>6636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BC781" t="s">
        <v>69</v>
      </c>
      <c r="BD781" t="s">
        <v>3084</v>
      </c>
      <c r="BE781">
        <v>0</v>
      </c>
      <c r="BG781" t="s">
        <v>68</v>
      </c>
      <c r="BJ781" t="s">
        <v>3085</v>
      </c>
    </row>
    <row r="782" spans="1:62" x14ac:dyDescent="0.35">
      <c r="A782" t="s">
        <v>3086</v>
      </c>
      <c r="B782">
        <v>10000</v>
      </c>
      <c r="C782">
        <v>10000</v>
      </c>
      <c r="D782" s="2">
        <v>45735</v>
      </c>
      <c r="E782" t="s">
        <v>61</v>
      </c>
      <c r="F782" t="s">
        <v>3087</v>
      </c>
      <c r="G782">
        <v>10639931032</v>
      </c>
      <c r="I782">
        <v>1</v>
      </c>
      <c r="J782" t="s">
        <v>63</v>
      </c>
      <c r="K782" s="8">
        <v>93</v>
      </c>
      <c r="L782" s="8" t="s">
        <v>6611</v>
      </c>
      <c r="M782" s="8" t="s">
        <v>6631</v>
      </c>
      <c r="N782" t="s">
        <v>573</v>
      </c>
      <c r="O782" t="s">
        <v>6547</v>
      </c>
      <c r="P782">
        <v>50</v>
      </c>
      <c r="Q782">
        <f t="shared" si="199"/>
        <v>32.5</v>
      </c>
      <c r="R782">
        <f t="shared" si="200"/>
        <v>0.54166666666666663</v>
      </c>
      <c r="S782" s="2">
        <v>45728</v>
      </c>
      <c r="U782">
        <v>42</v>
      </c>
      <c r="V782" s="4">
        <v>2100</v>
      </c>
      <c r="W782" t="s">
        <v>65</v>
      </c>
      <c r="X782" t="s">
        <v>3088</v>
      </c>
      <c r="Y782">
        <v>0</v>
      </c>
      <c r="Z782" s="4">
        <v>1000</v>
      </c>
      <c r="AA782" s="4">
        <v>1100</v>
      </c>
      <c r="AB782">
        <v>0</v>
      </c>
      <c r="AC782">
        <v>0</v>
      </c>
      <c r="AD782">
        <v>0</v>
      </c>
      <c r="AG782">
        <v>0</v>
      </c>
      <c r="AP782" t="s">
        <v>3089</v>
      </c>
      <c r="AQ782" t="s">
        <v>68</v>
      </c>
      <c r="AR782" t="s">
        <v>6636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BC782" t="s">
        <v>69</v>
      </c>
      <c r="BD782" t="s">
        <v>3090</v>
      </c>
      <c r="BE782">
        <v>0</v>
      </c>
      <c r="BG782" t="s">
        <v>68</v>
      </c>
      <c r="BJ782" t="s">
        <v>3091</v>
      </c>
    </row>
    <row r="783" spans="1:62" x14ac:dyDescent="0.35">
      <c r="A783" t="s">
        <v>3093</v>
      </c>
      <c r="B783">
        <v>10000</v>
      </c>
      <c r="C783">
        <v>10000</v>
      </c>
      <c r="D783" s="2">
        <v>45754</v>
      </c>
      <c r="E783" t="s">
        <v>61</v>
      </c>
      <c r="F783" t="s">
        <v>3094</v>
      </c>
      <c r="G783" t="s">
        <v>1725</v>
      </c>
      <c r="H783" t="s">
        <v>3095</v>
      </c>
      <c r="I783">
        <v>1</v>
      </c>
      <c r="J783" t="s">
        <v>69</v>
      </c>
      <c r="K783" s="8">
        <v>72</v>
      </c>
      <c r="L783" s="8" t="s">
        <v>6606</v>
      </c>
      <c r="M783" s="8" t="s">
        <v>6631</v>
      </c>
      <c r="N783" t="s">
        <v>163</v>
      </c>
      <c r="O783" t="s">
        <v>6548</v>
      </c>
      <c r="P783" s="4">
        <v>1000</v>
      </c>
      <c r="S783" s="2">
        <v>45729</v>
      </c>
      <c r="U783">
        <v>3</v>
      </c>
      <c r="V783" s="4">
        <v>3000</v>
      </c>
      <c r="W783" t="s">
        <v>65</v>
      </c>
      <c r="X783" t="s">
        <v>3096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G783">
        <v>0</v>
      </c>
      <c r="AK783" t="s">
        <v>69</v>
      </c>
      <c r="AL783">
        <v>0</v>
      </c>
      <c r="AM783" t="s">
        <v>69</v>
      </c>
      <c r="AP783" t="s">
        <v>3097</v>
      </c>
      <c r="AQ783" t="s">
        <v>116</v>
      </c>
      <c r="AR783" t="s">
        <v>6639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BC783" t="s">
        <v>69</v>
      </c>
      <c r="BG783" t="s">
        <v>116</v>
      </c>
      <c r="BJ783" t="s">
        <v>3098</v>
      </c>
    </row>
    <row r="784" spans="1:62" x14ac:dyDescent="0.35">
      <c r="A784" t="s">
        <v>3099</v>
      </c>
      <c r="B784">
        <v>10000</v>
      </c>
      <c r="C784">
        <v>10000</v>
      </c>
      <c r="D784" s="2">
        <v>45754</v>
      </c>
      <c r="E784" t="s">
        <v>61</v>
      </c>
      <c r="F784" t="s">
        <v>3100</v>
      </c>
      <c r="G784" t="s">
        <v>1725</v>
      </c>
      <c r="H784" t="s">
        <v>3095</v>
      </c>
      <c r="I784">
        <v>1</v>
      </c>
      <c r="J784" t="s">
        <v>69</v>
      </c>
      <c r="K784" s="8">
        <v>72</v>
      </c>
      <c r="L784" s="8" t="s">
        <v>6606</v>
      </c>
      <c r="M784" s="8" t="s">
        <v>6631</v>
      </c>
      <c r="N784" t="s">
        <v>163</v>
      </c>
      <c r="O784" t="s">
        <v>6548</v>
      </c>
      <c r="P784" s="4">
        <v>1500</v>
      </c>
      <c r="S784" s="2">
        <v>45729</v>
      </c>
      <c r="U784">
        <v>3</v>
      </c>
      <c r="V784" s="4">
        <v>4500</v>
      </c>
      <c r="W784" t="s">
        <v>65</v>
      </c>
      <c r="X784" t="s">
        <v>3096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G784">
        <v>0</v>
      </c>
      <c r="AK784" t="s">
        <v>69</v>
      </c>
      <c r="AL784">
        <v>0</v>
      </c>
      <c r="AM784" t="s">
        <v>69</v>
      </c>
      <c r="AP784" t="s">
        <v>3097</v>
      </c>
      <c r="AQ784" t="s">
        <v>116</v>
      </c>
      <c r="AR784" t="s">
        <v>6639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BC784" t="s">
        <v>69</v>
      </c>
      <c r="BG784" t="s">
        <v>116</v>
      </c>
      <c r="BJ784" t="s">
        <v>3101</v>
      </c>
    </row>
    <row r="785" spans="1:62" x14ac:dyDescent="0.35">
      <c r="A785" t="s">
        <v>3102</v>
      </c>
      <c r="B785">
        <v>10000</v>
      </c>
      <c r="C785">
        <v>50000</v>
      </c>
      <c r="D785" s="2">
        <v>45733</v>
      </c>
      <c r="E785" t="s">
        <v>61</v>
      </c>
      <c r="F785" t="s">
        <v>1180</v>
      </c>
      <c r="G785" t="s">
        <v>3103</v>
      </c>
      <c r="I785">
        <v>2</v>
      </c>
      <c r="J785" t="s">
        <v>63</v>
      </c>
      <c r="K785" s="8">
        <v>77</v>
      </c>
      <c r="L785" s="8" t="s">
        <v>6584</v>
      </c>
      <c r="M785" s="8" t="s">
        <v>6627</v>
      </c>
      <c r="N785" t="s">
        <v>127</v>
      </c>
      <c r="O785" t="s">
        <v>6567</v>
      </c>
      <c r="P785" s="4">
        <v>14862</v>
      </c>
      <c r="Q785">
        <f>(P785/60)+45</f>
        <v>292.7</v>
      </c>
      <c r="R785">
        <f>Q785/60</f>
        <v>4.878333333333333</v>
      </c>
      <c r="S785" s="2">
        <v>45729</v>
      </c>
      <c r="U785">
        <v>36</v>
      </c>
      <c r="V785" s="4">
        <v>535032</v>
      </c>
      <c r="W785" t="s">
        <v>65</v>
      </c>
      <c r="X785" t="s">
        <v>66</v>
      </c>
      <c r="Y785">
        <v>0</v>
      </c>
      <c r="Z785" s="4">
        <v>500000</v>
      </c>
      <c r="AA785" s="4">
        <v>35032</v>
      </c>
      <c r="AB785">
        <v>0</v>
      </c>
      <c r="AC785">
        <v>0</v>
      </c>
      <c r="AD785">
        <v>0</v>
      </c>
      <c r="AG785">
        <v>0</v>
      </c>
      <c r="AP785" t="s">
        <v>67</v>
      </c>
      <c r="AQ785" t="s">
        <v>68</v>
      </c>
      <c r="AR785" t="s">
        <v>6636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BC785" t="s">
        <v>69</v>
      </c>
      <c r="BD785" t="s">
        <v>3104</v>
      </c>
      <c r="BE785">
        <v>0</v>
      </c>
      <c r="BG785" t="s">
        <v>68</v>
      </c>
      <c r="BJ785" t="s">
        <v>3105</v>
      </c>
    </row>
    <row r="786" spans="1:62" x14ac:dyDescent="0.35">
      <c r="A786" t="s">
        <v>72</v>
      </c>
      <c r="B786">
        <v>10000</v>
      </c>
      <c r="C786">
        <v>50000</v>
      </c>
      <c r="D786" s="2">
        <v>45729</v>
      </c>
      <c r="E786" t="s">
        <v>61</v>
      </c>
      <c r="F786" t="s">
        <v>2805</v>
      </c>
      <c r="G786" t="s">
        <v>74</v>
      </c>
      <c r="I786">
        <v>3</v>
      </c>
      <c r="J786" t="s">
        <v>63</v>
      </c>
      <c r="K786" s="8">
        <v>91</v>
      </c>
      <c r="L786" s="8" t="s">
        <v>6585</v>
      </c>
      <c r="M786" s="8" t="s">
        <v>6628</v>
      </c>
      <c r="N786" t="s">
        <v>104</v>
      </c>
      <c r="O786" t="s">
        <v>6579</v>
      </c>
      <c r="P786" s="4">
        <v>44000</v>
      </c>
      <c r="S786" s="2">
        <v>45729</v>
      </c>
      <c r="U786">
        <v>9</v>
      </c>
      <c r="V786" s="4">
        <v>396000</v>
      </c>
      <c r="W786" t="s">
        <v>65</v>
      </c>
      <c r="X786" t="s">
        <v>76</v>
      </c>
      <c r="Y786">
        <v>0</v>
      </c>
      <c r="Z786" s="4">
        <v>392857</v>
      </c>
      <c r="AA786" s="4">
        <v>3143</v>
      </c>
      <c r="AB786">
        <v>0</v>
      </c>
      <c r="AC786">
        <v>0</v>
      </c>
      <c r="AD786">
        <v>0</v>
      </c>
      <c r="AG786">
        <v>0</v>
      </c>
      <c r="AP786" t="s">
        <v>77</v>
      </c>
      <c r="AQ786" t="s">
        <v>68</v>
      </c>
      <c r="AR786" t="s">
        <v>6636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BC786" t="s">
        <v>69</v>
      </c>
      <c r="BD786" t="s">
        <v>78</v>
      </c>
      <c r="BE786">
        <v>0</v>
      </c>
      <c r="BG786" t="s">
        <v>68</v>
      </c>
      <c r="BJ786" t="s">
        <v>79</v>
      </c>
    </row>
    <row r="787" spans="1:62" x14ac:dyDescent="0.35">
      <c r="A787" t="s">
        <v>725</v>
      </c>
      <c r="B787">
        <v>10000</v>
      </c>
      <c r="C787">
        <v>50000</v>
      </c>
      <c r="D787" s="2">
        <v>45730</v>
      </c>
      <c r="E787" t="s">
        <v>61</v>
      </c>
      <c r="F787" t="s">
        <v>726</v>
      </c>
      <c r="G787" t="s">
        <v>727</v>
      </c>
      <c r="I787">
        <v>3</v>
      </c>
      <c r="J787" t="s">
        <v>63</v>
      </c>
      <c r="K787" s="8">
        <v>91</v>
      </c>
      <c r="L787" s="8" t="s">
        <v>6585</v>
      </c>
      <c r="M787" s="8" t="s">
        <v>6628</v>
      </c>
      <c r="N787" t="s">
        <v>75</v>
      </c>
      <c r="O787" t="s">
        <v>6581</v>
      </c>
      <c r="P787" s="4">
        <v>7000</v>
      </c>
      <c r="S787" s="2">
        <v>45729</v>
      </c>
      <c r="U787">
        <v>9</v>
      </c>
      <c r="V787" s="4">
        <v>63000</v>
      </c>
      <c r="W787" t="s">
        <v>65</v>
      </c>
      <c r="X787" t="s">
        <v>728</v>
      </c>
      <c r="Y787">
        <v>0</v>
      </c>
      <c r="Z787" s="4">
        <v>59322</v>
      </c>
      <c r="AA787" s="4">
        <v>3678</v>
      </c>
      <c r="AB787">
        <v>0</v>
      </c>
      <c r="AC787">
        <v>0</v>
      </c>
      <c r="AD787">
        <v>0</v>
      </c>
      <c r="AG787">
        <v>0</v>
      </c>
      <c r="AP787" t="s">
        <v>729</v>
      </c>
      <c r="AQ787" t="s">
        <v>68</v>
      </c>
      <c r="AR787" t="s">
        <v>6636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C787" t="s">
        <v>69</v>
      </c>
      <c r="BD787" t="s">
        <v>730</v>
      </c>
      <c r="BE787">
        <v>0</v>
      </c>
      <c r="BG787" t="s">
        <v>68</v>
      </c>
      <c r="BJ787" t="s">
        <v>731</v>
      </c>
    </row>
    <row r="788" spans="1:62" x14ac:dyDescent="0.35">
      <c r="A788" t="s">
        <v>80</v>
      </c>
      <c r="B788">
        <v>10000</v>
      </c>
      <c r="C788">
        <v>50000</v>
      </c>
      <c r="D788" s="2">
        <v>45730</v>
      </c>
      <c r="E788" t="s">
        <v>61</v>
      </c>
      <c r="F788" t="s">
        <v>81</v>
      </c>
      <c r="G788" t="s">
        <v>82</v>
      </c>
      <c r="I788">
        <v>3</v>
      </c>
      <c r="J788" t="s">
        <v>63</v>
      </c>
      <c r="K788" s="8">
        <v>91</v>
      </c>
      <c r="L788" s="8" t="s">
        <v>6585</v>
      </c>
      <c r="M788" s="8" t="s">
        <v>6628</v>
      </c>
      <c r="N788" t="s">
        <v>104</v>
      </c>
      <c r="O788" t="s">
        <v>6579</v>
      </c>
      <c r="P788" s="4">
        <v>12000</v>
      </c>
      <c r="S788" s="2">
        <v>45729</v>
      </c>
      <c r="U788">
        <v>9</v>
      </c>
      <c r="V788" s="4">
        <v>108000</v>
      </c>
      <c r="W788" t="s">
        <v>65</v>
      </c>
      <c r="X788" t="s">
        <v>83</v>
      </c>
      <c r="Y788">
        <v>0</v>
      </c>
      <c r="Z788" s="4">
        <v>107143</v>
      </c>
      <c r="AA788">
        <v>857</v>
      </c>
      <c r="AB788">
        <v>0</v>
      </c>
      <c r="AC788">
        <v>0</v>
      </c>
      <c r="AD788">
        <v>0</v>
      </c>
      <c r="AG788">
        <v>0</v>
      </c>
      <c r="AP788" t="s">
        <v>84</v>
      </c>
      <c r="AQ788" t="s">
        <v>68</v>
      </c>
      <c r="AR788" t="s">
        <v>6636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BC788" t="s">
        <v>69</v>
      </c>
      <c r="BD788" t="s">
        <v>85</v>
      </c>
      <c r="BE788">
        <v>0</v>
      </c>
      <c r="BG788" t="s">
        <v>68</v>
      </c>
      <c r="BJ788" t="s">
        <v>86</v>
      </c>
    </row>
    <row r="789" spans="1:62" x14ac:dyDescent="0.35">
      <c r="A789" t="s">
        <v>3106</v>
      </c>
      <c r="B789">
        <v>10000</v>
      </c>
      <c r="C789">
        <v>20000</v>
      </c>
      <c r="D789" s="2">
        <v>45729</v>
      </c>
      <c r="E789" t="s">
        <v>61</v>
      </c>
      <c r="F789" t="s">
        <v>3107</v>
      </c>
      <c r="G789" t="s">
        <v>3108</v>
      </c>
      <c r="I789">
        <v>1</v>
      </c>
      <c r="J789" t="s">
        <v>63</v>
      </c>
      <c r="K789" s="8">
        <v>65</v>
      </c>
      <c r="L789" s="8" t="s">
        <v>6596</v>
      </c>
      <c r="M789" s="8" t="s">
        <v>6630</v>
      </c>
      <c r="N789" t="s">
        <v>268</v>
      </c>
      <c r="O789" t="s">
        <v>6543</v>
      </c>
      <c r="P789" s="4">
        <v>6750</v>
      </c>
      <c r="Q789">
        <f>(P789/40)+45</f>
        <v>213.75</v>
      </c>
      <c r="R789">
        <f>Q789/60</f>
        <v>3.5625</v>
      </c>
      <c r="S789" s="2">
        <v>45729</v>
      </c>
      <c r="U789">
        <v>12</v>
      </c>
      <c r="V789" s="4">
        <v>81000</v>
      </c>
      <c r="W789" t="s">
        <v>65</v>
      </c>
      <c r="X789" t="s">
        <v>269</v>
      </c>
      <c r="Y789">
        <v>0</v>
      </c>
      <c r="Z789" s="4">
        <v>81000</v>
      </c>
      <c r="AA789">
        <v>0</v>
      </c>
      <c r="AB789">
        <v>0</v>
      </c>
      <c r="AC789">
        <v>0</v>
      </c>
      <c r="AD789">
        <v>0</v>
      </c>
      <c r="AG789">
        <v>0</v>
      </c>
      <c r="AP789" t="s">
        <v>270</v>
      </c>
      <c r="AQ789" t="s">
        <v>271</v>
      </c>
      <c r="AR789" t="s">
        <v>6648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BC789" t="s">
        <v>69</v>
      </c>
      <c r="BD789" t="s">
        <v>3109</v>
      </c>
      <c r="BE789">
        <v>0</v>
      </c>
      <c r="BG789" t="s">
        <v>271</v>
      </c>
      <c r="BJ789" t="s">
        <v>3110</v>
      </c>
    </row>
    <row r="790" spans="1:62" x14ac:dyDescent="0.35">
      <c r="A790" t="s">
        <v>2545</v>
      </c>
      <c r="B790">
        <v>10000</v>
      </c>
      <c r="C790">
        <v>30000</v>
      </c>
      <c r="D790" s="2">
        <v>45729</v>
      </c>
      <c r="E790" t="s">
        <v>61</v>
      </c>
      <c r="F790" t="s">
        <v>2806</v>
      </c>
      <c r="G790" t="s">
        <v>2546</v>
      </c>
      <c r="I790">
        <v>2</v>
      </c>
      <c r="J790" t="s">
        <v>63</v>
      </c>
      <c r="K790" s="8">
        <v>60</v>
      </c>
      <c r="L790" s="8" t="s">
        <v>6590</v>
      </c>
      <c r="M790" s="8" t="s">
        <v>6630</v>
      </c>
      <c r="N790" t="s">
        <v>277</v>
      </c>
      <c r="O790" t="s">
        <v>6554</v>
      </c>
      <c r="P790" s="4">
        <v>2000</v>
      </c>
      <c r="Q790">
        <f>(P790/50)+45</f>
        <v>85</v>
      </c>
      <c r="R790">
        <f>Q790/60</f>
        <v>1.4166666666666667</v>
      </c>
      <c r="S790" s="2">
        <v>45729</v>
      </c>
      <c r="U790">
        <v>1</v>
      </c>
      <c r="V790" s="4">
        <v>2000</v>
      </c>
      <c r="W790" t="s">
        <v>65</v>
      </c>
      <c r="X790" t="s">
        <v>2547</v>
      </c>
      <c r="Y790">
        <v>0</v>
      </c>
      <c r="Z790" s="4">
        <v>2000</v>
      </c>
      <c r="AA790">
        <v>0</v>
      </c>
      <c r="AB790">
        <v>0</v>
      </c>
      <c r="AC790">
        <v>0</v>
      </c>
      <c r="AD790">
        <v>0</v>
      </c>
      <c r="AG790">
        <v>0</v>
      </c>
      <c r="AP790" t="s">
        <v>2548</v>
      </c>
      <c r="AQ790" t="s">
        <v>2549</v>
      </c>
      <c r="AR790" t="s">
        <v>6704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BC790" t="s">
        <v>69</v>
      </c>
      <c r="BD790" t="s">
        <v>2550</v>
      </c>
      <c r="BE790">
        <v>0</v>
      </c>
      <c r="BG790" t="s">
        <v>2549</v>
      </c>
      <c r="BJ790" t="s">
        <v>2551</v>
      </c>
    </row>
    <row r="791" spans="1:62" x14ac:dyDescent="0.35">
      <c r="A791" t="s">
        <v>2552</v>
      </c>
      <c r="B791">
        <v>10000</v>
      </c>
      <c r="C791">
        <v>20000</v>
      </c>
      <c r="D791" s="2">
        <v>45730</v>
      </c>
      <c r="E791" t="s">
        <v>61</v>
      </c>
      <c r="F791" t="s">
        <v>2553</v>
      </c>
      <c r="G791" t="s">
        <v>89</v>
      </c>
      <c r="I791">
        <v>1</v>
      </c>
      <c r="J791" t="s">
        <v>63</v>
      </c>
      <c r="K791" s="8">
        <v>73</v>
      </c>
      <c r="L791" s="8" t="s">
        <v>6586</v>
      </c>
      <c r="M791" s="8" t="s">
        <v>6627</v>
      </c>
      <c r="N791" t="s">
        <v>90</v>
      </c>
      <c r="O791" t="s">
        <v>6564</v>
      </c>
      <c r="P791" s="4">
        <v>3000</v>
      </c>
      <c r="Q791">
        <f t="shared" ref="Q791:Q792" si="201">(P791/60)+45</f>
        <v>95</v>
      </c>
      <c r="R791">
        <f t="shared" ref="R791:R792" si="202">Q791/60</f>
        <v>1.5833333333333333</v>
      </c>
      <c r="S791" s="2">
        <v>45729</v>
      </c>
      <c r="U791">
        <v>12</v>
      </c>
      <c r="V791" s="4">
        <v>36000</v>
      </c>
      <c r="W791" t="s">
        <v>65</v>
      </c>
      <c r="X791">
        <v>80256230001</v>
      </c>
      <c r="Y791">
        <v>0</v>
      </c>
      <c r="Z791" s="4">
        <v>36000</v>
      </c>
      <c r="AA791">
        <v>0</v>
      </c>
      <c r="AB791">
        <v>0</v>
      </c>
      <c r="AC791">
        <v>0</v>
      </c>
      <c r="AD791">
        <v>0</v>
      </c>
      <c r="AG791">
        <v>0</v>
      </c>
      <c r="AP791">
        <v>8025623</v>
      </c>
      <c r="AQ791" t="s">
        <v>91</v>
      </c>
      <c r="AR791" t="s">
        <v>6637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BC791" t="s">
        <v>69</v>
      </c>
      <c r="BD791" t="s">
        <v>2554</v>
      </c>
      <c r="BE791">
        <v>0</v>
      </c>
      <c r="BG791" t="s">
        <v>91</v>
      </c>
      <c r="BJ791" t="s">
        <v>2555</v>
      </c>
    </row>
    <row r="792" spans="1:62" x14ac:dyDescent="0.35">
      <c r="A792" t="s">
        <v>3111</v>
      </c>
      <c r="B792">
        <v>10000</v>
      </c>
      <c r="C792">
        <v>10000</v>
      </c>
      <c r="D792" s="2">
        <v>45730</v>
      </c>
      <c r="E792" t="s">
        <v>61</v>
      </c>
      <c r="F792" t="s">
        <v>3112</v>
      </c>
      <c r="G792" t="s">
        <v>89</v>
      </c>
      <c r="I792">
        <v>1</v>
      </c>
      <c r="J792" t="s">
        <v>63</v>
      </c>
      <c r="K792" s="8">
        <v>73</v>
      </c>
      <c r="L792" s="8" t="s">
        <v>6586</v>
      </c>
      <c r="M792" s="8" t="s">
        <v>6627</v>
      </c>
      <c r="N792" t="s">
        <v>90</v>
      </c>
      <c r="O792" t="s">
        <v>6564</v>
      </c>
      <c r="P792" s="4">
        <v>30000</v>
      </c>
      <c r="Q792">
        <f t="shared" si="201"/>
        <v>545</v>
      </c>
      <c r="R792">
        <f t="shared" si="202"/>
        <v>9.0833333333333339</v>
      </c>
      <c r="S792" s="2">
        <v>45729</v>
      </c>
      <c r="U792">
        <v>12</v>
      </c>
      <c r="V792" s="4">
        <v>360000</v>
      </c>
      <c r="W792" t="s">
        <v>65</v>
      </c>
      <c r="X792">
        <v>80256230001</v>
      </c>
      <c r="Y792">
        <v>0</v>
      </c>
      <c r="Z792" s="4">
        <v>360000</v>
      </c>
      <c r="AA792">
        <v>0</v>
      </c>
      <c r="AB792">
        <v>0</v>
      </c>
      <c r="AC792">
        <v>0</v>
      </c>
      <c r="AD792">
        <v>0</v>
      </c>
      <c r="AG792">
        <v>0</v>
      </c>
      <c r="AP792">
        <v>8025623</v>
      </c>
      <c r="AQ792" t="s">
        <v>91</v>
      </c>
      <c r="AR792" t="s">
        <v>6637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BC792" t="s">
        <v>69</v>
      </c>
      <c r="BD792" t="s">
        <v>3113</v>
      </c>
      <c r="BE792">
        <v>0</v>
      </c>
      <c r="BG792" t="s">
        <v>91</v>
      </c>
      <c r="BJ792" t="s">
        <v>3114</v>
      </c>
    </row>
    <row r="793" spans="1:62" x14ac:dyDescent="0.35">
      <c r="A793" t="s">
        <v>3111</v>
      </c>
      <c r="B793">
        <v>10000</v>
      </c>
      <c r="C793">
        <v>20000</v>
      </c>
      <c r="D793" s="2">
        <v>45730</v>
      </c>
      <c r="E793" t="s">
        <v>61</v>
      </c>
      <c r="F793" t="s">
        <v>3112</v>
      </c>
      <c r="G793" t="s">
        <v>89</v>
      </c>
      <c r="I793">
        <v>1</v>
      </c>
      <c r="J793" t="s">
        <v>63</v>
      </c>
      <c r="K793" s="8">
        <v>73</v>
      </c>
      <c r="L793" t="s">
        <v>6586</v>
      </c>
      <c r="M793" s="8" t="s">
        <v>6627</v>
      </c>
      <c r="N793" t="s">
        <v>98</v>
      </c>
      <c r="O793" t="s">
        <v>6549</v>
      </c>
      <c r="P793" s="4">
        <v>30000</v>
      </c>
      <c r="S793" s="2">
        <v>45729</v>
      </c>
      <c r="U793">
        <v>12</v>
      </c>
      <c r="V793" s="4">
        <v>360000</v>
      </c>
      <c r="W793" t="s">
        <v>65</v>
      </c>
      <c r="X793">
        <v>80256230001</v>
      </c>
      <c r="Y793">
        <v>0</v>
      </c>
      <c r="Z793" s="4">
        <v>360000</v>
      </c>
      <c r="AA793">
        <v>0</v>
      </c>
      <c r="AB793">
        <v>0</v>
      </c>
      <c r="AC793">
        <v>0</v>
      </c>
      <c r="AD793">
        <v>0</v>
      </c>
      <c r="AG793">
        <v>0</v>
      </c>
      <c r="AP793">
        <v>8025623</v>
      </c>
      <c r="AQ793" t="s">
        <v>91</v>
      </c>
      <c r="AR793" t="s">
        <v>6637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BC793" t="s">
        <v>69</v>
      </c>
      <c r="BD793" t="s">
        <v>3113</v>
      </c>
      <c r="BE793">
        <v>0</v>
      </c>
      <c r="BG793" t="s">
        <v>91</v>
      </c>
      <c r="BJ793" t="s">
        <v>3114</v>
      </c>
    </row>
    <row r="794" spans="1:62" x14ac:dyDescent="0.35">
      <c r="A794" t="s">
        <v>3115</v>
      </c>
      <c r="B794">
        <v>10000</v>
      </c>
      <c r="C794">
        <v>10000</v>
      </c>
      <c r="D794" s="2">
        <v>45730</v>
      </c>
      <c r="E794" t="s">
        <v>61</v>
      </c>
      <c r="F794" t="s">
        <v>3116</v>
      </c>
      <c r="G794" t="s">
        <v>3117</v>
      </c>
      <c r="I794">
        <v>1</v>
      </c>
      <c r="J794" t="s">
        <v>63</v>
      </c>
      <c r="K794" s="8">
        <v>86</v>
      </c>
      <c r="L794" s="8" t="s">
        <v>6584</v>
      </c>
      <c r="M794" s="8" t="s">
        <v>6627</v>
      </c>
      <c r="N794" t="s">
        <v>64</v>
      </c>
      <c r="O794" t="s">
        <v>6559</v>
      </c>
      <c r="P794" s="4">
        <v>6750</v>
      </c>
      <c r="Q794">
        <f>(P794/60)+45</f>
        <v>157.5</v>
      </c>
      <c r="R794">
        <f>Q794/60</f>
        <v>2.625</v>
      </c>
      <c r="S794" s="2">
        <v>45729</v>
      </c>
      <c r="U794">
        <v>4</v>
      </c>
      <c r="V794" s="4">
        <v>27000</v>
      </c>
      <c r="W794" t="s">
        <v>65</v>
      </c>
      <c r="X794" t="s">
        <v>3118</v>
      </c>
      <c r="Y794">
        <v>0</v>
      </c>
      <c r="Z794" s="4">
        <v>27000</v>
      </c>
      <c r="AA794">
        <v>0</v>
      </c>
      <c r="AB794">
        <v>0</v>
      </c>
      <c r="AC794">
        <v>0</v>
      </c>
      <c r="AD794">
        <v>0</v>
      </c>
      <c r="AG794">
        <v>0</v>
      </c>
      <c r="AP794" t="s">
        <v>3119</v>
      </c>
      <c r="AQ794" t="s">
        <v>271</v>
      </c>
      <c r="AR794" t="s">
        <v>6648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BC794" t="s">
        <v>69</v>
      </c>
      <c r="BD794" t="s">
        <v>3120</v>
      </c>
      <c r="BE794">
        <v>0</v>
      </c>
      <c r="BG794" t="s">
        <v>271</v>
      </c>
      <c r="BJ794" t="s">
        <v>3121</v>
      </c>
    </row>
    <row r="795" spans="1:62" x14ac:dyDescent="0.35">
      <c r="A795" t="s">
        <v>3122</v>
      </c>
      <c r="B795">
        <v>10000</v>
      </c>
      <c r="C795">
        <v>10000</v>
      </c>
      <c r="D795" s="2">
        <v>45730</v>
      </c>
      <c r="E795" t="s">
        <v>61</v>
      </c>
      <c r="F795" t="s">
        <v>3123</v>
      </c>
      <c r="G795" t="s">
        <v>3124</v>
      </c>
      <c r="I795">
        <v>1</v>
      </c>
      <c r="J795" t="s">
        <v>63</v>
      </c>
      <c r="K795" s="8">
        <v>31</v>
      </c>
      <c r="L795" s="8" t="s">
        <v>6595</v>
      </c>
      <c r="M795" s="8" t="s">
        <v>6629</v>
      </c>
      <c r="N795" t="s">
        <v>1311</v>
      </c>
      <c r="O795" t="s">
        <v>6491</v>
      </c>
      <c r="P795" s="4">
        <v>27000</v>
      </c>
      <c r="Q795">
        <f>(P795/40)+45</f>
        <v>720</v>
      </c>
      <c r="R795">
        <f>Q795/60</f>
        <v>12</v>
      </c>
      <c r="S795" s="2">
        <v>45729</v>
      </c>
      <c r="U795">
        <v>2</v>
      </c>
      <c r="V795" s="4">
        <v>54000</v>
      </c>
      <c r="W795" t="s">
        <v>65</v>
      </c>
      <c r="X795" t="s">
        <v>3125</v>
      </c>
      <c r="Y795">
        <v>0</v>
      </c>
      <c r="Z795" s="4">
        <v>54000</v>
      </c>
      <c r="AA795">
        <v>0</v>
      </c>
      <c r="AB795">
        <v>0</v>
      </c>
      <c r="AC795">
        <v>0</v>
      </c>
      <c r="AD795">
        <v>0</v>
      </c>
      <c r="AG795">
        <v>0</v>
      </c>
      <c r="AP795" t="s">
        <v>3126</v>
      </c>
      <c r="AQ795" t="s">
        <v>271</v>
      </c>
      <c r="AR795" t="s">
        <v>6648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BC795" t="s">
        <v>69</v>
      </c>
      <c r="BD795" t="s">
        <v>3127</v>
      </c>
      <c r="BE795">
        <v>0</v>
      </c>
      <c r="BG795" t="s">
        <v>271</v>
      </c>
      <c r="BJ795" t="s">
        <v>3128</v>
      </c>
    </row>
    <row r="796" spans="1:62" x14ac:dyDescent="0.35">
      <c r="A796" t="s">
        <v>3129</v>
      </c>
      <c r="B796">
        <v>10000</v>
      </c>
      <c r="C796">
        <v>20000</v>
      </c>
      <c r="D796" s="2">
        <v>45729</v>
      </c>
      <c r="E796" t="s">
        <v>61</v>
      </c>
      <c r="F796" t="s">
        <v>3130</v>
      </c>
      <c r="G796" t="s">
        <v>2773</v>
      </c>
      <c r="I796">
        <v>1</v>
      </c>
      <c r="J796" t="s">
        <v>63</v>
      </c>
      <c r="K796" s="8">
        <v>94</v>
      </c>
      <c r="L796" s="8" t="s">
        <v>6599</v>
      </c>
      <c r="M796" s="8" t="s">
        <v>6629</v>
      </c>
      <c r="N796" t="s">
        <v>181</v>
      </c>
      <c r="O796" t="s">
        <v>6544</v>
      </c>
      <c r="P796" s="4">
        <v>3000</v>
      </c>
      <c r="S796" s="2">
        <v>45729</v>
      </c>
      <c r="U796">
        <v>4</v>
      </c>
      <c r="V796" s="4">
        <v>12000</v>
      </c>
      <c r="W796" t="s">
        <v>65</v>
      </c>
      <c r="X796" t="s">
        <v>362</v>
      </c>
      <c r="Y796">
        <v>0</v>
      </c>
      <c r="Z796" s="4">
        <v>12000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363</v>
      </c>
      <c r="AQ796" t="s">
        <v>364</v>
      </c>
      <c r="AR796" t="s">
        <v>6653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BC796" t="s">
        <v>69</v>
      </c>
      <c r="BD796" t="s">
        <v>3131</v>
      </c>
      <c r="BE796">
        <v>0</v>
      </c>
      <c r="BG796" t="s">
        <v>364</v>
      </c>
      <c r="BJ796" t="s">
        <v>3132</v>
      </c>
    </row>
    <row r="797" spans="1:62" x14ac:dyDescent="0.35">
      <c r="A797" t="s">
        <v>3133</v>
      </c>
      <c r="B797">
        <v>10000</v>
      </c>
      <c r="C797">
        <v>20000</v>
      </c>
      <c r="D797" s="2">
        <v>45730</v>
      </c>
      <c r="E797" t="s">
        <v>61</v>
      </c>
      <c r="F797" t="s">
        <v>3134</v>
      </c>
      <c r="G797" t="s">
        <v>2271</v>
      </c>
      <c r="I797">
        <v>1</v>
      </c>
      <c r="J797" t="s">
        <v>63</v>
      </c>
      <c r="K797" s="8">
        <v>94</v>
      </c>
      <c r="L797" s="8" t="s">
        <v>6599</v>
      </c>
      <c r="M797" s="8" t="s">
        <v>6629</v>
      </c>
      <c r="N797" t="s">
        <v>181</v>
      </c>
      <c r="O797" t="s">
        <v>6544</v>
      </c>
      <c r="P797" s="4">
        <v>9000</v>
      </c>
      <c r="S797" s="2">
        <v>45729</v>
      </c>
      <c r="U797">
        <v>4</v>
      </c>
      <c r="V797" s="4">
        <v>36000</v>
      </c>
      <c r="W797" t="s">
        <v>65</v>
      </c>
      <c r="X797" t="s">
        <v>3135</v>
      </c>
      <c r="Y797">
        <v>0</v>
      </c>
      <c r="Z797" s="4">
        <v>36000</v>
      </c>
      <c r="AA797">
        <v>0</v>
      </c>
      <c r="AB797">
        <v>0</v>
      </c>
      <c r="AC797">
        <v>0</v>
      </c>
      <c r="AD797">
        <v>0</v>
      </c>
      <c r="AG797">
        <v>0</v>
      </c>
      <c r="AP797" t="s">
        <v>3136</v>
      </c>
      <c r="AQ797" t="s">
        <v>364</v>
      </c>
      <c r="AR797" t="s">
        <v>6653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BC797" t="s">
        <v>69</v>
      </c>
      <c r="BD797" t="s">
        <v>3137</v>
      </c>
      <c r="BE797">
        <v>0</v>
      </c>
      <c r="BG797" t="s">
        <v>364</v>
      </c>
      <c r="BJ797" t="s">
        <v>3138</v>
      </c>
    </row>
    <row r="798" spans="1:62" x14ac:dyDescent="0.35">
      <c r="A798" t="s">
        <v>3139</v>
      </c>
      <c r="B798">
        <v>10000</v>
      </c>
      <c r="C798">
        <v>30000</v>
      </c>
      <c r="D798" s="2">
        <v>45734</v>
      </c>
      <c r="E798" t="s">
        <v>61</v>
      </c>
      <c r="F798" t="s">
        <v>3140</v>
      </c>
      <c r="G798" t="s">
        <v>3141</v>
      </c>
      <c r="I798">
        <v>1</v>
      </c>
      <c r="J798" t="s">
        <v>63</v>
      </c>
      <c r="K798" s="8">
        <v>79</v>
      </c>
      <c r="L798" s="8" t="s">
        <v>6608</v>
      </c>
      <c r="M798" s="8" t="s">
        <v>6631</v>
      </c>
      <c r="N798" t="s">
        <v>573</v>
      </c>
      <c r="O798" t="s">
        <v>6547</v>
      </c>
      <c r="P798">
        <v>228</v>
      </c>
      <c r="Q798">
        <f>(P798/20)+30</f>
        <v>41.4</v>
      </c>
      <c r="R798">
        <f>Q798/60</f>
        <v>0.69</v>
      </c>
      <c r="S798" s="2">
        <v>45729</v>
      </c>
      <c r="U798">
        <v>132</v>
      </c>
      <c r="V798" s="4">
        <v>30096</v>
      </c>
      <c r="W798" t="s">
        <v>65</v>
      </c>
      <c r="X798" t="s">
        <v>3142</v>
      </c>
      <c r="Y798">
        <v>0</v>
      </c>
      <c r="Z798" s="4">
        <v>9322</v>
      </c>
      <c r="AA798" s="4">
        <v>20774</v>
      </c>
      <c r="AB798">
        <v>0</v>
      </c>
      <c r="AC798">
        <v>0</v>
      </c>
      <c r="AD798">
        <v>0</v>
      </c>
      <c r="AG798">
        <v>0</v>
      </c>
      <c r="AP798" t="s">
        <v>3143</v>
      </c>
      <c r="AQ798" t="s">
        <v>3144</v>
      </c>
      <c r="AR798" t="s">
        <v>6714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BC798" t="s">
        <v>69</v>
      </c>
      <c r="BD798" t="s">
        <v>3145</v>
      </c>
      <c r="BE798">
        <v>0</v>
      </c>
      <c r="BG798" t="s">
        <v>3144</v>
      </c>
      <c r="BJ798" t="s">
        <v>3146</v>
      </c>
    </row>
    <row r="799" spans="1:62" x14ac:dyDescent="0.35">
      <c r="A799" t="s">
        <v>2287</v>
      </c>
      <c r="B799">
        <v>10000</v>
      </c>
      <c r="C799">
        <v>20000</v>
      </c>
      <c r="D799" s="2">
        <v>45730</v>
      </c>
      <c r="E799" t="s">
        <v>61</v>
      </c>
      <c r="F799" t="s">
        <v>2288</v>
      </c>
      <c r="G799" t="s">
        <v>2289</v>
      </c>
      <c r="I799">
        <v>2</v>
      </c>
      <c r="J799" t="s">
        <v>63</v>
      </c>
      <c r="K799" s="8">
        <v>63</v>
      </c>
      <c r="L799" s="8" t="s">
        <v>6605</v>
      </c>
      <c r="M799" s="8" t="s">
        <v>6630</v>
      </c>
      <c r="N799" t="s">
        <v>519</v>
      </c>
      <c r="O799" t="s">
        <v>6569</v>
      </c>
      <c r="P799" s="4">
        <v>5000</v>
      </c>
      <c r="Q799">
        <f t="shared" ref="Q799:Q800" si="203">(P799/40)+45</f>
        <v>170</v>
      </c>
      <c r="R799">
        <f t="shared" ref="R799:R800" si="204">Q799/60</f>
        <v>2.8333333333333335</v>
      </c>
      <c r="S799" s="2">
        <v>45729</v>
      </c>
      <c r="U799">
        <v>16</v>
      </c>
      <c r="V799" s="4">
        <v>80000</v>
      </c>
      <c r="W799" t="s">
        <v>65</v>
      </c>
      <c r="X799" t="s">
        <v>2290</v>
      </c>
      <c r="Y799">
        <v>0</v>
      </c>
      <c r="Z799" s="4">
        <v>80000</v>
      </c>
      <c r="AA799">
        <v>0</v>
      </c>
      <c r="AB799">
        <v>0</v>
      </c>
      <c r="AC799">
        <v>0</v>
      </c>
      <c r="AD799">
        <v>0</v>
      </c>
      <c r="AG799">
        <v>0</v>
      </c>
      <c r="AP799" t="s">
        <v>2291</v>
      </c>
      <c r="AQ799" t="s">
        <v>157</v>
      </c>
      <c r="AR799" t="s">
        <v>6640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BC799" t="s">
        <v>69</v>
      </c>
      <c r="BD799" t="s">
        <v>2292</v>
      </c>
      <c r="BE799">
        <v>0</v>
      </c>
      <c r="BG799" t="s">
        <v>157</v>
      </c>
      <c r="BJ799" t="s">
        <v>2293</v>
      </c>
    </row>
    <row r="800" spans="1:62" x14ac:dyDescent="0.35">
      <c r="A800" t="s">
        <v>2561</v>
      </c>
      <c r="B800">
        <v>10000</v>
      </c>
      <c r="C800">
        <v>20000</v>
      </c>
      <c r="D800" s="2">
        <v>45730</v>
      </c>
      <c r="E800" t="s">
        <v>61</v>
      </c>
      <c r="F800" t="s">
        <v>2288</v>
      </c>
      <c r="G800" t="s">
        <v>2289</v>
      </c>
      <c r="I800">
        <v>2</v>
      </c>
      <c r="J800" t="s">
        <v>63</v>
      </c>
      <c r="K800" s="8">
        <v>63</v>
      </c>
      <c r="L800" s="8" t="s">
        <v>6605</v>
      </c>
      <c r="M800" s="8" t="s">
        <v>6630</v>
      </c>
      <c r="N800" t="s">
        <v>519</v>
      </c>
      <c r="O800" t="s">
        <v>6569</v>
      </c>
      <c r="P800" s="4">
        <v>5000</v>
      </c>
      <c r="Q800">
        <f t="shared" si="203"/>
        <v>170</v>
      </c>
      <c r="R800">
        <f t="shared" si="204"/>
        <v>2.8333333333333335</v>
      </c>
      <c r="S800" s="2">
        <v>45729</v>
      </c>
      <c r="U800">
        <v>16</v>
      </c>
      <c r="V800" s="4">
        <v>80000</v>
      </c>
      <c r="W800" t="s">
        <v>65</v>
      </c>
      <c r="X800" t="s">
        <v>1740</v>
      </c>
      <c r="Y800">
        <v>0</v>
      </c>
      <c r="Z800" s="4">
        <v>80000</v>
      </c>
      <c r="AA800">
        <v>0</v>
      </c>
      <c r="AB800">
        <v>0</v>
      </c>
      <c r="AC800">
        <v>0</v>
      </c>
      <c r="AD800">
        <v>0</v>
      </c>
      <c r="AG800">
        <v>0</v>
      </c>
      <c r="AP800" t="s">
        <v>1741</v>
      </c>
      <c r="AQ800" t="s">
        <v>157</v>
      </c>
      <c r="AR800" t="s">
        <v>6640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BC800" t="s">
        <v>69</v>
      </c>
      <c r="BD800" t="s">
        <v>2562</v>
      </c>
      <c r="BE800">
        <v>0</v>
      </c>
      <c r="BG800" t="s">
        <v>157</v>
      </c>
      <c r="BJ800" t="s">
        <v>2563</v>
      </c>
    </row>
    <row r="801" spans="1:62" x14ac:dyDescent="0.35">
      <c r="A801" t="s">
        <v>2580</v>
      </c>
      <c r="B801">
        <v>10000</v>
      </c>
      <c r="C801">
        <v>40000</v>
      </c>
      <c r="D801" s="2">
        <v>45735</v>
      </c>
      <c r="E801" t="s">
        <v>61</v>
      </c>
      <c r="F801" t="s">
        <v>2581</v>
      </c>
      <c r="G801" t="s">
        <v>2582</v>
      </c>
      <c r="I801">
        <v>1</v>
      </c>
      <c r="J801" t="s">
        <v>63</v>
      </c>
      <c r="K801" s="8">
        <v>103</v>
      </c>
      <c r="L801" s="8" t="s">
        <v>6589</v>
      </c>
      <c r="M801" s="8" t="s">
        <v>6630</v>
      </c>
      <c r="N801" t="s">
        <v>733</v>
      </c>
      <c r="O801" t="s">
        <v>6561</v>
      </c>
      <c r="P801">
        <v>5</v>
      </c>
      <c r="Q801">
        <f t="shared" ref="Q801:Q802" si="205">(P801/20)+45</f>
        <v>45.25</v>
      </c>
      <c r="R801">
        <f t="shared" ref="R801:R802" si="206">Q801/60</f>
        <v>0.75416666666666665</v>
      </c>
      <c r="S801" s="2">
        <v>45729</v>
      </c>
      <c r="U801">
        <v>8</v>
      </c>
      <c r="V801">
        <v>40</v>
      </c>
      <c r="W801" t="s">
        <v>65</v>
      </c>
      <c r="X801" s="12" t="s">
        <v>319</v>
      </c>
      <c r="Y801">
        <v>0</v>
      </c>
      <c r="Z801">
        <v>40</v>
      </c>
      <c r="AA801">
        <v>0</v>
      </c>
      <c r="AB801">
        <v>0</v>
      </c>
      <c r="AC801">
        <v>0</v>
      </c>
      <c r="AD801">
        <v>0</v>
      </c>
      <c r="AG801">
        <v>0</v>
      </c>
      <c r="AP801" t="s">
        <v>320</v>
      </c>
      <c r="AQ801" t="s">
        <v>321</v>
      </c>
      <c r="AR801" t="s">
        <v>6652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BC801" t="s">
        <v>69</v>
      </c>
      <c r="BD801" t="s">
        <v>2583</v>
      </c>
      <c r="BE801">
        <v>0</v>
      </c>
      <c r="BG801" t="s">
        <v>321</v>
      </c>
      <c r="BJ801" t="s">
        <v>2584</v>
      </c>
    </row>
    <row r="802" spans="1:62" x14ac:dyDescent="0.35">
      <c r="A802" t="s">
        <v>2580</v>
      </c>
      <c r="B802">
        <v>20000</v>
      </c>
      <c r="C802">
        <v>20000</v>
      </c>
      <c r="D802" s="2">
        <v>45735</v>
      </c>
      <c r="E802" t="s">
        <v>61</v>
      </c>
      <c r="F802" t="s">
        <v>2581</v>
      </c>
      <c r="G802" t="s">
        <v>2582</v>
      </c>
      <c r="I802">
        <v>1</v>
      </c>
      <c r="J802" t="s">
        <v>63</v>
      </c>
      <c r="K802" s="8">
        <v>103</v>
      </c>
      <c r="L802" s="8" t="s">
        <v>6589</v>
      </c>
      <c r="M802" s="8" t="s">
        <v>6630</v>
      </c>
      <c r="N802" t="s">
        <v>733</v>
      </c>
      <c r="O802" t="s">
        <v>6561</v>
      </c>
      <c r="P802" s="4">
        <v>58125</v>
      </c>
      <c r="Q802">
        <f t="shared" si="205"/>
        <v>2951.25</v>
      </c>
      <c r="R802">
        <f t="shared" si="206"/>
        <v>49.1875</v>
      </c>
      <c r="S802" s="2">
        <v>45729</v>
      </c>
      <c r="U802">
        <v>8</v>
      </c>
      <c r="V802" s="4">
        <v>465000</v>
      </c>
      <c r="W802" t="s">
        <v>65</v>
      </c>
      <c r="X802" s="12" t="s">
        <v>319</v>
      </c>
      <c r="Y802">
        <v>0</v>
      </c>
      <c r="Z802" s="4">
        <v>465000</v>
      </c>
      <c r="AA802">
        <v>0</v>
      </c>
      <c r="AB802">
        <v>0</v>
      </c>
      <c r="AC802">
        <v>0</v>
      </c>
      <c r="AD802">
        <v>0</v>
      </c>
      <c r="AG802">
        <v>0</v>
      </c>
      <c r="AP802" t="s">
        <v>320</v>
      </c>
      <c r="AQ802" t="s">
        <v>321</v>
      </c>
      <c r="AR802" t="s">
        <v>6652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BC802" t="s">
        <v>69</v>
      </c>
      <c r="BD802" t="s">
        <v>2583</v>
      </c>
      <c r="BE802">
        <v>0</v>
      </c>
      <c r="BG802" t="s">
        <v>321</v>
      </c>
      <c r="BJ802" t="s">
        <v>2584</v>
      </c>
    </row>
    <row r="803" spans="1:62" x14ac:dyDescent="0.35">
      <c r="A803" t="s">
        <v>2588</v>
      </c>
      <c r="B803">
        <v>10000</v>
      </c>
      <c r="C803">
        <v>20000</v>
      </c>
      <c r="D803" s="2">
        <v>45729</v>
      </c>
      <c r="E803" t="s">
        <v>61</v>
      </c>
      <c r="F803" t="s">
        <v>2589</v>
      </c>
      <c r="G803" t="s">
        <v>2590</v>
      </c>
      <c r="I803">
        <v>1</v>
      </c>
      <c r="J803" t="s">
        <v>63</v>
      </c>
      <c r="K803" s="8">
        <v>71</v>
      </c>
      <c r="L803" s="8" t="s">
        <v>6588</v>
      </c>
      <c r="M803" s="8" t="s">
        <v>6630</v>
      </c>
      <c r="N803" t="s">
        <v>135</v>
      </c>
      <c r="O803" t="s">
        <v>6573</v>
      </c>
      <c r="P803" s="4">
        <v>9334</v>
      </c>
      <c r="S803" s="2">
        <v>45729</v>
      </c>
      <c r="U803">
        <v>3</v>
      </c>
      <c r="V803" s="4">
        <v>28002</v>
      </c>
      <c r="W803" t="s">
        <v>65</v>
      </c>
      <c r="X803" t="s">
        <v>1026</v>
      </c>
      <c r="Y803">
        <v>0</v>
      </c>
      <c r="Z803" s="4">
        <v>28001</v>
      </c>
      <c r="AA803">
        <v>1</v>
      </c>
      <c r="AB803">
        <v>0</v>
      </c>
      <c r="AC803">
        <v>0</v>
      </c>
      <c r="AD803">
        <v>0</v>
      </c>
      <c r="AG803">
        <v>0</v>
      </c>
      <c r="AP803" t="s">
        <v>1027</v>
      </c>
      <c r="AQ803" t="s">
        <v>1253</v>
      </c>
      <c r="AR803" t="s">
        <v>6636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BC803" t="s">
        <v>69</v>
      </c>
      <c r="BD803" t="s">
        <v>2591</v>
      </c>
      <c r="BE803">
        <v>0</v>
      </c>
      <c r="BG803" t="s">
        <v>1253</v>
      </c>
      <c r="BJ803" t="s">
        <v>2592</v>
      </c>
    </row>
    <row r="804" spans="1:62" x14ac:dyDescent="0.35">
      <c r="A804" t="s">
        <v>949</v>
      </c>
      <c r="B804">
        <v>10000</v>
      </c>
      <c r="C804">
        <v>30000</v>
      </c>
      <c r="D804" s="2">
        <v>45729</v>
      </c>
      <c r="E804" t="s">
        <v>61</v>
      </c>
      <c r="F804" t="s">
        <v>950</v>
      </c>
      <c r="G804">
        <v>10639931049</v>
      </c>
      <c r="I804">
        <v>3</v>
      </c>
      <c r="J804" t="s">
        <v>63</v>
      </c>
      <c r="K804" s="8">
        <v>85</v>
      </c>
      <c r="L804" s="8" t="s">
        <v>6585</v>
      </c>
      <c r="M804" s="8" t="s">
        <v>6628</v>
      </c>
      <c r="N804" t="s">
        <v>327</v>
      </c>
      <c r="O804" t="s">
        <v>6580</v>
      </c>
      <c r="P804" s="4">
        <v>16000</v>
      </c>
      <c r="S804" s="2">
        <v>45729</v>
      </c>
      <c r="U804">
        <v>11</v>
      </c>
      <c r="V804" s="4">
        <v>176000</v>
      </c>
      <c r="W804" t="s">
        <v>65</v>
      </c>
      <c r="X804" t="s">
        <v>951</v>
      </c>
      <c r="Y804">
        <v>0</v>
      </c>
      <c r="Z804" s="4">
        <v>160000</v>
      </c>
      <c r="AA804" s="4">
        <v>16000</v>
      </c>
      <c r="AB804">
        <v>0</v>
      </c>
      <c r="AC804">
        <v>0</v>
      </c>
      <c r="AD804">
        <v>0</v>
      </c>
      <c r="AG804">
        <v>0</v>
      </c>
      <c r="AP804" t="s">
        <v>952</v>
      </c>
      <c r="AQ804" t="s">
        <v>107</v>
      </c>
      <c r="AR804" t="s">
        <v>6638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BC804" t="s">
        <v>69</v>
      </c>
      <c r="BD804" t="s">
        <v>953</v>
      </c>
      <c r="BE804">
        <v>0</v>
      </c>
      <c r="BG804" t="s">
        <v>107</v>
      </c>
      <c r="BJ804" t="s">
        <v>954</v>
      </c>
    </row>
    <row r="805" spans="1:62" x14ac:dyDescent="0.35">
      <c r="A805" t="s">
        <v>2593</v>
      </c>
      <c r="B805">
        <v>10000</v>
      </c>
      <c r="C805">
        <v>20000</v>
      </c>
      <c r="D805" s="2">
        <v>45730</v>
      </c>
      <c r="E805" t="s">
        <v>61</v>
      </c>
      <c r="F805" t="s">
        <v>2288</v>
      </c>
      <c r="G805" t="s">
        <v>2289</v>
      </c>
      <c r="I805">
        <v>2</v>
      </c>
      <c r="J805" t="s">
        <v>63</v>
      </c>
      <c r="K805" s="8">
        <v>63</v>
      </c>
      <c r="L805" s="8" t="s">
        <v>6605</v>
      </c>
      <c r="M805" s="8" t="s">
        <v>6630</v>
      </c>
      <c r="N805" t="s">
        <v>519</v>
      </c>
      <c r="O805" t="s">
        <v>6569</v>
      </c>
      <c r="P805" s="4">
        <v>2500</v>
      </c>
      <c r="Q805">
        <f t="shared" ref="Q805:Q810" si="207">(P805/40)+45</f>
        <v>107.5</v>
      </c>
      <c r="R805">
        <f t="shared" ref="R805:R810" si="208">Q805/60</f>
        <v>1.7916666666666667</v>
      </c>
      <c r="S805" s="2">
        <v>45729</v>
      </c>
      <c r="U805">
        <v>16</v>
      </c>
      <c r="V805" s="4">
        <v>40000</v>
      </c>
      <c r="W805" t="s">
        <v>65</v>
      </c>
      <c r="X805" t="s">
        <v>2594</v>
      </c>
      <c r="Y805">
        <v>0</v>
      </c>
      <c r="Z805" s="4">
        <v>40000</v>
      </c>
      <c r="AA805">
        <v>0</v>
      </c>
      <c r="AB805">
        <v>0</v>
      </c>
      <c r="AC805">
        <v>0</v>
      </c>
      <c r="AD805">
        <v>0</v>
      </c>
      <c r="AG805">
        <v>0</v>
      </c>
      <c r="AP805" t="s">
        <v>2595</v>
      </c>
      <c r="AQ805" t="s">
        <v>175</v>
      </c>
      <c r="AR805" t="s">
        <v>6642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BC805" t="s">
        <v>69</v>
      </c>
      <c r="BD805" t="s">
        <v>2596</v>
      </c>
      <c r="BE805">
        <v>0</v>
      </c>
      <c r="BG805" t="s">
        <v>175</v>
      </c>
      <c r="BJ805" t="s">
        <v>2597</v>
      </c>
    </row>
    <row r="806" spans="1:62" x14ac:dyDescent="0.35">
      <c r="A806" t="s">
        <v>2319</v>
      </c>
      <c r="B806">
        <v>10000</v>
      </c>
      <c r="C806">
        <v>20000</v>
      </c>
      <c r="D806" s="2">
        <v>45733</v>
      </c>
      <c r="E806" t="s">
        <v>61</v>
      </c>
      <c r="F806" t="s">
        <v>2320</v>
      </c>
      <c r="G806" t="s">
        <v>2289</v>
      </c>
      <c r="I806">
        <v>2</v>
      </c>
      <c r="J806" t="s">
        <v>63</v>
      </c>
      <c r="K806" s="8">
        <v>63</v>
      </c>
      <c r="L806" s="8" t="s">
        <v>6605</v>
      </c>
      <c r="M806" s="8" t="s">
        <v>6630</v>
      </c>
      <c r="N806" t="s">
        <v>519</v>
      </c>
      <c r="O806" t="s">
        <v>6569</v>
      </c>
      <c r="P806" s="4">
        <v>2500</v>
      </c>
      <c r="Q806">
        <f t="shared" si="207"/>
        <v>107.5</v>
      </c>
      <c r="R806">
        <f t="shared" si="208"/>
        <v>1.7916666666666667</v>
      </c>
      <c r="S806" s="2">
        <v>45729</v>
      </c>
      <c r="U806">
        <v>16</v>
      </c>
      <c r="V806" s="4">
        <v>40000</v>
      </c>
      <c r="W806" t="s">
        <v>65</v>
      </c>
      <c r="X806" t="s">
        <v>2290</v>
      </c>
      <c r="Y806">
        <v>0</v>
      </c>
      <c r="Z806" s="4">
        <v>40000</v>
      </c>
      <c r="AA806">
        <v>0</v>
      </c>
      <c r="AB806">
        <v>0</v>
      </c>
      <c r="AC806">
        <v>0</v>
      </c>
      <c r="AD806">
        <v>0</v>
      </c>
      <c r="AG806">
        <v>0</v>
      </c>
      <c r="AP806" t="s">
        <v>2291</v>
      </c>
      <c r="AQ806" t="s">
        <v>175</v>
      </c>
      <c r="AR806" t="s">
        <v>6642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BC806" t="s">
        <v>69</v>
      </c>
      <c r="BD806" t="s">
        <v>2321</v>
      </c>
      <c r="BE806">
        <v>0</v>
      </c>
      <c r="BG806" t="s">
        <v>175</v>
      </c>
      <c r="BJ806" t="s">
        <v>2322</v>
      </c>
    </row>
    <row r="807" spans="1:62" x14ac:dyDescent="0.35">
      <c r="A807" t="s">
        <v>2323</v>
      </c>
      <c r="B807">
        <v>10000</v>
      </c>
      <c r="C807">
        <v>20000</v>
      </c>
      <c r="D807" s="2">
        <v>45733</v>
      </c>
      <c r="E807" t="s">
        <v>61</v>
      </c>
      <c r="F807" t="s">
        <v>2320</v>
      </c>
      <c r="G807" t="s">
        <v>2289</v>
      </c>
      <c r="I807">
        <v>2</v>
      </c>
      <c r="J807" t="s">
        <v>63</v>
      </c>
      <c r="K807" s="8">
        <v>63</v>
      </c>
      <c r="L807" s="8" t="s">
        <v>6605</v>
      </c>
      <c r="M807" s="8" t="s">
        <v>6630</v>
      </c>
      <c r="N807" t="s">
        <v>519</v>
      </c>
      <c r="O807" t="s">
        <v>6569</v>
      </c>
      <c r="P807" s="4">
        <v>2500</v>
      </c>
      <c r="Q807">
        <f t="shared" si="207"/>
        <v>107.5</v>
      </c>
      <c r="R807">
        <f t="shared" si="208"/>
        <v>1.7916666666666667</v>
      </c>
      <c r="S807" s="2">
        <v>45729</v>
      </c>
      <c r="U807">
        <v>16</v>
      </c>
      <c r="V807" s="4">
        <v>40000</v>
      </c>
      <c r="W807" t="s">
        <v>65</v>
      </c>
      <c r="X807" t="s">
        <v>2290</v>
      </c>
      <c r="Y807">
        <v>0</v>
      </c>
      <c r="Z807" s="4">
        <v>40000</v>
      </c>
      <c r="AA807">
        <v>0</v>
      </c>
      <c r="AB807">
        <v>0</v>
      </c>
      <c r="AC807">
        <v>0</v>
      </c>
      <c r="AD807">
        <v>0</v>
      </c>
      <c r="AG807">
        <v>0</v>
      </c>
      <c r="AP807" t="s">
        <v>2291</v>
      </c>
      <c r="AQ807" t="s">
        <v>175</v>
      </c>
      <c r="AR807" t="s">
        <v>6642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BC807" t="s">
        <v>69</v>
      </c>
      <c r="BD807" t="s">
        <v>2324</v>
      </c>
      <c r="BE807">
        <v>0</v>
      </c>
      <c r="BG807" t="s">
        <v>175</v>
      </c>
      <c r="BJ807" t="s">
        <v>2325</v>
      </c>
    </row>
    <row r="808" spans="1:62" x14ac:dyDescent="0.35">
      <c r="A808" t="s">
        <v>2598</v>
      </c>
      <c r="B808">
        <v>10000</v>
      </c>
      <c r="C808">
        <v>20000</v>
      </c>
      <c r="D808" s="2">
        <v>45730</v>
      </c>
      <c r="E808" t="s">
        <v>61</v>
      </c>
      <c r="F808" t="s">
        <v>2288</v>
      </c>
      <c r="G808" t="s">
        <v>2289</v>
      </c>
      <c r="I808">
        <v>2</v>
      </c>
      <c r="J808" t="s">
        <v>63</v>
      </c>
      <c r="K808" s="8">
        <v>63</v>
      </c>
      <c r="L808" s="8" t="s">
        <v>6605</v>
      </c>
      <c r="M808" s="8" t="s">
        <v>6630</v>
      </c>
      <c r="N808" t="s">
        <v>519</v>
      </c>
      <c r="O808" t="s">
        <v>6569</v>
      </c>
      <c r="P808" s="4">
        <v>2500</v>
      </c>
      <c r="Q808">
        <f t="shared" si="207"/>
        <v>107.5</v>
      </c>
      <c r="R808">
        <f t="shared" si="208"/>
        <v>1.7916666666666667</v>
      </c>
      <c r="S808" s="2">
        <v>45729</v>
      </c>
      <c r="U808">
        <v>16</v>
      </c>
      <c r="V808" s="4">
        <v>40000</v>
      </c>
      <c r="W808" t="s">
        <v>65</v>
      </c>
      <c r="X808" t="s">
        <v>1740</v>
      </c>
      <c r="Y808">
        <v>0</v>
      </c>
      <c r="Z808" s="4">
        <v>40000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1741</v>
      </c>
      <c r="AQ808" t="s">
        <v>175</v>
      </c>
      <c r="AR808" t="s">
        <v>6642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BC808" t="s">
        <v>69</v>
      </c>
      <c r="BD808" t="s">
        <v>2599</v>
      </c>
      <c r="BE808">
        <v>0</v>
      </c>
      <c r="BG808" t="s">
        <v>175</v>
      </c>
      <c r="BJ808" t="s">
        <v>2600</v>
      </c>
    </row>
    <row r="809" spans="1:62" x14ac:dyDescent="0.35">
      <c r="A809" t="s">
        <v>3147</v>
      </c>
      <c r="B809">
        <v>10000</v>
      </c>
      <c r="C809">
        <v>10000</v>
      </c>
      <c r="D809" s="2">
        <v>45730</v>
      </c>
      <c r="E809" t="s">
        <v>61</v>
      </c>
      <c r="F809" t="s">
        <v>3148</v>
      </c>
      <c r="G809" t="s">
        <v>3149</v>
      </c>
      <c r="I809">
        <v>1</v>
      </c>
      <c r="J809" t="s">
        <v>63</v>
      </c>
      <c r="K809" s="8">
        <v>78</v>
      </c>
      <c r="L809" s="8" t="s">
        <v>6593</v>
      </c>
      <c r="M809" s="8" t="s">
        <v>6629</v>
      </c>
      <c r="N809" t="s">
        <v>188</v>
      </c>
      <c r="O809" t="s">
        <v>6410</v>
      </c>
      <c r="P809">
        <v>4</v>
      </c>
      <c r="Q809">
        <f t="shared" si="207"/>
        <v>45.1</v>
      </c>
      <c r="R809">
        <f t="shared" si="208"/>
        <v>0.75166666666666671</v>
      </c>
      <c r="S809" s="2">
        <v>45729</v>
      </c>
      <c r="U809">
        <v>3</v>
      </c>
      <c r="V809">
        <v>12</v>
      </c>
      <c r="W809" t="s">
        <v>65</v>
      </c>
      <c r="X809" t="s">
        <v>3150</v>
      </c>
      <c r="Y809">
        <v>0</v>
      </c>
      <c r="Z809">
        <v>10</v>
      </c>
      <c r="AA809">
        <v>2</v>
      </c>
      <c r="AB809">
        <v>0</v>
      </c>
      <c r="AC809">
        <v>0</v>
      </c>
      <c r="AD809">
        <v>0</v>
      </c>
      <c r="AG809">
        <v>0</v>
      </c>
      <c r="AP809" t="s">
        <v>3151</v>
      </c>
      <c r="AQ809" t="s">
        <v>3152</v>
      </c>
      <c r="AR809" t="s">
        <v>6715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BC809" t="s">
        <v>69</v>
      </c>
      <c r="BD809" t="s">
        <v>3153</v>
      </c>
      <c r="BE809">
        <v>0</v>
      </c>
      <c r="BG809" t="s">
        <v>3152</v>
      </c>
      <c r="BJ809" t="s">
        <v>3154</v>
      </c>
    </row>
    <row r="810" spans="1:62" x14ac:dyDescent="0.35">
      <c r="A810" t="s">
        <v>3155</v>
      </c>
      <c r="B810">
        <v>10000</v>
      </c>
      <c r="C810">
        <v>20000</v>
      </c>
      <c r="D810" s="2">
        <v>45730</v>
      </c>
      <c r="E810" t="s">
        <v>61</v>
      </c>
      <c r="F810" t="s">
        <v>3148</v>
      </c>
      <c r="G810" t="s">
        <v>3149</v>
      </c>
      <c r="I810">
        <v>1</v>
      </c>
      <c r="J810" t="s">
        <v>63</v>
      </c>
      <c r="K810" s="8">
        <v>78</v>
      </c>
      <c r="L810" s="8" t="s">
        <v>6593</v>
      </c>
      <c r="M810" s="8" t="s">
        <v>6629</v>
      </c>
      <c r="N810" t="s">
        <v>188</v>
      </c>
      <c r="O810" t="s">
        <v>6410</v>
      </c>
      <c r="P810" s="4">
        <v>1667</v>
      </c>
      <c r="Q810">
        <f t="shared" si="207"/>
        <v>86.674999999999997</v>
      </c>
      <c r="R810">
        <f t="shared" si="208"/>
        <v>1.4445833333333333</v>
      </c>
      <c r="S810" s="2">
        <v>45729</v>
      </c>
      <c r="U810">
        <v>3</v>
      </c>
      <c r="V810" s="4">
        <v>5001</v>
      </c>
      <c r="W810" t="s">
        <v>65</v>
      </c>
      <c r="X810" t="s">
        <v>3150</v>
      </c>
      <c r="Y810">
        <v>0</v>
      </c>
      <c r="Z810" s="4">
        <v>5000</v>
      </c>
      <c r="AA810">
        <v>1</v>
      </c>
      <c r="AB810">
        <v>0</v>
      </c>
      <c r="AC810">
        <v>0</v>
      </c>
      <c r="AD810">
        <v>0</v>
      </c>
      <c r="AG810">
        <v>0</v>
      </c>
      <c r="AP810" t="s">
        <v>3151</v>
      </c>
      <c r="AQ810" t="s">
        <v>3152</v>
      </c>
      <c r="AR810" t="s">
        <v>6715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BC810" t="s">
        <v>69</v>
      </c>
      <c r="BD810" t="s">
        <v>3156</v>
      </c>
      <c r="BE810">
        <v>0</v>
      </c>
      <c r="BG810" t="s">
        <v>3152</v>
      </c>
      <c r="BJ810" t="s">
        <v>3157</v>
      </c>
    </row>
    <row r="811" spans="1:62" x14ac:dyDescent="0.35">
      <c r="A811" t="s">
        <v>2885</v>
      </c>
      <c r="B811">
        <v>10000</v>
      </c>
      <c r="C811">
        <v>20000</v>
      </c>
      <c r="D811" s="2">
        <v>45729</v>
      </c>
      <c r="E811" t="s">
        <v>61</v>
      </c>
      <c r="F811" s="3">
        <v>0.4465972222222222</v>
      </c>
      <c r="G811" t="s">
        <v>1293</v>
      </c>
      <c r="I811">
        <v>2</v>
      </c>
      <c r="J811" t="s">
        <v>63</v>
      </c>
      <c r="K811" s="8">
        <v>82</v>
      </c>
      <c r="L811" s="8" t="s">
        <v>6598</v>
      </c>
      <c r="M811" s="8" t="s">
        <v>6630</v>
      </c>
      <c r="N811" t="s">
        <v>341</v>
      </c>
      <c r="O811" t="s">
        <v>6346</v>
      </c>
      <c r="P811" s="4">
        <v>1670</v>
      </c>
      <c r="S811" s="2">
        <v>45729</v>
      </c>
      <c r="U811">
        <v>1</v>
      </c>
      <c r="V811" s="4">
        <v>1670</v>
      </c>
      <c r="W811" t="s">
        <v>65</v>
      </c>
      <c r="X811" t="s">
        <v>2886</v>
      </c>
      <c r="Y811">
        <v>0</v>
      </c>
      <c r="Z811" s="4">
        <v>1515</v>
      </c>
      <c r="AA811">
        <v>155</v>
      </c>
      <c r="AB811">
        <v>0</v>
      </c>
      <c r="AC811">
        <v>0</v>
      </c>
      <c r="AD811">
        <v>0</v>
      </c>
      <c r="AG811">
        <v>0</v>
      </c>
      <c r="AP811" t="s">
        <v>2887</v>
      </c>
      <c r="AQ811" t="s">
        <v>1282</v>
      </c>
      <c r="AR811" t="s">
        <v>6676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BC811" t="s">
        <v>69</v>
      </c>
      <c r="BD811" t="s">
        <v>2888</v>
      </c>
      <c r="BE811">
        <v>0</v>
      </c>
      <c r="BG811" t="s">
        <v>1282</v>
      </c>
      <c r="BJ811" t="s">
        <v>2889</v>
      </c>
    </row>
    <row r="812" spans="1:62" x14ac:dyDescent="0.35">
      <c r="A812" t="s">
        <v>3158</v>
      </c>
      <c r="B812">
        <v>10000</v>
      </c>
      <c r="C812">
        <v>10000</v>
      </c>
      <c r="D812" s="2">
        <v>45729</v>
      </c>
      <c r="E812" t="s">
        <v>61</v>
      </c>
      <c r="F812" t="s">
        <v>3159</v>
      </c>
      <c r="G812" t="s">
        <v>3160</v>
      </c>
      <c r="I812">
        <v>1</v>
      </c>
      <c r="J812" t="s">
        <v>63</v>
      </c>
      <c r="K812" s="8">
        <v>46</v>
      </c>
      <c r="L812" s="8" t="s">
        <v>6587</v>
      </c>
      <c r="M812" s="8" t="s">
        <v>6629</v>
      </c>
      <c r="N812" t="s">
        <v>113</v>
      </c>
      <c r="O812" t="s">
        <v>6499</v>
      </c>
      <c r="P812" s="4">
        <v>1000</v>
      </c>
      <c r="Q812">
        <f>(P812/40)+45</f>
        <v>70</v>
      </c>
      <c r="R812">
        <f>Q812/60</f>
        <v>1.1666666666666667</v>
      </c>
      <c r="S812" s="2">
        <v>45729</v>
      </c>
      <c r="U812">
        <v>1</v>
      </c>
      <c r="V812" s="4">
        <v>1000</v>
      </c>
      <c r="W812" t="s">
        <v>65</v>
      </c>
      <c r="X812" t="s">
        <v>3161</v>
      </c>
      <c r="Y812">
        <v>0</v>
      </c>
      <c r="Z812" s="4">
        <v>1000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3162</v>
      </c>
      <c r="AQ812" t="s">
        <v>116</v>
      </c>
      <c r="AR812" t="s">
        <v>6639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BC812" t="s">
        <v>69</v>
      </c>
      <c r="BD812" t="s">
        <v>3163</v>
      </c>
      <c r="BE812">
        <v>0</v>
      </c>
      <c r="BG812" t="s">
        <v>116</v>
      </c>
      <c r="BJ812" t="s">
        <v>2380</v>
      </c>
    </row>
    <row r="813" spans="1:62" x14ac:dyDescent="0.35">
      <c r="A813" t="s">
        <v>2105</v>
      </c>
      <c r="B813">
        <v>10000</v>
      </c>
      <c r="C813">
        <v>20000</v>
      </c>
      <c r="D813" s="2">
        <v>45730</v>
      </c>
      <c r="E813" t="s">
        <v>61</v>
      </c>
      <c r="F813" t="s">
        <v>2106</v>
      </c>
      <c r="G813" t="s">
        <v>2107</v>
      </c>
      <c r="I813">
        <v>2</v>
      </c>
      <c r="J813" t="s">
        <v>63</v>
      </c>
      <c r="K813" s="8">
        <v>105</v>
      </c>
      <c r="L813" s="8" t="s">
        <v>6612</v>
      </c>
      <c r="M813" s="8" t="s">
        <v>6632</v>
      </c>
      <c r="N813" t="s">
        <v>424</v>
      </c>
      <c r="O813" t="s">
        <v>6570</v>
      </c>
      <c r="P813" s="4">
        <v>2200</v>
      </c>
      <c r="S813" s="2">
        <v>45729</v>
      </c>
      <c r="U813">
        <v>1</v>
      </c>
      <c r="V813" s="4">
        <v>2200</v>
      </c>
      <c r="W813" t="s">
        <v>65</v>
      </c>
      <c r="X813" t="s">
        <v>2108</v>
      </c>
      <c r="Y813">
        <v>0</v>
      </c>
      <c r="Z813" s="4">
        <v>1594</v>
      </c>
      <c r="AA813">
        <v>606</v>
      </c>
      <c r="AB813">
        <v>0</v>
      </c>
      <c r="AC813">
        <v>0</v>
      </c>
      <c r="AD813">
        <v>0</v>
      </c>
      <c r="AG813">
        <v>0</v>
      </c>
      <c r="AP813" t="s">
        <v>2109</v>
      </c>
      <c r="AQ813" t="s">
        <v>1879</v>
      </c>
      <c r="AR813" t="s">
        <v>6691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BC813" t="s">
        <v>69</v>
      </c>
      <c r="BD813" t="s">
        <v>2110</v>
      </c>
      <c r="BE813">
        <v>0</v>
      </c>
      <c r="BG813" t="s">
        <v>1879</v>
      </c>
      <c r="BJ813" t="s">
        <v>1881</v>
      </c>
    </row>
    <row r="814" spans="1:62" x14ac:dyDescent="0.35">
      <c r="A814" t="s">
        <v>3164</v>
      </c>
      <c r="B814">
        <v>10000</v>
      </c>
      <c r="C814">
        <v>10000</v>
      </c>
      <c r="D814" s="2">
        <v>45730</v>
      </c>
      <c r="E814" t="s">
        <v>61</v>
      </c>
      <c r="F814" t="s">
        <v>3165</v>
      </c>
      <c r="G814">
        <v>860908144578</v>
      </c>
      <c r="I814">
        <v>1</v>
      </c>
      <c r="J814" t="s">
        <v>63</v>
      </c>
      <c r="K814" s="8">
        <v>79</v>
      </c>
      <c r="L814" s="8" t="s">
        <v>6608</v>
      </c>
      <c r="M814" s="8" t="s">
        <v>6631</v>
      </c>
      <c r="N814" t="s">
        <v>573</v>
      </c>
      <c r="O814" t="s">
        <v>6547</v>
      </c>
      <c r="P814">
        <v>550</v>
      </c>
      <c r="Q814">
        <f>(P814/20)+30</f>
        <v>57.5</v>
      </c>
      <c r="R814">
        <f>Q814/60</f>
        <v>0.95833333333333337</v>
      </c>
      <c r="S814" s="2">
        <v>45729</v>
      </c>
      <c r="U814">
        <v>8</v>
      </c>
      <c r="V814" s="4">
        <v>4400</v>
      </c>
      <c r="W814" t="s">
        <v>65</v>
      </c>
      <c r="X814" t="s">
        <v>3166</v>
      </c>
      <c r="Y814">
        <v>0</v>
      </c>
      <c r="Z814" s="4">
        <v>3300</v>
      </c>
      <c r="AA814" s="4">
        <v>1100</v>
      </c>
      <c r="AB814">
        <v>0</v>
      </c>
      <c r="AC814">
        <v>0</v>
      </c>
      <c r="AD814">
        <v>0</v>
      </c>
      <c r="AG814">
        <v>0</v>
      </c>
      <c r="AP814" t="s">
        <v>3167</v>
      </c>
      <c r="AQ814" t="s">
        <v>3168</v>
      </c>
      <c r="AR814" t="s">
        <v>6716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BC814" t="s">
        <v>69</v>
      </c>
      <c r="BD814" t="s">
        <v>3169</v>
      </c>
      <c r="BE814">
        <v>0</v>
      </c>
      <c r="BG814" t="s">
        <v>3168</v>
      </c>
      <c r="BJ814" t="s">
        <v>3170</v>
      </c>
    </row>
    <row r="815" spans="1:62" x14ac:dyDescent="0.35">
      <c r="A815" t="s">
        <v>3171</v>
      </c>
      <c r="B815">
        <v>10000</v>
      </c>
      <c r="C815">
        <v>10000</v>
      </c>
      <c r="D815" s="2">
        <v>45730</v>
      </c>
      <c r="E815" t="s">
        <v>61</v>
      </c>
      <c r="F815" t="s">
        <v>3172</v>
      </c>
      <c r="G815" t="s">
        <v>3173</v>
      </c>
      <c r="I815">
        <v>1</v>
      </c>
      <c r="J815" t="s">
        <v>63</v>
      </c>
      <c r="K815" s="8">
        <v>60</v>
      </c>
      <c r="L815" s="8" t="s">
        <v>6590</v>
      </c>
      <c r="M815" s="8" t="s">
        <v>6630</v>
      </c>
      <c r="N815" t="s">
        <v>277</v>
      </c>
      <c r="O815" t="s">
        <v>6554</v>
      </c>
      <c r="P815" s="4">
        <v>4000</v>
      </c>
      <c r="Q815">
        <f t="shared" ref="Q815:Q819" si="209">(P815/50)+45</f>
        <v>125</v>
      </c>
      <c r="R815">
        <f t="shared" ref="R815:R819" si="210">Q815/60</f>
        <v>2.0833333333333335</v>
      </c>
      <c r="S815" s="2">
        <v>45729</v>
      </c>
      <c r="U815">
        <v>5</v>
      </c>
      <c r="V815" s="4">
        <v>20000</v>
      </c>
      <c r="W815" t="s">
        <v>65</v>
      </c>
      <c r="X815" t="s">
        <v>3174</v>
      </c>
      <c r="Y815">
        <v>0</v>
      </c>
      <c r="Z815" s="4">
        <v>20000</v>
      </c>
      <c r="AA815">
        <v>0</v>
      </c>
      <c r="AB815">
        <v>0</v>
      </c>
      <c r="AC815">
        <v>0</v>
      </c>
      <c r="AD815">
        <v>0</v>
      </c>
      <c r="AG815">
        <v>0</v>
      </c>
      <c r="AP815" t="s">
        <v>3175</v>
      </c>
      <c r="AQ815" t="s">
        <v>3176</v>
      </c>
      <c r="AR815" t="s">
        <v>6717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BC815" t="s">
        <v>69</v>
      </c>
      <c r="BD815" t="s">
        <v>3177</v>
      </c>
      <c r="BE815">
        <v>0</v>
      </c>
      <c r="BG815" t="s">
        <v>3176</v>
      </c>
      <c r="BJ815" t="s">
        <v>3178</v>
      </c>
    </row>
    <row r="816" spans="1:62" x14ac:dyDescent="0.35">
      <c r="A816" t="s">
        <v>3179</v>
      </c>
      <c r="B816">
        <v>10000</v>
      </c>
      <c r="C816">
        <v>10000</v>
      </c>
      <c r="D816" s="2">
        <v>45730</v>
      </c>
      <c r="E816" t="s">
        <v>61</v>
      </c>
      <c r="F816" t="s">
        <v>3172</v>
      </c>
      <c r="G816" t="s">
        <v>3173</v>
      </c>
      <c r="I816">
        <v>1</v>
      </c>
      <c r="J816" t="s">
        <v>63</v>
      </c>
      <c r="K816" s="8">
        <v>60</v>
      </c>
      <c r="L816" s="8" t="s">
        <v>6590</v>
      </c>
      <c r="M816" s="8" t="s">
        <v>6630</v>
      </c>
      <c r="N816" t="s">
        <v>277</v>
      </c>
      <c r="O816" t="s">
        <v>6554</v>
      </c>
      <c r="P816" s="4">
        <v>2500</v>
      </c>
      <c r="Q816">
        <f t="shared" si="209"/>
        <v>95</v>
      </c>
      <c r="R816">
        <f t="shared" si="210"/>
        <v>1.5833333333333333</v>
      </c>
      <c r="S816" s="2">
        <v>45729</v>
      </c>
      <c r="U816">
        <v>8</v>
      </c>
      <c r="V816" s="4">
        <v>20000</v>
      </c>
      <c r="W816" t="s">
        <v>65</v>
      </c>
      <c r="X816" t="s">
        <v>3180</v>
      </c>
      <c r="Y816">
        <v>0</v>
      </c>
      <c r="Z816" s="4">
        <v>20000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3181</v>
      </c>
      <c r="AQ816" t="s">
        <v>3176</v>
      </c>
      <c r="AR816" t="s">
        <v>6717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BC816" t="s">
        <v>69</v>
      </c>
      <c r="BD816" t="s">
        <v>3182</v>
      </c>
      <c r="BE816">
        <v>0</v>
      </c>
      <c r="BG816" t="s">
        <v>3176</v>
      </c>
      <c r="BJ816" t="s">
        <v>3178</v>
      </c>
    </row>
    <row r="817" spans="1:62" x14ac:dyDescent="0.35">
      <c r="A817" t="s">
        <v>3183</v>
      </c>
      <c r="B817">
        <v>10000</v>
      </c>
      <c r="C817">
        <v>10000</v>
      </c>
      <c r="D817" s="2">
        <v>45729</v>
      </c>
      <c r="E817" t="s">
        <v>61</v>
      </c>
      <c r="F817" t="s">
        <v>2607</v>
      </c>
      <c r="G817" t="s">
        <v>3184</v>
      </c>
      <c r="I817">
        <v>1</v>
      </c>
      <c r="J817" t="s">
        <v>63</v>
      </c>
      <c r="K817" s="8">
        <v>61</v>
      </c>
      <c r="L817" s="8" t="s">
        <v>6594</v>
      </c>
      <c r="M817" s="8" t="s">
        <v>6629</v>
      </c>
      <c r="N817" t="s">
        <v>216</v>
      </c>
      <c r="O817" t="s">
        <v>6394</v>
      </c>
      <c r="P817">
        <v>200</v>
      </c>
      <c r="Q817">
        <f t="shared" si="209"/>
        <v>49</v>
      </c>
      <c r="R817">
        <f t="shared" si="210"/>
        <v>0.81666666666666665</v>
      </c>
      <c r="S817" s="2">
        <v>45729</v>
      </c>
      <c r="U817">
        <v>1</v>
      </c>
      <c r="V817">
        <v>200</v>
      </c>
      <c r="W817" t="s">
        <v>65</v>
      </c>
      <c r="X817">
        <v>107440870001</v>
      </c>
      <c r="Y817">
        <v>0</v>
      </c>
      <c r="Z817">
        <v>200</v>
      </c>
      <c r="AA817">
        <v>0</v>
      </c>
      <c r="AB817">
        <v>0</v>
      </c>
      <c r="AC817">
        <v>0</v>
      </c>
      <c r="AD817">
        <v>0</v>
      </c>
      <c r="AG817">
        <v>0</v>
      </c>
      <c r="AP817">
        <v>10744087</v>
      </c>
      <c r="AQ817" t="s">
        <v>487</v>
      </c>
      <c r="AR817" t="s">
        <v>6656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C817" t="s">
        <v>69</v>
      </c>
      <c r="BD817" t="s">
        <v>3185</v>
      </c>
      <c r="BE817">
        <v>0</v>
      </c>
      <c r="BG817" t="s">
        <v>487</v>
      </c>
      <c r="BJ817" t="s">
        <v>3186</v>
      </c>
    </row>
    <row r="818" spans="1:62" x14ac:dyDescent="0.35">
      <c r="A818" t="s">
        <v>3187</v>
      </c>
      <c r="B818">
        <v>10000</v>
      </c>
      <c r="C818">
        <v>10000</v>
      </c>
      <c r="D818" s="2">
        <v>45729</v>
      </c>
      <c r="E818" t="s">
        <v>61</v>
      </c>
      <c r="F818" t="s">
        <v>2607</v>
      </c>
      <c r="G818" t="s">
        <v>3184</v>
      </c>
      <c r="I818">
        <v>1</v>
      </c>
      <c r="J818" t="s">
        <v>63</v>
      </c>
      <c r="K818" s="8">
        <v>61</v>
      </c>
      <c r="L818" s="8" t="s">
        <v>6594</v>
      </c>
      <c r="M818" s="8" t="s">
        <v>6629</v>
      </c>
      <c r="N818" t="s">
        <v>216</v>
      </c>
      <c r="O818" t="s">
        <v>6394</v>
      </c>
      <c r="P818">
        <v>250</v>
      </c>
      <c r="Q818">
        <f t="shared" si="209"/>
        <v>50</v>
      </c>
      <c r="R818">
        <f t="shared" si="210"/>
        <v>0.83333333333333337</v>
      </c>
      <c r="S818" s="2">
        <v>45729</v>
      </c>
      <c r="U818">
        <v>1</v>
      </c>
      <c r="V818">
        <v>250</v>
      </c>
      <c r="W818" t="s">
        <v>65</v>
      </c>
      <c r="X818">
        <v>107133730001</v>
      </c>
      <c r="Y818">
        <v>0</v>
      </c>
      <c r="Z818">
        <v>250</v>
      </c>
      <c r="AA818">
        <v>0</v>
      </c>
      <c r="AB818">
        <v>0</v>
      </c>
      <c r="AC818">
        <v>0</v>
      </c>
      <c r="AD818">
        <v>0</v>
      </c>
      <c r="AG818">
        <v>0</v>
      </c>
      <c r="AP818">
        <v>10713373</v>
      </c>
      <c r="AQ818" t="s">
        <v>487</v>
      </c>
      <c r="AR818" t="s">
        <v>6656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BC818" t="s">
        <v>69</v>
      </c>
      <c r="BD818" t="s">
        <v>3188</v>
      </c>
      <c r="BE818">
        <v>0</v>
      </c>
      <c r="BG818" t="s">
        <v>487</v>
      </c>
      <c r="BJ818" t="s">
        <v>3189</v>
      </c>
    </row>
    <row r="819" spans="1:62" x14ac:dyDescent="0.35">
      <c r="A819" t="s">
        <v>3190</v>
      </c>
      <c r="B819">
        <v>10000</v>
      </c>
      <c r="C819">
        <v>10000</v>
      </c>
      <c r="D819" s="2">
        <v>45730</v>
      </c>
      <c r="E819" t="s">
        <v>61</v>
      </c>
      <c r="F819" s="3">
        <v>0.45489583333333333</v>
      </c>
      <c r="G819" t="s">
        <v>3184</v>
      </c>
      <c r="I819">
        <v>1</v>
      </c>
      <c r="J819" t="s">
        <v>63</v>
      </c>
      <c r="K819" s="8">
        <v>61</v>
      </c>
      <c r="L819" s="8" t="s">
        <v>6594</v>
      </c>
      <c r="M819" s="8" t="s">
        <v>6629</v>
      </c>
      <c r="N819" t="s">
        <v>216</v>
      </c>
      <c r="O819" t="s">
        <v>6394</v>
      </c>
      <c r="P819">
        <v>500</v>
      </c>
      <c r="Q819">
        <f t="shared" si="209"/>
        <v>55</v>
      </c>
      <c r="R819">
        <f t="shared" si="210"/>
        <v>0.91666666666666663</v>
      </c>
      <c r="S819" s="2">
        <v>45729</v>
      </c>
      <c r="U819">
        <v>1</v>
      </c>
      <c r="V819">
        <v>500</v>
      </c>
      <c r="W819" t="s">
        <v>65</v>
      </c>
      <c r="X819">
        <v>107458060001</v>
      </c>
      <c r="Y819">
        <v>0</v>
      </c>
      <c r="Z819">
        <v>500</v>
      </c>
      <c r="AA819">
        <v>0</v>
      </c>
      <c r="AB819">
        <v>0</v>
      </c>
      <c r="AC819">
        <v>0</v>
      </c>
      <c r="AD819">
        <v>0</v>
      </c>
      <c r="AG819">
        <v>0</v>
      </c>
      <c r="AP819">
        <v>10745806</v>
      </c>
      <c r="AQ819" t="s">
        <v>487</v>
      </c>
      <c r="AR819" t="s">
        <v>6656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BC819" t="s">
        <v>69</v>
      </c>
      <c r="BD819" t="s">
        <v>3191</v>
      </c>
      <c r="BE819">
        <v>0</v>
      </c>
      <c r="BG819" t="s">
        <v>487</v>
      </c>
      <c r="BJ819" t="s">
        <v>3192</v>
      </c>
    </row>
    <row r="820" spans="1:62" x14ac:dyDescent="0.35">
      <c r="A820" t="s">
        <v>3193</v>
      </c>
      <c r="B820">
        <v>10000</v>
      </c>
      <c r="C820">
        <v>10000</v>
      </c>
      <c r="D820" s="2">
        <v>45730</v>
      </c>
      <c r="E820" t="s">
        <v>61</v>
      </c>
      <c r="F820" t="s">
        <v>3194</v>
      </c>
      <c r="G820" t="s">
        <v>1725</v>
      </c>
      <c r="I820">
        <v>1</v>
      </c>
      <c r="J820" t="s">
        <v>63</v>
      </c>
      <c r="K820" s="8">
        <v>72</v>
      </c>
      <c r="L820" s="8" t="s">
        <v>6606</v>
      </c>
      <c r="M820" s="8" t="s">
        <v>6631</v>
      </c>
      <c r="N820" t="s">
        <v>163</v>
      </c>
      <c r="O820" t="s">
        <v>6548</v>
      </c>
      <c r="P820" s="4">
        <v>7500</v>
      </c>
      <c r="S820" s="2">
        <v>45729</v>
      </c>
      <c r="U820">
        <v>4</v>
      </c>
      <c r="V820" s="4">
        <v>30000</v>
      </c>
      <c r="W820" t="s">
        <v>65</v>
      </c>
      <c r="X820" t="s">
        <v>3195</v>
      </c>
      <c r="Y820">
        <v>0</v>
      </c>
      <c r="Z820" s="4">
        <v>25000</v>
      </c>
      <c r="AA820" s="4">
        <v>5000</v>
      </c>
      <c r="AB820">
        <v>0</v>
      </c>
      <c r="AC820">
        <v>0</v>
      </c>
      <c r="AD820">
        <v>0</v>
      </c>
      <c r="AG820">
        <v>0</v>
      </c>
      <c r="AP820" t="s">
        <v>3196</v>
      </c>
      <c r="AQ820" t="s">
        <v>280</v>
      </c>
      <c r="AR820" t="s">
        <v>6649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BC820" t="s">
        <v>69</v>
      </c>
      <c r="BD820" t="s">
        <v>3197</v>
      </c>
      <c r="BE820">
        <v>0</v>
      </c>
      <c r="BG820" t="s">
        <v>280</v>
      </c>
      <c r="BJ820" t="s">
        <v>3198</v>
      </c>
    </row>
    <row r="821" spans="1:62" x14ac:dyDescent="0.35">
      <c r="A821" t="s">
        <v>3193</v>
      </c>
      <c r="B821">
        <v>10000</v>
      </c>
      <c r="C821">
        <v>20000</v>
      </c>
      <c r="D821" s="2">
        <v>45730</v>
      </c>
      <c r="E821" t="s">
        <v>61</v>
      </c>
      <c r="F821" t="s">
        <v>3194</v>
      </c>
      <c r="G821" t="s">
        <v>1725</v>
      </c>
      <c r="I821">
        <v>2</v>
      </c>
      <c r="J821" t="s">
        <v>63</v>
      </c>
      <c r="K821" s="8">
        <v>82</v>
      </c>
      <c r="L821" s="8" t="s">
        <v>6598</v>
      </c>
      <c r="M821" s="8" t="s">
        <v>6630</v>
      </c>
      <c r="N821" t="s">
        <v>341</v>
      </c>
      <c r="O821" t="s">
        <v>6346</v>
      </c>
      <c r="P821" s="4">
        <v>4667</v>
      </c>
      <c r="S821" s="2">
        <v>45729</v>
      </c>
      <c r="U821">
        <v>6</v>
      </c>
      <c r="V821" s="4">
        <v>28002</v>
      </c>
      <c r="W821" t="s">
        <v>65</v>
      </c>
      <c r="X821" t="s">
        <v>3195</v>
      </c>
      <c r="Y821">
        <v>0</v>
      </c>
      <c r="Z821" s="4">
        <v>25000</v>
      </c>
      <c r="AA821" s="4">
        <v>3002</v>
      </c>
      <c r="AB821">
        <v>0</v>
      </c>
      <c r="AC821">
        <v>0</v>
      </c>
      <c r="AD821">
        <v>0</v>
      </c>
      <c r="AG821">
        <v>0</v>
      </c>
      <c r="AP821" t="s">
        <v>3196</v>
      </c>
      <c r="AQ821" t="s">
        <v>280</v>
      </c>
      <c r="AR821" t="s">
        <v>6649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BC821" t="s">
        <v>69</v>
      </c>
      <c r="BD821" t="s">
        <v>3197</v>
      </c>
      <c r="BE821">
        <v>0</v>
      </c>
      <c r="BG821" t="s">
        <v>280</v>
      </c>
      <c r="BJ821" t="s">
        <v>3198</v>
      </c>
    </row>
    <row r="822" spans="1:62" x14ac:dyDescent="0.35">
      <c r="A822" t="s">
        <v>3199</v>
      </c>
      <c r="B822">
        <v>10000</v>
      </c>
      <c r="C822">
        <v>10000</v>
      </c>
      <c r="D822" s="2">
        <v>45730</v>
      </c>
      <c r="E822" t="s">
        <v>61</v>
      </c>
      <c r="F822" t="s">
        <v>3200</v>
      </c>
      <c r="G822" t="s">
        <v>1725</v>
      </c>
      <c r="I822">
        <v>1</v>
      </c>
      <c r="J822" t="s">
        <v>63</v>
      </c>
      <c r="K822" s="8">
        <v>72</v>
      </c>
      <c r="L822" s="8" t="s">
        <v>6606</v>
      </c>
      <c r="M822" s="8" t="s">
        <v>6631</v>
      </c>
      <c r="N822" t="s">
        <v>163</v>
      </c>
      <c r="O822" t="s">
        <v>6548</v>
      </c>
      <c r="P822" s="4">
        <v>15000</v>
      </c>
      <c r="S822" s="2">
        <v>45729</v>
      </c>
      <c r="U822">
        <v>2</v>
      </c>
      <c r="V822" s="4">
        <v>30000</v>
      </c>
      <c r="W822" t="s">
        <v>65</v>
      </c>
      <c r="X822" t="s">
        <v>3201</v>
      </c>
      <c r="Y822">
        <v>0</v>
      </c>
      <c r="Z822" s="4">
        <v>25000</v>
      </c>
      <c r="AA822" s="4">
        <v>5000</v>
      </c>
      <c r="AB822">
        <v>0</v>
      </c>
      <c r="AC822">
        <v>0</v>
      </c>
      <c r="AD822">
        <v>0</v>
      </c>
      <c r="AG822">
        <v>0</v>
      </c>
      <c r="AP822" t="s">
        <v>3202</v>
      </c>
      <c r="AQ822" t="s">
        <v>1756</v>
      </c>
      <c r="AR822" t="s">
        <v>6685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BC822" t="s">
        <v>69</v>
      </c>
      <c r="BD822" t="s">
        <v>3203</v>
      </c>
      <c r="BE822">
        <v>0</v>
      </c>
      <c r="BG822" t="s">
        <v>1756</v>
      </c>
      <c r="BJ822" t="s">
        <v>3204</v>
      </c>
    </row>
    <row r="823" spans="1:62" x14ac:dyDescent="0.35">
      <c r="A823" t="s">
        <v>3199</v>
      </c>
      <c r="B823">
        <v>10000</v>
      </c>
      <c r="C823">
        <v>20000</v>
      </c>
      <c r="D823" s="2">
        <v>45730</v>
      </c>
      <c r="E823" t="s">
        <v>61</v>
      </c>
      <c r="F823" t="s">
        <v>3200</v>
      </c>
      <c r="G823" t="s">
        <v>1725</v>
      </c>
      <c r="I823">
        <v>2</v>
      </c>
      <c r="J823" t="s">
        <v>63</v>
      </c>
      <c r="K823" s="8">
        <v>71</v>
      </c>
      <c r="L823" s="8" t="s">
        <v>6588</v>
      </c>
      <c r="M823" s="8" t="s">
        <v>6630</v>
      </c>
      <c r="N823" t="s">
        <v>135</v>
      </c>
      <c r="O823" t="s">
        <v>6573</v>
      </c>
      <c r="P823" s="4">
        <v>12500</v>
      </c>
      <c r="S823" s="2">
        <v>45729</v>
      </c>
      <c r="U823">
        <v>2</v>
      </c>
      <c r="V823" s="4">
        <v>25000</v>
      </c>
      <c r="W823" t="s">
        <v>65</v>
      </c>
      <c r="X823" t="s">
        <v>3201</v>
      </c>
      <c r="Y823">
        <v>0</v>
      </c>
      <c r="Z823" s="4">
        <v>25000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3202</v>
      </c>
      <c r="AQ823" t="s">
        <v>1756</v>
      </c>
      <c r="AR823" t="s">
        <v>6685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BC823" t="s">
        <v>69</v>
      </c>
      <c r="BD823" t="s">
        <v>3203</v>
      </c>
      <c r="BE823">
        <v>0</v>
      </c>
      <c r="BG823" t="s">
        <v>1756</v>
      </c>
      <c r="BJ823" t="s">
        <v>3204</v>
      </c>
    </row>
    <row r="824" spans="1:62" x14ac:dyDescent="0.35">
      <c r="A824" t="s">
        <v>3205</v>
      </c>
      <c r="B824">
        <v>10000</v>
      </c>
      <c r="C824">
        <v>10000</v>
      </c>
      <c r="D824" s="2">
        <v>45733</v>
      </c>
      <c r="E824" t="s">
        <v>61</v>
      </c>
      <c r="F824" t="s">
        <v>2326</v>
      </c>
      <c r="G824" t="s">
        <v>2289</v>
      </c>
      <c r="I824">
        <v>1</v>
      </c>
      <c r="J824" t="s">
        <v>63</v>
      </c>
      <c r="K824" s="8">
        <v>78</v>
      </c>
      <c r="L824" s="8" t="s">
        <v>6593</v>
      </c>
      <c r="M824" s="8" t="s">
        <v>6629</v>
      </c>
      <c r="N824" t="s">
        <v>188</v>
      </c>
      <c r="O824" t="s">
        <v>6410</v>
      </c>
      <c r="P824" s="4">
        <v>2750</v>
      </c>
      <c r="Q824">
        <f t="shared" ref="Q824:Q827" si="211">(P824/40)+45</f>
        <v>113.75</v>
      </c>
      <c r="R824">
        <f t="shared" ref="R824:R827" si="212">Q824/60</f>
        <v>1.8958333333333333</v>
      </c>
      <c r="S824" s="2">
        <v>45729</v>
      </c>
      <c r="U824">
        <v>16</v>
      </c>
      <c r="V824" s="4">
        <v>44000</v>
      </c>
      <c r="W824" t="s">
        <v>65</v>
      </c>
      <c r="X824" t="s">
        <v>2865</v>
      </c>
      <c r="Y824">
        <v>0</v>
      </c>
      <c r="Z824" s="4">
        <v>40000</v>
      </c>
      <c r="AA824" s="4">
        <v>4000</v>
      </c>
      <c r="AB824">
        <v>0</v>
      </c>
      <c r="AC824">
        <v>0</v>
      </c>
      <c r="AD824">
        <v>0</v>
      </c>
      <c r="AG824">
        <v>0</v>
      </c>
      <c r="AP824" t="s">
        <v>2866</v>
      </c>
      <c r="AQ824" t="s">
        <v>157</v>
      </c>
      <c r="AR824" t="s">
        <v>6640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BC824" t="s">
        <v>69</v>
      </c>
      <c r="BD824" t="s">
        <v>3206</v>
      </c>
      <c r="BE824">
        <v>0</v>
      </c>
      <c r="BG824" t="s">
        <v>157</v>
      </c>
      <c r="BJ824" t="s">
        <v>3207</v>
      </c>
    </row>
    <row r="825" spans="1:62" x14ac:dyDescent="0.35">
      <c r="A825" t="s">
        <v>2935</v>
      </c>
      <c r="B825">
        <v>10000</v>
      </c>
      <c r="C825">
        <v>20000</v>
      </c>
      <c r="D825" s="2">
        <v>45730</v>
      </c>
      <c r="E825" t="s">
        <v>61</v>
      </c>
      <c r="F825" t="s">
        <v>2684</v>
      </c>
      <c r="G825" t="s">
        <v>2289</v>
      </c>
      <c r="I825">
        <v>2</v>
      </c>
      <c r="J825" t="s">
        <v>63</v>
      </c>
      <c r="K825" s="8">
        <v>63</v>
      </c>
      <c r="L825" s="8" t="s">
        <v>6605</v>
      </c>
      <c r="M825" s="8" t="s">
        <v>6630</v>
      </c>
      <c r="N825" t="s">
        <v>519</v>
      </c>
      <c r="O825" t="s">
        <v>6569</v>
      </c>
      <c r="P825" s="4">
        <v>5000</v>
      </c>
      <c r="Q825">
        <f t="shared" si="211"/>
        <v>170</v>
      </c>
      <c r="R825">
        <f t="shared" si="212"/>
        <v>2.8333333333333335</v>
      </c>
      <c r="S825" s="2">
        <v>45729</v>
      </c>
      <c r="U825">
        <v>16</v>
      </c>
      <c r="V825" s="4">
        <v>80000</v>
      </c>
      <c r="W825" t="s">
        <v>65</v>
      </c>
      <c r="X825" t="s">
        <v>2594</v>
      </c>
      <c r="Y825">
        <v>0</v>
      </c>
      <c r="Z825" s="4">
        <v>80000</v>
      </c>
      <c r="AA825">
        <v>0</v>
      </c>
      <c r="AB825">
        <v>0</v>
      </c>
      <c r="AC825">
        <v>0</v>
      </c>
      <c r="AD825">
        <v>0</v>
      </c>
      <c r="AG825">
        <v>0</v>
      </c>
      <c r="AP825" t="s">
        <v>2595</v>
      </c>
      <c r="AQ825" t="s">
        <v>157</v>
      </c>
      <c r="AR825" t="s">
        <v>6640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BC825" t="s">
        <v>69</v>
      </c>
      <c r="BD825" t="s">
        <v>2936</v>
      </c>
      <c r="BE825">
        <v>0</v>
      </c>
      <c r="BG825" t="s">
        <v>157</v>
      </c>
      <c r="BJ825" t="s">
        <v>2937</v>
      </c>
    </row>
    <row r="826" spans="1:62" x14ac:dyDescent="0.35">
      <c r="A826" t="s">
        <v>2683</v>
      </c>
      <c r="B826">
        <v>10000</v>
      </c>
      <c r="C826">
        <v>20000</v>
      </c>
      <c r="D826" s="2">
        <v>45730</v>
      </c>
      <c r="E826" t="s">
        <v>61</v>
      </c>
      <c r="F826" t="s">
        <v>2684</v>
      </c>
      <c r="G826" t="s">
        <v>2289</v>
      </c>
      <c r="I826">
        <v>2</v>
      </c>
      <c r="J826" t="s">
        <v>63</v>
      </c>
      <c r="K826" s="8">
        <v>63</v>
      </c>
      <c r="L826" s="8" t="s">
        <v>6605</v>
      </c>
      <c r="M826" s="8" t="s">
        <v>6630</v>
      </c>
      <c r="N826" t="s">
        <v>519</v>
      </c>
      <c r="O826" t="s">
        <v>6569</v>
      </c>
      <c r="P826" s="4">
        <v>5000</v>
      </c>
      <c r="Q826">
        <f t="shared" si="211"/>
        <v>170</v>
      </c>
      <c r="R826">
        <f t="shared" si="212"/>
        <v>2.8333333333333335</v>
      </c>
      <c r="S826" s="2">
        <v>45729</v>
      </c>
      <c r="U826">
        <v>16</v>
      </c>
      <c r="V826" s="4">
        <v>80000</v>
      </c>
      <c r="W826" t="s">
        <v>65</v>
      </c>
      <c r="X826" t="s">
        <v>1740</v>
      </c>
      <c r="Y826">
        <v>0</v>
      </c>
      <c r="Z826" s="4">
        <v>80000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1741</v>
      </c>
      <c r="AQ826" t="s">
        <v>157</v>
      </c>
      <c r="AR826" t="s">
        <v>6640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BC826" t="s">
        <v>69</v>
      </c>
      <c r="BD826" t="s">
        <v>2685</v>
      </c>
      <c r="BE826">
        <v>0</v>
      </c>
      <c r="BG826" t="s">
        <v>157</v>
      </c>
      <c r="BJ826" t="s">
        <v>2686</v>
      </c>
    </row>
    <row r="827" spans="1:62" x14ac:dyDescent="0.35">
      <c r="A827" t="s">
        <v>2687</v>
      </c>
      <c r="B827">
        <v>10000</v>
      </c>
      <c r="C827">
        <v>20000</v>
      </c>
      <c r="D827" s="2">
        <v>45730</v>
      </c>
      <c r="E827" t="s">
        <v>61</v>
      </c>
      <c r="F827" t="s">
        <v>2684</v>
      </c>
      <c r="G827" t="s">
        <v>2289</v>
      </c>
      <c r="I827">
        <v>2</v>
      </c>
      <c r="J827" t="s">
        <v>63</v>
      </c>
      <c r="K827" s="8">
        <v>63</v>
      </c>
      <c r="L827" s="8" t="s">
        <v>6605</v>
      </c>
      <c r="M827" s="8" t="s">
        <v>6630</v>
      </c>
      <c r="N827" t="s">
        <v>519</v>
      </c>
      <c r="O827" t="s">
        <v>6569</v>
      </c>
      <c r="P827" s="4">
        <v>5000</v>
      </c>
      <c r="Q827">
        <f t="shared" si="211"/>
        <v>170</v>
      </c>
      <c r="R827">
        <f t="shared" si="212"/>
        <v>2.8333333333333335</v>
      </c>
      <c r="S827" s="2">
        <v>45729</v>
      </c>
      <c r="U827">
        <v>16</v>
      </c>
      <c r="V827" s="4">
        <v>80000</v>
      </c>
      <c r="W827" t="s">
        <v>65</v>
      </c>
      <c r="X827" t="s">
        <v>1740</v>
      </c>
      <c r="Y827">
        <v>0</v>
      </c>
      <c r="Z827" s="4">
        <v>80000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1741</v>
      </c>
      <c r="AQ827" t="s">
        <v>157</v>
      </c>
      <c r="AR827" t="s">
        <v>6640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BC827" t="s">
        <v>69</v>
      </c>
      <c r="BD827" t="s">
        <v>2688</v>
      </c>
      <c r="BE827">
        <v>0</v>
      </c>
      <c r="BG827" t="s">
        <v>157</v>
      </c>
      <c r="BJ827" t="s">
        <v>2689</v>
      </c>
    </row>
    <row r="828" spans="1:62" x14ac:dyDescent="0.35">
      <c r="A828" t="s">
        <v>2938</v>
      </c>
      <c r="B828">
        <v>10000</v>
      </c>
      <c r="C828">
        <v>20000</v>
      </c>
      <c r="D828" s="2">
        <v>45730</v>
      </c>
      <c r="E828" t="s">
        <v>61</v>
      </c>
      <c r="F828" t="s">
        <v>2939</v>
      </c>
      <c r="G828" t="s">
        <v>2940</v>
      </c>
      <c r="I828">
        <v>1</v>
      </c>
      <c r="J828" t="s">
        <v>63</v>
      </c>
      <c r="K828" s="8">
        <v>66</v>
      </c>
      <c r="L828" s="8" t="s">
        <v>6600</v>
      </c>
      <c r="M828" s="8" t="s">
        <v>6630</v>
      </c>
      <c r="N828" t="s">
        <v>800</v>
      </c>
      <c r="O828" t="s">
        <v>6562</v>
      </c>
      <c r="P828" s="4">
        <v>30000</v>
      </c>
      <c r="Q828">
        <f>(P828/50)+45</f>
        <v>645</v>
      </c>
      <c r="R828">
        <f>Q828/60</f>
        <v>10.75</v>
      </c>
      <c r="S828" s="2">
        <v>45729</v>
      </c>
      <c r="U828">
        <v>1</v>
      </c>
      <c r="V828" s="4">
        <v>30000</v>
      </c>
      <c r="W828" t="s">
        <v>65</v>
      </c>
      <c r="X828" t="s">
        <v>381</v>
      </c>
      <c r="Y828">
        <v>0</v>
      </c>
      <c r="Z828" s="4">
        <v>30000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382</v>
      </c>
      <c r="AQ828" t="s">
        <v>157</v>
      </c>
      <c r="AR828" t="s">
        <v>6640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BC828" t="s">
        <v>69</v>
      </c>
      <c r="BD828" t="s">
        <v>2941</v>
      </c>
      <c r="BE828">
        <v>0</v>
      </c>
      <c r="BG828" t="s">
        <v>157</v>
      </c>
      <c r="BJ828" t="s">
        <v>2942</v>
      </c>
    </row>
    <row r="829" spans="1:62" x14ac:dyDescent="0.35">
      <c r="A829" t="s">
        <v>2690</v>
      </c>
      <c r="B829">
        <v>10000</v>
      </c>
      <c r="C829">
        <v>20000</v>
      </c>
      <c r="D829" s="2">
        <v>45730</v>
      </c>
      <c r="E829" t="s">
        <v>61</v>
      </c>
      <c r="F829" t="s">
        <v>2691</v>
      </c>
      <c r="G829">
        <v>12190705006</v>
      </c>
      <c r="I829">
        <v>1</v>
      </c>
      <c r="J829" t="s">
        <v>63</v>
      </c>
      <c r="K829" s="8">
        <v>68</v>
      </c>
      <c r="L829" s="8" t="s">
        <v>6605</v>
      </c>
      <c r="M829" s="8" t="s">
        <v>6630</v>
      </c>
      <c r="N829" t="s">
        <v>405</v>
      </c>
      <c r="O829" t="s">
        <v>6555</v>
      </c>
      <c r="P829" s="4">
        <v>15000</v>
      </c>
      <c r="Q829">
        <f t="shared" ref="Q829:Q831" si="213">(P829/40)+45</f>
        <v>420</v>
      </c>
      <c r="R829">
        <f t="shared" ref="R829:R831" si="214">Q829/60</f>
        <v>7</v>
      </c>
      <c r="S829" s="2">
        <v>45729</v>
      </c>
      <c r="U829">
        <v>2</v>
      </c>
      <c r="V829" s="4">
        <v>30000</v>
      </c>
      <c r="W829" t="s">
        <v>65</v>
      </c>
      <c r="X829" t="s">
        <v>803</v>
      </c>
      <c r="Y829">
        <v>0</v>
      </c>
      <c r="Z829" s="4">
        <v>30000</v>
      </c>
      <c r="AA829">
        <v>0</v>
      </c>
      <c r="AB829">
        <v>0</v>
      </c>
      <c r="AC829">
        <v>0</v>
      </c>
      <c r="AD829">
        <v>0</v>
      </c>
      <c r="AG829">
        <v>0</v>
      </c>
      <c r="AP829" t="s">
        <v>804</v>
      </c>
      <c r="AQ829" t="s">
        <v>157</v>
      </c>
      <c r="AR829" t="s">
        <v>6640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BC829" t="s">
        <v>69</v>
      </c>
      <c r="BD829" t="s">
        <v>2692</v>
      </c>
      <c r="BE829">
        <v>0</v>
      </c>
      <c r="BG829" t="s">
        <v>157</v>
      </c>
      <c r="BJ829" t="s">
        <v>2693</v>
      </c>
    </row>
    <row r="830" spans="1:62" x14ac:dyDescent="0.35">
      <c r="A830" t="s">
        <v>3208</v>
      </c>
      <c r="B830">
        <v>10000</v>
      </c>
      <c r="C830">
        <v>10000</v>
      </c>
      <c r="D830" s="2">
        <v>45734</v>
      </c>
      <c r="E830" t="s">
        <v>61</v>
      </c>
      <c r="F830" t="s">
        <v>3209</v>
      </c>
      <c r="G830" t="s">
        <v>2289</v>
      </c>
      <c r="I830">
        <v>1</v>
      </c>
      <c r="J830" t="s">
        <v>63</v>
      </c>
      <c r="K830" s="8">
        <v>78</v>
      </c>
      <c r="L830" s="8" t="s">
        <v>6593</v>
      </c>
      <c r="M830" s="8" t="s">
        <v>6629</v>
      </c>
      <c r="N830" t="s">
        <v>188</v>
      </c>
      <c r="O830" t="s">
        <v>6410</v>
      </c>
      <c r="P830" s="4">
        <v>8000</v>
      </c>
      <c r="Q830">
        <f t="shared" si="213"/>
        <v>245</v>
      </c>
      <c r="R830">
        <f t="shared" si="214"/>
        <v>4.083333333333333</v>
      </c>
      <c r="S830" s="2">
        <v>45729</v>
      </c>
      <c r="U830">
        <v>16</v>
      </c>
      <c r="V830" s="4">
        <v>128000</v>
      </c>
      <c r="W830" t="s">
        <v>65</v>
      </c>
      <c r="X830" t="s">
        <v>2865</v>
      </c>
      <c r="Y830">
        <v>0</v>
      </c>
      <c r="Z830" s="4">
        <v>120000</v>
      </c>
      <c r="AA830" s="4">
        <v>8000</v>
      </c>
      <c r="AB830">
        <v>0</v>
      </c>
      <c r="AC830">
        <v>0</v>
      </c>
      <c r="AD830">
        <v>0</v>
      </c>
      <c r="AG830">
        <v>0</v>
      </c>
      <c r="AP830" t="s">
        <v>2866</v>
      </c>
      <c r="AQ830" t="s">
        <v>175</v>
      </c>
      <c r="AR830" t="s">
        <v>6642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BC830" t="s">
        <v>69</v>
      </c>
      <c r="BD830" t="s">
        <v>3210</v>
      </c>
      <c r="BE830">
        <v>0</v>
      </c>
      <c r="BG830" t="s">
        <v>175</v>
      </c>
      <c r="BJ830" t="s">
        <v>3211</v>
      </c>
    </row>
    <row r="831" spans="1:62" x14ac:dyDescent="0.35">
      <c r="A831" t="s">
        <v>3212</v>
      </c>
      <c r="B831">
        <v>10000</v>
      </c>
      <c r="C831">
        <v>10000</v>
      </c>
      <c r="D831" s="2">
        <v>45734</v>
      </c>
      <c r="E831" t="s">
        <v>61</v>
      </c>
      <c r="F831" t="s">
        <v>3213</v>
      </c>
      <c r="G831" t="s">
        <v>2289</v>
      </c>
      <c r="I831">
        <v>1</v>
      </c>
      <c r="J831" t="s">
        <v>63</v>
      </c>
      <c r="K831" s="8">
        <v>78</v>
      </c>
      <c r="L831" s="8" t="s">
        <v>6593</v>
      </c>
      <c r="M831" s="8" t="s">
        <v>6629</v>
      </c>
      <c r="N831" t="s">
        <v>188</v>
      </c>
      <c r="O831" t="s">
        <v>6410</v>
      </c>
      <c r="P831" s="4">
        <v>8000</v>
      </c>
      <c r="Q831">
        <f t="shared" si="213"/>
        <v>245</v>
      </c>
      <c r="R831">
        <f t="shared" si="214"/>
        <v>4.083333333333333</v>
      </c>
      <c r="S831" s="2">
        <v>45729</v>
      </c>
      <c r="U831">
        <v>16</v>
      </c>
      <c r="V831" s="4">
        <v>128000</v>
      </c>
      <c r="W831" t="s">
        <v>65</v>
      </c>
      <c r="X831" t="s">
        <v>2865</v>
      </c>
      <c r="Y831">
        <v>0</v>
      </c>
      <c r="Z831" s="4">
        <v>120000</v>
      </c>
      <c r="AA831" s="4">
        <v>8000</v>
      </c>
      <c r="AB831">
        <v>0</v>
      </c>
      <c r="AC831">
        <v>0</v>
      </c>
      <c r="AD831">
        <v>0</v>
      </c>
      <c r="AG831">
        <v>0</v>
      </c>
      <c r="AP831" t="s">
        <v>2866</v>
      </c>
      <c r="AQ831" t="s">
        <v>175</v>
      </c>
      <c r="AR831" t="s">
        <v>6642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BC831" t="s">
        <v>69</v>
      </c>
      <c r="BD831" t="s">
        <v>3214</v>
      </c>
      <c r="BE831">
        <v>0</v>
      </c>
      <c r="BG831" t="s">
        <v>175</v>
      </c>
      <c r="BJ831" t="s">
        <v>3215</v>
      </c>
    </row>
    <row r="832" spans="1:62" x14ac:dyDescent="0.35">
      <c r="A832" t="s">
        <v>3216</v>
      </c>
      <c r="B832">
        <v>10000</v>
      </c>
      <c r="C832">
        <v>10000</v>
      </c>
      <c r="D832" s="2">
        <v>45737</v>
      </c>
      <c r="E832" t="s">
        <v>61</v>
      </c>
      <c r="F832" t="s">
        <v>3217</v>
      </c>
      <c r="G832" t="s">
        <v>3218</v>
      </c>
      <c r="I832">
        <v>1</v>
      </c>
      <c r="J832" t="s">
        <v>63</v>
      </c>
      <c r="K832" s="8">
        <v>66</v>
      </c>
      <c r="L832" s="8" t="s">
        <v>6600</v>
      </c>
      <c r="M832" s="8" t="s">
        <v>6630</v>
      </c>
      <c r="N832" t="s">
        <v>800</v>
      </c>
      <c r="O832" t="s">
        <v>6562</v>
      </c>
      <c r="P832" s="4">
        <v>280000</v>
      </c>
      <c r="Q832">
        <f>(P832/50)+45</f>
        <v>5645</v>
      </c>
      <c r="R832">
        <f>Q832/60</f>
        <v>94.083333333333329</v>
      </c>
      <c r="S832" s="2">
        <v>45729</v>
      </c>
      <c r="U832">
        <v>1</v>
      </c>
      <c r="V832" s="4">
        <v>280000</v>
      </c>
      <c r="W832" t="s">
        <v>65</v>
      </c>
      <c r="X832" t="s">
        <v>381</v>
      </c>
      <c r="Y832">
        <v>0</v>
      </c>
      <c r="Z832" s="4">
        <v>280000</v>
      </c>
      <c r="AA832">
        <v>0</v>
      </c>
      <c r="AB832">
        <v>0</v>
      </c>
      <c r="AC832">
        <v>0</v>
      </c>
      <c r="AD832">
        <v>0</v>
      </c>
      <c r="AG832">
        <v>0</v>
      </c>
      <c r="AP832" t="s">
        <v>382</v>
      </c>
      <c r="AQ832" t="s">
        <v>175</v>
      </c>
      <c r="AR832" t="s">
        <v>6642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BC832" t="s">
        <v>69</v>
      </c>
      <c r="BD832" t="s">
        <v>3219</v>
      </c>
      <c r="BE832">
        <v>0</v>
      </c>
      <c r="BG832" t="s">
        <v>175</v>
      </c>
      <c r="BJ832" t="s">
        <v>3220</v>
      </c>
    </row>
    <row r="833" spans="1:62" x14ac:dyDescent="0.35">
      <c r="A833" t="s">
        <v>3221</v>
      </c>
      <c r="B833">
        <v>10000</v>
      </c>
      <c r="C833">
        <v>10000</v>
      </c>
      <c r="D833" s="2">
        <v>45733</v>
      </c>
      <c r="E833" t="s">
        <v>61</v>
      </c>
      <c r="F833" t="s">
        <v>3222</v>
      </c>
      <c r="G833">
        <v>12190705005</v>
      </c>
      <c r="I833">
        <v>1</v>
      </c>
      <c r="J833" t="s">
        <v>63</v>
      </c>
      <c r="K833" s="8">
        <v>68</v>
      </c>
      <c r="L833" s="8" t="s">
        <v>6605</v>
      </c>
      <c r="M833" s="8" t="s">
        <v>6630</v>
      </c>
      <c r="N833" t="s">
        <v>405</v>
      </c>
      <c r="O833" t="s">
        <v>6555</v>
      </c>
      <c r="P833" s="4">
        <v>15000</v>
      </c>
      <c r="Q833">
        <f>(P833/40)+45</f>
        <v>420</v>
      </c>
      <c r="R833">
        <f>Q833/60</f>
        <v>7</v>
      </c>
      <c r="S833" s="2">
        <v>45729</v>
      </c>
      <c r="U833">
        <v>2</v>
      </c>
      <c r="V833" s="4">
        <v>30000</v>
      </c>
      <c r="W833" t="s">
        <v>65</v>
      </c>
      <c r="X833" t="s">
        <v>803</v>
      </c>
      <c r="Y833">
        <v>0</v>
      </c>
      <c r="Z833" s="4">
        <v>30000</v>
      </c>
      <c r="AA833">
        <v>0</v>
      </c>
      <c r="AB833">
        <v>0</v>
      </c>
      <c r="AC833">
        <v>0</v>
      </c>
      <c r="AD833">
        <v>0</v>
      </c>
      <c r="AG833">
        <v>0</v>
      </c>
      <c r="AP833" t="s">
        <v>804</v>
      </c>
      <c r="AQ833" t="s">
        <v>175</v>
      </c>
      <c r="AR833" t="s">
        <v>6642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BC833" t="s">
        <v>69</v>
      </c>
      <c r="BD833" t="s">
        <v>3223</v>
      </c>
      <c r="BE833">
        <v>0</v>
      </c>
      <c r="BG833" t="s">
        <v>175</v>
      </c>
      <c r="BJ833" t="s">
        <v>3224</v>
      </c>
    </row>
    <row r="834" spans="1:62" x14ac:dyDescent="0.35">
      <c r="A834" t="s">
        <v>3221</v>
      </c>
      <c r="B834">
        <v>10000</v>
      </c>
      <c r="C834">
        <v>20000</v>
      </c>
      <c r="D834" s="2">
        <v>45733</v>
      </c>
      <c r="E834" t="s">
        <v>61</v>
      </c>
      <c r="F834" t="s">
        <v>3222</v>
      </c>
      <c r="G834">
        <v>12190705005</v>
      </c>
      <c r="I834">
        <v>1</v>
      </c>
      <c r="J834" t="s">
        <v>63</v>
      </c>
      <c r="K834" s="8">
        <v>68</v>
      </c>
      <c r="L834" t="s">
        <v>6605</v>
      </c>
      <c r="M834" s="8" t="s">
        <v>6630</v>
      </c>
      <c r="N834" t="s">
        <v>154</v>
      </c>
      <c r="O834" t="s">
        <v>6575</v>
      </c>
      <c r="P834" s="4">
        <v>35000</v>
      </c>
      <c r="S834" s="2">
        <v>45729</v>
      </c>
      <c r="U834">
        <v>2</v>
      </c>
      <c r="V834" s="4">
        <v>70000</v>
      </c>
      <c r="W834" t="s">
        <v>65</v>
      </c>
      <c r="X834" t="s">
        <v>803</v>
      </c>
      <c r="Y834">
        <v>0</v>
      </c>
      <c r="Z834" s="4">
        <v>70000</v>
      </c>
      <c r="AA834">
        <v>0</v>
      </c>
      <c r="AB834">
        <v>0</v>
      </c>
      <c r="AC834">
        <v>0</v>
      </c>
      <c r="AD834">
        <v>0</v>
      </c>
      <c r="AG834">
        <v>0</v>
      </c>
      <c r="AP834" t="s">
        <v>804</v>
      </c>
      <c r="AQ834" t="s">
        <v>175</v>
      </c>
      <c r="AR834" t="s">
        <v>6642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BC834" t="s">
        <v>69</v>
      </c>
      <c r="BD834" t="s">
        <v>3223</v>
      </c>
      <c r="BE834">
        <v>0</v>
      </c>
      <c r="BG834" t="s">
        <v>175</v>
      </c>
      <c r="BJ834" t="s">
        <v>3224</v>
      </c>
    </row>
    <row r="835" spans="1:62" x14ac:dyDescent="0.35">
      <c r="A835" t="s">
        <v>2706</v>
      </c>
      <c r="B835">
        <v>10000</v>
      </c>
      <c r="C835">
        <v>20000</v>
      </c>
      <c r="D835" s="2">
        <v>45733</v>
      </c>
      <c r="E835" t="s">
        <v>61</v>
      </c>
      <c r="F835" t="s">
        <v>2707</v>
      </c>
      <c r="G835" t="s">
        <v>2708</v>
      </c>
      <c r="I835">
        <v>1</v>
      </c>
      <c r="J835" t="s">
        <v>63</v>
      </c>
      <c r="K835" s="8">
        <v>62</v>
      </c>
      <c r="L835" t="s">
        <v>6600</v>
      </c>
      <c r="M835" s="8" t="s">
        <v>6630</v>
      </c>
      <c r="N835" t="s">
        <v>380</v>
      </c>
      <c r="O835" t="s">
        <v>6558</v>
      </c>
      <c r="P835" s="4">
        <v>50000</v>
      </c>
      <c r="S835" s="2">
        <v>45729</v>
      </c>
      <c r="U835">
        <v>1</v>
      </c>
      <c r="V835" s="4">
        <v>50000</v>
      </c>
      <c r="W835" t="s">
        <v>65</v>
      </c>
      <c r="X835" t="s">
        <v>2488</v>
      </c>
      <c r="Y835">
        <v>0</v>
      </c>
      <c r="Z835" s="4">
        <v>50000</v>
      </c>
      <c r="AA835">
        <v>0</v>
      </c>
      <c r="AB835">
        <v>0</v>
      </c>
      <c r="AC835">
        <v>0</v>
      </c>
      <c r="AD835">
        <v>0</v>
      </c>
      <c r="AG835">
        <v>0</v>
      </c>
      <c r="AP835" t="s">
        <v>2489</v>
      </c>
      <c r="AQ835" t="s">
        <v>175</v>
      </c>
      <c r="AR835" t="s">
        <v>6642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BC835" t="s">
        <v>69</v>
      </c>
      <c r="BD835" t="s">
        <v>2709</v>
      </c>
      <c r="BE835">
        <v>0</v>
      </c>
      <c r="BG835" t="s">
        <v>175</v>
      </c>
      <c r="BJ835" t="s">
        <v>2710</v>
      </c>
    </row>
    <row r="836" spans="1:62" x14ac:dyDescent="0.35">
      <c r="A836" t="s">
        <v>3226</v>
      </c>
      <c r="B836">
        <v>10000</v>
      </c>
      <c r="C836">
        <v>10000</v>
      </c>
      <c r="D836" s="2">
        <v>45729</v>
      </c>
      <c r="E836" t="s">
        <v>61</v>
      </c>
      <c r="F836" t="s">
        <v>3227</v>
      </c>
      <c r="G836" t="s">
        <v>2344</v>
      </c>
      <c r="I836">
        <v>1</v>
      </c>
      <c r="J836" t="s">
        <v>63</v>
      </c>
      <c r="K836" s="8">
        <v>65</v>
      </c>
      <c r="L836" s="8" t="s">
        <v>6596</v>
      </c>
      <c r="M836" s="8" t="s">
        <v>6630</v>
      </c>
      <c r="N836" t="s">
        <v>268</v>
      </c>
      <c r="O836" t="s">
        <v>6543</v>
      </c>
      <c r="P836">
        <v>39</v>
      </c>
      <c r="Q836">
        <f t="shared" ref="Q836:Q840" si="215">(P836/40)+45</f>
        <v>45.975000000000001</v>
      </c>
      <c r="R836">
        <f t="shared" ref="R836:R840" si="216">Q836/60</f>
        <v>0.76624999999999999</v>
      </c>
      <c r="S836" s="2">
        <v>45729</v>
      </c>
      <c r="U836">
        <v>26</v>
      </c>
      <c r="V836" s="4">
        <v>1014</v>
      </c>
      <c r="W836" t="s">
        <v>65</v>
      </c>
      <c r="X836" t="s">
        <v>3228</v>
      </c>
      <c r="Y836">
        <v>0</v>
      </c>
      <c r="Z836" s="4">
        <v>1000</v>
      </c>
      <c r="AA836">
        <v>14</v>
      </c>
      <c r="AB836">
        <v>0</v>
      </c>
      <c r="AC836">
        <v>0</v>
      </c>
      <c r="AD836">
        <v>0</v>
      </c>
      <c r="AG836">
        <v>0</v>
      </c>
      <c r="AP836" t="s">
        <v>3229</v>
      </c>
      <c r="AQ836" t="s">
        <v>508</v>
      </c>
      <c r="AR836" t="s">
        <v>6657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BC836" t="s">
        <v>69</v>
      </c>
      <c r="BD836" t="s">
        <v>3230</v>
      </c>
      <c r="BE836">
        <v>0</v>
      </c>
      <c r="BG836" t="s">
        <v>508</v>
      </c>
      <c r="BJ836" t="s">
        <v>2990</v>
      </c>
    </row>
    <row r="837" spans="1:62" x14ac:dyDescent="0.35">
      <c r="A837" t="s">
        <v>3231</v>
      </c>
      <c r="B837">
        <v>10000</v>
      </c>
      <c r="C837">
        <v>10000</v>
      </c>
      <c r="D837" s="2">
        <v>45729</v>
      </c>
      <c r="E837" t="s">
        <v>61</v>
      </c>
      <c r="F837" t="s">
        <v>3232</v>
      </c>
      <c r="G837" t="s">
        <v>2986</v>
      </c>
      <c r="I837">
        <v>1</v>
      </c>
      <c r="J837" t="s">
        <v>63</v>
      </c>
      <c r="K837" s="8">
        <v>65</v>
      </c>
      <c r="L837" s="8" t="s">
        <v>6596</v>
      </c>
      <c r="M837" s="8" t="s">
        <v>6630</v>
      </c>
      <c r="N837" t="s">
        <v>268</v>
      </c>
      <c r="O837" t="s">
        <v>6543</v>
      </c>
      <c r="P837">
        <v>231</v>
      </c>
      <c r="Q837">
        <f t="shared" si="215"/>
        <v>50.774999999999999</v>
      </c>
      <c r="R837">
        <f t="shared" si="216"/>
        <v>0.84624999999999995</v>
      </c>
      <c r="S837" s="2">
        <v>45729</v>
      </c>
      <c r="U837">
        <v>13</v>
      </c>
      <c r="V837" s="4">
        <v>3003</v>
      </c>
      <c r="W837" t="s">
        <v>65</v>
      </c>
      <c r="X837" t="s">
        <v>1042</v>
      </c>
      <c r="Y837">
        <v>0</v>
      </c>
      <c r="Z837" s="4">
        <v>3000</v>
      </c>
      <c r="AA837">
        <v>3</v>
      </c>
      <c r="AB837">
        <v>0</v>
      </c>
      <c r="AC837">
        <v>0</v>
      </c>
      <c r="AD837">
        <v>0</v>
      </c>
      <c r="AG837">
        <v>0</v>
      </c>
      <c r="AP837" t="s">
        <v>1043</v>
      </c>
      <c r="AQ837" t="s">
        <v>508</v>
      </c>
      <c r="AR837" t="s">
        <v>6657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BC837" t="s">
        <v>69</v>
      </c>
      <c r="BD837" t="s">
        <v>3233</v>
      </c>
      <c r="BE837">
        <v>0</v>
      </c>
      <c r="BG837" t="s">
        <v>508</v>
      </c>
      <c r="BJ837" t="s">
        <v>2990</v>
      </c>
    </row>
    <row r="838" spans="1:62" x14ac:dyDescent="0.35">
      <c r="A838" t="s">
        <v>3234</v>
      </c>
      <c r="B838">
        <v>10000</v>
      </c>
      <c r="C838">
        <v>10000</v>
      </c>
      <c r="D838" s="2">
        <v>45730</v>
      </c>
      <c r="E838" t="s">
        <v>61</v>
      </c>
      <c r="F838" t="s">
        <v>3235</v>
      </c>
      <c r="G838" t="s">
        <v>1387</v>
      </c>
      <c r="I838">
        <v>1</v>
      </c>
      <c r="J838" t="s">
        <v>63</v>
      </c>
      <c r="K838" s="8">
        <v>65</v>
      </c>
      <c r="L838" s="8" t="s">
        <v>6596</v>
      </c>
      <c r="M838" s="8" t="s">
        <v>6630</v>
      </c>
      <c r="N838" t="s">
        <v>268</v>
      </c>
      <c r="O838" t="s">
        <v>6543</v>
      </c>
      <c r="P838">
        <v>539</v>
      </c>
      <c r="Q838">
        <f t="shared" si="215"/>
        <v>58.475000000000001</v>
      </c>
      <c r="R838">
        <f t="shared" si="216"/>
        <v>0.97458333333333336</v>
      </c>
      <c r="S838" s="2">
        <v>45729</v>
      </c>
      <c r="U838">
        <v>26</v>
      </c>
      <c r="V838" s="4">
        <v>14014</v>
      </c>
      <c r="W838" t="s">
        <v>65</v>
      </c>
      <c r="X838" t="s">
        <v>3236</v>
      </c>
      <c r="Y838">
        <v>0</v>
      </c>
      <c r="Z838" s="4">
        <v>14000</v>
      </c>
      <c r="AA838">
        <v>14</v>
      </c>
      <c r="AB838">
        <v>0</v>
      </c>
      <c r="AC838">
        <v>0</v>
      </c>
      <c r="AD838">
        <v>0</v>
      </c>
      <c r="AG838">
        <v>0</v>
      </c>
      <c r="AP838" t="s">
        <v>3237</v>
      </c>
      <c r="AQ838" t="s">
        <v>508</v>
      </c>
      <c r="AR838" t="s">
        <v>6657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BC838" t="s">
        <v>69</v>
      </c>
      <c r="BD838" t="s">
        <v>3238</v>
      </c>
      <c r="BE838">
        <v>0</v>
      </c>
      <c r="BG838" t="s">
        <v>508</v>
      </c>
      <c r="BJ838" t="s">
        <v>2990</v>
      </c>
    </row>
    <row r="839" spans="1:62" x14ac:dyDescent="0.35">
      <c r="A839" t="s">
        <v>3239</v>
      </c>
      <c r="B839">
        <v>10000</v>
      </c>
      <c r="C839">
        <v>10000</v>
      </c>
      <c r="D839" s="2">
        <v>45729</v>
      </c>
      <c r="E839" t="s">
        <v>61</v>
      </c>
      <c r="F839" t="s">
        <v>3240</v>
      </c>
      <c r="G839" t="s">
        <v>2344</v>
      </c>
      <c r="I839">
        <v>1</v>
      </c>
      <c r="J839" t="s">
        <v>63</v>
      </c>
      <c r="K839" s="8">
        <v>65</v>
      </c>
      <c r="L839" s="8" t="s">
        <v>6596</v>
      </c>
      <c r="M839" s="8" t="s">
        <v>6630</v>
      </c>
      <c r="N839" t="s">
        <v>268</v>
      </c>
      <c r="O839" t="s">
        <v>6543</v>
      </c>
      <c r="P839">
        <v>313</v>
      </c>
      <c r="Q839">
        <f t="shared" si="215"/>
        <v>52.825000000000003</v>
      </c>
      <c r="R839">
        <f t="shared" si="216"/>
        <v>0.88041666666666674</v>
      </c>
      <c r="S839" s="2">
        <v>45729</v>
      </c>
      <c r="U839">
        <v>8</v>
      </c>
      <c r="V839" s="4">
        <v>2504</v>
      </c>
      <c r="W839" t="s">
        <v>65</v>
      </c>
      <c r="X839" t="s">
        <v>3241</v>
      </c>
      <c r="Y839">
        <v>0</v>
      </c>
      <c r="Z839" s="4">
        <v>2500</v>
      </c>
      <c r="AA839">
        <v>4</v>
      </c>
      <c r="AB839">
        <v>0</v>
      </c>
      <c r="AC839">
        <v>0</v>
      </c>
      <c r="AD839">
        <v>0</v>
      </c>
      <c r="AG839">
        <v>0</v>
      </c>
      <c r="AP839" t="s">
        <v>3242</v>
      </c>
      <c r="AQ839" t="s">
        <v>508</v>
      </c>
      <c r="AR839" t="s">
        <v>6657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BC839" t="s">
        <v>69</v>
      </c>
      <c r="BD839" t="s">
        <v>3243</v>
      </c>
      <c r="BE839">
        <v>0</v>
      </c>
      <c r="BG839" t="s">
        <v>508</v>
      </c>
      <c r="BJ839" t="s">
        <v>2990</v>
      </c>
    </row>
    <row r="840" spans="1:62" x14ac:dyDescent="0.35">
      <c r="A840" t="s">
        <v>3244</v>
      </c>
      <c r="B840">
        <v>10000</v>
      </c>
      <c r="C840">
        <v>10000</v>
      </c>
      <c r="D840" s="2">
        <v>45729</v>
      </c>
      <c r="E840" t="s">
        <v>61</v>
      </c>
      <c r="F840" t="s">
        <v>3159</v>
      </c>
      <c r="G840" t="s">
        <v>2986</v>
      </c>
      <c r="I840">
        <v>1</v>
      </c>
      <c r="J840" t="s">
        <v>63</v>
      </c>
      <c r="K840" s="8">
        <v>65</v>
      </c>
      <c r="L840" s="8" t="s">
        <v>6596</v>
      </c>
      <c r="M840" s="8" t="s">
        <v>6630</v>
      </c>
      <c r="N840" t="s">
        <v>268</v>
      </c>
      <c r="O840" t="s">
        <v>6543</v>
      </c>
      <c r="P840">
        <v>313</v>
      </c>
      <c r="Q840">
        <f t="shared" si="215"/>
        <v>52.825000000000003</v>
      </c>
      <c r="R840">
        <f t="shared" si="216"/>
        <v>0.88041666666666674</v>
      </c>
      <c r="S840" s="2">
        <v>45729</v>
      </c>
      <c r="U840">
        <v>16</v>
      </c>
      <c r="V840" s="4">
        <v>5008</v>
      </c>
      <c r="W840" t="s">
        <v>65</v>
      </c>
      <c r="X840" t="s">
        <v>3245</v>
      </c>
      <c r="Y840">
        <v>0</v>
      </c>
      <c r="Z840" s="4">
        <v>5000</v>
      </c>
      <c r="AA840">
        <v>8</v>
      </c>
      <c r="AB840">
        <v>0</v>
      </c>
      <c r="AC840">
        <v>0</v>
      </c>
      <c r="AD840">
        <v>0</v>
      </c>
      <c r="AG840">
        <v>0</v>
      </c>
      <c r="AP840" t="s">
        <v>3246</v>
      </c>
      <c r="AQ840" t="s">
        <v>508</v>
      </c>
      <c r="AR840" t="s">
        <v>6657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BC840" t="s">
        <v>69</v>
      </c>
      <c r="BD840" t="s">
        <v>3247</v>
      </c>
      <c r="BE840">
        <v>0</v>
      </c>
      <c r="BG840" t="s">
        <v>508</v>
      </c>
      <c r="BJ840" t="s">
        <v>2990</v>
      </c>
    </row>
    <row r="841" spans="1:62" x14ac:dyDescent="0.35">
      <c r="A841" t="s">
        <v>3248</v>
      </c>
      <c r="B841">
        <v>10000</v>
      </c>
      <c r="C841">
        <v>10000</v>
      </c>
      <c r="D841" s="2">
        <v>45730</v>
      </c>
      <c r="E841" t="s">
        <v>61</v>
      </c>
      <c r="F841" t="s">
        <v>3249</v>
      </c>
      <c r="G841" t="s">
        <v>3250</v>
      </c>
      <c r="I841">
        <v>1</v>
      </c>
      <c r="J841" t="s">
        <v>63</v>
      </c>
      <c r="K841" s="8" t="s">
        <v>1744</v>
      </c>
      <c r="L841" s="8" t="s">
        <v>6615</v>
      </c>
      <c r="M841" s="8" t="s">
        <v>6631</v>
      </c>
      <c r="N841" t="s">
        <v>630</v>
      </c>
      <c r="O841" t="s">
        <v>6571</v>
      </c>
      <c r="P841" s="4">
        <v>1000</v>
      </c>
      <c r="S841" s="2">
        <v>45729</v>
      </c>
      <c r="U841">
        <v>1</v>
      </c>
      <c r="V841" s="4">
        <v>1000</v>
      </c>
      <c r="W841" t="s">
        <v>65</v>
      </c>
      <c r="X841" t="s">
        <v>3251</v>
      </c>
      <c r="Y841">
        <v>0</v>
      </c>
      <c r="Z841" s="4">
        <v>1000</v>
      </c>
      <c r="AA841">
        <v>0</v>
      </c>
      <c r="AB841">
        <v>0</v>
      </c>
      <c r="AC841">
        <v>0</v>
      </c>
      <c r="AD841">
        <v>0</v>
      </c>
      <c r="AG841">
        <v>0</v>
      </c>
      <c r="AP841" t="s">
        <v>3252</v>
      </c>
      <c r="AQ841" t="s">
        <v>508</v>
      </c>
      <c r="AR841" t="s">
        <v>6657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BC841" t="s">
        <v>69</v>
      </c>
      <c r="BD841" t="s">
        <v>3253</v>
      </c>
      <c r="BE841">
        <v>0</v>
      </c>
      <c r="BG841" t="s">
        <v>508</v>
      </c>
      <c r="BJ841" t="s">
        <v>2990</v>
      </c>
    </row>
    <row r="842" spans="1:62" x14ac:dyDescent="0.35">
      <c r="A842" t="s">
        <v>3254</v>
      </c>
      <c r="B842">
        <v>10000</v>
      </c>
      <c r="C842">
        <v>10000</v>
      </c>
      <c r="D842" s="2">
        <v>45730</v>
      </c>
      <c r="E842" t="s">
        <v>61</v>
      </c>
      <c r="F842" t="s">
        <v>3255</v>
      </c>
      <c r="G842" t="s">
        <v>3256</v>
      </c>
      <c r="I842">
        <v>1</v>
      </c>
      <c r="J842" t="s">
        <v>63</v>
      </c>
      <c r="K842" s="8" t="s">
        <v>3257</v>
      </c>
      <c r="L842" s="8" t="s">
        <v>6615</v>
      </c>
      <c r="M842" s="8" t="s">
        <v>6631</v>
      </c>
      <c r="N842" t="s">
        <v>630</v>
      </c>
      <c r="O842" t="s">
        <v>6571</v>
      </c>
      <c r="P842" s="4">
        <v>1000</v>
      </c>
      <c r="S842" s="2">
        <v>45729</v>
      </c>
      <c r="U842">
        <v>1</v>
      </c>
      <c r="V842" s="4">
        <v>1000</v>
      </c>
      <c r="W842" t="s">
        <v>65</v>
      </c>
      <c r="X842" t="s">
        <v>3258</v>
      </c>
      <c r="Y842">
        <v>0</v>
      </c>
      <c r="Z842" s="4">
        <v>1000</v>
      </c>
      <c r="AA842">
        <v>0</v>
      </c>
      <c r="AB842">
        <v>0</v>
      </c>
      <c r="AC842">
        <v>0</v>
      </c>
      <c r="AD842">
        <v>0</v>
      </c>
      <c r="AG842">
        <v>0</v>
      </c>
      <c r="AP842" t="s">
        <v>3259</v>
      </c>
      <c r="AQ842" t="s">
        <v>508</v>
      </c>
      <c r="AR842" t="s">
        <v>6657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BC842" t="s">
        <v>69</v>
      </c>
      <c r="BD842" t="s">
        <v>3260</v>
      </c>
      <c r="BE842">
        <v>0</v>
      </c>
      <c r="BG842" t="s">
        <v>508</v>
      </c>
      <c r="BJ842" t="s">
        <v>2990</v>
      </c>
    </row>
    <row r="843" spans="1:62" x14ac:dyDescent="0.35">
      <c r="A843" t="s">
        <v>3261</v>
      </c>
      <c r="B843">
        <v>10000</v>
      </c>
      <c r="C843">
        <v>10000</v>
      </c>
      <c r="D843" s="2">
        <v>45729</v>
      </c>
      <c r="E843" t="s">
        <v>61</v>
      </c>
      <c r="F843" t="s">
        <v>3227</v>
      </c>
      <c r="G843" t="s">
        <v>2344</v>
      </c>
      <c r="I843">
        <v>1</v>
      </c>
      <c r="J843" t="s">
        <v>63</v>
      </c>
      <c r="K843" s="8">
        <v>65</v>
      </c>
      <c r="L843" s="8" t="s">
        <v>6596</v>
      </c>
      <c r="M843" s="8" t="s">
        <v>6630</v>
      </c>
      <c r="N843" t="s">
        <v>268</v>
      </c>
      <c r="O843" t="s">
        <v>6543</v>
      </c>
      <c r="P843">
        <v>110</v>
      </c>
      <c r="Q843">
        <f t="shared" ref="Q843:Q846" si="217">(P843/40)+45</f>
        <v>47.75</v>
      </c>
      <c r="R843">
        <f t="shared" ref="R843:R846" si="218">Q843/60</f>
        <v>0.79583333333333328</v>
      </c>
      <c r="S843" s="2">
        <v>45729</v>
      </c>
      <c r="U843">
        <v>26</v>
      </c>
      <c r="V843" s="4">
        <v>2860</v>
      </c>
      <c r="W843" t="s">
        <v>65</v>
      </c>
      <c r="X843" t="s">
        <v>3228</v>
      </c>
      <c r="Y843">
        <v>0</v>
      </c>
      <c r="Z843" s="4">
        <v>2840</v>
      </c>
      <c r="AA843">
        <v>20</v>
      </c>
      <c r="AB843">
        <v>0</v>
      </c>
      <c r="AC843">
        <v>0</v>
      </c>
      <c r="AD843">
        <v>0</v>
      </c>
      <c r="AG843">
        <v>0</v>
      </c>
      <c r="AP843" t="s">
        <v>3229</v>
      </c>
      <c r="AQ843" t="s">
        <v>508</v>
      </c>
      <c r="AR843" t="s">
        <v>6657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BC843" t="s">
        <v>69</v>
      </c>
      <c r="BD843" t="s">
        <v>3262</v>
      </c>
      <c r="BE843">
        <v>0</v>
      </c>
      <c r="BG843" t="s">
        <v>508</v>
      </c>
      <c r="BJ843" t="s">
        <v>2993</v>
      </c>
    </row>
    <row r="844" spans="1:62" x14ac:dyDescent="0.35">
      <c r="A844" t="s">
        <v>3263</v>
      </c>
      <c r="B844">
        <v>10000</v>
      </c>
      <c r="C844">
        <v>10000</v>
      </c>
      <c r="D844" s="2">
        <v>45729</v>
      </c>
      <c r="E844" t="s">
        <v>61</v>
      </c>
      <c r="F844" t="s">
        <v>3232</v>
      </c>
      <c r="G844" t="s">
        <v>2986</v>
      </c>
      <c r="I844">
        <v>1</v>
      </c>
      <c r="J844" t="s">
        <v>63</v>
      </c>
      <c r="K844" s="8">
        <v>65</v>
      </c>
      <c r="L844" s="8" t="s">
        <v>6596</v>
      </c>
      <c r="M844" s="8" t="s">
        <v>6630</v>
      </c>
      <c r="N844" t="s">
        <v>268</v>
      </c>
      <c r="O844" t="s">
        <v>6543</v>
      </c>
      <c r="P844">
        <v>924</v>
      </c>
      <c r="Q844">
        <f t="shared" si="217"/>
        <v>68.099999999999994</v>
      </c>
      <c r="R844">
        <f t="shared" si="218"/>
        <v>1.135</v>
      </c>
      <c r="S844" s="2">
        <v>45729</v>
      </c>
      <c r="U844">
        <v>13</v>
      </c>
      <c r="V844" s="4">
        <v>12012</v>
      </c>
      <c r="W844" t="s">
        <v>65</v>
      </c>
      <c r="X844" t="s">
        <v>1042</v>
      </c>
      <c r="Y844">
        <v>0</v>
      </c>
      <c r="Z844" s="4">
        <v>12000</v>
      </c>
      <c r="AA844">
        <v>12</v>
      </c>
      <c r="AB844">
        <v>0</v>
      </c>
      <c r="AC844">
        <v>0</v>
      </c>
      <c r="AD844">
        <v>0</v>
      </c>
      <c r="AG844">
        <v>0</v>
      </c>
      <c r="AP844" t="s">
        <v>1043</v>
      </c>
      <c r="AQ844" t="s">
        <v>508</v>
      </c>
      <c r="AR844" t="s">
        <v>6657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BC844" t="s">
        <v>69</v>
      </c>
      <c r="BD844" t="s">
        <v>3264</v>
      </c>
      <c r="BE844">
        <v>0</v>
      </c>
      <c r="BG844" t="s">
        <v>508</v>
      </c>
      <c r="BJ844" t="s">
        <v>2993</v>
      </c>
    </row>
    <row r="845" spans="1:62" x14ac:dyDescent="0.35">
      <c r="A845" t="s">
        <v>3265</v>
      </c>
      <c r="B845">
        <v>10000</v>
      </c>
      <c r="C845">
        <v>10000</v>
      </c>
      <c r="D845" s="2">
        <v>45729</v>
      </c>
      <c r="E845" t="s">
        <v>61</v>
      </c>
      <c r="F845" t="s">
        <v>3240</v>
      </c>
      <c r="G845" t="s">
        <v>2344</v>
      </c>
      <c r="I845">
        <v>1</v>
      </c>
      <c r="J845" t="s">
        <v>63</v>
      </c>
      <c r="K845" s="8">
        <v>65</v>
      </c>
      <c r="L845" s="8" t="s">
        <v>6596</v>
      </c>
      <c r="M845" s="8" t="s">
        <v>6630</v>
      </c>
      <c r="N845" t="s">
        <v>268</v>
      </c>
      <c r="O845" t="s">
        <v>6543</v>
      </c>
      <c r="P845">
        <v>625</v>
      </c>
      <c r="Q845">
        <f t="shared" si="217"/>
        <v>60.625</v>
      </c>
      <c r="R845">
        <f t="shared" si="218"/>
        <v>1.0104166666666667</v>
      </c>
      <c r="S845" s="2">
        <v>45729</v>
      </c>
      <c r="U845">
        <v>8</v>
      </c>
      <c r="V845" s="4">
        <v>5000</v>
      </c>
      <c r="W845" t="s">
        <v>65</v>
      </c>
      <c r="X845" t="s">
        <v>3241</v>
      </c>
      <c r="Y845">
        <v>0</v>
      </c>
      <c r="Z845" s="4">
        <v>5000</v>
      </c>
      <c r="AA845">
        <v>0</v>
      </c>
      <c r="AB845">
        <v>0</v>
      </c>
      <c r="AC845">
        <v>0</v>
      </c>
      <c r="AD845">
        <v>0</v>
      </c>
      <c r="AG845">
        <v>0</v>
      </c>
      <c r="AP845" t="s">
        <v>3242</v>
      </c>
      <c r="AQ845" t="s">
        <v>508</v>
      </c>
      <c r="AR845" t="s">
        <v>6657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BC845" t="s">
        <v>69</v>
      </c>
      <c r="BD845" t="s">
        <v>3266</v>
      </c>
      <c r="BE845">
        <v>0</v>
      </c>
      <c r="BG845" t="s">
        <v>508</v>
      </c>
      <c r="BJ845" t="s">
        <v>2993</v>
      </c>
    </row>
    <row r="846" spans="1:62" x14ac:dyDescent="0.35">
      <c r="A846" t="s">
        <v>3267</v>
      </c>
      <c r="B846">
        <v>10000</v>
      </c>
      <c r="C846">
        <v>10000</v>
      </c>
      <c r="D846" s="2">
        <v>45729</v>
      </c>
      <c r="E846" t="s">
        <v>61</v>
      </c>
      <c r="F846" t="s">
        <v>3159</v>
      </c>
      <c r="G846" t="s">
        <v>2986</v>
      </c>
      <c r="I846">
        <v>1</v>
      </c>
      <c r="J846" t="s">
        <v>63</v>
      </c>
      <c r="K846" s="8">
        <v>65</v>
      </c>
      <c r="L846" s="8" t="s">
        <v>6596</v>
      </c>
      <c r="M846" s="8" t="s">
        <v>6630</v>
      </c>
      <c r="N846" t="s">
        <v>268</v>
      </c>
      <c r="O846" t="s">
        <v>6543</v>
      </c>
      <c r="P846">
        <v>313</v>
      </c>
      <c r="Q846">
        <f t="shared" si="217"/>
        <v>52.825000000000003</v>
      </c>
      <c r="R846">
        <f t="shared" si="218"/>
        <v>0.88041666666666674</v>
      </c>
      <c r="S846" s="2">
        <v>45729</v>
      </c>
      <c r="U846">
        <v>16</v>
      </c>
      <c r="V846" s="4">
        <v>5008</v>
      </c>
      <c r="W846" t="s">
        <v>65</v>
      </c>
      <c r="X846" t="s">
        <v>3245</v>
      </c>
      <c r="Y846">
        <v>0</v>
      </c>
      <c r="Z846" s="4">
        <v>5000</v>
      </c>
      <c r="AA846">
        <v>8</v>
      </c>
      <c r="AB846">
        <v>0</v>
      </c>
      <c r="AC846">
        <v>0</v>
      </c>
      <c r="AD846">
        <v>0</v>
      </c>
      <c r="AG846">
        <v>0</v>
      </c>
      <c r="AP846" t="s">
        <v>3246</v>
      </c>
      <c r="AQ846" t="s">
        <v>508</v>
      </c>
      <c r="AR846" t="s">
        <v>6657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BC846" t="s">
        <v>69</v>
      </c>
      <c r="BD846" t="s">
        <v>3268</v>
      </c>
      <c r="BE846">
        <v>0</v>
      </c>
      <c r="BG846" t="s">
        <v>508</v>
      </c>
      <c r="BJ846" t="s">
        <v>2993</v>
      </c>
    </row>
    <row r="847" spans="1:62" x14ac:dyDescent="0.35">
      <c r="A847" t="s">
        <v>2994</v>
      </c>
      <c r="B847">
        <v>10000</v>
      </c>
      <c r="C847">
        <v>20000</v>
      </c>
      <c r="D847" s="2">
        <v>45729</v>
      </c>
      <c r="E847" t="s">
        <v>61</v>
      </c>
      <c r="F847" t="s">
        <v>2995</v>
      </c>
      <c r="G847" t="s">
        <v>1293</v>
      </c>
      <c r="I847">
        <v>2</v>
      </c>
      <c r="J847" t="s">
        <v>63</v>
      </c>
      <c r="K847" s="8">
        <v>82</v>
      </c>
      <c r="L847" s="8" t="s">
        <v>6598</v>
      </c>
      <c r="M847" s="8" t="s">
        <v>6630</v>
      </c>
      <c r="N847" t="s">
        <v>341</v>
      </c>
      <c r="O847" t="s">
        <v>6346</v>
      </c>
      <c r="P847">
        <v>467</v>
      </c>
      <c r="S847" s="2">
        <v>45729</v>
      </c>
      <c r="U847">
        <v>15</v>
      </c>
      <c r="V847" s="4">
        <v>7005</v>
      </c>
      <c r="W847" t="s">
        <v>65</v>
      </c>
      <c r="X847" t="s">
        <v>2996</v>
      </c>
      <c r="Y847">
        <v>0</v>
      </c>
      <c r="Z847" s="4">
        <v>5000</v>
      </c>
      <c r="AA847" s="4">
        <v>2005</v>
      </c>
      <c r="AB847">
        <v>0</v>
      </c>
      <c r="AC847">
        <v>0</v>
      </c>
      <c r="AD847">
        <v>0</v>
      </c>
      <c r="AG847">
        <v>0</v>
      </c>
      <c r="AP847" t="s">
        <v>2997</v>
      </c>
      <c r="AQ847" t="s">
        <v>909</v>
      </c>
      <c r="AR847" t="s">
        <v>6667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BC847" t="s">
        <v>69</v>
      </c>
      <c r="BD847" t="s">
        <v>2998</v>
      </c>
      <c r="BE847">
        <v>0</v>
      </c>
      <c r="BG847" t="s">
        <v>909</v>
      </c>
      <c r="BJ847" t="s">
        <v>2999</v>
      </c>
    </row>
    <row r="848" spans="1:62" x14ac:dyDescent="0.35">
      <c r="A848" t="s">
        <v>3269</v>
      </c>
      <c r="B848">
        <v>10000</v>
      </c>
      <c r="C848">
        <v>10000</v>
      </c>
      <c r="D848" s="2">
        <v>45729</v>
      </c>
      <c r="E848" t="s">
        <v>61</v>
      </c>
      <c r="F848" t="s">
        <v>3270</v>
      </c>
      <c r="G848" t="s">
        <v>3160</v>
      </c>
      <c r="I848">
        <v>1</v>
      </c>
      <c r="J848" t="s">
        <v>63</v>
      </c>
      <c r="K848" s="8">
        <v>46</v>
      </c>
      <c r="L848" s="8" t="s">
        <v>6587</v>
      </c>
      <c r="M848" s="8" t="s">
        <v>6629</v>
      </c>
      <c r="N848" t="s">
        <v>113</v>
      </c>
      <c r="O848" t="s">
        <v>6499</v>
      </c>
      <c r="P848" s="4">
        <v>2000</v>
      </c>
      <c r="Q848">
        <f t="shared" ref="Q848:Q849" si="219">(P848/40)+45</f>
        <v>95</v>
      </c>
      <c r="R848">
        <f t="shared" ref="R848:R849" si="220">Q848/60</f>
        <v>1.5833333333333333</v>
      </c>
      <c r="S848" s="2">
        <v>45729</v>
      </c>
      <c r="U848">
        <v>1</v>
      </c>
      <c r="V848" s="4">
        <v>2000</v>
      </c>
      <c r="W848" t="s">
        <v>65</v>
      </c>
      <c r="X848" t="s">
        <v>3271</v>
      </c>
      <c r="Y848">
        <v>0</v>
      </c>
      <c r="Z848" s="4">
        <v>2000</v>
      </c>
      <c r="AA848">
        <v>0</v>
      </c>
      <c r="AB848">
        <v>0</v>
      </c>
      <c r="AC848">
        <v>0</v>
      </c>
      <c r="AD848">
        <v>0</v>
      </c>
      <c r="AG848">
        <v>0</v>
      </c>
      <c r="AP848" t="s">
        <v>3272</v>
      </c>
      <c r="AQ848" t="s">
        <v>116</v>
      </c>
      <c r="AR848" t="s">
        <v>6639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BC848" t="s">
        <v>69</v>
      </c>
      <c r="BD848" t="s">
        <v>3273</v>
      </c>
      <c r="BE848">
        <v>0</v>
      </c>
      <c r="BG848" t="s">
        <v>116</v>
      </c>
      <c r="BJ848" t="s">
        <v>3274</v>
      </c>
    </row>
    <row r="849" spans="1:62" x14ac:dyDescent="0.35">
      <c r="A849" t="s">
        <v>3275</v>
      </c>
      <c r="B849">
        <v>10000</v>
      </c>
      <c r="C849">
        <v>10000</v>
      </c>
      <c r="D849" s="2">
        <v>45730</v>
      </c>
      <c r="E849" t="s">
        <v>61</v>
      </c>
      <c r="F849" t="s">
        <v>3276</v>
      </c>
      <c r="G849" t="s">
        <v>3277</v>
      </c>
      <c r="I849">
        <v>1</v>
      </c>
      <c r="J849" t="s">
        <v>63</v>
      </c>
      <c r="K849" s="8">
        <v>46</v>
      </c>
      <c r="L849" s="8" t="s">
        <v>6587</v>
      </c>
      <c r="M849" s="8" t="s">
        <v>6629</v>
      </c>
      <c r="N849" t="s">
        <v>113</v>
      </c>
      <c r="O849" t="s">
        <v>6499</v>
      </c>
      <c r="P849" s="4">
        <v>10000</v>
      </c>
      <c r="Q849">
        <f t="shared" si="219"/>
        <v>295</v>
      </c>
      <c r="R849">
        <f t="shared" si="220"/>
        <v>4.916666666666667</v>
      </c>
      <c r="S849" s="2">
        <v>45729</v>
      </c>
      <c r="U849">
        <v>1</v>
      </c>
      <c r="V849" s="4">
        <v>10000</v>
      </c>
      <c r="W849" t="s">
        <v>65</v>
      </c>
      <c r="X849" t="s">
        <v>3278</v>
      </c>
      <c r="Y849">
        <v>0</v>
      </c>
      <c r="Z849" s="4">
        <v>10000</v>
      </c>
      <c r="AA849">
        <v>0</v>
      </c>
      <c r="AB849">
        <v>0</v>
      </c>
      <c r="AC849">
        <v>0</v>
      </c>
      <c r="AD849">
        <v>0</v>
      </c>
      <c r="AG849">
        <v>0</v>
      </c>
      <c r="AP849" t="s">
        <v>3279</v>
      </c>
      <c r="AQ849" t="s">
        <v>116</v>
      </c>
      <c r="AR849" t="s">
        <v>6639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BC849" t="s">
        <v>69</v>
      </c>
      <c r="BD849" t="s">
        <v>3280</v>
      </c>
      <c r="BE849">
        <v>0</v>
      </c>
      <c r="BG849" t="s">
        <v>116</v>
      </c>
      <c r="BJ849" t="s">
        <v>3281</v>
      </c>
    </row>
    <row r="850" spans="1:62" x14ac:dyDescent="0.35">
      <c r="A850" t="s">
        <v>3012</v>
      </c>
      <c r="B850">
        <v>10000</v>
      </c>
      <c r="C850">
        <v>20000</v>
      </c>
      <c r="D850" s="2">
        <v>45729</v>
      </c>
      <c r="E850" t="s">
        <v>61</v>
      </c>
      <c r="F850" s="3">
        <v>0.44581018518518517</v>
      </c>
      <c r="G850" t="s">
        <v>3013</v>
      </c>
      <c r="I850">
        <v>2</v>
      </c>
      <c r="J850" t="s">
        <v>63</v>
      </c>
      <c r="K850" s="8">
        <v>86</v>
      </c>
      <c r="L850" s="8" t="s">
        <v>6584</v>
      </c>
      <c r="M850" s="8" t="s">
        <v>6627</v>
      </c>
      <c r="N850" t="s">
        <v>64</v>
      </c>
      <c r="O850" t="s">
        <v>6559</v>
      </c>
      <c r="P850" s="4">
        <v>1994</v>
      </c>
      <c r="Q850">
        <f>(P850/60)+45</f>
        <v>78.233333333333334</v>
      </c>
      <c r="R850">
        <f>Q850/60</f>
        <v>1.3038888888888889</v>
      </c>
      <c r="S850" s="2">
        <v>45729</v>
      </c>
      <c r="U850">
        <v>60</v>
      </c>
      <c r="V850" s="4">
        <v>119640</v>
      </c>
      <c r="W850" t="s">
        <v>65</v>
      </c>
      <c r="X850">
        <v>111818390001</v>
      </c>
      <c r="Y850">
        <v>0</v>
      </c>
      <c r="Z850" s="4">
        <v>39870</v>
      </c>
      <c r="AA850" s="4">
        <v>79770</v>
      </c>
      <c r="AB850">
        <v>0</v>
      </c>
      <c r="AC850">
        <v>0</v>
      </c>
      <c r="AD850">
        <v>0</v>
      </c>
      <c r="AG850">
        <v>0</v>
      </c>
      <c r="AP850">
        <v>11181839</v>
      </c>
      <c r="AQ850" t="s">
        <v>182</v>
      </c>
      <c r="AR850" t="s">
        <v>6643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BC850" t="s">
        <v>69</v>
      </c>
      <c r="BD850" t="s">
        <v>3014</v>
      </c>
      <c r="BE850">
        <v>0</v>
      </c>
      <c r="BG850" t="s">
        <v>182</v>
      </c>
      <c r="BJ850" t="s">
        <v>3015</v>
      </c>
    </row>
    <row r="851" spans="1:62" x14ac:dyDescent="0.35">
      <c r="A851" t="s">
        <v>3022</v>
      </c>
      <c r="B851">
        <v>10000</v>
      </c>
      <c r="C851">
        <v>20000</v>
      </c>
      <c r="D851" s="2">
        <v>45730</v>
      </c>
      <c r="E851" t="s">
        <v>61</v>
      </c>
      <c r="F851" t="s">
        <v>3023</v>
      </c>
      <c r="G851" t="s">
        <v>3024</v>
      </c>
      <c r="I851">
        <v>2</v>
      </c>
      <c r="J851" t="s">
        <v>63</v>
      </c>
      <c r="K851" s="8">
        <v>100</v>
      </c>
      <c r="L851" s="8" t="s">
        <v>6613</v>
      </c>
      <c r="M851" s="8" t="s">
        <v>6633</v>
      </c>
      <c r="N851" t="s">
        <v>424</v>
      </c>
      <c r="O851" t="s">
        <v>6570</v>
      </c>
      <c r="P851">
        <v>800</v>
      </c>
      <c r="S851" s="2">
        <v>45729</v>
      </c>
      <c r="U851">
        <v>2</v>
      </c>
      <c r="V851" s="4">
        <v>1600</v>
      </c>
      <c r="W851" t="s">
        <v>65</v>
      </c>
      <c r="X851">
        <v>107343410001</v>
      </c>
      <c r="Y851">
        <v>0</v>
      </c>
      <c r="Z851">
        <v>700</v>
      </c>
      <c r="AA851">
        <v>900</v>
      </c>
      <c r="AB851">
        <v>0</v>
      </c>
      <c r="AC851">
        <v>0</v>
      </c>
      <c r="AD851">
        <v>0</v>
      </c>
      <c r="AG851">
        <v>0</v>
      </c>
      <c r="AP851">
        <v>10734341</v>
      </c>
      <c r="AQ851" t="s">
        <v>487</v>
      </c>
      <c r="AR851" t="s">
        <v>6656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BC851" t="s">
        <v>69</v>
      </c>
      <c r="BD851" t="s">
        <v>3025</v>
      </c>
      <c r="BE851">
        <v>0</v>
      </c>
      <c r="BG851" t="s">
        <v>487</v>
      </c>
      <c r="BJ851" t="s">
        <v>3026</v>
      </c>
    </row>
    <row r="852" spans="1:62" x14ac:dyDescent="0.35">
      <c r="A852" t="s">
        <v>3282</v>
      </c>
      <c r="B852">
        <v>10000</v>
      </c>
      <c r="C852">
        <v>10000</v>
      </c>
      <c r="D852" s="2">
        <v>45730</v>
      </c>
      <c r="E852" t="s">
        <v>61</v>
      </c>
      <c r="F852" t="s">
        <v>3283</v>
      </c>
      <c r="G852" t="s">
        <v>3284</v>
      </c>
      <c r="I852">
        <v>1</v>
      </c>
      <c r="J852" t="s">
        <v>63</v>
      </c>
      <c r="K852" s="8">
        <v>88</v>
      </c>
      <c r="L852" s="8" t="s">
        <v>6610</v>
      </c>
      <c r="M852" s="8" t="s">
        <v>6631</v>
      </c>
      <c r="N852" t="s">
        <v>630</v>
      </c>
      <c r="O852" t="s">
        <v>6571</v>
      </c>
      <c r="P852">
        <v>800</v>
      </c>
      <c r="S852" s="2">
        <v>45729</v>
      </c>
      <c r="U852">
        <v>1</v>
      </c>
      <c r="V852">
        <v>800</v>
      </c>
      <c r="W852" t="s">
        <v>65</v>
      </c>
      <c r="X852" t="s">
        <v>3285</v>
      </c>
      <c r="Y852">
        <v>0</v>
      </c>
      <c r="Z852">
        <v>500</v>
      </c>
      <c r="AA852">
        <v>300</v>
      </c>
      <c r="AB852">
        <v>0</v>
      </c>
      <c r="AC852">
        <v>0</v>
      </c>
      <c r="AD852">
        <v>0</v>
      </c>
      <c r="AG852">
        <v>0</v>
      </c>
      <c r="AP852" t="s">
        <v>3286</v>
      </c>
      <c r="AQ852" t="s">
        <v>3287</v>
      </c>
      <c r="AR852" t="s">
        <v>6718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BC852" t="s">
        <v>69</v>
      </c>
      <c r="BD852" t="s">
        <v>3288</v>
      </c>
      <c r="BE852">
        <v>0</v>
      </c>
      <c r="BG852" t="s">
        <v>3287</v>
      </c>
      <c r="BJ852" t="s">
        <v>3289</v>
      </c>
    </row>
    <row r="853" spans="1:62" x14ac:dyDescent="0.35">
      <c r="A853" t="s">
        <v>3290</v>
      </c>
      <c r="B853">
        <v>10000</v>
      </c>
      <c r="C853">
        <v>10000</v>
      </c>
      <c r="D853" s="2">
        <v>45737</v>
      </c>
      <c r="E853" t="s">
        <v>61</v>
      </c>
      <c r="F853" t="s">
        <v>3291</v>
      </c>
      <c r="G853" t="s">
        <v>3292</v>
      </c>
      <c r="I853">
        <v>1</v>
      </c>
      <c r="J853" t="s">
        <v>63</v>
      </c>
      <c r="K853" s="8" t="s">
        <v>1744</v>
      </c>
      <c r="L853" s="8" t="s">
        <v>6615</v>
      </c>
      <c r="M853" s="8" t="s">
        <v>6631</v>
      </c>
      <c r="N853" t="s">
        <v>630</v>
      </c>
      <c r="O853" t="s">
        <v>6571</v>
      </c>
      <c r="P853" s="4">
        <v>3024</v>
      </c>
      <c r="S853" s="2">
        <v>45729</v>
      </c>
      <c r="U853">
        <v>1</v>
      </c>
      <c r="V853" s="4">
        <v>3024</v>
      </c>
      <c r="W853" t="s">
        <v>65</v>
      </c>
      <c r="X853" t="s">
        <v>3293</v>
      </c>
      <c r="Y853">
        <v>0</v>
      </c>
      <c r="Z853" s="4">
        <v>3024</v>
      </c>
      <c r="AA853">
        <v>0</v>
      </c>
      <c r="AB853">
        <v>0</v>
      </c>
      <c r="AC853">
        <v>0</v>
      </c>
      <c r="AD853">
        <v>0</v>
      </c>
      <c r="AG853">
        <v>0</v>
      </c>
      <c r="AP853" t="s">
        <v>3294</v>
      </c>
      <c r="AQ853" t="s">
        <v>3295</v>
      </c>
      <c r="AR853" t="s">
        <v>6719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BC853" t="s">
        <v>69</v>
      </c>
      <c r="BD853" t="s">
        <v>3296</v>
      </c>
      <c r="BE853">
        <v>0</v>
      </c>
      <c r="BG853" t="s">
        <v>3295</v>
      </c>
      <c r="BJ853" t="s">
        <v>3297</v>
      </c>
    </row>
    <row r="854" spans="1:62" x14ac:dyDescent="0.35">
      <c r="A854" t="s">
        <v>3298</v>
      </c>
      <c r="B854">
        <v>10000</v>
      </c>
      <c r="C854">
        <v>10000</v>
      </c>
      <c r="D854" s="2">
        <v>45730</v>
      </c>
      <c r="E854" t="s">
        <v>61</v>
      </c>
      <c r="F854" t="s">
        <v>3172</v>
      </c>
      <c r="G854" t="s">
        <v>3299</v>
      </c>
      <c r="I854">
        <v>1</v>
      </c>
      <c r="J854" t="s">
        <v>63</v>
      </c>
      <c r="K854" s="8">
        <v>60</v>
      </c>
      <c r="L854" s="8" t="s">
        <v>6590</v>
      </c>
      <c r="M854" s="8" t="s">
        <v>6630</v>
      </c>
      <c r="N854" t="s">
        <v>277</v>
      </c>
      <c r="O854" t="s">
        <v>6554</v>
      </c>
      <c r="P854" s="4">
        <v>8334</v>
      </c>
      <c r="Q854">
        <f>(P854/50)+45</f>
        <v>211.68</v>
      </c>
      <c r="R854">
        <f>Q854/60</f>
        <v>3.528</v>
      </c>
      <c r="S854" s="2">
        <v>45729</v>
      </c>
      <c r="U854">
        <v>6</v>
      </c>
      <c r="V854" s="4">
        <v>50004</v>
      </c>
      <c r="W854" t="s">
        <v>65</v>
      </c>
      <c r="X854" t="s">
        <v>3300</v>
      </c>
      <c r="Y854">
        <v>0</v>
      </c>
      <c r="Z854" s="4">
        <v>50000</v>
      </c>
      <c r="AA854">
        <v>4</v>
      </c>
      <c r="AB854">
        <v>0</v>
      </c>
      <c r="AC854">
        <v>0</v>
      </c>
      <c r="AD854">
        <v>0</v>
      </c>
      <c r="AG854">
        <v>0</v>
      </c>
      <c r="AP854" t="s">
        <v>3301</v>
      </c>
      <c r="AQ854" t="s">
        <v>3176</v>
      </c>
      <c r="AR854" t="s">
        <v>6717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BC854" t="s">
        <v>69</v>
      </c>
      <c r="BD854" t="s">
        <v>3302</v>
      </c>
      <c r="BE854">
        <v>0</v>
      </c>
      <c r="BG854" t="s">
        <v>3176</v>
      </c>
      <c r="BJ854" t="s">
        <v>3303</v>
      </c>
    </row>
    <row r="855" spans="1:62" x14ac:dyDescent="0.35">
      <c r="A855" t="s">
        <v>3304</v>
      </c>
      <c r="B855">
        <v>10000</v>
      </c>
      <c r="C855">
        <v>10000</v>
      </c>
      <c r="D855" s="2">
        <v>45735</v>
      </c>
      <c r="E855" t="s">
        <v>61</v>
      </c>
      <c r="F855" t="s">
        <v>3305</v>
      </c>
      <c r="G855" t="s">
        <v>1480</v>
      </c>
      <c r="I855">
        <v>1</v>
      </c>
      <c r="J855" t="s">
        <v>63</v>
      </c>
      <c r="K855" s="8">
        <v>88</v>
      </c>
      <c r="L855" s="8" t="s">
        <v>6610</v>
      </c>
      <c r="M855" s="8" t="s">
        <v>6631</v>
      </c>
      <c r="N855" t="s">
        <v>630</v>
      </c>
      <c r="O855" t="s">
        <v>6571</v>
      </c>
      <c r="P855" s="4">
        <v>1000</v>
      </c>
      <c r="S855" s="2">
        <v>45729</v>
      </c>
      <c r="U855">
        <v>1</v>
      </c>
      <c r="V855" s="4">
        <v>1000</v>
      </c>
      <c r="W855" t="s">
        <v>65</v>
      </c>
      <c r="X855">
        <v>190031810001</v>
      </c>
      <c r="Y855">
        <v>0</v>
      </c>
      <c r="Z855" s="4">
        <v>1000</v>
      </c>
      <c r="AA855">
        <v>0</v>
      </c>
      <c r="AB855">
        <v>0</v>
      </c>
      <c r="AC855">
        <v>0</v>
      </c>
      <c r="AD855">
        <v>0</v>
      </c>
      <c r="AG855">
        <v>0</v>
      </c>
      <c r="AP855">
        <v>19003181</v>
      </c>
      <c r="AQ855" t="s">
        <v>487</v>
      </c>
      <c r="AR855" t="s">
        <v>6656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BC855" t="s">
        <v>69</v>
      </c>
      <c r="BD855" t="s">
        <v>3306</v>
      </c>
      <c r="BE855">
        <v>0</v>
      </c>
      <c r="BG855" t="s">
        <v>487</v>
      </c>
      <c r="BJ855" t="s">
        <v>3307</v>
      </c>
    </row>
    <row r="856" spans="1:62" x14ac:dyDescent="0.35">
      <c r="A856" t="s">
        <v>3304</v>
      </c>
      <c r="B856">
        <v>10000</v>
      </c>
      <c r="C856">
        <v>20000</v>
      </c>
      <c r="D856" s="2">
        <v>45735</v>
      </c>
      <c r="E856" t="s">
        <v>61</v>
      </c>
      <c r="F856" t="s">
        <v>3305</v>
      </c>
      <c r="G856" t="s">
        <v>1480</v>
      </c>
      <c r="I856">
        <v>2</v>
      </c>
      <c r="J856" t="s">
        <v>63</v>
      </c>
      <c r="K856" s="8">
        <v>100</v>
      </c>
      <c r="L856" s="8" t="s">
        <v>6613</v>
      </c>
      <c r="M856" s="8" t="s">
        <v>6633</v>
      </c>
      <c r="N856" t="s">
        <v>424</v>
      </c>
      <c r="O856" t="s">
        <v>6570</v>
      </c>
      <c r="P856" s="4">
        <v>1000</v>
      </c>
      <c r="S856" s="2">
        <v>45729</v>
      </c>
      <c r="U856">
        <v>1</v>
      </c>
      <c r="V856" s="4">
        <v>1000</v>
      </c>
      <c r="W856" t="s">
        <v>65</v>
      </c>
      <c r="X856">
        <v>190031810001</v>
      </c>
      <c r="Y856">
        <v>0</v>
      </c>
      <c r="Z856" s="4">
        <v>1000</v>
      </c>
      <c r="AA856">
        <v>0</v>
      </c>
      <c r="AB856">
        <v>0</v>
      </c>
      <c r="AC856">
        <v>0</v>
      </c>
      <c r="AD856">
        <v>0</v>
      </c>
      <c r="AG856">
        <v>0</v>
      </c>
      <c r="AP856">
        <v>19003181</v>
      </c>
      <c r="AQ856" t="s">
        <v>487</v>
      </c>
      <c r="AR856" t="s">
        <v>6656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BC856" t="s">
        <v>69</v>
      </c>
      <c r="BD856" t="s">
        <v>3306</v>
      </c>
      <c r="BE856">
        <v>0</v>
      </c>
      <c r="BG856" t="s">
        <v>487</v>
      </c>
      <c r="BJ856" t="s">
        <v>3307</v>
      </c>
    </row>
    <row r="857" spans="1:62" x14ac:dyDescent="0.35">
      <c r="A857" t="s">
        <v>3050</v>
      </c>
      <c r="B857">
        <v>10000</v>
      </c>
      <c r="C857">
        <v>20000</v>
      </c>
      <c r="D857" s="2">
        <v>45730</v>
      </c>
      <c r="E857" t="s">
        <v>61</v>
      </c>
      <c r="F857" t="s">
        <v>3051</v>
      </c>
      <c r="G857" t="s">
        <v>3052</v>
      </c>
      <c r="I857">
        <v>2</v>
      </c>
      <c r="J857" t="s">
        <v>63</v>
      </c>
      <c r="K857" s="8">
        <v>92</v>
      </c>
      <c r="L857" s="8" t="s">
        <v>6614</v>
      </c>
      <c r="M857" s="8" t="s">
        <v>6633</v>
      </c>
      <c r="N857" t="s">
        <v>424</v>
      </c>
      <c r="O857" t="s">
        <v>6570</v>
      </c>
      <c r="P857" s="4">
        <v>2400</v>
      </c>
      <c r="S857" s="2">
        <v>45729</v>
      </c>
      <c r="U857">
        <v>1</v>
      </c>
      <c r="V857" s="4">
        <v>2400</v>
      </c>
      <c r="W857" t="s">
        <v>65</v>
      </c>
      <c r="X857" t="s">
        <v>3053</v>
      </c>
      <c r="Y857">
        <v>0</v>
      </c>
      <c r="Z857" s="4">
        <v>2000</v>
      </c>
      <c r="AA857">
        <v>400</v>
      </c>
      <c r="AB857">
        <v>0</v>
      </c>
      <c r="AC857">
        <v>0</v>
      </c>
      <c r="AD857">
        <v>0</v>
      </c>
      <c r="AG857">
        <v>0</v>
      </c>
      <c r="AP857" t="s">
        <v>3054</v>
      </c>
      <c r="AQ857" t="s">
        <v>3055</v>
      </c>
      <c r="AR857" t="s">
        <v>6713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BC857" t="s">
        <v>69</v>
      </c>
      <c r="BD857" t="s">
        <v>3056</v>
      </c>
      <c r="BE857">
        <v>0</v>
      </c>
      <c r="BG857" t="s">
        <v>3055</v>
      </c>
      <c r="BJ857" t="s">
        <v>3057</v>
      </c>
    </row>
    <row r="858" spans="1:62" x14ac:dyDescent="0.35">
      <c r="A858" t="s">
        <v>3308</v>
      </c>
      <c r="B858">
        <v>10000</v>
      </c>
      <c r="C858">
        <v>10000</v>
      </c>
      <c r="D858" s="2">
        <v>45730</v>
      </c>
      <c r="E858" t="s">
        <v>61</v>
      </c>
      <c r="F858" t="s">
        <v>3134</v>
      </c>
      <c r="G858" t="s">
        <v>3309</v>
      </c>
      <c r="I858">
        <v>1</v>
      </c>
      <c r="J858" t="s">
        <v>63</v>
      </c>
      <c r="K858" s="8">
        <v>12</v>
      </c>
      <c r="L858" s="8" t="s">
        <v>6604</v>
      </c>
      <c r="M858" s="8" t="s">
        <v>6629</v>
      </c>
      <c r="N858" t="s">
        <v>478</v>
      </c>
      <c r="O858" t="s">
        <v>6434</v>
      </c>
      <c r="P858" s="4">
        <v>7000</v>
      </c>
      <c r="Q858">
        <f t="shared" ref="Q858:Q862" si="221">(P858/50)+45</f>
        <v>185</v>
      </c>
      <c r="R858">
        <f t="shared" ref="R858:R862" si="222">Q858/60</f>
        <v>3.0833333333333335</v>
      </c>
      <c r="S858" s="2">
        <v>45729</v>
      </c>
      <c r="U858">
        <v>1</v>
      </c>
      <c r="V858" s="4">
        <v>7000</v>
      </c>
      <c r="W858" t="s">
        <v>65</v>
      </c>
      <c r="X858" t="s">
        <v>3310</v>
      </c>
      <c r="Y858">
        <v>0</v>
      </c>
      <c r="Z858" s="4">
        <v>7000</v>
      </c>
      <c r="AA858">
        <v>0</v>
      </c>
      <c r="AB858">
        <v>0</v>
      </c>
      <c r="AC858">
        <v>0</v>
      </c>
      <c r="AD858">
        <v>0</v>
      </c>
      <c r="AG858">
        <v>0</v>
      </c>
      <c r="AP858" t="s">
        <v>3311</v>
      </c>
      <c r="AQ858" t="s">
        <v>116</v>
      </c>
      <c r="AR858" t="s">
        <v>6639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BC858" t="s">
        <v>69</v>
      </c>
      <c r="BD858" t="s">
        <v>3312</v>
      </c>
      <c r="BE858">
        <v>0</v>
      </c>
      <c r="BG858" t="s">
        <v>116</v>
      </c>
      <c r="BJ858" t="s">
        <v>3313</v>
      </c>
    </row>
    <row r="859" spans="1:62" x14ac:dyDescent="0.35">
      <c r="A859" t="s">
        <v>3314</v>
      </c>
      <c r="B859">
        <v>10000</v>
      </c>
      <c r="C859">
        <v>10000</v>
      </c>
      <c r="D859" s="2">
        <v>45733</v>
      </c>
      <c r="E859" t="s">
        <v>61</v>
      </c>
      <c r="F859" t="s">
        <v>3315</v>
      </c>
      <c r="G859" t="s">
        <v>3316</v>
      </c>
      <c r="I859">
        <v>1</v>
      </c>
      <c r="J859" t="s">
        <v>63</v>
      </c>
      <c r="K859" s="8">
        <v>22</v>
      </c>
      <c r="L859" s="8" t="s">
        <v>6603</v>
      </c>
      <c r="M859" s="8" t="s">
        <v>6629</v>
      </c>
      <c r="N859" t="s">
        <v>466</v>
      </c>
      <c r="O859" t="s">
        <v>6474</v>
      </c>
      <c r="P859" s="4">
        <v>20000</v>
      </c>
      <c r="Q859">
        <f t="shared" si="221"/>
        <v>445</v>
      </c>
      <c r="R859">
        <f t="shared" si="222"/>
        <v>7.416666666666667</v>
      </c>
      <c r="S859" s="2">
        <v>45729</v>
      </c>
      <c r="U859">
        <v>2</v>
      </c>
      <c r="V859" s="4">
        <v>40000</v>
      </c>
      <c r="W859" t="s">
        <v>65</v>
      </c>
      <c r="X859" t="s">
        <v>2902</v>
      </c>
      <c r="Y859">
        <v>0</v>
      </c>
      <c r="Z859" s="4">
        <v>40000</v>
      </c>
      <c r="AA859">
        <v>0</v>
      </c>
      <c r="AB859">
        <v>0</v>
      </c>
      <c r="AC859">
        <v>0</v>
      </c>
      <c r="AD859">
        <v>0</v>
      </c>
      <c r="AG859">
        <v>0</v>
      </c>
      <c r="AP859" t="s">
        <v>2903</v>
      </c>
      <c r="AQ859" t="s">
        <v>116</v>
      </c>
      <c r="AR859" t="s">
        <v>6639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C859" t="s">
        <v>69</v>
      </c>
      <c r="BD859" t="s">
        <v>3317</v>
      </c>
      <c r="BE859">
        <v>0</v>
      </c>
      <c r="BG859" t="s">
        <v>116</v>
      </c>
      <c r="BJ859" t="s">
        <v>3073</v>
      </c>
    </row>
    <row r="860" spans="1:62" x14ac:dyDescent="0.35">
      <c r="A860" t="s">
        <v>3318</v>
      </c>
      <c r="B860">
        <v>10000</v>
      </c>
      <c r="C860">
        <v>10000</v>
      </c>
      <c r="D860" s="2">
        <v>45729</v>
      </c>
      <c r="E860" t="s">
        <v>61</v>
      </c>
      <c r="F860" t="s">
        <v>3159</v>
      </c>
      <c r="G860" t="s">
        <v>2123</v>
      </c>
      <c r="I860">
        <v>1</v>
      </c>
      <c r="J860" t="s">
        <v>63</v>
      </c>
      <c r="K860" s="8">
        <v>61</v>
      </c>
      <c r="L860" s="8" t="s">
        <v>6594</v>
      </c>
      <c r="M860" s="8" t="s">
        <v>6629</v>
      </c>
      <c r="N860" t="s">
        <v>197</v>
      </c>
      <c r="O860" t="s">
        <v>6565</v>
      </c>
      <c r="P860" s="4">
        <v>6667</v>
      </c>
      <c r="Q860">
        <f t="shared" si="221"/>
        <v>178.34</v>
      </c>
      <c r="R860">
        <f t="shared" si="222"/>
        <v>2.9723333333333333</v>
      </c>
      <c r="S860" s="2">
        <v>45729</v>
      </c>
      <c r="U860">
        <v>6</v>
      </c>
      <c r="V860" s="4">
        <v>40002</v>
      </c>
      <c r="W860" t="s">
        <v>65</v>
      </c>
      <c r="X860" t="s">
        <v>198</v>
      </c>
      <c r="Y860">
        <v>0</v>
      </c>
      <c r="Z860" s="4">
        <v>40000</v>
      </c>
      <c r="AA860">
        <v>2</v>
      </c>
      <c r="AB860">
        <v>0</v>
      </c>
      <c r="AC860">
        <v>0</v>
      </c>
      <c r="AD860">
        <v>0</v>
      </c>
      <c r="AG860">
        <v>0</v>
      </c>
      <c r="AP860" t="s">
        <v>199</v>
      </c>
      <c r="AQ860" t="s">
        <v>116</v>
      </c>
      <c r="AR860" t="s">
        <v>6639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C860" t="s">
        <v>69</v>
      </c>
      <c r="BD860" t="s">
        <v>3319</v>
      </c>
      <c r="BE860">
        <v>0</v>
      </c>
      <c r="BG860" t="s">
        <v>116</v>
      </c>
      <c r="BJ860" t="s">
        <v>3320</v>
      </c>
    </row>
    <row r="861" spans="1:62" x14ac:dyDescent="0.35">
      <c r="A861" t="s">
        <v>3321</v>
      </c>
      <c r="B861">
        <v>10000</v>
      </c>
      <c r="C861">
        <v>10000</v>
      </c>
      <c r="D861" s="2">
        <v>45730</v>
      </c>
      <c r="E861" t="s">
        <v>61</v>
      </c>
      <c r="F861" t="s">
        <v>3134</v>
      </c>
      <c r="G861" t="s">
        <v>3316</v>
      </c>
      <c r="I861">
        <v>1</v>
      </c>
      <c r="J861" t="s">
        <v>63</v>
      </c>
      <c r="K861" s="8">
        <v>61</v>
      </c>
      <c r="L861" s="8" t="s">
        <v>6594</v>
      </c>
      <c r="M861" s="8" t="s">
        <v>6629</v>
      </c>
      <c r="N861" t="s">
        <v>197</v>
      </c>
      <c r="O861" t="s">
        <v>6565</v>
      </c>
      <c r="P861" s="4">
        <v>6667</v>
      </c>
      <c r="Q861">
        <f t="shared" si="221"/>
        <v>178.34</v>
      </c>
      <c r="R861">
        <f t="shared" si="222"/>
        <v>2.9723333333333333</v>
      </c>
      <c r="S861" s="2">
        <v>45729</v>
      </c>
      <c r="U861">
        <v>6</v>
      </c>
      <c r="V861" s="4">
        <v>40002</v>
      </c>
      <c r="W861" t="s">
        <v>65</v>
      </c>
      <c r="X861" t="s">
        <v>198</v>
      </c>
      <c r="Y861">
        <v>0</v>
      </c>
      <c r="Z861" s="4">
        <v>40000</v>
      </c>
      <c r="AA861">
        <v>2</v>
      </c>
      <c r="AB861">
        <v>0</v>
      </c>
      <c r="AC861">
        <v>0</v>
      </c>
      <c r="AD861">
        <v>0</v>
      </c>
      <c r="AG861">
        <v>0</v>
      </c>
      <c r="AP861" t="s">
        <v>199</v>
      </c>
      <c r="AQ861" t="s">
        <v>116</v>
      </c>
      <c r="AR861" t="s">
        <v>6639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BC861" t="s">
        <v>69</v>
      </c>
      <c r="BD861" t="s">
        <v>3322</v>
      </c>
      <c r="BE861">
        <v>0</v>
      </c>
      <c r="BG861" t="s">
        <v>116</v>
      </c>
      <c r="BJ861" t="s">
        <v>3323</v>
      </c>
    </row>
    <row r="862" spans="1:62" x14ac:dyDescent="0.35">
      <c r="A862" t="s">
        <v>3324</v>
      </c>
      <c r="B862">
        <v>10000</v>
      </c>
      <c r="C862">
        <v>10000</v>
      </c>
      <c r="D862" s="2">
        <v>45730</v>
      </c>
      <c r="E862" t="s">
        <v>61</v>
      </c>
      <c r="F862" t="s">
        <v>3325</v>
      </c>
      <c r="G862" t="s">
        <v>3316</v>
      </c>
      <c r="I862">
        <v>1</v>
      </c>
      <c r="J862" t="s">
        <v>63</v>
      </c>
      <c r="K862" s="8">
        <v>61</v>
      </c>
      <c r="L862" s="8" t="s">
        <v>6594</v>
      </c>
      <c r="M862" s="8" t="s">
        <v>6629</v>
      </c>
      <c r="N862" t="s">
        <v>197</v>
      </c>
      <c r="O862" t="s">
        <v>6565</v>
      </c>
      <c r="P862" s="4">
        <v>6667</v>
      </c>
      <c r="Q862">
        <f t="shared" si="221"/>
        <v>178.34</v>
      </c>
      <c r="R862">
        <f t="shared" si="222"/>
        <v>2.9723333333333333</v>
      </c>
      <c r="S862" s="2">
        <v>45729</v>
      </c>
      <c r="U862">
        <v>6</v>
      </c>
      <c r="V862" s="4">
        <v>40002</v>
      </c>
      <c r="W862" t="s">
        <v>65</v>
      </c>
      <c r="X862" t="s">
        <v>198</v>
      </c>
      <c r="Y862">
        <v>0</v>
      </c>
      <c r="Z862" s="4">
        <v>40000</v>
      </c>
      <c r="AA862">
        <v>2</v>
      </c>
      <c r="AB862">
        <v>0</v>
      </c>
      <c r="AC862">
        <v>0</v>
      </c>
      <c r="AD862">
        <v>0</v>
      </c>
      <c r="AG862">
        <v>0</v>
      </c>
      <c r="AP862" t="s">
        <v>199</v>
      </c>
      <c r="AQ862" t="s">
        <v>116</v>
      </c>
      <c r="AR862" t="s">
        <v>6639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BC862" t="s">
        <v>69</v>
      </c>
      <c r="BD862" t="s">
        <v>3326</v>
      </c>
      <c r="BE862">
        <v>0</v>
      </c>
      <c r="BG862" t="s">
        <v>116</v>
      </c>
      <c r="BJ862" t="s">
        <v>3327</v>
      </c>
    </row>
    <row r="863" spans="1:62" x14ac:dyDescent="0.35">
      <c r="A863" t="s">
        <v>3328</v>
      </c>
      <c r="B863">
        <v>10000</v>
      </c>
      <c r="C863">
        <v>10000</v>
      </c>
      <c r="D863" s="2">
        <v>45734</v>
      </c>
      <c r="E863" t="s">
        <v>61</v>
      </c>
      <c r="F863" t="s">
        <v>3329</v>
      </c>
      <c r="G863" t="s">
        <v>3330</v>
      </c>
      <c r="I863">
        <v>1</v>
      </c>
      <c r="J863" t="s">
        <v>63</v>
      </c>
      <c r="K863" s="8">
        <v>79</v>
      </c>
      <c r="L863" s="8" t="s">
        <v>6608</v>
      </c>
      <c r="M863" s="8" t="s">
        <v>6631</v>
      </c>
      <c r="N863" t="s">
        <v>573</v>
      </c>
      <c r="O863" t="s">
        <v>6547</v>
      </c>
      <c r="P863">
        <v>50</v>
      </c>
      <c r="Q863">
        <f>(P863/20)+30</f>
        <v>32.5</v>
      </c>
      <c r="R863">
        <f>Q863/60</f>
        <v>0.54166666666666663</v>
      </c>
      <c r="S863" s="2">
        <v>45729</v>
      </c>
      <c r="U863">
        <v>6</v>
      </c>
      <c r="V863">
        <v>300</v>
      </c>
      <c r="W863" t="s">
        <v>65</v>
      </c>
      <c r="X863" t="s">
        <v>3331</v>
      </c>
      <c r="Y863">
        <v>0</v>
      </c>
      <c r="Z863">
        <v>100</v>
      </c>
      <c r="AA863">
        <v>200</v>
      </c>
      <c r="AB863">
        <v>0</v>
      </c>
      <c r="AC863">
        <v>0</v>
      </c>
      <c r="AD863">
        <v>0</v>
      </c>
      <c r="AG863">
        <v>0</v>
      </c>
      <c r="AP863" t="s">
        <v>3332</v>
      </c>
      <c r="AQ863" t="s">
        <v>206</v>
      </c>
      <c r="AR863" t="s">
        <v>6645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BC863" t="s">
        <v>69</v>
      </c>
      <c r="BD863" t="s">
        <v>3333</v>
      </c>
      <c r="BE863">
        <v>0</v>
      </c>
      <c r="BG863" t="s">
        <v>206</v>
      </c>
      <c r="BJ863" t="s">
        <v>3334</v>
      </c>
    </row>
    <row r="864" spans="1:62" x14ac:dyDescent="0.35">
      <c r="A864" t="s">
        <v>3335</v>
      </c>
      <c r="B864">
        <v>10000</v>
      </c>
      <c r="C864">
        <v>10000</v>
      </c>
      <c r="D864" s="2">
        <v>45733</v>
      </c>
      <c r="E864" t="s">
        <v>61</v>
      </c>
      <c r="F864" s="3">
        <v>0.54084490740740743</v>
      </c>
      <c r="G864" t="s">
        <v>3336</v>
      </c>
      <c r="I864">
        <v>1</v>
      </c>
      <c r="J864" t="s">
        <v>63</v>
      </c>
      <c r="K864" s="8">
        <v>82</v>
      </c>
      <c r="L864" s="8" t="s">
        <v>6598</v>
      </c>
      <c r="M864" s="8" t="s">
        <v>6630</v>
      </c>
      <c r="N864" t="s">
        <v>341</v>
      </c>
      <c r="O864" t="s">
        <v>6346</v>
      </c>
      <c r="P864" s="4">
        <v>1667</v>
      </c>
      <c r="S864" s="2">
        <v>45729</v>
      </c>
      <c r="U864">
        <v>60</v>
      </c>
      <c r="V864" s="4">
        <v>100020</v>
      </c>
      <c r="W864" t="s">
        <v>65</v>
      </c>
      <c r="X864" t="s">
        <v>3337</v>
      </c>
      <c r="Y864">
        <v>0</v>
      </c>
      <c r="Z864" s="4">
        <v>100000</v>
      </c>
      <c r="AA864">
        <v>20</v>
      </c>
      <c r="AB864">
        <v>0</v>
      </c>
      <c r="AC864">
        <v>0</v>
      </c>
      <c r="AD864">
        <v>0</v>
      </c>
      <c r="AG864">
        <v>0</v>
      </c>
      <c r="AP864" t="s">
        <v>3338</v>
      </c>
      <c r="AQ864" t="s">
        <v>107</v>
      </c>
      <c r="AR864" t="s">
        <v>6638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BC864" t="s">
        <v>69</v>
      </c>
      <c r="BD864" t="s">
        <v>3339</v>
      </c>
      <c r="BE864">
        <v>0</v>
      </c>
      <c r="BG864" t="s">
        <v>107</v>
      </c>
      <c r="BJ864" t="s">
        <v>3340</v>
      </c>
    </row>
    <row r="865" spans="1:62" x14ac:dyDescent="0.35">
      <c r="A865" t="s">
        <v>3341</v>
      </c>
      <c r="B865">
        <v>10000</v>
      </c>
      <c r="C865">
        <v>10000</v>
      </c>
      <c r="D865" s="2">
        <v>45735</v>
      </c>
      <c r="E865" t="s">
        <v>61</v>
      </c>
      <c r="F865" t="s">
        <v>3342</v>
      </c>
      <c r="G865" t="s">
        <v>1725</v>
      </c>
      <c r="I865">
        <v>1</v>
      </c>
      <c r="J865" t="s">
        <v>63</v>
      </c>
      <c r="K865" s="8">
        <v>72</v>
      </c>
      <c r="L865" s="8" t="s">
        <v>6606</v>
      </c>
      <c r="M865" s="8" t="s">
        <v>6631</v>
      </c>
      <c r="N865" t="s">
        <v>163</v>
      </c>
      <c r="O865" t="s">
        <v>6548</v>
      </c>
      <c r="P865" s="4">
        <v>2000</v>
      </c>
      <c r="S865" s="2">
        <v>45729</v>
      </c>
      <c r="U865">
        <v>3</v>
      </c>
      <c r="V865" s="4">
        <v>6001</v>
      </c>
      <c r="W865" t="s">
        <v>65</v>
      </c>
      <c r="X865" t="s">
        <v>1726</v>
      </c>
      <c r="Y865">
        <v>0</v>
      </c>
      <c r="Z865" s="4">
        <v>3000</v>
      </c>
      <c r="AA865" s="4">
        <v>3001</v>
      </c>
      <c r="AB865">
        <v>0</v>
      </c>
      <c r="AC865">
        <v>0</v>
      </c>
      <c r="AD865">
        <v>0</v>
      </c>
      <c r="AG865">
        <v>0</v>
      </c>
      <c r="AP865" t="s">
        <v>1727</v>
      </c>
      <c r="AQ865" t="s">
        <v>1728</v>
      </c>
      <c r="AR865" t="s">
        <v>6683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BC865" t="s">
        <v>69</v>
      </c>
      <c r="BD865" t="s">
        <v>3343</v>
      </c>
      <c r="BE865">
        <v>0</v>
      </c>
      <c r="BG865" t="s">
        <v>1728</v>
      </c>
      <c r="BJ865" t="s">
        <v>3344</v>
      </c>
    </row>
    <row r="866" spans="1:62" x14ac:dyDescent="0.35">
      <c r="A866" t="s">
        <v>3341</v>
      </c>
      <c r="B866">
        <v>20000</v>
      </c>
      <c r="C866">
        <v>10000</v>
      </c>
      <c r="D866" s="2">
        <v>45735</v>
      </c>
      <c r="E866" t="s">
        <v>61</v>
      </c>
      <c r="F866" t="s">
        <v>3342</v>
      </c>
      <c r="G866" t="s">
        <v>1725</v>
      </c>
      <c r="I866">
        <v>1</v>
      </c>
      <c r="J866" t="s">
        <v>63</v>
      </c>
      <c r="K866" s="8">
        <v>72</v>
      </c>
      <c r="L866" s="8" t="s">
        <v>6606</v>
      </c>
      <c r="M866" s="8" t="s">
        <v>6631</v>
      </c>
      <c r="N866" t="s">
        <v>163</v>
      </c>
      <c r="O866" t="s">
        <v>6548</v>
      </c>
      <c r="P866">
        <v>867</v>
      </c>
      <c r="S866" s="2">
        <v>45729</v>
      </c>
      <c r="U866">
        <v>3</v>
      </c>
      <c r="V866" s="4">
        <v>2600</v>
      </c>
      <c r="W866" t="s">
        <v>65</v>
      </c>
      <c r="X866" t="s">
        <v>1726</v>
      </c>
      <c r="Y866">
        <v>0</v>
      </c>
      <c r="Z866" s="4">
        <v>2600</v>
      </c>
      <c r="AA866">
        <v>0</v>
      </c>
      <c r="AB866">
        <v>0</v>
      </c>
      <c r="AC866">
        <v>0</v>
      </c>
      <c r="AD866">
        <v>0</v>
      </c>
      <c r="AG866">
        <v>0</v>
      </c>
      <c r="AP866" t="s">
        <v>1727</v>
      </c>
      <c r="AQ866" t="s">
        <v>1728</v>
      </c>
      <c r="AR866" t="s">
        <v>6683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BC866" t="s">
        <v>69</v>
      </c>
      <c r="BD866" t="s">
        <v>3343</v>
      </c>
      <c r="BE866">
        <v>0</v>
      </c>
      <c r="BG866" t="s">
        <v>1728</v>
      </c>
      <c r="BJ866" t="s">
        <v>3344</v>
      </c>
    </row>
    <row r="867" spans="1:62" x14ac:dyDescent="0.35">
      <c r="A867" t="s">
        <v>3345</v>
      </c>
      <c r="B867">
        <v>10000</v>
      </c>
      <c r="C867">
        <v>10000</v>
      </c>
      <c r="D867" s="2">
        <v>45730</v>
      </c>
      <c r="E867" t="s">
        <v>61</v>
      </c>
      <c r="F867" t="s">
        <v>3346</v>
      </c>
      <c r="G867" t="s">
        <v>559</v>
      </c>
      <c r="I867">
        <v>1</v>
      </c>
      <c r="J867" t="s">
        <v>63</v>
      </c>
      <c r="K867" s="8">
        <v>79</v>
      </c>
      <c r="L867" s="8" t="s">
        <v>6608</v>
      </c>
      <c r="M867" s="8" t="s">
        <v>6631</v>
      </c>
      <c r="N867" t="s">
        <v>573</v>
      </c>
      <c r="O867" t="s">
        <v>6547</v>
      </c>
      <c r="P867" s="4">
        <v>2000</v>
      </c>
      <c r="Q867">
        <f>(P867/20)+30</f>
        <v>130</v>
      </c>
      <c r="R867">
        <f>Q867/60</f>
        <v>2.1666666666666665</v>
      </c>
      <c r="S867" s="2">
        <v>45729</v>
      </c>
      <c r="U867">
        <v>6</v>
      </c>
      <c r="V867" s="4">
        <v>12000</v>
      </c>
      <c r="W867" t="s">
        <v>65</v>
      </c>
      <c r="X867" t="s">
        <v>3347</v>
      </c>
      <c r="Y867">
        <v>0</v>
      </c>
      <c r="Z867" s="4">
        <v>10000</v>
      </c>
      <c r="AA867" s="4">
        <v>2000</v>
      </c>
      <c r="AB867">
        <v>0</v>
      </c>
      <c r="AC867">
        <v>0</v>
      </c>
      <c r="AD867">
        <v>0</v>
      </c>
      <c r="AG867">
        <v>0</v>
      </c>
      <c r="AP867" t="s">
        <v>3348</v>
      </c>
      <c r="AQ867" t="s">
        <v>562</v>
      </c>
      <c r="AR867" t="s">
        <v>6670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BC867" t="s">
        <v>69</v>
      </c>
      <c r="BD867" t="s">
        <v>3349</v>
      </c>
      <c r="BE867">
        <v>0</v>
      </c>
      <c r="BG867" t="s">
        <v>562</v>
      </c>
      <c r="BJ867" t="s">
        <v>3350</v>
      </c>
    </row>
    <row r="868" spans="1:62" x14ac:dyDescent="0.35">
      <c r="A868" t="s">
        <v>3351</v>
      </c>
      <c r="B868">
        <v>10000</v>
      </c>
      <c r="C868">
        <v>10000</v>
      </c>
      <c r="D868" s="2">
        <v>45729</v>
      </c>
      <c r="E868" t="s">
        <v>61</v>
      </c>
      <c r="F868" t="s">
        <v>3352</v>
      </c>
      <c r="G868" t="s">
        <v>3353</v>
      </c>
      <c r="I868">
        <v>1</v>
      </c>
      <c r="J868" t="s">
        <v>63</v>
      </c>
      <c r="K868" s="8">
        <v>82</v>
      </c>
      <c r="L868" s="8" t="s">
        <v>6598</v>
      </c>
      <c r="M868" s="8" t="s">
        <v>6630</v>
      </c>
      <c r="N868" t="s">
        <v>341</v>
      </c>
      <c r="O868" t="s">
        <v>6346</v>
      </c>
      <c r="P868">
        <v>334</v>
      </c>
      <c r="S868" s="2">
        <v>45729</v>
      </c>
      <c r="U868">
        <v>6</v>
      </c>
      <c r="V868" s="4">
        <v>2004</v>
      </c>
      <c r="W868" t="s">
        <v>65</v>
      </c>
      <c r="X868">
        <v>200467500001</v>
      </c>
      <c r="Y868">
        <v>0</v>
      </c>
      <c r="Z868" s="4">
        <v>2000</v>
      </c>
      <c r="AA868">
        <v>4</v>
      </c>
      <c r="AB868">
        <v>0</v>
      </c>
      <c r="AC868">
        <v>0</v>
      </c>
      <c r="AD868">
        <v>0</v>
      </c>
      <c r="AG868">
        <v>0</v>
      </c>
      <c r="AP868">
        <v>20046750</v>
      </c>
      <c r="AQ868" t="s">
        <v>182</v>
      </c>
      <c r="AR868" t="s">
        <v>6643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BC868" t="s">
        <v>69</v>
      </c>
      <c r="BD868" t="s">
        <v>3354</v>
      </c>
      <c r="BE868">
        <v>0</v>
      </c>
      <c r="BG868" t="s">
        <v>182</v>
      </c>
      <c r="BJ868" t="s">
        <v>3355</v>
      </c>
    </row>
    <row r="869" spans="1:62" x14ac:dyDescent="0.35">
      <c r="A869" t="s">
        <v>3356</v>
      </c>
      <c r="B869">
        <v>10000</v>
      </c>
      <c r="C869">
        <v>10000</v>
      </c>
      <c r="D869" s="2">
        <v>45729</v>
      </c>
      <c r="E869" t="s">
        <v>61</v>
      </c>
      <c r="F869" t="s">
        <v>3352</v>
      </c>
      <c r="G869" t="s">
        <v>3353</v>
      </c>
      <c r="I869">
        <v>1</v>
      </c>
      <c r="J869" t="s">
        <v>63</v>
      </c>
      <c r="K869" s="8">
        <v>82</v>
      </c>
      <c r="L869" s="8" t="s">
        <v>6598</v>
      </c>
      <c r="M869" s="8" t="s">
        <v>6630</v>
      </c>
      <c r="N869" t="s">
        <v>341</v>
      </c>
      <c r="O869" t="s">
        <v>6346</v>
      </c>
      <c r="P869">
        <v>334</v>
      </c>
      <c r="S869" s="2">
        <v>45729</v>
      </c>
      <c r="U869">
        <v>6</v>
      </c>
      <c r="V869" s="4">
        <v>2002</v>
      </c>
      <c r="W869" t="s">
        <v>65</v>
      </c>
      <c r="X869">
        <v>200467500001</v>
      </c>
      <c r="Y869">
        <v>0</v>
      </c>
      <c r="Z869" s="4">
        <v>2000</v>
      </c>
      <c r="AA869">
        <v>2</v>
      </c>
      <c r="AB869">
        <v>0</v>
      </c>
      <c r="AC869">
        <v>0</v>
      </c>
      <c r="AD869">
        <v>0</v>
      </c>
      <c r="AG869">
        <v>0</v>
      </c>
      <c r="AP869">
        <v>20046750</v>
      </c>
      <c r="AQ869" t="s">
        <v>182</v>
      </c>
      <c r="AR869" t="s">
        <v>6643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BC869" t="s">
        <v>69</v>
      </c>
      <c r="BD869" t="s">
        <v>3357</v>
      </c>
      <c r="BE869">
        <v>0</v>
      </c>
      <c r="BG869" t="s">
        <v>182</v>
      </c>
      <c r="BJ869" t="s">
        <v>3358</v>
      </c>
    </row>
    <row r="870" spans="1:62" x14ac:dyDescent="0.35">
      <c r="A870" t="s">
        <v>3356</v>
      </c>
      <c r="B870">
        <v>20000</v>
      </c>
      <c r="C870">
        <v>10000</v>
      </c>
      <c r="D870" s="2">
        <v>45729</v>
      </c>
      <c r="E870" t="s">
        <v>61</v>
      </c>
      <c r="F870" t="s">
        <v>3352</v>
      </c>
      <c r="G870" t="s">
        <v>3353</v>
      </c>
      <c r="I870">
        <v>1</v>
      </c>
      <c r="J870" t="s">
        <v>63</v>
      </c>
      <c r="K870" s="8">
        <v>82</v>
      </c>
      <c r="L870" s="8" t="s">
        <v>6598</v>
      </c>
      <c r="M870" s="8" t="s">
        <v>6630</v>
      </c>
      <c r="N870" t="s">
        <v>341</v>
      </c>
      <c r="O870" t="s">
        <v>6346</v>
      </c>
      <c r="P870">
        <v>333</v>
      </c>
      <c r="S870" s="2">
        <v>45729</v>
      </c>
      <c r="U870">
        <v>6</v>
      </c>
      <c r="V870" s="4">
        <v>2000</v>
      </c>
      <c r="W870" t="s">
        <v>65</v>
      </c>
      <c r="X870">
        <v>200467500001</v>
      </c>
      <c r="Y870">
        <v>0</v>
      </c>
      <c r="Z870" s="4">
        <v>2000</v>
      </c>
      <c r="AA870">
        <v>0</v>
      </c>
      <c r="AB870">
        <v>0</v>
      </c>
      <c r="AC870">
        <v>0</v>
      </c>
      <c r="AD870">
        <v>0</v>
      </c>
      <c r="AG870">
        <v>0</v>
      </c>
      <c r="AP870">
        <v>20046750</v>
      </c>
      <c r="AQ870" t="s">
        <v>182</v>
      </c>
      <c r="AR870" t="s">
        <v>6643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BC870" t="s">
        <v>69</v>
      </c>
      <c r="BD870" t="s">
        <v>3357</v>
      </c>
      <c r="BE870">
        <v>0</v>
      </c>
      <c r="BG870" t="s">
        <v>182</v>
      </c>
      <c r="BJ870" t="s">
        <v>3358</v>
      </c>
    </row>
    <row r="871" spans="1:62" x14ac:dyDescent="0.35">
      <c r="A871" t="s">
        <v>3359</v>
      </c>
      <c r="B871">
        <v>10000</v>
      </c>
      <c r="C871">
        <v>10000</v>
      </c>
      <c r="D871" s="2">
        <v>45730</v>
      </c>
      <c r="E871" t="s">
        <v>61</v>
      </c>
      <c r="F871" t="s">
        <v>782</v>
      </c>
      <c r="G871" t="s">
        <v>699</v>
      </c>
      <c r="I871">
        <v>1</v>
      </c>
      <c r="J871" t="s">
        <v>63</v>
      </c>
      <c r="K871" s="8">
        <v>82</v>
      </c>
      <c r="L871" s="8" t="s">
        <v>6598</v>
      </c>
      <c r="M871" s="8" t="s">
        <v>6630</v>
      </c>
      <c r="N871" t="s">
        <v>341</v>
      </c>
      <c r="O871" t="s">
        <v>6346</v>
      </c>
      <c r="P871">
        <v>703</v>
      </c>
      <c r="S871" s="2">
        <v>45729</v>
      </c>
      <c r="U871">
        <v>75</v>
      </c>
      <c r="V871" s="4">
        <v>52725</v>
      </c>
      <c r="W871" t="s">
        <v>65</v>
      </c>
      <c r="X871">
        <v>200302690001</v>
      </c>
      <c r="Y871">
        <v>0</v>
      </c>
      <c r="Z871" s="4">
        <v>52700</v>
      </c>
      <c r="AA871">
        <v>25</v>
      </c>
      <c r="AB871">
        <v>0</v>
      </c>
      <c r="AC871">
        <v>0</v>
      </c>
      <c r="AD871">
        <v>0</v>
      </c>
      <c r="AG871">
        <v>0</v>
      </c>
      <c r="AP871">
        <v>20030269</v>
      </c>
      <c r="AQ871" t="s">
        <v>182</v>
      </c>
      <c r="AR871" t="s">
        <v>6643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C871" t="s">
        <v>69</v>
      </c>
      <c r="BD871" t="s">
        <v>3360</v>
      </c>
      <c r="BE871">
        <v>0</v>
      </c>
      <c r="BG871" t="s">
        <v>182</v>
      </c>
      <c r="BJ871" t="s">
        <v>3361</v>
      </c>
    </row>
    <row r="872" spans="1:62" x14ac:dyDescent="0.35">
      <c r="A872" t="s">
        <v>3363</v>
      </c>
      <c r="B872">
        <v>10000</v>
      </c>
      <c r="C872">
        <v>10000</v>
      </c>
      <c r="D872" s="2">
        <v>45733</v>
      </c>
      <c r="E872" t="s">
        <v>61</v>
      </c>
      <c r="F872" t="s">
        <v>3364</v>
      </c>
      <c r="G872" t="s">
        <v>2271</v>
      </c>
      <c r="H872" t="s">
        <v>3365</v>
      </c>
      <c r="I872">
        <v>1</v>
      </c>
      <c r="J872" t="s">
        <v>69</v>
      </c>
      <c r="K872" s="8">
        <v>94</v>
      </c>
      <c r="L872" s="8" t="s">
        <v>6599</v>
      </c>
      <c r="M872" s="8" t="s">
        <v>6629</v>
      </c>
      <c r="N872" t="s">
        <v>181</v>
      </c>
      <c r="O872" t="s">
        <v>6544</v>
      </c>
      <c r="P872" s="4">
        <v>9000</v>
      </c>
      <c r="S872" s="2">
        <v>45730</v>
      </c>
      <c r="U872">
        <v>4</v>
      </c>
      <c r="V872" s="4">
        <v>36000</v>
      </c>
      <c r="W872" t="s">
        <v>65</v>
      </c>
      <c r="X872" t="s">
        <v>3135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G872">
        <v>0</v>
      </c>
      <c r="AK872" t="s">
        <v>69</v>
      </c>
      <c r="AL872">
        <v>0</v>
      </c>
      <c r="AM872" t="s">
        <v>69</v>
      </c>
      <c r="AP872" t="s">
        <v>3136</v>
      </c>
      <c r="AQ872" t="s">
        <v>364</v>
      </c>
      <c r="AR872" t="s">
        <v>6653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BC872" t="s">
        <v>69</v>
      </c>
      <c r="BG872" t="s">
        <v>364</v>
      </c>
      <c r="BJ872" t="s">
        <v>3366</v>
      </c>
    </row>
    <row r="873" spans="1:62" x14ac:dyDescent="0.35">
      <c r="A873" t="s">
        <v>2517</v>
      </c>
      <c r="B873">
        <v>10000</v>
      </c>
      <c r="C873">
        <v>30000</v>
      </c>
      <c r="D873" s="2">
        <v>45756</v>
      </c>
      <c r="E873" t="s">
        <v>61</v>
      </c>
      <c r="F873" t="s">
        <v>2518</v>
      </c>
      <c r="G873">
        <v>860909190840</v>
      </c>
      <c r="H873" t="s">
        <v>2519</v>
      </c>
      <c r="I873">
        <v>3</v>
      </c>
      <c r="J873" t="s">
        <v>69</v>
      </c>
      <c r="K873" s="8">
        <v>73</v>
      </c>
      <c r="L873" s="8" t="s">
        <v>6586</v>
      </c>
      <c r="M873" s="8" t="s">
        <v>6627</v>
      </c>
      <c r="N873" t="s">
        <v>90</v>
      </c>
      <c r="O873" t="s">
        <v>6564</v>
      </c>
      <c r="P873" s="4">
        <v>6000</v>
      </c>
      <c r="Q873">
        <f t="shared" ref="Q873:Q875" si="223">(P873/60)+45</f>
        <v>145</v>
      </c>
      <c r="R873">
        <f t="shared" ref="R873:R875" si="224">Q873/60</f>
        <v>2.4166666666666665</v>
      </c>
      <c r="S873" s="2">
        <v>45730</v>
      </c>
      <c r="U873">
        <v>1</v>
      </c>
      <c r="V873" s="4">
        <v>6000</v>
      </c>
      <c r="W873" t="s">
        <v>65</v>
      </c>
      <c r="X873">
        <v>200699050001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G873">
        <v>0</v>
      </c>
      <c r="AK873" t="s">
        <v>69</v>
      </c>
      <c r="AL873">
        <v>0</v>
      </c>
      <c r="AM873" t="s">
        <v>69</v>
      </c>
      <c r="AP873">
        <v>20069905</v>
      </c>
      <c r="AQ873" t="s">
        <v>182</v>
      </c>
      <c r="AR873" t="s">
        <v>6643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BC873" t="s">
        <v>69</v>
      </c>
      <c r="BG873" t="s">
        <v>182</v>
      </c>
      <c r="BJ873" t="s">
        <v>2520</v>
      </c>
    </row>
    <row r="874" spans="1:62" x14ac:dyDescent="0.35">
      <c r="A874" t="s">
        <v>2521</v>
      </c>
      <c r="B874">
        <v>10000</v>
      </c>
      <c r="C874">
        <v>30000</v>
      </c>
      <c r="D874" s="2">
        <v>45742</v>
      </c>
      <c r="E874" t="s">
        <v>61</v>
      </c>
      <c r="F874" t="s">
        <v>2522</v>
      </c>
      <c r="G874">
        <v>860909190840</v>
      </c>
      <c r="H874" t="s">
        <v>2519</v>
      </c>
      <c r="I874">
        <v>3</v>
      </c>
      <c r="J874" t="s">
        <v>69</v>
      </c>
      <c r="K874" s="8">
        <v>73</v>
      </c>
      <c r="L874" s="8" t="s">
        <v>6586</v>
      </c>
      <c r="M874" s="8" t="s">
        <v>6627</v>
      </c>
      <c r="N874" t="s">
        <v>90</v>
      </c>
      <c r="O874" t="s">
        <v>6564</v>
      </c>
      <c r="P874" s="4">
        <v>18000</v>
      </c>
      <c r="Q874">
        <f t="shared" si="223"/>
        <v>345</v>
      </c>
      <c r="R874">
        <f t="shared" si="224"/>
        <v>5.75</v>
      </c>
      <c r="S874" s="2">
        <v>45730</v>
      </c>
      <c r="U874">
        <v>1</v>
      </c>
      <c r="V874" s="4">
        <v>18000</v>
      </c>
      <c r="W874" t="s">
        <v>65</v>
      </c>
      <c r="X874">
        <v>200717160001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G874">
        <v>0</v>
      </c>
      <c r="AK874" t="s">
        <v>69</v>
      </c>
      <c r="AL874">
        <v>0</v>
      </c>
      <c r="AM874" t="s">
        <v>69</v>
      </c>
      <c r="AP874">
        <v>20071716</v>
      </c>
      <c r="AQ874" t="s">
        <v>182</v>
      </c>
      <c r="AR874" t="s">
        <v>6643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BC874" t="s">
        <v>69</v>
      </c>
      <c r="BG874" t="s">
        <v>182</v>
      </c>
      <c r="BJ874" t="s">
        <v>2523</v>
      </c>
    </row>
    <row r="875" spans="1:62" x14ac:dyDescent="0.35">
      <c r="A875" t="s">
        <v>2788</v>
      </c>
      <c r="B875">
        <v>10000</v>
      </c>
      <c r="C875">
        <v>20000</v>
      </c>
      <c r="D875" s="2">
        <v>45748</v>
      </c>
      <c r="E875" t="s">
        <v>61</v>
      </c>
      <c r="F875" t="s">
        <v>2789</v>
      </c>
      <c r="G875" t="s">
        <v>2790</v>
      </c>
      <c r="H875" t="s">
        <v>2791</v>
      </c>
      <c r="I875">
        <v>2</v>
      </c>
      <c r="J875" t="s">
        <v>69</v>
      </c>
      <c r="K875" s="8">
        <v>77</v>
      </c>
      <c r="L875" s="8" t="s">
        <v>6584</v>
      </c>
      <c r="M875" s="8" t="s">
        <v>6627</v>
      </c>
      <c r="N875" t="s">
        <v>127</v>
      </c>
      <c r="O875" t="s">
        <v>6567</v>
      </c>
      <c r="P875" s="4">
        <v>3705</v>
      </c>
      <c r="Q875">
        <f t="shared" si="223"/>
        <v>106.75</v>
      </c>
      <c r="R875">
        <f t="shared" si="224"/>
        <v>1.7791666666666666</v>
      </c>
      <c r="S875" s="2">
        <v>45730</v>
      </c>
      <c r="U875">
        <v>88</v>
      </c>
      <c r="V875" s="4">
        <v>326040</v>
      </c>
      <c r="W875" t="s">
        <v>65</v>
      </c>
      <c r="X875" t="s">
        <v>328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G875">
        <v>0</v>
      </c>
      <c r="AK875" t="s">
        <v>69</v>
      </c>
      <c r="AL875">
        <v>0</v>
      </c>
      <c r="AM875" t="s">
        <v>69</v>
      </c>
      <c r="AP875" t="s">
        <v>329</v>
      </c>
      <c r="AQ875" t="s">
        <v>107</v>
      </c>
      <c r="AR875" t="s">
        <v>6638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BC875" t="s">
        <v>69</v>
      </c>
      <c r="BG875" t="s">
        <v>107</v>
      </c>
      <c r="BJ875" t="s">
        <v>2792</v>
      </c>
    </row>
    <row r="876" spans="1:62" x14ac:dyDescent="0.35">
      <c r="A876" t="s">
        <v>3367</v>
      </c>
      <c r="B876">
        <v>10000</v>
      </c>
      <c r="C876">
        <v>10000</v>
      </c>
      <c r="D876" s="2">
        <v>45735</v>
      </c>
      <c r="E876" t="s">
        <v>61</v>
      </c>
      <c r="F876" t="s">
        <v>3368</v>
      </c>
      <c r="G876">
        <v>10639931025</v>
      </c>
      <c r="H876" t="s">
        <v>3369</v>
      </c>
      <c r="I876">
        <v>1</v>
      </c>
      <c r="J876" t="s">
        <v>69</v>
      </c>
      <c r="K876" s="8">
        <v>79</v>
      </c>
      <c r="L876" s="8" t="s">
        <v>6608</v>
      </c>
      <c r="M876" s="8" t="s">
        <v>6631</v>
      </c>
      <c r="N876" t="s">
        <v>573</v>
      </c>
      <c r="O876" t="s">
        <v>6547</v>
      </c>
      <c r="P876">
        <v>278</v>
      </c>
      <c r="Q876">
        <f>(P876/20)+30</f>
        <v>43.9</v>
      </c>
      <c r="R876">
        <f>Q876/60</f>
        <v>0.73166666666666669</v>
      </c>
      <c r="S876" s="2">
        <v>45730</v>
      </c>
      <c r="U876">
        <v>36</v>
      </c>
      <c r="V876" s="4">
        <v>10008</v>
      </c>
      <c r="W876" t="s">
        <v>65</v>
      </c>
      <c r="X876" t="s">
        <v>3370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G876">
        <v>0</v>
      </c>
      <c r="AK876" t="s">
        <v>69</v>
      </c>
      <c r="AL876">
        <v>0</v>
      </c>
      <c r="AM876" t="s">
        <v>69</v>
      </c>
      <c r="AP876" t="s">
        <v>3371</v>
      </c>
      <c r="AQ876" t="s">
        <v>68</v>
      </c>
      <c r="AR876" t="s">
        <v>6636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BC876" t="s">
        <v>69</v>
      </c>
      <c r="BG876" t="s">
        <v>68</v>
      </c>
      <c r="BJ876" t="s">
        <v>3372</v>
      </c>
    </row>
    <row r="877" spans="1:62" x14ac:dyDescent="0.35">
      <c r="A877" t="s">
        <v>3373</v>
      </c>
      <c r="B877">
        <v>10000</v>
      </c>
      <c r="C877">
        <v>40000</v>
      </c>
      <c r="D877" s="2">
        <v>45733</v>
      </c>
      <c r="E877" t="s">
        <v>61</v>
      </c>
      <c r="F877" t="s">
        <v>3374</v>
      </c>
      <c r="G877">
        <v>10639931088</v>
      </c>
      <c r="I877">
        <v>2</v>
      </c>
      <c r="J877" t="s">
        <v>63</v>
      </c>
      <c r="K877" s="8">
        <v>77</v>
      </c>
      <c r="L877" s="8" t="s">
        <v>6584</v>
      </c>
      <c r="M877" s="8" t="s">
        <v>6627</v>
      </c>
      <c r="N877" t="s">
        <v>127</v>
      </c>
      <c r="O877" t="s">
        <v>6567</v>
      </c>
      <c r="P877" s="4">
        <v>14862</v>
      </c>
      <c r="Q877">
        <f t="shared" ref="Q877:Q878" si="225">(P877/60)+45</f>
        <v>292.7</v>
      </c>
      <c r="R877">
        <f t="shared" ref="R877:R878" si="226">Q877/60</f>
        <v>4.878333333333333</v>
      </c>
      <c r="S877" s="2">
        <v>45730</v>
      </c>
      <c r="U877">
        <v>36</v>
      </c>
      <c r="V877" s="4">
        <v>535032</v>
      </c>
      <c r="W877" t="s">
        <v>65</v>
      </c>
      <c r="X877" t="s">
        <v>66</v>
      </c>
      <c r="Y877">
        <v>0</v>
      </c>
      <c r="Z877" s="4">
        <v>500000</v>
      </c>
      <c r="AA877" s="4">
        <v>35032</v>
      </c>
      <c r="AB877">
        <v>0</v>
      </c>
      <c r="AC877">
        <v>0</v>
      </c>
      <c r="AD877">
        <v>0</v>
      </c>
      <c r="AG877">
        <v>0</v>
      </c>
      <c r="AP877" t="s">
        <v>67</v>
      </c>
      <c r="AQ877" t="s">
        <v>68</v>
      </c>
      <c r="AR877" t="s">
        <v>6636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BC877" t="s">
        <v>69</v>
      </c>
      <c r="BD877" t="s">
        <v>3375</v>
      </c>
      <c r="BE877">
        <v>0</v>
      </c>
      <c r="BG877" t="s">
        <v>68</v>
      </c>
      <c r="BJ877" t="s">
        <v>3376</v>
      </c>
    </row>
    <row r="878" spans="1:62" x14ac:dyDescent="0.35">
      <c r="A878" t="s">
        <v>3377</v>
      </c>
      <c r="B878">
        <v>10000</v>
      </c>
      <c r="C878">
        <v>10000</v>
      </c>
      <c r="D878" s="2">
        <v>45734</v>
      </c>
      <c r="E878" t="s">
        <v>61</v>
      </c>
      <c r="F878" t="s">
        <v>3378</v>
      </c>
      <c r="G878" t="s">
        <v>3379</v>
      </c>
      <c r="I878">
        <v>1</v>
      </c>
      <c r="J878" t="s">
        <v>63</v>
      </c>
      <c r="K878" s="8">
        <v>111</v>
      </c>
      <c r="L878" s="8" t="s">
        <v>6597</v>
      </c>
      <c r="M878" s="8" t="s">
        <v>6627</v>
      </c>
      <c r="N878" t="s">
        <v>286</v>
      </c>
      <c r="O878" t="s">
        <v>6560</v>
      </c>
      <c r="P878" s="4">
        <v>60000</v>
      </c>
      <c r="Q878">
        <f t="shared" si="225"/>
        <v>1045</v>
      </c>
      <c r="R878">
        <f t="shared" si="226"/>
        <v>17.416666666666668</v>
      </c>
      <c r="S878" s="2">
        <v>45730</v>
      </c>
      <c r="U878">
        <v>10</v>
      </c>
      <c r="V878" s="4">
        <v>600000</v>
      </c>
      <c r="W878" t="s">
        <v>65</v>
      </c>
      <c r="X878" t="s">
        <v>287</v>
      </c>
      <c r="Y878">
        <v>0</v>
      </c>
      <c r="Z878" s="4">
        <v>600000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288</v>
      </c>
      <c r="AQ878" t="s">
        <v>289</v>
      </c>
      <c r="AR878" t="s">
        <v>6650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BC878" t="s">
        <v>69</v>
      </c>
      <c r="BD878" t="s">
        <v>3380</v>
      </c>
      <c r="BE878">
        <v>0</v>
      </c>
      <c r="BG878" t="s">
        <v>289</v>
      </c>
      <c r="BJ878" t="s">
        <v>3381</v>
      </c>
    </row>
    <row r="879" spans="1:62" x14ac:dyDescent="0.35">
      <c r="A879" t="s">
        <v>3382</v>
      </c>
      <c r="B879">
        <v>10000</v>
      </c>
      <c r="C879">
        <v>10000</v>
      </c>
      <c r="D879" s="2">
        <v>45733</v>
      </c>
      <c r="E879" t="s">
        <v>61</v>
      </c>
      <c r="F879" t="s">
        <v>3383</v>
      </c>
      <c r="G879" t="s">
        <v>3384</v>
      </c>
      <c r="I879">
        <v>1</v>
      </c>
      <c r="J879" t="s">
        <v>63</v>
      </c>
      <c r="K879" s="8">
        <v>60</v>
      </c>
      <c r="L879" s="8" t="s">
        <v>6590</v>
      </c>
      <c r="M879" s="8" t="s">
        <v>6630</v>
      </c>
      <c r="N879" t="s">
        <v>277</v>
      </c>
      <c r="O879" t="s">
        <v>6554</v>
      </c>
      <c r="P879" s="4">
        <v>3340</v>
      </c>
      <c r="Q879">
        <f>(P879/50)+45</f>
        <v>111.8</v>
      </c>
      <c r="R879">
        <f>Q879/60</f>
        <v>1.8633333333333333</v>
      </c>
      <c r="S879" s="2">
        <v>45730</v>
      </c>
      <c r="U879">
        <v>6</v>
      </c>
      <c r="V879" s="4">
        <v>20040</v>
      </c>
      <c r="W879" t="s">
        <v>65</v>
      </c>
      <c r="X879" t="s">
        <v>3385</v>
      </c>
      <c r="Y879">
        <v>0</v>
      </c>
      <c r="Z879" s="4">
        <v>20040</v>
      </c>
      <c r="AA879">
        <v>0</v>
      </c>
      <c r="AB879">
        <v>0</v>
      </c>
      <c r="AC879">
        <v>0</v>
      </c>
      <c r="AD879">
        <v>0</v>
      </c>
      <c r="AG879">
        <v>0</v>
      </c>
      <c r="AP879" t="s">
        <v>3386</v>
      </c>
      <c r="AQ879" t="s">
        <v>321</v>
      </c>
      <c r="AR879" t="s">
        <v>6652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BC879" t="s">
        <v>69</v>
      </c>
      <c r="BD879" t="s">
        <v>3387</v>
      </c>
      <c r="BE879">
        <v>0</v>
      </c>
      <c r="BG879" t="s">
        <v>321</v>
      </c>
      <c r="BJ879" t="s">
        <v>3388</v>
      </c>
    </row>
    <row r="880" spans="1:62" x14ac:dyDescent="0.35">
      <c r="A880" t="s">
        <v>3389</v>
      </c>
      <c r="B880">
        <v>10000</v>
      </c>
      <c r="C880">
        <v>10000</v>
      </c>
      <c r="D880" s="2">
        <v>45733</v>
      </c>
      <c r="E880" t="s">
        <v>61</v>
      </c>
      <c r="F880" t="s">
        <v>3390</v>
      </c>
      <c r="G880" t="s">
        <v>89</v>
      </c>
      <c r="I880">
        <v>1</v>
      </c>
      <c r="J880" t="s">
        <v>63</v>
      </c>
      <c r="K880" s="8">
        <v>73</v>
      </c>
      <c r="L880" t="s">
        <v>6586</v>
      </c>
      <c r="M880" s="8" t="s">
        <v>6627</v>
      </c>
      <c r="N880" t="s">
        <v>98</v>
      </c>
      <c r="O880" t="s">
        <v>6549</v>
      </c>
      <c r="P880" s="4">
        <v>12000</v>
      </c>
      <c r="S880" s="2">
        <v>45730</v>
      </c>
      <c r="U880">
        <v>12</v>
      </c>
      <c r="V880" s="4">
        <v>144000</v>
      </c>
      <c r="W880" t="s">
        <v>65</v>
      </c>
      <c r="X880">
        <v>80256250001</v>
      </c>
      <c r="Y880">
        <v>0</v>
      </c>
      <c r="Z880" s="4">
        <v>144000</v>
      </c>
      <c r="AA880">
        <v>0</v>
      </c>
      <c r="AB880">
        <v>0</v>
      </c>
      <c r="AC880">
        <v>0</v>
      </c>
      <c r="AD880">
        <v>0</v>
      </c>
      <c r="AG880">
        <v>0</v>
      </c>
      <c r="AP880">
        <v>8025625</v>
      </c>
      <c r="AQ880" t="s">
        <v>91</v>
      </c>
      <c r="AR880" t="s">
        <v>6637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BC880" t="s">
        <v>69</v>
      </c>
      <c r="BD880" t="s">
        <v>3391</v>
      </c>
      <c r="BE880">
        <v>0</v>
      </c>
      <c r="BG880" t="s">
        <v>91</v>
      </c>
      <c r="BJ880" t="s">
        <v>3392</v>
      </c>
    </row>
    <row r="881" spans="1:62" x14ac:dyDescent="0.35">
      <c r="A881" t="s">
        <v>3393</v>
      </c>
      <c r="B881">
        <v>10000</v>
      </c>
      <c r="C881">
        <v>10000</v>
      </c>
      <c r="D881" s="2">
        <v>45730</v>
      </c>
      <c r="E881" t="s">
        <v>61</v>
      </c>
      <c r="F881" t="s">
        <v>3006</v>
      </c>
      <c r="G881" t="s">
        <v>2271</v>
      </c>
      <c r="I881">
        <v>1</v>
      </c>
      <c r="J881" t="s">
        <v>63</v>
      </c>
      <c r="K881" s="8">
        <v>94</v>
      </c>
      <c r="L881" s="8" t="s">
        <v>6599</v>
      </c>
      <c r="M881" s="8" t="s">
        <v>6629</v>
      </c>
      <c r="N881" t="s">
        <v>181</v>
      </c>
      <c r="O881" t="s">
        <v>6544</v>
      </c>
      <c r="P881" s="4">
        <v>9000</v>
      </c>
      <c r="S881" s="2">
        <v>45730</v>
      </c>
      <c r="U881">
        <v>4</v>
      </c>
      <c r="V881" s="4">
        <v>36000</v>
      </c>
      <c r="W881" t="s">
        <v>65</v>
      </c>
      <c r="X881" t="s">
        <v>3135</v>
      </c>
      <c r="Y881">
        <v>0</v>
      </c>
      <c r="Z881" s="4">
        <v>36000</v>
      </c>
      <c r="AA881">
        <v>0</v>
      </c>
      <c r="AB881">
        <v>0</v>
      </c>
      <c r="AC881">
        <v>0</v>
      </c>
      <c r="AD881">
        <v>0</v>
      </c>
      <c r="AG881">
        <v>0</v>
      </c>
      <c r="AP881" t="s">
        <v>3136</v>
      </c>
      <c r="AQ881" t="s">
        <v>364</v>
      </c>
      <c r="AR881" t="s">
        <v>6653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BC881" t="s">
        <v>69</v>
      </c>
      <c r="BD881" t="s">
        <v>3394</v>
      </c>
      <c r="BE881">
        <v>0</v>
      </c>
      <c r="BG881" t="s">
        <v>364</v>
      </c>
      <c r="BJ881" t="s">
        <v>3395</v>
      </c>
    </row>
    <row r="882" spans="1:62" x14ac:dyDescent="0.35">
      <c r="A882" t="s">
        <v>3396</v>
      </c>
      <c r="B882">
        <v>10000</v>
      </c>
      <c r="C882">
        <v>20000</v>
      </c>
      <c r="D882" s="2">
        <v>45730</v>
      </c>
      <c r="E882" t="s">
        <v>61</v>
      </c>
      <c r="F882" t="s">
        <v>3397</v>
      </c>
      <c r="G882" t="s">
        <v>3398</v>
      </c>
      <c r="I882">
        <v>1</v>
      </c>
      <c r="J882" t="s">
        <v>63</v>
      </c>
      <c r="K882" s="8">
        <v>90</v>
      </c>
      <c r="L882" s="8" t="s">
        <v>6589</v>
      </c>
      <c r="M882" s="8" t="s">
        <v>6630</v>
      </c>
      <c r="N882" t="s">
        <v>459</v>
      </c>
      <c r="O882" t="s">
        <v>6568</v>
      </c>
      <c r="P882">
        <v>242</v>
      </c>
      <c r="Q882">
        <f>(P882/20)+45</f>
        <v>57.1</v>
      </c>
      <c r="R882">
        <f>Q882/60</f>
        <v>0.95166666666666666</v>
      </c>
      <c r="S882" s="2">
        <v>45730</v>
      </c>
      <c r="U882">
        <v>124</v>
      </c>
      <c r="V882" s="4">
        <v>30008</v>
      </c>
      <c r="W882" t="s">
        <v>65</v>
      </c>
      <c r="X882" t="s">
        <v>3399</v>
      </c>
      <c r="Y882">
        <v>0</v>
      </c>
      <c r="Z882" s="4">
        <v>30000</v>
      </c>
      <c r="AA882">
        <v>8</v>
      </c>
      <c r="AB882">
        <v>0</v>
      </c>
      <c r="AC882">
        <v>0</v>
      </c>
      <c r="AD882">
        <v>0</v>
      </c>
      <c r="AG882">
        <v>0</v>
      </c>
      <c r="AP882" t="s">
        <v>3400</v>
      </c>
      <c r="AQ882" t="s">
        <v>829</v>
      </c>
      <c r="AR882" t="s">
        <v>6653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BC882" t="s">
        <v>69</v>
      </c>
      <c r="BD882" t="s">
        <v>3401</v>
      </c>
      <c r="BE882">
        <v>0</v>
      </c>
      <c r="BG882" t="s">
        <v>829</v>
      </c>
      <c r="BJ882" t="s">
        <v>3402</v>
      </c>
    </row>
    <row r="883" spans="1:62" x14ac:dyDescent="0.35">
      <c r="A883" t="s">
        <v>3403</v>
      </c>
      <c r="B883">
        <v>10000</v>
      </c>
      <c r="C883">
        <v>10000</v>
      </c>
      <c r="D883" s="2">
        <v>45730</v>
      </c>
      <c r="E883" t="s">
        <v>61</v>
      </c>
      <c r="F883" t="s">
        <v>3116</v>
      </c>
      <c r="G883" t="s">
        <v>3117</v>
      </c>
      <c r="I883">
        <v>1</v>
      </c>
      <c r="J883" t="s">
        <v>63</v>
      </c>
      <c r="K883" s="8">
        <v>86</v>
      </c>
      <c r="L883" s="8" t="s">
        <v>6584</v>
      </c>
      <c r="M883" s="8" t="s">
        <v>6627</v>
      </c>
      <c r="N883" t="s">
        <v>64</v>
      </c>
      <c r="O883" t="s">
        <v>6559</v>
      </c>
      <c r="P883" s="4">
        <v>2500</v>
      </c>
      <c r="Q883">
        <f>(P883/60)+45</f>
        <v>86.666666666666657</v>
      </c>
      <c r="R883">
        <f>Q883/60</f>
        <v>1.4444444444444442</v>
      </c>
      <c r="S883" s="2">
        <v>45730</v>
      </c>
      <c r="U883">
        <v>4</v>
      </c>
      <c r="V883" s="4">
        <v>10000</v>
      </c>
      <c r="W883" t="s">
        <v>65</v>
      </c>
      <c r="X883" t="s">
        <v>3118</v>
      </c>
      <c r="Y883">
        <v>0</v>
      </c>
      <c r="Z883" s="4">
        <v>10000</v>
      </c>
      <c r="AA883">
        <v>0</v>
      </c>
      <c r="AB883">
        <v>0</v>
      </c>
      <c r="AC883">
        <v>0</v>
      </c>
      <c r="AD883">
        <v>0</v>
      </c>
      <c r="AG883">
        <v>0</v>
      </c>
      <c r="AP883" t="s">
        <v>3119</v>
      </c>
      <c r="AQ883" t="s">
        <v>3404</v>
      </c>
      <c r="AR883" t="s">
        <v>6720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BC883" t="s">
        <v>69</v>
      </c>
      <c r="BD883" t="s">
        <v>3405</v>
      </c>
      <c r="BE883">
        <v>0</v>
      </c>
      <c r="BG883" t="s">
        <v>3404</v>
      </c>
      <c r="BJ883" t="s">
        <v>3406</v>
      </c>
    </row>
    <row r="884" spans="1:62" x14ac:dyDescent="0.35">
      <c r="A884" t="s">
        <v>2863</v>
      </c>
      <c r="B884">
        <v>10000</v>
      </c>
      <c r="C884">
        <v>20000</v>
      </c>
      <c r="D884" s="2">
        <v>45733</v>
      </c>
      <c r="E884" t="s">
        <v>61</v>
      </c>
      <c r="F884" t="s">
        <v>2320</v>
      </c>
      <c r="G884" t="s">
        <v>2289</v>
      </c>
      <c r="I884">
        <v>2</v>
      </c>
      <c r="J884" t="s">
        <v>63</v>
      </c>
      <c r="K884" s="8">
        <v>63</v>
      </c>
      <c r="L884" s="8" t="s">
        <v>6605</v>
      </c>
      <c r="M884" s="8" t="s">
        <v>6630</v>
      </c>
      <c r="N884" t="s">
        <v>519</v>
      </c>
      <c r="O884" t="s">
        <v>6569</v>
      </c>
      <c r="P884" s="4">
        <v>7500</v>
      </c>
      <c r="Q884">
        <f t="shared" ref="Q884:Q885" si="227">(P884/40)+45</f>
        <v>232.5</v>
      </c>
      <c r="R884">
        <f t="shared" ref="R884:R885" si="228">Q884/60</f>
        <v>3.875</v>
      </c>
      <c r="S884" s="2">
        <v>45730</v>
      </c>
      <c r="U884">
        <v>16</v>
      </c>
      <c r="V884" s="4">
        <v>120000</v>
      </c>
      <c r="W884" t="s">
        <v>65</v>
      </c>
      <c r="X884" t="s">
        <v>2865</v>
      </c>
      <c r="Y884">
        <v>0</v>
      </c>
      <c r="Z884" s="4">
        <v>120000</v>
      </c>
      <c r="AA884">
        <v>0</v>
      </c>
      <c r="AB884">
        <v>0</v>
      </c>
      <c r="AC884">
        <v>0</v>
      </c>
      <c r="AD884">
        <v>0</v>
      </c>
      <c r="AG884">
        <v>0</v>
      </c>
      <c r="AP884" t="s">
        <v>2866</v>
      </c>
      <c r="AQ884" t="s">
        <v>175</v>
      </c>
      <c r="AR884" t="s">
        <v>6642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C884" t="s">
        <v>69</v>
      </c>
      <c r="BD884" t="s">
        <v>2867</v>
      </c>
      <c r="BE884">
        <v>0</v>
      </c>
      <c r="BG884" t="s">
        <v>175</v>
      </c>
      <c r="BJ884" t="s">
        <v>2868</v>
      </c>
    </row>
    <row r="885" spans="1:62" x14ac:dyDescent="0.35">
      <c r="A885" t="s">
        <v>2869</v>
      </c>
      <c r="B885">
        <v>10000</v>
      </c>
      <c r="C885">
        <v>20000</v>
      </c>
      <c r="D885" s="2">
        <v>45733</v>
      </c>
      <c r="E885" t="s">
        <v>61</v>
      </c>
      <c r="F885" t="s">
        <v>2320</v>
      </c>
      <c r="G885" t="s">
        <v>2289</v>
      </c>
      <c r="I885">
        <v>2</v>
      </c>
      <c r="J885" t="s">
        <v>63</v>
      </c>
      <c r="K885" s="8">
        <v>63</v>
      </c>
      <c r="L885" s="8" t="s">
        <v>6605</v>
      </c>
      <c r="M885" s="8" t="s">
        <v>6630</v>
      </c>
      <c r="N885" t="s">
        <v>519</v>
      </c>
      <c r="O885" t="s">
        <v>6569</v>
      </c>
      <c r="P885" s="4">
        <v>7500</v>
      </c>
      <c r="Q885">
        <f t="shared" si="227"/>
        <v>232.5</v>
      </c>
      <c r="R885">
        <f t="shared" si="228"/>
        <v>3.875</v>
      </c>
      <c r="S885" s="2">
        <v>45730</v>
      </c>
      <c r="U885">
        <v>16</v>
      </c>
      <c r="V885" s="4">
        <v>120000</v>
      </c>
      <c r="W885" t="s">
        <v>65</v>
      </c>
      <c r="X885" t="s">
        <v>2865</v>
      </c>
      <c r="Y885">
        <v>0</v>
      </c>
      <c r="Z885" s="4">
        <v>120000</v>
      </c>
      <c r="AA885">
        <v>0</v>
      </c>
      <c r="AB885">
        <v>0</v>
      </c>
      <c r="AC885">
        <v>0</v>
      </c>
      <c r="AD885">
        <v>0</v>
      </c>
      <c r="AG885">
        <v>0</v>
      </c>
      <c r="AP885" t="s">
        <v>2866</v>
      </c>
      <c r="AQ885" t="s">
        <v>175</v>
      </c>
      <c r="AR885" t="s">
        <v>6642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BC885" t="s">
        <v>69</v>
      </c>
      <c r="BD885" t="s">
        <v>2870</v>
      </c>
      <c r="BE885">
        <v>0</v>
      </c>
      <c r="BG885" t="s">
        <v>175</v>
      </c>
      <c r="BJ885" t="s">
        <v>2871</v>
      </c>
    </row>
    <row r="886" spans="1:62" x14ac:dyDescent="0.35">
      <c r="A886" t="s">
        <v>3407</v>
      </c>
      <c r="B886">
        <v>10000</v>
      </c>
      <c r="C886">
        <v>10000</v>
      </c>
      <c r="D886" s="2">
        <v>45733</v>
      </c>
      <c r="E886" t="s">
        <v>61</v>
      </c>
      <c r="F886" t="s">
        <v>3408</v>
      </c>
      <c r="G886" t="s">
        <v>3029</v>
      </c>
      <c r="I886">
        <v>1</v>
      </c>
      <c r="J886" t="s">
        <v>63</v>
      </c>
      <c r="K886" s="8">
        <v>86</v>
      </c>
      <c r="L886" s="8" t="s">
        <v>6584</v>
      </c>
      <c r="M886" s="8" t="s">
        <v>6627</v>
      </c>
      <c r="N886" t="s">
        <v>64</v>
      </c>
      <c r="O886" t="s">
        <v>6559</v>
      </c>
      <c r="P886" s="4">
        <v>27500</v>
      </c>
      <c r="Q886">
        <f>(P886/60)+45</f>
        <v>503.33333333333331</v>
      </c>
      <c r="R886">
        <f>Q886/60</f>
        <v>8.3888888888888893</v>
      </c>
      <c r="S886" s="2">
        <v>45730</v>
      </c>
      <c r="U886">
        <v>2</v>
      </c>
      <c r="V886" s="4">
        <v>55000</v>
      </c>
      <c r="W886" t="s">
        <v>65</v>
      </c>
      <c r="X886" t="s">
        <v>3409</v>
      </c>
      <c r="Y886">
        <v>0</v>
      </c>
      <c r="Z886" s="4">
        <v>55000</v>
      </c>
      <c r="AA886">
        <v>0</v>
      </c>
      <c r="AB886">
        <v>0</v>
      </c>
      <c r="AC886">
        <v>0</v>
      </c>
      <c r="AD886">
        <v>0</v>
      </c>
      <c r="AG886">
        <v>0</v>
      </c>
      <c r="AP886" t="s">
        <v>3410</v>
      </c>
      <c r="AQ886" t="s">
        <v>1855</v>
      </c>
      <c r="AR886" t="s">
        <v>6689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BC886" t="s">
        <v>69</v>
      </c>
      <c r="BD886" t="s">
        <v>3411</v>
      </c>
      <c r="BE886">
        <v>0</v>
      </c>
      <c r="BG886" t="s">
        <v>1855</v>
      </c>
      <c r="BJ886" t="s">
        <v>3412</v>
      </c>
    </row>
    <row r="887" spans="1:62" x14ac:dyDescent="0.35">
      <c r="A887" t="s">
        <v>3164</v>
      </c>
      <c r="B887">
        <v>10000</v>
      </c>
      <c r="C887">
        <v>20000</v>
      </c>
      <c r="D887" s="2">
        <v>45730</v>
      </c>
      <c r="E887" t="s">
        <v>61</v>
      </c>
      <c r="F887" t="s">
        <v>3165</v>
      </c>
      <c r="G887">
        <v>860908144578</v>
      </c>
      <c r="I887">
        <v>2</v>
      </c>
      <c r="J887" t="s">
        <v>63</v>
      </c>
      <c r="K887" s="8">
        <v>105</v>
      </c>
      <c r="L887" s="8" t="s">
        <v>6612</v>
      </c>
      <c r="M887" s="8" t="s">
        <v>6632</v>
      </c>
      <c r="N887" t="s">
        <v>64</v>
      </c>
      <c r="O887" t="s">
        <v>6559</v>
      </c>
      <c r="P887" s="4">
        <v>4400</v>
      </c>
      <c r="S887" s="2">
        <v>45730</v>
      </c>
      <c r="U887">
        <v>1</v>
      </c>
      <c r="V887" s="4">
        <v>4400</v>
      </c>
      <c r="W887" t="s">
        <v>65</v>
      </c>
      <c r="X887" t="s">
        <v>3166</v>
      </c>
      <c r="Y887">
        <v>0</v>
      </c>
      <c r="Z887" s="4">
        <v>3568</v>
      </c>
      <c r="AA887">
        <v>832</v>
      </c>
      <c r="AB887">
        <v>0</v>
      </c>
      <c r="AC887">
        <v>0</v>
      </c>
      <c r="AD887">
        <v>0</v>
      </c>
      <c r="AG887">
        <v>0</v>
      </c>
      <c r="AP887" t="s">
        <v>3167</v>
      </c>
      <c r="AQ887" t="s">
        <v>3168</v>
      </c>
      <c r="AR887" t="s">
        <v>6716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BC887" t="s">
        <v>69</v>
      </c>
      <c r="BD887" t="s">
        <v>3169</v>
      </c>
      <c r="BE887">
        <v>0</v>
      </c>
      <c r="BG887" t="s">
        <v>3168</v>
      </c>
      <c r="BJ887" t="s">
        <v>3170</v>
      </c>
    </row>
    <row r="888" spans="1:62" x14ac:dyDescent="0.35">
      <c r="A888" t="s">
        <v>3164</v>
      </c>
      <c r="B888">
        <v>10000</v>
      </c>
      <c r="C888">
        <v>30000</v>
      </c>
      <c r="D888" s="2">
        <v>45730</v>
      </c>
      <c r="E888" t="s">
        <v>61</v>
      </c>
      <c r="F888" t="s">
        <v>3165</v>
      </c>
      <c r="G888">
        <v>860908144578</v>
      </c>
      <c r="I888">
        <v>3</v>
      </c>
      <c r="J888" t="s">
        <v>63</v>
      </c>
      <c r="K888" s="8">
        <v>86</v>
      </c>
      <c r="L888" s="8" t="s">
        <v>6584</v>
      </c>
      <c r="M888" s="8" t="s">
        <v>6627</v>
      </c>
      <c r="N888" t="s">
        <v>424</v>
      </c>
      <c r="O888" t="s">
        <v>6570</v>
      </c>
      <c r="P888" s="4">
        <v>2000</v>
      </c>
      <c r="Q888">
        <f>(P888/60)+45</f>
        <v>78.333333333333343</v>
      </c>
      <c r="R888">
        <f>Q888/60</f>
        <v>1.3055555555555558</v>
      </c>
      <c r="S888" s="2">
        <v>45730</v>
      </c>
      <c r="U888">
        <v>2</v>
      </c>
      <c r="V888" s="4">
        <v>4000</v>
      </c>
      <c r="W888" t="s">
        <v>65</v>
      </c>
      <c r="X888" t="s">
        <v>3166</v>
      </c>
      <c r="Y888">
        <v>0</v>
      </c>
      <c r="Z888" s="4">
        <v>6000</v>
      </c>
      <c r="AA888" s="4">
        <v>-2000</v>
      </c>
      <c r="AB888">
        <v>0</v>
      </c>
      <c r="AC888">
        <v>0</v>
      </c>
      <c r="AD888">
        <v>0</v>
      </c>
      <c r="AG888">
        <v>0</v>
      </c>
      <c r="AP888" t="s">
        <v>3167</v>
      </c>
      <c r="AQ888" t="s">
        <v>3168</v>
      </c>
      <c r="AR888" t="s">
        <v>6716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BC888" t="s">
        <v>69</v>
      </c>
      <c r="BD888" t="s">
        <v>3169</v>
      </c>
      <c r="BE888">
        <v>0</v>
      </c>
      <c r="BG888" t="s">
        <v>3168</v>
      </c>
      <c r="BJ888" t="s">
        <v>3170</v>
      </c>
    </row>
    <row r="889" spans="1:62" x14ac:dyDescent="0.35">
      <c r="A889" t="s">
        <v>3413</v>
      </c>
      <c r="B889">
        <v>10000</v>
      </c>
      <c r="C889">
        <v>10000</v>
      </c>
      <c r="D889" s="2">
        <v>45730</v>
      </c>
      <c r="E889" t="s">
        <v>61</v>
      </c>
      <c r="F889" t="s">
        <v>3414</v>
      </c>
      <c r="G889" t="s">
        <v>3415</v>
      </c>
      <c r="I889">
        <v>1</v>
      </c>
      <c r="J889" t="s">
        <v>63</v>
      </c>
      <c r="K889" s="8">
        <v>65</v>
      </c>
      <c r="L889" s="8" t="s">
        <v>6596</v>
      </c>
      <c r="M889" s="8" t="s">
        <v>6630</v>
      </c>
      <c r="N889" t="s">
        <v>268</v>
      </c>
      <c r="O889" t="s">
        <v>6543</v>
      </c>
      <c r="P889" s="4">
        <v>1000</v>
      </c>
      <c r="Q889">
        <f>(P889/40)+45</f>
        <v>70</v>
      </c>
      <c r="R889">
        <f>Q889/60</f>
        <v>1.1666666666666667</v>
      </c>
      <c r="S889" s="2">
        <v>45730</v>
      </c>
      <c r="U889">
        <v>2</v>
      </c>
      <c r="V889" s="4">
        <v>2000</v>
      </c>
      <c r="W889" t="s">
        <v>65</v>
      </c>
      <c r="X889" t="s">
        <v>3416</v>
      </c>
      <c r="Y889">
        <v>0</v>
      </c>
      <c r="Z889" s="4">
        <v>2000</v>
      </c>
      <c r="AA889">
        <v>0</v>
      </c>
      <c r="AB889">
        <v>0</v>
      </c>
      <c r="AC889">
        <v>0</v>
      </c>
      <c r="AD889">
        <v>0</v>
      </c>
      <c r="AG889">
        <v>0</v>
      </c>
      <c r="AP889" t="s">
        <v>3417</v>
      </c>
      <c r="AQ889" t="s">
        <v>116</v>
      </c>
      <c r="AR889" t="s">
        <v>6639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C889" t="s">
        <v>69</v>
      </c>
      <c r="BD889" t="s">
        <v>3418</v>
      </c>
      <c r="BE889">
        <v>0</v>
      </c>
      <c r="BG889" t="s">
        <v>116</v>
      </c>
      <c r="BJ889" t="s">
        <v>3098</v>
      </c>
    </row>
    <row r="890" spans="1:62" x14ac:dyDescent="0.35">
      <c r="A890" t="s">
        <v>3419</v>
      </c>
      <c r="B890">
        <v>10000</v>
      </c>
      <c r="C890">
        <v>10000</v>
      </c>
      <c r="D890" s="2">
        <v>45730</v>
      </c>
      <c r="E890" t="s">
        <v>61</v>
      </c>
      <c r="F890" t="s">
        <v>3420</v>
      </c>
      <c r="G890" t="s">
        <v>3421</v>
      </c>
      <c r="I890">
        <v>1</v>
      </c>
      <c r="J890" t="s">
        <v>63</v>
      </c>
      <c r="K890" s="8">
        <v>60</v>
      </c>
      <c r="L890" s="8" t="s">
        <v>6590</v>
      </c>
      <c r="M890" s="8" t="s">
        <v>6630</v>
      </c>
      <c r="N890" t="s">
        <v>277</v>
      </c>
      <c r="O890" t="s">
        <v>6554</v>
      </c>
      <c r="P890" s="4">
        <v>1000</v>
      </c>
      <c r="Q890">
        <f>(P890/50)+45</f>
        <v>65</v>
      </c>
      <c r="R890">
        <f>Q890/60</f>
        <v>1.0833333333333333</v>
      </c>
      <c r="S890" s="2">
        <v>45730</v>
      </c>
      <c r="U890">
        <v>1</v>
      </c>
      <c r="V890" s="4">
        <v>1000</v>
      </c>
      <c r="W890" t="s">
        <v>65</v>
      </c>
      <c r="X890" t="s">
        <v>3422</v>
      </c>
      <c r="Y890">
        <v>0</v>
      </c>
      <c r="Z890" s="4">
        <v>1000</v>
      </c>
      <c r="AA890">
        <v>0</v>
      </c>
      <c r="AB890">
        <v>0</v>
      </c>
      <c r="AC890">
        <v>0</v>
      </c>
      <c r="AD890">
        <v>0</v>
      </c>
      <c r="AG890">
        <v>0</v>
      </c>
      <c r="AP890" t="s">
        <v>3423</v>
      </c>
      <c r="AQ890" t="s">
        <v>3424</v>
      </c>
      <c r="AR890" t="s">
        <v>6721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BC890" t="s">
        <v>69</v>
      </c>
      <c r="BD890" t="s">
        <v>3425</v>
      </c>
      <c r="BE890">
        <v>0</v>
      </c>
      <c r="BG890" t="s">
        <v>3424</v>
      </c>
      <c r="BJ890" t="s">
        <v>3426</v>
      </c>
    </row>
    <row r="891" spans="1:62" x14ac:dyDescent="0.35">
      <c r="A891" t="s">
        <v>3427</v>
      </c>
      <c r="B891">
        <v>10000</v>
      </c>
      <c r="C891">
        <v>10000</v>
      </c>
      <c r="D891" s="2">
        <v>45730</v>
      </c>
      <c r="E891" t="s">
        <v>61</v>
      </c>
      <c r="F891" t="s">
        <v>3414</v>
      </c>
      <c r="G891" t="s">
        <v>3415</v>
      </c>
      <c r="I891">
        <v>1</v>
      </c>
      <c r="J891" t="s">
        <v>63</v>
      </c>
      <c r="K891" s="8">
        <v>65</v>
      </c>
      <c r="L891" s="8" t="s">
        <v>6596</v>
      </c>
      <c r="M891" s="8" t="s">
        <v>6630</v>
      </c>
      <c r="N891" t="s">
        <v>268</v>
      </c>
      <c r="O891" t="s">
        <v>6543</v>
      </c>
      <c r="P891" s="4">
        <v>1500</v>
      </c>
      <c r="Q891">
        <f>(P891/40)+45</f>
        <v>82.5</v>
      </c>
      <c r="R891">
        <f>Q891/60</f>
        <v>1.375</v>
      </c>
      <c r="S891" s="2">
        <v>45730</v>
      </c>
      <c r="U891">
        <v>2</v>
      </c>
      <c r="V891" s="4">
        <v>3000</v>
      </c>
      <c r="W891" t="s">
        <v>65</v>
      </c>
      <c r="X891" t="s">
        <v>3416</v>
      </c>
      <c r="Y891">
        <v>0</v>
      </c>
      <c r="Z891" s="4">
        <v>3000</v>
      </c>
      <c r="AA891">
        <v>0</v>
      </c>
      <c r="AB891">
        <v>0</v>
      </c>
      <c r="AC891">
        <v>0</v>
      </c>
      <c r="AD891">
        <v>0</v>
      </c>
      <c r="AG891">
        <v>0</v>
      </c>
      <c r="AP891" t="s">
        <v>3417</v>
      </c>
      <c r="AQ891" t="s">
        <v>116</v>
      </c>
      <c r="AR891" t="s">
        <v>6639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BC891" t="s">
        <v>69</v>
      </c>
      <c r="BD891" t="s">
        <v>3428</v>
      </c>
      <c r="BE891">
        <v>0</v>
      </c>
      <c r="BG891" t="s">
        <v>116</v>
      </c>
      <c r="BJ891" t="s">
        <v>3101</v>
      </c>
    </row>
    <row r="892" spans="1:62" x14ac:dyDescent="0.35">
      <c r="A892" t="s">
        <v>3429</v>
      </c>
      <c r="B892">
        <v>10000</v>
      </c>
      <c r="C892">
        <v>10000</v>
      </c>
      <c r="D892" s="2">
        <v>45730</v>
      </c>
      <c r="E892" t="s">
        <v>61</v>
      </c>
      <c r="F892" s="3">
        <v>0.4798263888888889</v>
      </c>
      <c r="G892" t="s">
        <v>3430</v>
      </c>
      <c r="I892">
        <v>1</v>
      </c>
      <c r="J892" t="s">
        <v>63</v>
      </c>
      <c r="K892" s="8">
        <v>61</v>
      </c>
      <c r="L892" s="8" t="s">
        <v>6594</v>
      </c>
      <c r="M892" s="8" t="s">
        <v>6629</v>
      </c>
      <c r="N892" t="s">
        <v>216</v>
      </c>
      <c r="O892" t="s">
        <v>6394</v>
      </c>
      <c r="P892">
        <v>535</v>
      </c>
      <c r="Q892">
        <f t="shared" ref="Q892:Q893" si="229">(P892/50)+45</f>
        <v>55.7</v>
      </c>
      <c r="R892">
        <f t="shared" ref="R892:R893" si="230">Q892/60</f>
        <v>0.92833333333333334</v>
      </c>
      <c r="S892" s="2">
        <v>45730</v>
      </c>
      <c r="U892">
        <v>2</v>
      </c>
      <c r="V892" s="4">
        <v>1070</v>
      </c>
      <c r="W892" t="s">
        <v>65</v>
      </c>
      <c r="X892" t="s">
        <v>3431</v>
      </c>
      <c r="Y892">
        <v>0</v>
      </c>
      <c r="Z892" s="4">
        <v>1070</v>
      </c>
      <c r="AA892">
        <v>0</v>
      </c>
      <c r="AB892">
        <v>0</v>
      </c>
      <c r="AC892">
        <v>0</v>
      </c>
      <c r="AD892">
        <v>0</v>
      </c>
      <c r="AG892">
        <v>0</v>
      </c>
      <c r="AP892" t="s">
        <v>3432</v>
      </c>
      <c r="AQ892" t="s">
        <v>206</v>
      </c>
      <c r="AR892" t="s">
        <v>6645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BC892" t="s">
        <v>69</v>
      </c>
      <c r="BD892" t="s">
        <v>3433</v>
      </c>
      <c r="BE892">
        <v>0</v>
      </c>
      <c r="BG892" t="s">
        <v>206</v>
      </c>
      <c r="BJ892" t="s">
        <v>3434</v>
      </c>
    </row>
    <row r="893" spans="1:62" x14ac:dyDescent="0.35">
      <c r="A893" t="s">
        <v>3435</v>
      </c>
      <c r="B893">
        <v>10000</v>
      </c>
      <c r="C893">
        <v>10000</v>
      </c>
      <c r="D893" s="2">
        <v>45730</v>
      </c>
      <c r="E893" t="s">
        <v>61</v>
      </c>
      <c r="F893" t="s">
        <v>3420</v>
      </c>
      <c r="G893">
        <v>404051726</v>
      </c>
      <c r="I893">
        <v>1</v>
      </c>
      <c r="J893" t="s">
        <v>63</v>
      </c>
      <c r="K893" s="8">
        <v>60</v>
      </c>
      <c r="L893" s="8" t="s">
        <v>6590</v>
      </c>
      <c r="M893" s="8" t="s">
        <v>6630</v>
      </c>
      <c r="N893" t="s">
        <v>277</v>
      </c>
      <c r="O893" t="s">
        <v>6554</v>
      </c>
      <c r="P893">
        <v>500</v>
      </c>
      <c r="Q893">
        <f t="shared" si="229"/>
        <v>55</v>
      </c>
      <c r="R893">
        <f t="shared" si="230"/>
        <v>0.91666666666666663</v>
      </c>
      <c r="S893" s="2">
        <v>45730</v>
      </c>
      <c r="U893">
        <v>2</v>
      </c>
      <c r="V893" s="4">
        <v>1000</v>
      </c>
      <c r="W893" t="s">
        <v>65</v>
      </c>
      <c r="X893">
        <v>961830001</v>
      </c>
      <c r="Y893">
        <v>0</v>
      </c>
      <c r="Z893" s="4">
        <v>1000</v>
      </c>
      <c r="AA893">
        <v>0</v>
      </c>
      <c r="AB893">
        <v>0</v>
      </c>
      <c r="AC893">
        <v>0</v>
      </c>
      <c r="AD893">
        <v>0</v>
      </c>
      <c r="AG893">
        <v>0</v>
      </c>
      <c r="AP893">
        <v>96183</v>
      </c>
      <c r="AQ893" t="s">
        <v>2549</v>
      </c>
      <c r="AR893" t="s">
        <v>6704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C893" t="s">
        <v>69</v>
      </c>
      <c r="BD893" t="s">
        <v>3436</v>
      </c>
      <c r="BE893">
        <v>0</v>
      </c>
      <c r="BG893" t="s">
        <v>2549</v>
      </c>
      <c r="BJ893" t="s">
        <v>3437</v>
      </c>
    </row>
    <row r="894" spans="1:62" x14ac:dyDescent="0.35">
      <c r="A894" t="s">
        <v>3438</v>
      </c>
      <c r="B894">
        <v>10000</v>
      </c>
      <c r="C894">
        <v>10000</v>
      </c>
      <c r="D894" s="2">
        <v>45733</v>
      </c>
      <c r="E894" t="s">
        <v>61</v>
      </c>
      <c r="F894" t="s">
        <v>3439</v>
      </c>
      <c r="G894" t="s">
        <v>3440</v>
      </c>
      <c r="I894">
        <v>1</v>
      </c>
      <c r="J894" t="s">
        <v>63</v>
      </c>
      <c r="K894" s="8">
        <v>90</v>
      </c>
      <c r="L894" s="8" t="s">
        <v>6589</v>
      </c>
      <c r="M894" s="8" t="s">
        <v>6630</v>
      </c>
      <c r="N894" t="s">
        <v>405</v>
      </c>
      <c r="O894" t="s">
        <v>6555</v>
      </c>
      <c r="P894">
        <v>100</v>
      </c>
      <c r="Q894">
        <f>(P894/20)+45</f>
        <v>50</v>
      </c>
      <c r="R894">
        <f>Q894/60</f>
        <v>0.83333333333333337</v>
      </c>
      <c r="S894" s="2">
        <v>45730</v>
      </c>
      <c r="U894">
        <v>2</v>
      </c>
      <c r="V894">
        <v>200</v>
      </c>
      <c r="W894" t="s">
        <v>65</v>
      </c>
      <c r="X894" t="s">
        <v>155</v>
      </c>
      <c r="Y894">
        <v>0</v>
      </c>
      <c r="Z894">
        <v>200</v>
      </c>
      <c r="AA894">
        <v>0</v>
      </c>
      <c r="AB894">
        <v>0</v>
      </c>
      <c r="AC894">
        <v>0</v>
      </c>
      <c r="AD894">
        <v>0</v>
      </c>
      <c r="AG894">
        <v>0</v>
      </c>
      <c r="AP894" t="s">
        <v>156</v>
      </c>
      <c r="AQ894" t="s">
        <v>661</v>
      </c>
      <c r="AR894" t="s">
        <v>6660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C894" t="s">
        <v>69</v>
      </c>
      <c r="BD894" t="s">
        <v>3441</v>
      </c>
      <c r="BE894">
        <v>0</v>
      </c>
      <c r="BG894" t="s">
        <v>661</v>
      </c>
      <c r="BJ894" t="s">
        <v>3442</v>
      </c>
    </row>
    <row r="895" spans="1:62" x14ac:dyDescent="0.35">
      <c r="A895" t="s">
        <v>3443</v>
      </c>
      <c r="B895">
        <v>10000</v>
      </c>
      <c r="C895">
        <v>10000</v>
      </c>
      <c r="D895" s="2">
        <v>45735</v>
      </c>
      <c r="E895" t="s">
        <v>61</v>
      </c>
      <c r="F895" t="s">
        <v>3444</v>
      </c>
      <c r="G895" t="s">
        <v>3445</v>
      </c>
      <c r="I895">
        <v>1</v>
      </c>
      <c r="J895" t="s">
        <v>63</v>
      </c>
      <c r="K895" s="8">
        <v>88</v>
      </c>
      <c r="L895" s="8" t="s">
        <v>6610</v>
      </c>
      <c r="M895" s="8" t="s">
        <v>6631</v>
      </c>
      <c r="N895" t="s">
        <v>630</v>
      </c>
      <c r="O895" t="s">
        <v>6571</v>
      </c>
      <c r="P895">
        <v>500</v>
      </c>
      <c r="S895" s="2">
        <v>45730</v>
      </c>
      <c r="U895">
        <v>1</v>
      </c>
      <c r="V895">
        <v>500</v>
      </c>
      <c r="W895" t="s">
        <v>65</v>
      </c>
      <c r="X895" t="s">
        <v>3446</v>
      </c>
      <c r="Y895">
        <v>0</v>
      </c>
      <c r="Z895">
        <v>500</v>
      </c>
      <c r="AA895">
        <v>0</v>
      </c>
      <c r="AB895">
        <v>0</v>
      </c>
      <c r="AC895">
        <v>0</v>
      </c>
      <c r="AD895">
        <v>0</v>
      </c>
      <c r="AG895">
        <v>0</v>
      </c>
      <c r="AP895" t="s">
        <v>3447</v>
      </c>
      <c r="AQ895" t="s">
        <v>487</v>
      </c>
      <c r="AR895" t="s">
        <v>6656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C895" t="s">
        <v>69</v>
      </c>
      <c r="BD895" t="s">
        <v>3448</v>
      </c>
      <c r="BE895">
        <v>0</v>
      </c>
      <c r="BG895" t="s">
        <v>487</v>
      </c>
      <c r="BJ895" t="s">
        <v>3449</v>
      </c>
    </row>
    <row r="896" spans="1:62" x14ac:dyDescent="0.35">
      <c r="A896" t="s">
        <v>3450</v>
      </c>
      <c r="B896">
        <v>10000</v>
      </c>
      <c r="C896">
        <v>10000</v>
      </c>
      <c r="D896" s="2">
        <v>45735</v>
      </c>
      <c r="E896" t="s">
        <v>61</v>
      </c>
      <c r="F896" t="s">
        <v>3451</v>
      </c>
      <c r="G896" t="s">
        <v>3445</v>
      </c>
      <c r="I896">
        <v>1</v>
      </c>
      <c r="J896" t="s">
        <v>63</v>
      </c>
      <c r="K896" s="8">
        <v>88</v>
      </c>
      <c r="L896" s="8" t="s">
        <v>6610</v>
      </c>
      <c r="M896" s="8" t="s">
        <v>6631</v>
      </c>
      <c r="N896" t="s">
        <v>630</v>
      </c>
      <c r="O896" t="s">
        <v>6571</v>
      </c>
      <c r="P896" s="4">
        <v>2400</v>
      </c>
      <c r="S896" s="2">
        <v>45730</v>
      </c>
      <c r="U896">
        <v>1</v>
      </c>
      <c r="V896" s="4">
        <v>2400</v>
      </c>
      <c r="W896" t="s">
        <v>65</v>
      </c>
      <c r="X896" t="s">
        <v>3452</v>
      </c>
      <c r="Y896">
        <v>0</v>
      </c>
      <c r="Z896" s="4">
        <v>2400</v>
      </c>
      <c r="AA896">
        <v>0</v>
      </c>
      <c r="AB896">
        <v>0</v>
      </c>
      <c r="AC896">
        <v>0</v>
      </c>
      <c r="AD896">
        <v>0</v>
      </c>
      <c r="AG896">
        <v>0</v>
      </c>
      <c r="AP896" t="s">
        <v>3453</v>
      </c>
      <c r="AQ896" t="s">
        <v>487</v>
      </c>
      <c r="AR896" t="s">
        <v>6656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BC896" t="s">
        <v>69</v>
      </c>
      <c r="BD896" t="s">
        <v>3454</v>
      </c>
      <c r="BE896">
        <v>0</v>
      </c>
      <c r="BG896" t="s">
        <v>487</v>
      </c>
      <c r="BJ896" t="s">
        <v>3449</v>
      </c>
    </row>
    <row r="897" spans="1:62" x14ac:dyDescent="0.35">
      <c r="A897" t="s">
        <v>3205</v>
      </c>
      <c r="B897">
        <v>10000</v>
      </c>
      <c r="C897">
        <v>20000</v>
      </c>
      <c r="D897" s="2">
        <v>45733</v>
      </c>
      <c r="E897" t="s">
        <v>61</v>
      </c>
      <c r="F897" t="s">
        <v>2326</v>
      </c>
      <c r="G897" t="s">
        <v>2289</v>
      </c>
      <c r="I897">
        <v>2</v>
      </c>
      <c r="J897" t="s">
        <v>63</v>
      </c>
      <c r="K897" s="8">
        <v>63</v>
      </c>
      <c r="L897" s="8" t="s">
        <v>6605</v>
      </c>
      <c r="M897" s="8" t="s">
        <v>6630</v>
      </c>
      <c r="N897" t="s">
        <v>519</v>
      </c>
      <c r="O897" t="s">
        <v>6569</v>
      </c>
      <c r="P897" s="4">
        <v>2500</v>
      </c>
      <c r="Q897">
        <f t="shared" ref="Q897:Q898" si="231">(P897/40)+45</f>
        <v>107.5</v>
      </c>
      <c r="R897">
        <f t="shared" ref="R897:R898" si="232">Q897/60</f>
        <v>1.7916666666666667</v>
      </c>
      <c r="S897" s="2">
        <v>45730</v>
      </c>
      <c r="U897">
        <v>16</v>
      </c>
      <c r="V897" s="4">
        <v>40000</v>
      </c>
      <c r="W897" t="s">
        <v>65</v>
      </c>
      <c r="X897" t="s">
        <v>2865</v>
      </c>
      <c r="Y897">
        <v>0</v>
      </c>
      <c r="Z897" s="4">
        <v>40000</v>
      </c>
      <c r="AA897">
        <v>0</v>
      </c>
      <c r="AB897">
        <v>0</v>
      </c>
      <c r="AC897">
        <v>0</v>
      </c>
      <c r="AD897">
        <v>0</v>
      </c>
      <c r="AG897">
        <v>0</v>
      </c>
      <c r="AP897" t="s">
        <v>2866</v>
      </c>
      <c r="AQ897" t="s">
        <v>157</v>
      </c>
      <c r="AR897" t="s">
        <v>6640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BC897" t="s">
        <v>69</v>
      </c>
      <c r="BD897" t="s">
        <v>3206</v>
      </c>
      <c r="BE897">
        <v>0</v>
      </c>
      <c r="BG897" t="s">
        <v>157</v>
      </c>
      <c r="BJ897" t="s">
        <v>3207</v>
      </c>
    </row>
    <row r="898" spans="1:62" x14ac:dyDescent="0.35">
      <c r="A898" t="s">
        <v>2680</v>
      </c>
      <c r="B898">
        <v>10000</v>
      </c>
      <c r="C898">
        <v>20000</v>
      </c>
      <c r="D898" s="2">
        <v>45733</v>
      </c>
      <c r="E898" t="s">
        <v>61</v>
      </c>
      <c r="F898" t="s">
        <v>2326</v>
      </c>
      <c r="G898" t="s">
        <v>2289</v>
      </c>
      <c r="I898">
        <v>2</v>
      </c>
      <c r="J898" t="s">
        <v>63</v>
      </c>
      <c r="K898" s="8">
        <v>63</v>
      </c>
      <c r="L898" s="8" t="s">
        <v>6605</v>
      </c>
      <c r="M898" s="8" t="s">
        <v>6630</v>
      </c>
      <c r="N898" t="s">
        <v>519</v>
      </c>
      <c r="O898" t="s">
        <v>6569</v>
      </c>
      <c r="P898" s="4">
        <v>5000</v>
      </c>
      <c r="Q898">
        <f t="shared" si="231"/>
        <v>170</v>
      </c>
      <c r="R898">
        <f t="shared" si="232"/>
        <v>2.8333333333333335</v>
      </c>
      <c r="S898" s="2">
        <v>45730</v>
      </c>
      <c r="U898">
        <v>16</v>
      </c>
      <c r="V898" s="4">
        <v>80000</v>
      </c>
      <c r="W898" t="s">
        <v>65</v>
      </c>
      <c r="X898" t="s">
        <v>2290</v>
      </c>
      <c r="Y898">
        <v>0</v>
      </c>
      <c r="Z898" s="4">
        <v>80000</v>
      </c>
      <c r="AA898">
        <v>0</v>
      </c>
      <c r="AB898">
        <v>0</v>
      </c>
      <c r="AC898">
        <v>0</v>
      </c>
      <c r="AD898">
        <v>0</v>
      </c>
      <c r="AG898">
        <v>0</v>
      </c>
      <c r="AP898" t="s">
        <v>2291</v>
      </c>
      <c r="AQ898" t="s">
        <v>157</v>
      </c>
      <c r="AR898" t="s">
        <v>6640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C898" t="s">
        <v>69</v>
      </c>
      <c r="BD898" t="s">
        <v>2681</v>
      </c>
      <c r="BE898">
        <v>0</v>
      </c>
      <c r="BG898" t="s">
        <v>157</v>
      </c>
      <c r="BJ898" t="s">
        <v>2682</v>
      </c>
    </row>
    <row r="899" spans="1:62" x14ac:dyDescent="0.35">
      <c r="A899" t="s">
        <v>3455</v>
      </c>
      <c r="B899">
        <v>10000</v>
      </c>
      <c r="C899">
        <v>20000</v>
      </c>
      <c r="D899" s="2">
        <v>45736</v>
      </c>
      <c r="E899" t="s">
        <v>61</v>
      </c>
      <c r="F899" t="s">
        <v>3456</v>
      </c>
      <c r="G899" t="s">
        <v>3457</v>
      </c>
      <c r="I899">
        <v>1</v>
      </c>
      <c r="J899" t="s">
        <v>63</v>
      </c>
      <c r="K899" s="8">
        <v>90</v>
      </c>
      <c r="L899" t="s">
        <v>6589</v>
      </c>
      <c r="M899" s="8" t="s">
        <v>6630</v>
      </c>
      <c r="N899" t="s">
        <v>154</v>
      </c>
      <c r="O899" t="s">
        <v>6575</v>
      </c>
      <c r="P899" s="4">
        <v>54000</v>
      </c>
      <c r="S899" s="2">
        <v>45730</v>
      </c>
      <c r="U899">
        <v>2</v>
      </c>
      <c r="V899" s="4">
        <v>108000</v>
      </c>
      <c r="W899" t="s">
        <v>65</v>
      </c>
      <c r="X899" t="s">
        <v>155</v>
      </c>
      <c r="Y899">
        <v>0</v>
      </c>
      <c r="Z899" s="4">
        <v>108000</v>
      </c>
      <c r="AA899">
        <v>0</v>
      </c>
      <c r="AB899">
        <v>0</v>
      </c>
      <c r="AC899">
        <v>0</v>
      </c>
      <c r="AD899">
        <v>0</v>
      </c>
      <c r="AG899">
        <v>0</v>
      </c>
      <c r="AP899" t="s">
        <v>156</v>
      </c>
      <c r="AQ899" t="s">
        <v>157</v>
      </c>
      <c r="AR899" t="s">
        <v>6640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BC899" t="s">
        <v>69</v>
      </c>
      <c r="BD899" t="s">
        <v>3458</v>
      </c>
      <c r="BE899">
        <v>0</v>
      </c>
      <c r="BG899" t="s">
        <v>157</v>
      </c>
      <c r="BJ899" t="s">
        <v>3459</v>
      </c>
    </row>
    <row r="900" spans="1:62" x14ac:dyDescent="0.35">
      <c r="A900" t="s">
        <v>3460</v>
      </c>
      <c r="B900">
        <v>10000</v>
      </c>
      <c r="C900">
        <v>10000</v>
      </c>
      <c r="D900" s="2">
        <v>45734</v>
      </c>
      <c r="E900" t="s">
        <v>61</v>
      </c>
      <c r="F900" t="s">
        <v>3461</v>
      </c>
      <c r="G900" t="s">
        <v>3462</v>
      </c>
      <c r="I900">
        <v>1</v>
      </c>
      <c r="J900" t="s">
        <v>63</v>
      </c>
      <c r="K900" s="8">
        <v>62</v>
      </c>
      <c r="L900" s="8" t="s">
        <v>6600</v>
      </c>
      <c r="M900" s="8" t="s">
        <v>6630</v>
      </c>
      <c r="N900" t="s">
        <v>385</v>
      </c>
      <c r="O900" t="s">
        <v>6541</v>
      </c>
      <c r="P900" s="4">
        <v>20000</v>
      </c>
      <c r="Q900">
        <f>(P900/50)+45</f>
        <v>445</v>
      </c>
      <c r="R900">
        <f>Q900/60</f>
        <v>7.416666666666667</v>
      </c>
      <c r="S900" s="2">
        <v>45730</v>
      </c>
      <c r="U900">
        <v>1</v>
      </c>
      <c r="V900" s="4">
        <v>20000</v>
      </c>
      <c r="W900" t="s">
        <v>65</v>
      </c>
      <c r="X900" t="s">
        <v>2488</v>
      </c>
      <c r="Y900">
        <v>0</v>
      </c>
      <c r="Z900" s="4">
        <v>20000</v>
      </c>
      <c r="AA900">
        <v>0</v>
      </c>
      <c r="AB900">
        <v>0</v>
      </c>
      <c r="AC900">
        <v>0</v>
      </c>
      <c r="AD900">
        <v>0</v>
      </c>
      <c r="AG900">
        <v>0</v>
      </c>
      <c r="AP900" t="s">
        <v>2489</v>
      </c>
      <c r="AQ900" t="s">
        <v>157</v>
      </c>
      <c r="AR900" t="s">
        <v>6640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C900" t="s">
        <v>69</v>
      </c>
      <c r="BD900" t="s">
        <v>3463</v>
      </c>
      <c r="BE900">
        <v>0</v>
      </c>
      <c r="BG900" t="s">
        <v>157</v>
      </c>
      <c r="BJ900" t="s">
        <v>3464</v>
      </c>
    </row>
    <row r="901" spans="1:62" x14ac:dyDescent="0.35">
      <c r="A901" t="s">
        <v>3460</v>
      </c>
      <c r="B901">
        <v>10000</v>
      </c>
      <c r="C901">
        <v>20000</v>
      </c>
      <c r="D901" s="2">
        <v>45734</v>
      </c>
      <c r="E901" t="s">
        <v>61</v>
      </c>
      <c r="F901" t="s">
        <v>3461</v>
      </c>
      <c r="G901" t="s">
        <v>3462</v>
      </c>
      <c r="I901">
        <v>1</v>
      </c>
      <c r="J901" t="s">
        <v>63</v>
      </c>
      <c r="K901" s="8">
        <v>62</v>
      </c>
      <c r="L901" t="s">
        <v>6600</v>
      </c>
      <c r="M901" s="8" t="s">
        <v>6630</v>
      </c>
      <c r="N901" t="s">
        <v>380</v>
      </c>
      <c r="O901" t="s">
        <v>6558</v>
      </c>
      <c r="P901" s="4">
        <v>40000</v>
      </c>
      <c r="S901" s="2">
        <v>45730</v>
      </c>
      <c r="U901">
        <v>1</v>
      </c>
      <c r="V901" s="4">
        <v>40000</v>
      </c>
      <c r="W901" t="s">
        <v>65</v>
      </c>
      <c r="X901" t="s">
        <v>2488</v>
      </c>
      <c r="Y901">
        <v>0</v>
      </c>
      <c r="Z901" s="4">
        <v>40000</v>
      </c>
      <c r="AA901">
        <v>0</v>
      </c>
      <c r="AB901">
        <v>0</v>
      </c>
      <c r="AC901">
        <v>0</v>
      </c>
      <c r="AD901">
        <v>0</v>
      </c>
      <c r="AG901">
        <v>0</v>
      </c>
      <c r="AP901" t="s">
        <v>2489</v>
      </c>
      <c r="AQ901" t="s">
        <v>157</v>
      </c>
      <c r="AR901" t="s">
        <v>6640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C901" t="s">
        <v>69</v>
      </c>
      <c r="BD901" t="s">
        <v>3463</v>
      </c>
      <c r="BE901">
        <v>0</v>
      </c>
      <c r="BG901" t="s">
        <v>157</v>
      </c>
      <c r="BJ901" t="s">
        <v>3464</v>
      </c>
    </row>
    <row r="902" spans="1:62" x14ac:dyDescent="0.35">
      <c r="A902" t="s">
        <v>3465</v>
      </c>
      <c r="B902">
        <v>10000</v>
      </c>
      <c r="C902">
        <v>10000</v>
      </c>
      <c r="D902" s="2">
        <v>45733</v>
      </c>
      <c r="E902" t="s">
        <v>61</v>
      </c>
      <c r="F902" t="s">
        <v>2326</v>
      </c>
      <c r="G902" t="s">
        <v>2289</v>
      </c>
      <c r="I902">
        <v>1</v>
      </c>
      <c r="J902" t="s">
        <v>63</v>
      </c>
      <c r="K902" s="8">
        <v>78</v>
      </c>
      <c r="L902" s="8" t="s">
        <v>6593</v>
      </c>
      <c r="M902" s="8" t="s">
        <v>6629</v>
      </c>
      <c r="N902" t="s">
        <v>188</v>
      </c>
      <c r="O902" t="s">
        <v>6410</v>
      </c>
      <c r="P902" s="4">
        <v>1500</v>
      </c>
      <c r="Q902">
        <f t="shared" ref="Q902:Q904" si="233">(P902/40)+45</f>
        <v>82.5</v>
      </c>
      <c r="R902">
        <f t="shared" ref="R902:R904" si="234">Q902/60</f>
        <v>1.375</v>
      </c>
      <c r="S902" s="2">
        <v>45730</v>
      </c>
      <c r="U902">
        <v>16</v>
      </c>
      <c r="V902" s="4">
        <v>24000</v>
      </c>
      <c r="W902" t="s">
        <v>65</v>
      </c>
      <c r="X902" t="s">
        <v>1864</v>
      </c>
      <c r="Y902">
        <v>0</v>
      </c>
      <c r="Z902" s="4">
        <v>20000</v>
      </c>
      <c r="AA902" s="4">
        <v>4000</v>
      </c>
      <c r="AB902">
        <v>0</v>
      </c>
      <c r="AC902">
        <v>0</v>
      </c>
      <c r="AD902">
        <v>0</v>
      </c>
      <c r="AG902">
        <v>0</v>
      </c>
      <c r="AP902" t="s">
        <v>1865</v>
      </c>
      <c r="AQ902" t="s">
        <v>175</v>
      </c>
      <c r="AR902" t="s">
        <v>6642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BC902" t="s">
        <v>69</v>
      </c>
      <c r="BD902" t="s">
        <v>3466</v>
      </c>
      <c r="BE902">
        <v>0</v>
      </c>
      <c r="BG902" t="s">
        <v>175</v>
      </c>
      <c r="BJ902" t="s">
        <v>3467</v>
      </c>
    </row>
    <row r="903" spans="1:62" x14ac:dyDescent="0.35">
      <c r="A903" t="s">
        <v>3465</v>
      </c>
      <c r="B903">
        <v>10000</v>
      </c>
      <c r="C903">
        <v>20000</v>
      </c>
      <c r="D903" s="2">
        <v>45733</v>
      </c>
      <c r="E903" t="s">
        <v>61</v>
      </c>
      <c r="F903" t="s">
        <v>2326</v>
      </c>
      <c r="G903" t="s">
        <v>2289</v>
      </c>
      <c r="I903">
        <v>2</v>
      </c>
      <c r="J903" t="s">
        <v>63</v>
      </c>
      <c r="K903" s="8">
        <v>63</v>
      </c>
      <c r="L903" s="8" t="s">
        <v>6605</v>
      </c>
      <c r="M903" s="8" t="s">
        <v>6630</v>
      </c>
      <c r="N903" t="s">
        <v>519</v>
      </c>
      <c r="O903" t="s">
        <v>6569</v>
      </c>
      <c r="P903" s="4">
        <v>1250</v>
      </c>
      <c r="Q903">
        <f t="shared" si="233"/>
        <v>76.25</v>
      </c>
      <c r="R903">
        <f t="shared" si="234"/>
        <v>1.2708333333333333</v>
      </c>
      <c r="S903" s="2">
        <v>45730</v>
      </c>
      <c r="U903">
        <v>16</v>
      </c>
      <c r="V903" s="4">
        <v>20000</v>
      </c>
      <c r="W903" t="s">
        <v>65</v>
      </c>
      <c r="X903" t="s">
        <v>1864</v>
      </c>
      <c r="Y903">
        <v>0</v>
      </c>
      <c r="Z903" s="4">
        <v>20000</v>
      </c>
      <c r="AA903">
        <v>0</v>
      </c>
      <c r="AB903">
        <v>0</v>
      </c>
      <c r="AC903">
        <v>0</v>
      </c>
      <c r="AD903">
        <v>0</v>
      </c>
      <c r="AG903">
        <v>0</v>
      </c>
      <c r="AP903" t="s">
        <v>1865</v>
      </c>
      <c r="AQ903" t="s">
        <v>175</v>
      </c>
      <c r="AR903" t="s">
        <v>6642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BC903" t="s">
        <v>69</v>
      </c>
      <c r="BD903" t="s">
        <v>3466</v>
      </c>
      <c r="BE903">
        <v>0</v>
      </c>
      <c r="BG903" t="s">
        <v>175</v>
      </c>
      <c r="BJ903" t="s">
        <v>3467</v>
      </c>
    </row>
    <row r="904" spans="1:62" x14ac:dyDescent="0.35">
      <c r="A904" t="s">
        <v>3468</v>
      </c>
      <c r="B904">
        <v>10000</v>
      </c>
      <c r="C904">
        <v>10000</v>
      </c>
      <c r="D904" s="2">
        <v>45733</v>
      </c>
      <c r="E904" t="s">
        <v>61</v>
      </c>
      <c r="F904" t="s">
        <v>3469</v>
      </c>
      <c r="G904" t="s">
        <v>387</v>
      </c>
      <c r="I904">
        <v>1</v>
      </c>
      <c r="J904" t="s">
        <v>63</v>
      </c>
      <c r="K904" s="8">
        <v>78</v>
      </c>
      <c r="L904" s="8" t="s">
        <v>6593</v>
      </c>
      <c r="M904" s="8" t="s">
        <v>6629</v>
      </c>
      <c r="N904" t="s">
        <v>188</v>
      </c>
      <c r="O904" t="s">
        <v>6410</v>
      </c>
      <c r="P904" s="4">
        <v>4000</v>
      </c>
      <c r="Q904">
        <f t="shared" si="233"/>
        <v>145</v>
      </c>
      <c r="R904">
        <f t="shared" si="234"/>
        <v>2.4166666666666665</v>
      </c>
      <c r="S904" s="2">
        <v>45730</v>
      </c>
      <c r="U904">
        <v>1</v>
      </c>
      <c r="V904" s="4">
        <v>4000</v>
      </c>
      <c r="W904" t="s">
        <v>65</v>
      </c>
      <c r="X904">
        <v>1342670001</v>
      </c>
      <c r="Y904">
        <v>0</v>
      </c>
      <c r="Z904" s="4">
        <v>2000</v>
      </c>
      <c r="AA904" s="4">
        <v>2000</v>
      </c>
      <c r="AB904">
        <v>0</v>
      </c>
      <c r="AC904">
        <v>0</v>
      </c>
      <c r="AD904">
        <v>0</v>
      </c>
      <c r="AG904">
        <v>0</v>
      </c>
      <c r="AP904">
        <v>134267</v>
      </c>
      <c r="AQ904" t="s">
        <v>1139</v>
      </c>
      <c r="AR904" t="s">
        <v>6671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BC904" t="s">
        <v>69</v>
      </c>
      <c r="BD904" t="s">
        <v>3470</v>
      </c>
      <c r="BE904">
        <v>0</v>
      </c>
      <c r="BG904" t="s">
        <v>1139</v>
      </c>
      <c r="BJ904" t="s">
        <v>3471</v>
      </c>
    </row>
    <row r="905" spans="1:62" x14ac:dyDescent="0.35">
      <c r="A905" t="s">
        <v>3472</v>
      </c>
      <c r="B905">
        <v>10000</v>
      </c>
      <c r="C905">
        <v>10000</v>
      </c>
      <c r="D905" s="2">
        <v>45733</v>
      </c>
      <c r="E905" t="s">
        <v>61</v>
      </c>
      <c r="F905" t="s">
        <v>3439</v>
      </c>
      <c r="G905" t="s">
        <v>3473</v>
      </c>
      <c r="I905">
        <v>1</v>
      </c>
      <c r="J905" t="s">
        <v>63</v>
      </c>
      <c r="K905" s="8">
        <v>90</v>
      </c>
      <c r="L905" s="8" t="s">
        <v>6589</v>
      </c>
      <c r="M905" s="8" t="s">
        <v>6630</v>
      </c>
      <c r="N905" t="s">
        <v>405</v>
      </c>
      <c r="O905" t="s">
        <v>6555</v>
      </c>
      <c r="P905">
        <v>500</v>
      </c>
      <c r="Q905">
        <f t="shared" ref="Q905:Q906" si="235">(P905/20)+45</f>
        <v>70</v>
      </c>
      <c r="R905">
        <f t="shared" ref="R905:R906" si="236">Q905/60</f>
        <v>1.1666666666666667</v>
      </c>
      <c r="S905" s="2">
        <v>45730</v>
      </c>
      <c r="U905">
        <v>2</v>
      </c>
      <c r="V905" s="4">
        <v>1000</v>
      </c>
      <c r="W905" t="s">
        <v>65</v>
      </c>
      <c r="X905" t="s">
        <v>155</v>
      </c>
      <c r="Y905">
        <v>0</v>
      </c>
      <c r="Z905" s="4">
        <v>1000</v>
      </c>
      <c r="AA905">
        <v>0</v>
      </c>
      <c r="AB905">
        <v>0</v>
      </c>
      <c r="AC905">
        <v>0</v>
      </c>
      <c r="AD905">
        <v>0</v>
      </c>
      <c r="AG905">
        <v>0</v>
      </c>
      <c r="AP905" t="s">
        <v>156</v>
      </c>
      <c r="AQ905" t="s">
        <v>157</v>
      </c>
      <c r="AR905" t="s">
        <v>6640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BC905" t="s">
        <v>69</v>
      </c>
      <c r="BD905" t="s">
        <v>3474</v>
      </c>
      <c r="BE905">
        <v>0</v>
      </c>
      <c r="BG905" t="s">
        <v>157</v>
      </c>
      <c r="BJ905" t="s">
        <v>3475</v>
      </c>
    </row>
    <row r="906" spans="1:62" x14ac:dyDescent="0.35">
      <c r="A906" t="s">
        <v>3476</v>
      </c>
      <c r="B906">
        <v>10000</v>
      </c>
      <c r="C906">
        <v>30000</v>
      </c>
      <c r="D906" s="2">
        <v>45733</v>
      </c>
      <c r="E906" t="s">
        <v>61</v>
      </c>
      <c r="F906" s="3">
        <v>0.4548611111111111</v>
      </c>
      <c r="G906" t="s">
        <v>3473</v>
      </c>
      <c r="I906">
        <v>1</v>
      </c>
      <c r="J906" t="s">
        <v>63</v>
      </c>
      <c r="K906" s="8">
        <v>90</v>
      </c>
      <c r="L906" s="8" t="s">
        <v>6589</v>
      </c>
      <c r="M906" s="8" t="s">
        <v>6630</v>
      </c>
      <c r="N906" t="s">
        <v>405</v>
      </c>
      <c r="O906" t="s">
        <v>6555</v>
      </c>
      <c r="P906">
        <v>500</v>
      </c>
      <c r="Q906">
        <f t="shared" si="235"/>
        <v>70</v>
      </c>
      <c r="R906">
        <f t="shared" si="236"/>
        <v>1.1666666666666667</v>
      </c>
      <c r="S906" s="2">
        <v>45730</v>
      </c>
      <c r="U906">
        <v>2</v>
      </c>
      <c r="V906" s="4">
        <v>1000</v>
      </c>
      <c r="W906" t="s">
        <v>65</v>
      </c>
      <c r="X906" t="s">
        <v>155</v>
      </c>
      <c r="Y906">
        <v>0</v>
      </c>
      <c r="Z906" s="4">
        <v>1000</v>
      </c>
      <c r="AA906">
        <v>0</v>
      </c>
      <c r="AB906">
        <v>0</v>
      </c>
      <c r="AC906">
        <v>0</v>
      </c>
      <c r="AD906">
        <v>0</v>
      </c>
      <c r="AG906">
        <v>0</v>
      </c>
      <c r="AP906" t="s">
        <v>156</v>
      </c>
      <c r="AQ906" t="s">
        <v>175</v>
      </c>
      <c r="AR906" t="s">
        <v>6642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BC906" t="s">
        <v>69</v>
      </c>
      <c r="BD906" t="s">
        <v>3477</v>
      </c>
      <c r="BE906">
        <v>0</v>
      </c>
      <c r="BG906" t="s">
        <v>175</v>
      </c>
      <c r="BJ906" t="s">
        <v>3478</v>
      </c>
    </row>
    <row r="907" spans="1:62" x14ac:dyDescent="0.35">
      <c r="A907" t="s">
        <v>3479</v>
      </c>
      <c r="B907">
        <v>10000</v>
      </c>
      <c r="C907">
        <v>10000</v>
      </c>
      <c r="D907" s="2">
        <v>45733</v>
      </c>
      <c r="E907" t="s">
        <v>61</v>
      </c>
      <c r="F907" t="s">
        <v>3364</v>
      </c>
      <c r="G907" t="s">
        <v>3480</v>
      </c>
      <c r="I907">
        <v>1</v>
      </c>
      <c r="J907" t="s">
        <v>63</v>
      </c>
      <c r="K907" s="8">
        <v>61</v>
      </c>
      <c r="L907" s="8" t="s">
        <v>6594</v>
      </c>
      <c r="M907" s="8" t="s">
        <v>6629</v>
      </c>
      <c r="N907" t="s">
        <v>216</v>
      </c>
      <c r="O907" t="s">
        <v>6394</v>
      </c>
      <c r="P907" s="4">
        <v>3000</v>
      </c>
      <c r="Q907">
        <f>(P907/50)+45</f>
        <v>105</v>
      </c>
      <c r="R907">
        <f>Q907/60</f>
        <v>1.75</v>
      </c>
      <c r="S907" s="2">
        <v>45730</v>
      </c>
      <c r="U907">
        <v>3</v>
      </c>
      <c r="V907" s="4">
        <v>9000</v>
      </c>
      <c r="W907" t="s">
        <v>65</v>
      </c>
      <c r="X907" t="s">
        <v>3481</v>
      </c>
      <c r="Y907">
        <v>0</v>
      </c>
      <c r="Z907" s="4">
        <v>9000</v>
      </c>
      <c r="AA907">
        <v>0</v>
      </c>
      <c r="AB907">
        <v>0</v>
      </c>
      <c r="AC907">
        <v>0</v>
      </c>
      <c r="AD907">
        <v>0</v>
      </c>
      <c r="AG907">
        <v>0</v>
      </c>
      <c r="AP907" t="s">
        <v>3482</v>
      </c>
      <c r="AQ907" t="s">
        <v>3483</v>
      </c>
      <c r="AR907" t="s">
        <v>6722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C907" t="s">
        <v>69</v>
      </c>
      <c r="BD907" t="s">
        <v>3484</v>
      </c>
      <c r="BE907">
        <v>0</v>
      </c>
      <c r="BG907" t="s">
        <v>3483</v>
      </c>
      <c r="BJ907" t="s">
        <v>3485</v>
      </c>
    </row>
    <row r="908" spans="1:62" x14ac:dyDescent="0.35">
      <c r="A908" t="s">
        <v>3486</v>
      </c>
      <c r="B908">
        <v>10000</v>
      </c>
      <c r="C908">
        <v>10000</v>
      </c>
      <c r="D908" s="2">
        <v>45733</v>
      </c>
      <c r="E908" t="s">
        <v>61</v>
      </c>
      <c r="F908" t="s">
        <v>3408</v>
      </c>
      <c r="G908" t="s">
        <v>3487</v>
      </c>
      <c r="I908">
        <v>1</v>
      </c>
      <c r="J908" t="s">
        <v>63</v>
      </c>
      <c r="K908" s="8">
        <v>31</v>
      </c>
      <c r="L908" s="8" t="s">
        <v>6595</v>
      </c>
      <c r="M908" s="8" t="s">
        <v>6629</v>
      </c>
      <c r="N908" t="s">
        <v>1311</v>
      </c>
      <c r="O908" t="s">
        <v>6491</v>
      </c>
      <c r="P908">
        <v>500</v>
      </c>
      <c r="Q908">
        <f>(P908/40)+45</f>
        <v>57.5</v>
      </c>
      <c r="R908">
        <f>Q908/60</f>
        <v>0.95833333333333337</v>
      </c>
      <c r="S908" s="2">
        <v>45730</v>
      </c>
      <c r="U908">
        <v>1</v>
      </c>
      <c r="V908">
        <v>500</v>
      </c>
      <c r="W908" t="s">
        <v>65</v>
      </c>
      <c r="X908" t="s">
        <v>1312</v>
      </c>
      <c r="Y908">
        <v>0</v>
      </c>
      <c r="Z908">
        <v>500</v>
      </c>
      <c r="AA908">
        <v>0</v>
      </c>
      <c r="AB908">
        <v>0</v>
      </c>
      <c r="AC908">
        <v>0</v>
      </c>
      <c r="AD908">
        <v>0</v>
      </c>
      <c r="AG908">
        <v>0</v>
      </c>
      <c r="AP908" t="s">
        <v>1313</v>
      </c>
      <c r="AQ908" t="s">
        <v>1314</v>
      </c>
      <c r="AR908" t="s">
        <v>6677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BC908" t="s">
        <v>69</v>
      </c>
      <c r="BD908" t="s">
        <v>3488</v>
      </c>
      <c r="BE908">
        <v>0</v>
      </c>
      <c r="BG908" t="s">
        <v>1314</v>
      </c>
      <c r="BJ908" t="s">
        <v>3489</v>
      </c>
    </row>
    <row r="909" spans="1:62" x14ac:dyDescent="0.35">
      <c r="A909" t="s">
        <v>3490</v>
      </c>
      <c r="B909">
        <v>10000</v>
      </c>
      <c r="C909">
        <v>10000</v>
      </c>
      <c r="D909" s="2">
        <v>45730</v>
      </c>
      <c r="E909" t="s">
        <v>61</v>
      </c>
      <c r="F909" s="3">
        <v>0.48047453703703702</v>
      </c>
      <c r="G909" t="s">
        <v>3491</v>
      </c>
      <c r="I909">
        <v>1</v>
      </c>
      <c r="J909" t="s">
        <v>63</v>
      </c>
      <c r="K909" s="8">
        <v>61</v>
      </c>
      <c r="L909" s="8" t="s">
        <v>6594</v>
      </c>
      <c r="M909" s="8" t="s">
        <v>6629</v>
      </c>
      <c r="N909" t="s">
        <v>216</v>
      </c>
      <c r="O909" t="s">
        <v>6394</v>
      </c>
      <c r="P909">
        <v>500</v>
      </c>
      <c r="Q909">
        <f>(P909/50)+45</f>
        <v>55</v>
      </c>
      <c r="R909">
        <f>Q909/60</f>
        <v>0.91666666666666663</v>
      </c>
      <c r="S909" s="2">
        <v>45730</v>
      </c>
      <c r="U909">
        <v>6</v>
      </c>
      <c r="V909" s="4">
        <v>3000</v>
      </c>
      <c r="W909" t="s">
        <v>65</v>
      </c>
      <c r="X909" t="s">
        <v>3492</v>
      </c>
      <c r="Y909">
        <v>0</v>
      </c>
      <c r="Z909" s="4">
        <v>3000</v>
      </c>
      <c r="AA909">
        <v>0</v>
      </c>
      <c r="AB909">
        <v>0</v>
      </c>
      <c r="AC909">
        <v>0</v>
      </c>
      <c r="AD909">
        <v>0</v>
      </c>
      <c r="AG909">
        <v>0</v>
      </c>
      <c r="AP909" t="s">
        <v>3493</v>
      </c>
      <c r="AQ909" t="s">
        <v>508</v>
      </c>
      <c r="AR909" t="s">
        <v>6657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BC909" t="s">
        <v>69</v>
      </c>
      <c r="BD909" t="s">
        <v>3494</v>
      </c>
      <c r="BE909">
        <v>0</v>
      </c>
      <c r="BG909" t="s">
        <v>508</v>
      </c>
      <c r="BJ909" t="s">
        <v>2990</v>
      </c>
    </row>
    <row r="910" spans="1:62" x14ac:dyDescent="0.35">
      <c r="A910" t="s">
        <v>3248</v>
      </c>
      <c r="B910">
        <v>10000</v>
      </c>
      <c r="C910">
        <v>20000</v>
      </c>
      <c r="D910" s="2">
        <v>45730</v>
      </c>
      <c r="E910" t="s">
        <v>61</v>
      </c>
      <c r="F910" t="s">
        <v>3249</v>
      </c>
      <c r="G910" t="s">
        <v>3250</v>
      </c>
      <c r="I910">
        <v>2</v>
      </c>
      <c r="J910" t="s">
        <v>63</v>
      </c>
      <c r="K910" s="8">
        <v>92</v>
      </c>
      <c r="L910" s="8" t="s">
        <v>6614</v>
      </c>
      <c r="M910" s="8" t="s">
        <v>6633</v>
      </c>
      <c r="N910" t="s">
        <v>424</v>
      </c>
      <c r="O910" t="s">
        <v>6570</v>
      </c>
      <c r="P910" s="4">
        <v>1000</v>
      </c>
      <c r="S910" s="2">
        <v>45730</v>
      </c>
      <c r="U910">
        <v>1</v>
      </c>
      <c r="V910" s="4">
        <v>1000</v>
      </c>
      <c r="W910" t="s">
        <v>65</v>
      </c>
      <c r="X910" t="s">
        <v>3251</v>
      </c>
      <c r="Y910">
        <v>0</v>
      </c>
      <c r="Z910" s="4">
        <v>1000</v>
      </c>
      <c r="AA910">
        <v>0</v>
      </c>
      <c r="AB910">
        <v>0</v>
      </c>
      <c r="AC910">
        <v>0</v>
      </c>
      <c r="AD910">
        <v>0</v>
      </c>
      <c r="AG910">
        <v>0</v>
      </c>
      <c r="AP910" t="s">
        <v>3252</v>
      </c>
      <c r="AQ910" t="s">
        <v>508</v>
      </c>
      <c r="AR910" t="s">
        <v>6657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C910" t="s">
        <v>69</v>
      </c>
      <c r="BD910" t="s">
        <v>3253</v>
      </c>
      <c r="BE910">
        <v>0</v>
      </c>
      <c r="BG910" t="s">
        <v>508</v>
      </c>
      <c r="BJ910" t="s">
        <v>2990</v>
      </c>
    </row>
    <row r="911" spans="1:62" x14ac:dyDescent="0.35">
      <c r="A911" t="s">
        <v>3254</v>
      </c>
      <c r="B911">
        <v>10000</v>
      </c>
      <c r="C911">
        <v>20000</v>
      </c>
      <c r="D911" s="2">
        <v>45730</v>
      </c>
      <c r="E911" t="s">
        <v>61</v>
      </c>
      <c r="F911" t="s">
        <v>3255</v>
      </c>
      <c r="G911" t="s">
        <v>3256</v>
      </c>
      <c r="I911">
        <v>2</v>
      </c>
      <c r="J911" t="s">
        <v>63</v>
      </c>
      <c r="K911" s="8">
        <v>92</v>
      </c>
      <c r="L911" s="8" t="s">
        <v>6614</v>
      </c>
      <c r="M911" s="8" t="s">
        <v>6633</v>
      </c>
      <c r="N911" t="s">
        <v>424</v>
      </c>
      <c r="O911" t="s">
        <v>6570</v>
      </c>
      <c r="P911" s="4">
        <v>1000</v>
      </c>
      <c r="S911" s="2">
        <v>45730</v>
      </c>
      <c r="U911">
        <v>1</v>
      </c>
      <c r="V911" s="4">
        <v>1000</v>
      </c>
      <c r="W911" t="s">
        <v>65</v>
      </c>
      <c r="X911" t="s">
        <v>3258</v>
      </c>
      <c r="Y911">
        <v>0</v>
      </c>
      <c r="Z911" s="4">
        <v>1000</v>
      </c>
      <c r="AA911">
        <v>0</v>
      </c>
      <c r="AB911">
        <v>0</v>
      </c>
      <c r="AC911">
        <v>0</v>
      </c>
      <c r="AD911">
        <v>0</v>
      </c>
      <c r="AG911">
        <v>0</v>
      </c>
      <c r="AP911" t="s">
        <v>3259</v>
      </c>
      <c r="AQ911" t="s">
        <v>508</v>
      </c>
      <c r="AR911" t="s">
        <v>6657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BC911" t="s">
        <v>69</v>
      </c>
      <c r="BD911" t="s">
        <v>3260</v>
      </c>
      <c r="BE911">
        <v>0</v>
      </c>
      <c r="BG911" t="s">
        <v>508</v>
      </c>
      <c r="BJ911" t="s">
        <v>2990</v>
      </c>
    </row>
    <row r="912" spans="1:62" x14ac:dyDescent="0.35">
      <c r="A912" t="s">
        <v>3495</v>
      </c>
      <c r="B912">
        <v>10000</v>
      </c>
      <c r="C912">
        <v>10000</v>
      </c>
      <c r="D912" s="2">
        <v>45730</v>
      </c>
      <c r="E912" t="s">
        <v>61</v>
      </c>
      <c r="F912" s="3">
        <v>0.48047453703703702</v>
      </c>
      <c r="G912" t="s">
        <v>3491</v>
      </c>
      <c r="I912">
        <v>1</v>
      </c>
      <c r="J912" t="s">
        <v>63</v>
      </c>
      <c r="K912" s="8">
        <v>61</v>
      </c>
      <c r="L912" s="8" t="s">
        <v>6594</v>
      </c>
      <c r="M912" s="8" t="s">
        <v>6629</v>
      </c>
      <c r="N912" t="s">
        <v>216</v>
      </c>
      <c r="O912" t="s">
        <v>6394</v>
      </c>
      <c r="P912">
        <v>500</v>
      </c>
      <c r="Q912">
        <f>(P912/50)+45</f>
        <v>55</v>
      </c>
      <c r="R912">
        <f>Q912/60</f>
        <v>0.91666666666666663</v>
      </c>
      <c r="S912" s="2">
        <v>45730</v>
      </c>
      <c r="U912">
        <v>6</v>
      </c>
      <c r="V912" s="4">
        <v>3000</v>
      </c>
      <c r="W912" t="s">
        <v>65</v>
      </c>
      <c r="X912" t="s">
        <v>3492</v>
      </c>
      <c r="Y912">
        <v>0</v>
      </c>
      <c r="Z912" s="4">
        <v>3000</v>
      </c>
      <c r="AA912">
        <v>0</v>
      </c>
      <c r="AB912">
        <v>0</v>
      </c>
      <c r="AC912">
        <v>0</v>
      </c>
      <c r="AD912">
        <v>0</v>
      </c>
      <c r="AG912">
        <v>0</v>
      </c>
      <c r="AP912" t="s">
        <v>3493</v>
      </c>
      <c r="AQ912" t="s">
        <v>508</v>
      </c>
      <c r="AR912" t="s">
        <v>6657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BC912" t="s">
        <v>69</v>
      </c>
      <c r="BD912" t="s">
        <v>3496</v>
      </c>
      <c r="BE912">
        <v>0</v>
      </c>
      <c r="BG912" t="s">
        <v>508</v>
      </c>
      <c r="BJ912" t="s">
        <v>2993</v>
      </c>
    </row>
    <row r="913" spans="1:62" x14ac:dyDescent="0.35">
      <c r="A913" t="s">
        <v>3497</v>
      </c>
      <c r="B913">
        <v>10000</v>
      </c>
      <c r="C913">
        <v>10000</v>
      </c>
      <c r="D913" s="2">
        <v>45730</v>
      </c>
      <c r="E913" t="s">
        <v>61</v>
      </c>
      <c r="F913" t="s">
        <v>3235</v>
      </c>
      <c r="G913" t="s">
        <v>1387</v>
      </c>
      <c r="I913">
        <v>1</v>
      </c>
      <c r="J913" t="s">
        <v>63</v>
      </c>
      <c r="K913" s="8">
        <v>65</v>
      </c>
      <c r="L913" s="8" t="s">
        <v>6596</v>
      </c>
      <c r="M913" s="8" t="s">
        <v>6630</v>
      </c>
      <c r="N913" t="s">
        <v>268</v>
      </c>
      <c r="O913" t="s">
        <v>6543</v>
      </c>
      <c r="P913" s="4">
        <v>1308</v>
      </c>
      <c r="Q913">
        <f t="shared" ref="Q913:Q917" si="237">(P913/40)+45</f>
        <v>77.7</v>
      </c>
      <c r="R913">
        <f t="shared" ref="R913:R917" si="238">Q913/60</f>
        <v>1.2950000000000002</v>
      </c>
      <c r="S913" s="2">
        <v>45730</v>
      </c>
      <c r="U913">
        <v>26</v>
      </c>
      <c r="V913" s="4">
        <v>34008</v>
      </c>
      <c r="W913" t="s">
        <v>65</v>
      </c>
      <c r="X913" t="s">
        <v>3236</v>
      </c>
      <c r="Y913">
        <v>0</v>
      </c>
      <c r="Z913" s="4">
        <v>34000</v>
      </c>
      <c r="AA913">
        <v>8</v>
      </c>
      <c r="AB913">
        <v>0</v>
      </c>
      <c r="AC913">
        <v>0</v>
      </c>
      <c r="AD913">
        <v>0</v>
      </c>
      <c r="AG913">
        <v>0</v>
      </c>
      <c r="AP913" t="s">
        <v>3237</v>
      </c>
      <c r="AQ913" t="s">
        <v>508</v>
      </c>
      <c r="AR913" t="s">
        <v>6657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BC913" t="s">
        <v>69</v>
      </c>
      <c r="BD913" t="s">
        <v>3498</v>
      </c>
      <c r="BE913">
        <v>0</v>
      </c>
      <c r="BG913" t="s">
        <v>508</v>
      </c>
      <c r="BJ913" t="s">
        <v>2993</v>
      </c>
    </row>
    <row r="914" spans="1:62" x14ac:dyDescent="0.35">
      <c r="A914" t="s">
        <v>3499</v>
      </c>
      <c r="B914">
        <v>10000</v>
      </c>
      <c r="C914">
        <v>10000</v>
      </c>
      <c r="D914" s="2">
        <v>45733</v>
      </c>
      <c r="E914" t="s">
        <v>61</v>
      </c>
      <c r="F914" t="s">
        <v>3315</v>
      </c>
      <c r="G914" t="s">
        <v>3277</v>
      </c>
      <c r="I914">
        <v>1</v>
      </c>
      <c r="J914" t="s">
        <v>63</v>
      </c>
      <c r="K914" s="8">
        <v>46</v>
      </c>
      <c r="L914" s="8" t="s">
        <v>6587</v>
      </c>
      <c r="M914" s="8" t="s">
        <v>6629</v>
      </c>
      <c r="N914" t="s">
        <v>113</v>
      </c>
      <c r="O914" t="s">
        <v>6499</v>
      </c>
      <c r="P914" s="4">
        <v>7000</v>
      </c>
      <c r="Q914">
        <f t="shared" si="237"/>
        <v>220</v>
      </c>
      <c r="R914">
        <f t="shared" si="238"/>
        <v>3.6666666666666665</v>
      </c>
      <c r="S914" s="2">
        <v>45730</v>
      </c>
      <c r="U914">
        <v>1</v>
      </c>
      <c r="V914" s="4">
        <v>7000</v>
      </c>
      <c r="W914" t="s">
        <v>65</v>
      </c>
      <c r="X914" t="s">
        <v>3278</v>
      </c>
      <c r="Y914">
        <v>0</v>
      </c>
      <c r="Z914" s="4">
        <v>7000</v>
      </c>
      <c r="AA914">
        <v>0</v>
      </c>
      <c r="AB914">
        <v>0</v>
      </c>
      <c r="AC914">
        <v>0</v>
      </c>
      <c r="AD914">
        <v>0</v>
      </c>
      <c r="AG914">
        <v>0</v>
      </c>
      <c r="AP914" t="s">
        <v>3279</v>
      </c>
      <c r="AQ914" t="s">
        <v>116</v>
      </c>
      <c r="AR914" t="s">
        <v>6639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BC914" t="s">
        <v>69</v>
      </c>
      <c r="BD914" t="s">
        <v>3500</v>
      </c>
      <c r="BE914">
        <v>0</v>
      </c>
      <c r="BG914" t="s">
        <v>116</v>
      </c>
      <c r="BJ914" t="s">
        <v>3004</v>
      </c>
    </row>
    <row r="915" spans="1:62" x14ac:dyDescent="0.35">
      <c r="A915" t="s">
        <v>3501</v>
      </c>
      <c r="B915">
        <v>10000</v>
      </c>
      <c r="C915">
        <v>10000</v>
      </c>
      <c r="D915" s="2">
        <v>45730</v>
      </c>
      <c r="E915" t="s">
        <v>61</v>
      </c>
      <c r="F915" t="s">
        <v>3502</v>
      </c>
      <c r="G915" t="s">
        <v>3415</v>
      </c>
      <c r="I915">
        <v>1</v>
      </c>
      <c r="J915" t="s">
        <v>63</v>
      </c>
      <c r="K915" s="8">
        <v>65</v>
      </c>
      <c r="L915" s="8" t="s">
        <v>6596</v>
      </c>
      <c r="M915" s="8" t="s">
        <v>6630</v>
      </c>
      <c r="N915" t="s">
        <v>268</v>
      </c>
      <c r="O915" t="s">
        <v>6543</v>
      </c>
      <c r="P915">
        <v>500</v>
      </c>
      <c r="Q915">
        <f t="shared" si="237"/>
        <v>57.5</v>
      </c>
      <c r="R915">
        <f t="shared" si="238"/>
        <v>0.95833333333333337</v>
      </c>
      <c r="S915" s="2">
        <v>45730</v>
      </c>
      <c r="U915">
        <v>16</v>
      </c>
      <c r="V915" s="4">
        <v>8000</v>
      </c>
      <c r="W915" t="s">
        <v>65</v>
      </c>
      <c r="X915" t="s">
        <v>3503</v>
      </c>
      <c r="Y915">
        <v>0</v>
      </c>
      <c r="Z915" s="4">
        <v>8000</v>
      </c>
      <c r="AA915">
        <v>0</v>
      </c>
      <c r="AB915">
        <v>0</v>
      </c>
      <c r="AC915">
        <v>0</v>
      </c>
      <c r="AD915">
        <v>0</v>
      </c>
      <c r="AG915">
        <v>0</v>
      </c>
      <c r="AP915" t="s">
        <v>3504</v>
      </c>
      <c r="AQ915" t="s">
        <v>116</v>
      </c>
      <c r="AR915" t="s">
        <v>6639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BC915" t="s">
        <v>69</v>
      </c>
      <c r="BD915" t="s">
        <v>3505</v>
      </c>
      <c r="BE915">
        <v>0</v>
      </c>
      <c r="BG915" t="s">
        <v>116</v>
      </c>
      <c r="BJ915" t="s">
        <v>3506</v>
      </c>
    </row>
    <row r="916" spans="1:62" x14ac:dyDescent="0.35">
      <c r="A916" t="s">
        <v>3507</v>
      </c>
      <c r="B916">
        <v>10000</v>
      </c>
      <c r="C916">
        <v>10000</v>
      </c>
      <c r="D916" s="2">
        <v>45730</v>
      </c>
      <c r="E916" t="s">
        <v>61</v>
      </c>
      <c r="F916" t="s">
        <v>3502</v>
      </c>
      <c r="G916" t="s">
        <v>3415</v>
      </c>
      <c r="I916">
        <v>1</v>
      </c>
      <c r="J916" t="s">
        <v>63</v>
      </c>
      <c r="K916" s="8">
        <v>65</v>
      </c>
      <c r="L916" s="8" t="s">
        <v>6596</v>
      </c>
      <c r="M916" s="8" t="s">
        <v>6630</v>
      </c>
      <c r="N916" t="s">
        <v>268</v>
      </c>
      <c r="O916" t="s">
        <v>6543</v>
      </c>
      <c r="P916">
        <v>500</v>
      </c>
      <c r="Q916">
        <f t="shared" si="237"/>
        <v>57.5</v>
      </c>
      <c r="R916">
        <f t="shared" si="238"/>
        <v>0.95833333333333337</v>
      </c>
      <c r="S916" s="2">
        <v>45730</v>
      </c>
      <c r="U916">
        <v>16</v>
      </c>
      <c r="V916" s="4">
        <v>8000</v>
      </c>
      <c r="W916" t="s">
        <v>65</v>
      </c>
      <c r="X916" t="s">
        <v>3503</v>
      </c>
      <c r="Y916">
        <v>0</v>
      </c>
      <c r="Z916" s="4">
        <v>8000</v>
      </c>
      <c r="AA916">
        <v>0</v>
      </c>
      <c r="AB916">
        <v>0</v>
      </c>
      <c r="AC916">
        <v>0</v>
      </c>
      <c r="AD916">
        <v>0</v>
      </c>
      <c r="AG916">
        <v>0</v>
      </c>
      <c r="AP916" t="s">
        <v>3504</v>
      </c>
      <c r="AQ916" t="s">
        <v>116</v>
      </c>
      <c r="AR916" t="s">
        <v>6639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BC916" t="s">
        <v>69</v>
      </c>
      <c r="BD916" t="s">
        <v>3508</v>
      </c>
      <c r="BE916">
        <v>0</v>
      </c>
      <c r="BG916" t="s">
        <v>116</v>
      </c>
      <c r="BJ916" t="s">
        <v>3509</v>
      </c>
    </row>
    <row r="917" spans="1:62" x14ac:dyDescent="0.35">
      <c r="A917" t="s">
        <v>3510</v>
      </c>
      <c r="B917">
        <v>10000</v>
      </c>
      <c r="C917">
        <v>10000</v>
      </c>
      <c r="D917" s="2">
        <v>45730</v>
      </c>
      <c r="E917" t="s">
        <v>61</v>
      </c>
      <c r="F917" s="3">
        <v>0.4425</v>
      </c>
      <c r="G917" t="s">
        <v>1387</v>
      </c>
      <c r="I917">
        <v>1</v>
      </c>
      <c r="J917" t="s">
        <v>63</v>
      </c>
      <c r="K917" s="8">
        <v>65</v>
      </c>
      <c r="L917" s="8" t="s">
        <v>6596</v>
      </c>
      <c r="M917" s="8" t="s">
        <v>6630</v>
      </c>
      <c r="N917" t="s">
        <v>268</v>
      </c>
      <c r="O917" t="s">
        <v>6543</v>
      </c>
      <c r="P917">
        <v>352</v>
      </c>
      <c r="Q917">
        <f t="shared" si="237"/>
        <v>53.8</v>
      </c>
      <c r="R917">
        <f t="shared" si="238"/>
        <v>0.89666666666666661</v>
      </c>
      <c r="S917" s="2">
        <v>45730</v>
      </c>
      <c r="U917">
        <v>30</v>
      </c>
      <c r="V917" s="4">
        <v>10560</v>
      </c>
      <c r="W917" t="s">
        <v>65</v>
      </c>
      <c r="X917">
        <v>200814300001</v>
      </c>
      <c r="Y917">
        <v>0</v>
      </c>
      <c r="Z917" s="4">
        <v>10540</v>
      </c>
      <c r="AA917">
        <v>20</v>
      </c>
      <c r="AB917">
        <v>0</v>
      </c>
      <c r="AC917">
        <v>0</v>
      </c>
      <c r="AD917">
        <v>0</v>
      </c>
      <c r="AG917">
        <v>0</v>
      </c>
      <c r="AP917">
        <v>20081430</v>
      </c>
      <c r="AQ917" t="s">
        <v>182</v>
      </c>
      <c r="AR917" t="s">
        <v>6643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BC917" t="s">
        <v>69</v>
      </c>
      <c r="BD917" t="s">
        <v>3511</v>
      </c>
      <c r="BE917">
        <v>0</v>
      </c>
      <c r="BG917" t="s">
        <v>182</v>
      </c>
      <c r="BJ917" t="s">
        <v>3512</v>
      </c>
    </row>
    <row r="918" spans="1:62" x14ac:dyDescent="0.35">
      <c r="A918" t="s">
        <v>3282</v>
      </c>
      <c r="B918">
        <v>10000</v>
      </c>
      <c r="C918">
        <v>20000</v>
      </c>
      <c r="D918" s="2">
        <v>45730</v>
      </c>
      <c r="E918" t="s">
        <v>61</v>
      </c>
      <c r="F918" t="s">
        <v>3283</v>
      </c>
      <c r="G918" t="s">
        <v>3284</v>
      </c>
      <c r="I918">
        <v>2</v>
      </c>
      <c r="J918" t="s">
        <v>63</v>
      </c>
      <c r="K918" s="8">
        <v>92</v>
      </c>
      <c r="L918" s="8" t="s">
        <v>6614</v>
      </c>
      <c r="M918" s="8" t="s">
        <v>6633</v>
      </c>
      <c r="N918" t="s">
        <v>424</v>
      </c>
      <c r="O918" t="s">
        <v>6570</v>
      </c>
      <c r="P918">
        <v>600</v>
      </c>
      <c r="S918" s="2">
        <v>45730</v>
      </c>
      <c r="U918">
        <v>1</v>
      </c>
      <c r="V918">
        <v>600</v>
      </c>
      <c r="W918" t="s">
        <v>65</v>
      </c>
      <c r="X918" t="s">
        <v>3285</v>
      </c>
      <c r="Y918">
        <v>0</v>
      </c>
      <c r="Z918">
        <v>500</v>
      </c>
      <c r="AA918">
        <v>100</v>
      </c>
      <c r="AB918">
        <v>0</v>
      </c>
      <c r="AC918">
        <v>0</v>
      </c>
      <c r="AD918">
        <v>0</v>
      </c>
      <c r="AG918">
        <v>0</v>
      </c>
      <c r="AP918" t="s">
        <v>3286</v>
      </c>
      <c r="AQ918" t="s">
        <v>3287</v>
      </c>
      <c r="AR918" t="s">
        <v>6718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BC918" t="s">
        <v>69</v>
      </c>
      <c r="BD918" t="s">
        <v>3288</v>
      </c>
      <c r="BE918">
        <v>0</v>
      </c>
      <c r="BG918" t="s">
        <v>3287</v>
      </c>
      <c r="BJ918" t="s">
        <v>3289</v>
      </c>
    </row>
    <row r="919" spans="1:62" x14ac:dyDescent="0.35">
      <c r="A919" t="s">
        <v>3034</v>
      </c>
      <c r="B919">
        <v>10000</v>
      </c>
      <c r="C919">
        <v>20000</v>
      </c>
      <c r="D919" s="2">
        <v>45730</v>
      </c>
      <c r="E919" t="s">
        <v>61</v>
      </c>
      <c r="F919" s="3">
        <v>0.53435185185185186</v>
      </c>
      <c r="G919" t="s">
        <v>899</v>
      </c>
      <c r="I919">
        <v>2</v>
      </c>
      <c r="J919" t="s">
        <v>63</v>
      </c>
      <c r="K919" s="8">
        <v>71</v>
      </c>
      <c r="L919" s="8" t="s">
        <v>6588</v>
      </c>
      <c r="M919" s="8" t="s">
        <v>6630</v>
      </c>
      <c r="N919" t="s">
        <v>135</v>
      </c>
      <c r="O919" t="s">
        <v>6573</v>
      </c>
      <c r="P919" s="4">
        <v>1334</v>
      </c>
      <c r="S919" s="2">
        <v>45730</v>
      </c>
      <c r="U919">
        <v>90</v>
      </c>
      <c r="V919" s="4">
        <v>120060</v>
      </c>
      <c r="W919" t="s">
        <v>65</v>
      </c>
      <c r="X919" t="s">
        <v>901</v>
      </c>
      <c r="Y919">
        <v>0</v>
      </c>
      <c r="Z919" s="4">
        <v>120000</v>
      </c>
      <c r="AA919">
        <v>60</v>
      </c>
      <c r="AB919">
        <v>0</v>
      </c>
      <c r="AC919">
        <v>0</v>
      </c>
      <c r="AD919">
        <v>0</v>
      </c>
      <c r="AG919">
        <v>0</v>
      </c>
      <c r="AP919" t="s">
        <v>902</v>
      </c>
      <c r="AQ919" t="s">
        <v>903</v>
      </c>
      <c r="AR919" t="s">
        <v>6666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BC919" t="s">
        <v>69</v>
      </c>
      <c r="BD919" t="s">
        <v>3035</v>
      </c>
      <c r="BE919">
        <v>0</v>
      </c>
      <c r="BG919" t="s">
        <v>903</v>
      </c>
      <c r="BJ919" t="s">
        <v>3036</v>
      </c>
    </row>
    <row r="920" spans="1:62" x14ac:dyDescent="0.35">
      <c r="A920" t="s">
        <v>3513</v>
      </c>
      <c r="B920">
        <v>10000</v>
      </c>
      <c r="C920">
        <v>10000</v>
      </c>
      <c r="D920" s="2">
        <v>45730</v>
      </c>
      <c r="E920" t="s">
        <v>61</v>
      </c>
      <c r="F920" t="s">
        <v>3514</v>
      </c>
      <c r="G920">
        <v>310180293</v>
      </c>
      <c r="I920">
        <v>1</v>
      </c>
      <c r="J920" t="s">
        <v>63</v>
      </c>
      <c r="K920" s="8">
        <v>88</v>
      </c>
      <c r="L920" s="8" t="s">
        <v>6610</v>
      </c>
      <c r="M920" s="8" t="s">
        <v>6631</v>
      </c>
      <c r="N920" t="s">
        <v>630</v>
      </c>
      <c r="O920" t="s">
        <v>6571</v>
      </c>
      <c r="P920">
        <v>50</v>
      </c>
      <c r="S920" s="2">
        <v>45730</v>
      </c>
      <c r="U920">
        <v>1</v>
      </c>
      <c r="V920">
        <v>50</v>
      </c>
      <c r="W920" t="s">
        <v>65</v>
      </c>
      <c r="X920" t="s">
        <v>3515</v>
      </c>
      <c r="Y920">
        <v>0</v>
      </c>
      <c r="Z920">
        <v>7</v>
      </c>
      <c r="AA920">
        <v>43</v>
      </c>
      <c r="AB920">
        <v>0</v>
      </c>
      <c r="AC920">
        <v>0</v>
      </c>
      <c r="AD920">
        <v>0</v>
      </c>
      <c r="AG920">
        <v>0</v>
      </c>
      <c r="AP920" t="s">
        <v>3516</v>
      </c>
      <c r="AQ920" t="s">
        <v>3041</v>
      </c>
      <c r="AR920" t="s">
        <v>6712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BC920" t="s">
        <v>69</v>
      </c>
      <c r="BD920" t="s">
        <v>3517</v>
      </c>
      <c r="BE920">
        <v>0</v>
      </c>
      <c r="BG920" t="s">
        <v>3041</v>
      </c>
      <c r="BJ920" t="s">
        <v>3518</v>
      </c>
    </row>
    <row r="921" spans="1:62" x14ac:dyDescent="0.35">
      <c r="A921" t="s">
        <v>3513</v>
      </c>
      <c r="B921">
        <v>10000</v>
      </c>
      <c r="C921">
        <v>20000</v>
      </c>
      <c r="D921" s="2">
        <v>45730</v>
      </c>
      <c r="E921" t="s">
        <v>61</v>
      </c>
      <c r="F921" t="s">
        <v>3514</v>
      </c>
      <c r="G921">
        <v>310180293</v>
      </c>
      <c r="I921">
        <v>2</v>
      </c>
      <c r="J921" t="s">
        <v>63</v>
      </c>
      <c r="K921" s="8">
        <v>92</v>
      </c>
      <c r="L921" s="8" t="s">
        <v>6614</v>
      </c>
      <c r="M921" s="8" t="s">
        <v>6633</v>
      </c>
      <c r="N921" t="s">
        <v>424</v>
      </c>
      <c r="O921" t="s">
        <v>6570</v>
      </c>
      <c r="P921">
        <v>6</v>
      </c>
      <c r="S921" s="2">
        <v>45730</v>
      </c>
      <c r="U921">
        <v>5</v>
      </c>
      <c r="V921">
        <v>30</v>
      </c>
      <c r="W921" t="s">
        <v>65</v>
      </c>
      <c r="X921" t="s">
        <v>3515</v>
      </c>
      <c r="Y921">
        <v>0</v>
      </c>
      <c r="Z921">
        <v>7</v>
      </c>
      <c r="AA921">
        <v>23</v>
      </c>
      <c r="AB921">
        <v>0</v>
      </c>
      <c r="AC921">
        <v>0</v>
      </c>
      <c r="AD921">
        <v>0</v>
      </c>
      <c r="AG921">
        <v>0</v>
      </c>
      <c r="AP921" t="s">
        <v>3516</v>
      </c>
      <c r="AQ921" t="s">
        <v>3041</v>
      </c>
      <c r="AR921" t="s">
        <v>6712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BC921" t="s">
        <v>69</v>
      </c>
      <c r="BD921" t="s">
        <v>3517</v>
      </c>
      <c r="BE921">
        <v>0</v>
      </c>
      <c r="BG921" t="s">
        <v>3041</v>
      </c>
      <c r="BJ921" t="s">
        <v>3518</v>
      </c>
    </row>
    <row r="922" spans="1:62" x14ac:dyDescent="0.35">
      <c r="A922" t="s">
        <v>3519</v>
      </c>
      <c r="B922">
        <v>10000</v>
      </c>
      <c r="C922">
        <v>10000</v>
      </c>
      <c r="D922" s="2">
        <v>45730</v>
      </c>
      <c r="E922" t="s">
        <v>61</v>
      </c>
      <c r="F922" t="s">
        <v>3514</v>
      </c>
      <c r="G922" t="s">
        <v>3038</v>
      </c>
      <c r="I922">
        <v>1</v>
      </c>
      <c r="J922" t="s">
        <v>63</v>
      </c>
      <c r="K922" s="8">
        <v>88</v>
      </c>
      <c r="L922" s="8" t="s">
        <v>6610</v>
      </c>
      <c r="M922" s="8" t="s">
        <v>6631</v>
      </c>
      <c r="N922" t="s">
        <v>630</v>
      </c>
      <c r="O922" t="s">
        <v>6571</v>
      </c>
      <c r="P922">
        <v>150</v>
      </c>
      <c r="S922" s="2">
        <v>45730</v>
      </c>
      <c r="U922">
        <v>1</v>
      </c>
      <c r="V922">
        <v>150</v>
      </c>
      <c r="W922" t="s">
        <v>65</v>
      </c>
      <c r="X922" t="s">
        <v>3520</v>
      </c>
      <c r="Y922">
        <v>0</v>
      </c>
      <c r="Z922">
        <v>50</v>
      </c>
      <c r="AA922">
        <v>100</v>
      </c>
      <c r="AB922">
        <v>0</v>
      </c>
      <c r="AC922">
        <v>0</v>
      </c>
      <c r="AD922">
        <v>0</v>
      </c>
      <c r="AG922">
        <v>0</v>
      </c>
      <c r="AP922" t="s">
        <v>3521</v>
      </c>
      <c r="AQ922" t="s">
        <v>3041</v>
      </c>
      <c r="AR922" t="s">
        <v>6712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BC922" t="s">
        <v>69</v>
      </c>
      <c r="BD922" t="s">
        <v>3522</v>
      </c>
      <c r="BE922">
        <v>0</v>
      </c>
      <c r="BG922" t="s">
        <v>3041</v>
      </c>
      <c r="BJ922" t="s">
        <v>3518</v>
      </c>
    </row>
    <row r="923" spans="1:62" x14ac:dyDescent="0.35">
      <c r="A923" t="s">
        <v>3519</v>
      </c>
      <c r="B923">
        <v>10000</v>
      </c>
      <c r="C923">
        <v>20000</v>
      </c>
      <c r="D923" s="2">
        <v>45730</v>
      </c>
      <c r="E923" t="s">
        <v>61</v>
      </c>
      <c r="F923" t="s">
        <v>3514</v>
      </c>
      <c r="G923" t="s">
        <v>3038</v>
      </c>
      <c r="I923">
        <v>2</v>
      </c>
      <c r="J923" t="s">
        <v>63</v>
      </c>
      <c r="K923" s="8">
        <v>92</v>
      </c>
      <c r="L923" s="8" t="s">
        <v>6614</v>
      </c>
      <c r="M923" s="8" t="s">
        <v>6633</v>
      </c>
      <c r="N923" t="s">
        <v>424</v>
      </c>
      <c r="O923" t="s">
        <v>6570</v>
      </c>
      <c r="P923">
        <v>20</v>
      </c>
      <c r="S923" s="2">
        <v>45730</v>
      </c>
      <c r="U923">
        <v>3</v>
      </c>
      <c r="V923">
        <v>60</v>
      </c>
      <c r="W923" t="s">
        <v>65</v>
      </c>
      <c r="X923" t="s">
        <v>3520</v>
      </c>
      <c r="Y923">
        <v>0</v>
      </c>
      <c r="Z923">
        <v>50</v>
      </c>
      <c r="AA923">
        <v>10</v>
      </c>
      <c r="AB923">
        <v>0</v>
      </c>
      <c r="AC923">
        <v>0</v>
      </c>
      <c r="AD923">
        <v>0</v>
      </c>
      <c r="AG923">
        <v>0</v>
      </c>
      <c r="AP923" t="s">
        <v>3521</v>
      </c>
      <c r="AQ923" t="s">
        <v>3041</v>
      </c>
      <c r="AR923" t="s">
        <v>6712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BC923" t="s">
        <v>69</v>
      </c>
      <c r="BD923" t="s">
        <v>3522</v>
      </c>
      <c r="BE923">
        <v>0</v>
      </c>
      <c r="BG923" t="s">
        <v>3041</v>
      </c>
      <c r="BJ923" t="s">
        <v>3518</v>
      </c>
    </row>
    <row r="924" spans="1:62" x14ac:dyDescent="0.35">
      <c r="A924" t="s">
        <v>3523</v>
      </c>
      <c r="B924">
        <v>10000</v>
      </c>
      <c r="C924">
        <v>10000</v>
      </c>
      <c r="D924" s="2">
        <v>45730</v>
      </c>
      <c r="E924" t="s">
        <v>61</v>
      </c>
      <c r="F924" s="3">
        <v>0.53350694444444446</v>
      </c>
      <c r="G924" t="s">
        <v>1773</v>
      </c>
      <c r="I924">
        <v>1</v>
      </c>
      <c r="J924" t="s">
        <v>63</v>
      </c>
      <c r="K924" s="8">
        <v>32</v>
      </c>
      <c r="L924" s="8" t="s">
        <v>6607</v>
      </c>
      <c r="M924" s="8" t="s">
        <v>6629</v>
      </c>
      <c r="N924" t="s">
        <v>3524</v>
      </c>
      <c r="O924" t="s">
        <v>6496</v>
      </c>
      <c r="P924" s="4">
        <v>5860</v>
      </c>
      <c r="S924" s="2">
        <v>45730</v>
      </c>
      <c r="U924">
        <v>1</v>
      </c>
      <c r="V924" s="4">
        <v>5860</v>
      </c>
      <c r="W924" t="s">
        <v>65</v>
      </c>
      <c r="X924" t="s">
        <v>1774</v>
      </c>
      <c r="Y924">
        <v>0</v>
      </c>
      <c r="Z924" s="4">
        <v>5360</v>
      </c>
      <c r="AA924">
        <v>500</v>
      </c>
      <c r="AB924">
        <v>0</v>
      </c>
      <c r="AC924">
        <v>0</v>
      </c>
      <c r="AD924">
        <v>0</v>
      </c>
      <c r="AG924">
        <v>0</v>
      </c>
      <c r="AP924" t="s">
        <v>1775</v>
      </c>
      <c r="AQ924" t="s">
        <v>116</v>
      </c>
      <c r="AR924" t="s">
        <v>6639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BC924" t="s">
        <v>69</v>
      </c>
      <c r="BD924" t="s">
        <v>3525</v>
      </c>
      <c r="BE924">
        <v>0</v>
      </c>
      <c r="BG924" t="s">
        <v>116</v>
      </c>
      <c r="BJ924" t="s">
        <v>2762</v>
      </c>
    </row>
    <row r="925" spans="1:62" x14ac:dyDescent="0.35">
      <c r="A925" t="s">
        <v>3526</v>
      </c>
      <c r="B925">
        <v>10000</v>
      </c>
      <c r="C925">
        <v>10000</v>
      </c>
      <c r="D925" s="2">
        <v>45730</v>
      </c>
      <c r="E925" t="s">
        <v>61</v>
      </c>
      <c r="F925" s="3">
        <v>0.45489583333333333</v>
      </c>
      <c r="G925" t="s">
        <v>3316</v>
      </c>
      <c r="I925">
        <v>1</v>
      </c>
      <c r="J925" t="s">
        <v>63</v>
      </c>
      <c r="K925" s="8">
        <v>12</v>
      </c>
      <c r="L925" s="8" t="s">
        <v>6604</v>
      </c>
      <c r="M925" s="8" t="s">
        <v>6629</v>
      </c>
      <c r="N925" t="s">
        <v>478</v>
      </c>
      <c r="O925" t="s">
        <v>6434</v>
      </c>
      <c r="P925" s="4">
        <v>3000</v>
      </c>
      <c r="Q925">
        <f t="shared" ref="Q925:Q926" si="239">(P925/50)+45</f>
        <v>105</v>
      </c>
      <c r="R925">
        <f t="shared" ref="R925:R926" si="240">Q925/60</f>
        <v>1.75</v>
      </c>
      <c r="S925" s="2">
        <v>45730</v>
      </c>
      <c r="U925">
        <v>2</v>
      </c>
      <c r="V925" s="4">
        <v>6000</v>
      </c>
      <c r="W925" t="s">
        <v>65</v>
      </c>
      <c r="X925" t="s">
        <v>3527</v>
      </c>
      <c r="Y925">
        <v>0</v>
      </c>
      <c r="Z925" s="4">
        <v>6000</v>
      </c>
      <c r="AA925">
        <v>0</v>
      </c>
      <c r="AB925">
        <v>0</v>
      </c>
      <c r="AC925">
        <v>0</v>
      </c>
      <c r="AD925">
        <v>0</v>
      </c>
      <c r="AG925">
        <v>0</v>
      </c>
      <c r="AP925" t="s">
        <v>3528</v>
      </c>
      <c r="AQ925" t="s">
        <v>116</v>
      </c>
      <c r="AR925" t="s">
        <v>6639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BC925" t="s">
        <v>69</v>
      </c>
      <c r="BD925" t="s">
        <v>3529</v>
      </c>
      <c r="BE925">
        <v>0</v>
      </c>
      <c r="BG925" t="s">
        <v>116</v>
      </c>
      <c r="BJ925" t="s">
        <v>3313</v>
      </c>
    </row>
    <row r="926" spans="1:62" x14ac:dyDescent="0.35">
      <c r="A926" t="s">
        <v>3530</v>
      </c>
      <c r="B926">
        <v>10000</v>
      </c>
      <c r="C926">
        <v>10000</v>
      </c>
      <c r="D926" s="2">
        <v>45730</v>
      </c>
      <c r="E926" t="s">
        <v>61</v>
      </c>
      <c r="F926" t="s">
        <v>3249</v>
      </c>
      <c r="G926" t="s">
        <v>2613</v>
      </c>
      <c r="I926">
        <v>1</v>
      </c>
      <c r="J926" t="s">
        <v>63</v>
      </c>
      <c r="K926" s="8">
        <v>61</v>
      </c>
      <c r="L926" s="8" t="s">
        <v>6594</v>
      </c>
      <c r="M926" s="8" t="s">
        <v>6629</v>
      </c>
      <c r="N926" t="s">
        <v>197</v>
      </c>
      <c r="O926" t="s">
        <v>6565</v>
      </c>
      <c r="P926" s="4">
        <v>8334</v>
      </c>
      <c r="Q926">
        <f t="shared" si="239"/>
        <v>211.68</v>
      </c>
      <c r="R926">
        <f t="shared" si="240"/>
        <v>3.528</v>
      </c>
      <c r="S926" s="2">
        <v>45730</v>
      </c>
      <c r="U926">
        <v>6</v>
      </c>
      <c r="V926" s="4">
        <v>50004</v>
      </c>
      <c r="W926" t="s">
        <v>65</v>
      </c>
      <c r="X926" t="s">
        <v>198</v>
      </c>
      <c r="Y926">
        <v>0</v>
      </c>
      <c r="Z926" s="4">
        <v>50000</v>
      </c>
      <c r="AA926">
        <v>4</v>
      </c>
      <c r="AB926">
        <v>0</v>
      </c>
      <c r="AC926">
        <v>0</v>
      </c>
      <c r="AD926">
        <v>0</v>
      </c>
      <c r="AG926">
        <v>0</v>
      </c>
      <c r="AP926" t="s">
        <v>199</v>
      </c>
      <c r="AQ926" t="s">
        <v>116</v>
      </c>
      <c r="AR926" t="s">
        <v>6639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C926" t="s">
        <v>69</v>
      </c>
      <c r="BD926" t="s">
        <v>3531</v>
      </c>
      <c r="BE926">
        <v>0</v>
      </c>
      <c r="BG926" t="s">
        <v>116</v>
      </c>
      <c r="BJ926" t="s">
        <v>3532</v>
      </c>
    </row>
    <row r="927" spans="1:62" x14ac:dyDescent="0.35">
      <c r="A927" t="s">
        <v>3335</v>
      </c>
      <c r="B927">
        <v>10000</v>
      </c>
      <c r="C927">
        <v>20000</v>
      </c>
      <c r="D927" s="2">
        <v>45733</v>
      </c>
      <c r="E927" t="s">
        <v>61</v>
      </c>
      <c r="F927" s="3">
        <v>0.54084490740740743</v>
      </c>
      <c r="G927" t="s">
        <v>3336</v>
      </c>
      <c r="I927">
        <v>2</v>
      </c>
      <c r="J927" t="s">
        <v>63</v>
      </c>
      <c r="K927" s="8">
        <v>101</v>
      </c>
      <c r="L927" t="s">
        <v>6585</v>
      </c>
      <c r="M927" s="8" t="s">
        <v>6628</v>
      </c>
      <c r="N927" t="s">
        <v>75</v>
      </c>
      <c r="O927" t="s">
        <v>6581</v>
      </c>
      <c r="P927" s="4">
        <v>10000</v>
      </c>
      <c r="S927" s="2">
        <v>45730</v>
      </c>
      <c r="U927">
        <v>10</v>
      </c>
      <c r="V927" s="4">
        <v>100000</v>
      </c>
      <c r="W927" t="s">
        <v>65</v>
      </c>
      <c r="X927" t="s">
        <v>3337</v>
      </c>
      <c r="Y927">
        <v>0</v>
      </c>
      <c r="Z927" s="4">
        <v>100000</v>
      </c>
      <c r="AA927">
        <v>0</v>
      </c>
      <c r="AB927">
        <v>0</v>
      </c>
      <c r="AC927">
        <v>0</v>
      </c>
      <c r="AD927">
        <v>0</v>
      </c>
      <c r="AG927">
        <v>0</v>
      </c>
      <c r="AP927" t="s">
        <v>3338</v>
      </c>
      <c r="AQ927" t="s">
        <v>107</v>
      </c>
      <c r="AR927" t="s">
        <v>6638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BC927" t="s">
        <v>69</v>
      </c>
      <c r="BD927" t="s">
        <v>3339</v>
      </c>
      <c r="BE927">
        <v>0</v>
      </c>
      <c r="BG927" t="s">
        <v>107</v>
      </c>
      <c r="BJ927" t="s">
        <v>3340</v>
      </c>
    </row>
    <row r="928" spans="1:62" x14ac:dyDescent="0.35">
      <c r="A928" t="s">
        <v>3533</v>
      </c>
      <c r="B928">
        <v>10000</v>
      </c>
      <c r="C928">
        <v>10000</v>
      </c>
      <c r="D928" s="2">
        <v>45748</v>
      </c>
      <c r="E928" t="s">
        <v>61</v>
      </c>
      <c r="F928" t="s">
        <v>3534</v>
      </c>
      <c r="G928">
        <v>10639931114</v>
      </c>
      <c r="I928">
        <v>1</v>
      </c>
      <c r="J928" t="s">
        <v>63</v>
      </c>
      <c r="K928" s="8">
        <v>79</v>
      </c>
      <c r="L928" s="8" t="s">
        <v>6608</v>
      </c>
      <c r="M928" s="8" t="s">
        <v>6631</v>
      </c>
      <c r="N928" t="s">
        <v>573</v>
      </c>
      <c r="O928" t="s">
        <v>6547</v>
      </c>
      <c r="P928" s="4">
        <v>1418</v>
      </c>
      <c r="Q928">
        <f t="shared" ref="Q928:Q929" si="241">(P928/20)+30</f>
        <v>100.9</v>
      </c>
      <c r="R928">
        <f t="shared" ref="R928:R931" si="242">Q928/60</f>
        <v>1.6816666666666669</v>
      </c>
      <c r="S928" s="2">
        <v>45730</v>
      </c>
      <c r="U928">
        <v>176</v>
      </c>
      <c r="V928" s="4">
        <v>249568</v>
      </c>
      <c r="W928" t="s">
        <v>65</v>
      </c>
      <c r="X928" t="s">
        <v>611</v>
      </c>
      <c r="Y928">
        <v>0</v>
      </c>
      <c r="Z928" s="4">
        <v>215000</v>
      </c>
      <c r="AA928" s="4">
        <v>34568</v>
      </c>
      <c r="AB928">
        <v>0</v>
      </c>
      <c r="AC928">
        <v>0</v>
      </c>
      <c r="AD928">
        <v>0</v>
      </c>
      <c r="AG928">
        <v>0</v>
      </c>
      <c r="AP928" t="s">
        <v>612</v>
      </c>
      <c r="AQ928" t="s">
        <v>107</v>
      </c>
      <c r="AR928" t="s">
        <v>6638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C928" t="s">
        <v>69</v>
      </c>
      <c r="BD928" t="s">
        <v>3535</v>
      </c>
      <c r="BE928">
        <v>0</v>
      </c>
      <c r="BG928" t="s">
        <v>107</v>
      </c>
      <c r="BJ928" t="s">
        <v>3536</v>
      </c>
    </row>
    <row r="929" spans="1:62" x14ac:dyDescent="0.35">
      <c r="A929" t="s">
        <v>3537</v>
      </c>
      <c r="B929">
        <v>10000</v>
      </c>
      <c r="C929">
        <v>10000</v>
      </c>
      <c r="D929" s="2">
        <v>45743</v>
      </c>
      <c r="E929" t="s">
        <v>61</v>
      </c>
      <c r="F929" t="s">
        <v>3538</v>
      </c>
      <c r="G929">
        <v>10639931025</v>
      </c>
      <c r="I929">
        <v>1</v>
      </c>
      <c r="J929" t="s">
        <v>63</v>
      </c>
      <c r="K929" s="8">
        <v>79</v>
      </c>
      <c r="L929" s="8" t="s">
        <v>6608</v>
      </c>
      <c r="M929" s="8" t="s">
        <v>6631</v>
      </c>
      <c r="N929" t="s">
        <v>573</v>
      </c>
      <c r="O929" t="s">
        <v>6547</v>
      </c>
      <c r="P929">
        <v>879</v>
      </c>
      <c r="Q929">
        <f t="shared" si="241"/>
        <v>73.95</v>
      </c>
      <c r="R929">
        <f t="shared" si="242"/>
        <v>1.2325000000000002</v>
      </c>
      <c r="S929" s="2">
        <v>45730</v>
      </c>
      <c r="U929">
        <v>264</v>
      </c>
      <c r="V929" s="4">
        <v>232056</v>
      </c>
      <c r="W929" t="s">
        <v>65</v>
      </c>
      <c r="X929" t="s">
        <v>3539</v>
      </c>
      <c r="Y929">
        <v>0</v>
      </c>
      <c r="Z929" s="4">
        <v>200000</v>
      </c>
      <c r="AA929" s="4">
        <v>32056</v>
      </c>
      <c r="AB929">
        <v>0</v>
      </c>
      <c r="AC929">
        <v>0</v>
      </c>
      <c r="AD929">
        <v>0</v>
      </c>
      <c r="AG929">
        <v>0</v>
      </c>
      <c r="AP929" t="s">
        <v>3540</v>
      </c>
      <c r="AQ929" t="s">
        <v>107</v>
      </c>
      <c r="AR929" t="s">
        <v>6638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BC929" t="s">
        <v>69</v>
      </c>
      <c r="BD929" t="s">
        <v>3541</v>
      </c>
      <c r="BE929">
        <v>0</v>
      </c>
      <c r="BG929" t="s">
        <v>107</v>
      </c>
      <c r="BJ929" t="s">
        <v>3542</v>
      </c>
    </row>
    <row r="930" spans="1:62" x14ac:dyDescent="0.35">
      <c r="A930" t="s">
        <v>3543</v>
      </c>
      <c r="B930">
        <v>10000</v>
      </c>
      <c r="C930">
        <v>10000</v>
      </c>
      <c r="D930" s="2">
        <v>45730</v>
      </c>
      <c r="E930" t="s">
        <v>61</v>
      </c>
      <c r="F930" t="s">
        <v>3544</v>
      </c>
      <c r="G930" t="s">
        <v>180</v>
      </c>
      <c r="I930">
        <v>1</v>
      </c>
      <c r="J930" t="s">
        <v>63</v>
      </c>
      <c r="K930" s="8">
        <v>59</v>
      </c>
      <c r="L930" s="8" t="s">
        <v>6592</v>
      </c>
      <c r="M930" s="8" t="s">
        <v>6629</v>
      </c>
      <c r="N930" t="s">
        <v>745</v>
      </c>
      <c r="O930" t="s">
        <v>6501</v>
      </c>
      <c r="P930">
        <v>258</v>
      </c>
      <c r="Q930">
        <f t="shared" ref="Q930:Q931" si="243">(P930/40)+45</f>
        <v>51.45</v>
      </c>
      <c r="R930">
        <f t="shared" si="242"/>
        <v>0.85750000000000004</v>
      </c>
      <c r="S930" s="2">
        <v>45730</v>
      </c>
      <c r="U930">
        <v>4</v>
      </c>
      <c r="V930" s="4">
        <v>1032</v>
      </c>
      <c r="W930" t="s">
        <v>65</v>
      </c>
      <c r="X930">
        <v>112887750001</v>
      </c>
      <c r="Y930">
        <v>0</v>
      </c>
      <c r="Z930" s="4">
        <v>1030</v>
      </c>
      <c r="AA930">
        <v>2</v>
      </c>
      <c r="AB930">
        <v>0</v>
      </c>
      <c r="AC930">
        <v>0</v>
      </c>
      <c r="AD930">
        <v>0</v>
      </c>
      <c r="AG930">
        <v>0</v>
      </c>
      <c r="AP930">
        <v>11288775</v>
      </c>
      <c r="AQ930" t="s">
        <v>182</v>
      </c>
      <c r="AR930" t="s">
        <v>6643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BC930" t="s">
        <v>69</v>
      </c>
      <c r="BD930" t="s">
        <v>3545</v>
      </c>
      <c r="BE930">
        <v>0</v>
      </c>
      <c r="BG930" t="s">
        <v>182</v>
      </c>
      <c r="BJ930" t="s">
        <v>3546</v>
      </c>
    </row>
    <row r="931" spans="1:62" x14ac:dyDescent="0.35">
      <c r="A931" t="s">
        <v>3547</v>
      </c>
      <c r="B931">
        <v>10000</v>
      </c>
      <c r="C931">
        <v>10000</v>
      </c>
      <c r="D931" s="2">
        <v>45730</v>
      </c>
      <c r="E931" t="s">
        <v>61</v>
      </c>
      <c r="F931" t="s">
        <v>3544</v>
      </c>
      <c r="G931" t="s">
        <v>180</v>
      </c>
      <c r="I931">
        <v>1</v>
      </c>
      <c r="J931" t="s">
        <v>63</v>
      </c>
      <c r="K931" s="8">
        <v>59</v>
      </c>
      <c r="L931" s="8" t="s">
        <v>6592</v>
      </c>
      <c r="M931" s="8" t="s">
        <v>6629</v>
      </c>
      <c r="N931" t="s">
        <v>745</v>
      </c>
      <c r="O931" t="s">
        <v>6501</v>
      </c>
      <c r="P931">
        <v>258</v>
      </c>
      <c r="Q931">
        <f t="shared" si="243"/>
        <v>51.45</v>
      </c>
      <c r="R931">
        <f t="shared" si="242"/>
        <v>0.85750000000000004</v>
      </c>
      <c r="S931" s="2">
        <v>45730</v>
      </c>
      <c r="U931">
        <v>4</v>
      </c>
      <c r="V931" s="4">
        <v>1032</v>
      </c>
      <c r="W931" t="s">
        <v>65</v>
      </c>
      <c r="X931">
        <v>112887750001</v>
      </c>
      <c r="Y931">
        <v>0</v>
      </c>
      <c r="Z931" s="4">
        <v>1030</v>
      </c>
      <c r="AA931">
        <v>2</v>
      </c>
      <c r="AB931">
        <v>0</v>
      </c>
      <c r="AC931">
        <v>0</v>
      </c>
      <c r="AD931">
        <v>0</v>
      </c>
      <c r="AG931">
        <v>0</v>
      </c>
      <c r="AP931">
        <v>11288775</v>
      </c>
      <c r="AQ931" t="s">
        <v>182</v>
      </c>
      <c r="AR931" t="s">
        <v>6643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BC931" t="s">
        <v>69</v>
      </c>
      <c r="BD931" t="s">
        <v>3548</v>
      </c>
      <c r="BE931">
        <v>0</v>
      </c>
      <c r="BG931" t="s">
        <v>182</v>
      </c>
      <c r="BJ931" t="s">
        <v>3549</v>
      </c>
    </row>
    <row r="932" spans="1:62" x14ac:dyDescent="0.35">
      <c r="A932" t="s">
        <v>3550</v>
      </c>
      <c r="B932">
        <v>10000</v>
      </c>
      <c r="C932">
        <v>10000</v>
      </c>
      <c r="D932" s="2">
        <v>45736</v>
      </c>
      <c r="E932" t="s">
        <v>61</v>
      </c>
      <c r="F932" t="s">
        <v>3551</v>
      </c>
      <c r="G932" t="s">
        <v>387</v>
      </c>
      <c r="I932">
        <v>1</v>
      </c>
      <c r="J932" t="s">
        <v>63</v>
      </c>
      <c r="K932" s="8">
        <v>88</v>
      </c>
      <c r="L932" s="8" t="s">
        <v>6610</v>
      </c>
      <c r="M932" s="8" t="s">
        <v>6631</v>
      </c>
      <c r="N932" t="s">
        <v>630</v>
      </c>
      <c r="O932" t="s">
        <v>6571</v>
      </c>
      <c r="P932">
        <v>300</v>
      </c>
      <c r="S932" s="2">
        <v>45730</v>
      </c>
      <c r="U932">
        <v>3</v>
      </c>
      <c r="V932">
        <v>900</v>
      </c>
      <c r="W932" t="s">
        <v>65</v>
      </c>
      <c r="X932" t="s">
        <v>3552</v>
      </c>
      <c r="Y932">
        <v>0</v>
      </c>
      <c r="Z932">
        <v>600</v>
      </c>
      <c r="AA932">
        <v>300</v>
      </c>
      <c r="AB932">
        <v>0</v>
      </c>
      <c r="AC932">
        <v>0</v>
      </c>
      <c r="AD932">
        <v>0</v>
      </c>
      <c r="AG932">
        <v>0</v>
      </c>
      <c r="AP932" t="s">
        <v>3553</v>
      </c>
      <c r="AQ932" t="s">
        <v>1241</v>
      </c>
      <c r="AR932" t="s">
        <v>6673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BC932" t="s">
        <v>69</v>
      </c>
      <c r="BD932" t="s">
        <v>3554</v>
      </c>
      <c r="BE932">
        <v>0</v>
      </c>
      <c r="BG932" t="s">
        <v>1241</v>
      </c>
      <c r="BJ932" t="s">
        <v>3555</v>
      </c>
    </row>
    <row r="933" spans="1:62" x14ac:dyDescent="0.35">
      <c r="A933" t="s">
        <v>3556</v>
      </c>
      <c r="B933">
        <v>10000</v>
      </c>
      <c r="C933">
        <v>10000</v>
      </c>
      <c r="D933" s="2">
        <v>45736</v>
      </c>
      <c r="E933" t="s">
        <v>61</v>
      </c>
      <c r="F933" t="s">
        <v>3551</v>
      </c>
      <c r="G933" t="s">
        <v>1238</v>
      </c>
      <c r="I933">
        <v>1</v>
      </c>
      <c r="J933" t="s">
        <v>63</v>
      </c>
      <c r="K933" s="8">
        <v>88</v>
      </c>
      <c r="L933" s="8" t="s">
        <v>6610</v>
      </c>
      <c r="M933" s="8" t="s">
        <v>6631</v>
      </c>
      <c r="N933" t="s">
        <v>630</v>
      </c>
      <c r="O933" t="s">
        <v>6571</v>
      </c>
      <c r="P933">
        <v>800</v>
      </c>
      <c r="S933" s="2">
        <v>45730</v>
      </c>
      <c r="U933">
        <v>1</v>
      </c>
      <c r="V933">
        <v>800</v>
      </c>
      <c r="W933" t="s">
        <v>65</v>
      </c>
      <c r="X933" t="s">
        <v>1239</v>
      </c>
      <c r="Y933">
        <v>0</v>
      </c>
      <c r="Z933">
        <v>500</v>
      </c>
      <c r="AA933">
        <v>300</v>
      </c>
      <c r="AB933">
        <v>0</v>
      </c>
      <c r="AC933">
        <v>0</v>
      </c>
      <c r="AD933">
        <v>0</v>
      </c>
      <c r="AG933">
        <v>0</v>
      </c>
      <c r="AP933" t="s">
        <v>1240</v>
      </c>
      <c r="AQ933" t="s">
        <v>1241</v>
      </c>
      <c r="AR933" t="s">
        <v>6673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BC933" t="s">
        <v>69</v>
      </c>
      <c r="BD933" t="s">
        <v>3557</v>
      </c>
      <c r="BE933">
        <v>0</v>
      </c>
      <c r="BG933" t="s">
        <v>1241</v>
      </c>
      <c r="BJ933" t="s">
        <v>3555</v>
      </c>
    </row>
    <row r="934" spans="1:62" x14ac:dyDescent="0.35">
      <c r="A934" t="s">
        <v>3558</v>
      </c>
      <c r="B934">
        <v>10000</v>
      </c>
      <c r="C934">
        <v>10000</v>
      </c>
      <c r="D934" s="2">
        <v>45744</v>
      </c>
      <c r="E934" t="s">
        <v>61</v>
      </c>
      <c r="F934" t="s">
        <v>3559</v>
      </c>
      <c r="G934">
        <v>10639931114</v>
      </c>
      <c r="I934">
        <v>1</v>
      </c>
      <c r="J934" t="s">
        <v>63</v>
      </c>
      <c r="K934" s="8">
        <v>79</v>
      </c>
      <c r="L934" s="8" t="s">
        <v>6608</v>
      </c>
      <c r="M934" s="8" t="s">
        <v>6631</v>
      </c>
      <c r="N934" t="s">
        <v>573</v>
      </c>
      <c r="O934" t="s">
        <v>6547</v>
      </c>
      <c r="P934">
        <v>535</v>
      </c>
      <c r="Q934">
        <f>(P934/20)+30</f>
        <v>56.75</v>
      </c>
      <c r="R934">
        <f>Q934/60</f>
        <v>0.9458333333333333</v>
      </c>
      <c r="S934" s="2">
        <v>45730</v>
      </c>
      <c r="U934">
        <v>176</v>
      </c>
      <c r="V934" s="4">
        <v>94160</v>
      </c>
      <c r="W934" t="s">
        <v>65</v>
      </c>
      <c r="X934" t="s">
        <v>3560</v>
      </c>
      <c r="Y934">
        <v>0</v>
      </c>
      <c r="Z934" s="4">
        <v>80000</v>
      </c>
      <c r="AA934" s="4">
        <v>14160</v>
      </c>
      <c r="AB934">
        <v>0</v>
      </c>
      <c r="AC934">
        <v>0</v>
      </c>
      <c r="AD934">
        <v>0</v>
      </c>
      <c r="AG934">
        <v>0</v>
      </c>
      <c r="AP934" t="s">
        <v>3561</v>
      </c>
      <c r="AQ934" t="s">
        <v>107</v>
      </c>
      <c r="AR934" t="s">
        <v>6638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C934" t="s">
        <v>69</v>
      </c>
      <c r="BD934" t="s">
        <v>3562</v>
      </c>
      <c r="BE934">
        <v>0</v>
      </c>
      <c r="BG934" t="s">
        <v>107</v>
      </c>
      <c r="BJ934" t="s">
        <v>3563</v>
      </c>
    </row>
    <row r="935" spans="1:62" x14ac:dyDescent="0.35">
      <c r="A935" t="s">
        <v>3564</v>
      </c>
      <c r="B935">
        <v>10000</v>
      </c>
      <c r="C935">
        <v>10000</v>
      </c>
      <c r="D935" s="2">
        <v>45730</v>
      </c>
      <c r="E935" t="s">
        <v>61</v>
      </c>
      <c r="F935" t="s">
        <v>3123</v>
      </c>
      <c r="G935" t="s">
        <v>3487</v>
      </c>
      <c r="I935">
        <v>1</v>
      </c>
      <c r="J935" t="s">
        <v>63</v>
      </c>
      <c r="K935" s="8">
        <v>31</v>
      </c>
      <c r="L935" s="8" t="s">
        <v>6595</v>
      </c>
      <c r="M935" s="8" t="s">
        <v>6629</v>
      </c>
      <c r="N935" t="s">
        <v>1311</v>
      </c>
      <c r="O935" t="s">
        <v>6491</v>
      </c>
      <c r="P935">
        <v>500</v>
      </c>
      <c r="Q935">
        <f>(P935/40)+45</f>
        <v>57.5</v>
      </c>
      <c r="R935">
        <f>Q935/60</f>
        <v>0.95833333333333337</v>
      </c>
      <c r="S935" s="2">
        <v>45730</v>
      </c>
      <c r="U935">
        <v>1</v>
      </c>
      <c r="V935">
        <v>500</v>
      </c>
      <c r="W935" t="s">
        <v>65</v>
      </c>
      <c r="X935" t="s">
        <v>1324</v>
      </c>
      <c r="Y935">
        <v>0</v>
      </c>
      <c r="Z935">
        <v>500</v>
      </c>
      <c r="AA935">
        <v>0</v>
      </c>
      <c r="AB935">
        <v>0</v>
      </c>
      <c r="AC935">
        <v>0</v>
      </c>
      <c r="AD935">
        <v>0</v>
      </c>
      <c r="AG935">
        <v>0</v>
      </c>
      <c r="AP935" t="s">
        <v>1325</v>
      </c>
      <c r="AQ935" t="s">
        <v>1314</v>
      </c>
      <c r="AR935" t="s">
        <v>6677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BC935" t="s">
        <v>69</v>
      </c>
      <c r="BD935" t="s">
        <v>3565</v>
      </c>
      <c r="BE935">
        <v>0</v>
      </c>
      <c r="BG935" t="s">
        <v>1314</v>
      </c>
      <c r="BJ935" t="s">
        <v>3566</v>
      </c>
    </row>
    <row r="936" spans="1:62" x14ac:dyDescent="0.35">
      <c r="A936" t="s">
        <v>3345</v>
      </c>
      <c r="B936">
        <v>10000</v>
      </c>
      <c r="C936">
        <v>20000</v>
      </c>
      <c r="D936" s="2">
        <v>45730</v>
      </c>
      <c r="E936" t="s">
        <v>61</v>
      </c>
      <c r="F936" t="s">
        <v>3346</v>
      </c>
      <c r="G936" t="s">
        <v>559</v>
      </c>
      <c r="I936">
        <v>2</v>
      </c>
      <c r="J936" t="s">
        <v>63</v>
      </c>
      <c r="K936" s="8">
        <v>71</v>
      </c>
      <c r="L936" s="8" t="s">
        <v>6588</v>
      </c>
      <c r="M936" s="8" t="s">
        <v>6630</v>
      </c>
      <c r="N936" t="s">
        <v>135</v>
      </c>
      <c r="O936" t="s">
        <v>6573</v>
      </c>
      <c r="P936" s="4">
        <v>5000</v>
      </c>
      <c r="S936" s="2">
        <v>45730</v>
      </c>
      <c r="U936">
        <v>2</v>
      </c>
      <c r="V936" s="4">
        <v>10000</v>
      </c>
      <c r="W936" t="s">
        <v>65</v>
      </c>
      <c r="X936" t="s">
        <v>3347</v>
      </c>
      <c r="Y936">
        <v>0</v>
      </c>
      <c r="Z936" s="4">
        <v>10000</v>
      </c>
      <c r="AA936">
        <v>0</v>
      </c>
      <c r="AB936">
        <v>0</v>
      </c>
      <c r="AC936">
        <v>0</v>
      </c>
      <c r="AD936">
        <v>0</v>
      </c>
      <c r="AG936">
        <v>0</v>
      </c>
      <c r="AP936" t="s">
        <v>3348</v>
      </c>
      <c r="AQ936" t="s">
        <v>562</v>
      </c>
      <c r="AR936" t="s">
        <v>6670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BC936" t="s">
        <v>69</v>
      </c>
      <c r="BD936" t="s">
        <v>3349</v>
      </c>
      <c r="BE936">
        <v>0</v>
      </c>
      <c r="BG936" t="s">
        <v>562</v>
      </c>
      <c r="BJ936" t="s">
        <v>3350</v>
      </c>
    </row>
    <row r="937" spans="1:62" x14ac:dyDescent="0.35">
      <c r="A937" t="s">
        <v>3567</v>
      </c>
      <c r="B937">
        <v>10000</v>
      </c>
      <c r="C937">
        <v>10000</v>
      </c>
      <c r="D937" s="2">
        <v>45733</v>
      </c>
      <c r="E937" t="s">
        <v>61</v>
      </c>
      <c r="F937" t="s">
        <v>2707</v>
      </c>
      <c r="G937" t="s">
        <v>3568</v>
      </c>
      <c r="I937">
        <v>1</v>
      </c>
      <c r="J937" t="s">
        <v>63</v>
      </c>
      <c r="K937" s="8">
        <v>75</v>
      </c>
      <c r="L937" s="8" t="s">
        <v>6602</v>
      </c>
      <c r="M937" s="8" t="s">
        <v>6630</v>
      </c>
      <c r="N937" t="s">
        <v>459</v>
      </c>
      <c r="O937" t="s">
        <v>6568</v>
      </c>
      <c r="P937">
        <v>308</v>
      </c>
      <c r="Q937">
        <f>(P937/20)+45</f>
        <v>60.4</v>
      </c>
      <c r="R937">
        <f>Q937/60</f>
        <v>1.0066666666666666</v>
      </c>
      <c r="S937" s="2">
        <v>45730</v>
      </c>
      <c r="U937">
        <v>13</v>
      </c>
      <c r="V937" s="4">
        <v>4004</v>
      </c>
      <c r="W937" t="s">
        <v>65</v>
      </c>
      <c r="X937" t="s">
        <v>3569</v>
      </c>
      <c r="Y937">
        <v>0</v>
      </c>
      <c r="Z937" s="4">
        <v>4000</v>
      </c>
      <c r="AA937">
        <v>4</v>
      </c>
      <c r="AB937">
        <v>0</v>
      </c>
      <c r="AC937">
        <v>0</v>
      </c>
      <c r="AD937">
        <v>0</v>
      </c>
      <c r="AG937">
        <v>0</v>
      </c>
      <c r="AP937" t="s">
        <v>3570</v>
      </c>
      <c r="AQ937" t="s">
        <v>175</v>
      </c>
      <c r="AR937" t="s">
        <v>6642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C937" t="s">
        <v>69</v>
      </c>
      <c r="BD937" t="s">
        <v>3571</v>
      </c>
      <c r="BE937">
        <v>0</v>
      </c>
      <c r="BG937" t="s">
        <v>175</v>
      </c>
      <c r="BJ937" t="s">
        <v>3572</v>
      </c>
    </row>
    <row r="938" spans="1:62" x14ac:dyDescent="0.35">
      <c r="A938" t="s">
        <v>3573</v>
      </c>
      <c r="B938">
        <v>10000</v>
      </c>
      <c r="C938">
        <v>10000</v>
      </c>
      <c r="D938" s="2">
        <v>45734</v>
      </c>
      <c r="E938" t="s">
        <v>61</v>
      </c>
      <c r="F938" t="s">
        <v>3574</v>
      </c>
      <c r="G938" t="s">
        <v>134</v>
      </c>
      <c r="I938">
        <v>1</v>
      </c>
      <c r="J938" t="s">
        <v>63</v>
      </c>
      <c r="K938" s="8">
        <v>72</v>
      </c>
      <c r="L938" s="8" t="s">
        <v>6606</v>
      </c>
      <c r="M938" s="8" t="s">
        <v>6631</v>
      </c>
      <c r="N938" t="s">
        <v>163</v>
      </c>
      <c r="O938" t="s">
        <v>6548</v>
      </c>
      <c r="P938" s="4">
        <v>1750</v>
      </c>
      <c r="S938" s="2">
        <v>45730</v>
      </c>
      <c r="U938">
        <v>4</v>
      </c>
      <c r="V938" s="4">
        <v>7000</v>
      </c>
      <c r="W938" t="s">
        <v>65</v>
      </c>
      <c r="X938">
        <v>83614970001</v>
      </c>
      <c r="Y938">
        <v>0</v>
      </c>
      <c r="Z938" s="4">
        <v>5000</v>
      </c>
      <c r="AA938" s="4">
        <v>2000</v>
      </c>
      <c r="AB938">
        <v>0</v>
      </c>
      <c r="AC938">
        <v>0</v>
      </c>
      <c r="AD938">
        <v>0</v>
      </c>
      <c r="AG938">
        <v>0</v>
      </c>
      <c r="AP938">
        <v>8361497</v>
      </c>
      <c r="AQ938" t="s">
        <v>91</v>
      </c>
      <c r="AR938" t="s">
        <v>6637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C938" t="s">
        <v>69</v>
      </c>
      <c r="BD938" t="s">
        <v>3575</v>
      </c>
      <c r="BE938">
        <v>0</v>
      </c>
      <c r="BG938" t="s">
        <v>91</v>
      </c>
      <c r="BJ938" t="s">
        <v>3576</v>
      </c>
    </row>
    <row r="939" spans="1:62" x14ac:dyDescent="0.35">
      <c r="A939" t="s">
        <v>3577</v>
      </c>
      <c r="B939">
        <v>10000</v>
      </c>
      <c r="C939">
        <v>10000</v>
      </c>
      <c r="D939" s="2">
        <v>45734</v>
      </c>
      <c r="E939" t="s">
        <v>61</v>
      </c>
      <c r="F939" t="s">
        <v>3578</v>
      </c>
      <c r="G939" t="s">
        <v>134</v>
      </c>
      <c r="I939">
        <v>1</v>
      </c>
      <c r="J939" t="s">
        <v>63</v>
      </c>
      <c r="K939" s="8">
        <v>72</v>
      </c>
      <c r="L939" s="8" t="s">
        <v>6606</v>
      </c>
      <c r="M939" s="8" t="s">
        <v>6631</v>
      </c>
      <c r="N939" t="s">
        <v>163</v>
      </c>
      <c r="O939" t="s">
        <v>6548</v>
      </c>
      <c r="P939" s="4">
        <v>1750</v>
      </c>
      <c r="S939" s="2">
        <v>45730</v>
      </c>
      <c r="U939">
        <v>4</v>
      </c>
      <c r="V939" s="4">
        <v>7000</v>
      </c>
      <c r="W939" t="s">
        <v>65</v>
      </c>
      <c r="X939">
        <v>83615030001</v>
      </c>
      <c r="Y939">
        <v>0</v>
      </c>
      <c r="Z939" s="4">
        <v>5000</v>
      </c>
      <c r="AA939" s="4">
        <v>2000</v>
      </c>
      <c r="AB939">
        <v>0</v>
      </c>
      <c r="AC939">
        <v>0</v>
      </c>
      <c r="AD939">
        <v>0</v>
      </c>
      <c r="AG939">
        <v>0</v>
      </c>
      <c r="AP939">
        <v>8361503</v>
      </c>
      <c r="AQ939" t="s">
        <v>91</v>
      </c>
      <c r="AR939" t="s">
        <v>6637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C939" t="s">
        <v>69</v>
      </c>
      <c r="BD939" t="s">
        <v>3579</v>
      </c>
      <c r="BE939">
        <v>0</v>
      </c>
      <c r="BG939" t="s">
        <v>91</v>
      </c>
      <c r="BJ939" t="s">
        <v>3576</v>
      </c>
    </row>
    <row r="940" spans="1:62" x14ac:dyDescent="0.35">
      <c r="A940" t="s">
        <v>3580</v>
      </c>
      <c r="B940">
        <v>10000</v>
      </c>
      <c r="C940">
        <v>10000</v>
      </c>
      <c r="D940" s="2">
        <v>45734</v>
      </c>
      <c r="E940" t="s">
        <v>61</v>
      </c>
      <c r="F940" t="s">
        <v>3581</v>
      </c>
      <c r="G940" t="s">
        <v>134</v>
      </c>
      <c r="I940">
        <v>1</v>
      </c>
      <c r="J940" t="s">
        <v>63</v>
      </c>
      <c r="K940" s="8">
        <v>72</v>
      </c>
      <c r="L940" s="8" t="s">
        <v>6606</v>
      </c>
      <c r="M940" s="8" t="s">
        <v>6631</v>
      </c>
      <c r="N940" t="s">
        <v>163</v>
      </c>
      <c r="O940" t="s">
        <v>6548</v>
      </c>
      <c r="P940" s="4">
        <v>1750</v>
      </c>
      <c r="S940" s="2">
        <v>45730</v>
      </c>
      <c r="U940">
        <v>4</v>
      </c>
      <c r="V940" s="4">
        <v>7000</v>
      </c>
      <c r="W940" t="s">
        <v>65</v>
      </c>
      <c r="X940">
        <v>83615120001</v>
      </c>
      <c r="Y940">
        <v>0</v>
      </c>
      <c r="Z940" s="4">
        <v>5000</v>
      </c>
      <c r="AA940" s="4">
        <v>2000</v>
      </c>
      <c r="AB940">
        <v>0</v>
      </c>
      <c r="AC940">
        <v>0</v>
      </c>
      <c r="AD940">
        <v>0</v>
      </c>
      <c r="AG940">
        <v>0</v>
      </c>
      <c r="AP940">
        <v>8361512</v>
      </c>
      <c r="AQ940" t="s">
        <v>91</v>
      </c>
      <c r="AR940" t="s">
        <v>6637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C940" t="s">
        <v>69</v>
      </c>
      <c r="BD940" t="s">
        <v>3582</v>
      </c>
      <c r="BE940">
        <v>0</v>
      </c>
      <c r="BG940" t="s">
        <v>91</v>
      </c>
      <c r="BJ940" t="s">
        <v>3576</v>
      </c>
    </row>
    <row r="941" spans="1:62" x14ac:dyDescent="0.35">
      <c r="A941" t="s">
        <v>3583</v>
      </c>
      <c r="B941">
        <v>10000</v>
      </c>
      <c r="C941">
        <v>10000</v>
      </c>
      <c r="D941" s="2">
        <v>45734</v>
      </c>
      <c r="E941" t="s">
        <v>61</v>
      </c>
      <c r="F941" t="s">
        <v>3584</v>
      </c>
      <c r="G941" t="s">
        <v>134</v>
      </c>
      <c r="I941">
        <v>1</v>
      </c>
      <c r="J941" t="s">
        <v>63</v>
      </c>
      <c r="K941" s="8">
        <v>72</v>
      </c>
      <c r="L941" s="8" t="s">
        <v>6606</v>
      </c>
      <c r="M941" s="8" t="s">
        <v>6631</v>
      </c>
      <c r="N941" t="s">
        <v>163</v>
      </c>
      <c r="O941" t="s">
        <v>6548</v>
      </c>
      <c r="P941" s="4">
        <v>1750</v>
      </c>
      <c r="S941" s="2">
        <v>45730</v>
      </c>
      <c r="U941">
        <v>4</v>
      </c>
      <c r="V941" s="4">
        <v>7000</v>
      </c>
      <c r="W941" t="s">
        <v>65</v>
      </c>
      <c r="X941">
        <v>5000514780001</v>
      </c>
      <c r="Y941">
        <v>0</v>
      </c>
      <c r="Z941" s="4">
        <v>5000</v>
      </c>
      <c r="AA941" s="4">
        <v>2000</v>
      </c>
      <c r="AB941">
        <v>0</v>
      </c>
      <c r="AC941">
        <v>0</v>
      </c>
      <c r="AD941">
        <v>0</v>
      </c>
      <c r="AG941">
        <v>0</v>
      </c>
      <c r="AP941">
        <v>500051478</v>
      </c>
      <c r="AQ941" t="s">
        <v>91</v>
      </c>
      <c r="AR941" t="s">
        <v>6637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C941" t="s">
        <v>69</v>
      </c>
      <c r="BD941" t="s">
        <v>3585</v>
      </c>
      <c r="BE941">
        <v>0</v>
      </c>
      <c r="BG941" t="s">
        <v>91</v>
      </c>
      <c r="BJ941" t="s">
        <v>3576</v>
      </c>
    </row>
    <row r="942" spans="1:62" x14ac:dyDescent="0.35">
      <c r="A942" t="s">
        <v>3586</v>
      </c>
      <c r="B942">
        <v>10000</v>
      </c>
      <c r="C942">
        <v>10000</v>
      </c>
      <c r="D942" s="2">
        <v>45734</v>
      </c>
      <c r="E942" t="s">
        <v>61</v>
      </c>
      <c r="F942" t="s">
        <v>3587</v>
      </c>
      <c r="G942" t="s">
        <v>134</v>
      </c>
      <c r="I942">
        <v>1</v>
      </c>
      <c r="J942" t="s">
        <v>63</v>
      </c>
      <c r="K942" s="8">
        <v>72</v>
      </c>
      <c r="L942" s="8" t="s">
        <v>6606</v>
      </c>
      <c r="M942" s="8" t="s">
        <v>6631</v>
      </c>
      <c r="N942" t="s">
        <v>163</v>
      </c>
      <c r="O942" t="s">
        <v>6548</v>
      </c>
      <c r="P942" s="4">
        <v>2750</v>
      </c>
      <c r="S942" s="2">
        <v>45730</v>
      </c>
      <c r="U942">
        <v>4</v>
      </c>
      <c r="V942" s="4">
        <v>11000</v>
      </c>
      <c r="W942" t="s">
        <v>65</v>
      </c>
      <c r="X942">
        <v>83615120001</v>
      </c>
      <c r="Y942">
        <v>0</v>
      </c>
      <c r="Z942" s="4">
        <v>10000</v>
      </c>
      <c r="AA942" s="4">
        <v>1000</v>
      </c>
      <c r="AB942">
        <v>0</v>
      </c>
      <c r="AC942">
        <v>0</v>
      </c>
      <c r="AD942">
        <v>0</v>
      </c>
      <c r="AG942">
        <v>0</v>
      </c>
      <c r="AP942">
        <v>8361512</v>
      </c>
      <c r="AQ942" t="s">
        <v>91</v>
      </c>
      <c r="AR942" t="s">
        <v>6637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BC942" t="s">
        <v>69</v>
      </c>
      <c r="BD942" t="s">
        <v>3588</v>
      </c>
      <c r="BE942">
        <v>0</v>
      </c>
      <c r="BG942" t="s">
        <v>91</v>
      </c>
      <c r="BJ942" t="s">
        <v>3589</v>
      </c>
    </row>
    <row r="943" spans="1:62" x14ac:dyDescent="0.35">
      <c r="A943" t="s">
        <v>3590</v>
      </c>
      <c r="B943">
        <v>10000</v>
      </c>
      <c r="C943">
        <v>10000</v>
      </c>
      <c r="D943" s="2">
        <v>45735</v>
      </c>
      <c r="E943" t="s">
        <v>61</v>
      </c>
      <c r="F943" t="s">
        <v>3591</v>
      </c>
      <c r="G943" t="s">
        <v>134</v>
      </c>
      <c r="I943">
        <v>1</v>
      </c>
      <c r="J943" t="s">
        <v>63</v>
      </c>
      <c r="K943" s="8">
        <v>72</v>
      </c>
      <c r="L943" s="8" t="s">
        <v>6606</v>
      </c>
      <c r="M943" s="8" t="s">
        <v>6631</v>
      </c>
      <c r="N943" t="s">
        <v>163</v>
      </c>
      <c r="O943" t="s">
        <v>6548</v>
      </c>
      <c r="P943" s="4">
        <v>1750</v>
      </c>
      <c r="S943" s="2">
        <v>45730</v>
      </c>
      <c r="U943">
        <v>4</v>
      </c>
      <c r="V943" s="4">
        <v>7000</v>
      </c>
      <c r="W943" t="s">
        <v>65</v>
      </c>
      <c r="X943">
        <v>5000514710001</v>
      </c>
      <c r="Y943">
        <v>0</v>
      </c>
      <c r="Z943" s="4">
        <v>5000</v>
      </c>
      <c r="AA943" s="4">
        <v>2000</v>
      </c>
      <c r="AB943">
        <v>0</v>
      </c>
      <c r="AC943">
        <v>0</v>
      </c>
      <c r="AD943">
        <v>0</v>
      </c>
      <c r="AG943">
        <v>0</v>
      </c>
      <c r="AP943">
        <v>500051471</v>
      </c>
      <c r="AQ943" t="s">
        <v>91</v>
      </c>
      <c r="AR943" t="s">
        <v>6637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BC943" t="s">
        <v>69</v>
      </c>
      <c r="BD943" t="s">
        <v>3592</v>
      </c>
      <c r="BE943">
        <v>0</v>
      </c>
      <c r="BG943" t="s">
        <v>91</v>
      </c>
      <c r="BJ943" t="s">
        <v>3593</v>
      </c>
    </row>
    <row r="944" spans="1:62" x14ac:dyDescent="0.35">
      <c r="A944" t="s">
        <v>3594</v>
      </c>
      <c r="B944">
        <v>10000</v>
      </c>
      <c r="C944">
        <v>10000</v>
      </c>
      <c r="D944" s="2">
        <v>45730</v>
      </c>
      <c r="E944" t="s">
        <v>61</v>
      </c>
      <c r="F944" s="3">
        <v>0.53350694444444446</v>
      </c>
      <c r="G944" t="s">
        <v>3595</v>
      </c>
      <c r="I944">
        <v>1</v>
      </c>
      <c r="J944" t="s">
        <v>63</v>
      </c>
      <c r="K944" s="8">
        <v>29</v>
      </c>
      <c r="L944" s="8" t="s">
        <v>6595</v>
      </c>
      <c r="M944" s="8" t="s">
        <v>6629</v>
      </c>
      <c r="N944" t="s">
        <v>249</v>
      </c>
      <c r="O944" t="s">
        <v>6500</v>
      </c>
      <c r="P944" s="4">
        <v>1500</v>
      </c>
      <c r="Q944">
        <f t="shared" ref="Q944:Q946" si="244">(P944/40)+45</f>
        <v>82.5</v>
      </c>
      <c r="R944">
        <f t="shared" ref="R944:R946" si="245">Q944/60</f>
        <v>1.375</v>
      </c>
      <c r="S944" s="2">
        <v>45730</v>
      </c>
      <c r="U944">
        <v>2</v>
      </c>
      <c r="V944" s="4">
        <v>3000</v>
      </c>
      <c r="W944" t="s">
        <v>65</v>
      </c>
      <c r="X944" t="s">
        <v>3596</v>
      </c>
      <c r="Y944">
        <v>0</v>
      </c>
      <c r="Z944" s="4">
        <v>3000</v>
      </c>
      <c r="AA944">
        <v>0</v>
      </c>
      <c r="AB944">
        <v>0</v>
      </c>
      <c r="AC944">
        <v>0</v>
      </c>
      <c r="AD944">
        <v>0</v>
      </c>
      <c r="AG944">
        <v>0</v>
      </c>
      <c r="AP944" t="s">
        <v>3597</v>
      </c>
      <c r="AQ944" t="s">
        <v>157</v>
      </c>
      <c r="AR944" t="s">
        <v>6640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C944" t="s">
        <v>69</v>
      </c>
      <c r="BD944" t="s">
        <v>3598</v>
      </c>
      <c r="BE944">
        <v>0</v>
      </c>
      <c r="BG944" t="s">
        <v>157</v>
      </c>
      <c r="BJ944" t="s">
        <v>3599</v>
      </c>
    </row>
    <row r="945" spans="1:62" x14ac:dyDescent="0.35">
      <c r="A945" t="s">
        <v>3600</v>
      </c>
      <c r="B945">
        <v>10000</v>
      </c>
      <c r="C945">
        <v>10000</v>
      </c>
      <c r="D945" s="2">
        <v>45733</v>
      </c>
      <c r="E945" t="s">
        <v>61</v>
      </c>
      <c r="F945" t="s">
        <v>2326</v>
      </c>
      <c r="G945" t="s">
        <v>2289</v>
      </c>
      <c r="I945">
        <v>1</v>
      </c>
      <c r="J945" t="s">
        <v>63</v>
      </c>
      <c r="K945" s="8">
        <v>78</v>
      </c>
      <c r="L945" s="8" t="s">
        <v>6593</v>
      </c>
      <c r="M945" s="8" t="s">
        <v>6629</v>
      </c>
      <c r="N945" t="s">
        <v>188</v>
      </c>
      <c r="O945" t="s">
        <v>6410</v>
      </c>
      <c r="P945" s="4">
        <v>2750</v>
      </c>
      <c r="Q945">
        <f t="shared" si="244"/>
        <v>113.75</v>
      </c>
      <c r="R945">
        <f t="shared" si="245"/>
        <v>1.8958333333333333</v>
      </c>
      <c r="S945" s="2">
        <v>45730</v>
      </c>
      <c r="U945">
        <v>16</v>
      </c>
      <c r="V945" s="4">
        <v>44000</v>
      </c>
      <c r="W945" t="s">
        <v>65</v>
      </c>
      <c r="X945" t="s">
        <v>1734</v>
      </c>
      <c r="Y945">
        <v>0</v>
      </c>
      <c r="Z945" s="4">
        <v>40000</v>
      </c>
      <c r="AA945" s="4">
        <v>4000</v>
      </c>
      <c r="AB945">
        <v>0</v>
      </c>
      <c r="AC945">
        <v>0</v>
      </c>
      <c r="AD945">
        <v>0</v>
      </c>
      <c r="AG945">
        <v>0</v>
      </c>
      <c r="AP945" t="s">
        <v>1735</v>
      </c>
      <c r="AQ945" t="s">
        <v>175</v>
      </c>
      <c r="AR945" t="s">
        <v>6642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BC945" t="s">
        <v>69</v>
      </c>
      <c r="BD945" t="s">
        <v>3601</v>
      </c>
      <c r="BE945">
        <v>0</v>
      </c>
      <c r="BG945" t="s">
        <v>175</v>
      </c>
      <c r="BJ945" t="s">
        <v>3602</v>
      </c>
    </row>
    <row r="946" spans="1:62" x14ac:dyDescent="0.35">
      <c r="A946" t="s">
        <v>3600</v>
      </c>
      <c r="B946">
        <v>10000</v>
      </c>
      <c r="C946">
        <v>20000</v>
      </c>
      <c r="D946" s="2">
        <v>45733</v>
      </c>
      <c r="E946" t="s">
        <v>61</v>
      </c>
      <c r="F946" t="s">
        <v>2326</v>
      </c>
      <c r="G946" t="s">
        <v>2289</v>
      </c>
      <c r="I946">
        <v>2</v>
      </c>
      <c r="J946" t="s">
        <v>63</v>
      </c>
      <c r="K946" s="8">
        <v>63</v>
      </c>
      <c r="L946" s="8" t="s">
        <v>6605</v>
      </c>
      <c r="M946" s="8" t="s">
        <v>6630</v>
      </c>
      <c r="N946" t="s">
        <v>519</v>
      </c>
      <c r="O946" t="s">
        <v>6569</v>
      </c>
      <c r="P946" s="4">
        <v>2500</v>
      </c>
      <c r="Q946">
        <f t="shared" si="244"/>
        <v>107.5</v>
      </c>
      <c r="R946">
        <f t="shared" si="245"/>
        <v>1.7916666666666667</v>
      </c>
      <c r="S946" s="2">
        <v>45730</v>
      </c>
      <c r="U946">
        <v>16</v>
      </c>
      <c r="V946" s="4">
        <v>40000</v>
      </c>
      <c r="W946" t="s">
        <v>65</v>
      </c>
      <c r="X946" t="s">
        <v>1734</v>
      </c>
      <c r="Y946">
        <v>0</v>
      </c>
      <c r="Z946" s="4">
        <v>40000</v>
      </c>
      <c r="AA946">
        <v>0</v>
      </c>
      <c r="AB946">
        <v>0</v>
      </c>
      <c r="AC946">
        <v>0</v>
      </c>
      <c r="AD946">
        <v>0</v>
      </c>
      <c r="AG946">
        <v>0</v>
      </c>
      <c r="AP946" t="s">
        <v>1735</v>
      </c>
      <c r="AQ946" t="s">
        <v>175</v>
      </c>
      <c r="AR946" t="s">
        <v>6642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C946" t="s">
        <v>69</v>
      </c>
      <c r="BD946" t="s">
        <v>3601</v>
      </c>
      <c r="BE946">
        <v>0</v>
      </c>
      <c r="BG946" t="s">
        <v>175</v>
      </c>
      <c r="BJ946" t="s">
        <v>3602</v>
      </c>
    </row>
    <row r="947" spans="1:62" x14ac:dyDescent="0.35">
      <c r="A947" t="s">
        <v>3603</v>
      </c>
      <c r="B947">
        <v>10000</v>
      </c>
      <c r="C947">
        <v>10000</v>
      </c>
      <c r="D947" s="2">
        <v>45734</v>
      </c>
      <c r="E947" t="s">
        <v>61</v>
      </c>
      <c r="F947" t="s">
        <v>3604</v>
      </c>
      <c r="G947" t="s">
        <v>1293</v>
      </c>
      <c r="I947">
        <v>1</v>
      </c>
      <c r="J947" t="s">
        <v>63</v>
      </c>
      <c r="K947" s="8">
        <v>72</v>
      </c>
      <c r="L947" s="8" t="s">
        <v>6606</v>
      </c>
      <c r="M947" s="8" t="s">
        <v>6631</v>
      </c>
      <c r="N947" t="s">
        <v>163</v>
      </c>
      <c r="O947" t="s">
        <v>6548</v>
      </c>
      <c r="P947" s="4">
        <v>4000</v>
      </c>
      <c r="S947" s="2">
        <v>45730</v>
      </c>
      <c r="U947">
        <v>4</v>
      </c>
      <c r="V947" s="4">
        <v>16000</v>
      </c>
      <c r="W947" t="s">
        <v>65</v>
      </c>
      <c r="X947">
        <v>566860001</v>
      </c>
      <c r="Y947">
        <v>0</v>
      </c>
      <c r="Z947" s="4">
        <v>10000</v>
      </c>
      <c r="AA947" s="4">
        <v>6000</v>
      </c>
      <c r="AB947">
        <v>0</v>
      </c>
      <c r="AC947">
        <v>0</v>
      </c>
      <c r="AD947">
        <v>0</v>
      </c>
      <c r="AG947">
        <v>0</v>
      </c>
      <c r="AP947">
        <v>56686</v>
      </c>
      <c r="AQ947" t="s">
        <v>3605</v>
      </c>
      <c r="AR947" t="s">
        <v>6723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BC947" t="s">
        <v>69</v>
      </c>
      <c r="BD947" t="s">
        <v>3606</v>
      </c>
      <c r="BE947">
        <v>0</v>
      </c>
      <c r="BG947" t="s">
        <v>3605</v>
      </c>
      <c r="BJ947" t="s">
        <v>3607</v>
      </c>
    </row>
    <row r="948" spans="1:62" x14ac:dyDescent="0.35">
      <c r="A948" t="s">
        <v>3608</v>
      </c>
      <c r="B948">
        <v>10000</v>
      </c>
      <c r="C948">
        <v>10000</v>
      </c>
      <c r="D948" s="2">
        <v>45730</v>
      </c>
      <c r="E948" t="s">
        <v>61</v>
      </c>
      <c r="F948" s="3">
        <v>0.53472222222222221</v>
      </c>
      <c r="G948" t="s">
        <v>3609</v>
      </c>
      <c r="I948">
        <v>1</v>
      </c>
      <c r="J948" t="s">
        <v>63</v>
      </c>
      <c r="K948" s="8">
        <v>65</v>
      </c>
      <c r="L948" s="8" t="s">
        <v>6596</v>
      </c>
      <c r="M948" s="8" t="s">
        <v>6630</v>
      </c>
      <c r="N948" t="s">
        <v>268</v>
      </c>
      <c r="O948" t="s">
        <v>6543</v>
      </c>
      <c r="P948" s="4">
        <v>1112</v>
      </c>
      <c r="Q948">
        <f>(P948/40)+45</f>
        <v>72.8</v>
      </c>
      <c r="R948">
        <f>Q948/60</f>
        <v>1.2133333333333334</v>
      </c>
      <c r="S948" s="2">
        <v>45730</v>
      </c>
      <c r="U948">
        <v>45</v>
      </c>
      <c r="V948" s="4">
        <v>50040</v>
      </c>
      <c r="W948" t="s">
        <v>65</v>
      </c>
      <c r="X948" t="s">
        <v>3610</v>
      </c>
      <c r="Y948">
        <v>0</v>
      </c>
      <c r="Z948" s="4">
        <v>50000</v>
      </c>
      <c r="AA948">
        <v>40</v>
      </c>
      <c r="AB948">
        <v>0</v>
      </c>
      <c r="AC948">
        <v>0</v>
      </c>
      <c r="AD948">
        <v>0</v>
      </c>
      <c r="AG948">
        <v>0</v>
      </c>
      <c r="AP948" t="s">
        <v>3611</v>
      </c>
      <c r="AQ948" t="s">
        <v>107</v>
      </c>
      <c r="AR948" t="s">
        <v>6638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BC948" t="s">
        <v>69</v>
      </c>
      <c r="BD948" t="s">
        <v>3612</v>
      </c>
      <c r="BE948">
        <v>0</v>
      </c>
      <c r="BG948" t="s">
        <v>107</v>
      </c>
      <c r="BJ948" t="s">
        <v>3613</v>
      </c>
    </row>
    <row r="949" spans="1:62" x14ac:dyDescent="0.35">
      <c r="A949" t="s">
        <v>3614</v>
      </c>
      <c r="B949">
        <v>10000</v>
      </c>
      <c r="C949">
        <v>10000</v>
      </c>
      <c r="D949" s="2">
        <v>45733</v>
      </c>
      <c r="E949" t="s">
        <v>61</v>
      </c>
      <c r="F949" t="s">
        <v>3364</v>
      </c>
      <c r="G949" t="s">
        <v>2271</v>
      </c>
      <c r="I949">
        <v>1</v>
      </c>
      <c r="J949" t="s">
        <v>63</v>
      </c>
      <c r="K949" s="8">
        <v>94</v>
      </c>
      <c r="L949" s="8" t="s">
        <v>6599</v>
      </c>
      <c r="M949" s="8" t="s">
        <v>6629</v>
      </c>
      <c r="N949" t="s">
        <v>181</v>
      </c>
      <c r="O949" t="s">
        <v>6544</v>
      </c>
      <c r="P949">
        <v>250</v>
      </c>
      <c r="S949" s="2">
        <v>45730</v>
      </c>
      <c r="U949">
        <v>4</v>
      </c>
      <c r="V949" s="4">
        <v>1000</v>
      </c>
      <c r="W949" t="s">
        <v>65</v>
      </c>
      <c r="X949" t="s">
        <v>3135</v>
      </c>
      <c r="Y949">
        <v>0</v>
      </c>
      <c r="Z949" s="4">
        <v>1000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3136</v>
      </c>
      <c r="AQ949" t="s">
        <v>3615</v>
      </c>
      <c r="AR949" t="s">
        <v>6724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BC949" t="s">
        <v>69</v>
      </c>
      <c r="BD949" t="s">
        <v>3616</v>
      </c>
      <c r="BE949">
        <v>0</v>
      </c>
      <c r="BG949" t="s">
        <v>3615</v>
      </c>
      <c r="BJ949" t="s">
        <v>3617</v>
      </c>
    </row>
    <row r="950" spans="1:62" x14ac:dyDescent="0.35">
      <c r="A950" t="s">
        <v>3618</v>
      </c>
      <c r="B950">
        <v>10000</v>
      </c>
      <c r="C950">
        <v>10000</v>
      </c>
      <c r="D950" s="2">
        <v>45735</v>
      </c>
      <c r="E950" t="s">
        <v>61</v>
      </c>
      <c r="F950" t="s">
        <v>3619</v>
      </c>
      <c r="G950">
        <v>10639931025</v>
      </c>
      <c r="I950">
        <v>1</v>
      </c>
      <c r="J950" t="s">
        <v>63</v>
      </c>
      <c r="K950" s="8">
        <v>79</v>
      </c>
      <c r="L950" s="8" t="s">
        <v>6608</v>
      </c>
      <c r="M950" s="8" t="s">
        <v>6631</v>
      </c>
      <c r="N950" t="s">
        <v>573</v>
      </c>
      <c r="O950" t="s">
        <v>6547</v>
      </c>
      <c r="P950">
        <v>246</v>
      </c>
      <c r="Q950">
        <f>(P950/20)+30</f>
        <v>42.3</v>
      </c>
      <c r="R950">
        <f>Q950/60</f>
        <v>0.70499999999999996</v>
      </c>
      <c r="S950" s="2">
        <v>45730</v>
      </c>
      <c r="U950">
        <v>102</v>
      </c>
      <c r="V950" s="4">
        <v>25092</v>
      </c>
      <c r="W950" t="s">
        <v>65</v>
      </c>
      <c r="X950" t="s">
        <v>3620</v>
      </c>
      <c r="Y950">
        <v>0</v>
      </c>
      <c r="Z950" s="4">
        <v>15000</v>
      </c>
      <c r="AA950" s="4">
        <v>10092</v>
      </c>
      <c r="AB950">
        <v>0</v>
      </c>
      <c r="AC950">
        <v>0</v>
      </c>
      <c r="AD950">
        <v>0</v>
      </c>
      <c r="AG950">
        <v>0</v>
      </c>
      <c r="AP950" t="s">
        <v>3621</v>
      </c>
      <c r="AQ950" t="s">
        <v>68</v>
      </c>
      <c r="AR950" t="s">
        <v>6636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C950" t="s">
        <v>69</v>
      </c>
      <c r="BD950" t="s">
        <v>3622</v>
      </c>
      <c r="BE950">
        <v>0</v>
      </c>
      <c r="BG950" t="s">
        <v>68</v>
      </c>
      <c r="BJ950" t="s">
        <v>3623</v>
      </c>
    </row>
    <row r="951" spans="1:62" x14ac:dyDescent="0.35">
      <c r="A951" t="s">
        <v>3102</v>
      </c>
      <c r="B951">
        <v>10000</v>
      </c>
      <c r="C951">
        <v>60000</v>
      </c>
      <c r="D951" s="2">
        <v>45733</v>
      </c>
      <c r="E951" t="s">
        <v>61</v>
      </c>
      <c r="F951" t="s">
        <v>1180</v>
      </c>
      <c r="G951" t="s">
        <v>3103</v>
      </c>
      <c r="I951">
        <v>3</v>
      </c>
      <c r="J951" t="s">
        <v>63</v>
      </c>
      <c r="K951" s="8">
        <v>91</v>
      </c>
      <c r="L951" s="8" t="s">
        <v>6585</v>
      </c>
      <c r="M951" s="8" t="s">
        <v>6628</v>
      </c>
      <c r="N951" t="s">
        <v>104</v>
      </c>
      <c r="O951" t="s">
        <v>6579</v>
      </c>
      <c r="P951" s="4">
        <v>56000</v>
      </c>
      <c r="S951" s="2">
        <v>45731</v>
      </c>
      <c r="U951">
        <v>9</v>
      </c>
      <c r="V951" s="4">
        <v>504000</v>
      </c>
      <c r="W951" t="s">
        <v>65</v>
      </c>
      <c r="X951" t="s">
        <v>66</v>
      </c>
      <c r="Y951">
        <v>0</v>
      </c>
      <c r="Z951" s="4">
        <v>500000</v>
      </c>
      <c r="AA951" s="4">
        <v>4000</v>
      </c>
      <c r="AB951">
        <v>0</v>
      </c>
      <c r="AC951">
        <v>0</v>
      </c>
      <c r="AD951">
        <v>0</v>
      </c>
      <c r="AG951">
        <v>0</v>
      </c>
      <c r="AP951" t="s">
        <v>67</v>
      </c>
      <c r="AQ951" t="s">
        <v>68</v>
      </c>
      <c r="AR951" t="s">
        <v>6636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C951" t="s">
        <v>69</v>
      </c>
      <c r="BD951" t="s">
        <v>3104</v>
      </c>
      <c r="BE951">
        <v>0</v>
      </c>
      <c r="BG951" t="s">
        <v>68</v>
      </c>
      <c r="BJ951" t="s">
        <v>3105</v>
      </c>
    </row>
    <row r="952" spans="1:62" x14ac:dyDescent="0.35">
      <c r="A952" t="s">
        <v>3625</v>
      </c>
      <c r="B952">
        <v>10000</v>
      </c>
      <c r="C952">
        <v>10000</v>
      </c>
      <c r="D952" s="2">
        <v>45733</v>
      </c>
      <c r="E952" t="s">
        <v>61</v>
      </c>
      <c r="F952" t="s">
        <v>2765</v>
      </c>
      <c r="G952" t="s">
        <v>3626</v>
      </c>
      <c r="I952">
        <v>1</v>
      </c>
      <c r="J952" t="s">
        <v>63</v>
      </c>
      <c r="K952" s="8">
        <v>61</v>
      </c>
      <c r="L952" s="8" t="s">
        <v>6594</v>
      </c>
      <c r="M952" s="8" t="s">
        <v>6629</v>
      </c>
      <c r="N952" t="s">
        <v>361</v>
      </c>
      <c r="O952" t="s">
        <v>6485</v>
      </c>
      <c r="P952">
        <v>223</v>
      </c>
      <c r="Q952">
        <f>(P952/50)+45</f>
        <v>49.46</v>
      </c>
      <c r="R952">
        <f>Q952/60</f>
        <v>0.82433333333333336</v>
      </c>
      <c r="S952" s="2">
        <v>45731</v>
      </c>
      <c r="U952">
        <v>9</v>
      </c>
      <c r="V952" s="4">
        <v>2007</v>
      </c>
      <c r="W952" t="s">
        <v>65</v>
      </c>
      <c r="X952">
        <v>4.030150000274E+17</v>
      </c>
      <c r="Y952">
        <v>0</v>
      </c>
      <c r="Z952" s="4">
        <v>2000</v>
      </c>
      <c r="AA952">
        <v>7</v>
      </c>
      <c r="AB952">
        <v>0</v>
      </c>
      <c r="AC952">
        <v>0</v>
      </c>
      <c r="AD952">
        <v>0</v>
      </c>
      <c r="AG952">
        <v>0</v>
      </c>
      <c r="AP952">
        <v>40301500002740</v>
      </c>
      <c r="AQ952" t="s">
        <v>2347</v>
      </c>
      <c r="AR952" t="s">
        <v>6701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BC952" t="s">
        <v>69</v>
      </c>
      <c r="BD952" t="s">
        <v>3627</v>
      </c>
      <c r="BE952">
        <v>0</v>
      </c>
      <c r="BG952" t="s">
        <v>2347</v>
      </c>
      <c r="BJ952" t="s">
        <v>3628</v>
      </c>
    </row>
    <row r="953" spans="1:62" x14ac:dyDescent="0.35">
      <c r="A953" t="s">
        <v>3629</v>
      </c>
      <c r="B953">
        <v>10000</v>
      </c>
      <c r="C953">
        <v>10000</v>
      </c>
      <c r="D953" s="2">
        <v>45733</v>
      </c>
      <c r="E953" t="s">
        <v>61</v>
      </c>
      <c r="F953" t="s">
        <v>3408</v>
      </c>
      <c r="G953" t="s">
        <v>89</v>
      </c>
      <c r="I953">
        <v>1</v>
      </c>
      <c r="J953" t="s">
        <v>63</v>
      </c>
      <c r="K953" s="8">
        <v>73</v>
      </c>
      <c r="L953" s="8" t="s">
        <v>6586</v>
      </c>
      <c r="M953" s="8" t="s">
        <v>6627</v>
      </c>
      <c r="N953" t="s">
        <v>90</v>
      </c>
      <c r="O953" t="s">
        <v>6564</v>
      </c>
      <c r="P953" s="4">
        <v>36000</v>
      </c>
      <c r="Q953">
        <f>(P953/60)+45</f>
        <v>645</v>
      </c>
      <c r="R953">
        <f>Q953/60</f>
        <v>10.75</v>
      </c>
      <c r="S953" s="2">
        <v>45731</v>
      </c>
      <c r="U953">
        <v>12</v>
      </c>
      <c r="V953" s="4">
        <v>432000</v>
      </c>
      <c r="W953" t="s">
        <v>65</v>
      </c>
      <c r="X953">
        <v>80256220001</v>
      </c>
      <c r="Y953">
        <v>0</v>
      </c>
      <c r="Z953" s="4">
        <v>432000</v>
      </c>
      <c r="AA953">
        <v>0</v>
      </c>
      <c r="AB953">
        <v>0</v>
      </c>
      <c r="AC953">
        <v>0</v>
      </c>
      <c r="AD953">
        <v>0</v>
      </c>
      <c r="AG953">
        <v>0</v>
      </c>
      <c r="AP953">
        <v>8025622</v>
      </c>
      <c r="AQ953" t="s">
        <v>91</v>
      </c>
      <c r="AR953" t="s">
        <v>6637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BC953" t="s">
        <v>69</v>
      </c>
      <c r="BD953" t="s">
        <v>3630</v>
      </c>
      <c r="BE953">
        <v>0</v>
      </c>
      <c r="BG953" t="s">
        <v>91</v>
      </c>
      <c r="BJ953" t="s">
        <v>3631</v>
      </c>
    </row>
    <row r="954" spans="1:62" x14ac:dyDescent="0.35">
      <c r="A954" t="s">
        <v>3632</v>
      </c>
      <c r="B954">
        <v>10000</v>
      </c>
      <c r="C954">
        <v>10000</v>
      </c>
      <c r="D954" s="2">
        <v>45733</v>
      </c>
      <c r="E954" t="s">
        <v>61</v>
      </c>
      <c r="F954" t="s">
        <v>2765</v>
      </c>
      <c r="G954" t="s">
        <v>3633</v>
      </c>
      <c r="I954">
        <v>1</v>
      </c>
      <c r="J954" t="s">
        <v>63</v>
      </c>
      <c r="K954" s="8">
        <v>78</v>
      </c>
      <c r="L954" s="8" t="s">
        <v>6593</v>
      </c>
      <c r="M954" s="8" t="s">
        <v>6629</v>
      </c>
      <c r="N954" t="s">
        <v>188</v>
      </c>
      <c r="O954" t="s">
        <v>6410</v>
      </c>
      <c r="P954" s="4">
        <v>1000</v>
      </c>
      <c r="Q954">
        <f>(P954/40)+45</f>
        <v>70</v>
      </c>
      <c r="R954">
        <f>Q954/60</f>
        <v>1.1666666666666667</v>
      </c>
      <c r="S954" s="2">
        <v>45731</v>
      </c>
      <c r="U954">
        <v>1</v>
      </c>
      <c r="V954" s="4">
        <v>1000</v>
      </c>
      <c r="W954" t="s">
        <v>65</v>
      </c>
      <c r="X954">
        <v>4.40170086001E+17</v>
      </c>
      <c r="Y954">
        <v>0</v>
      </c>
      <c r="Z954" s="4">
        <v>1000</v>
      </c>
      <c r="AA954">
        <v>0</v>
      </c>
      <c r="AB954">
        <v>0</v>
      </c>
      <c r="AC954">
        <v>0</v>
      </c>
      <c r="AD954">
        <v>0</v>
      </c>
      <c r="AG954">
        <v>0</v>
      </c>
      <c r="AP954">
        <v>44017008600100</v>
      </c>
      <c r="AQ954" t="s">
        <v>2347</v>
      </c>
      <c r="AR954" t="s">
        <v>6701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C954" t="s">
        <v>69</v>
      </c>
      <c r="BD954" t="s">
        <v>3634</v>
      </c>
      <c r="BE954">
        <v>0</v>
      </c>
      <c r="BG954" t="s">
        <v>2347</v>
      </c>
      <c r="BJ954" t="s">
        <v>3635</v>
      </c>
    </row>
    <row r="955" spans="1:62" x14ac:dyDescent="0.35">
      <c r="A955" t="s">
        <v>3636</v>
      </c>
      <c r="B955">
        <v>10000</v>
      </c>
      <c r="C955">
        <v>10000</v>
      </c>
      <c r="D955" s="2">
        <v>45733</v>
      </c>
      <c r="E955" t="s">
        <v>61</v>
      </c>
      <c r="F955" t="s">
        <v>2765</v>
      </c>
      <c r="G955" t="s">
        <v>3637</v>
      </c>
      <c r="I955">
        <v>1</v>
      </c>
      <c r="J955" t="s">
        <v>63</v>
      </c>
      <c r="K955" s="8">
        <v>61</v>
      </c>
      <c r="L955" s="8" t="s">
        <v>6594</v>
      </c>
      <c r="M955" s="8" t="s">
        <v>6629</v>
      </c>
      <c r="N955" t="s">
        <v>361</v>
      </c>
      <c r="O955" t="s">
        <v>6485</v>
      </c>
      <c r="P955" s="4">
        <v>1000</v>
      </c>
      <c r="Q955">
        <f>(P955/50)+45</f>
        <v>65</v>
      </c>
      <c r="R955">
        <f>Q955/60</f>
        <v>1.0833333333333333</v>
      </c>
      <c r="S955" s="2">
        <v>45731</v>
      </c>
      <c r="U955">
        <v>2</v>
      </c>
      <c r="V955" s="4">
        <v>2000</v>
      </c>
      <c r="W955" t="s">
        <v>65</v>
      </c>
      <c r="X955">
        <v>701527380001</v>
      </c>
      <c r="Y955">
        <v>0</v>
      </c>
      <c r="Z955" s="4">
        <v>2000</v>
      </c>
      <c r="AA955">
        <v>0</v>
      </c>
      <c r="AB955">
        <v>0</v>
      </c>
      <c r="AC955">
        <v>0</v>
      </c>
      <c r="AD955">
        <v>0</v>
      </c>
      <c r="AG955">
        <v>0</v>
      </c>
      <c r="AP955">
        <v>70152738</v>
      </c>
      <c r="AQ955" t="s">
        <v>1139</v>
      </c>
      <c r="AR955" t="s">
        <v>6671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C955" t="s">
        <v>69</v>
      </c>
      <c r="BD955" t="s">
        <v>3638</v>
      </c>
      <c r="BE955">
        <v>0</v>
      </c>
      <c r="BG955" t="s">
        <v>1139</v>
      </c>
      <c r="BJ955" t="s">
        <v>3639</v>
      </c>
    </row>
    <row r="956" spans="1:62" x14ac:dyDescent="0.35">
      <c r="A956" t="s">
        <v>3640</v>
      </c>
      <c r="B956">
        <v>10000</v>
      </c>
      <c r="C956">
        <v>10000</v>
      </c>
      <c r="D956" s="2">
        <v>45733</v>
      </c>
      <c r="E956" t="s">
        <v>61</v>
      </c>
      <c r="F956" t="s">
        <v>3641</v>
      </c>
      <c r="G956" t="s">
        <v>180</v>
      </c>
      <c r="I956">
        <v>1</v>
      </c>
      <c r="J956" t="s">
        <v>63</v>
      </c>
      <c r="K956" s="8">
        <v>59</v>
      </c>
      <c r="L956" s="8" t="s">
        <v>6592</v>
      </c>
      <c r="M956" s="8" t="s">
        <v>6629</v>
      </c>
      <c r="N956" t="s">
        <v>745</v>
      </c>
      <c r="O956" t="s">
        <v>6501</v>
      </c>
      <c r="P956">
        <v>830</v>
      </c>
      <c r="Q956">
        <f t="shared" ref="Q956:Q959" si="246">(P956/40)+45</f>
        <v>65.75</v>
      </c>
      <c r="R956">
        <f t="shared" ref="R956:R959" si="247">Q956/60</f>
        <v>1.0958333333333334</v>
      </c>
      <c r="S956" s="2">
        <v>45731</v>
      </c>
      <c r="U956">
        <v>2</v>
      </c>
      <c r="V956" s="4">
        <v>1660</v>
      </c>
      <c r="W956" t="s">
        <v>65</v>
      </c>
      <c r="X956">
        <v>112886950001</v>
      </c>
      <c r="Y956">
        <v>0</v>
      </c>
      <c r="Z956" s="4">
        <v>1660</v>
      </c>
      <c r="AA956">
        <v>0</v>
      </c>
      <c r="AB956">
        <v>0</v>
      </c>
      <c r="AC956">
        <v>0</v>
      </c>
      <c r="AD956">
        <v>0</v>
      </c>
      <c r="AG956">
        <v>0</v>
      </c>
      <c r="AP956">
        <v>11288695</v>
      </c>
      <c r="AQ956" t="s">
        <v>182</v>
      </c>
      <c r="AR956" t="s">
        <v>6643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C956" t="s">
        <v>69</v>
      </c>
      <c r="BD956" t="s">
        <v>3642</v>
      </c>
      <c r="BE956">
        <v>0</v>
      </c>
      <c r="BG956" t="s">
        <v>182</v>
      </c>
      <c r="BJ956" t="s">
        <v>3643</v>
      </c>
    </row>
    <row r="957" spans="1:62" x14ac:dyDescent="0.35">
      <c r="A957" t="s">
        <v>3644</v>
      </c>
      <c r="B957">
        <v>10000</v>
      </c>
      <c r="C957">
        <v>10000</v>
      </c>
      <c r="D957" s="2">
        <v>45733</v>
      </c>
      <c r="E957" t="s">
        <v>61</v>
      </c>
      <c r="F957" t="s">
        <v>3645</v>
      </c>
      <c r="G957" t="s">
        <v>180</v>
      </c>
      <c r="I957">
        <v>1</v>
      </c>
      <c r="J957" t="s">
        <v>63</v>
      </c>
      <c r="K957" s="8">
        <v>59</v>
      </c>
      <c r="L957" s="8" t="s">
        <v>6592</v>
      </c>
      <c r="M957" s="8" t="s">
        <v>6629</v>
      </c>
      <c r="N957" t="s">
        <v>745</v>
      </c>
      <c r="O957" t="s">
        <v>6501</v>
      </c>
      <c r="P957" s="4">
        <v>2905</v>
      </c>
      <c r="Q957">
        <f t="shared" si="246"/>
        <v>117.625</v>
      </c>
      <c r="R957">
        <f t="shared" si="247"/>
        <v>1.9604166666666667</v>
      </c>
      <c r="S957" s="2">
        <v>45731</v>
      </c>
      <c r="U957">
        <v>2</v>
      </c>
      <c r="V957" s="4">
        <v>5810</v>
      </c>
      <c r="W957" t="s">
        <v>65</v>
      </c>
      <c r="X957">
        <v>112887160001</v>
      </c>
      <c r="Y957">
        <v>0</v>
      </c>
      <c r="Z957" s="4">
        <v>5810</v>
      </c>
      <c r="AA957">
        <v>0</v>
      </c>
      <c r="AB957">
        <v>0</v>
      </c>
      <c r="AC957">
        <v>0</v>
      </c>
      <c r="AD957">
        <v>0</v>
      </c>
      <c r="AG957">
        <v>0</v>
      </c>
      <c r="AP957">
        <v>11288716</v>
      </c>
      <c r="AQ957" t="s">
        <v>182</v>
      </c>
      <c r="AR957" t="s">
        <v>6643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C957" t="s">
        <v>69</v>
      </c>
      <c r="BD957" t="s">
        <v>3646</v>
      </c>
      <c r="BE957">
        <v>0</v>
      </c>
      <c r="BG957" t="s">
        <v>182</v>
      </c>
      <c r="BJ957" t="s">
        <v>3647</v>
      </c>
    </row>
    <row r="958" spans="1:62" x14ac:dyDescent="0.35">
      <c r="A958" t="s">
        <v>3644</v>
      </c>
      <c r="B958">
        <v>20000</v>
      </c>
      <c r="C958">
        <v>10000</v>
      </c>
      <c r="D958" s="2">
        <v>45733</v>
      </c>
      <c r="E958" t="s">
        <v>61</v>
      </c>
      <c r="F958" t="s">
        <v>3645</v>
      </c>
      <c r="G958" t="s">
        <v>180</v>
      </c>
      <c r="I958">
        <v>1</v>
      </c>
      <c r="J958" t="s">
        <v>63</v>
      </c>
      <c r="K958" s="8">
        <v>59</v>
      </c>
      <c r="L958" s="8" t="s">
        <v>6592</v>
      </c>
      <c r="M958" s="8" t="s">
        <v>6629</v>
      </c>
      <c r="N958" t="s">
        <v>745</v>
      </c>
      <c r="O958" t="s">
        <v>6501</v>
      </c>
      <c r="P958" s="4">
        <v>2905</v>
      </c>
      <c r="Q958">
        <f t="shared" si="246"/>
        <v>117.625</v>
      </c>
      <c r="R958">
        <f t="shared" si="247"/>
        <v>1.9604166666666667</v>
      </c>
      <c r="S958" s="2">
        <v>45731</v>
      </c>
      <c r="U958">
        <v>2</v>
      </c>
      <c r="V958" s="4">
        <v>5810</v>
      </c>
      <c r="W958" t="s">
        <v>65</v>
      </c>
      <c r="X958">
        <v>112887160001</v>
      </c>
      <c r="Y958">
        <v>0</v>
      </c>
      <c r="Z958" s="4">
        <v>5810</v>
      </c>
      <c r="AA958">
        <v>0</v>
      </c>
      <c r="AB958">
        <v>0</v>
      </c>
      <c r="AC958">
        <v>0</v>
      </c>
      <c r="AD958">
        <v>0</v>
      </c>
      <c r="AG958">
        <v>0</v>
      </c>
      <c r="AP958">
        <v>11288716</v>
      </c>
      <c r="AQ958" t="s">
        <v>182</v>
      </c>
      <c r="AR958" t="s">
        <v>6643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BC958" t="s">
        <v>69</v>
      </c>
      <c r="BD958" t="s">
        <v>3646</v>
      </c>
      <c r="BE958">
        <v>0</v>
      </c>
      <c r="BG958" t="s">
        <v>182</v>
      </c>
      <c r="BJ958" t="s">
        <v>3647</v>
      </c>
    </row>
    <row r="959" spans="1:62" x14ac:dyDescent="0.35">
      <c r="A959" t="s">
        <v>3644</v>
      </c>
      <c r="B959">
        <v>30000</v>
      </c>
      <c r="C959">
        <v>10000</v>
      </c>
      <c r="D959" s="2">
        <v>45733</v>
      </c>
      <c r="E959" t="s">
        <v>61</v>
      </c>
      <c r="F959" t="s">
        <v>3645</v>
      </c>
      <c r="G959" t="s">
        <v>180</v>
      </c>
      <c r="I959">
        <v>1</v>
      </c>
      <c r="J959" t="s">
        <v>63</v>
      </c>
      <c r="K959" s="8">
        <v>59</v>
      </c>
      <c r="L959" s="8" t="s">
        <v>6592</v>
      </c>
      <c r="M959" s="8" t="s">
        <v>6629</v>
      </c>
      <c r="N959" t="s">
        <v>745</v>
      </c>
      <c r="O959" t="s">
        <v>6501</v>
      </c>
      <c r="P959">
        <v>830</v>
      </c>
      <c r="Q959">
        <f t="shared" si="246"/>
        <v>65.75</v>
      </c>
      <c r="R959">
        <f t="shared" si="247"/>
        <v>1.0958333333333334</v>
      </c>
      <c r="S959" s="2">
        <v>45731</v>
      </c>
      <c r="U959">
        <v>2</v>
      </c>
      <c r="V959" s="4">
        <v>1660</v>
      </c>
      <c r="W959" t="s">
        <v>65</v>
      </c>
      <c r="X959">
        <v>112887160001</v>
      </c>
      <c r="Y959">
        <v>0</v>
      </c>
      <c r="Z959" s="4">
        <v>1660</v>
      </c>
      <c r="AA959">
        <v>0</v>
      </c>
      <c r="AB959">
        <v>0</v>
      </c>
      <c r="AC959">
        <v>0</v>
      </c>
      <c r="AD959">
        <v>0</v>
      </c>
      <c r="AG959">
        <v>0</v>
      </c>
      <c r="AP959">
        <v>11288716</v>
      </c>
      <c r="AQ959" t="s">
        <v>182</v>
      </c>
      <c r="AR959" t="s">
        <v>6643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C959" t="s">
        <v>69</v>
      </c>
      <c r="BD959" t="s">
        <v>3646</v>
      </c>
      <c r="BE959">
        <v>0</v>
      </c>
      <c r="BG959" t="s">
        <v>182</v>
      </c>
      <c r="BJ959" t="s">
        <v>3647</v>
      </c>
    </row>
    <row r="960" spans="1:62" x14ac:dyDescent="0.35">
      <c r="A960" t="s">
        <v>3648</v>
      </c>
      <c r="B960">
        <v>10000</v>
      </c>
      <c r="C960">
        <v>20000</v>
      </c>
      <c r="D960" s="2">
        <v>45733</v>
      </c>
      <c r="E960" t="s">
        <v>61</v>
      </c>
      <c r="F960" t="s">
        <v>3649</v>
      </c>
      <c r="G960" t="s">
        <v>3650</v>
      </c>
      <c r="I960">
        <v>2</v>
      </c>
      <c r="J960" t="s">
        <v>63</v>
      </c>
      <c r="K960" s="8">
        <v>60</v>
      </c>
      <c r="L960" s="8" t="s">
        <v>6590</v>
      </c>
      <c r="M960" s="8" t="s">
        <v>6630</v>
      </c>
      <c r="N960" t="s">
        <v>277</v>
      </c>
      <c r="O960" t="s">
        <v>6554</v>
      </c>
      <c r="P960" s="4">
        <v>14000</v>
      </c>
      <c r="Q960">
        <f>(P960/50)+45</f>
        <v>325</v>
      </c>
      <c r="R960">
        <f>Q960/60</f>
        <v>5.416666666666667</v>
      </c>
      <c r="S960" s="2">
        <v>45731</v>
      </c>
      <c r="U960">
        <v>1</v>
      </c>
      <c r="V960" s="4">
        <v>14000</v>
      </c>
      <c r="W960" t="s">
        <v>65</v>
      </c>
      <c r="X960" t="s">
        <v>3651</v>
      </c>
      <c r="Y960">
        <v>0</v>
      </c>
      <c r="Z960" s="4">
        <v>14000</v>
      </c>
      <c r="AA960">
        <v>0</v>
      </c>
      <c r="AB960">
        <v>0</v>
      </c>
      <c r="AC960">
        <v>0</v>
      </c>
      <c r="AD960">
        <v>0</v>
      </c>
      <c r="AG960">
        <v>0</v>
      </c>
      <c r="AP960" t="s">
        <v>3652</v>
      </c>
      <c r="AQ960" t="s">
        <v>3653</v>
      </c>
      <c r="AR960" t="s">
        <v>6725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BC960" t="s">
        <v>69</v>
      </c>
      <c r="BD960" t="s">
        <v>3654</v>
      </c>
      <c r="BE960">
        <v>0</v>
      </c>
      <c r="BG960" t="s">
        <v>3653</v>
      </c>
      <c r="BJ960" t="s">
        <v>3655</v>
      </c>
    </row>
    <row r="961" spans="1:62" x14ac:dyDescent="0.35">
      <c r="A961" t="s">
        <v>3656</v>
      </c>
      <c r="B961">
        <v>10000</v>
      </c>
      <c r="C961">
        <v>30000</v>
      </c>
      <c r="D961" s="2">
        <v>45733</v>
      </c>
      <c r="E961" t="s">
        <v>61</v>
      </c>
      <c r="F961" t="s">
        <v>3657</v>
      </c>
      <c r="G961" t="s">
        <v>2069</v>
      </c>
      <c r="I961">
        <v>1</v>
      </c>
      <c r="J961" t="s">
        <v>63</v>
      </c>
      <c r="K961" s="8">
        <v>94</v>
      </c>
      <c r="L961" s="8" t="s">
        <v>6599</v>
      </c>
      <c r="M961" s="8" t="s">
        <v>6629</v>
      </c>
      <c r="N961" t="s">
        <v>181</v>
      </c>
      <c r="O961" t="s">
        <v>6544</v>
      </c>
      <c r="P961" s="4">
        <v>5000</v>
      </c>
      <c r="S961" s="2">
        <v>45731</v>
      </c>
      <c r="U961">
        <v>4</v>
      </c>
      <c r="V961" s="4">
        <v>20000</v>
      </c>
      <c r="W961" t="s">
        <v>65</v>
      </c>
      <c r="X961" t="s">
        <v>3658</v>
      </c>
      <c r="Y961">
        <v>0</v>
      </c>
      <c r="Z961" s="4">
        <v>20000</v>
      </c>
      <c r="AA961">
        <v>0</v>
      </c>
      <c r="AB961">
        <v>0</v>
      </c>
      <c r="AC961">
        <v>0</v>
      </c>
      <c r="AD961">
        <v>0</v>
      </c>
      <c r="AG961">
        <v>0</v>
      </c>
      <c r="AP961" t="s">
        <v>3659</v>
      </c>
      <c r="AQ961" t="s">
        <v>364</v>
      </c>
      <c r="AR961" t="s">
        <v>6653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BC961" t="s">
        <v>69</v>
      </c>
      <c r="BD961" t="s">
        <v>3660</v>
      </c>
      <c r="BE961">
        <v>0</v>
      </c>
      <c r="BG961" t="s">
        <v>364</v>
      </c>
      <c r="BJ961" t="s">
        <v>3661</v>
      </c>
    </row>
    <row r="962" spans="1:62" x14ac:dyDescent="0.35">
      <c r="A962" t="s">
        <v>3662</v>
      </c>
      <c r="B962">
        <v>10000</v>
      </c>
      <c r="C962">
        <v>10000</v>
      </c>
      <c r="D962" s="2">
        <v>45733</v>
      </c>
      <c r="E962" t="s">
        <v>61</v>
      </c>
      <c r="F962" t="s">
        <v>3641</v>
      </c>
      <c r="G962" t="s">
        <v>418</v>
      </c>
      <c r="I962">
        <v>1</v>
      </c>
      <c r="J962" t="s">
        <v>63</v>
      </c>
      <c r="K962" s="8">
        <v>59</v>
      </c>
      <c r="L962" s="8" t="s">
        <v>6592</v>
      </c>
      <c r="M962" s="8" t="s">
        <v>6629</v>
      </c>
      <c r="N962" t="s">
        <v>745</v>
      </c>
      <c r="O962" t="s">
        <v>6501</v>
      </c>
      <c r="P962">
        <v>100</v>
      </c>
      <c r="Q962">
        <f t="shared" ref="Q962:Q967" si="248">(P962/40)+45</f>
        <v>47.5</v>
      </c>
      <c r="R962">
        <f t="shared" ref="R962:R967" si="249">Q962/60</f>
        <v>0.79166666666666663</v>
      </c>
      <c r="S962" s="2">
        <v>45731</v>
      </c>
      <c r="U962">
        <v>10</v>
      </c>
      <c r="V962" s="4">
        <v>1000</v>
      </c>
      <c r="W962" t="s">
        <v>65</v>
      </c>
      <c r="X962">
        <v>112024680001</v>
      </c>
      <c r="Y962">
        <v>0</v>
      </c>
      <c r="Z962" s="4">
        <v>1000</v>
      </c>
      <c r="AA962">
        <v>0</v>
      </c>
      <c r="AB962">
        <v>0</v>
      </c>
      <c r="AC962">
        <v>0</v>
      </c>
      <c r="AD962">
        <v>0</v>
      </c>
      <c r="AG962">
        <v>0</v>
      </c>
      <c r="AP962">
        <v>11202468</v>
      </c>
      <c r="AQ962" t="s">
        <v>182</v>
      </c>
      <c r="AR962" t="s">
        <v>6643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BC962" t="s">
        <v>69</v>
      </c>
      <c r="BD962" t="s">
        <v>3663</v>
      </c>
      <c r="BE962">
        <v>0</v>
      </c>
      <c r="BG962" t="s">
        <v>182</v>
      </c>
      <c r="BJ962" t="s">
        <v>3664</v>
      </c>
    </row>
    <row r="963" spans="1:62" x14ac:dyDescent="0.35">
      <c r="A963" t="s">
        <v>3662</v>
      </c>
      <c r="B963">
        <v>20000</v>
      </c>
      <c r="C963">
        <v>10000</v>
      </c>
      <c r="D963" s="2">
        <v>45733</v>
      </c>
      <c r="E963" t="s">
        <v>61</v>
      </c>
      <c r="F963" t="s">
        <v>3641</v>
      </c>
      <c r="G963" t="s">
        <v>418</v>
      </c>
      <c r="I963">
        <v>1</v>
      </c>
      <c r="J963" t="s">
        <v>63</v>
      </c>
      <c r="K963" s="8">
        <v>59</v>
      </c>
      <c r="L963" s="8" t="s">
        <v>6592</v>
      </c>
      <c r="M963" s="8" t="s">
        <v>6629</v>
      </c>
      <c r="N963" t="s">
        <v>745</v>
      </c>
      <c r="O963" t="s">
        <v>6501</v>
      </c>
      <c r="P963">
        <v>100</v>
      </c>
      <c r="Q963">
        <f t="shared" si="248"/>
        <v>47.5</v>
      </c>
      <c r="R963">
        <f t="shared" si="249"/>
        <v>0.79166666666666663</v>
      </c>
      <c r="S963" s="2">
        <v>45731</v>
      </c>
      <c r="U963">
        <v>10</v>
      </c>
      <c r="V963" s="4">
        <v>1000</v>
      </c>
      <c r="W963" t="s">
        <v>65</v>
      </c>
      <c r="X963">
        <v>112024680001</v>
      </c>
      <c r="Y963">
        <v>0</v>
      </c>
      <c r="Z963" s="4">
        <v>1000</v>
      </c>
      <c r="AA963">
        <v>0</v>
      </c>
      <c r="AB963">
        <v>0</v>
      </c>
      <c r="AC963">
        <v>0</v>
      </c>
      <c r="AD963">
        <v>0</v>
      </c>
      <c r="AG963">
        <v>0</v>
      </c>
      <c r="AP963">
        <v>11202468</v>
      </c>
      <c r="AQ963" t="s">
        <v>182</v>
      </c>
      <c r="AR963" t="s">
        <v>6643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BC963" t="s">
        <v>69</v>
      </c>
      <c r="BD963" t="s">
        <v>3663</v>
      </c>
      <c r="BE963">
        <v>0</v>
      </c>
      <c r="BG963" t="s">
        <v>182</v>
      </c>
      <c r="BJ963" t="s">
        <v>3664</v>
      </c>
    </row>
    <row r="964" spans="1:62" x14ac:dyDescent="0.35">
      <c r="A964" t="s">
        <v>3665</v>
      </c>
      <c r="B964">
        <v>10000</v>
      </c>
      <c r="C964">
        <v>10000</v>
      </c>
      <c r="D964" s="2">
        <v>45733</v>
      </c>
      <c r="E964" t="s">
        <v>61</v>
      </c>
      <c r="F964" t="s">
        <v>3641</v>
      </c>
      <c r="G964" t="s">
        <v>418</v>
      </c>
      <c r="I964">
        <v>1</v>
      </c>
      <c r="J964" t="s">
        <v>63</v>
      </c>
      <c r="K964" s="8">
        <v>59</v>
      </c>
      <c r="L964" s="8" t="s">
        <v>6592</v>
      </c>
      <c r="M964" s="8" t="s">
        <v>6629</v>
      </c>
      <c r="N964" t="s">
        <v>745</v>
      </c>
      <c r="O964" t="s">
        <v>6501</v>
      </c>
      <c r="P964">
        <v>400</v>
      </c>
      <c r="Q964">
        <f t="shared" si="248"/>
        <v>55</v>
      </c>
      <c r="R964">
        <f t="shared" si="249"/>
        <v>0.91666666666666663</v>
      </c>
      <c r="S964" s="2">
        <v>45731</v>
      </c>
      <c r="U964">
        <v>10</v>
      </c>
      <c r="V964" s="4">
        <v>4000</v>
      </c>
      <c r="W964" t="s">
        <v>65</v>
      </c>
      <c r="X964">
        <v>112024250001</v>
      </c>
      <c r="Y964">
        <v>0</v>
      </c>
      <c r="Z964" s="4">
        <v>4000</v>
      </c>
      <c r="AA964">
        <v>0</v>
      </c>
      <c r="AB964">
        <v>0</v>
      </c>
      <c r="AC964">
        <v>0</v>
      </c>
      <c r="AD964">
        <v>0</v>
      </c>
      <c r="AG964">
        <v>0</v>
      </c>
      <c r="AP964">
        <v>11202425</v>
      </c>
      <c r="AQ964" t="s">
        <v>182</v>
      </c>
      <c r="AR964" t="s">
        <v>6643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BC964" t="s">
        <v>69</v>
      </c>
      <c r="BD964" t="s">
        <v>3666</v>
      </c>
      <c r="BE964">
        <v>0</v>
      </c>
      <c r="BG964" t="s">
        <v>182</v>
      </c>
      <c r="BJ964" t="s">
        <v>3667</v>
      </c>
    </row>
    <row r="965" spans="1:62" x14ac:dyDescent="0.35">
      <c r="A965" t="s">
        <v>3665</v>
      </c>
      <c r="B965">
        <v>20000</v>
      </c>
      <c r="C965">
        <v>10000</v>
      </c>
      <c r="D965" s="2">
        <v>45733</v>
      </c>
      <c r="E965" t="s">
        <v>61</v>
      </c>
      <c r="F965" t="s">
        <v>3641</v>
      </c>
      <c r="G965" t="s">
        <v>418</v>
      </c>
      <c r="I965">
        <v>1</v>
      </c>
      <c r="J965" t="s">
        <v>63</v>
      </c>
      <c r="K965" s="8">
        <v>59</v>
      </c>
      <c r="L965" s="8" t="s">
        <v>6592</v>
      </c>
      <c r="M965" s="8" t="s">
        <v>6629</v>
      </c>
      <c r="N965" t="s">
        <v>745</v>
      </c>
      <c r="O965" t="s">
        <v>6501</v>
      </c>
      <c r="P965">
        <v>400</v>
      </c>
      <c r="Q965">
        <f t="shared" si="248"/>
        <v>55</v>
      </c>
      <c r="R965">
        <f t="shared" si="249"/>
        <v>0.91666666666666663</v>
      </c>
      <c r="S965" s="2">
        <v>45731</v>
      </c>
      <c r="U965">
        <v>10</v>
      </c>
      <c r="V965" s="4">
        <v>4000</v>
      </c>
      <c r="W965" t="s">
        <v>65</v>
      </c>
      <c r="X965">
        <v>112024250001</v>
      </c>
      <c r="Y965">
        <v>0</v>
      </c>
      <c r="Z965" s="4">
        <v>4000</v>
      </c>
      <c r="AA965">
        <v>0</v>
      </c>
      <c r="AB965">
        <v>0</v>
      </c>
      <c r="AC965">
        <v>0</v>
      </c>
      <c r="AD965">
        <v>0</v>
      </c>
      <c r="AG965">
        <v>0</v>
      </c>
      <c r="AP965">
        <v>11202425</v>
      </c>
      <c r="AQ965" t="s">
        <v>182</v>
      </c>
      <c r="AR965" t="s">
        <v>6643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BC965" t="s">
        <v>69</v>
      </c>
      <c r="BD965" t="s">
        <v>3666</v>
      </c>
      <c r="BE965">
        <v>0</v>
      </c>
      <c r="BG965" t="s">
        <v>182</v>
      </c>
      <c r="BJ965" t="s">
        <v>3667</v>
      </c>
    </row>
    <row r="966" spans="1:62" x14ac:dyDescent="0.35">
      <c r="A966" t="s">
        <v>3665</v>
      </c>
      <c r="B966">
        <v>30000</v>
      </c>
      <c r="C966">
        <v>10000</v>
      </c>
      <c r="D966" s="2">
        <v>45733</v>
      </c>
      <c r="E966" t="s">
        <v>61</v>
      </c>
      <c r="F966" t="s">
        <v>3641</v>
      </c>
      <c r="G966" t="s">
        <v>418</v>
      </c>
      <c r="I966">
        <v>1</v>
      </c>
      <c r="J966" t="s">
        <v>63</v>
      </c>
      <c r="K966" s="8">
        <v>59</v>
      </c>
      <c r="L966" s="8" t="s">
        <v>6592</v>
      </c>
      <c r="M966" s="8" t="s">
        <v>6629</v>
      </c>
      <c r="N966" t="s">
        <v>745</v>
      </c>
      <c r="O966" t="s">
        <v>6501</v>
      </c>
      <c r="P966">
        <v>400</v>
      </c>
      <c r="Q966">
        <f t="shared" si="248"/>
        <v>55</v>
      </c>
      <c r="R966">
        <f t="shared" si="249"/>
        <v>0.91666666666666663</v>
      </c>
      <c r="S966" s="2">
        <v>45731</v>
      </c>
      <c r="U966">
        <v>10</v>
      </c>
      <c r="V966" s="4">
        <v>4000</v>
      </c>
      <c r="W966" t="s">
        <v>65</v>
      </c>
      <c r="X966">
        <v>112024250001</v>
      </c>
      <c r="Y966">
        <v>0</v>
      </c>
      <c r="Z966" s="4">
        <v>4000</v>
      </c>
      <c r="AA966">
        <v>0</v>
      </c>
      <c r="AB966">
        <v>0</v>
      </c>
      <c r="AC966">
        <v>0</v>
      </c>
      <c r="AD966">
        <v>0</v>
      </c>
      <c r="AG966">
        <v>0</v>
      </c>
      <c r="AP966">
        <v>11202425</v>
      </c>
      <c r="AQ966" t="s">
        <v>182</v>
      </c>
      <c r="AR966" t="s">
        <v>6643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C966" t="s">
        <v>69</v>
      </c>
      <c r="BD966" t="s">
        <v>3666</v>
      </c>
      <c r="BE966">
        <v>0</v>
      </c>
      <c r="BG966" t="s">
        <v>182</v>
      </c>
      <c r="BJ966" t="s">
        <v>3667</v>
      </c>
    </row>
    <row r="967" spans="1:62" x14ac:dyDescent="0.35">
      <c r="A967" t="s">
        <v>3668</v>
      </c>
      <c r="B967">
        <v>10000</v>
      </c>
      <c r="C967">
        <v>10000</v>
      </c>
      <c r="D967" s="2">
        <v>45733</v>
      </c>
      <c r="E967" t="s">
        <v>61</v>
      </c>
      <c r="F967" t="s">
        <v>3645</v>
      </c>
      <c r="G967" t="s">
        <v>3669</v>
      </c>
      <c r="I967">
        <v>1</v>
      </c>
      <c r="J967" t="s">
        <v>63</v>
      </c>
      <c r="K967" s="8">
        <v>78</v>
      </c>
      <c r="L967" s="8" t="s">
        <v>6593</v>
      </c>
      <c r="M967" s="8" t="s">
        <v>6629</v>
      </c>
      <c r="N967" t="s">
        <v>188</v>
      </c>
      <c r="O967" t="s">
        <v>6410</v>
      </c>
      <c r="P967" s="4">
        <v>5000</v>
      </c>
      <c r="Q967">
        <f t="shared" si="248"/>
        <v>170</v>
      </c>
      <c r="R967">
        <f t="shared" si="249"/>
        <v>2.8333333333333335</v>
      </c>
      <c r="S967" s="2">
        <v>45731</v>
      </c>
      <c r="U967">
        <v>4</v>
      </c>
      <c r="V967" s="4">
        <v>20000</v>
      </c>
      <c r="W967" t="s">
        <v>65</v>
      </c>
      <c r="X967" t="s">
        <v>3670</v>
      </c>
      <c r="Y967">
        <v>0</v>
      </c>
      <c r="Z967" s="4">
        <v>20000</v>
      </c>
      <c r="AA967">
        <v>0</v>
      </c>
      <c r="AB967">
        <v>0</v>
      </c>
      <c r="AC967">
        <v>0</v>
      </c>
      <c r="AD967">
        <v>0</v>
      </c>
      <c r="AG967">
        <v>0</v>
      </c>
      <c r="AP967" t="s">
        <v>3671</v>
      </c>
      <c r="AQ967" t="s">
        <v>68</v>
      </c>
      <c r="AR967" t="s">
        <v>6636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BC967" t="s">
        <v>69</v>
      </c>
      <c r="BD967" t="s">
        <v>3672</v>
      </c>
      <c r="BE967">
        <v>0</v>
      </c>
      <c r="BG967" t="s">
        <v>68</v>
      </c>
      <c r="BJ967" t="s">
        <v>3673</v>
      </c>
    </row>
    <row r="968" spans="1:62" x14ac:dyDescent="0.35">
      <c r="A968" t="s">
        <v>1792</v>
      </c>
      <c r="B968">
        <v>10000</v>
      </c>
      <c r="C968">
        <v>40000</v>
      </c>
      <c r="D968" s="2">
        <v>45740</v>
      </c>
      <c r="E968" t="s">
        <v>61</v>
      </c>
      <c r="F968" t="s">
        <v>1793</v>
      </c>
      <c r="G968">
        <v>10567308038</v>
      </c>
      <c r="I968">
        <v>3</v>
      </c>
      <c r="J968" t="s">
        <v>63</v>
      </c>
      <c r="K968" s="8">
        <v>85</v>
      </c>
      <c r="L968" s="8" t="s">
        <v>6585</v>
      </c>
      <c r="M968" s="8" t="s">
        <v>6628</v>
      </c>
      <c r="N968" t="s">
        <v>327</v>
      </c>
      <c r="O968" t="s">
        <v>6580</v>
      </c>
      <c r="P968" s="4">
        <v>10000</v>
      </c>
      <c r="S968" s="2">
        <v>45731</v>
      </c>
      <c r="U968">
        <v>11</v>
      </c>
      <c r="V968" s="4">
        <v>110000</v>
      </c>
      <c r="W968" t="s">
        <v>65</v>
      </c>
      <c r="X968" t="s">
        <v>433</v>
      </c>
      <c r="Y968">
        <v>0</v>
      </c>
      <c r="Z968" s="4">
        <v>100000</v>
      </c>
      <c r="AA968" s="4">
        <v>10000</v>
      </c>
      <c r="AB968">
        <v>0</v>
      </c>
      <c r="AC968">
        <v>0</v>
      </c>
      <c r="AD968">
        <v>0</v>
      </c>
      <c r="AG968">
        <v>0</v>
      </c>
      <c r="AP968" t="s">
        <v>434</v>
      </c>
      <c r="AQ968" t="s">
        <v>107</v>
      </c>
      <c r="AR968" t="s">
        <v>6638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C968" t="s">
        <v>69</v>
      </c>
      <c r="BD968" t="s">
        <v>1794</v>
      </c>
      <c r="BE968">
        <v>0</v>
      </c>
      <c r="BG968" t="s">
        <v>107</v>
      </c>
      <c r="BJ968" t="s">
        <v>1795</v>
      </c>
    </row>
    <row r="969" spans="1:62" x14ac:dyDescent="0.35">
      <c r="A969" t="s">
        <v>961</v>
      </c>
      <c r="B969">
        <v>10000</v>
      </c>
      <c r="C969">
        <v>30000</v>
      </c>
      <c r="D969" s="2">
        <v>45733</v>
      </c>
      <c r="E969" t="s">
        <v>61</v>
      </c>
      <c r="F969" t="s">
        <v>962</v>
      </c>
      <c r="G969" t="s">
        <v>963</v>
      </c>
      <c r="I969">
        <v>3</v>
      </c>
      <c r="J969" t="s">
        <v>63</v>
      </c>
      <c r="K969" s="8">
        <v>85</v>
      </c>
      <c r="L969" s="8" t="s">
        <v>6585</v>
      </c>
      <c r="M969" s="8" t="s">
        <v>6628</v>
      </c>
      <c r="N969" t="s">
        <v>327</v>
      </c>
      <c r="O969" t="s">
        <v>6580</v>
      </c>
      <c r="P969" s="4">
        <v>8000</v>
      </c>
      <c r="S969" s="2">
        <v>45731</v>
      </c>
      <c r="U969">
        <v>11</v>
      </c>
      <c r="V969" s="4">
        <v>88000</v>
      </c>
      <c r="W969" t="s">
        <v>65</v>
      </c>
      <c r="X969" t="s">
        <v>964</v>
      </c>
      <c r="Y969">
        <v>0</v>
      </c>
      <c r="Z969" s="4">
        <v>80000</v>
      </c>
      <c r="AA969" s="4">
        <v>8000</v>
      </c>
      <c r="AB969">
        <v>0</v>
      </c>
      <c r="AC969">
        <v>0</v>
      </c>
      <c r="AD969">
        <v>0</v>
      </c>
      <c r="AG969">
        <v>0</v>
      </c>
      <c r="AP969" t="s">
        <v>965</v>
      </c>
      <c r="AQ969" t="s">
        <v>107</v>
      </c>
      <c r="AR969" t="s">
        <v>6638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BC969" t="s">
        <v>69</v>
      </c>
      <c r="BD969" t="s">
        <v>966</v>
      </c>
      <c r="BE969">
        <v>0</v>
      </c>
      <c r="BG969" t="s">
        <v>107</v>
      </c>
      <c r="BJ969" t="s">
        <v>967</v>
      </c>
    </row>
    <row r="970" spans="1:62" x14ac:dyDescent="0.35">
      <c r="A970" t="s">
        <v>3674</v>
      </c>
      <c r="B970">
        <v>10000</v>
      </c>
      <c r="C970">
        <v>10000</v>
      </c>
      <c r="D970" s="2">
        <v>45733</v>
      </c>
      <c r="E970" t="s">
        <v>61</v>
      </c>
      <c r="F970" t="s">
        <v>833</v>
      </c>
      <c r="G970" t="s">
        <v>3675</v>
      </c>
      <c r="I970">
        <v>1</v>
      </c>
      <c r="J970" t="s">
        <v>63</v>
      </c>
      <c r="K970" s="8">
        <v>71</v>
      </c>
      <c r="L970" s="8" t="s">
        <v>6588</v>
      </c>
      <c r="M970" s="8" t="s">
        <v>6630</v>
      </c>
      <c r="N970" t="s">
        <v>135</v>
      </c>
      <c r="O970" t="s">
        <v>6573</v>
      </c>
      <c r="P970" s="4">
        <v>33334</v>
      </c>
      <c r="S970" s="2">
        <v>45731</v>
      </c>
      <c r="U970">
        <v>15</v>
      </c>
      <c r="V970" s="4">
        <v>500010</v>
      </c>
      <c r="W970" t="s">
        <v>65</v>
      </c>
      <c r="X970" t="s">
        <v>3676</v>
      </c>
      <c r="Y970">
        <v>0</v>
      </c>
      <c r="Z970" s="4">
        <v>500000</v>
      </c>
      <c r="AA970">
        <v>10</v>
      </c>
      <c r="AB970">
        <v>0</v>
      </c>
      <c r="AC970">
        <v>0</v>
      </c>
      <c r="AD970">
        <v>0</v>
      </c>
      <c r="AG970">
        <v>0</v>
      </c>
      <c r="AP970" t="s">
        <v>3677</v>
      </c>
      <c r="AQ970" t="s">
        <v>271</v>
      </c>
      <c r="AR970" t="s">
        <v>6648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BC970" t="s">
        <v>69</v>
      </c>
      <c r="BD970" t="s">
        <v>3678</v>
      </c>
      <c r="BE970">
        <v>0</v>
      </c>
      <c r="BG970" t="s">
        <v>271</v>
      </c>
      <c r="BJ970" t="s">
        <v>3679</v>
      </c>
    </row>
    <row r="971" spans="1:62" x14ac:dyDescent="0.35">
      <c r="A971" t="s">
        <v>1943</v>
      </c>
      <c r="B971">
        <v>10000</v>
      </c>
      <c r="C971">
        <v>30000</v>
      </c>
      <c r="D971" s="2">
        <v>45733</v>
      </c>
      <c r="E971" t="s">
        <v>61</v>
      </c>
      <c r="F971" t="s">
        <v>1944</v>
      </c>
      <c r="G971">
        <v>10620258028</v>
      </c>
      <c r="I971">
        <v>3</v>
      </c>
      <c r="J971" t="s">
        <v>63</v>
      </c>
      <c r="K971" s="8">
        <v>85</v>
      </c>
      <c r="L971" s="8" t="s">
        <v>6585</v>
      </c>
      <c r="M971" s="8" t="s">
        <v>6628</v>
      </c>
      <c r="N971" t="s">
        <v>327</v>
      </c>
      <c r="O971" t="s">
        <v>6580</v>
      </c>
      <c r="P971" s="4">
        <v>10000</v>
      </c>
      <c r="S971" s="2">
        <v>45731</v>
      </c>
      <c r="U971">
        <v>11</v>
      </c>
      <c r="V971" s="4">
        <v>110000</v>
      </c>
      <c r="W971" t="s">
        <v>65</v>
      </c>
      <c r="X971" t="s">
        <v>1945</v>
      </c>
      <c r="Y971">
        <v>0</v>
      </c>
      <c r="Z971" s="4">
        <v>100000</v>
      </c>
      <c r="AA971" s="4">
        <v>10000</v>
      </c>
      <c r="AB971">
        <v>0</v>
      </c>
      <c r="AC971">
        <v>0</v>
      </c>
      <c r="AD971">
        <v>0</v>
      </c>
      <c r="AG971">
        <v>0</v>
      </c>
      <c r="AP971" t="s">
        <v>1946</v>
      </c>
      <c r="AQ971" t="s">
        <v>107</v>
      </c>
      <c r="AR971" t="s">
        <v>6638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BC971" t="s">
        <v>69</v>
      </c>
      <c r="BD971" t="s">
        <v>1947</v>
      </c>
      <c r="BE971">
        <v>0</v>
      </c>
      <c r="BG971" t="s">
        <v>107</v>
      </c>
      <c r="BJ971" t="s">
        <v>1948</v>
      </c>
    </row>
    <row r="972" spans="1:62" x14ac:dyDescent="0.35">
      <c r="A972" t="s">
        <v>1949</v>
      </c>
      <c r="B972">
        <v>10000</v>
      </c>
      <c r="C972">
        <v>30000</v>
      </c>
      <c r="D972" s="2">
        <v>45733</v>
      </c>
      <c r="E972" t="s">
        <v>61</v>
      </c>
      <c r="F972" t="s">
        <v>1950</v>
      </c>
      <c r="G972">
        <v>10639931107</v>
      </c>
      <c r="I972">
        <v>3</v>
      </c>
      <c r="J972" t="s">
        <v>63</v>
      </c>
      <c r="K972" s="8">
        <v>85</v>
      </c>
      <c r="L972" s="8" t="s">
        <v>6585</v>
      </c>
      <c r="M972" s="8" t="s">
        <v>6628</v>
      </c>
      <c r="N972" t="s">
        <v>327</v>
      </c>
      <c r="O972" t="s">
        <v>6580</v>
      </c>
      <c r="P972" s="4">
        <v>8000</v>
      </c>
      <c r="S972" s="2">
        <v>45731</v>
      </c>
      <c r="U972">
        <v>11</v>
      </c>
      <c r="V972" s="4">
        <v>88000</v>
      </c>
      <c r="W972" t="s">
        <v>65</v>
      </c>
      <c r="X972" t="s">
        <v>1951</v>
      </c>
      <c r="Y972">
        <v>0</v>
      </c>
      <c r="Z972" s="4">
        <v>80000</v>
      </c>
      <c r="AA972" s="4">
        <v>8000</v>
      </c>
      <c r="AB972">
        <v>0</v>
      </c>
      <c r="AC972">
        <v>0</v>
      </c>
      <c r="AD972">
        <v>0</v>
      </c>
      <c r="AG972">
        <v>0</v>
      </c>
      <c r="AP972" t="s">
        <v>1952</v>
      </c>
      <c r="AQ972" t="s">
        <v>107</v>
      </c>
      <c r="AR972" t="s">
        <v>6638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BC972" t="s">
        <v>69</v>
      </c>
      <c r="BD972" t="s">
        <v>1953</v>
      </c>
      <c r="BE972">
        <v>0</v>
      </c>
      <c r="BG972" t="s">
        <v>107</v>
      </c>
      <c r="BJ972" t="s">
        <v>1954</v>
      </c>
    </row>
    <row r="973" spans="1:62" x14ac:dyDescent="0.35">
      <c r="A973" t="s">
        <v>3479</v>
      </c>
      <c r="B973">
        <v>10000</v>
      </c>
      <c r="C973">
        <v>20000</v>
      </c>
      <c r="D973" s="2">
        <v>45733</v>
      </c>
      <c r="E973" t="s">
        <v>61</v>
      </c>
      <c r="F973" t="s">
        <v>3364</v>
      </c>
      <c r="G973" t="s">
        <v>3480</v>
      </c>
      <c r="I973">
        <v>1</v>
      </c>
      <c r="J973" t="s">
        <v>63</v>
      </c>
      <c r="K973" s="8">
        <v>61</v>
      </c>
      <c r="L973" s="8" t="s">
        <v>6594</v>
      </c>
      <c r="M973" s="8" t="s">
        <v>6629</v>
      </c>
      <c r="N973" t="s">
        <v>361</v>
      </c>
      <c r="O973" t="s">
        <v>6485</v>
      </c>
      <c r="P973" s="4">
        <v>2000</v>
      </c>
      <c r="Q973">
        <f>(P973/50)+45</f>
        <v>85</v>
      </c>
      <c r="R973">
        <f>Q973/60</f>
        <v>1.4166666666666667</v>
      </c>
      <c r="S973" s="2">
        <v>45731</v>
      </c>
      <c r="U973">
        <v>3</v>
      </c>
      <c r="V973" s="4">
        <v>6000</v>
      </c>
      <c r="W973" t="s">
        <v>65</v>
      </c>
      <c r="X973" t="s">
        <v>3481</v>
      </c>
      <c r="Y973">
        <v>0</v>
      </c>
      <c r="Z973" s="4">
        <v>6000</v>
      </c>
      <c r="AA973">
        <v>0</v>
      </c>
      <c r="AB973">
        <v>0</v>
      </c>
      <c r="AC973">
        <v>0</v>
      </c>
      <c r="AD973">
        <v>0</v>
      </c>
      <c r="AG973">
        <v>0</v>
      </c>
      <c r="AP973" t="s">
        <v>3482</v>
      </c>
      <c r="AQ973" t="s">
        <v>3483</v>
      </c>
      <c r="AR973" t="s">
        <v>6722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BC973" t="s">
        <v>69</v>
      </c>
      <c r="BD973" t="s">
        <v>3484</v>
      </c>
      <c r="BE973">
        <v>0</v>
      </c>
      <c r="BG973" t="s">
        <v>3483</v>
      </c>
      <c r="BJ973" t="s">
        <v>3485</v>
      </c>
    </row>
    <row r="974" spans="1:62" x14ac:dyDescent="0.35">
      <c r="A974" t="s">
        <v>3680</v>
      </c>
      <c r="B974">
        <v>10000</v>
      </c>
      <c r="C974">
        <v>10000</v>
      </c>
      <c r="D974" s="2">
        <v>45733</v>
      </c>
      <c r="E974" t="s">
        <v>61</v>
      </c>
      <c r="F974" t="s">
        <v>3383</v>
      </c>
      <c r="G974" t="s">
        <v>3160</v>
      </c>
      <c r="I974">
        <v>1</v>
      </c>
      <c r="J974" t="s">
        <v>63</v>
      </c>
      <c r="K974" s="8">
        <v>46</v>
      </c>
      <c r="L974" s="8" t="s">
        <v>6587</v>
      </c>
      <c r="M974" s="8" t="s">
        <v>6629</v>
      </c>
      <c r="N974" t="s">
        <v>113</v>
      </c>
      <c r="O974" t="s">
        <v>6499</v>
      </c>
      <c r="P974" s="4">
        <v>2000</v>
      </c>
      <c r="Q974">
        <f t="shared" ref="Q974:Q975" si="250">(P974/40)+45</f>
        <v>95</v>
      </c>
      <c r="R974">
        <f t="shared" ref="R974:R975" si="251">Q974/60</f>
        <v>1.5833333333333333</v>
      </c>
      <c r="S974" s="2">
        <v>45731</v>
      </c>
      <c r="U974">
        <v>1</v>
      </c>
      <c r="V974" s="4">
        <v>2000</v>
      </c>
      <c r="W974" t="s">
        <v>65</v>
      </c>
      <c r="X974" t="s">
        <v>3681</v>
      </c>
      <c r="Y974">
        <v>0</v>
      </c>
      <c r="Z974" s="4">
        <v>2000</v>
      </c>
      <c r="AA974">
        <v>0</v>
      </c>
      <c r="AB974">
        <v>0</v>
      </c>
      <c r="AC974">
        <v>0</v>
      </c>
      <c r="AD974">
        <v>0</v>
      </c>
      <c r="AG974">
        <v>0</v>
      </c>
      <c r="AP974" t="s">
        <v>3682</v>
      </c>
      <c r="AQ974" t="s">
        <v>116</v>
      </c>
      <c r="AR974" t="s">
        <v>6639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BC974" t="s">
        <v>69</v>
      </c>
      <c r="BD974" t="s">
        <v>3683</v>
      </c>
      <c r="BE974">
        <v>0</v>
      </c>
      <c r="BG974" t="s">
        <v>116</v>
      </c>
      <c r="BJ974" t="s">
        <v>3281</v>
      </c>
    </row>
    <row r="975" spans="1:62" x14ac:dyDescent="0.35">
      <c r="A975" t="s">
        <v>3684</v>
      </c>
      <c r="B975">
        <v>10000</v>
      </c>
      <c r="C975">
        <v>10000</v>
      </c>
      <c r="D975" s="2">
        <v>45733</v>
      </c>
      <c r="E975" t="s">
        <v>61</v>
      </c>
      <c r="F975" t="s">
        <v>3315</v>
      </c>
      <c r="G975" t="s">
        <v>3160</v>
      </c>
      <c r="I975">
        <v>1</v>
      </c>
      <c r="J975" t="s">
        <v>63</v>
      </c>
      <c r="K975" s="8">
        <v>46</v>
      </c>
      <c r="L975" s="8" t="s">
        <v>6587</v>
      </c>
      <c r="M975" s="8" t="s">
        <v>6629</v>
      </c>
      <c r="N975" t="s">
        <v>113</v>
      </c>
      <c r="O975" t="s">
        <v>6499</v>
      </c>
      <c r="P975" s="4">
        <v>6000</v>
      </c>
      <c r="Q975">
        <f t="shared" si="250"/>
        <v>195</v>
      </c>
      <c r="R975">
        <f t="shared" si="251"/>
        <v>3.25</v>
      </c>
      <c r="S975" s="2">
        <v>45731</v>
      </c>
      <c r="U975">
        <v>1</v>
      </c>
      <c r="V975" s="4">
        <v>6000</v>
      </c>
      <c r="W975" t="s">
        <v>65</v>
      </c>
      <c r="X975" t="s">
        <v>3685</v>
      </c>
      <c r="Y975">
        <v>0</v>
      </c>
      <c r="Z975" s="4">
        <v>6000</v>
      </c>
      <c r="AA975">
        <v>0</v>
      </c>
      <c r="AB975">
        <v>0</v>
      </c>
      <c r="AC975">
        <v>0</v>
      </c>
      <c r="AD975">
        <v>0</v>
      </c>
      <c r="AG975">
        <v>0</v>
      </c>
      <c r="AP975" t="s">
        <v>3686</v>
      </c>
      <c r="AQ975" t="s">
        <v>116</v>
      </c>
      <c r="AR975" t="s">
        <v>6639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BC975" t="s">
        <v>69</v>
      </c>
      <c r="BD975" t="s">
        <v>3687</v>
      </c>
      <c r="BE975">
        <v>0</v>
      </c>
      <c r="BG975" t="s">
        <v>116</v>
      </c>
      <c r="BJ975" t="s">
        <v>3281</v>
      </c>
    </row>
    <row r="976" spans="1:62" x14ac:dyDescent="0.35">
      <c r="A976" t="s">
        <v>3688</v>
      </c>
      <c r="B976">
        <v>10000</v>
      </c>
      <c r="C976">
        <v>10000</v>
      </c>
      <c r="D976" s="2">
        <v>45733</v>
      </c>
      <c r="E976" t="s">
        <v>61</v>
      </c>
      <c r="F976" t="s">
        <v>3383</v>
      </c>
      <c r="G976" t="s">
        <v>3316</v>
      </c>
      <c r="I976">
        <v>1</v>
      </c>
      <c r="J976" t="s">
        <v>63</v>
      </c>
      <c r="K976" s="8">
        <v>12</v>
      </c>
      <c r="L976" s="8" t="s">
        <v>6604</v>
      </c>
      <c r="M976" s="8" t="s">
        <v>6629</v>
      </c>
      <c r="N976" t="s">
        <v>478</v>
      </c>
      <c r="O976" t="s">
        <v>6434</v>
      </c>
      <c r="P976" s="4">
        <v>20000</v>
      </c>
      <c r="Q976">
        <f t="shared" ref="Q976:Q977" si="252">(P976/50)+45</f>
        <v>445</v>
      </c>
      <c r="R976">
        <f t="shared" ref="R976:R977" si="253">Q976/60</f>
        <v>7.416666666666667</v>
      </c>
      <c r="S976" s="2">
        <v>45731</v>
      </c>
      <c r="U976">
        <v>2</v>
      </c>
      <c r="V976" s="4">
        <v>40000</v>
      </c>
      <c r="W976" t="s">
        <v>65</v>
      </c>
      <c r="X976" t="s">
        <v>3689</v>
      </c>
      <c r="Y976">
        <v>0</v>
      </c>
      <c r="Z976" s="4">
        <v>40000</v>
      </c>
      <c r="AA976">
        <v>0</v>
      </c>
      <c r="AB976">
        <v>0</v>
      </c>
      <c r="AC976">
        <v>0</v>
      </c>
      <c r="AD976">
        <v>0</v>
      </c>
      <c r="AG976">
        <v>0</v>
      </c>
      <c r="AP976" t="s">
        <v>3690</v>
      </c>
      <c r="AQ976" t="s">
        <v>116</v>
      </c>
      <c r="AR976" t="s">
        <v>6639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BC976" t="s">
        <v>69</v>
      </c>
      <c r="BD976" t="s">
        <v>3691</v>
      </c>
      <c r="BE976">
        <v>0</v>
      </c>
      <c r="BG976" t="s">
        <v>116</v>
      </c>
      <c r="BJ976" t="s">
        <v>3313</v>
      </c>
    </row>
    <row r="977" spans="1:62" x14ac:dyDescent="0.35">
      <c r="A977" t="s">
        <v>3692</v>
      </c>
      <c r="B977">
        <v>10000</v>
      </c>
      <c r="C977">
        <v>10000</v>
      </c>
      <c r="D977" s="2">
        <v>45733</v>
      </c>
      <c r="E977" t="s">
        <v>61</v>
      </c>
      <c r="F977" t="s">
        <v>833</v>
      </c>
      <c r="G977" t="s">
        <v>3693</v>
      </c>
      <c r="I977">
        <v>1</v>
      </c>
      <c r="J977" t="s">
        <v>63</v>
      </c>
      <c r="K977" s="8">
        <v>22</v>
      </c>
      <c r="L977" s="8" t="s">
        <v>6603</v>
      </c>
      <c r="M977" s="8" t="s">
        <v>6629</v>
      </c>
      <c r="N977" t="s">
        <v>466</v>
      </c>
      <c r="O977" t="s">
        <v>6474</v>
      </c>
      <c r="P977" s="4">
        <v>17500</v>
      </c>
      <c r="Q977">
        <f t="shared" si="252"/>
        <v>395</v>
      </c>
      <c r="R977">
        <f t="shared" si="253"/>
        <v>6.583333333333333</v>
      </c>
      <c r="S977" s="2">
        <v>45731</v>
      </c>
      <c r="U977">
        <v>2</v>
      </c>
      <c r="V977" s="4">
        <v>35000</v>
      </c>
      <c r="W977" t="s">
        <v>65</v>
      </c>
      <c r="X977" t="s">
        <v>2902</v>
      </c>
      <c r="Y977">
        <v>0</v>
      </c>
      <c r="Z977" s="4">
        <v>35000</v>
      </c>
      <c r="AA977">
        <v>0</v>
      </c>
      <c r="AB977">
        <v>0</v>
      </c>
      <c r="AC977">
        <v>0</v>
      </c>
      <c r="AD977">
        <v>0</v>
      </c>
      <c r="AG977">
        <v>0</v>
      </c>
      <c r="AP977" t="s">
        <v>2903</v>
      </c>
      <c r="AQ977" t="s">
        <v>116</v>
      </c>
      <c r="AR977" t="s">
        <v>6639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BC977" t="s">
        <v>69</v>
      </c>
      <c r="BD977" t="s">
        <v>3694</v>
      </c>
      <c r="BE977">
        <v>0</v>
      </c>
      <c r="BG977" t="s">
        <v>116</v>
      </c>
      <c r="BJ977" t="s">
        <v>3320</v>
      </c>
    </row>
    <row r="978" spans="1:62" x14ac:dyDescent="0.35">
      <c r="A978" t="s">
        <v>3537</v>
      </c>
      <c r="B978">
        <v>10000</v>
      </c>
      <c r="C978">
        <v>20000</v>
      </c>
      <c r="D978" s="2">
        <v>45743</v>
      </c>
      <c r="E978" t="s">
        <v>61</v>
      </c>
      <c r="F978" t="s">
        <v>3538</v>
      </c>
      <c r="G978">
        <v>10639931025</v>
      </c>
      <c r="I978">
        <v>2</v>
      </c>
      <c r="J978" t="s">
        <v>63</v>
      </c>
      <c r="K978" s="8">
        <v>77</v>
      </c>
      <c r="L978" s="8" t="s">
        <v>6584</v>
      </c>
      <c r="M978" s="8" t="s">
        <v>6627</v>
      </c>
      <c r="N978" t="s">
        <v>127</v>
      </c>
      <c r="O978" t="s">
        <v>6567</v>
      </c>
      <c r="P978" s="4">
        <v>2884</v>
      </c>
      <c r="Q978">
        <f>(P978/60)+45</f>
        <v>93.066666666666663</v>
      </c>
      <c r="R978">
        <f>Q978/60</f>
        <v>1.5511111111111111</v>
      </c>
      <c r="S978" s="2">
        <v>45731</v>
      </c>
      <c r="U978">
        <v>77</v>
      </c>
      <c r="V978" s="4">
        <v>222068</v>
      </c>
      <c r="W978" t="s">
        <v>65</v>
      </c>
      <c r="X978" t="s">
        <v>3539</v>
      </c>
      <c r="Y978">
        <v>0</v>
      </c>
      <c r="Z978" s="4">
        <v>200000</v>
      </c>
      <c r="AA978" s="4">
        <v>22068</v>
      </c>
      <c r="AB978">
        <v>0</v>
      </c>
      <c r="AC978">
        <v>0</v>
      </c>
      <c r="AD978">
        <v>0</v>
      </c>
      <c r="AG978">
        <v>0</v>
      </c>
      <c r="AP978" t="s">
        <v>3540</v>
      </c>
      <c r="AQ978" t="s">
        <v>107</v>
      </c>
      <c r="AR978" t="s">
        <v>6638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BC978" t="s">
        <v>69</v>
      </c>
      <c r="BD978" t="s">
        <v>3541</v>
      </c>
      <c r="BE978">
        <v>0</v>
      </c>
      <c r="BG978" t="s">
        <v>107</v>
      </c>
      <c r="BJ978" t="s">
        <v>3542</v>
      </c>
    </row>
    <row r="979" spans="1:62" x14ac:dyDescent="0.35">
      <c r="A979" t="s">
        <v>3695</v>
      </c>
      <c r="B979">
        <v>10000</v>
      </c>
      <c r="C979">
        <v>10000</v>
      </c>
      <c r="D979" s="2">
        <v>45733</v>
      </c>
      <c r="E979" t="s">
        <v>61</v>
      </c>
      <c r="F979" t="s">
        <v>3641</v>
      </c>
      <c r="G979" t="s">
        <v>418</v>
      </c>
      <c r="I979">
        <v>1</v>
      </c>
      <c r="J979" t="s">
        <v>63</v>
      </c>
      <c r="K979" s="8">
        <v>59</v>
      </c>
      <c r="L979" s="8" t="s">
        <v>6592</v>
      </c>
      <c r="M979" s="8" t="s">
        <v>6629</v>
      </c>
      <c r="N979" t="s">
        <v>745</v>
      </c>
      <c r="O979" t="s">
        <v>6501</v>
      </c>
      <c r="P979">
        <v>100</v>
      </c>
      <c r="Q979">
        <f t="shared" ref="Q979:Q980" si="254">(P979/40)+45</f>
        <v>47.5</v>
      </c>
      <c r="R979">
        <f t="shared" ref="R979:R980" si="255">Q979/60</f>
        <v>0.79166666666666663</v>
      </c>
      <c r="S979" s="2">
        <v>45731</v>
      </c>
      <c r="U979">
        <v>10</v>
      </c>
      <c r="V979" s="4">
        <v>1000</v>
      </c>
      <c r="W979" t="s">
        <v>65</v>
      </c>
      <c r="X979">
        <v>112024680001</v>
      </c>
      <c r="Y979">
        <v>0</v>
      </c>
      <c r="Z979" s="4">
        <v>1000</v>
      </c>
      <c r="AA979">
        <v>0</v>
      </c>
      <c r="AB979">
        <v>0</v>
      </c>
      <c r="AC979">
        <v>0</v>
      </c>
      <c r="AD979">
        <v>0</v>
      </c>
      <c r="AG979">
        <v>0</v>
      </c>
      <c r="AP979">
        <v>11202468</v>
      </c>
      <c r="AQ979" t="s">
        <v>182</v>
      </c>
      <c r="AR979" t="s">
        <v>6643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BC979" t="s">
        <v>69</v>
      </c>
      <c r="BD979" t="s">
        <v>3696</v>
      </c>
      <c r="BE979">
        <v>0</v>
      </c>
      <c r="BG979" t="s">
        <v>182</v>
      </c>
      <c r="BJ979" t="s">
        <v>3697</v>
      </c>
    </row>
    <row r="980" spans="1:62" x14ac:dyDescent="0.35">
      <c r="A980" t="s">
        <v>3695</v>
      </c>
      <c r="B980">
        <v>20000</v>
      </c>
      <c r="C980">
        <v>10000</v>
      </c>
      <c r="D980" s="2">
        <v>45733</v>
      </c>
      <c r="E980" t="s">
        <v>61</v>
      </c>
      <c r="F980" t="s">
        <v>3641</v>
      </c>
      <c r="G980" t="s">
        <v>418</v>
      </c>
      <c r="I980">
        <v>1</v>
      </c>
      <c r="J980" t="s">
        <v>63</v>
      </c>
      <c r="K980" s="8">
        <v>59</v>
      </c>
      <c r="L980" s="8" t="s">
        <v>6592</v>
      </c>
      <c r="M980" s="8" t="s">
        <v>6629</v>
      </c>
      <c r="N980" t="s">
        <v>745</v>
      </c>
      <c r="O980" t="s">
        <v>6501</v>
      </c>
      <c r="P980">
        <v>100</v>
      </c>
      <c r="Q980">
        <f t="shared" si="254"/>
        <v>47.5</v>
      </c>
      <c r="R980">
        <f t="shared" si="255"/>
        <v>0.79166666666666663</v>
      </c>
      <c r="S980" s="2">
        <v>45731</v>
      </c>
      <c r="U980">
        <v>10</v>
      </c>
      <c r="V980" s="4">
        <v>1000</v>
      </c>
      <c r="W980" t="s">
        <v>65</v>
      </c>
      <c r="X980">
        <v>112024680001</v>
      </c>
      <c r="Y980">
        <v>0</v>
      </c>
      <c r="Z980" s="4">
        <v>1000</v>
      </c>
      <c r="AA980">
        <v>0</v>
      </c>
      <c r="AB980">
        <v>0</v>
      </c>
      <c r="AC980">
        <v>0</v>
      </c>
      <c r="AD980">
        <v>0</v>
      </c>
      <c r="AG980">
        <v>0</v>
      </c>
      <c r="AP980">
        <v>11202468</v>
      </c>
      <c r="AQ980" t="s">
        <v>182</v>
      </c>
      <c r="AR980" t="s">
        <v>6643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BC980" t="s">
        <v>69</v>
      </c>
      <c r="BD980" t="s">
        <v>3696</v>
      </c>
      <c r="BE980">
        <v>0</v>
      </c>
      <c r="BG980" t="s">
        <v>182</v>
      </c>
      <c r="BJ980" t="s">
        <v>3697</v>
      </c>
    </row>
    <row r="981" spans="1:62" x14ac:dyDescent="0.35">
      <c r="A981" t="s">
        <v>3698</v>
      </c>
      <c r="B981">
        <v>10000</v>
      </c>
      <c r="C981">
        <v>10000</v>
      </c>
      <c r="D981" s="2">
        <v>45735</v>
      </c>
      <c r="E981" t="s">
        <v>95</v>
      </c>
      <c r="F981" t="s">
        <v>1363</v>
      </c>
      <c r="G981" t="s">
        <v>89</v>
      </c>
      <c r="I981">
        <v>1</v>
      </c>
      <c r="J981" t="s">
        <v>63</v>
      </c>
      <c r="K981" s="8">
        <v>73</v>
      </c>
      <c r="L981" t="s">
        <v>6586</v>
      </c>
      <c r="M981" s="8" t="s">
        <v>6627</v>
      </c>
      <c r="N981" t="s">
        <v>98</v>
      </c>
      <c r="O981" t="s">
        <v>6549</v>
      </c>
      <c r="P981" s="4">
        <v>60000</v>
      </c>
      <c r="S981" s="2">
        <v>45731</v>
      </c>
      <c r="U981">
        <v>12</v>
      </c>
      <c r="V981" s="4">
        <v>720000</v>
      </c>
      <c r="W981" t="s">
        <v>65</v>
      </c>
      <c r="X981">
        <v>80256230001</v>
      </c>
      <c r="Y981">
        <v>0</v>
      </c>
      <c r="Z981" s="4">
        <v>720000</v>
      </c>
      <c r="AA981">
        <v>0</v>
      </c>
      <c r="AB981">
        <v>0</v>
      </c>
      <c r="AC981">
        <v>0</v>
      </c>
      <c r="AD981">
        <v>0</v>
      </c>
      <c r="AG981">
        <v>0</v>
      </c>
      <c r="AP981">
        <v>8025623</v>
      </c>
      <c r="AQ981" t="s">
        <v>91</v>
      </c>
      <c r="AR981" t="s">
        <v>6637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BC981" t="s">
        <v>69</v>
      </c>
      <c r="BD981" t="s">
        <v>3699</v>
      </c>
      <c r="BE981">
        <v>0</v>
      </c>
      <c r="BG981" t="s">
        <v>91</v>
      </c>
      <c r="BJ981" t="s">
        <v>3700</v>
      </c>
    </row>
    <row r="982" spans="1:62" x14ac:dyDescent="0.35">
      <c r="A982" t="s">
        <v>3702</v>
      </c>
      <c r="B982">
        <v>10000</v>
      </c>
      <c r="C982">
        <v>20000</v>
      </c>
      <c r="D982" s="2">
        <v>45734</v>
      </c>
      <c r="E982" t="s">
        <v>61</v>
      </c>
      <c r="F982" t="s">
        <v>3703</v>
      </c>
      <c r="G982" t="s">
        <v>3704</v>
      </c>
      <c r="I982">
        <v>2</v>
      </c>
      <c r="J982" t="s">
        <v>63</v>
      </c>
      <c r="K982" s="8">
        <v>77</v>
      </c>
      <c r="L982" s="8" t="s">
        <v>6584</v>
      </c>
      <c r="M982" s="8" t="s">
        <v>6627</v>
      </c>
      <c r="N982" t="s">
        <v>127</v>
      </c>
      <c r="O982" t="s">
        <v>6567</v>
      </c>
      <c r="P982" s="4">
        <v>32000</v>
      </c>
      <c r="Q982">
        <f>(P982/60)+45</f>
        <v>578.33333333333337</v>
      </c>
      <c r="R982">
        <f>Q982/60</f>
        <v>9.6388888888888893</v>
      </c>
      <c r="S982" s="2">
        <v>45732</v>
      </c>
      <c r="U982">
        <v>10</v>
      </c>
      <c r="V982" s="4">
        <v>320000</v>
      </c>
      <c r="W982" t="s">
        <v>65</v>
      </c>
      <c r="X982" t="s">
        <v>3705</v>
      </c>
      <c r="Y982">
        <v>0</v>
      </c>
      <c r="Z982" s="4">
        <v>300000</v>
      </c>
      <c r="AA982" s="4">
        <v>20000</v>
      </c>
      <c r="AB982">
        <v>0</v>
      </c>
      <c r="AC982">
        <v>0</v>
      </c>
      <c r="AD982">
        <v>0</v>
      </c>
      <c r="AG982">
        <v>0</v>
      </c>
      <c r="AP982" t="s">
        <v>3706</v>
      </c>
      <c r="AQ982" t="s">
        <v>107</v>
      </c>
      <c r="AR982" t="s">
        <v>6638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BC982" t="s">
        <v>69</v>
      </c>
      <c r="BD982" t="s">
        <v>3707</v>
      </c>
      <c r="BE982">
        <v>0</v>
      </c>
      <c r="BG982" t="s">
        <v>107</v>
      </c>
      <c r="BJ982" t="s">
        <v>3708</v>
      </c>
    </row>
    <row r="983" spans="1:62" x14ac:dyDescent="0.35">
      <c r="A983" t="s">
        <v>3710</v>
      </c>
      <c r="B983">
        <v>10000</v>
      </c>
      <c r="C983">
        <v>10000</v>
      </c>
      <c r="D983" s="2">
        <v>45737</v>
      </c>
      <c r="E983" t="s">
        <v>61</v>
      </c>
      <c r="F983" t="s">
        <v>3711</v>
      </c>
      <c r="G983" t="s">
        <v>3462</v>
      </c>
      <c r="H983" t="s">
        <v>3712</v>
      </c>
      <c r="I983">
        <v>1</v>
      </c>
      <c r="J983" t="s">
        <v>69</v>
      </c>
      <c r="K983" s="8">
        <v>62</v>
      </c>
      <c r="L983" s="8" t="s">
        <v>6600</v>
      </c>
      <c r="M983" s="8" t="s">
        <v>6630</v>
      </c>
      <c r="N983" t="s">
        <v>385</v>
      </c>
      <c r="O983" t="s">
        <v>6541</v>
      </c>
      <c r="P983" s="4">
        <v>105000</v>
      </c>
      <c r="Q983">
        <f>(P983/50)+45</f>
        <v>2145</v>
      </c>
      <c r="R983">
        <f>Q983/60</f>
        <v>35.75</v>
      </c>
      <c r="S983" s="2">
        <v>45733</v>
      </c>
      <c r="U983">
        <v>1</v>
      </c>
      <c r="V983" s="4">
        <v>105000</v>
      </c>
      <c r="W983" t="s">
        <v>65</v>
      </c>
      <c r="X983" t="s">
        <v>2488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G983">
        <v>0</v>
      </c>
      <c r="AK983" t="s">
        <v>69</v>
      </c>
      <c r="AL983">
        <v>0</v>
      </c>
      <c r="AM983" t="s">
        <v>69</v>
      </c>
      <c r="AP983" t="s">
        <v>2489</v>
      </c>
      <c r="AQ983" t="s">
        <v>175</v>
      </c>
      <c r="AR983" t="s">
        <v>6642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BC983" t="s">
        <v>69</v>
      </c>
      <c r="BG983" t="s">
        <v>175</v>
      </c>
      <c r="BJ983" t="s">
        <v>3713</v>
      </c>
    </row>
    <row r="984" spans="1:62" x14ac:dyDescent="0.35">
      <c r="A984" t="s">
        <v>3710</v>
      </c>
      <c r="B984">
        <v>10000</v>
      </c>
      <c r="C984">
        <v>20000</v>
      </c>
      <c r="D984" s="2">
        <v>45737</v>
      </c>
      <c r="E984" t="s">
        <v>61</v>
      </c>
      <c r="F984" t="s">
        <v>3711</v>
      </c>
      <c r="G984" t="s">
        <v>3462</v>
      </c>
      <c r="H984" t="s">
        <v>3712</v>
      </c>
      <c r="I984">
        <v>1</v>
      </c>
      <c r="J984" t="s">
        <v>69</v>
      </c>
      <c r="K984" s="8">
        <v>62</v>
      </c>
      <c r="L984" t="s">
        <v>6600</v>
      </c>
      <c r="M984" s="8" t="s">
        <v>6630</v>
      </c>
      <c r="N984" t="s">
        <v>380</v>
      </c>
      <c r="O984" t="s">
        <v>6558</v>
      </c>
      <c r="P984" s="4">
        <v>135000</v>
      </c>
      <c r="S984" s="2">
        <v>45733</v>
      </c>
      <c r="U984">
        <v>1</v>
      </c>
      <c r="V984" s="4">
        <v>135000</v>
      </c>
      <c r="W984" t="s">
        <v>65</v>
      </c>
      <c r="X984" t="s">
        <v>2488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G984">
        <v>0</v>
      </c>
      <c r="AK984" t="s">
        <v>69</v>
      </c>
      <c r="AL984">
        <v>0</v>
      </c>
      <c r="AM984" t="s">
        <v>69</v>
      </c>
      <c r="AP984" t="s">
        <v>2489</v>
      </c>
      <c r="AQ984" t="s">
        <v>175</v>
      </c>
      <c r="AR984" t="s">
        <v>6642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BC984" t="s">
        <v>69</v>
      </c>
      <c r="BG984" t="s">
        <v>175</v>
      </c>
      <c r="BJ984" t="s">
        <v>3713</v>
      </c>
    </row>
    <row r="985" spans="1:62" x14ac:dyDescent="0.35">
      <c r="A985" t="s">
        <v>3373</v>
      </c>
      <c r="B985">
        <v>10000</v>
      </c>
      <c r="C985">
        <v>50000</v>
      </c>
      <c r="D985" s="2">
        <v>45733</v>
      </c>
      <c r="E985" t="s">
        <v>61</v>
      </c>
      <c r="F985" t="s">
        <v>3374</v>
      </c>
      <c r="G985">
        <v>10639931088</v>
      </c>
      <c r="I985">
        <v>3</v>
      </c>
      <c r="J985" t="s">
        <v>63</v>
      </c>
      <c r="K985" s="8">
        <v>91</v>
      </c>
      <c r="L985" s="8" t="s">
        <v>6585</v>
      </c>
      <c r="M985" s="8" t="s">
        <v>6628</v>
      </c>
      <c r="N985" t="s">
        <v>104</v>
      </c>
      <c r="O985" t="s">
        <v>6579</v>
      </c>
      <c r="P985" s="4">
        <v>56000</v>
      </c>
      <c r="S985" s="2">
        <v>45733</v>
      </c>
      <c r="U985">
        <v>9</v>
      </c>
      <c r="V985" s="4">
        <v>504000</v>
      </c>
      <c r="W985" t="s">
        <v>65</v>
      </c>
      <c r="X985" t="s">
        <v>66</v>
      </c>
      <c r="Y985">
        <v>0</v>
      </c>
      <c r="Z985" s="4">
        <v>500000</v>
      </c>
      <c r="AA985" s="4">
        <v>4000</v>
      </c>
      <c r="AB985">
        <v>0</v>
      </c>
      <c r="AC985">
        <v>0</v>
      </c>
      <c r="AD985">
        <v>0</v>
      </c>
      <c r="AG985">
        <v>0</v>
      </c>
      <c r="AP985" t="s">
        <v>67</v>
      </c>
      <c r="AQ985" t="s">
        <v>68</v>
      </c>
      <c r="AR985" t="s">
        <v>6636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BC985" t="s">
        <v>69</v>
      </c>
      <c r="BD985" t="s">
        <v>3375</v>
      </c>
      <c r="BE985">
        <v>0</v>
      </c>
      <c r="BG985" t="s">
        <v>68</v>
      </c>
      <c r="BJ985" t="s">
        <v>3376</v>
      </c>
    </row>
    <row r="986" spans="1:62" x14ac:dyDescent="0.35">
      <c r="A986" t="s">
        <v>3714</v>
      </c>
      <c r="B986">
        <v>10000</v>
      </c>
      <c r="C986">
        <v>30000</v>
      </c>
      <c r="D986" s="2">
        <v>45740</v>
      </c>
      <c r="E986" t="s">
        <v>61</v>
      </c>
      <c r="F986" t="s">
        <v>3715</v>
      </c>
      <c r="G986" t="s">
        <v>3716</v>
      </c>
      <c r="I986">
        <v>2</v>
      </c>
      <c r="J986" t="s">
        <v>63</v>
      </c>
      <c r="K986" s="8">
        <v>77</v>
      </c>
      <c r="L986" s="8" t="s">
        <v>6584</v>
      </c>
      <c r="M986" s="8" t="s">
        <v>6627</v>
      </c>
      <c r="N986" t="s">
        <v>127</v>
      </c>
      <c r="O986" t="s">
        <v>6567</v>
      </c>
      <c r="P986" s="4">
        <v>29723</v>
      </c>
      <c r="Q986">
        <f t="shared" ref="Q986:Q987" si="256">(P986/60)+45</f>
        <v>540.38333333333333</v>
      </c>
      <c r="R986">
        <f t="shared" ref="R986:R987" si="257">Q986/60</f>
        <v>9.006388888888889</v>
      </c>
      <c r="S986" s="2">
        <v>45733</v>
      </c>
      <c r="U986">
        <v>36</v>
      </c>
      <c r="V986" s="4">
        <v>1070028</v>
      </c>
      <c r="W986" t="s">
        <v>65</v>
      </c>
      <c r="X986" t="s">
        <v>76</v>
      </c>
      <c r="Y986">
        <v>0</v>
      </c>
      <c r="Z986" s="4">
        <v>1000000</v>
      </c>
      <c r="AA986" s="4">
        <v>70028</v>
      </c>
      <c r="AB986">
        <v>0</v>
      </c>
      <c r="AC986">
        <v>0</v>
      </c>
      <c r="AD986">
        <v>0</v>
      </c>
      <c r="AG986">
        <v>0</v>
      </c>
      <c r="AP986" t="s">
        <v>77</v>
      </c>
      <c r="AQ986" t="s">
        <v>68</v>
      </c>
      <c r="AR986" t="s">
        <v>6636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BC986" t="s">
        <v>69</v>
      </c>
      <c r="BD986" t="s">
        <v>3717</v>
      </c>
      <c r="BE986">
        <v>0</v>
      </c>
      <c r="BG986" t="s">
        <v>68</v>
      </c>
      <c r="BJ986" t="s">
        <v>3718</v>
      </c>
    </row>
    <row r="987" spans="1:62" x14ac:dyDescent="0.35">
      <c r="A987" t="s">
        <v>3719</v>
      </c>
      <c r="B987">
        <v>10000</v>
      </c>
      <c r="C987">
        <v>10000</v>
      </c>
      <c r="D987" s="2">
        <v>45734</v>
      </c>
      <c r="E987" t="s">
        <v>61</v>
      </c>
      <c r="F987" t="s">
        <v>3720</v>
      </c>
      <c r="G987" t="s">
        <v>89</v>
      </c>
      <c r="I987">
        <v>1</v>
      </c>
      <c r="J987" t="s">
        <v>63</v>
      </c>
      <c r="K987" s="8">
        <v>73</v>
      </c>
      <c r="L987" s="8" t="s">
        <v>6586</v>
      </c>
      <c r="M987" s="8" t="s">
        <v>6627</v>
      </c>
      <c r="N987" t="s">
        <v>90</v>
      </c>
      <c r="O987" t="s">
        <v>6564</v>
      </c>
      <c r="P987" s="4">
        <v>12000</v>
      </c>
      <c r="Q987">
        <f t="shared" si="256"/>
        <v>245</v>
      </c>
      <c r="R987">
        <f t="shared" si="257"/>
        <v>4.083333333333333</v>
      </c>
      <c r="S987" s="2">
        <v>45733</v>
      </c>
      <c r="U987">
        <v>12</v>
      </c>
      <c r="V987" s="4">
        <v>144000</v>
      </c>
      <c r="W987" t="s">
        <v>65</v>
      </c>
      <c r="X987">
        <v>80256240001</v>
      </c>
      <c r="Y987">
        <v>0</v>
      </c>
      <c r="Z987" s="4">
        <v>144000</v>
      </c>
      <c r="AA987">
        <v>0</v>
      </c>
      <c r="AB987">
        <v>0</v>
      </c>
      <c r="AC987">
        <v>0</v>
      </c>
      <c r="AD987">
        <v>0</v>
      </c>
      <c r="AG987">
        <v>0</v>
      </c>
      <c r="AP987">
        <v>8025624</v>
      </c>
      <c r="AQ987" t="s">
        <v>91</v>
      </c>
      <c r="AR987" t="s">
        <v>6637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BC987" t="s">
        <v>69</v>
      </c>
      <c r="BD987" t="s">
        <v>3721</v>
      </c>
      <c r="BE987">
        <v>0</v>
      </c>
      <c r="BG987" t="s">
        <v>91</v>
      </c>
      <c r="BJ987" t="s">
        <v>3722</v>
      </c>
    </row>
    <row r="988" spans="1:62" x14ac:dyDescent="0.35">
      <c r="A988" t="s">
        <v>3719</v>
      </c>
      <c r="B988">
        <v>10000</v>
      </c>
      <c r="C988">
        <v>20000</v>
      </c>
      <c r="D988" s="2">
        <v>45734</v>
      </c>
      <c r="E988" t="s">
        <v>61</v>
      </c>
      <c r="F988" t="s">
        <v>3720</v>
      </c>
      <c r="G988" t="s">
        <v>89</v>
      </c>
      <c r="I988">
        <v>1</v>
      </c>
      <c r="J988" t="s">
        <v>63</v>
      </c>
      <c r="K988" s="8">
        <v>73</v>
      </c>
      <c r="L988" s="8" t="s">
        <v>6586</v>
      </c>
      <c r="M988" s="8" t="s">
        <v>6627</v>
      </c>
      <c r="N988" t="s">
        <v>98</v>
      </c>
      <c r="O988" t="s">
        <v>6549</v>
      </c>
      <c r="P988" s="4">
        <v>12000</v>
      </c>
      <c r="S988" s="2">
        <v>45733</v>
      </c>
      <c r="U988">
        <v>12</v>
      </c>
      <c r="V988" s="4">
        <v>144000</v>
      </c>
      <c r="W988" t="s">
        <v>65</v>
      </c>
      <c r="X988">
        <v>80256240001</v>
      </c>
      <c r="Y988">
        <v>0</v>
      </c>
      <c r="Z988" s="4">
        <v>144000</v>
      </c>
      <c r="AA988">
        <v>0</v>
      </c>
      <c r="AB988">
        <v>0</v>
      </c>
      <c r="AC988">
        <v>0</v>
      </c>
      <c r="AD988">
        <v>0</v>
      </c>
      <c r="AG988">
        <v>0</v>
      </c>
      <c r="AP988">
        <v>8025624</v>
      </c>
      <c r="AQ988" t="s">
        <v>91</v>
      </c>
      <c r="AR988" t="s">
        <v>6637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BC988" t="s">
        <v>69</v>
      </c>
      <c r="BD988" t="s">
        <v>3721</v>
      </c>
      <c r="BE988">
        <v>0</v>
      </c>
      <c r="BG988" t="s">
        <v>91</v>
      </c>
      <c r="BJ988" t="s">
        <v>3722</v>
      </c>
    </row>
    <row r="989" spans="1:62" x14ac:dyDescent="0.35">
      <c r="A989" t="s">
        <v>3389</v>
      </c>
      <c r="B989">
        <v>10000</v>
      </c>
      <c r="C989">
        <v>20000</v>
      </c>
      <c r="D989" s="2">
        <v>45733</v>
      </c>
      <c r="E989" t="s">
        <v>61</v>
      </c>
      <c r="F989" t="s">
        <v>3390</v>
      </c>
      <c r="G989" t="s">
        <v>89</v>
      </c>
      <c r="I989">
        <v>1</v>
      </c>
      <c r="J989" t="s">
        <v>63</v>
      </c>
      <c r="K989" s="8">
        <v>73</v>
      </c>
      <c r="L989" s="8" t="s">
        <v>6586</v>
      </c>
      <c r="M989" s="8" t="s">
        <v>6627</v>
      </c>
      <c r="N989" t="s">
        <v>90</v>
      </c>
      <c r="O989" t="s">
        <v>6564</v>
      </c>
      <c r="P989" s="4">
        <v>12000</v>
      </c>
      <c r="Q989">
        <f t="shared" ref="Q989:Q990" si="258">(P989/60)+45</f>
        <v>245</v>
      </c>
      <c r="R989">
        <f t="shared" ref="R989:R990" si="259">Q989/60</f>
        <v>4.083333333333333</v>
      </c>
      <c r="S989" s="2">
        <v>45733</v>
      </c>
      <c r="U989">
        <v>12</v>
      </c>
      <c r="V989" s="4">
        <v>144000</v>
      </c>
      <c r="W989" t="s">
        <v>65</v>
      </c>
      <c r="X989">
        <v>80256250001</v>
      </c>
      <c r="Y989">
        <v>0</v>
      </c>
      <c r="Z989" s="4">
        <v>144000</v>
      </c>
      <c r="AA989">
        <v>0</v>
      </c>
      <c r="AB989">
        <v>0</v>
      </c>
      <c r="AC989">
        <v>0</v>
      </c>
      <c r="AD989">
        <v>0</v>
      </c>
      <c r="AG989">
        <v>0</v>
      </c>
      <c r="AP989">
        <v>8025625</v>
      </c>
      <c r="AQ989" t="s">
        <v>91</v>
      </c>
      <c r="AR989" t="s">
        <v>6637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BC989" t="s">
        <v>69</v>
      </c>
      <c r="BD989" t="s">
        <v>3391</v>
      </c>
      <c r="BE989">
        <v>0</v>
      </c>
      <c r="BG989" t="s">
        <v>91</v>
      </c>
      <c r="BJ989" t="s">
        <v>3392</v>
      </c>
    </row>
    <row r="990" spans="1:62" x14ac:dyDescent="0.35">
      <c r="A990" t="s">
        <v>3724</v>
      </c>
      <c r="B990">
        <v>10000</v>
      </c>
      <c r="C990">
        <v>10000</v>
      </c>
      <c r="D990" s="2">
        <v>45734</v>
      </c>
      <c r="E990" t="s">
        <v>61</v>
      </c>
      <c r="F990" t="s">
        <v>3725</v>
      </c>
      <c r="G990" t="s">
        <v>89</v>
      </c>
      <c r="I990">
        <v>1</v>
      </c>
      <c r="J990" t="s">
        <v>63</v>
      </c>
      <c r="K990" s="8">
        <v>73</v>
      </c>
      <c r="L990" s="8" t="s">
        <v>6586</v>
      </c>
      <c r="M990" s="8" t="s">
        <v>6627</v>
      </c>
      <c r="N990" t="s">
        <v>90</v>
      </c>
      <c r="O990" t="s">
        <v>6564</v>
      </c>
      <c r="P990" s="4">
        <v>24000</v>
      </c>
      <c r="Q990">
        <f t="shared" si="258"/>
        <v>445</v>
      </c>
      <c r="R990">
        <f t="shared" si="259"/>
        <v>7.416666666666667</v>
      </c>
      <c r="S990" s="2">
        <v>45733</v>
      </c>
      <c r="U990">
        <v>12</v>
      </c>
      <c r="V990" s="4">
        <v>288000</v>
      </c>
      <c r="W990" t="s">
        <v>65</v>
      </c>
      <c r="X990">
        <v>80256250001</v>
      </c>
      <c r="Y990">
        <v>0</v>
      </c>
      <c r="Z990" s="4">
        <v>288000</v>
      </c>
      <c r="AA990">
        <v>0</v>
      </c>
      <c r="AB990">
        <v>0</v>
      </c>
      <c r="AC990">
        <v>0</v>
      </c>
      <c r="AD990">
        <v>0</v>
      </c>
      <c r="AG990">
        <v>0</v>
      </c>
      <c r="AP990">
        <v>8025625</v>
      </c>
      <c r="AQ990" t="s">
        <v>91</v>
      </c>
      <c r="AR990" t="s">
        <v>6637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BC990" t="s">
        <v>69</v>
      </c>
      <c r="BD990" t="s">
        <v>3726</v>
      </c>
      <c r="BE990">
        <v>0</v>
      </c>
      <c r="BG990" t="s">
        <v>91</v>
      </c>
      <c r="BJ990" t="s">
        <v>3727</v>
      </c>
    </row>
    <row r="991" spans="1:62" x14ac:dyDescent="0.35">
      <c r="A991" t="s">
        <v>3728</v>
      </c>
      <c r="B991">
        <v>10000</v>
      </c>
      <c r="C991">
        <v>20000</v>
      </c>
      <c r="D991" s="2">
        <v>45733</v>
      </c>
      <c r="E991" t="s">
        <v>61</v>
      </c>
      <c r="F991" t="s">
        <v>3729</v>
      </c>
      <c r="G991" t="s">
        <v>2069</v>
      </c>
      <c r="I991">
        <v>1</v>
      </c>
      <c r="J991" t="s">
        <v>63</v>
      </c>
      <c r="K991" s="8">
        <v>94</v>
      </c>
      <c r="L991" s="8" t="s">
        <v>6599</v>
      </c>
      <c r="M991" s="8" t="s">
        <v>6629</v>
      </c>
      <c r="N991" t="s">
        <v>181</v>
      </c>
      <c r="O991" t="s">
        <v>6544</v>
      </c>
      <c r="P991">
        <v>50</v>
      </c>
      <c r="S991" s="2">
        <v>45733</v>
      </c>
      <c r="U991">
        <v>4</v>
      </c>
      <c r="V991">
        <v>200</v>
      </c>
      <c r="W991" t="s">
        <v>65</v>
      </c>
      <c r="X991" t="s">
        <v>3658</v>
      </c>
      <c r="Y991">
        <v>0</v>
      </c>
      <c r="Z991">
        <v>200</v>
      </c>
      <c r="AA991">
        <v>0</v>
      </c>
      <c r="AB991">
        <v>0</v>
      </c>
      <c r="AC991">
        <v>0</v>
      </c>
      <c r="AD991">
        <v>0</v>
      </c>
      <c r="AG991">
        <v>0</v>
      </c>
      <c r="AP991" t="s">
        <v>3659</v>
      </c>
      <c r="AQ991" t="s">
        <v>364</v>
      </c>
      <c r="AR991" t="s">
        <v>6653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BC991" t="s">
        <v>69</v>
      </c>
      <c r="BD991" t="s">
        <v>3730</v>
      </c>
      <c r="BE991">
        <v>0</v>
      </c>
      <c r="BG991" t="s">
        <v>364</v>
      </c>
      <c r="BJ991" t="s">
        <v>3731</v>
      </c>
    </row>
    <row r="992" spans="1:62" x14ac:dyDescent="0.35">
      <c r="A992" t="s">
        <v>1344</v>
      </c>
      <c r="B992">
        <v>10000</v>
      </c>
      <c r="C992">
        <v>30000</v>
      </c>
      <c r="D992" s="2">
        <v>45734</v>
      </c>
      <c r="E992" t="s">
        <v>61</v>
      </c>
      <c r="F992" t="s">
        <v>1345</v>
      </c>
      <c r="G992" t="s">
        <v>1346</v>
      </c>
      <c r="I992">
        <v>3</v>
      </c>
      <c r="J992" t="s">
        <v>63</v>
      </c>
      <c r="K992" s="8">
        <v>85</v>
      </c>
      <c r="L992" s="8" t="s">
        <v>6585</v>
      </c>
      <c r="M992" s="8" t="s">
        <v>6628</v>
      </c>
      <c r="N992" t="s">
        <v>327</v>
      </c>
      <c r="O992" t="s">
        <v>6580</v>
      </c>
      <c r="P992" s="4">
        <v>20000</v>
      </c>
      <c r="S992" s="2">
        <v>45733</v>
      </c>
      <c r="U992">
        <v>11</v>
      </c>
      <c r="V992" s="4">
        <v>220000</v>
      </c>
      <c r="W992" t="s">
        <v>65</v>
      </c>
      <c r="X992" t="s">
        <v>1347</v>
      </c>
      <c r="Y992">
        <v>0</v>
      </c>
      <c r="Z992" s="4">
        <v>200000</v>
      </c>
      <c r="AA992" s="4">
        <v>20000</v>
      </c>
      <c r="AB992">
        <v>0</v>
      </c>
      <c r="AC992">
        <v>0</v>
      </c>
      <c r="AD992">
        <v>0</v>
      </c>
      <c r="AG992">
        <v>0</v>
      </c>
      <c r="AP992" t="s">
        <v>1348</v>
      </c>
      <c r="AQ992" t="s">
        <v>107</v>
      </c>
      <c r="AR992" t="s">
        <v>6638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BC992" t="s">
        <v>69</v>
      </c>
      <c r="BD992" t="s">
        <v>1349</v>
      </c>
      <c r="BE992">
        <v>0</v>
      </c>
      <c r="BG992" t="s">
        <v>107</v>
      </c>
      <c r="BJ992" t="s">
        <v>1350</v>
      </c>
    </row>
    <row r="993" spans="1:62" x14ac:dyDescent="0.35">
      <c r="A993" t="s">
        <v>1373</v>
      </c>
      <c r="B993">
        <v>10000</v>
      </c>
      <c r="C993">
        <v>30000</v>
      </c>
      <c r="D993" s="2">
        <v>45734</v>
      </c>
      <c r="E993" t="s">
        <v>61</v>
      </c>
      <c r="F993" t="s">
        <v>1374</v>
      </c>
      <c r="G993" t="s">
        <v>1346</v>
      </c>
      <c r="I993">
        <v>3</v>
      </c>
      <c r="J993" t="s">
        <v>63</v>
      </c>
      <c r="K993" s="8">
        <v>85</v>
      </c>
      <c r="L993" s="8" t="s">
        <v>6585</v>
      </c>
      <c r="M993" s="8" t="s">
        <v>6628</v>
      </c>
      <c r="N993" t="s">
        <v>327</v>
      </c>
      <c r="O993" t="s">
        <v>6580</v>
      </c>
      <c r="P993" s="4">
        <v>20000</v>
      </c>
      <c r="S993" s="2">
        <v>45733</v>
      </c>
      <c r="U993">
        <v>11</v>
      </c>
      <c r="V993" s="4">
        <v>220000</v>
      </c>
      <c r="W993" t="s">
        <v>65</v>
      </c>
      <c r="X993" t="s">
        <v>1375</v>
      </c>
      <c r="Y993">
        <v>0</v>
      </c>
      <c r="Z993" s="4">
        <v>200000</v>
      </c>
      <c r="AA993" s="4">
        <v>20000</v>
      </c>
      <c r="AB993">
        <v>0</v>
      </c>
      <c r="AC993">
        <v>0</v>
      </c>
      <c r="AD993">
        <v>0</v>
      </c>
      <c r="AG993">
        <v>0</v>
      </c>
      <c r="AP993" t="s">
        <v>1376</v>
      </c>
      <c r="AQ993" t="s">
        <v>107</v>
      </c>
      <c r="AR993" t="s">
        <v>6638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BC993" t="s">
        <v>69</v>
      </c>
      <c r="BD993" t="s">
        <v>1377</v>
      </c>
      <c r="BE993">
        <v>0</v>
      </c>
      <c r="BG993" t="s">
        <v>107</v>
      </c>
      <c r="BJ993" t="s">
        <v>1378</v>
      </c>
    </row>
    <row r="994" spans="1:62" x14ac:dyDescent="0.35">
      <c r="A994" t="s">
        <v>1379</v>
      </c>
      <c r="B994">
        <v>10000</v>
      </c>
      <c r="C994">
        <v>30000</v>
      </c>
      <c r="D994" s="2">
        <v>45734</v>
      </c>
      <c r="E994" t="s">
        <v>61</v>
      </c>
      <c r="F994" t="s">
        <v>1380</v>
      </c>
      <c r="G994" t="s">
        <v>1346</v>
      </c>
      <c r="I994">
        <v>3</v>
      </c>
      <c r="J994" t="s">
        <v>63</v>
      </c>
      <c r="K994" s="8">
        <v>85</v>
      </c>
      <c r="L994" s="8" t="s">
        <v>6585</v>
      </c>
      <c r="M994" s="8" t="s">
        <v>6628</v>
      </c>
      <c r="N994" t="s">
        <v>327</v>
      </c>
      <c r="O994" t="s">
        <v>6580</v>
      </c>
      <c r="P994" s="4">
        <v>20000</v>
      </c>
      <c r="S994" s="2">
        <v>45733</v>
      </c>
      <c r="U994">
        <v>11</v>
      </c>
      <c r="V994" s="4">
        <v>220000</v>
      </c>
      <c r="W994" t="s">
        <v>65</v>
      </c>
      <c r="X994" t="s">
        <v>1381</v>
      </c>
      <c r="Y994">
        <v>0</v>
      </c>
      <c r="Z994" s="4">
        <v>200000</v>
      </c>
      <c r="AA994" s="4">
        <v>20000</v>
      </c>
      <c r="AB994">
        <v>0</v>
      </c>
      <c r="AC994">
        <v>0</v>
      </c>
      <c r="AD994">
        <v>0</v>
      </c>
      <c r="AG994">
        <v>0</v>
      </c>
      <c r="AP994" t="s">
        <v>1382</v>
      </c>
      <c r="AQ994" t="s">
        <v>107</v>
      </c>
      <c r="AR994" t="s">
        <v>6638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BC994" t="s">
        <v>69</v>
      </c>
      <c r="BD994" t="s">
        <v>1383</v>
      </c>
      <c r="BE994">
        <v>0</v>
      </c>
      <c r="BG994" t="s">
        <v>107</v>
      </c>
      <c r="BJ994" t="s">
        <v>1384</v>
      </c>
    </row>
    <row r="995" spans="1:62" x14ac:dyDescent="0.35">
      <c r="A995" t="s">
        <v>1392</v>
      </c>
      <c r="B995">
        <v>10000</v>
      </c>
      <c r="C995">
        <v>30000</v>
      </c>
      <c r="D995" s="2">
        <v>45740</v>
      </c>
      <c r="E995" t="s">
        <v>61</v>
      </c>
      <c r="F995" s="3">
        <v>0.44521990740740741</v>
      </c>
      <c r="G995" t="s">
        <v>1346</v>
      </c>
      <c r="I995">
        <v>3</v>
      </c>
      <c r="J995" t="s">
        <v>63</v>
      </c>
      <c r="K995" s="8">
        <v>85</v>
      </c>
      <c r="L995" s="8" t="s">
        <v>6585</v>
      </c>
      <c r="M995" s="8" t="s">
        <v>6628</v>
      </c>
      <c r="N995" t="s">
        <v>327</v>
      </c>
      <c r="O995" t="s">
        <v>6580</v>
      </c>
      <c r="P995" s="4">
        <v>10000</v>
      </c>
      <c r="S995" s="2">
        <v>45733</v>
      </c>
      <c r="U995">
        <v>11</v>
      </c>
      <c r="V995" s="4">
        <v>110000</v>
      </c>
      <c r="W995" t="s">
        <v>65</v>
      </c>
      <c r="X995" t="s">
        <v>1393</v>
      </c>
      <c r="Y995">
        <v>0</v>
      </c>
      <c r="Z995" s="4">
        <v>100000</v>
      </c>
      <c r="AA995" s="4">
        <v>10000</v>
      </c>
      <c r="AB995">
        <v>0</v>
      </c>
      <c r="AC995">
        <v>0</v>
      </c>
      <c r="AD995">
        <v>0</v>
      </c>
      <c r="AG995">
        <v>0</v>
      </c>
      <c r="AP995" t="s">
        <v>1394</v>
      </c>
      <c r="AQ995" t="s">
        <v>107</v>
      </c>
      <c r="AR995" t="s">
        <v>6638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BC995" t="s">
        <v>69</v>
      </c>
      <c r="BD995" t="s">
        <v>1395</v>
      </c>
      <c r="BE995">
        <v>0</v>
      </c>
      <c r="BG995" t="s">
        <v>107</v>
      </c>
      <c r="BJ995" t="s">
        <v>1396</v>
      </c>
    </row>
    <row r="996" spans="1:62" x14ac:dyDescent="0.35">
      <c r="A996" t="s">
        <v>1397</v>
      </c>
      <c r="B996">
        <v>10000</v>
      </c>
      <c r="C996">
        <v>30000</v>
      </c>
      <c r="D996" s="2">
        <v>45740</v>
      </c>
      <c r="E996" t="s">
        <v>61</v>
      </c>
      <c r="F996" t="s">
        <v>2204</v>
      </c>
      <c r="G996" t="s">
        <v>1346</v>
      </c>
      <c r="I996">
        <v>3</v>
      </c>
      <c r="J996" t="s">
        <v>63</v>
      </c>
      <c r="K996" s="8">
        <v>85</v>
      </c>
      <c r="L996" s="8" t="s">
        <v>6585</v>
      </c>
      <c r="M996" s="8" t="s">
        <v>6628</v>
      </c>
      <c r="N996" t="s">
        <v>327</v>
      </c>
      <c r="O996" t="s">
        <v>6580</v>
      </c>
      <c r="P996" s="4">
        <v>10000</v>
      </c>
      <c r="S996" s="2">
        <v>45733</v>
      </c>
      <c r="U996">
        <v>11</v>
      </c>
      <c r="V996" s="4">
        <v>110000</v>
      </c>
      <c r="W996" t="s">
        <v>65</v>
      </c>
      <c r="X996" t="s">
        <v>1206</v>
      </c>
      <c r="Y996">
        <v>0</v>
      </c>
      <c r="Z996" s="4">
        <v>100000</v>
      </c>
      <c r="AA996" s="4">
        <v>10000</v>
      </c>
      <c r="AB996">
        <v>0</v>
      </c>
      <c r="AC996">
        <v>0</v>
      </c>
      <c r="AD996">
        <v>0</v>
      </c>
      <c r="AG996">
        <v>0</v>
      </c>
      <c r="AP996" t="s">
        <v>1207</v>
      </c>
      <c r="AQ996" t="s">
        <v>107</v>
      </c>
      <c r="AR996" t="s">
        <v>6638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BC996" t="s">
        <v>69</v>
      </c>
      <c r="BD996" t="s">
        <v>1398</v>
      </c>
      <c r="BE996">
        <v>0</v>
      </c>
      <c r="BG996" t="s">
        <v>107</v>
      </c>
      <c r="BJ996" t="s">
        <v>1399</v>
      </c>
    </row>
    <row r="997" spans="1:62" x14ac:dyDescent="0.35">
      <c r="A997" t="s">
        <v>1400</v>
      </c>
      <c r="B997">
        <v>10000</v>
      </c>
      <c r="C997">
        <v>30000</v>
      </c>
      <c r="D997" s="2">
        <v>45734</v>
      </c>
      <c r="E997" t="s">
        <v>61</v>
      </c>
      <c r="F997" t="s">
        <v>1187</v>
      </c>
      <c r="G997" t="s">
        <v>1346</v>
      </c>
      <c r="I997">
        <v>3</v>
      </c>
      <c r="J997" t="s">
        <v>63</v>
      </c>
      <c r="K997" s="8">
        <v>85</v>
      </c>
      <c r="L997" s="8" t="s">
        <v>6585</v>
      </c>
      <c r="M997" s="8" t="s">
        <v>6628</v>
      </c>
      <c r="N997" t="s">
        <v>327</v>
      </c>
      <c r="O997" t="s">
        <v>6580</v>
      </c>
      <c r="P997" s="4">
        <v>10000</v>
      </c>
      <c r="S997" s="2">
        <v>45733</v>
      </c>
      <c r="U997">
        <v>11</v>
      </c>
      <c r="V997" s="4">
        <v>110000</v>
      </c>
      <c r="W997" t="s">
        <v>65</v>
      </c>
      <c r="X997" t="s">
        <v>1218</v>
      </c>
      <c r="Y997">
        <v>0</v>
      </c>
      <c r="Z997" s="4">
        <v>100000</v>
      </c>
      <c r="AA997" s="4">
        <v>10000</v>
      </c>
      <c r="AB997">
        <v>0</v>
      </c>
      <c r="AC997">
        <v>0</v>
      </c>
      <c r="AD997">
        <v>0</v>
      </c>
      <c r="AG997">
        <v>0</v>
      </c>
      <c r="AP997" t="s">
        <v>1219</v>
      </c>
      <c r="AQ997" t="s">
        <v>107</v>
      </c>
      <c r="AR997" t="s">
        <v>6638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BC997" t="s">
        <v>69</v>
      </c>
      <c r="BD997" t="s">
        <v>1401</v>
      </c>
      <c r="BE997">
        <v>0</v>
      </c>
      <c r="BG997" t="s">
        <v>107</v>
      </c>
      <c r="BJ997" t="s">
        <v>1402</v>
      </c>
    </row>
    <row r="998" spans="1:62" x14ac:dyDescent="0.35">
      <c r="A998" t="s">
        <v>3732</v>
      </c>
      <c r="B998">
        <v>10000</v>
      </c>
      <c r="C998">
        <v>10000</v>
      </c>
      <c r="D998" s="2">
        <v>45733</v>
      </c>
      <c r="E998" t="s">
        <v>61</v>
      </c>
      <c r="F998" t="s">
        <v>3733</v>
      </c>
      <c r="G998" t="s">
        <v>3734</v>
      </c>
      <c r="I998">
        <v>1</v>
      </c>
      <c r="J998" t="s">
        <v>63</v>
      </c>
      <c r="K998" s="8">
        <v>78</v>
      </c>
      <c r="L998" s="8" t="s">
        <v>6593</v>
      </c>
      <c r="M998" s="8" t="s">
        <v>6629</v>
      </c>
      <c r="N998" t="s">
        <v>188</v>
      </c>
      <c r="O998" t="s">
        <v>6410</v>
      </c>
      <c r="P998">
        <v>877</v>
      </c>
      <c r="Q998">
        <f t="shared" ref="Q998:Q1000" si="260">(P998/40)+45</f>
        <v>66.924999999999997</v>
      </c>
      <c r="R998">
        <f t="shared" ref="R998:R1000" si="261">Q998/60</f>
        <v>1.1154166666666667</v>
      </c>
      <c r="S998" s="2">
        <v>45733</v>
      </c>
      <c r="U998">
        <v>1</v>
      </c>
      <c r="V998">
        <v>877</v>
      </c>
      <c r="W998" t="s">
        <v>65</v>
      </c>
      <c r="X998" t="s">
        <v>3735</v>
      </c>
      <c r="Y998">
        <v>0</v>
      </c>
      <c r="Z998">
        <v>877</v>
      </c>
      <c r="AA998">
        <v>0</v>
      </c>
      <c r="AB998">
        <v>0</v>
      </c>
      <c r="AC998">
        <v>0</v>
      </c>
      <c r="AD998">
        <v>0</v>
      </c>
      <c r="AG998">
        <v>0</v>
      </c>
      <c r="AP998" t="s">
        <v>3736</v>
      </c>
      <c r="AQ998" t="s">
        <v>3737</v>
      </c>
      <c r="AR998" t="s">
        <v>6726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BC998" t="s">
        <v>69</v>
      </c>
      <c r="BD998" t="s">
        <v>3738</v>
      </c>
      <c r="BE998">
        <v>0</v>
      </c>
      <c r="BG998" t="s">
        <v>3737</v>
      </c>
      <c r="BJ998" t="s">
        <v>3739</v>
      </c>
    </row>
    <row r="999" spans="1:62" x14ac:dyDescent="0.35">
      <c r="A999" t="s">
        <v>3740</v>
      </c>
      <c r="B999">
        <v>10000</v>
      </c>
      <c r="C999">
        <v>10000</v>
      </c>
      <c r="D999" s="2">
        <v>45733</v>
      </c>
      <c r="E999" t="s">
        <v>61</v>
      </c>
      <c r="F999" t="s">
        <v>3733</v>
      </c>
      <c r="G999" t="s">
        <v>3734</v>
      </c>
      <c r="I999">
        <v>1</v>
      </c>
      <c r="J999" t="s">
        <v>63</v>
      </c>
      <c r="K999" s="8">
        <v>78</v>
      </c>
      <c r="L999" s="8" t="s">
        <v>6593</v>
      </c>
      <c r="M999" s="8" t="s">
        <v>6629</v>
      </c>
      <c r="N999" t="s">
        <v>188</v>
      </c>
      <c r="O999" t="s">
        <v>6410</v>
      </c>
      <c r="P999">
        <v>877</v>
      </c>
      <c r="Q999">
        <f t="shared" si="260"/>
        <v>66.924999999999997</v>
      </c>
      <c r="R999">
        <f t="shared" si="261"/>
        <v>1.1154166666666667</v>
      </c>
      <c r="S999" s="2">
        <v>45733</v>
      </c>
      <c r="U999">
        <v>1</v>
      </c>
      <c r="V999">
        <v>877</v>
      </c>
      <c r="W999" t="s">
        <v>65</v>
      </c>
      <c r="X999" t="s">
        <v>3741</v>
      </c>
      <c r="Y999">
        <v>0</v>
      </c>
      <c r="Z999">
        <v>877</v>
      </c>
      <c r="AA999">
        <v>0</v>
      </c>
      <c r="AB999">
        <v>0</v>
      </c>
      <c r="AC999">
        <v>0</v>
      </c>
      <c r="AD999">
        <v>0</v>
      </c>
      <c r="AG999">
        <v>0</v>
      </c>
      <c r="AP999" t="s">
        <v>3742</v>
      </c>
      <c r="AQ999" t="s">
        <v>3737</v>
      </c>
      <c r="AR999" t="s">
        <v>6726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BC999" t="s">
        <v>69</v>
      </c>
      <c r="BD999" t="s">
        <v>3743</v>
      </c>
      <c r="BE999">
        <v>0</v>
      </c>
      <c r="BG999" t="s">
        <v>3737</v>
      </c>
      <c r="BJ999" t="s">
        <v>3744</v>
      </c>
    </row>
    <row r="1000" spans="1:62" x14ac:dyDescent="0.35">
      <c r="A1000" t="s">
        <v>3745</v>
      </c>
      <c r="B1000">
        <v>10000</v>
      </c>
      <c r="C1000">
        <v>10000</v>
      </c>
      <c r="D1000" s="2">
        <v>45735</v>
      </c>
      <c r="E1000" t="s">
        <v>61</v>
      </c>
      <c r="F1000" s="3">
        <v>0.48032407407407407</v>
      </c>
      <c r="G1000">
        <v>502200327</v>
      </c>
      <c r="I1000">
        <v>1</v>
      </c>
      <c r="J1000" t="s">
        <v>63</v>
      </c>
      <c r="K1000" s="8">
        <v>59</v>
      </c>
      <c r="L1000" s="8" t="s">
        <v>6592</v>
      </c>
      <c r="M1000" s="8" t="s">
        <v>6629</v>
      </c>
      <c r="N1000" t="s">
        <v>745</v>
      </c>
      <c r="O1000" t="s">
        <v>6501</v>
      </c>
      <c r="P1000" s="4">
        <v>28000</v>
      </c>
      <c r="Q1000">
        <f t="shared" si="260"/>
        <v>745</v>
      </c>
      <c r="R1000">
        <f t="shared" si="261"/>
        <v>12.416666666666666</v>
      </c>
      <c r="S1000" s="2">
        <v>45733</v>
      </c>
      <c r="U1000">
        <v>12</v>
      </c>
      <c r="V1000" s="4">
        <v>336000</v>
      </c>
      <c r="W1000" t="s">
        <v>65</v>
      </c>
      <c r="X1000">
        <v>7062410001</v>
      </c>
      <c r="Y1000">
        <v>0</v>
      </c>
      <c r="Z1000" s="4">
        <v>322000</v>
      </c>
      <c r="AA1000" s="4">
        <v>14000</v>
      </c>
      <c r="AB1000">
        <v>0</v>
      </c>
      <c r="AC1000">
        <v>0</v>
      </c>
      <c r="AD1000">
        <v>0</v>
      </c>
      <c r="AG1000">
        <v>0</v>
      </c>
      <c r="AP1000" t="s">
        <v>3746</v>
      </c>
      <c r="AQ1000" t="s">
        <v>481</v>
      </c>
      <c r="AR1000" t="s">
        <v>6655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BC1000" t="s">
        <v>69</v>
      </c>
      <c r="BD1000" t="s">
        <v>3747</v>
      </c>
      <c r="BE1000">
        <v>0</v>
      </c>
      <c r="BG1000" t="s">
        <v>481</v>
      </c>
      <c r="BJ1000" t="s">
        <v>3748</v>
      </c>
    </row>
    <row r="1001" spans="1:62" x14ac:dyDescent="0.35">
      <c r="A1001" t="s">
        <v>1882</v>
      </c>
      <c r="B1001">
        <v>10000</v>
      </c>
      <c r="C1001">
        <v>20000</v>
      </c>
      <c r="D1001" s="2">
        <v>45734</v>
      </c>
      <c r="E1001" t="s">
        <v>61</v>
      </c>
      <c r="F1001" t="s">
        <v>1883</v>
      </c>
      <c r="G1001" t="s">
        <v>1884</v>
      </c>
      <c r="I1001">
        <v>2</v>
      </c>
      <c r="J1001" t="s">
        <v>63</v>
      </c>
      <c r="K1001" s="8">
        <v>105</v>
      </c>
      <c r="L1001" s="8" t="s">
        <v>6612</v>
      </c>
      <c r="M1001" s="8" t="s">
        <v>6632</v>
      </c>
      <c r="N1001" t="s">
        <v>424</v>
      </c>
      <c r="O1001" t="s">
        <v>6570</v>
      </c>
      <c r="P1001" s="4">
        <v>2200</v>
      </c>
      <c r="S1001" s="2">
        <v>45733</v>
      </c>
      <c r="U1001">
        <v>1</v>
      </c>
      <c r="V1001" s="4">
        <v>2200</v>
      </c>
      <c r="W1001" t="s">
        <v>65</v>
      </c>
      <c r="X1001" t="s">
        <v>1885</v>
      </c>
      <c r="Y1001">
        <v>0</v>
      </c>
      <c r="Z1001" s="4">
        <v>1594</v>
      </c>
      <c r="AA1001">
        <v>606</v>
      </c>
      <c r="AB1001">
        <v>0</v>
      </c>
      <c r="AC1001">
        <v>0</v>
      </c>
      <c r="AD1001">
        <v>0</v>
      </c>
      <c r="AG1001">
        <v>0</v>
      </c>
      <c r="AP1001" t="s">
        <v>1886</v>
      </c>
      <c r="AQ1001" t="s">
        <v>1879</v>
      </c>
      <c r="AR1001" t="s">
        <v>6691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BC1001" t="s">
        <v>69</v>
      </c>
      <c r="BD1001" t="s">
        <v>1887</v>
      </c>
      <c r="BE1001">
        <v>0</v>
      </c>
      <c r="BG1001" t="s">
        <v>1879</v>
      </c>
      <c r="BJ1001" t="s">
        <v>1881</v>
      </c>
    </row>
    <row r="1002" spans="1:62" x14ac:dyDescent="0.35">
      <c r="A1002" t="s">
        <v>1511</v>
      </c>
      <c r="B1002">
        <v>10000</v>
      </c>
      <c r="C1002">
        <v>30000</v>
      </c>
      <c r="D1002" s="2">
        <v>45734</v>
      </c>
      <c r="E1002" t="s">
        <v>61</v>
      </c>
      <c r="F1002" t="s">
        <v>310</v>
      </c>
      <c r="G1002" t="s">
        <v>1346</v>
      </c>
      <c r="I1002">
        <v>3</v>
      </c>
      <c r="J1002" t="s">
        <v>63</v>
      </c>
      <c r="K1002" s="8">
        <v>85</v>
      </c>
      <c r="L1002" s="8" t="s">
        <v>6585</v>
      </c>
      <c r="M1002" s="8" t="s">
        <v>6628</v>
      </c>
      <c r="N1002" t="s">
        <v>327</v>
      </c>
      <c r="O1002" t="s">
        <v>6580</v>
      </c>
      <c r="P1002" s="4">
        <v>20000</v>
      </c>
      <c r="S1002" s="2">
        <v>45733</v>
      </c>
      <c r="U1002">
        <v>11</v>
      </c>
      <c r="V1002" s="4">
        <v>220000</v>
      </c>
      <c r="W1002" t="s">
        <v>65</v>
      </c>
      <c r="X1002" t="s">
        <v>1512</v>
      </c>
      <c r="Y1002">
        <v>0</v>
      </c>
      <c r="Z1002" s="4">
        <v>200000</v>
      </c>
      <c r="AA1002" s="4">
        <v>20000</v>
      </c>
      <c r="AB1002">
        <v>0</v>
      </c>
      <c r="AC1002">
        <v>0</v>
      </c>
      <c r="AD1002">
        <v>0</v>
      </c>
      <c r="AG1002">
        <v>0</v>
      </c>
      <c r="AP1002" t="s">
        <v>1513</v>
      </c>
      <c r="AQ1002" t="s">
        <v>107</v>
      </c>
      <c r="AR1002" t="s">
        <v>6638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BC1002" t="s">
        <v>69</v>
      </c>
      <c r="BD1002" t="s">
        <v>1514</v>
      </c>
      <c r="BE1002">
        <v>0</v>
      </c>
      <c r="BG1002" t="s">
        <v>107</v>
      </c>
      <c r="BJ1002" t="s">
        <v>1515</v>
      </c>
    </row>
    <row r="1003" spans="1:62" x14ac:dyDescent="0.35">
      <c r="A1003" t="s">
        <v>2632</v>
      </c>
      <c r="B1003">
        <v>10000</v>
      </c>
      <c r="C1003">
        <v>20000</v>
      </c>
      <c r="D1003" s="2">
        <v>45733</v>
      </c>
      <c r="E1003" t="s">
        <v>61</v>
      </c>
      <c r="F1003" t="s">
        <v>3749</v>
      </c>
      <c r="G1003" t="s">
        <v>2634</v>
      </c>
      <c r="I1003">
        <v>1</v>
      </c>
      <c r="J1003" t="s">
        <v>63</v>
      </c>
      <c r="K1003" s="8">
        <v>31</v>
      </c>
      <c r="L1003" s="8" t="s">
        <v>6595</v>
      </c>
      <c r="M1003" s="8" t="s">
        <v>6629</v>
      </c>
      <c r="N1003" t="s">
        <v>1311</v>
      </c>
      <c r="O1003" t="s">
        <v>6491</v>
      </c>
      <c r="P1003" s="4">
        <v>1000</v>
      </c>
      <c r="Q1003">
        <f>(P1003/40)+45</f>
        <v>70</v>
      </c>
      <c r="R1003">
        <f>Q1003/60</f>
        <v>1.1666666666666667</v>
      </c>
      <c r="S1003" s="2">
        <v>45733</v>
      </c>
      <c r="U1003">
        <v>6</v>
      </c>
      <c r="V1003" s="4">
        <v>6000</v>
      </c>
      <c r="W1003" t="s">
        <v>65</v>
      </c>
      <c r="X1003" t="s">
        <v>2635</v>
      </c>
      <c r="Y1003">
        <v>0</v>
      </c>
      <c r="Z1003" s="4">
        <v>5000</v>
      </c>
      <c r="AA1003" s="4">
        <v>1000</v>
      </c>
      <c r="AB1003">
        <v>0</v>
      </c>
      <c r="AC1003">
        <v>0</v>
      </c>
      <c r="AD1003">
        <v>0</v>
      </c>
      <c r="AG1003">
        <v>0</v>
      </c>
      <c r="AP1003" t="s">
        <v>2636</v>
      </c>
      <c r="AQ1003" t="s">
        <v>2637</v>
      </c>
      <c r="AR1003" t="s">
        <v>6705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BC1003" t="s">
        <v>69</v>
      </c>
      <c r="BD1003" t="s">
        <v>2638</v>
      </c>
      <c r="BE1003">
        <v>0</v>
      </c>
      <c r="BG1003" t="s">
        <v>2637</v>
      </c>
      <c r="BJ1003" t="s">
        <v>2639</v>
      </c>
    </row>
    <row r="1004" spans="1:62" x14ac:dyDescent="0.35">
      <c r="A1004" t="s">
        <v>3443</v>
      </c>
      <c r="B1004">
        <v>10000</v>
      </c>
      <c r="C1004">
        <v>20000</v>
      </c>
      <c r="D1004" s="2">
        <v>45735</v>
      </c>
      <c r="E1004" t="s">
        <v>61</v>
      </c>
      <c r="F1004" t="s">
        <v>3444</v>
      </c>
      <c r="G1004" t="s">
        <v>3445</v>
      </c>
      <c r="I1004">
        <v>2</v>
      </c>
      <c r="J1004" t="s">
        <v>63</v>
      </c>
      <c r="K1004" s="8">
        <v>100</v>
      </c>
      <c r="L1004" s="8" t="s">
        <v>6613</v>
      </c>
      <c r="M1004" s="8" t="s">
        <v>6633</v>
      </c>
      <c r="N1004" t="s">
        <v>424</v>
      </c>
      <c r="O1004" t="s">
        <v>6570</v>
      </c>
      <c r="P1004">
        <v>500</v>
      </c>
      <c r="S1004" s="2">
        <v>45733</v>
      </c>
      <c r="U1004">
        <v>1</v>
      </c>
      <c r="V1004">
        <v>500</v>
      </c>
      <c r="W1004" t="s">
        <v>65</v>
      </c>
      <c r="X1004" t="s">
        <v>3446</v>
      </c>
      <c r="Y1004">
        <v>0</v>
      </c>
      <c r="Z1004">
        <v>500</v>
      </c>
      <c r="AA1004">
        <v>0</v>
      </c>
      <c r="AB1004">
        <v>0</v>
      </c>
      <c r="AC1004">
        <v>0</v>
      </c>
      <c r="AD1004">
        <v>0</v>
      </c>
      <c r="AG1004">
        <v>0</v>
      </c>
      <c r="AP1004" t="s">
        <v>3447</v>
      </c>
      <c r="AQ1004" t="s">
        <v>487</v>
      </c>
      <c r="AR1004" t="s">
        <v>6656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BC1004" t="s">
        <v>69</v>
      </c>
      <c r="BD1004" t="s">
        <v>3448</v>
      </c>
      <c r="BE1004">
        <v>0</v>
      </c>
      <c r="BG1004" t="s">
        <v>487</v>
      </c>
      <c r="BJ1004" t="s">
        <v>3449</v>
      </c>
    </row>
    <row r="1005" spans="1:62" x14ac:dyDescent="0.35">
      <c r="A1005" t="s">
        <v>3450</v>
      </c>
      <c r="B1005">
        <v>10000</v>
      </c>
      <c r="C1005">
        <v>20000</v>
      </c>
      <c r="D1005" s="2">
        <v>45735</v>
      </c>
      <c r="E1005" t="s">
        <v>61</v>
      </c>
      <c r="F1005" t="s">
        <v>3451</v>
      </c>
      <c r="G1005" t="s">
        <v>3445</v>
      </c>
      <c r="I1005">
        <v>2</v>
      </c>
      <c r="J1005" t="s">
        <v>63</v>
      </c>
      <c r="K1005" s="8">
        <v>100</v>
      </c>
      <c r="L1005" s="8" t="s">
        <v>6613</v>
      </c>
      <c r="M1005" s="8" t="s">
        <v>6633</v>
      </c>
      <c r="N1005" t="s">
        <v>424</v>
      </c>
      <c r="O1005" t="s">
        <v>6570</v>
      </c>
      <c r="P1005" s="4">
        <v>2400</v>
      </c>
      <c r="S1005" s="2">
        <v>45733</v>
      </c>
      <c r="U1005">
        <v>1</v>
      </c>
      <c r="V1005" s="4">
        <v>2400</v>
      </c>
      <c r="W1005" t="s">
        <v>65</v>
      </c>
      <c r="X1005" t="s">
        <v>3452</v>
      </c>
      <c r="Y1005">
        <v>0</v>
      </c>
      <c r="Z1005" s="4">
        <v>2400</v>
      </c>
      <c r="AA1005">
        <v>0</v>
      </c>
      <c r="AB1005">
        <v>0</v>
      </c>
      <c r="AC1005">
        <v>0</v>
      </c>
      <c r="AD1005">
        <v>0</v>
      </c>
      <c r="AG1005">
        <v>0</v>
      </c>
      <c r="AP1005" t="s">
        <v>3453</v>
      </c>
      <c r="AQ1005" t="s">
        <v>487</v>
      </c>
      <c r="AR1005" t="s">
        <v>6656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BC1005" t="s">
        <v>69</v>
      </c>
      <c r="BD1005" t="s">
        <v>3454</v>
      </c>
      <c r="BE1005">
        <v>0</v>
      </c>
      <c r="BG1005" t="s">
        <v>487</v>
      </c>
      <c r="BJ1005" t="s">
        <v>3449</v>
      </c>
    </row>
    <row r="1006" spans="1:62" x14ac:dyDescent="0.35">
      <c r="A1006" t="s">
        <v>3750</v>
      </c>
      <c r="B1006">
        <v>10000</v>
      </c>
      <c r="C1006">
        <v>10000</v>
      </c>
      <c r="D1006" s="2">
        <v>45734</v>
      </c>
      <c r="E1006" t="s">
        <v>61</v>
      </c>
      <c r="F1006" t="s">
        <v>3751</v>
      </c>
      <c r="G1006" t="s">
        <v>3752</v>
      </c>
      <c r="I1006">
        <v>1</v>
      </c>
      <c r="J1006" t="s">
        <v>63</v>
      </c>
      <c r="K1006" s="8">
        <v>63</v>
      </c>
      <c r="L1006" s="8" t="s">
        <v>6605</v>
      </c>
      <c r="M1006" s="8" t="s">
        <v>6630</v>
      </c>
      <c r="N1006" t="s">
        <v>519</v>
      </c>
      <c r="O1006" t="s">
        <v>6569</v>
      </c>
      <c r="P1006" s="4">
        <v>4000</v>
      </c>
      <c r="Q1006">
        <f t="shared" ref="Q1006:Q1011" si="262">(P1006/40)+45</f>
        <v>145</v>
      </c>
      <c r="R1006">
        <f t="shared" ref="R1006:R1011" si="263">Q1006/60</f>
        <v>2.4166666666666665</v>
      </c>
      <c r="S1006" s="2">
        <v>45733</v>
      </c>
      <c r="U1006">
        <v>20</v>
      </c>
      <c r="V1006" s="4">
        <v>80000</v>
      </c>
      <c r="W1006" t="s">
        <v>65</v>
      </c>
      <c r="X1006" t="s">
        <v>3753</v>
      </c>
      <c r="Y1006">
        <v>0</v>
      </c>
      <c r="Z1006" s="4">
        <v>80000</v>
      </c>
      <c r="AA1006">
        <v>0</v>
      </c>
      <c r="AB1006">
        <v>0</v>
      </c>
      <c r="AC1006">
        <v>0</v>
      </c>
      <c r="AD1006">
        <v>0</v>
      </c>
      <c r="AG1006">
        <v>0</v>
      </c>
      <c r="AP1006" t="s">
        <v>3754</v>
      </c>
      <c r="AQ1006" t="s">
        <v>157</v>
      </c>
      <c r="AR1006" t="s">
        <v>6640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BC1006" t="s">
        <v>69</v>
      </c>
      <c r="BD1006" t="s">
        <v>3755</v>
      </c>
      <c r="BE1006">
        <v>0</v>
      </c>
      <c r="BG1006" t="s">
        <v>157</v>
      </c>
      <c r="BJ1006" t="s">
        <v>3756</v>
      </c>
    </row>
    <row r="1007" spans="1:62" x14ac:dyDescent="0.35">
      <c r="A1007" t="s">
        <v>2932</v>
      </c>
      <c r="B1007">
        <v>10000</v>
      </c>
      <c r="C1007">
        <v>20000</v>
      </c>
      <c r="D1007" s="2">
        <v>45734</v>
      </c>
      <c r="E1007" t="s">
        <v>61</v>
      </c>
      <c r="F1007" t="s">
        <v>133</v>
      </c>
      <c r="G1007" t="s">
        <v>2289</v>
      </c>
      <c r="I1007">
        <v>2</v>
      </c>
      <c r="J1007" t="s">
        <v>63</v>
      </c>
      <c r="K1007" s="8">
        <v>63</v>
      </c>
      <c r="L1007" s="8" t="s">
        <v>6605</v>
      </c>
      <c r="M1007" s="8" t="s">
        <v>6630</v>
      </c>
      <c r="N1007" t="s">
        <v>519</v>
      </c>
      <c r="O1007" t="s">
        <v>6569</v>
      </c>
      <c r="P1007" s="4">
        <v>2500</v>
      </c>
      <c r="Q1007">
        <f t="shared" si="262"/>
        <v>107.5</v>
      </c>
      <c r="R1007">
        <f t="shared" si="263"/>
        <v>1.7916666666666667</v>
      </c>
      <c r="S1007" s="2">
        <v>45733</v>
      </c>
      <c r="U1007">
        <v>16</v>
      </c>
      <c r="V1007" s="4">
        <v>40000</v>
      </c>
      <c r="W1007" t="s">
        <v>65</v>
      </c>
      <c r="X1007" t="s">
        <v>2865</v>
      </c>
      <c r="Y1007">
        <v>0</v>
      </c>
      <c r="Z1007" s="4">
        <v>40000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 t="s">
        <v>2866</v>
      </c>
      <c r="AQ1007" t="s">
        <v>157</v>
      </c>
      <c r="AR1007" t="s">
        <v>6640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BC1007" t="s">
        <v>69</v>
      </c>
      <c r="BD1007" t="s">
        <v>2933</v>
      </c>
      <c r="BE1007">
        <v>0</v>
      </c>
      <c r="BG1007" t="s">
        <v>157</v>
      </c>
      <c r="BJ1007" t="s">
        <v>2934</v>
      </c>
    </row>
    <row r="1008" spans="1:62" x14ac:dyDescent="0.35">
      <c r="A1008" t="s">
        <v>3757</v>
      </c>
      <c r="B1008">
        <v>10000</v>
      </c>
      <c r="C1008">
        <v>10000</v>
      </c>
      <c r="D1008" s="2">
        <v>45734</v>
      </c>
      <c r="E1008" t="s">
        <v>61</v>
      </c>
      <c r="F1008" t="s">
        <v>3751</v>
      </c>
      <c r="G1008" t="s">
        <v>3752</v>
      </c>
      <c r="I1008">
        <v>1</v>
      </c>
      <c r="J1008" t="s">
        <v>63</v>
      </c>
      <c r="K1008" s="8">
        <v>63</v>
      </c>
      <c r="L1008" s="8" t="s">
        <v>6605</v>
      </c>
      <c r="M1008" s="8" t="s">
        <v>6630</v>
      </c>
      <c r="N1008" t="s">
        <v>519</v>
      </c>
      <c r="O1008" t="s">
        <v>6569</v>
      </c>
      <c r="P1008" s="4">
        <v>4000</v>
      </c>
      <c r="Q1008">
        <f t="shared" si="262"/>
        <v>145</v>
      </c>
      <c r="R1008">
        <f t="shared" si="263"/>
        <v>2.4166666666666665</v>
      </c>
      <c r="S1008" s="2">
        <v>45733</v>
      </c>
      <c r="U1008">
        <v>20</v>
      </c>
      <c r="V1008" s="4">
        <v>80000</v>
      </c>
      <c r="W1008" t="s">
        <v>65</v>
      </c>
      <c r="X1008" t="s">
        <v>3753</v>
      </c>
      <c r="Y1008">
        <v>0</v>
      </c>
      <c r="Z1008" s="4">
        <v>80000</v>
      </c>
      <c r="AA1008">
        <v>0</v>
      </c>
      <c r="AB1008">
        <v>0</v>
      </c>
      <c r="AC1008">
        <v>0</v>
      </c>
      <c r="AD1008">
        <v>0</v>
      </c>
      <c r="AG1008">
        <v>0</v>
      </c>
      <c r="AP1008" t="s">
        <v>3754</v>
      </c>
      <c r="AQ1008" t="s">
        <v>175</v>
      </c>
      <c r="AR1008" t="s">
        <v>6642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BC1008" t="s">
        <v>69</v>
      </c>
      <c r="BD1008" t="s">
        <v>3758</v>
      </c>
      <c r="BE1008">
        <v>0</v>
      </c>
      <c r="BG1008" t="s">
        <v>175</v>
      </c>
      <c r="BJ1008" t="s">
        <v>3759</v>
      </c>
    </row>
    <row r="1009" spans="1:62" x14ac:dyDescent="0.35">
      <c r="A1009" t="s">
        <v>3208</v>
      </c>
      <c r="B1009">
        <v>10000</v>
      </c>
      <c r="C1009">
        <v>20000</v>
      </c>
      <c r="D1009" s="2">
        <v>45734</v>
      </c>
      <c r="E1009" t="s">
        <v>61</v>
      </c>
      <c r="F1009" t="s">
        <v>3209</v>
      </c>
      <c r="G1009" t="s">
        <v>2289</v>
      </c>
      <c r="I1009">
        <v>2</v>
      </c>
      <c r="J1009" t="s">
        <v>63</v>
      </c>
      <c r="K1009" s="8">
        <v>63</v>
      </c>
      <c r="L1009" s="8" t="s">
        <v>6605</v>
      </c>
      <c r="M1009" s="8" t="s">
        <v>6630</v>
      </c>
      <c r="N1009" t="s">
        <v>519</v>
      </c>
      <c r="O1009" t="s">
        <v>6569</v>
      </c>
      <c r="P1009" s="4">
        <v>7500</v>
      </c>
      <c r="Q1009">
        <f t="shared" si="262"/>
        <v>232.5</v>
      </c>
      <c r="R1009">
        <f t="shared" si="263"/>
        <v>3.875</v>
      </c>
      <c r="S1009" s="2">
        <v>45733</v>
      </c>
      <c r="U1009">
        <v>16</v>
      </c>
      <c r="V1009" s="4">
        <v>120000</v>
      </c>
      <c r="W1009" t="s">
        <v>65</v>
      </c>
      <c r="X1009" t="s">
        <v>2865</v>
      </c>
      <c r="Y1009">
        <v>0</v>
      </c>
      <c r="Z1009" s="4">
        <v>120000</v>
      </c>
      <c r="AA1009">
        <v>0</v>
      </c>
      <c r="AB1009">
        <v>0</v>
      </c>
      <c r="AC1009">
        <v>0</v>
      </c>
      <c r="AD1009">
        <v>0</v>
      </c>
      <c r="AG1009">
        <v>0</v>
      </c>
      <c r="AP1009" t="s">
        <v>2866</v>
      </c>
      <c r="AQ1009" t="s">
        <v>175</v>
      </c>
      <c r="AR1009" t="s">
        <v>6642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BC1009" t="s">
        <v>69</v>
      </c>
      <c r="BD1009" t="s">
        <v>3210</v>
      </c>
      <c r="BE1009">
        <v>0</v>
      </c>
      <c r="BG1009" t="s">
        <v>175</v>
      </c>
      <c r="BJ1009" t="s">
        <v>3211</v>
      </c>
    </row>
    <row r="1010" spans="1:62" x14ac:dyDescent="0.35">
      <c r="A1010" t="s">
        <v>3212</v>
      </c>
      <c r="B1010">
        <v>10000</v>
      </c>
      <c r="C1010">
        <v>20000</v>
      </c>
      <c r="D1010" s="2">
        <v>45734</v>
      </c>
      <c r="E1010" t="s">
        <v>61</v>
      </c>
      <c r="F1010" t="s">
        <v>3213</v>
      </c>
      <c r="G1010" t="s">
        <v>2289</v>
      </c>
      <c r="I1010">
        <v>2</v>
      </c>
      <c r="J1010" t="s">
        <v>63</v>
      </c>
      <c r="K1010" s="8">
        <v>63</v>
      </c>
      <c r="L1010" s="8" t="s">
        <v>6605</v>
      </c>
      <c r="M1010" s="8" t="s">
        <v>6630</v>
      </c>
      <c r="N1010" t="s">
        <v>519</v>
      </c>
      <c r="O1010" t="s">
        <v>6569</v>
      </c>
      <c r="P1010" s="4">
        <v>7500</v>
      </c>
      <c r="Q1010">
        <f t="shared" si="262"/>
        <v>232.5</v>
      </c>
      <c r="R1010">
        <f t="shared" si="263"/>
        <v>3.875</v>
      </c>
      <c r="S1010" s="2">
        <v>45733</v>
      </c>
      <c r="U1010">
        <v>16</v>
      </c>
      <c r="V1010" s="4">
        <v>120000</v>
      </c>
      <c r="W1010" t="s">
        <v>65</v>
      </c>
      <c r="X1010" t="s">
        <v>2865</v>
      </c>
      <c r="Y1010">
        <v>0</v>
      </c>
      <c r="Z1010" s="4">
        <v>120000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 t="s">
        <v>2866</v>
      </c>
      <c r="AQ1010" t="s">
        <v>175</v>
      </c>
      <c r="AR1010" t="s">
        <v>6642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BC1010" t="s">
        <v>69</v>
      </c>
      <c r="BD1010" t="s">
        <v>3214</v>
      </c>
      <c r="BE1010">
        <v>0</v>
      </c>
      <c r="BG1010" t="s">
        <v>175</v>
      </c>
      <c r="BJ1010" t="s">
        <v>3215</v>
      </c>
    </row>
    <row r="1011" spans="1:62" x14ac:dyDescent="0.35">
      <c r="A1011" t="s">
        <v>3468</v>
      </c>
      <c r="B1011">
        <v>10000</v>
      </c>
      <c r="C1011">
        <v>20000</v>
      </c>
      <c r="D1011" s="2">
        <v>45733</v>
      </c>
      <c r="E1011" t="s">
        <v>61</v>
      </c>
      <c r="F1011" t="s">
        <v>3469</v>
      </c>
      <c r="G1011" t="s">
        <v>387</v>
      </c>
      <c r="I1011">
        <v>2</v>
      </c>
      <c r="J1011" t="s">
        <v>63</v>
      </c>
      <c r="K1011" s="8">
        <v>65</v>
      </c>
      <c r="L1011" s="8" t="s">
        <v>6596</v>
      </c>
      <c r="M1011" s="8" t="s">
        <v>6630</v>
      </c>
      <c r="N1011" t="s">
        <v>268</v>
      </c>
      <c r="O1011" t="s">
        <v>6543</v>
      </c>
      <c r="P1011" s="4">
        <v>4000</v>
      </c>
      <c r="Q1011">
        <f t="shared" si="262"/>
        <v>145</v>
      </c>
      <c r="R1011">
        <f t="shared" si="263"/>
        <v>2.4166666666666665</v>
      </c>
      <c r="S1011" s="2">
        <v>45733</v>
      </c>
      <c r="U1011">
        <v>1</v>
      </c>
      <c r="V1011" s="4">
        <v>4000</v>
      </c>
      <c r="W1011" t="s">
        <v>65</v>
      </c>
      <c r="X1011">
        <v>1342670001</v>
      </c>
      <c r="Y1011">
        <v>0</v>
      </c>
      <c r="Z1011" s="4">
        <v>2000</v>
      </c>
      <c r="AA1011" s="4">
        <v>2000</v>
      </c>
      <c r="AB1011">
        <v>0</v>
      </c>
      <c r="AC1011">
        <v>0</v>
      </c>
      <c r="AD1011">
        <v>0</v>
      </c>
      <c r="AG1011">
        <v>0</v>
      </c>
      <c r="AP1011">
        <v>134267</v>
      </c>
      <c r="AQ1011" t="s">
        <v>1139</v>
      </c>
      <c r="AR1011" t="s">
        <v>6671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BC1011" t="s">
        <v>69</v>
      </c>
      <c r="BD1011" t="s">
        <v>3470</v>
      </c>
      <c r="BE1011">
        <v>0</v>
      </c>
      <c r="BG1011" t="s">
        <v>1139</v>
      </c>
      <c r="BJ1011" t="s">
        <v>3471</v>
      </c>
    </row>
    <row r="1012" spans="1:62" x14ac:dyDescent="0.35">
      <c r="A1012" t="s">
        <v>3468</v>
      </c>
      <c r="B1012">
        <v>10000</v>
      </c>
      <c r="C1012">
        <v>30000</v>
      </c>
      <c r="D1012" s="2">
        <v>45733</v>
      </c>
      <c r="E1012" t="s">
        <v>61</v>
      </c>
      <c r="F1012" t="s">
        <v>3469</v>
      </c>
      <c r="G1012" t="s">
        <v>387</v>
      </c>
      <c r="I1012">
        <v>3</v>
      </c>
      <c r="J1012" t="s">
        <v>63</v>
      </c>
      <c r="K1012" s="8">
        <v>60</v>
      </c>
      <c r="L1012" s="8" t="s">
        <v>6590</v>
      </c>
      <c r="M1012" s="8" t="s">
        <v>6630</v>
      </c>
      <c r="N1012" t="s">
        <v>277</v>
      </c>
      <c r="O1012" t="s">
        <v>6554</v>
      </c>
      <c r="P1012" s="4">
        <v>4000</v>
      </c>
      <c r="Q1012">
        <f>(P1012/50)+45</f>
        <v>125</v>
      </c>
      <c r="R1012">
        <f>Q1012/60</f>
        <v>2.0833333333333335</v>
      </c>
      <c r="S1012" s="2">
        <v>45733</v>
      </c>
      <c r="U1012">
        <v>1</v>
      </c>
      <c r="V1012" s="4">
        <v>4000</v>
      </c>
      <c r="W1012" t="s">
        <v>65</v>
      </c>
      <c r="X1012">
        <v>1342670001</v>
      </c>
      <c r="Y1012">
        <v>0</v>
      </c>
      <c r="Z1012" s="4">
        <v>2000</v>
      </c>
      <c r="AA1012" s="4">
        <v>2000</v>
      </c>
      <c r="AB1012">
        <v>0</v>
      </c>
      <c r="AC1012">
        <v>0</v>
      </c>
      <c r="AD1012">
        <v>0</v>
      </c>
      <c r="AG1012">
        <v>0</v>
      </c>
      <c r="AP1012">
        <v>134267</v>
      </c>
      <c r="AQ1012" t="s">
        <v>1139</v>
      </c>
      <c r="AR1012" t="s">
        <v>6671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BC1012" t="s">
        <v>69</v>
      </c>
      <c r="BD1012" t="s">
        <v>3470</v>
      </c>
      <c r="BE1012">
        <v>0</v>
      </c>
      <c r="BG1012" t="s">
        <v>1139</v>
      </c>
      <c r="BJ1012" t="s">
        <v>3471</v>
      </c>
    </row>
    <row r="1013" spans="1:62" x14ac:dyDescent="0.35">
      <c r="A1013" t="s">
        <v>3760</v>
      </c>
      <c r="B1013">
        <v>10000</v>
      </c>
      <c r="C1013">
        <v>10000</v>
      </c>
      <c r="D1013" s="2">
        <v>45733</v>
      </c>
      <c r="E1013" t="s">
        <v>61</v>
      </c>
      <c r="F1013" t="s">
        <v>3390</v>
      </c>
      <c r="G1013" t="s">
        <v>3761</v>
      </c>
      <c r="I1013">
        <v>1</v>
      </c>
      <c r="J1013" t="s">
        <v>63</v>
      </c>
      <c r="K1013" s="8">
        <v>78</v>
      </c>
      <c r="L1013" s="8" t="s">
        <v>6593</v>
      </c>
      <c r="M1013" s="8" t="s">
        <v>6629</v>
      </c>
      <c r="N1013" t="s">
        <v>188</v>
      </c>
      <c r="O1013" t="s">
        <v>6410</v>
      </c>
      <c r="P1013">
        <v>200</v>
      </c>
      <c r="Q1013">
        <f>(P1013/40)+45</f>
        <v>50</v>
      </c>
      <c r="R1013">
        <f>Q1013/60</f>
        <v>0.83333333333333337</v>
      </c>
      <c r="S1013" s="2">
        <v>45733</v>
      </c>
      <c r="U1013">
        <v>1</v>
      </c>
      <c r="V1013">
        <v>200</v>
      </c>
      <c r="W1013" t="s">
        <v>65</v>
      </c>
      <c r="X1013" t="s">
        <v>3762</v>
      </c>
      <c r="Y1013">
        <v>0</v>
      </c>
      <c r="Z1013">
        <v>200</v>
      </c>
      <c r="AA1013">
        <v>0</v>
      </c>
      <c r="AB1013">
        <v>0</v>
      </c>
      <c r="AC1013">
        <v>0</v>
      </c>
      <c r="AD1013">
        <v>0</v>
      </c>
      <c r="AG1013">
        <v>0</v>
      </c>
      <c r="AP1013" t="s">
        <v>3763</v>
      </c>
      <c r="AQ1013" t="s">
        <v>508</v>
      </c>
      <c r="AR1013" t="s">
        <v>6657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BC1013" t="s">
        <v>69</v>
      </c>
      <c r="BD1013" t="s">
        <v>3764</v>
      </c>
      <c r="BE1013">
        <v>0</v>
      </c>
      <c r="BG1013" t="s">
        <v>508</v>
      </c>
      <c r="BJ1013" t="s">
        <v>2990</v>
      </c>
    </row>
    <row r="1014" spans="1:62" x14ac:dyDescent="0.35">
      <c r="A1014" t="s">
        <v>3765</v>
      </c>
      <c r="B1014">
        <v>10000</v>
      </c>
      <c r="C1014">
        <v>10000</v>
      </c>
      <c r="D1014" s="2">
        <v>45734</v>
      </c>
      <c r="E1014" t="s">
        <v>61</v>
      </c>
      <c r="F1014" t="s">
        <v>3766</v>
      </c>
      <c r="G1014" t="s">
        <v>3767</v>
      </c>
      <c r="I1014">
        <v>1</v>
      </c>
      <c r="J1014" t="s">
        <v>63</v>
      </c>
      <c r="K1014" s="8">
        <v>61</v>
      </c>
      <c r="L1014" s="8" t="s">
        <v>6594</v>
      </c>
      <c r="M1014" s="8" t="s">
        <v>6629</v>
      </c>
      <c r="N1014" t="s">
        <v>216</v>
      </c>
      <c r="O1014" t="s">
        <v>6394</v>
      </c>
      <c r="P1014" s="4">
        <v>6000</v>
      </c>
      <c r="Q1014">
        <f>(P1014/50)+45</f>
        <v>165</v>
      </c>
      <c r="R1014">
        <f>Q1014/60</f>
        <v>2.75</v>
      </c>
      <c r="S1014" s="2">
        <v>45733</v>
      </c>
      <c r="U1014">
        <v>1</v>
      </c>
      <c r="V1014" s="4">
        <v>6000</v>
      </c>
      <c r="W1014" t="s">
        <v>65</v>
      </c>
      <c r="X1014" t="s">
        <v>3768</v>
      </c>
      <c r="Y1014">
        <v>0</v>
      </c>
      <c r="Z1014" s="4">
        <v>6000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 t="s">
        <v>3769</v>
      </c>
      <c r="AQ1014" t="s">
        <v>116</v>
      </c>
      <c r="AR1014" t="s">
        <v>6639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BC1014" t="s">
        <v>69</v>
      </c>
      <c r="BD1014" t="s">
        <v>3770</v>
      </c>
      <c r="BE1014">
        <v>0</v>
      </c>
      <c r="BG1014" t="s">
        <v>116</v>
      </c>
      <c r="BJ1014" t="s">
        <v>3281</v>
      </c>
    </row>
    <row r="1015" spans="1:62" x14ac:dyDescent="0.35">
      <c r="A1015" t="s">
        <v>3771</v>
      </c>
      <c r="B1015">
        <v>10000</v>
      </c>
      <c r="C1015">
        <v>10000</v>
      </c>
      <c r="D1015" s="2">
        <v>45734</v>
      </c>
      <c r="E1015" t="s">
        <v>61</v>
      </c>
      <c r="F1015" s="3">
        <v>0.47491898148148148</v>
      </c>
      <c r="G1015" t="s">
        <v>3277</v>
      </c>
      <c r="I1015">
        <v>1</v>
      </c>
      <c r="J1015" t="s">
        <v>63</v>
      </c>
      <c r="K1015" s="8">
        <v>46</v>
      </c>
      <c r="L1015" s="8" t="s">
        <v>6587</v>
      </c>
      <c r="M1015" s="8" t="s">
        <v>6629</v>
      </c>
      <c r="N1015" t="s">
        <v>113</v>
      </c>
      <c r="O1015" t="s">
        <v>6499</v>
      </c>
      <c r="P1015" s="4">
        <v>15000</v>
      </c>
      <c r="Q1015">
        <f>(P1015/40)+45</f>
        <v>420</v>
      </c>
      <c r="R1015">
        <f>Q1015/60</f>
        <v>7</v>
      </c>
      <c r="S1015" s="2">
        <v>45733</v>
      </c>
      <c r="U1015">
        <v>1</v>
      </c>
      <c r="V1015" s="4">
        <v>15000</v>
      </c>
      <c r="W1015" t="s">
        <v>65</v>
      </c>
      <c r="X1015" t="s">
        <v>3772</v>
      </c>
      <c r="Y1015">
        <v>0</v>
      </c>
      <c r="Z1015" s="4">
        <v>15000</v>
      </c>
      <c r="AA1015">
        <v>0</v>
      </c>
      <c r="AB1015">
        <v>0</v>
      </c>
      <c r="AC1015">
        <v>0</v>
      </c>
      <c r="AD1015">
        <v>0</v>
      </c>
      <c r="AG1015">
        <v>0</v>
      </c>
      <c r="AP1015" t="s">
        <v>3773</v>
      </c>
      <c r="AQ1015" t="s">
        <v>116</v>
      </c>
      <c r="AR1015" t="s">
        <v>6639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BC1015" t="s">
        <v>69</v>
      </c>
      <c r="BD1015" t="s">
        <v>3774</v>
      </c>
      <c r="BE1015">
        <v>0</v>
      </c>
      <c r="BG1015" t="s">
        <v>116</v>
      </c>
      <c r="BJ1015" t="s">
        <v>3281</v>
      </c>
    </row>
    <row r="1016" spans="1:62" x14ac:dyDescent="0.35">
      <c r="A1016" t="s">
        <v>3775</v>
      </c>
      <c r="B1016">
        <v>10000</v>
      </c>
      <c r="C1016">
        <v>10000</v>
      </c>
      <c r="D1016" s="2">
        <v>45734</v>
      </c>
      <c r="E1016" t="s">
        <v>61</v>
      </c>
      <c r="F1016" s="3">
        <v>0.47491898148148148</v>
      </c>
      <c r="G1016" t="s">
        <v>3776</v>
      </c>
      <c r="I1016">
        <v>1</v>
      </c>
      <c r="J1016" t="s">
        <v>63</v>
      </c>
      <c r="K1016" s="8">
        <v>71</v>
      </c>
      <c r="L1016" s="8" t="s">
        <v>6588</v>
      </c>
      <c r="M1016" s="8" t="s">
        <v>6630</v>
      </c>
      <c r="N1016" t="s">
        <v>135</v>
      </c>
      <c r="O1016" t="s">
        <v>6573</v>
      </c>
      <c r="P1016" s="4">
        <v>6250</v>
      </c>
      <c r="S1016" s="2">
        <v>45733</v>
      </c>
      <c r="U1016">
        <v>4</v>
      </c>
      <c r="V1016" s="4">
        <v>25000</v>
      </c>
      <c r="W1016" t="s">
        <v>65</v>
      </c>
      <c r="X1016" t="s">
        <v>3777</v>
      </c>
      <c r="Y1016">
        <v>0</v>
      </c>
      <c r="Z1016" s="4">
        <v>25000</v>
      </c>
      <c r="AA1016">
        <v>0</v>
      </c>
      <c r="AB1016">
        <v>0</v>
      </c>
      <c r="AC1016">
        <v>0</v>
      </c>
      <c r="AD1016">
        <v>0</v>
      </c>
      <c r="AG1016">
        <v>0</v>
      </c>
      <c r="AP1016" t="s">
        <v>3778</v>
      </c>
      <c r="AQ1016" t="s">
        <v>3779</v>
      </c>
      <c r="AR1016" t="s">
        <v>6727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BC1016" t="s">
        <v>69</v>
      </c>
      <c r="BD1016" t="s">
        <v>3780</v>
      </c>
      <c r="BE1016">
        <v>0</v>
      </c>
      <c r="BG1016" t="s">
        <v>3779</v>
      </c>
      <c r="BJ1016" t="s">
        <v>3781</v>
      </c>
    </row>
    <row r="1017" spans="1:62" x14ac:dyDescent="0.35">
      <c r="A1017" t="s">
        <v>3782</v>
      </c>
      <c r="B1017">
        <v>10000</v>
      </c>
      <c r="C1017">
        <v>10000</v>
      </c>
      <c r="D1017" s="2">
        <v>45733</v>
      </c>
      <c r="E1017" t="s">
        <v>61</v>
      </c>
      <c r="F1017" t="s">
        <v>3783</v>
      </c>
      <c r="G1017" t="s">
        <v>418</v>
      </c>
      <c r="I1017">
        <v>1</v>
      </c>
      <c r="J1017" t="s">
        <v>63</v>
      </c>
      <c r="K1017" s="8">
        <v>59</v>
      </c>
      <c r="L1017" s="8" t="s">
        <v>6592</v>
      </c>
      <c r="M1017" s="8" t="s">
        <v>6629</v>
      </c>
      <c r="N1017" t="s">
        <v>745</v>
      </c>
      <c r="O1017" t="s">
        <v>6501</v>
      </c>
      <c r="P1017" s="4">
        <v>1000</v>
      </c>
      <c r="Q1017">
        <f t="shared" ref="Q1017:Q1020" si="264">(P1017/40)+45</f>
        <v>70</v>
      </c>
      <c r="R1017">
        <f t="shared" ref="R1017:R1020" si="265">Q1017/60</f>
        <v>1.1666666666666667</v>
      </c>
      <c r="S1017" s="2">
        <v>45733</v>
      </c>
      <c r="U1017">
        <v>10</v>
      </c>
      <c r="V1017" s="4">
        <v>10000</v>
      </c>
      <c r="W1017" t="s">
        <v>65</v>
      </c>
      <c r="X1017">
        <v>112024330001</v>
      </c>
      <c r="Y1017">
        <v>0</v>
      </c>
      <c r="Z1017" s="4">
        <v>10000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>
        <v>11202433</v>
      </c>
      <c r="AQ1017" t="s">
        <v>182</v>
      </c>
      <c r="AR1017" t="s">
        <v>6643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BC1017" t="s">
        <v>69</v>
      </c>
      <c r="BD1017" t="s">
        <v>3784</v>
      </c>
      <c r="BE1017">
        <v>0</v>
      </c>
      <c r="BG1017" t="s">
        <v>182</v>
      </c>
      <c r="BJ1017" t="s">
        <v>3785</v>
      </c>
    </row>
    <row r="1018" spans="1:62" x14ac:dyDescent="0.35">
      <c r="A1018" t="s">
        <v>3782</v>
      </c>
      <c r="B1018">
        <v>20000</v>
      </c>
      <c r="C1018">
        <v>10000</v>
      </c>
      <c r="D1018" s="2">
        <v>45733</v>
      </c>
      <c r="E1018" t="s">
        <v>61</v>
      </c>
      <c r="F1018" t="s">
        <v>3783</v>
      </c>
      <c r="G1018" t="s">
        <v>418</v>
      </c>
      <c r="I1018">
        <v>1</v>
      </c>
      <c r="J1018" t="s">
        <v>63</v>
      </c>
      <c r="K1018" s="8">
        <v>59</v>
      </c>
      <c r="L1018" s="8" t="s">
        <v>6592</v>
      </c>
      <c r="M1018" s="8" t="s">
        <v>6629</v>
      </c>
      <c r="N1018" t="s">
        <v>745</v>
      </c>
      <c r="O1018" t="s">
        <v>6501</v>
      </c>
      <c r="P1018" s="4">
        <v>1000</v>
      </c>
      <c r="Q1018">
        <f t="shared" si="264"/>
        <v>70</v>
      </c>
      <c r="R1018">
        <f t="shared" si="265"/>
        <v>1.1666666666666667</v>
      </c>
      <c r="S1018" s="2">
        <v>45733</v>
      </c>
      <c r="U1018">
        <v>10</v>
      </c>
      <c r="V1018" s="4">
        <v>10000</v>
      </c>
      <c r="W1018" t="s">
        <v>65</v>
      </c>
      <c r="X1018">
        <v>112024330001</v>
      </c>
      <c r="Y1018">
        <v>0</v>
      </c>
      <c r="Z1018" s="4">
        <v>10000</v>
      </c>
      <c r="AA1018">
        <v>0</v>
      </c>
      <c r="AB1018">
        <v>0</v>
      </c>
      <c r="AC1018">
        <v>0</v>
      </c>
      <c r="AD1018">
        <v>0</v>
      </c>
      <c r="AG1018">
        <v>0</v>
      </c>
      <c r="AP1018">
        <v>11202433</v>
      </c>
      <c r="AQ1018" t="s">
        <v>182</v>
      </c>
      <c r="AR1018" t="s">
        <v>6643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BC1018" t="s">
        <v>69</v>
      </c>
      <c r="BD1018" t="s">
        <v>3784</v>
      </c>
      <c r="BE1018">
        <v>0</v>
      </c>
      <c r="BG1018" t="s">
        <v>182</v>
      </c>
      <c r="BJ1018" t="s">
        <v>3785</v>
      </c>
    </row>
    <row r="1019" spans="1:62" x14ac:dyDescent="0.35">
      <c r="A1019" t="s">
        <v>3786</v>
      </c>
      <c r="B1019">
        <v>10000</v>
      </c>
      <c r="C1019">
        <v>10000</v>
      </c>
      <c r="D1019" s="2">
        <v>45733</v>
      </c>
      <c r="E1019" t="s">
        <v>61</v>
      </c>
      <c r="F1019" t="s">
        <v>3783</v>
      </c>
      <c r="G1019" t="s">
        <v>418</v>
      </c>
      <c r="I1019">
        <v>1</v>
      </c>
      <c r="J1019" t="s">
        <v>63</v>
      </c>
      <c r="K1019" s="8">
        <v>59</v>
      </c>
      <c r="L1019" s="8" t="s">
        <v>6592</v>
      </c>
      <c r="M1019" s="8" t="s">
        <v>6629</v>
      </c>
      <c r="N1019" t="s">
        <v>745</v>
      </c>
      <c r="O1019" t="s">
        <v>6501</v>
      </c>
      <c r="P1019" s="4">
        <v>1000</v>
      </c>
      <c r="Q1019">
        <f t="shared" si="264"/>
        <v>70</v>
      </c>
      <c r="R1019">
        <f t="shared" si="265"/>
        <v>1.1666666666666667</v>
      </c>
      <c r="S1019" s="2">
        <v>45733</v>
      </c>
      <c r="U1019">
        <v>10</v>
      </c>
      <c r="V1019" s="4">
        <v>10000</v>
      </c>
      <c r="W1019" t="s">
        <v>65</v>
      </c>
      <c r="X1019">
        <v>112024330001</v>
      </c>
      <c r="Y1019">
        <v>0</v>
      </c>
      <c r="Z1019" s="4">
        <v>10000</v>
      </c>
      <c r="AA1019">
        <v>0</v>
      </c>
      <c r="AB1019">
        <v>0</v>
      </c>
      <c r="AC1019">
        <v>0</v>
      </c>
      <c r="AD1019">
        <v>0</v>
      </c>
      <c r="AG1019">
        <v>0</v>
      </c>
      <c r="AP1019">
        <v>11202433</v>
      </c>
      <c r="AQ1019" t="s">
        <v>182</v>
      </c>
      <c r="AR1019" t="s">
        <v>6643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BC1019" t="s">
        <v>69</v>
      </c>
      <c r="BD1019" t="s">
        <v>3787</v>
      </c>
      <c r="BE1019">
        <v>0</v>
      </c>
      <c r="BG1019" t="s">
        <v>182</v>
      </c>
      <c r="BJ1019" t="s">
        <v>3788</v>
      </c>
    </row>
    <row r="1020" spans="1:62" x14ac:dyDescent="0.35">
      <c r="A1020" t="s">
        <v>3789</v>
      </c>
      <c r="B1020">
        <v>10000</v>
      </c>
      <c r="C1020">
        <v>10000</v>
      </c>
      <c r="D1020" s="2">
        <v>45734</v>
      </c>
      <c r="E1020" t="s">
        <v>61</v>
      </c>
      <c r="F1020" s="3">
        <v>0.47491898148148148</v>
      </c>
      <c r="G1020" t="s">
        <v>2634</v>
      </c>
      <c r="I1020">
        <v>1</v>
      </c>
      <c r="J1020" t="s">
        <v>63</v>
      </c>
      <c r="K1020" s="8">
        <v>31</v>
      </c>
      <c r="L1020" s="8" t="s">
        <v>6595</v>
      </c>
      <c r="M1020" s="8" t="s">
        <v>6629</v>
      </c>
      <c r="N1020" t="s">
        <v>1311</v>
      </c>
      <c r="O1020" t="s">
        <v>6491</v>
      </c>
      <c r="P1020" s="4">
        <v>3000</v>
      </c>
      <c r="Q1020">
        <f t="shared" si="264"/>
        <v>120</v>
      </c>
      <c r="R1020">
        <f t="shared" si="265"/>
        <v>2</v>
      </c>
      <c r="S1020" s="2">
        <v>45733</v>
      </c>
      <c r="U1020">
        <v>1</v>
      </c>
      <c r="V1020" s="4">
        <v>3000</v>
      </c>
      <c r="W1020" t="s">
        <v>65</v>
      </c>
      <c r="X1020">
        <v>30010005</v>
      </c>
      <c r="Y1020">
        <v>0</v>
      </c>
      <c r="Z1020" s="4">
        <v>3000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>
        <v>3001</v>
      </c>
      <c r="AQ1020" t="s">
        <v>3790</v>
      </c>
      <c r="AR1020" t="s">
        <v>6728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BC1020" t="s">
        <v>69</v>
      </c>
      <c r="BD1020" t="s">
        <v>3791</v>
      </c>
      <c r="BE1020">
        <v>0</v>
      </c>
      <c r="BG1020" t="s">
        <v>3790</v>
      </c>
      <c r="BJ1020" t="s">
        <v>3792</v>
      </c>
    </row>
    <row r="1021" spans="1:62" x14ac:dyDescent="0.35">
      <c r="A1021" t="s">
        <v>3793</v>
      </c>
      <c r="B1021">
        <v>10000</v>
      </c>
      <c r="C1021">
        <v>10000</v>
      </c>
      <c r="D1021" s="2">
        <v>45733</v>
      </c>
      <c r="E1021" t="s">
        <v>61</v>
      </c>
      <c r="F1021" t="s">
        <v>3794</v>
      </c>
      <c r="G1021" t="s">
        <v>3795</v>
      </c>
      <c r="I1021">
        <v>1</v>
      </c>
      <c r="J1021" t="s">
        <v>63</v>
      </c>
      <c r="K1021" s="8">
        <v>61</v>
      </c>
      <c r="L1021" s="8" t="s">
        <v>6594</v>
      </c>
      <c r="M1021" s="8" t="s">
        <v>6629</v>
      </c>
      <c r="N1021" t="s">
        <v>216</v>
      </c>
      <c r="O1021" t="s">
        <v>6394</v>
      </c>
      <c r="P1021">
        <v>100</v>
      </c>
      <c r="Q1021">
        <f t="shared" ref="Q1021:Q1028" si="266">(P1021/50)+45</f>
        <v>47</v>
      </c>
      <c r="R1021">
        <f t="shared" ref="R1021:R1028" si="267">Q1021/60</f>
        <v>0.78333333333333333</v>
      </c>
      <c r="S1021" s="2">
        <v>45733</v>
      </c>
      <c r="U1021">
        <v>1</v>
      </c>
      <c r="V1021">
        <v>100</v>
      </c>
      <c r="W1021" t="s">
        <v>65</v>
      </c>
      <c r="X1021" t="s">
        <v>3796</v>
      </c>
      <c r="Y1021">
        <v>0</v>
      </c>
      <c r="Z1021">
        <v>100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 t="s">
        <v>3797</v>
      </c>
      <c r="AQ1021" t="s">
        <v>206</v>
      </c>
      <c r="AR1021" t="s">
        <v>6645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BC1021" t="s">
        <v>69</v>
      </c>
      <c r="BD1021" t="s">
        <v>3798</v>
      </c>
      <c r="BE1021">
        <v>0</v>
      </c>
      <c r="BG1021" t="s">
        <v>206</v>
      </c>
      <c r="BJ1021" t="s">
        <v>3799</v>
      </c>
    </row>
    <row r="1022" spans="1:62" x14ac:dyDescent="0.35">
      <c r="A1022" t="s">
        <v>3800</v>
      </c>
      <c r="B1022">
        <v>10000</v>
      </c>
      <c r="C1022">
        <v>10000</v>
      </c>
      <c r="D1022" s="2">
        <v>45733</v>
      </c>
      <c r="E1022" t="s">
        <v>61</v>
      </c>
      <c r="F1022" s="3">
        <v>0.54084490740740743</v>
      </c>
      <c r="G1022" t="s">
        <v>3795</v>
      </c>
      <c r="I1022">
        <v>1</v>
      </c>
      <c r="J1022" t="s">
        <v>63</v>
      </c>
      <c r="K1022" s="8">
        <v>61</v>
      </c>
      <c r="L1022" s="8" t="s">
        <v>6594</v>
      </c>
      <c r="M1022" s="8" t="s">
        <v>6629</v>
      </c>
      <c r="N1022" t="s">
        <v>216</v>
      </c>
      <c r="O1022" t="s">
        <v>6394</v>
      </c>
      <c r="P1022">
        <v>100</v>
      </c>
      <c r="Q1022">
        <f t="shared" si="266"/>
        <v>47</v>
      </c>
      <c r="R1022">
        <f t="shared" si="267"/>
        <v>0.78333333333333333</v>
      </c>
      <c r="S1022" s="2">
        <v>45733</v>
      </c>
      <c r="U1022">
        <v>1</v>
      </c>
      <c r="V1022">
        <v>100</v>
      </c>
      <c r="W1022" t="s">
        <v>65</v>
      </c>
      <c r="X1022" t="s">
        <v>3801</v>
      </c>
      <c r="Y1022">
        <v>0</v>
      </c>
      <c r="Z1022">
        <v>100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 t="s">
        <v>3802</v>
      </c>
      <c r="AQ1022" t="s">
        <v>206</v>
      </c>
      <c r="AR1022" t="s">
        <v>6645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BC1022" t="s">
        <v>69</v>
      </c>
      <c r="BD1022" t="s">
        <v>3803</v>
      </c>
      <c r="BE1022">
        <v>0</v>
      </c>
      <c r="BG1022" t="s">
        <v>206</v>
      </c>
      <c r="BJ1022" t="s">
        <v>3799</v>
      </c>
    </row>
    <row r="1023" spans="1:62" x14ac:dyDescent="0.35">
      <c r="A1023" t="s">
        <v>3804</v>
      </c>
      <c r="B1023">
        <v>10000</v>
      </c>
      <c r="C1023">
        <v>10000</v>
      </c>
      <c r="D1023" s="2">
        <v>45733</v>
      </c>
      <c r="E1023" t="s">
        <v>61</v>
      </c>
      <c r="F1023" t="s">
        <v>833</v>
      </c>
      <c r="G1023" t="s">
        <v>498</v>
      </c>
      <c r="I1023">
        <v>1</v>
      </c>
      <c r="J1023" t="s">
        <v>63</v>
      </c>
      <c r="K1023" s="8">
        <v>61</v>
      </c>
      <c r="L1023" s="8" t="s">
        <v>6594</v>
      </c>
      <c r="M1023" s="8" t="s">
        <v>6629</v>
      </c>
      <c r="N1023" t="s">
        <v>216</v>
      </c>
      <c r="O1023" t="s">
        <v>6394</v>
      </c>
      <c r="P1023">
        <v>250</v>
      </c>
      <c r="Q1023">
        <f t="shared" si="266"/>
        <v>50</v>
      </c>
      <c r="R1023">
        <f t="shared" si="267"/>
        <v>0.83333333333333337</v>
      </c>
      <c r="S1023" s="2">
        <v>45733</v>
      </c>
      <c r="U1023">
        <v>2</v>
      </c>
      <c r="V1023">
        <v>500</v>
      </c>
      <c r="W1023" t="s">
        <v>65</v>
      </c>
      <c r="X1023">
        <v>107118930001</v>
      </c>
      <c r="Y1023">
        <v>0</v>
      </c>
      <c r="Z1023">
        <v>500</v>
      </c>
      <c r="AA1023">
        <v>0</v>
      </c>
      <c r="AB1023">
        <v>0</v>
      </c>
      <c r="AC1023">
        <v>0</v>
      </c>
      <c r="AD1023">
        <v>0</v>
      </c>
      <c r="AG1023">
        <v>0</v>
      </c>
      <c r="AP1023">
        <v>10711893</v>
      </c>
      <c r="AQ1023" t="s">
        <v>487</v>
      </c>
      <c r="AR1023" t="s">
        <v>6656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BC1023" t="s">
        <v>69</v>
      </c>
      <c r="BD1023" t="s">
        <v>3805</v>
      </c>
      <c r="BE1023">
        <v>0</v>
      </c>
      <c r="BG1023" t="s">
        <v>487</v>
      </c>
      <c r="BJ1023" t="s">
        <v>3806</v>
      </c>
    </row>
    <row r="1024" spans="1:62" x14ac:dyDescent="0.35">
      <c r="A1024" t="s">
        <v>3807</v>
      </c>
      <c r="B1024">
        <v>10000</v>
      </c>
      <c r="C1024">
        <v>10000</v>
      </c>
      <c r="D1024" s="2">
        <v>45734</v>
      </c>
      <c r="E1024" t="s">
        <v>61</v>
      </c>
      <c r="F1024" t="s">
        <v>3808</v>
      </c>
      <c r="G1024" t="s">
        <v>2412</v>
      </c>
      <c r="I1024">
        <v>1</v>
      </c>
      <c r="J1024" t="s">
        <v>63</v>
      </c>
      <c r="K1024" s="8">
        <v>12</v>
      </c>
      <c r="L1024" s="8" t="s">
        <v>6604</v>
      </c>
      <c r="M1024" s="8" t="s">
        <v>6629</v>
      </c>
      <c r="N1024" t="s">
        <v>478</v>
      </c>
      <c r="O1024" t="s">
        <v>6434</v>
      </c>
      <c r="P1024" s="4">
        <v>10000</v>
      </c>
      <c r="Q1024">
        <f t="shared" si="266"/>
        <v>245</v>
      </c>
      <c r="R1024">
        <f t="shared" si="267"/>
        <v>4.083333333333333</v>
      </c>
      <c r="S1024" s="2">
        <v>45733</v>
      </c>
      <c r="U1024">
        <v>2</v>
      </c>
      <c r="V1024" s="4">
        <v>20000</v>
      </c>
      <c r="W1024" t="s">
        <v>65</v>
      </c>
      <c r="X1024" t="s">
        <v>2118</v>
      </c>
      <c r="Y1024">
        <v>0</v>
      </c>
      <c r="Z1024" s="4">
        <v>20000</v>
      </c>
      <c r="AA1024">
        <v>0</v>
      </c>
      <c r="AB1024">
        <v>0</v>
      </c>
      <c r="AC1024">
        <v>0</v>
      </c>
      <c r="AD1024">
        <v>0</v>
      </c>
      <c r="AG1024">
        <v>0</v>
      </c>
      <c r="AP1024" t="s">
        <v>2119</v>
      </c>
      <c r="AQ1024" t="s">
        <v>116</v>
      </c>
      <c r="AR1024" t="s">
        <v>6639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C1024" t="s">
        <v>69</v>
      </c>
      <c r="BD1024" t="s">
        <v>3809</v>
      </c>
      <c r="BE1024">
        <v>0</v>
      </c>
      <c r="BG1024" t="s">
        <v>116</v>
      </c>
      <c r="BJ1024" t="s">
        <v>3313</v>
      </c>
    </row>
    <row r="1025" spans="1:62" x14ac:dyDescent="0.35">
      <c r="A1025" t="s">
        <v>3810</v>
      </c>
      <c r="B1025">
        <v>10000</v>
      </c>
      <c r="C1025">
        <v>10000</v>
      </c>
      <c r="D1025" s="2">
        <v>45734</v>
      </c>
      <c r="E1025" t="s">
        <v>61</v>
      </c>
      <c r="F1025" t="s">
        <v>3808</v>
      </c>
      <c r="G1025" t="s">
        <v>3811</v>
      </c>
      <c r="I1025">
        <v>1</v>
      </c>
      <c r="J1025" t="s">
        <v>63</v>
      </c>
      <c r="K1025" s="8">
        <v>61</v>
      </c>
      <c r="L1025" s="8" t="s">
        <v>6594</v>
      </c>
      <c r="M1025" s="8" t="s">
        <v>6629</v>
      </c>
      <c r="N1025" t="s">
        <v>197</v>
      </c>
      <c r="O1025" t="s">
        <v>6565</v>
      </c>
      <c r="P1025" s="4">
        <v>3334</v>
      </c>
      <c r="Q1025">
        <f t="shared" si="266"/>
        <v>111.68</v>
      </c>
      <c r="R1025">
        <f t="shared" si="267"/>
        <v>1.8613333333333335</v>
      </c>
      <c r="S1025" s="2">
        <v>45733</v>
      </c>
      <c r="U1025">
        <v>6</v>
      </c>
      <c r="V1025" s="4">
        <v>20004</v>
      </c>
      <c r="W1025" t="s">
        <v>65</v>
      </c>
      <c r="X1025" t="s">
        <v>2418</v>
      </c>
      <c r="Y1025">
        <v>0</v>
      </c>
      <c r="Z1025" s="4">
        <v>20000</v>
      </c>
      <c r="AA1025">
        <v>4</v>
      </c>
      <c r="AB1025">
        <v>0</v>
      </c>
      <c r="AC1025">
        <v>0</v>
      </c>
      <c r="AD1025">
        <v>0</v>
      </c>
      <c r="AG1025">
        <v>0</v>
      </c>
      <c r="AP1025" t="s">
        <v>2419</v>
      </c>
      <c r="AQ1025" t="s">
        <v>116</v>
      </c>
      <c r="AR1025" t="s">
        <v>6639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BC1025" t="s">
        <v>69</v>
      </c>
      <c r="BD1025" t="s">
        <v>3812</v>
      </c>
      <c r="BE1025">
        <v>0</v>
      </c>
      <c r="BG1025" t="s">
        <v>116</v>
      </c>
      <c r="BJ1025" t="s">
        <v>3813</v>
      </c>
    </row>
    <row r="1026" spans="1:62" x14ac:dyDescent="0.35">
      <c r="A1026" t="s">
        <v>3814</v>
      </c>
      <c r="B1026">
        <v>10000</v>
      </c>
      <c r="C1026">
        <v>10000</v>
      </c>
      <c r="D1026" s="2">
        <v>45734</v>
      </c>
      <c r="E1026" t="s">
        <v>61</v>
      </c>
      <c r="F1026" t="s">
        <v>3766</v>
      </c>
      <c r="G1026" t="s">
        <v>3811</v>
      </c>
      <c r="I1026">
        <v>1</v>
      </c>
      <c r="J1026" t="s">
        <v>63</v>
      </c>
      <c r="K1026" s="8">
        <v>61</v>
      </c>
      <c r="L1026" s="8" t="s">
        <v>6594</v>
      </c>
      <c r="M1026" s="8" t="s">
        <v>6629</v>
      </c>
      <c r="N1026" t="s">
        <v>197</v>
      </c>
      <c r="O1026" t="s">
        <v>6565</v>
      </c>
      <c r="P1026" s="4">
        <v>3334</v>
      </c>
      <c r="Q1026">
        <f t="shared" si="266"/>
        <v>111.68</v>
      </c>
      <c r="R1026">
        <f t="shared" si="267"/>
        <v>1.8613333333333335</v>
      </c>
      <c r="S1026" s="2">
        <v>45733</v>
      </c>
      <c r="U1026">
        <v>6</v>
      </c>
      <c r="V1026" s="4">
        <v>20004</v>
      </c>
      <c r="W1026" t="s">
        <v>65</v>
      </c>
      <c r="X1026" t="s">
        <v>2418</v>
      </c>
      <c r="Y1026">
        <v>0</v>
      </c>
      <c r="Z1026" s="4">
        <v>20000</v>
      </c>
      <c r="AA1026">
        <v>4</v>
      </c>
      <c r="AB1026">
        <v>0</v>
      </c>
      <c r="AC1026">
        <v>0</v>
      </c>
      <c r="AD1026">
        <v>0</v>
      </c>
      <c r="AG1026">
        <v>0</v>
      </c>
      <c r="AP1026" t="s">
        <v>2419</v>
      </c>
      <c r="AQ1026" t="s">
        <v>116</v>
      </c>
      <c r="AR1026" t="s">
        <v>6639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C1026" t="s">
        <v>69</v>
      </c>
      <c r="BD1026" t="s">
        <v>3815</v>
      </c>
      <c r="BE1026">
        <v>0</v>
      </c>
      <c r="BG1026" t="s">
        <v>116</v>
      </c>
      <c r="BJ1026" t="s">
        <v>3816</v>
      </c>
    </row>
    <row r="1027" spans="1:62" x14ac:dyDescent="0.35">
      <c r="A1027" t="s">
        <v>3817</v>
      </c>
      <c r="B1027">
        <v>10000</v>
      </c>
      <c r="C1027">
        <v>10000</v>
      </c>
      <c r="D1027" s="2">
        <v>45734</v>
      </c>
      <c r="E1027" t="s">
        <v>61</v>
      </c>
      <c r="F1027" t="s">
        <v>3818</v>
      </c>
      <c r="G1027" t="s">
        <v>3811</v>
      </c>
      <c r="I1027">
        <v>1</v>
      </c>
      <c r="J1027" t="s">
        <v>63</v>
      </c>
      <c r="K1027" s="8">
        <v>22</v>
      </c>
      <c r="L1027" s="8" t="s">
        <v>6603</v>
      </c>
      <c r="M1027" s="8" t="s">
        <v>6629</v>
      </c>
      <c r="N1027" t="s">
        <v>466</v>
      </c>
      <c r="O1027" t="s">
        <v>6474</v>
      </c>
      <c r="P1027" s="4">
        <v>20000</v>
      </c>
      <c r="Q1027">
        <f t="shared" si="266"/>
        <v>445</v>
      </c>
      <c r="R1027">
        <f t="shared" si="267"/>
        <v>7.416666666666667</v>
      </c>
      <c r="S1027" s="2">
        <v>45733</v>
      </c>
      <c r="U1027">
        <v>2</v>
      </c>
      <c r="V1027" s="4">
        <v>40000</v>
      </c>
      <c r="W1027" t="s">
        <v>65</v>
      </c>
      <c r="X1027" t="s">
        <v>2902</v>
      </c>
      <c r="Y1027">
        <v>0</v>
      </c>
      <c r="Z1027" s="4">
        <v>40000</v>
      </c>
      <c r="AA1027">
        <v>0</v>
      </c>
      <c r="AB1027">
        <v>0</v>
      </c>
      <c r="AC1027">
        <v>0</v>
      </c>
      <c r="AD1027">
        <v>0</v>
      </c>
      <c r="AG1027">
        <v>0</v>
      </c>
      <c r="AP1027" t="s">
        <v>2903</v>
      </c>
      <c r="AQ1027" t="s">
        <v>116</v>
      </c>
      <c r="AR1027" t="s">
        <v>6639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C1027" t="s">
        <v>69</v>
      </c>
      <c r="BD1027" t="s">
        <v>3819</v>
      </c>
      <c r="BE1027">
        <v>0</v>
      </c>
      <c r="BG1027" t="s">
        <v>116</v>
      </c>
      <c r="BJ1027" t="s">
        <v>3323</v>
      </c>
    </row>
    <row r="1028" spans="1:62" x14ac:dyDescent="0.35">
      <c r="A1028" t="s">
        <v>3820</v>
      </c>
      <c r="B1028">
        <v>10000</v>
      </c>
      <c r="C1028">
        <v>10000</v>
      </c>
      <c r="D1028" s="2">
        <v>45733</v>
      </c>
      <c r="E1028" t="s">
        <v>61</v>
      </c>
      <c r="F1028" t="s">
        <v>3821</v>
      </c>
      <c r="G1028" t="s">
        <v>2613</v>
      </c>
      <c r="I1028">
        <v>1</v>
      </c>
      <c r="J1028" t="s">
        <v>63</v>
      </c>
      <c r="K1028" s="8">
        <v>61</v>
      </c>
      <c r="L1028" s="8" t="s">
        <v>6594</v>
      </c>
      <c r="M1028" s="8" t="s">
        <v>6629</v>
      </c>
      <c r="N1028" t="s">
        <v>197</v>
      </c>
      <c r="O1028" t="s">
        <v>6565</v>
      </c>
      <c r="P1028" s="4">
        <v>3834</v>
      </c>
      <c r="Q1028">
        <f t="shared" si="266"/>
        <v>121.68</v>
      </c>
      <c r="R1028">
        <f t="shared" si="267"/>
        <v>2.028</v>
      </c>
      <c r="S1028" s="2">
        <v>45733</v>
      </c>
      <c r="U1028">
        <v>6</v>
      </c>
      <c r="V1028" s="4">
        <v>23004</v>
      </c>
      <c r="W1028" t="s">
        <v>65</v>
      </c>
      <c r="X1028" t="s">
        <v>198</v>
      </c>
      <c r="Y1028">
        <v>0</v>
      </c>
      <c r="Z1028" s="4">
        <v>23000</v>
      </c>
      <c r="AA1028">
        <v>4</v>
      </c>
      <c r="AB1028">
        <v>0</v>
      </c>
      <c r="AC1028">
        <v>0</v>
      </c>
      <c r="AD1028">
        <v>0</v>
      </c>
      <c r="AG1028">
        <v>0</v>
      </c>
      <c r="AP1028" t="s">
        <v>199</v>
      </c>
      <c r="AQ1028" t="s">
        <v>116</v>
      </c>
      <c r="AR1028" t="s">
        <v>6639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BC1028" t="s">
        <v>69</v>
      </c>
      <c r="BD1028" t="s">
        <v>3822</v>
      </c>
      <c r="BE1028">
        <v>0</v>
      </c>
      <c r="BG1028" t="s">
        <v>116</v>
      </c>
      <c r="BJ1028" t="s">
        <v>3823</v>
      </c>
    </row>
    <row r="1029" spans="1:62" x14ac:dyDescent="0.35">
      <c r="A1029" t="s">
        <v>3824</v>
      </c>
      <c r="B1029">
        <v>10000</v>
      </c>
      <c r="C1029">
        <v>10000</v>
      </c>
      <c r="D1029" s="2">
        <v>45733</v>
      </c>
      <c r="E1029" t="s">
        <v>61</v>
      </c>
      <c r="F1029" t="s">
        <v>3749</v>
      </c>
      <c r="G1029" t="s">
        <v>3825</v>
      </c>
      <c r="I1029">
        <v>1</v>
      </c>
      <c r="J1029" t="s">
        <v>63</v>
      </c>
      <c r="K1029" s="8">
        <v>65</v>
      </c>
      <c r="L1029" s="8" t="s">
        <v>6596</v>
      </c>
      <c r="M1029" s="8" t="s">
        <v>6630</v>
      </c>
      <c r="N1029" t="s">
        <v>268</v>
      </c>
      <c r="O1029" t="s">
        <v>6543</v>
      </c>
      <c r="P1029" s="4">
        <v>17648</v>
      </c>
      <c r="Q1029">
        <f>(P1029/40)+45</f>
        <v>486.2</v>
      </c>
      <c r="R1029">
        <f>Q1029/60</f>
        <v>8.1033333333333335</v>
      </c>
      <c r="S1029" s="2">
        <v>45733</v>
      </c>
      <c r="U1029">
        <v>17</v>
      </c>
      <c r="V1029" s="4">
        <v>300016</v>
      </c>
      <c r="W1029" t="s">
        <v>65</v>
      </c>
      <c r="X1029" t="s">
        <v>3826</v>
      </c>
      <c r="Y1029">
        <v>0</v>
      </c>
      <c r="Z1029" s="4">
        <v>300000</v>
      </c>
      <c r="AA1029">
        <v>16</v>
      </c>
      <c r="AB1029">
        <v>0</v>
      </c>
      <c r="AC1029">
        <v>0</v>
      </c>
      <c r="AD1029">
        <v>0</v>
      </c>
      <c r="AG1029">
        <v>0</v>
      </c>
      <c r="AP1029" t="s">
        <v>3827</v>
      </c>
      <c r="AQ1029" t="s">
        <v>2976</v>
      </c>
      <c r="AR1029" t="s">
        <v>6711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BC1029" t="s">
        <v>69</v>
      </c>
      <c r="BD1029" t="s">
        <v>3828</v>
      </c>
      <c r="BE1029">
        <v>0</v>
      </c>
      <c r="BG1029" t="s">
        <v>2976</v>
      </c>
      <c r="BJ1029" t="s">
        <v>3829</v>
      </c>
    </row>
    <row r="1030" spans="1:62" x14ac:dyDescent="0.35">
      <c r="A1030" t="s">
        <v>3328</v>
      </c>
      <c r="B1030">
        <v>10000</v>
      </c>
      <c r="C1030">
        <v>20000</v>
      </c>
      <c r="D1030" s="2">
        <v>45734</v>
      </c>
      <c r="E1030" t="s">
        <v>61</v>
      </c>
      <c r="F1030" t="s">
        <v>3329</v>
      </c>
      <c r="G1030" t="s">
        <v>3330</v>
      </c>
      <c r="I1030">
        <v>2</v>
      </c>
      <c r="J1030" t="s">
        <v>63</v>
      </c>
      <c r="K1030" s="8">
        <v>92</v>
      </c>
      <c r="L1030" s="8" t="s">
        <v>6614</v>
      </c>
      <c r="M1030" s="8" t="s">
        <v>6633</v>
      </c>
      <c r="N1030" t="s">
        <v>424</v>
      </c>
      <c r="O1030" t="s">
        <v>6570</v>
      </c>
      <c r="P1030">
        <v>200</v>
      </c>
      <c r="S1030" s="2">
        <v>45733</v>
      </c>
      <c r="U1030">
        <v>1</v>
      </c>
      <c r="V1030">
        <v>200</v>
      </c>
      <c r="W1030" t="s">
        <v>65</v>
      </c>
      <c r="X1030" t="s">
        <v>3331</v>
      </c>
      <c r="Y1030">
        <v>0</v>
      </c>
      <c r="Z1030">
        <v>100</v>
      </c>
      <c r="AA1030">
        <v>100</v>
      </c>
      <c r="AB1030">
        <v>0</v>
      </c>
      <c r="AC1030">
        <v>0</v>
      </c>
      <c r="AD1030">
        <v>0</v>
      </c>
      <c r="AG1030">
        <v>0</v>
      </c>
      <c r="AP1030" t="s">
        <v>3332</v>
      </c>
      <c r="AQ1030" t="s">
        <v>206</v>
      </c>
      <c r="AR1030" t="s">
        <v>6645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C1030" t="s">
        <v>69</v>
      </c>
      <c r="BD1030" t="s">
        <v>3333</v>
      </c>
      <c r="BE1030">
        <v>0</v>
      </c>
      <c r="BG1030" t="s">
        <v>206</v>
      </c>
      <c r="BJ1030" t="s">
        <v>3334</v>
      </c>
    </row>
    <row r="1031" spans="1:62" x14ac:dyDescent="0.35">
      <c r="A1031" t="s">
        <v>3830</v>
      </c>
      <c r="B1031">
        <v>10000</v>
      </c>
      <c r="C1031">
        <v>20000</v>
      </c>
      <c r="D1031" s="2">
        <v>45733</v>
      </c>
      <c r="E1031" t="s">
        <v>61</v>
      </c>
      <c r="F1031" s="3">
        <v>0.45377314814814818</v>
      </c>
      <c r="G1031" t="s">
        <v>3831</v>
      </c>
      <c r="I1031">
        <v>1</v>
      </c>
      <c r="J1031" t="s">
        <v>63</v>
      </c>
      <c r="K1031" s="8">
        <v>95</v>
      </c>
      <c r="L1031" s="8" t="s">
        <v>6609</v>
      </c>
      <c r="M1031" s="8" t="s">
        <v>6630</v>
      </c>
      <c r="N1031" t="s">
        <v>597</v>
      </c>
      <c r="O1031" t="s">
        <v>6556</v>
      </c>
      <c r="P1031" s="4">
        <v>27290</v>
      </c>
      <c r="Q1031">
        <f>(P1031/20)+45</f>
        <v>1409.5</v>
      </c>
      <c r="R1031">
        <f>Q1031/60</f>
        <v>23.491666666666667</v>
      </c>
      <c r="S1031" s="2">
        <v>45733</v>
      </c>
      <c r="U1031">
        <v>7</v>
      </c>
      <c r="V1031" s="4">
        <v>191030</v>
      </c>
      <c r="W1031" t="s">
        <v>65</v>
      </c>
      <c r="X1031">
        <v>86.915900010000001</v>
      </c>
      <c r="Y1031">
        <v>0</v>
      </c>
      <c r="Z1031" s="4">
        <v>219000</v>
      </c>
      <c r="AA1031" s="4">
        <v>-27970</v>
      </c>
      <c r="AB1031">
        <v>0</v>
      </c>
      <c r="AC1031">
        <v>0</v>
      </c>
      <c r="AD1031">
        <v>0</v>
      </c>
      <c r="AG1031">
        <v>0</v>
      </c>
      <c r="AP1031">
        <v>86.915899999999993</v>
      </c>
      <c r="AQ1031" t="s">
        <v>449</v>
      </c>
      <c r="AR1031" t="s">
        <v>6654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BC1031" t="s">
        <v>69</v>
      </c>
      <c r="BD1031" t="s">
        <v>3832</v>
      </c>
      <c r="BE1031">
        <v>0</v>
      </c>
      <c r="BG1031" t="s">
        <v>449</v>
      </c>
      <c r="BJ1031" t="s">
        <v>3833</v>
      </c>
    </row>
    <row r="1032" spans="1:62" x14ac:dyDescent="0.35">
      <c r="A1032" t="s">
        <v>3341</v>
      </c>
      <c r="B1032">
        <v>10000</v>
      </c>
      <c r="C1032">
        <v>20000</v>
      </c>
      <c r="D1032" s="2">
        <v>45735</v>
      </c>
      <c r="E1032" t="s">
        <v>61</v>
      </c>
      <c r="F1032" t="s">
        <v>3342</v>
      </c>
      <c r="G1032" t="s">
        <v>1725</v>
      </c>
      <c r="I1032">
        <v>2</v>
      </c>
      <c r="J1032" t="s">
        <v>63</v>
      </c>
      <c r="K1032" s="8">
        <v>92</v>
      </c>
      <c r="L1032" s="8" t="s">
        <v>6614</v>
      </c>
      <c r="M1032" s="8" t="s">
        <v>6633</v>
      </c>
      <c r="N1032" t="s">
        <v>424</v>
      </c>
      <c r="O1032" t="s">
        <v>6570</v>
      </c>
      <c r="P1032" s="4">
        <v>6600</v>
      </c>
      <c r="S1032" s="2">
        <v>45733</v>
      </c>
      <c r="U1032">
        <v>1</v>
      </c>
      <c r="V1032" s="4">
        <v>6600</v>
      </c>
      <c r="W1032" t="s">
        <v>65</v>
      </c>
      <c r="X1032" t="s">
        <v>1726</v>
      </c>
      <c r="Y1032">
        <v>0</v>
      </c>
      <c r="Z1032" s="4">
        <v>3000</v>
      </c>
      <c r="AA1032" s="4">
        <v>3600</v>
      </c>
      <c r="AB1032">
        <v>0</v>
      </c>
      <c r="AC1032">
        <v>0</v>
      </c>
      <c r="AD1032">
        <v>0</v>
      </c>
      <c r="AG1032">
        <v>0</v>
      </c>
      <c r="AP1032" t="s">
        <v>1727</v>
      </c>
      <c r="AQ1032" t="s">
        <v>1728</v>
      </c>
      <c r="AR1032" t="s">
        <v>6683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BC1032" t="s">
        <v>69</v>
      </c>
      <c r="BD1032" t="s">
        <v>3343</v>
      </c>
      <c r="BE1032">
        <v>0</v>
      </c>
      <c r="BG1032" t="s">
        <v>1728</v>
      </c>
      <c r="BJ1032" t="s">
        <v>3344</v>
      </c>
    </row>
    <row r="1033" spans="1:62" x14ac:dyDescent="0.35">
      <c r="A1033" t="s">
        <v>3834</v>
      </c>
      <c r="B1033">
        <v>10000</v>
      </c>
      <c r="C1033">
        <v>10000</v>
      </c>
      <c r="D1033" s="2">
        <v>45733</v>
      </c>
      <c r="E1033" t="s">
        <v>61</v>
      </c>
      <c r="F1033" s="3">
        <v>0.54084490740740743</v>
      </c>
      <c r="G1033" t="s">
        <v>3835</v>
      </c>
      <c r="I1033">
        <v>1</v>
      </c>
      <c r="J1033" t="s">
        <v>63</v>
      </c>
      <c r="K1033" s="8">
        <v>82</v>
      </c>
      <c r="L1033" s="8" t="s">
        <v>6598</v>
      </c>
      <c r="M1033" s="8" t="s">
        <v>6630</v>
      </c>
      <c r="N1033" t="s">
        <v>341</v>
      </c>
      <c r="O1033" t="s">
        <v>6346</v>
      </c>
      <c r="P1033">
        <v>703</v>
      </c>
      <c r="S1033" s="2">
        <v>45733</v>
      </c>
      <c r="U1033">
        <v>75</v>
      </c>
      <c r="V1033" s="4">
        <v>52700</v>
      </c>
      <c r="W1033" t="s">
        <v>65</v>
      </c>
      <c r="X1033">
        <v>200302690001</v>
      </c>
      <c r="Y1033">
        <v>0</v>
      </c>
      <c r="Z1033" s="4">
        <v>52700</v>
      </c>
      <c r="AA1033">
        <v>0</v>
      </c>
      <c r="AB1033">
        <v>0</v>
      </c>
      <c r="AC1033">
        <v>0</v>
      </c>
      <c r="AD1033">
        <v>0</v>
      </c>
      <c r="AG1033">
        <v>0</v>
      </c>
      <c r="AP1033">
        <v>20030269</v>
      </c>
      <c r="AQ1033" t="s">
        <v>182</v>
      </c>
      <c r="AR1033" t="s">
        <v>6643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BC1033" t="s">
        <v>69</v>
      </c>
      <c r="BD1033" t="s">
        <v>3836</v>
      </c>
      <c r="BE1033">
        <v>0</v>
      </c>
      <c r="BG1033" t="s">
        <v>182</v>
      </c>
      <c r="BJ1033" t="s">
        <v>3837</v>
      </c>
    </row>
    <row r="1034" spans="1:62" x14ac:dyDescent="0.35">
      <c r="A1034" t="s">
        <v>3834</v>
      </c>
      <c r="B1034">
        <v>20000</v>
      </c>
      <c r="C1034">
        <v>10000</v>
      </c>
      <c r="D1034" s="2">
        <v>45733</v>
      </c>
      <c r="E1034" t="s">
        <v>61</v>
      </c>
      <c r="F1034" s="3">
        <v>0.54084490740740743</v>
      </c>
      <c r="G1034" t="s">
        <v>3835</v>
      </c>
      <c r="I1034">
        <v>1</v>
      </c>
      <c r="J1034" t="s">
        <v>63</v>
      </c>
      <c r="K1034" s="8">
        <v>82</v>
      </c>
      <c r="L1034" s="8" t="s">
        <v>6598</v>
      </c>
      <c r="M1034" s="8" t="s">
        <v>6630</v>
      </c>
      <c r="N1034" t="s">
        <v>341</v>
      </c>
      <c r="O1034" t="s">
        <v>6346</v>
      </c>
      <c r="P1034">
        <v>703</v>
      </c>
      <c r="S1034" s="2">
        <v>45733</v>
      </c>
      <c r="U1034">
        <v>75</v>
      </c>
      <c r="V1034" s="4">
        <v>52700</v>
      </c>
      <c r="W1034" t="s">
        <v>65</v>
      </c>
      <c r="X1034">
        <v>200302690001</v>
      </c>
      <c r="Y1034">
        <v>0</v>
      </c>
      <c r="Z1034" s="4">
        <v>52700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>
        <v>20030269</v>
      </c>
      <c r="AQ1034" t="s">
        <v>182</v>
      </c>
      <c r="AR1034" t="s">
        <v>6643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BC1034" t="s">
        <v>69</v>
      </c>
      <c r="BD1034" t="s">
        <v>3836</v>
      </c>
      <c r="BE1034">
        <v>0</v>
      </c>
      <c r="BG1034" t="s">
        <v>182</v>
      </c>
      <c r="BJ1034" t="s">
        <v>3837</v>
      </c>
    </row>
    <row r="1035" spans="1:62" x14ac:dyDescent="0.35">
      <c r="A1035" t="s">
        <v>3834</v>
      </c>
      <c r="B1035">
        <v>30000</v>
      </c>
      <c r="C1035">
        <v>10000</v>
      </c>
      <c r="D1035" s="2">
        <v>45733</v>
      </c>
      <c r="E1035" t="s">
        <v>61</v>
      </c>
      <c r="F1035" s="3">
        <v>0.54084490740740743</v>
      </c>
      <c r="G1035" t="s">
        <v>3835</v>
      </c>
      <c r="I1035">
        <v>1</v>
      </c>
      <c r="J1035" t="s">
        <v>63</v>
      </c>
      <c r="K1035" s="8">
        <v>82</v>
      </c>
      <c r="L1035" s="8" t="s">
        <v>6598</v>
      </c>
      <c r="M1035" s="8" t="s">
        <v>6630</v>
      </c>
      <c r="N1035" t="s">
        <v>341</v>
      </c>
      <c r="O1035" t="s">
        <v>6346</v>
      </c>
      <c r="P1035">
        <v>703</v>
      </c>
      <c r="S1035" s="2">
        <v>45733</v>
      </c>
      <c r="U1035">
        <v>75</v>
      </c>
      <c r="V1035" s="4">
        <v>52700</v>
      </c>
      <c r="W1035" t="s">
        <v>65</v>
      </c>
      <c r="X1035">
        <v>200302690001</v>
      </c>
      <c r="Y1035">
        <v>0</v>
      </c>
      <c r="Z1035" s="4">
        <v>52700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>
        <v>20030269</v>
      </c>
      <c r="AQ1035" t="s">
        <v>182</v>
      </c>
      <c r="AR1035" t="s">
        <v>6643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BC1035" t="s">
        <v>69</v>
      </c>
      <c r="BD1035" t="s">
        <v>3836</v>
      </c>
      <c r="BE1035">
        <v>0</v>
      </c>
      <c r="BG1035" t="s">
        <v>182</v>
      </c>
      <c r="BJ1035" t="s">
        <v>3837</v>
      </c>
    </row>
    <row r="1036" spans="1:62" x14ac:dyDescent="0.35">
      <c r="A1036" t="s">
        <v>3838</v>
      </c>
      <c r="B1036">
        <v>10000</v>
      </c>
      <c r="C1036">
        <v>10000</v>
      </c>
      <c r="D1036" s="2">
        <v>45733</v>
      </c>
      <c r="E1036" t="s">
        <v>61</v>
      </c>
      <c r="F1036" t="s">
        <v>3374</v>
      </c>
      <c r="G1036" t="s">
        <v>699</v>
      </c>
      <c r="I1036">
        <v>1</v>
      </c>
      <c r="J1036" t="s">
        <v>63</v>
      </c>
      <c r="K1036" s="8">
        <v>82</v>
      </c>
      <c r="L1036" s="8" t="s">
        <v>6598</v>
      </c>
      <c r="M1036" s="8" t="s">
        <v>6630</v>
      </c>
      <c r="N1036" t="s">
        <v>341</v>
      </c>
      <c r="O1036" t="s">
        <v>6346</v>
      </c>
      <c r="P1036">
        <v>385</v>
      </c>
      <c r="S1036" s="2">
        <v>45733</v>
      </c>
      <c r="U1036">
        <v>26</v>
      </c>
      <c r="V1036" s="4">
        <v>10004</v>
      </c>
      <c r="W1036" t="s">
        <v>65</v>
      </c>
      <c r="X1036">
        <v>112023880001</v>
      </c>
      <c r="Y1036">
        <v>0</v>
      </c>
      <c r="Z1036" s="4">
        <v>10000</v>
      </c>
      <c r="AA1036">
        <v>4</v>
      </c>
      <c r="AB1036">
        <v>0</v>
      </c>
      <c r="AC1036">
        <v>0</v>
      </c>
      <c r="AD1036">
        <v>0</v>
      </c>
      <c r="AG1036">
        <v>0</v>
      </c>
      <c r="AP1036">
        <v>11202388</v>
      </c>
      <c r="AQ1036" t="s">
        <v>182</v>
      </c>
      <c r="AR1036" t="s">
        <v>6643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BC1036" t="s">
        <v>69</v>
      </c>
      <c r="BD1036" t="s">
        <v>3839</v>
      </c>
      <c r="BE1036">
        <v>0</v>
      </c>
      <c r="BG1036" t="s">
        <v>182</v>
      </c>
      <c r="BJ1036" t="s">
        <v>3840</v>
      </c>
    </row>
    <row r="1037" spans="1:62" x14ac:dyDescent="0.35">
      <c r="A1037" t="s">
        <v>3838</v>
      </c>
      <c r="B1037">
        <v>20000</v>
      </c>
      <c r="C1037">
        <v>10000</v>
      </c>
      <c r="D1037" s="2">
        <v>45733</v>
      </c>
      <c r="E1037" t="s">
        <v>61</v>
      </c>
      <c r="F1037" t="s">
        <v>3374</v>
      </c>
      <c r="G1037" t="s">
        <v>699</v>
      </c>
      <c r="I1037">
        <v>1</v>
      </c>
      <c r="J1037" t="s">
        <v>63</v>
      </c>
      <c r="K1037" s="8">
        <v>82</v>
      </c>
      <c r="L1037" s="8" t="s">
        <v>6598</v>
      </c>
      <c r="M1037" s="8" t="s">
        <v>6630</v>
      </c>
      <c r="N1037" t="s">
        <v>341</v>
      </c>
      <c r="O1037" t="s">
        <v>6346</v>
      </c>
      <c r="P1037">
        <v>385</v>
      </c>
      <c r="S1037" s="2">
        <v>45733</v>
      </c>
      <c r="U1037">
        <v>26</v>
      </c>
      <c r="V1037" s="4">
        <v>10000</v>
      </c>
      <c r="W1037" t="s">
        <v>65</v>
      </c>
      <c r="X1037">
        <v>112023880001</v>
      </c>
      <c r="Y1037">
        <v>0</v>
      </c>
      <c r="Z1037" s="4">
        <v>10000</v>
      </c>
      <c r="AA1037">
        <v>0</v>
      </c>
      <c r="AB1037">
        <v>0</v>
      </c>
      <c r="AC1037">
        <v>0</v>
      </c>
      <c r="AD1037">
        <v>0</v>
      </c>
      <c r="AG1037">
        <v>0</v>
      </c>
      <c r="AP1037">
        <v>11202388</v>
      </c>
      <c r="AQ1037" t="s">
        <v>182</v>
      </c>
      <c r="AR1037" t="s">
        <v>6643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BC1037" t="s">
        <v>69</v>
      </c>
      <c r="BD1037" t="s">
        <v>3839</v>
      </c>
      <c r="BE1037">
        <v>0</v>
      </c>
      <c r="BG1037" t="s">
        <v>182</v>
      </c>
      <c r="BJ1037" t="s">
        <v>3840</v>
      </c>
    </row>
    <row r="1038" spans="1:62" x14ac:dyDescent="0.35">
      <c r="A1038" t="s">
        <v>3838</v>
      </c>
      <c r="B1038">
        <v>30000</v>
      </c>
      <c r="C1038">
        <v>10000</v>
      </c>
      <c r="D1038" s="2">
        <v>45733</v>
      </c>
      <c r="E1038" t="s">
        <v>61</v>
      </c>
      <c r="F1038" t="s">
        <v>3374</v>
      </c>
      <c r="G1038" t="s">
        <v>699</v>
      </c>
      <c r="I1038">
        <v>1</v>
      </c>
      <c r="J1038" t="s">
        <v>63</v>
      </c>
      <c r="K1038" s="8">
        <v>82</v>
      </c>
      <c r="L1038" s="8" t="s">
        <v>6598</v>
      </c>
      <c r="M1038" s="8" t="s">
        <v>6630</v>
      </c>
      <c r="N1038" t="s">
        <v>341</v>
      </c>
      <c r="O1038" t="s">
        <v>6346</v>
      </c>
      <c r="P1038">
        <v>385</v>
      </c>
      <c r="S1038" s="2">
        <v>45733</v>
      </c>
      <c r="U1038">
        <v>26</v>
      </c>
      <c r="V1038" s="4">
        <v>10000</v>
      </c>
      <c r="W1038" t="s">
        <v>65</v>
      </c>
      <c r="X1038">
        <v>112023880001</v>
      </c>
      <c r="Y1038">
        <v>0</v>
      </c>
      <c r="Z1038" s="4">
        <v>10000</v>
      </c>
      <c r="AA1038">
        <v>0</v>
      </c>
      <c r="AB1038">
        <v>0</v>
      </c>
      <c r="AC1038">
        <v>0</v>
      </c>
      <c r="AD1038">
        <v>0</v>
      </c>
      <c r="AG1038">
        <v>0</v>
      </c>
      <c r="AP1038">
        <v>11202388</v>
      </c>
      <c r="AQ1038" t="s">
        <v>182</v>
      </c>
      <c r="AR1038" t="s">
        <v>6643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BC1038" t="s">
        <v>69</v>
      </c>
      <c r="BD1038" t="s">
        <v>3839</v>
      </c>
      <c r="BE1038">
        <v>0</v>
      </c>
      <c r="BG1038" t="s">
        <v>182</v>
      </c>
      <c r="BJ1038" t="s">
        <v>3840</v>
      </c>
    </row>
    <row r="1039" spans="1:62" x14ac:dyDescent="0.35">
      <c r="A1039" t="s">
        <v>3841</v>
      </c>
      <c r="B1039">
        <v>10000</v>
      </c>
      <c r="C1039">
        <v>10000</v>
      </c>
      <c r="D1039" s="2">
        <v>45734</v>
      </c>
      <c r="E1039" t="s">
        <v>61</v>
      </c>
      <c r="F1039" t="s">
        <v>3842</v>
      </c>
      <c r="G1039" t="s">
        <v>3843</v>
      </c>
      <c r="I1039">
        <v>1</v>
      </c>
      <c r="J1039" t="s">
        <v>63</v>
      </c>
      <c r="K1039" s="8">
        <v>82</v>
      </c>
      <c r="L1039" s="8" t="s">
        <v>6598</v>
      </c>
      <c r="M1039" s="8" t="s">
        <v>6630</v>
      </c>
      <c r="N1039" t="s">
        <v>341</v>
      </c>
      <c r="O1039" t="s">
        <v>6346</v>
      </c>
      <c r="P1039" s="4">
        <v>18750</v>
      </c>
      <c r="S1039" s="2">
        <v>45733</v>
      </c>
      <c r="U1039">
        <v>24</v>
      </c>
      <c r="V1039" s="4">
        <v>450000</v>
      </c>
      <c r="W1039" t="s">
        <v>65</v>
      </c>
      <c r="X1039" t="s">
        <v>3844</v>
      </c>
      <c r="Y1039">
        <v>0</v>
      </c>
      <c r="Z1039" s="4">
        <v>450000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 t="s">
        <v>3845</v>
      </c>
      <c r="AQ1039" t="s">
        <v>91</v>
      </c>
      <c r="AR1039" t="s">
        <v>6637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BC1039" t="s">
        <v>69</v>
      </c>
      <c r="BD1039" t="s">
        <v>3846</v>
      </c>
      <c r="BE1039">
        <v>0</v>
      </c>
      <c r="BG1039" t="s">
        <v>91</v>
      </c>
      <c r="BJ1039" t="s">
        <v>3847</v>
      </c>
    </row>
    <row r="1040" spans="1:62" x14ac:dyDescent="0.35">
      <c r="A1040" t="s">
        <v>3848</v>
      </c>
      <c r="B1040">
        <v>10000</v>
      </c>
      <c r="C1040">
        <v>10000</v>
      </c>
      <c r="D1040" s="2">
        <v>45733</v>
      </c>
      <c r="E1040" t="s">
        <v>61</v>
      </c>
      <c r="F1040" t="s">
        <v>3749</v>
      </c>
      <c r="G1040" t="s">
        <v>2634</v>
      </c>
      <c r="I1040">
        <v>1</v>
      </c>
      <c r="J1040" t="s">
        <v>63</v>
      </c>
      <c r="K1040" s="8">
        <v>31</v>
      </c>
      <c r="L1040" s="8" t="s">
        <v>6595</v>
      </c>
      <c r="M1040" s="8" t="s">
        <v>6629</v>
      </c>
      <c r="N1040" t="s">
        <v>1311</v>
      </c>
      <c r="O1040" t="s">
        <v>6491</v>
      </c>
      <c r="P1040" s="4">
        <v>6000</v>
      </c>
      <c r="Q1040">
        <f>(P1040/40)+45</f>
        <v>195</v>
      </c>
      <c r="R1040">
        <f>Q1040/60</f>
        <v>3.25</v>
      </c>
      <c r="S1040" s="2">
        <v>45733</v>
      </c>
      <c r="U1040">
        <v>12</v>
      </c>
      <c r="V1040" s="4">
        <v>72000</v>
      </c>
      <c r="W1040" t="s">
        <v>65</v>
      </c>
      <c r="X1040">
        <v>30220001</v>
      </c>
      <c r="Y1040">
        <v>0</v>
      </c>
      <c r="Z1040" s="4">
        <v>72000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3849</v>
      </c>
      <c r="AQ1040" t="s">
        <v>3850</v>
      </c>
      <c r="AR1040" t="s">
        <v>6729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BC1040" t="s">
        <v>69</v>
      </c>
      <c r="BD1040" t="s">
        <v>3851</v>
      </c>
      <c r="BE1040">
        <v>0</v>
      </c>
      <c r="BG1040" t="s">
        <v>3850</v>
      </c>
      <c r="BJ1040" t="s">
        <v>3852</v>
      </c>
    </row>
    <row r="1041" spans="1:62" x14ac:dyDescent="0.35">
      <c r="A1041" t="s">
        <v>3603</v>
      </c>
      <c r="B1041">
        <v>10000</v>
      </c>
      <c r="C1041">
        <v>20000</v>
      </c>
      <c r="D1041" s="2">
        <v>45734</v>
      </c>
      <c r="E1041" t="s">
        <v>61</v>
      </c>
      <c r="F1041" t="s">
        <v>3604</v>
      </c>
      <c r="G1041" t="s">
        <v>1293</v>
      </c>
      <c r="I1041">
        <v>2</v>
      </c>
      <c r="J1041" t="s">
        <v>63</v>
      </c>
      <c r="K1041" s="8">
        <v>60</v>
      </c>
      <c r="L1041" s="8" t="s">
        <v>6590</v>
      </c>
      <c r="M1041" s="8" t="s">
        <v>6630</v>
      </c>
      <c r="N1041" t="s">
        <v>277</v>
      </c>
      <c r="O1041" t="s">
        <v>6554</v>
      </c>
      <c r="P1041" s="4">
        <v>12000</v>
      </c>
      <c r="Q1041">
        <f>(P1041/50)+45</f>
        <v>285</v>
      </c>
      <c r="R1041">
        <f>Q1041/60</f>
        <v>4.75</v>
      </c>
      <c r="S1041" s="2">
        <v>45733</v>
      </c>
      <c r="U1041">
        <v>1</v>
      </c>
      <c r="V1041" s="4">
        <v>12000</v>
      </c>
      <c r="W1041" t="s">
        <v>65</v>
      </c>
      <c r="X1041">
        <v>566860001</v>
      </c>
      <c r="Y1041">
        <v>0</v>
      </c>
      <c r="Z1041" s="4">
        <v>10000</v>
      </c>
      <c r="AA1041" s="4">
        <v>2000</v>
      </c>
      <c r="AB1041">
        <v>0</v>
      </c>
      <c r="AC1041">
        <v>0</v>
      </c>
      <c r="AD1041">
        <v>0</v>
      </c>
      <c r="AG1041">
        <v>0</v>
      </c>
      <c r="AP1041">
        <v>56686</v>
      </c>
      <c r="AQ1041" t="s">
        <v>3605</v>
      </c>
      <c r="AR1041" t="s">
        <v>6723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BC1041" t="s">
        <v>69</v>
      </c>
      <c r="BD1041" t="s">
        <v>3606</v>
      </c>
      <c r="BE1041">
        <v>0</v>
      </c>
      <c r="BG1041" t="s">
        <v>3605</v>
      </c>
      <c r="BJ1041" t="s">
        <v>3607</v>
      </c>
    </row>
    <row r="1042" spans="1:62" x14ac:dyDescent="0.35">
      <c r="A1042" t="s">
        <v>3853</v>
      </c>
      <c r="B1042">
        <v>10000</v>
      </c>
      <c r="C1042">
        <v>10000</v>
      </c>
      <c r="D1042" s="2">
        <v>45735</v>
      </c>
      <c r="E1042" t="s">
        <v>61</v>
      </c>
      <c r="F1042" t="s">
        <v>3854</v>
      </c>
      <c r="G1042">
        <v>408232392</v>
      </c>
      <c r="I1042">
        <v>1</v>
      </c>
      <c r="J1042" t="s">
        <v>63</v>
      </c>
      <c r="K1042" s="8">
        <v>88</v>
      </c>
      <c r="L1042" s="8" t="s">
        <v>6610</v>
      </c>
      <c r="M1042" s="8" t="s">
        <v>6631</v>
      </c>
      <c r="N1042" t="s">
        <v>630</v>
      </c>
      <c r="O1042" t="s">
        <v>6571</v>
      </c>
      <c r="P1042" s="4">
        <v>1800</v>
      </c>
      <c r="S1042" s="2">
        <v>45733</v>
      </c>
      <c r="U1042">
        <v>1</v>
      </c>
      <c r="V1042" s="4">
        <v>1800</v>
      </c>
      <c r="W1042" t="s">
        <v>65</v>
      </c>
      <c r="X1042">
        <v>104484310001</v>
      </c>
      <c r="Y1042">
        <v>0</v>
      </c>
      <c r="Z1042" s="4">
        <v>1300</v>
      </c>
      <c r="AA1042">
        <v>500</v>
      </c>
      <c r="AB1042">
        <v>0</v>
      </c>
      <c r="AC1042">
        <v>0</v>
      </c>
      <c r="AD1042">
        <v>0</v>
      </c>
      <c r="AG1042">
        <v>0</v>
      </c>
      <c r="AP1042">
        <v>10448431</v>
      </c>
      <c r="AQ1042" t="s">
        <v>487</v>
      </c>
      <c r="AR1042" t="s">
        <v>6656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BC1042" t="s">
        <v>69</v>
      </c>
      <c r="BD1042" t="s">
        <v>3855</v>
      </c>
      <c r="BE1042">
        <v>0</v>
      </c>
      <c r="BG1042" t="s">
        <v>487</v>
      </c>
      <c r="BJ1042" t="s">
        <v>3856</v>
      </c>
    </row>
    <row r="1043" spans="1:62" x14ac:dyDescent="0.35">
      <c r="A1043" t="s">
        <v>3857</v>
      </c>
      <c r="B1043">
        <v>10000</v>
      </c>
      <c r="C1043">
        <v>10000</v>
      </c>
      <c r="D1043" s="2">
        <v>45734</v>
      </c>
      <c r="E1043" t="s">
        <v>61</v>
      </c>
      <c r="F1043" t="s">
        <v>3858</v>
      </c>
      <c r="G1043" t="s">
        <v>2069</v>
      </c>
      <c r="I1043">
        <v>1</v>
      </c>
      <c r="J1043" t="s">
        <v>63</v>
      </c>
      <c r="K1043" s="8">
        <v>94</v>
      </c>
      <c r="L1043" s="8" t="s">
        <v>6599</v>
      </c>
      <c r="M1043" s="8" t="s">
        <v>6629</v>
      </c>
      <c r="N1043" t="s">
        <v>181</v>
      </c>
      <c r="O1043" t="s">
        <v>6544</v>
      </c>
      <c r="P1043">
        <v>250</v>
      </c>
      <c r="S1043" s="2">
        <v>45733</v>
      </c>
      <c r="U1043">
        <v>4</v>
      </c>
      <c r="V1043" s="4">
        <v>1000</v>
      </c>
      <c r="W1043" t="s">
        <v>65</v>
      </c>
      <c r="X1043" t="s">
        <v>3859</v>
      </c>
      <c r="Y1043">
        <v>0</v>
      </c>
      <c r="Z1043">
        <v>500</v>
      </c>
      <c r="AA1043">
        <v>500</v>
      </c>
      <c r="AB1043">
        <v>0</v>
      </c>
      <c r="AC1043">
        <v>0</v>
      </c>
      <c r="AD1043">
        <v>0</v>
      </c>
      <c r="AG1043">
        <v>0</v>
      </c>
      <c r="AP1043" t="s">
        <v>3860</v>
      </c>
      <c r="AQ1043" t="s">
        <v>3615</v>
      </c>
      <c r="AR1043" t="s">
        <v>6724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BC1043" t="s">
        <v>69</v>
      </c>
      <c r="BD1043" t="s">
        <v>3861</v>
      </c>
      <c r="BE1043">
        <v>0</v>
      </c>
      <c r="BG1043" t="s">
        <v>3615</v>
      </c>
      <c r="BJ1043" t="s">
        <v>3617</v>
      </c>
    </row>
    <row r="1044" spans="1:62" x14ac:dyDescent="0.35">
      <c r="A1044" t="s">
        <v>3862</v>
      </c>
      <c r="B1044">
        <v>10000</v>
      </c>
      <c r="C1044">
        <v>20000</v>
      </c>
      <c r="D1044" s="2">
        <v>45737</v>
      </c>
      <c r="E1044" t="s">
        <v>95</v>
      </c>
      <c r="F1044" t="s">
        <v>3863</v>
      </c>
      <c r="G1044" t="s">
        <v>3864</v>
      </c>
      <c r="I1044">
        <v>1</v>
      </c>
      <c r="J1044" t="s">
        <v>63</v>
      </c>
      <c r="K1044" s="8">
        <v>65</v>
      </c>
      <c r="L1044" s="8" t="s">
        <v>6596</v>
      </c>
      <c r="M1044" s="8" t="s">
        <v>6630</v>
      </c>
      <c r="N1044" t="s">
        <v>268</v>
      </c>
      <c r="O1044" t="s">
        <v>6543</v>
      </c>
      <c r="P1044" s="4">
        <v>1250</v>
      </c>
      <c r="Q1044">
        <f t="shared" ref="Q1044:Q1046" si="268">(P1044/40)+45</f>
        <v>76.25</v>
      </c>
      <c r="R1044">
        <f t="shared" ref="R1044:R1046" si="269">Q1044/60</f>
        <v>1.2708333333333333</v>
      </c>
      <c r="S1044" s="2">
        <v>45733</v>
      </c>
      <c r="U1044">
        <v>4</v>
      </c>
      <c r="V1044" s="4">
        <v>5000</v>
      </c>
      <c r="W1044" t="s">
        <v>65</v>
      </c>
      <c r="X1044" t="s">
        <v>3865</v>
      </c>
      <c r="Y1044">
        <v>0</v>
      </c>
      <c r="Z1044" s="4">
        <v>5000</v>
      </c>
      <c r="AA1044">
        <v>0</v>
      </c>
      <c r="AB1044">
        <v>0</v>
      </c>
      <c r="AC1044">
        <v>0</v>
      </c>
      <c r="AD1044">
        <v>0</v>
      </c>
      <c r="AG1044">
        <v>0</v>
      </c>
      <c r="AP1044" t="s">
        <v>3866</v>
      </c>
      <c r="AQ1044" t="s">
        <v>3615</v>
      </c>
      <c r="AR1044" t="s">
        <v>6724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BC1044" t="s">
        <v>69</v>
      </c>
      <c r="BD1044" t="s">
        <v>3867</v>
      </c>
      <c r="BE1044">
        <v>0</v>
      </c>
      <c r="BG1044" t="s">
        <v>3615</v>
      </c>
      <c r="BJ1044" t="s">
        <v>3617</v>
      </c>
    </row>
    <row r="1045" spans="1:62" x14ac:dyDescent="0.35">
      <c r="A1045" t="s">
        <v>3868</v>
      </c>
      <c r="B1045">
        <v>10000</v>
      </c>
      <c r="C1045">
        <v>10000</v>
      </c>
      <c r="D1045" s="2">
        <v>45734</v>
      </c>
      <c r="E1045" t="s">
        <v>61</v>
      </c>
      <c r="F1045" t="s">
        <v>3869</v>
      </c>
      <c r="G1045" t="s">
        <v>3870</v>
      </c>
      <c r="I1045">
        <v>1</v>
      </c>
      <c r="J1045" t="s">
        <v>63</v>
      </c>
      <c r="K1045" s="8">
        <v>63</v>
      </c>
      <c r="L1045" s="8" t="s">
        <v>6605</v>
      </c>
      <c r="M1045" s="8" t="s">
        <v>6630</v>
      </c>
      <c r="N1045" t="s">
        <v>519</v>
      </c>
      <c r="O1045" t="s">
        <v>6569</v>
      </c>
      <c r="P1045">
        <v>100</v>
      </c>
      <c r="Q1045">
        <f t="shared" si="268"/>
        <v>47.5</v>
      </c>
      <c r="R1045">
        <f t="shared" si="269"/>
        <v>0.79166666666666663</v>
      </c>
      <c r="S1045" s="2">
        <v>45733</v>
      </c>
      <c r="U1045">
        <v>60</v>
      </c>
      <c r="V1045" s="4">
        <v>6000</v>
      </c>
      <c r="W1045" t="s">
        <v>65</v>
      </c>
      <c r="X1045" t="s">
        <v>3871</v>
      </c>
      <c r="Y1045">
        <v>0</v>
      </c>
      <c r="Z1045" s="4">
        <v>6000</v>
      </c>
      <c r="AA1045">
        <v>0</v>
      </c>
      <c r="AB1045">
        <v>0</v>
      </c>
      <c r="AC1045">
        <v>0</v>
      </c>
      <c r="AD1045">
        <v>0</v>
      </c>
      <c r="AG1045">
        <v>0</v>
      </c>
      <c r="AP1045" t="s">
        <v>3872</v>
      </c>
      <c r="AQ1045" t="s">
        <v>1672</v>
      </c>
      <c r="AR1045" t="s">
        <v>6681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BC1045" t="s">
        <v>69</v>
      </c>
      <c r="BD1045" t="s">
        <v>3873</v>
      </c>
      <c r="BE1045">
        <v>0</v>
      </c>
      <c r="BG1045" t="s">
        <v>1672</v>
      </c>
      <c r="BJ1045" t="s">
        <v>3874</v>
      </c>
    </row>
    <row r="1046" spans="1:62" x14ac:dyDescent="0.35">
      <c r="A1046" t="s">
        <v>3875</v>
      </c>
      <c r="B1046">
        <v>10000</v>
      </c>
      <c r="C1046">
        <v>10000</v>
      </c>
      <c r="D1046" s="2">
        <v>45734</v>
      </c>
      <c r="E1046" t="s">
        <v>61</v>
      </c>
      <c r="F1046" t="s">
        <v>3869</v>
      </c>
      <c r="G1046" t="s">
        <v>3870</v>
      </c>
      <c r="I1046">
        <v>1</v>
      </c>
      <c r="J1046" t="s">
        <v>63</v>
      </c>
      <c r="K1046" s="8">
        <v>63</v>
      </c>
      <c r="L1046" s="8" t="s">
        <v>6605</v>
      </c>
      <c r="M1046" s="8" t="s">
        <v>6630</v>
      </c>
      <c r="N1046" t="s">
        <v>519</v>
      </c>
      <c r="O1046" t="s">
        <v>6569</v>
      </c>
      <c r="P1046">
        <v>4</v>
      </c>
      <c r="Q1046">
        <f t="shared" si="268"/>
        <v>45.1</v>
      </c>
      <c r="R1046">
        <f t="shared" si="269"/>
        <v>0.75166666666666671</v>
      </c>
      <c r="S1046" s="2">
        <v>45733</v>
      </c>
      <c r="U1046">
        <v>60</v>
      </c>
      <c r="V1046">
        <v>240</v>
      </c>
      <c r="W1046" t="s">
        <v>65</v>
      </c>
      <c r="X1046" t="s">
        <v>3871</v>
      </c>
      <c r="Y1046">
        <v>0</v>
      </c>
      <c r="Z1046">
        <v>182</v>
      </c>
      <c r="AA1046">
        <v>58</v>
      </c>
      <c r="AB1046">
        <v>0</v>
      </c>
      <c r="AC1046">
        <v>0</v>
      </c>
      <c r="AD1046">
        <v>0</v>
      </c>
      <c r="AG1046">
        <v>0</v>
      </c>
      <c r="AP1046" t="s">
        <v>3872</v>
      </c>
      <c r="AQ1046" t="s">
        <v>1672</v>
      </c>
      <c r="AR1046" t="s">
        <v>6681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BC1046" t="s">
        <v>69</v>
      </c>
      <c r="BD1046" t="s">
        <v>3876</v>
      </c>
      <c r="BE1046">
        <v>0</v>
      </c>
      <c r="BG1046" t="s">
        <v>1672</v>
      </c>
      <c r="BJ1046" t="s">
        <v>3877</v>
      </c>
    </row>
    <row r="1047" spans="1:62" x14ac:dyDescent="0.35">
      <c r="A1047" t="s">
        <v>3878</v>
      </c>
      <c r="B1047">
        <v>10000</v>
      </c>
      <c r="C1047">
        <v>10000</v>
      </c>
      <c r="D1047" s="2">
        <v>45737</v>
      </c>
      <c r="E1047" t="s">
        <v>61</v>
      </c>
      <c r="F1047" t="s">
        <v>3879</v>
      </c>
      <c r="G1047" t="s">
        <v>3880</v>
      </c>
      <c r="I1047">
        <v>1</v>
      </c>
      <c r="J1047" t="s">
        <v>63</v>
      </c>
      <c r="K1047" s="8">
        <v>86</v>
      </c>
      <c r="L1047" s="8" t="s">
        <v>6584</v>
      </c>
      <c r="M1047" s="8" t="s">
        <v>6627</v>
      </c>
      <c r="N1047" t="s">
        <v>64</v>
      </c>
      <c r="O1047" t="s">
        <v>6559</v>
      </c>
      <c r="P1047" s="4">
        <v>111667</v>
      </c>
      <c r="Q1047">
        <f>(P1047/60)+45</f>
        <v>1906.1166666666666</v>
      </c>
      <c r="R1047">
        <f>Q1047/60</f>
        <v>31.76861111111111</v>
      </c>
      <c r="S1047" s="2">
        <v>45733</v>
      </c>
      <c r="U1047">
        <v>54</v>
      </c>
      <c r="V1047" s="4">
        <v>6030018</v>
      </c>
      <c r="W1047" t="s">
        <v>65</v>
      </c>
      <c r="X1047">
        <v>86083960001</v>
      </c>
      <c r="Y1047">
        <v>0</v>
      </c>
      <c r="Z1047" s="4">
        <v>6020000</v>
      </c>
      <c r="AA1047" s="4">
        <v>10018</v>
      </c>
      <c r="AB1047">
        <v>0</v>
      </c>
      <c r="AC1047">
        <v>0</v>
      </c>
      <c r="AD1047">
        <v>0</v>
      </c>
      <c r="AG1047">
        <v>0</v>
      </c>
      <c r="AP1047">
        <v>8608396</v>
      </c>
      <c r="AQ1047" t="s">
        <v>91</v>
      </c>
      <c r="AR1047" t="s">
        <v>6637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C1047" t="s">
        <v>69</v>
      </c>
      <c r="BD1047" t="s">
        <v>3881</v>
      </c>
      <c r="BE1047">
        <v>0</v>
      </c>
      <c r="BG1047" t="s">
        <v>91</v>
      </c>
      <c r="BJ1047" t="s">
        <v>3882</v>
      </c>
    </row>
    <row r="1048" spans="1:62" x14ac:dyDescent="0.35">
      <c r="A1048" t="s">
        <v>3884</v>
      </c>
      <c r="B1048">
        <v>10000</v>
      </c>
      <c r="C1048">
        <v>10000</v>
      </c>
      <c r="D1048" s="2">
        <v>45735</v>
      </c>
      <c r="E1048" t="s">
        <v>61</v>
      </c>
      <c r="F1048" t="s">
        <v>3885</v>
      </c>
      <c r="G1048" t="s">
        <v>3886</v>
      </c>
      <c r="H1048" t="s">
        <v>1577</v>
      </c>
      <c r="I1048">
        <v>1</v>
      </c>
      <c r="J1048" t="s">
        <v>69</v>
      </c>
      <c r="K1048" s="8">
        <v>82</v>
      </c>
      <c r="L1048" s="8" t="s">
        <v>6598</v>
      </c>
      <c r="M1048" s="8" t="s">
        <v>6630</v>
      </c>
      <c r="N1048" t="s">
        <v>341</v>
      </c>
      <c r="O1048" t="s">
        <v>6346</v>
      </c>
      <c r="P1048" s="4">
        <v>5000</v>
      </c>
      <c r="S1048" s="2">
        <v>45734</v>
      </c>
      <c r="U1048">
        <v>6</v>
      </c>
      <c r="V1048" s="4">
        <v>30000</v>
      </c>
      <c r="W1048" t="s">
        <v>65</v>
      </c>
      <c r="X1048" t="s">
        <v>1578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G1048">
        <v>0</v>
      </c>
      <c r="AK1048" t="s">
        <v>69</v>
      </c>
      <c r="AL1048">
        <v>0</v>
      </c>
      <c r="AM1048" t="s">
        <v>69</v>
      </c>
      <c r="AP1048" t="s">
        <v>1579</v>
      </c>
      <c r="AQ1048" t="s">
        <v>829</v>
      </c>
      <c r="AR1048" t="s">
        <v>6653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BC1048" t="s">
        <v>69</v>
      </c>
      <c r="BG1048" t="s">
        <v>829</v>
      </c>
      <c r="BJ1048" t="s">
        <v>3887</v>
      </c>
    </row>
    <row r="1049" spans="1:62" x14ac:dyDescent="0.35">
      <c r="A1049" t="s">
        <v>3888</v>
      </c>
      <c r="B1049">
        <v>10000</v>
      </c>
      <c r="C1049">
        <v>10000</v>
      </c>
      <c r="D1049" s="2">
        <v>45735</v>
      </c>
      <c r="E1049" t="s">
        <v>61</v>
      </c>
      <c r="F1049" t="s">
        <v>3885</v>
      </c>
      <c r="G1049" t="s">
        <v>3886</v>
      </c>
      <c r="H1049" t="s">
        <v>1577</v>
      </c>
      <c r="I1049">
        <v>1</v>
      </c>
      <c r="J1049" t="s">
        <v>69</v>
      </c>
      <c r="K1049" s="8">
        <v>82</v>
      </c>
      <c r="L1049" s="8" t="s">
        <v>6598</v>
      </c>
      <c r="M1049" s="8" t="s">
        <v>6630</v>
      </c>
      <c r="N1049" t="s">
        <v>341</v>
      </c>
      <c r="O1049" t="s">
        <v>6346</v>
      </c>
      <c r="P1049" s="4">
        <v>5000</v>
      </c>
      <c r="S1049" s="2">
        <v>45734</v>
      </c>
      <c r="U1049">
        <v>6</v>
      </c>
      <c r="V1049" s="4">
        <v>30000</v>
      </c>
      <c r="W1049" t="s">
        <v>65</v>
      </c>
      <c r="X1049" t="s">
        <v>1578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G1049">
        <v>0</v>
      </c>
      <c r="AK1049" t="s">
        <v>69</v>
      </c>
      <c r="AL1049">
        <v>0</v>
      </c>
      <c r="AM1049" t="s">
        <v>69</v>
      </c>
      <c r="AP1049" t="s">
        <v>1579</v>
      </c>
      <c r="AQ1049" t="s">
        <v>829</v>
      </c>
      <c r="AR1049" t="s">
        <v>6653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BC1049" t="s">
        <v>69</v>
      </c>
      <c r="BG1049" t="s">
        <v>829</v>
      </c>
      <c r="BJ1049" t="s">
        <v>3889</v>
      </c>
    </row>
    <row r="1050" spans="1:62" x14ac:dyDescent="0.35">
      <c r="A1050" t="s">
        <v>2801</v>
      </c>
      <c r="B1050">
        <v>10000</v>
      </c>
      <c r="C1050">
        <v>20000</v>
      </c>
      <c r="D1050" s="2">
        <v>45734</v>
      </c>
      <c r="E1050" t="s">
        <v>61</v>
      </c>
      <c r="F1050" t="s">
        <v>3890</v>
      </c>
      <c r="G1050" t="s">
        <v>2526</v>
      </c>
      <c r="I1050">
        <v>1</v>
      </c>
      <c r="J1050" t="s">
        <v>63</v>
      </c>
      <c r="K1050" s="8">
        <v>95</v>
      </c>
      <c r="L1050" s="8" t="s">
        <v>6609</v>
      </c>
      <c r="M1050" s="8" t="s">
        <v>6630</v>
      </c>
      <c r="N1050" t="s">
        <v>597</v>
      </c>
      <c r="O1050" t="s">
        <v>6556</v>
      </c>
      <c r="P1050" s="4">
        <v>3750</v>
      </c>
      <c r="Q1050">
        <f t="shared" ref="Q1050:Q1054" si="270">(P1050/20)+45</f>
        <v>232.5</v>
      </c>
      <c r="R1050">
        <f t="shared" ref="R1050:R1054" si="271">Q1050/60</f>
        <v>3.875</v>
      </c>
      <c r="S1050" s="2">
        <v>45734</v>
      </c>
      <c r="U1050">
        <v>8</v>
      </c>
      <c r="V1050" s="4">
        <v>30000</v>
      </c>
      <c r="W1050" t="s">
        <v>65</v>
      </c>
      <c r="X1050" t="s">
        <v>2527</v>
      </c>
      <c r="Y1050">
        <v>0</v>
      </c>
      <c r="Z1050" s="4">
        <v>27690</v>
      </c>
      <c r="AA1050" s="4">
        <v>2310</v>
      </c>
      <c r="AB1050">
        <v>0</v>
      </c>
      <c r="AC1050">
        <v>0</v>
      </c>
      <c r="AD1050">
        <v>0</v>
      </c>
      <c r="AG1050">
        <v>0</v>
      </c>
      <c r="AP1050" t="s">
        <v>2528</v>
      </c>
      <c r="AQ1050" t="s">
        <v>271</v>
      </c>
      <c r="AR1050" t="s">
        <v>6648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BC1050" t="s">
        <v>69</v>
      </c>
      <c r="BD1050" t="s">
        <v>2803</v>
      </c>
      <c r="BE1050">
        <v>0</v>
      </c>
      <c r="BG1050" t="s">
        <v>271</v>
      </c>
      <c r="BJ1050" t="s">
        <v>2804</v>
      </c>
    </row>
    <row r="1051" spans="1:62" x14ac:dyDescent="0.35">
      <c r="A1051" t="s">
        <v>3891</v>
      </c>
      <c r="B1051">
        <v>10000</v>
      </c>
      <c r="C1051">
        <v>10000</v>
      </c>
      <c r="D1051" s="2">
        <v>45734</v>
      </c>
      <c r="E1051" t="s">
        <v>61</v>
      </c>
      <c r="F1051" t="s">
        <v>2802</v>
      </c>
      <c r="G1051" t="s">
        <v>2526</v>
      </c>
      <c r="I1051">
        <v>1</v>
      </c>
      <c r="J1051" t="s">
        <v>63</v>
      </c>
      <c r="K1051" s="8">
        <v>95</v>
      </c>
      <c r="L1051" s="8" t="s">
        <v>6609</v>
      </c>
      <c r="M1051" s="8" t="s">
        <v>6630</v>
      </c>
      <c r="N1051" t="s">
        <v>597</v>
      </c>
      <c r="O1051" t="s">
        <v>6556</v>
      </c>
      <c r="P1051" s="4">
        <v>7500</v>
      </c>
      <c r="Q1051">
        <f t="shared" si="270"/>
        <v>420</v>
      </c>
      <c r="R1051">
        <f t="shared" si="271"/>
        <v>7</v>
      </c>
      <c r="S1051" s="2">
        <v>45734</v>
      </c>
      <c r="U1051">
        <v>8</v>
      </c>
      <c r="V1051" s="4">
        <v>60000</v>
      </c>
      <c r="W1051" t="s">
        <v>65</v>
      </c>
      <c r="X1051" t="s">
        <v>2527</v>
      </c>
      <c r="Y1051">
        <v>0</v>
      </c>
      <c r="Z1051" s="4">
        <v>60000</v>
      </c>
      <c r="AA1051">
        <v>0</v>
      </c>
      <c r="AB1051">
        <v>0</v>
      </c>
      <c r="AC1051">
        <v>0</v>
      </c>
      <c r="AD1051">
        <v>0</v>
      </c>
      <c r="AG1051">
        <v>0</v>
      </c>
      <c r="AP1051" t="s">
        <v>2528</v>
      </c>
      <c r="AQ1051" t="s">
        <v>271</v>
      </c>
      <c r="AR1051" t="s">
        <v>6648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C1051" t="s">
        <v>69</v>
      </c>
      <c r="BD1051" t="s">
        <v>3892</v>
      </c>
      <c r="BE1051">
        <v>0</v>
      </c>
      <c r="BG1051" t="s">
        <v>271</v>
      </c>
      <c r="BJ1051" t="s">
        <v>3893</v>
      </c>
    </row>
    <row r="1052" spans="1:62" x14ac:dyDescent="0.35">
      <c r="A1052" t="s">
        <v>3891</v>
      </c>
      <c r="B1052">
        <v>20000</v>
      </c>
      <c r="C1052">
        <v>10000</v>
      </c>
      <c r="D1052" s="2">
        <v>45734</v>
      </c>
      <c r="E1052" t="s">
        <v>61</v>
      </c>
      <c r="F1052" t="s">
        <v>2802</v>
      </c>
      <c r="G1052" t="s">
        <v>2526</v>
      </c>
      <c r="I1052">
        <v>1</v>
      </c>
      <c r="J1052" t="s">
        <v>63</v>
      </c>
      <c r="K1052" s="8">
        <v>95</v>
      </c>
      <c r="L1052" s="8" t="s">
        <v>6609</v>
      </c>
      <c r="M1052" s="8" t="s">
        <v>6630</v>
      </c>
      <c r="N1052" t="s">
        <v>597</v>
      </c>
      <c r="O1052" t="s">
        <v>6556</v>
      </c>
      <c r="P1052" s="4">
        <v>7500</v>
      </c>
      <c r="Q1052">
        <f t="shared" si="270"/>
        <v>420</v>
      </c>
      <c r="R1052">
        <f t="shared" si="271"/>
        <v>7</v>
      </c>
      <c r="S1052" s="2">
        <v>45734</v>
      </c>
      <c r="U1052">
        <v>8</v>
      </c>
      <c r="V1052" s="4">
        <v>60000</v>
      </c>
      <c r="W1052" t="s">
        <v>65</v>
      </c>
      <c r="X1052" t="s">
        <v>2527</v>
      </c>
      <c r="Y1052">
        <v>0</v>
      </c>
      <c r="Z1052" s="4">
        <v>60000</v>
      </c>
      <c r="AA1052">
        <v>0</v>
      </c>
      <c r="AB1052">
        <v>0</v>
      </c>
      <c r="AC1052">
        <v>0</v>
      </c>
      <c r="AD1052">
        <v>0</v>
      </c>
      <c r="AG1052">
        <v>0</v>
      </c>
      <c r="AP1052" t="s">
        <v>2528</v>
      </c>
      <c r="AQ1052" t="s">
        <v>271</v>
      </c>
      <c r="AR1052" t="s">
        <v>6648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C1052" t="s">
        <v>69</v>
      </c>
      <c r="BD1052" t="s">
        <v>3892</v>
      </c>
      <c r="BE1052">
        <v>0</v>
      </c>
      <c r="BG1052" t="s">
        <v>271</v>
      </c>
      <c r="BJ1052" t="s">
        <v>3893</v>
      </c>
    </row>
    <row r="1053" spans="1:62" x14ac:dyDescent="0.35">
      <c r="A1053" t="s">
        <v>3894</v>
      </c>
      <c r="B1053">
        <v>10000</v>
      </c>
      <c r="C1053">
        <v>10000</v>
      </c>
      <c r="D1053" s="2">
        <v>45734</v>
      </c>
      <c r="E1053" t="s">
        <v>61</v>
      </c>
      <c r="F1053" t="s">
        <v>2802</v>
      </c>
      <c r="G1053" t="s">
        <v>2526</v>
      </c>
      <c r="I1053">
        <v>1</v>
      </c>
      <c r="J1053" t="s">
        <v>63</v>
      </c>
      <c r="K1053" s="8">
        <v>95</v>
      </c>
      <c r="L1053" s="8" t="s">
        <v>6609</v>
      </c>
      <c r="M1053" s="8" t="s">
        <v>6630</v>
      </c>
      <c r="N1053" t="s">
        <v>597</v>
      </c>
      <c r="O1053" t="s">
        <v>6556</v>
      </c>
      <c r="P1053" s="4">
        <v>7500</v>
      </c>
      <c r="Q1053">
        <f t="shared" si="270"/>
        <v>420</v>
      </c>
      <c r="R1053">
        <f t="shared" si="271"/>
        <v>7</v>
      </c>
      <c r="S1053" s="2">
        <v>45734</v>
      </c>
      <c r="U1053">
        <v>8</v>
      </c>
      <c r="V1053" s="4">
        <v>60000</v>
      </c>
      <c r="W1053" t="s">
        <v>65</v>
      </c>
      <c r="X1053" t="s">
        <v>2527</v>
      </c>
      <c r="Y1053">
        <v>0</v>
      </c>
      <c r="Z1053" s="4">
        <v>60000</v>
      </c>
      <c r="AA1053">
        <v>0</v>
      </c>
      <c r="AB1053">
        <v>0</v>
      </c>
      <c r="AC1053">
        <v>0</v>
      </c>
      <c r="AD1053">
        <v>0</v>
      </c>
      <c r="AG1053">
        <v>0</v>
      </c>
      <c r="AP1053" t="s">
        <v>2528</v>
      </c>
      <c r="AQ1053" t="s">
        <v>271</v>
      </c>
      <c r="AR1053" t="s">
        <v>6648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BC1053" t="s">
        <v>69</v>
      </c>
      <c r="BD1053" t="s">
        <v>3895</v>
      </c>
      <c r="BE1053">
        <v>0</v>
      </c>
      <c r="BG1053" t="s">
        <v>271</v>
      </c>
      <c r="BJ1053" t="s">
        <v>3896</v>
      </c>
    </row>
    <row r="1054" spans="1:62" x14ac:dyDescent="0.35">
      <c r="A1054" t="s">
        <v>3897</v>
      </c>
      <c r="B1054">
        <v>10000</v>
      </c>
      <c r="C1054">
        <v>10000</v>
      </c>
      <c r="D1054" s="2">
        <v>45735</v>
      </c>
      <c r="E1054" t="s">
        <v>61</v>
      </c>
      <c r="F1054" t="s">
        <v>3898</v>
      </c>
      <c r="G1054" t="s">
        <v>2526</v>
      </c>
      <c r="I1054">
        <v>1</v>
      </c>
      <c r="J1054" t="s">
        <v>63</v>
      </c>
      <c r="K1054" s="8">
        <v>95</v>
      </c>
      <c r="L1054" s="8" t="s">
        <v>6609</v>
      </c>
      <c r="M1054" s="8" t="s">
        <v>6630</v>
      </c>
      <c r="N1054" t="s">
        <v>597</v>
      </c>
      <c r="O1054" t="s">
        <v>6556</v>
      </c>
      <c r="P1054" s="4">
        <v>3750</v>
      </c>
      <c r="Q1054">
        <f t="shared" si="270"/>
        <v>232.5</v>
      </c>
      <c r="R1054">
        <f t="shared" si="271"/>
        <v>3.875</v>
      </c>
      <c r="S1054" s="2">
        <v>45734</v>
      </c>
      <c r="U1054">
        <v>8</v>
      </c>
      <c r="V1054" s="4">
        <v>30000</v>
      </c>
      <c r="W1054" t="s">
        <v>65</v>
      </c>
      <c r="X1054" t="s">
        <v>2527</v>
      </c>
      <c r="Y1054">
        <v>0</v>
      </c>
      <c r="Z1054" s="4">
        <v>30000</v>
      </c>
      <c r="AA1054">
        <v>0</v>
      </c>
      <c r="AB1054">
        <v>0</v>
      </c>
      <c r="AC1054">
        <v>0</v>
      </c>
      <c r="AD1054">
        <v>0</v>
      </c>
      <c r="AG1054">
        <v>0</v>
      </c>
      <c r="AP1054" t="s">
        <v>2528</v>
      </c>
      <c r="AQ1054" t="s">
        <v>271</v>
      </c>
      <c r="AR1054" t="s">
        <v>6648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C1054" t="s">
        <v>69</v>
      </c>
      <c r="BD1054" t="s">
        <v>3899</v>
      </c>
      <c r="BE1054">
        <v>0</v>
      </c>
      <c r="BG1054" t="s">
        <v>271</v>
      </c>
      <c r="BJ1054" t="s">
        <v>3900</v>
      </c>
    </row>
    <row r="1055" spans="1:62" x14ac:dyDescent="0.35">
      <c r="A1055" t="s">
        <v>3901</v>
      </c>
      <c r="B1055">
        <v>10000</v>
      </c>
      <c r="C1055">
        <v>20000</v>
      </c>
      <c r="D1055" s="2">
        <v>45742</v>
      </c>
      <c r="E1055" t="s">
        <v>61</v>
      </c>
      <c r="F1055" t="s">
        <v>3902</v>
      </c>
      <c r="G1055" t="s">
        <v>3903</v>
      </c>
      <c r="I1055">
        <v>2</v>
      </c>
      <c r="J1055" t="s">
        <v>63</v>
      </c>
      <c r="K1055" s="8">
        <v>77</v>
      </c>
      <c r="L1055" s="8" t="s">
        <v>6584</v>
      </c>
      <c r="M1055" s="8" t="s">
        <v>6627</v>
      </c>
      <c r="N1055" t="s">
        <v>127</v>
      </c>
      <c r="O1055" t="s">
        <v>6567</v>
      </c>
      <c r="P1055" s="4">
        <v>29723</v>
      </c>
      <c r="Q1055">
        <f>(P1055/60)+45</f>
        <v>540.38333333333333</v>
      </c>
      <c r="R1055">
        <f>Q1055/60</f>
        <v>9.006388888888889</v>
      </c>
      <c r="S1055" s="2">
        <v>45734</v>
      </c>
      <c r="U1055">
        <v>36</v>
      </c>
      <c r="V1055" s="4">
        <v>1070028</v>
      </c>
      <c r="W1055" t="s">
        <v>65</v>
      </c>
      <c r="X1055" t="s">
        <v>83</v>
      </c>
      <c r="Y1055">
        <v>0</v>
      </c>
      <c r="Z1055" s="4">
        <v>1000000</v>
      </c>
      <c r="AA1055" s="4">
        <v>70028</v>
      </c>
      <c r="AB1055">
        <v>0</v>
      </c>
      <c r="AC1055">
        <v>0</v>
      </c>
      <c r="AD1055">
        <v>0</v>
      </c>
      <c r="AG1055">
        <v>0</v>
      </c>
      <c r="AP1055" t="s">
        <v>84</v>
      </c>
      <c r="AQ1055" t="s">
        <v>68</v>
      </c>
      <c r="AR1055" t="s">
        <v>6636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BC1055" t="s">
        <v>69</v>
      </c>
      <c r="BD1055" t="s">
        <v>3904</v>
      </c>
      <c r="BE1055">
        <v>0</v>
      </c>
      <c r="BG1055" t="s">
        <v>68</v>
      </c>
      <c r="BJ1055" t="s">
        <v>3905</v>
      </c>
    </row>
    <row r="1056" spans="1:62" x14ac:dyDescent="0.35">
      <c r="A1056" t="s">
        <v>3906</v>
      </c>
      <c r="B1056">
        <v>10000</v>
      </c>
      <c r="C1056">
        <v>10000</v>
      </c>
      <c r="D1056" s="2">
        <v>45734</v>
      </c>
      <c r="E1056" t="s">
        <v>61</v>
      </c>
      <c r="F1056" t="s">
        <v>3907</v>
      </c>
      <c r="G1056" t="s">
        <v>3908</v>
      </c>
      <c r="I1056">
        <v>1</v>
      </c>
      <c r="J1056" t="s">
        <v>63</v>
      </c>
      <c r="K1056" s="8">
        <v>112</v>
      </c>
      <c r="L1056" s="8" t="s">
        <v>6616</v>
      </c>
      <c r="M1056" s="8" t="s">
        <v>6630</v>
      </c>
      <c r="N1056" t="s">
        <v>533</v>
      </c>
      <c r="O1056" t="s">
        <v>6572</v>
      </c>
      <c r="P1056">
        <v>258</v>
      </c>
      <c r="Q1056">
        <f>(P1056/20)+45</f>
        <v>57.9</v>
      </c>
      <c r="R1056">
        <f>Q1056/60</f>
        <v>0.96499999999999997</v>
      </c>
      <c r="S1056" s="2">
        <v>45734</v>
      </c>
      <c r="U1056">
        <v>28</v>
      </c>
      <c r="V1056" s="4">
        <v>7224</v>
      </c>
      <c r="W1056" t="s">
        <v>65</v>
      </c>
      <c r="X1056" t="s">
        <v>3909</v>
      </c>
      <c r="Y1056">
        <v>0</v>
      </c>
      <c r="Z1056" s="4">
        <v>7200</v>
      </c>
      <c r="AA1056">
        <v>24</v>
      </c>
      <c r="AB1056">
        <v>0</v>
      </c>
      <c r="AC1056">
        <v>0</v>
      </c>
      <c r="AD1056">
        <v>0</v>
      </c>
      <c r="AG1056">
        <v>0</v>
      </c>
      <c r="AP1056" t="s">
        <v>3910</v>
      </c>
      <c r="AQ1056" t="s">
        <v>321</v>
      </c>
      <c r="AR1056" t="s">
        <v>6652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BC1056" t="s">
        <v>69</v>
      </c>
      <c r="BD1056" t="s">
        <v>3911</v>
      </c>
      <c r="BE1056">
        <v>0</v>
      </c>
      <c r="BG1056" t="s">
        <v>321</v>
      </c>
      <c r="BJ1056" t="s">
        <v>3912</v>
      </c>
    </row>
    <row r="1057" spans="1:62" x14ac:dyDescent="0.35">
      <c r="A1057" t="s">
        <v>3913</v>
      </c>
      <c r="B1057">
        <v>10000</v>
      </c>
      <c r="C1057">
        <v>10000</v>
      </c>
      <c r="D1057" s="2">
        <v>45735</v>
      </c>
      <c r="E1057" t="s">
        <v>61</v>
      </c>
      <c r="F1057" t="s">
        <v>3914</v>
      </c>
      <c r="G1057" t="s">
        <v>304</v>
      </c>
      <c r="I1057">
        <v>1</v>
      </c>
      <c r="J1057" t="s">
        <v>63</v>
      </c>
      <c r="K1057" s="8">
        <v>73</v>
      </c>
      <c r="L1057" s="8" t="s">
        <v>6586</v>
      </c>
      <c r="M1057" s="8" t="s">
        <v>6627</v>
      </c>
      <c r="N1057" t="s">
        <v>90</v>
      </c>
      <c r="O1057" t="s">
        <v>6564</v>
      </c>
      <c r="P1057" s="4">
        <v>21750</v>
      </c>
      <c r="Q1057">
        <f t="shared" ref="Q1057:Q1058" si="272">(P1057/60)+45</f>
        <v>407.5</v>
      </c>
      <c r="R1057">
        <f t="shared" ref="R1057:R1058" si="273">Q1057/60</f>
        <v>6.791666666666667</v>
      </c>
      <c r="S1057" s="2">
        <v>45734</v>
      </c>
      <c r="U1057">
        <v>8</v>
      </c>
      <c r="V1057" s="4">
        <v>174000</v>
      </c>
      <c r="W1057" t="s">
        <v>65</v>
      </c>
      <c r="X1057" t="s">
        <v>305</v>
      </c>
      <c r="Y1057">
        <v>0</v>
      </c>
      <c r="Z1057" s="4">
        <v>174000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306</v>
      </c>
      <c r="AQ1057" t="s">
        <v>271</v>
      </c>
      <c r="AR1057" t="s">
        <v>6648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BC1057" t="s">
        <v>69</v>
      </c>
      <c r="BD1057" t="s">
        <v>3915</v>
      </c>
      <c r="BE1057">
        <v>0</v>
      </c>
      <c r="BG1057" t="s">
        <v>271</v>
      </c>
      <c r="BJ1057" t="s">
        <v>3916</v>
      </c>
    </row>
    <row r="1058" spans="1:62" x14ac:dyDescent="0.35">
      <c r="A1058" t="s">
        <v>3917</v>
      </c>
      <c r="B1058">
        <v>10000</v>
      </c>
      <c r="C1058">
        <v>10000</v>
      </c>
      <c r="D1058" s="2">
        <v>45735</v>
      </c>
      <c r="E1058" t="s">
        <v>61</v>
      </c>
      <c r="F1058" t="s">
        <v>3918</v>
      </c>
      <c r="G1058" t="s">
        <v>3919</v>
      </c>
      <c r="I1058">
        <v>1</v>
      </c>
      <c r="J1058" t="s">
        <v>63</v>
      </c>
      <c r="K1058" s="8">
        <v>111</v>
      </c>
      <c r="L1058" s="8" t="s">
        <v>6597</v>
      </c>
      <c r="M1058" s="8" t="s">
        <v>6627</v>
      </c>
      <c r="N1058" t="s">
        <v>286</v>
      </c>
      <c r="O1058" t="s">
        <v>6560</v>
      </c>
      <c r="P1058" s="4">
        <v>36000</v>
      </c>
      <c r="Q1058">
        <f t="shared" si="272"/>
        <v>645</v>
      </c>
      <c r="R1058">
        <f t="shared" si="273"/>
        <v>10.75</v>
      </c>
      <c r="S1058" s="2">
        <v>45734</v>
      </c>
      <c r="U1058">
        <v>8</v>
      </c>
      <c r="V1058" s="4">
        <v>288000</v>
      </c>
      <c r="W1058" t="s">
        <v>65</v>
      </c>
      <c r="X1058" t="s">
        <v>3920</v>
      </c>
      <c r="Y1058">
        <v>0</v>
      </c>
      <c r="Z1058" s="4">
        <v>288000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3921</v>
      </c>
      <c r="AQ1058" t="s">
        <v>271</v>
      </c>
      <c r="AR1058" t="s">
        <v>6648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BC1058" t="s">
        <v>69</v>
      </c>
      <c r="BD1058" t="s">
        <v>3922</v>
      </c>
      <c r="BE1058">
        <v>0</v>
      </c>
      <c r="BG1058" t="s">
        <v>271</v>
      </c>
      <c r="BJ1058" t="s">
        <v>3923</v>
      </c>
    </row>
    <row r="1059" spans="1:62" x14ac:dyDescent="0.35">
      <c r="A1059" t="s">
        <v>3924</v>
      </c>
      <c r="B1059">
        <v>10000</v>
      </c>
      <c r="C1059">
        <v>10000</v>
      </c>
      <c r="D1059" s="2">
        <v>45736</v>
      </c>
      <c r="E1059" t="s">
        <v>61</v>
      </c>
      <c r="F1059" t="s">
        <v>3925</v>
      </c>
      <c r="G1059" t="s">
        <v>89</v>
      </c>
      <c r="I1059">
        <v>1</v>
      </c>
      <c r="J1059" t="s">
        <v>63</v>
      </c>
      <c r="K1059" s="8">
        <v>73</v>
      </c>
      <c r="L1059" t="s">
        <v>6586</v>
      </c>
      <c r="M1059" s="8" t="s">
        <v>6627</v>
      </c>
      <c r="N1059" t="s">
        <v>98</v>
      </c>
      <c r="O1059" t="s">
        <v>6549</v>
      </c>
      <c r="P1059" s="4">
        <v>24000</v>
      </c>
      <c r="S1059" s="2">
        <v>45734</v>
      </c>
      <c r="U1059">
        <v>12</v>
      </c>
      <c r="V1059" s="4">
        <v>288000</v>
      </c>
      <c r="W1059" t="s">
        <v>65</v>
      </c>
      <c r="X1059">
        <v>80256220001</v>
      </c>
      <c r="Y1059">
        <v>0</v>
      </c>
      <c r="Z1059" s="4">
        <v>288000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>
        <v>8025622</v>
      </c>
      <c r="AQ1059" t="s">
        <v>91</v>
      </c>
      <c r="AR1059" t="s">
        <v>6637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BC1059" t="s">
        <v>69</v>
      </c>
      <c r="BD1059" t="s">
        <v>3926</v>
      </c>
      <c r="BE1059">
        <v>0</v>
      </c>
      <c r="BG1059" t="s">
        <v>91</v>
      </c>
      <c r="BJ1059" t="s">
        <v>3927</v>
      </c>
    </row>
    <row r="1060" spans="1:62" x14ac:dyDescent="0.35">
      <c r="A1060" t="s">
        <v>1598</v>
      </c>
      <c r="B1060">
        <v>10000</v>
      </c>
      <c r="C1060">
        <v>40000</v>
      </c>
      <c r="D1060" s="2">
        <v>45736</v>
      </c>
      <c r="E1060" t="s">
        <v>61</v>
      </c>
      <c r="F1060" t="s">
        <v>1599</v>
      </c>
      <c r="G1060" t="s">
        <v>1600</v>
      </c>
      <c r="I1060">
        <v>3</v>
      </c>
      <c r="J1060" t="s">
        <v>63</v>
      </c>
      <c r="K1060" s="8">
        <v>78</v>
      </c>
      <c r="L1060" s="8" t="s">
        <v>6593</v>
      </c>
      <c r="M1060" s="8" t="s">
        <v>6629</v>
      </c>
      <c r="N1060" t="s">
        <v>188</v>
      </c>
      <c r="O1060" t="s">
        <v>6410</v>
      </c>
      <c r="P1060" s="4">
        <v>28000</v>
      </c>
      <c r="Q1060">
        <f>(P1060/40)+45</f>
        <v>745</v>
      </c>
      <c r="R1060">
        <f>Q1060/60</f>
        <v>12.416666666666666</v>
      </c>
      <c r="S1060" s="2">
        <v>45734</v>
      </c>
      <c r="U1060">
        <v>4</v>
      </c>
      <c r="V1060" s="4">
        <v>112000</v>
      </c>
      <c r="W1060" t="s">
        <v>65</v>
      </c>
      <c r="X1060">
        <v>150636040001</v>
      </c>
      <c r="Y1060">
        <v>0</v>
      </c>
      <c r="Z1060" s="4">
        <v>112000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>
        <v>15063604</v>
      </c>
      <c r="AQ1060" t="s">
        <v>311</v>
      </c>
      <c r="AR1060" t="s">
        <v>6651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BC1060" t="s">
        <v>69</v>
      </c>
      <c r="BD1060" t="s">
        <v>1601</v>
      </c>
      <c r="BE1060">
        <v>0</v>
      </c>
      <c r="BG1060" t="s">
        <v>311</v>
      </c>
      <c r="BJ1060" t="s">
        <v>1602</v>
      </c>
    </row>
    <row r="1061" spans="1:62" x14ac:dyDescent="0.35">
      <c r="A1061" t="s">
        <v>3139</v>
      </c>
      <c r="B1061">
        <v>10000</v>
      </c>
      <c r="C1061">
        <v>40000</v>
      </c>
      <c r="D1061" s="2">
        <v>45734</v>
      </c>
      <c r="E1061" t="s">
        <v>61</v>
      </c>
      <c r="F1061" t="s">
        <v>3140</v>
      </c>
      <c r="G1061" t="s">
        <v>3141</v>
      </c>
      <c r="I1061">
        <v>2</v>
      </c>
      <c r="J1061" t="s">
        <v>63</v>
      </c>
      <c r="K1061" s="8">
        <v>86</v>
      </c>
      <c r="L1061" s="8" t="s">
        <v>6584</v>
      </c>
      <c r="M1061" s="8" t="s">
        <v>6627</v>
      </c>
      <c r="N1061" t="s">
        <v>64</v>
      </c>
      <c r="O1061" t="s">
        <v>6559</v>
      </c>
      <c r="P1061">
        <v>849</v>
      </c>
      <c r="Q1061">
        <f>(P1061/60)+45</f>
        <v>59.15</v>
      </c>
      <c r="R1061">
        <f>Q1061/60</f>
        <v>0.98583333333333334</v>
      </c>
      <c r="S1061" s="2">
        <v>45734</v>
      </c>
      <c r="U1061">
        <v>33</v>
      </c>
      <c r="V1061" s="4">
        <v>28017</v>
      </c>
      <c r="W1061" t="s">
        <v>65</v>
      </c>
      <c r="X1061" t="s">
        <v>3142</v>
      </c>
      <c r="Y1061">
        <v>0</v>
      </c>
      <c r="Z1061" s="4">
        <v>9245</v>
      </c>
      <c r="AA1061" s="4">
        <v>18772</v>
      </c>
      <c r="AB1061">
        <v>0</v>
      </c>
      <c r="AC1061">
        <v>0</v>
      </c>
      <c r="AD1061">
        <v>0</v>
      </c>
      <c r="AG1061">
        <v>0</v>
      </c>
      <c r="AP1061" t="s">
        <v>3143</v>
      </c>
      <c r="AQ1061" t="s">
        <v>3144</v>
      </c>
      <c r="AR1061" t="s">
        <v>6714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BC1061" t="s">
        <v>69</v>
      </c>
      <c r="BD1061" t="s">
        <v>3145</v>
      </c>
      <c r="BE1061">
        <v>0</v>
      </c>
      <c r="BG1061" t="s">
        <v>3144</v>
      </c>
      <c r="BJ1061" t="s">
        <v>3146</v>
      </c>
    </row>
    <row r="1062" spans="1:62" x14ac:dyDescent="0.35">
      <c r="A1062" t="s">
        <v>3928</v>
      </c>
      <c r="B1062">
        <v>10000</v>
      </c>
      <c r="C1062">
        <v>10000</v>
      </c>
      <c r="D1062" s="2">
        <v>45741</v>
      </c>
      <c r="E1062" t="s">
        <v>61</v>
      </c>
      <c r="F1062" s="3">
        <v>0.44512731481481482</v>
      </c>
      <c r="G1062" t="s">
        <v>3929</v>
      </c>
      <c r="I1062">
        <v>1</v>
      </c>
      <c r="J1062" t="s">
        <v>63</v>
      </c>
      <c r="K1062" s="8">
        <v>103</v>
      </c>
      <c r="L1062" s="8" t="s">
        <v>6589</v>
      </c>
      <c r="M1062" s="8" t="s">
        <v>6630</v>
      </c>
      <c r="N1062" t="s">
        <v>1986</v>
      </c>
      <c r="O1062" t="s">
        <v>6551</v>
      </c>
      <c r="P1062" s="4">
        <v>56875</v>
      </c>
      <c r="Q1062">
        <f>(P1062/20)+45</f>
        <v>2888.75</v>
      </c>
      <c r="R1062">
        <f>Q1062/60</f>
        <v>48.145833333333336</v>
      </c>
      <c r="S1062" s="2">
        <v>45734</v>
      </c>
      <c r="U1062">
        <v>8</v>
      </c>
      <c r="V1062" s="4">
        <v>455000</v>
      </c>
      <c r="W1062" t="s">
        <v>65</v>
      </c>
      <c r="X1062" s="12" t="s">
        <v>319</v>
      </c>
      <c r="Y1062">
        <v>0</v>
      </c>
      <c r="Z1062" s="4">
        <v>455000</v>
      </c>
      <c r="AA1062">
        <v>0</v>
      </c>
      <c r="AB1062">
        <v>0</v>
      </c>
      <c r="AC1062">
        <v>0</v>
      </c>
      <c r="AD1062">
        <v>0</v>
      </c>
      <c r="AG1062">
        <v>0</v>
      </c>
      <c r="AP1062" t="s">
        <v>320</v>
      </c>
      <c r="AQ1062" t="s">
        <v>321</v>
      </c>
      <c r="AR1062" t="s">
        <v>6652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BC1062" t="s">
        <v>69</v>
      </c>
      <c r="BD1062" t="s">
        <v>3930</v>
      </c>
      <c r="BE1062">
        <v>0</v>
      </c>
      <c r="BG1062" t="s">
        <v>321</v>
      </c>
      <c r="BJ1062" t="s">
        <v>3931</v>
      </c>
    </row>
    <row r="1063" spans="1:62" x14ac:dyDescent="0.35">
      <c r="A1063" t="s">
        <v>3928</v>
      </c>
      <c r="B1063">
        <v>10000</v>
      </c>
      <c r="C1063">
        <v>20000</v>
      </c>
      <c r="D1063" s="2">
        <v>45741</v>
      </c>
      <c r="E1063" t="s">
        <v>61</v>
      </c>
      <c r="F1063" s="3">
        <v>0.44512731481481482</v>
      </c>
      <c r="G1063" t="s">
        <v>3929</v>
      </c>
      <c r="I1063">
        <v>1</v>
      </c>
      <c r="J1063" t="s">
        <v>63</v>
      </c>
      <c r="K1063" s="8">
        <v>103</v>
      </c>
      <c r="L1063" s="8" t="s">
        <v>6589</v>
      </c>
      <c r="M1063" s="8" t="s">
        <v>6630</v>
      </c>
      <c r="N1063" t="s">
        <v>318</v>
      </c>
      <c r="O1063" t="s">
        <v>6557</v>
      </c>
      <c r="P1063" s="4">
        <v>33125</v>
      </c>
      <c r="S1063" s="2">
        <v>45734</v>
      </c>
      <c r="U1063">
        <v>8</v>
      </c>
      <c r="V1063" s="4">
        <v>265000</v>
      </c>
      <c r="W1063" t="s">
        <v>65</v>
      </c>
      <c r="X1063" t="s">
        <v>319</v>
      </c>
      <c r="Y1063">
        <v>0</v>
      </c>
      <c r="Z1063" s="4">
        <v>265000</v>
      </c>
      <c r="AA1063">
        <v>0</v>
      </c>
      <c r="AB1063">
        <v>0</v>
      </c>
      <c r="AC1063">
        <v>0</v>
      </c>
      <c r="AD1063">
        <v>0</v>
      </c>
      <c r="AG1063">
        <v>0</v>
      </c>
      <c r="AP1063" t="s">
        <v>320</v>
      </c>
      <c r="AQ1063" t="s">
        <v>321</v>
      </c>
      <c r="AR1063" t="s">
        <v>6652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BC1063" t="s">
        <v>69</v>
      </c>
      <c r="BD1063" t="s">
        <v>3930</v>
      </c>
      <c r="BE1063">
        <v>0</v>
      </c>
      <c r="BG1063" t="s">
        <v>321</v>
      </c>
      <c r="BJ1063" t="s">
        <v>3931</v>
      </c>
    </row>
    <row r="1064" spans="1:62" x14ac:dyDescent="0.35">
      <c r="A1064" t="s">
        <v>3928</v>
      </c>
      <c r="B1064">
        <v>20000</v>
      </c>
      <c r="C1064">
        <v>10000</v>
      </c>
      <c r="D1064" s="2">
        <v>45741</v>
      </c>
      <c r="E1064" t="s">
        <v>61</v>
      </c>
      <c r="F1064" s="3">
        <v>0.44512731481481482</v>
      </c>
      <c r="G1064" t="s">
        <v>3929</v>
      </c>
      <c r="I1064">
        <v>1</v>
      </c>
      <c r="J1064" t="s">
        <v>63</v>
      </c>
      <c r="K1064" s="8">
        <v>103</v>
      </c>
      <c r="L1064" s="8" t="s">
        <v>6589</v>
      </c>
      <c r="M1064" s="8" t="s">
        <v>6630</v>
      </c>
      <c r="N1064" t="s">
        <v>318</v>
      </c>
      <c r="O1064" t="s">
        <v>6557</v>
      </c>
      <c r="P1064" s="4">
        <v>24375</v>
      </c>
      <c r="S1064" s="2">
        <v>45734</v>
      </c>
      <c r="U1064">
        <v>8</v>
      </c>
      <c r="V1064" s="4">
        <v>195000</v>
      </c>
      <c r="W1064" t="s">
        <v>65</v>
      </c>
      <c r="X1064" t="s">
        <v>319</v>
      </c>
      <c r="Y1064">
        <v>0</v>
      </c>
      <c r="Z1064" s="4">
        <v>195000</v>
      </c>
      <c r="AA1064">
        <v>0</v>
      </c>
      <c r="AB1064">
        <v>0</v>
      </c>
      <c r="AC1064">
        <v>0</v>
      </c>
      <c r="AD1064">
        <v>0</v>
      </c>
      <c r="AG1064">
        <v>0</v>
      </c>
      <c r="AP1064" t="s">
        <v>320</v>
      </c>
      <c r="AQ1064" t="s">
        <v>321</v>
      </c>
      <c r="AR1064" t="s">
        <v>6652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BC1064" t="s">
        <v>69</v>
      </c>
      <c r="BD1064" t="s">
        <v>3930</v>
      </c>
      <c r="BE1064">
        <v>0</v>
      </c>
      <c r="BG1064" t="s">
        <v>321</v>
      </c>
      <c r="BJ1064" t="s">
        <v>3931</v>
      </c>
    </row>
    <row r="1065" spans="1:62" x14ac:dyDescent="0.35">
      <c r="A1065" t="s">
        <v>1332</v>
      </c>
      <c r="B1065">
        <v>10000</v>
      </c>
      <c r="C1065">
        <v>40000</v>
      </c>
      <c r="D1065" s="2">
        <v>45740</v>
      </c>
      <c r="E1065" t="s">
        <v>61</v>
      </c>
      <c r="F1065" t="s">
        <v>2304</v>
      </c>
      <c r="G1065" t="s">
        <v>1333</v>
      </c>
      <c r="I1065">
        <v>3</v>
      </c>
      <c r="J1065" t="s">
        <v>63</v>
      </c>
      <c r="K1065" s="8">
        <v>85</v>
      </c>
      <c r="L1065" s="8" t="s">
        <v>6585</v>
      </c>
      <c r="M1065" s="8" t="s">
        <v>6628</v>
      </c>
      <c r="N1065" t="s">
        <v>327</v>
      </c>
      <c r="O1065" t="s">
        <v>6580</v>
      </c>
      <c r="P1065" s="4">
        <v>20000</v>
      </c>
      <c r="S1065" s="2">
        <v>45734</v>
      </c>
      <c r="U1065">
        <v>11</v>
      </c>
      <c r="V1065" s="4">
        <v>220000</v>
      </c>
      <c r="W1065" t="s">
        <v>65</v>
      </c>
      <c r="X1065" t="s">
        <v>1334</v>
      </c>
      <c r="Y1065">
        <v>0</v>
      </c>
      <c r="Z1065" s="4">
        <v>200000</v>
      </c>
      <c r="AA1065" s="4">
        <v>20000</v>
      </c>
      <c r="AB1065">
        <v>0</v>
      </c>
      <c r="AC1065">
        <v>0</v>
      </c>
      <c r="AD1065">
        <v>0</v>
      </c>
      <c r="AG1065">
        <v>0</v>
      </c>
      <c r="AP1065" t="s">
        <v>1335</v>
      </c>
      <c r="AQ1065" t="s">
        <v>107</v>
      </c>
      <c r="AR1065" t="s">
        <v>6638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BC1065" t="s">
        <v>69</v>
      </c>
      <c r="BD1065" t="s">
        <v>1336</v>
      </c>
      <c r="BE1065">
        <v>0</v>
      </c>
      <c r="BG1065" t="s">
        <v>107</v>
      </c>
      <c r="BJ1065" t="s">
        <v>1337</v>
      </c>
    </row>
    <row r="1066" spans="1:62" x14ac:dyDescent="0.35">
      <c r="A1066" t="s">
        <v>1362</v>
      </c>
      <c r="B1066">
        <v>10000</v>
      </c>
      <c r="C1066">
        <v>30000</v>
      </c>
      <c r="D1066" s="2">
        <v>45735</v>
      </c>
      <c r="E1066" t="s">
        <v>95</v>
      </c>
      <c r="F1066" t="s">
        <v>1363</v>
      </c>
      <c r="G1066" t="s">
        <v>1364</v>
      </c>
      <c r="I1066">
        <v>3</v>
      </c>
      <c r="J1066" t="s">
        <v>63</v>
      </c>
      <c r="K1066" s="8">
        <v>85</v>
      </c>
      <c r="L1066" s="8" t="s">
        <v>6585</v>
      </c>
      <c r="M1066" s="8" t="s">
        <v>6628</v>
      </c>
      <c r="N1066" t="s">
        <v>327</v>
      </c>
      <c r="O1066" t="s">
        <v>6580</v>
      </c>
      <c r="P1066" s="4">
        <v>10000</v>
      </c>
      <c r="S1066" s="2">
        <v>45734</v>
      </c>
      <c r="U1066">
        <v>11</v>
      </c>
      <c r="V1066" s="4">
        <v>110000</v>
      </c>
      <c r="W1066" t="s">
        <v>65</v>
      </c>
      <c r="X1066" t="s">
        <v>1365</v>
      </c>
      <c r="Y1066">
        <v>0</v>
      </c>
      <c r="Z1066" s="4">
        <v>100000</v>
      </c>
      <c r="AA1066" s="4">
        <v>10000</v>
      </c>
      <c r="AB1066">
        <v>0</v>
      </c>
      <c r="AC1066">
        <v>0</v>
      </c>
      <c r="AD1066">
        <v>0</v>
      </c>
      <c r="AG1066">
        <v>0</v>
      </c>
      <c r="AP1066" t="s">
        <v>1366</v>
      </c>
      <c r="AQ1066" t="s">
        <v>107</v>
      </c>
      <c r="AR1066" t="s">
        <v>6638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BC1066" t="s">
        <v>69</v>
      </c>
      <c r="BD1066" t="s">
        <v>1367</v>
      </c>
      <c r="BE1066">
        <v>0</v>
      </c>
      <c r="BG1066" t="s">
        <v>107</v>
      </c>
      <c r="BJ1066" t="s">
        <v>1368</v>
      </c>
    </row>
    <row r="1067" spans="1:62" x14ac:dyDescent="0.35">
      <c r="A1067" t="s">
        <v>3702</v>
      </c>
      <c r="B1067">
        <v>10000</v>
      </c>
      <c r="C1067">
        <v>30000</v>
      </c>
      <c r="D1067" s="2">
        <v>45734</v>
      </c>
      <c r="E1067" t="s">
        <v>61</v>
      </c>
      <c r="F1067" t="s">
        <v>3703</v>
      </c>
      <c r="G1067" t="s">
        <v>3704</v>
      </c>
      <c r="I1067">
        <v>3</v>
      </c>
      <c r="J1067" t="s">
        <v>63</v>
      </c>
      <c r="K1067" s="8">
        <v>91</v>
      </c>
      <c r="L1067" s="8" t="s">
        <v>6585</v>
      </c>
      <c r="M1067" s="8" t="s">
        <v>6628</v>
      </c>
      <c r="N1067" t="s">
        <v>104</v>
      </c>
      <c r="O1067" t="s">
        <v>6579</v>
      </c>
      <c r="P1067" s="4">
        <v>62000</v>
      </c>
      <c r="S1067" s="2">
        <v>45734</v>
      </c>
      <c r="U1067">
        <v>5</v>
      </c>
      <c r="V1067" s="4">
        <v>310000</v>
      </c>
      <c r="W1067" t="s">
        <v>65</v>
      </c>
      <c r="X1067" t="s">
        <v>3705</v>
      </c>
      <c r="Y1067">
        <v>0</v>
      </c>
      <c r="Z1067" s="4">
        <v>300000</v>
      </c>
      <c r="AA1067" s="4">
        <v>10000</v>
      </c>
      <c r="AB1067">
        <v>0</v>
      </c>
      <c r="AC1067">
        <v>0</v>
      </c>
      <c r="AD1067">
        <v>0</v>
      </c>
      <c r="AG1067">
        <v>0</v>
      </c>
      <c r="AP1067" t="s">
        <v>3706</v>
      </c>
      <c r="AQ1067" t="s">
        <v>107</v>
      </c>
      <c r="AR1067" t="s">
        <v>6638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BC1067" t="s">
        <v>69</v>
      </c>
      <c r="BD1067" t="s">
        <v>3707</v>
      </c>
      <c r="BE1067">
        <v>0</v>
      </c>
      <c r="BG1067" t="s">
        <v>107</v>
      </c>
      <c r="BJ1067" t="s">
        <v>3708</v>
      </c>
    </row>
    <row r="1068" spans="1:62" x14ac:dyDescent="0.35">
      <c r="A1068" t="s">
        <v>2844</v>
      </c>
      <c r="B1068">
        <v>10000</v>
      </c>
      <c r="C1068">
        <v>30000</v>
      </c>
      <c r="D1068" s="2">
        <v>45736</v>
      </c>
      <c r="E1068" t="s">
        <v>61</v>
      </c>
      <c r="F1068" t="s">
        <v>956</v>
      </c>
      <c r="G1068" t="s">
        <v>2845</v>
      </c>
      <c r="I1068">
        <v>3</v>
      </c>
      <c r="J1068" t="s">
        <v>63</v>
      </c>
      <c r="K1068" s="8">
        <v>85</v>
      </c>
      <c r="L1068" s="8" t="s">
        <v>6585</v>
      </c>
      <c r="M1068" s="8" t="s">
        <v>6628</v>
      </c>
      <c r="N1068" t="s">
        <v>104</v>
      </c>
      <c r="O1068" t="s">
        <v>6579</v>
      </c>
      <c r="P1068" s="4">
        <v>73636</v>
      </c>
      <c r="S1068" s="2">
        <v>45734</v>
      </c>
      <c r="U1068">
        <v>11</v>
      </c>
      <c r="V1068" s="4">
        <v>809996</v>
      </c>
      <c r="W1068" t="s">
        <v>65</v>
      </c>
      <c r="X1068" t="s">
        <v>2846</v>
      </c>
      <c r="Y1068">
        <v>0</v>
      </c>
      <c r="Z1068" s="4">
        <v>770000</v>
      </c>
      <c r="AA1068" s="4">
        <v>39996</v>
      </c>
      <c r="AB1068">
        <v>0</v>
      </c>
      <c r="AC1068">
        <v>0</v>
      </c>
      <c r="AD1068">
        <v>0</v>
      </c>
      <c r="AG1068">
        <v>0</v>
      </c>
      <c r="AP1068" t="s">
        <v>2847</v>
      </c>
      <c r="AQ1068" t="s">
        <v>107</v>
      </c>
      <c r="AR1068" t="s">
        <v>6638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BC1068" t="s">
        <v>69</v>
      </c>
      <c r="BD1068" t="s">
        <v>2848</v>
      </c>
      <c r="BE1068">
        <v>0</v>
      </c>
      <c r="BG1068" t="s">
        <v>107</v>
      </c>
      <c r="BJ1068" t="s">
        <v>2849</v>
      </c>
    </row>
    <row r="1069" spans="1:62" x14ac:dyDescent="0.35">
      <c r="A1069" t="s">
        <v>3932</v>
      </c>
      <c r="B1069">
        <v>10000</v>
      </c>
      <c r="C1069">
        <v>10000</v>
      </c>
      <c r="D1069" s="2">
        <v>45736</v>
      </c>
      <c r="E1069" t="s">
        <v>61</v>
      </c>
      <c r="F1069" t="s">
        <v>3933</v>
      </c>
      <c r="G1069" t="s">
        <v>3934</v>
      </c>
      <c r="I1069">
        <v>1</v>
      </c>
      <c r="J1069" t="s">
        <v>63</v>
      </c>
      <c r="K1069" s="8">
        <v>60</v>
      </c>
      <c r="L1069" s="8" t="s">
        <v>6590</v>
      </c>
      <c r="M1069" s="8" t="s">
        <v>6630</v>
      </c>
      <c r="N1069" t="s">
        <v>277</v>
      </c>
      <c r="O1069" t="s">
        <v>6554</v>
      </c>
      <c r="P1069" s="4">
        <v>9152</v>
      </c>
      <c r="Q1069">
        <f>(P1069/50)+45</f>
        <v>228.04</v>
      </c>
      <c r="R1069">
        <f>Q1069/60</f>
        <v>3.8006666666666664</v>
      </c>
      <c r="S1069" s="2">
        <v>45734</v>
      </c>
      <c r="U1069">
        <v>10</v>
      </c>
      <c r="V1069" s="4">
        <v>91520</v>
      </c>
      <c r="W1069" t="s">
        <v>65</v>
      </c>
      <c r="X1069" t="s">
        <v>3935</v>
      </c>
      <c r="Y1069">
        <v>0</v>
      </c>
      <c r="Z1069" s="4">
        <v>91520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 t="s">
        <v>3936</v>
      </c>
      <c r="AQ1069" t="s">
        <v>321</v>
      </c>
      <c r="AR1069" t="s">
        <v>6652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BC1069" t="s">
        <v>69</v>
      </c>
      <c r="BD1069" t="s">
        <v>3937</v>
      </c>
      <c r="BE1069">
        <v>0</v>
      </c>
      <c r="BG1069" t="s">
        <v>321</v>
      </c>
      <c r="BJ1069" t="s">
        <v>3938</v>
      </c>
    </row>
    <row r="1070" spans="1:62" x14ac:dyDescent="0.35">
      <c r="A1070" t="s">
        <v>3939</v>
      </c>
      <c r="B1070">
        <v>10000</v>
      </c>
      <c r="C1070">
        <v>10000</v>
      </c>
      <c r="D1070" s="2">
        <v>45735</v>
      </c>
      <c r="E1070" t="s">
        <v>61</v>
      </c>
      <c r="F1070" s="3">
        <v>0.45092592592592595</v>
      </c>
      <c r="G1070" t="s">
        <v>2069</v>
      </c>
      <c r="I1070">
        <v>1</v>
      </c>
      <c r="J1070" t="s">
        <v>63</v>
      </c>
      <c r="K1070" s="8">
        <v>94</v>
      </c>
      <c r="L1070" s="8" t="s">
        <v>6599</v>
      </c>
      <c r="M1070" s="8" t="s">
        <v>6629</v>
      </c>
      <c r="N1070" t="s">
        <v>181</v>
      </c>
      <c r="O1070" t="s">
        <v>6544</v>
      </c>
      <c r="P1070" s="4">
        <v>10000</v>
      </c>
      <c r="S1070" s="2">
        <v>45734</v>
      </c>
      <c r="U1070">
        <v>4</v>
      </c>
      <c r="V1070" s="4">
        <v>40000</v>
      </c>
      <c r="W1070" t="s">
        <v>65</v>
      </c>
      <c r="X1070" t="s">
        <v>3859</v>
      </c>
      <c r="Y1070">
        <v>0</v>
      </c>
      <c r="Z1070" s="4">
        <v>40000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 t="s">
        <v>3860</v>
      </c>
      <c r="AQ1070" t="s">
        <v>364</v>
      </c>
      <c r="AR1070" t="s">
        <v>6653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BC1070" t="s">
        <v>69</v>
      </c>
      <c r="BD1070" t="s">
        <v>3940</v>
      </c>
      <c r="BE1070">
        <v>0</v>
      </c>
      <c r="BG1070" t="s">
        <v>364</v>
      </c>
      <c r="BJ1070" t="s">
        <v>3941</v>
      </c>
    </row>
    <row r="1071" spans="1:62" x14ac:dyDescent="0.35">
      <c r="A1071" t="s">
        <v>1438</v>
      </c>
      <c r="B1071">
        <v>10000</v>
      </c>
      <c r="C1071">
        <v>30000</v>
      </c>
      <c r="D1071" s="2">
        <v>45735</v>
      </c>
      <c r="E1071" t="s">
        <v>95</v>
      </c>
      <c r="F1071" t="s">
        <v>1439</v>
      </c>
      <c r="G1071" t="s">
        <v>1364</v>
      </c>
      <c r="I1071">
        <v>3</v>
      </c>
      <c r="J1071" t="s">
        <v>63</v>
      </c>
      <c r="K1071" s="8">
        <v>85</v>
      </c>
      <c r="L1071" s="8" t="s">
        <v>6585</v>
      </c>
      <c r="M1071" s="8" t="s">
        <v>6628</v>
      </c>
      <c r="N1071" t="s">
        <v>327</v>
      </c>
      <c r="O1071" t="s">
        <v>6580</v>
      </c>
      <c r="P1071" s="4">
        <v>10000</v>
      </c>
      <c r="S1071" s="2">
        <v>45734</v>
      </c>
      <c r="U1071">
        <v>11</v>
      </c>
      <c r="V1071" s="4">
        <v>110000</v>
      </c>
      <c r="W1071" t="s">
        <v>65</v>
      </c>
      <c r="X1071" t="s">
        <v>1440</v>
      </c>
      <c r="Y1071">
        <v>0</v>
      </c>
      <c r="Z1071" s="4">
        <v>100000</v>
      </c>
      <c r="AA1071" s="4">
        <v>10000</v>
      </c>
      <c r="AB1071">
        <v>0</v>
      </c>
      <c r="AC1071">
        <v>0</v>
      </c>
      <c r="AD1071">
        <v>0</v>
      </c>
      <c r="AG1071">
        <v>0</v>
      </c>
      <c r="AP1071" t="s">
        <v>1441</v>
      </c>
      <c r="AQ1071" t="s">
        <v>107</v>
      </c>
      <c r="AR1071" t="s">
        <v>6638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BC1071" t="s">
        <v>69</v>
      </c>
      <c r="BD1071" t="s">
        <v>1442</v>
      </c>
      <c r="BE1071">
        <v>0</v>
      </c>
      <c r="BG1071" t="s">
        <v>107</v>
      </c>
      <c r="BJ1071" t="s">
        <v>1443</v>
      </c>
    </row>
    <row r="1072" spans="1:62" x14ac:dyDescent="0.35">
      <c r="A1072" t="s">
        <v>1516</v>
      </c>
      <c r="B1072">
        <v>10000</v>
      </c>
      <c r="C1072">
        <v>30000</v>
      </c>
      <c r="D1072" s="2">
        <v>45735</v>
      </c>
      <c r="E1072" t="s">
        <v>61</v>
      </c>
      <c r="F1072" t="s">
        <v>2432</v>
      </c>
      <c r="G1072" t="s">
        <v>1364</v>
      </c>
      <c r="I1072">
        <v>3</v>
      </c>
      <c r="J1072" t="s">
        <v>63</v>
      </c>
      <c r="K1072" s="8">
        <v>85</v>
      </c>
      <c r="L1072" s="8" t="s">
        <v>6585</v>
      </c>
      <c r="M1072" s="8" t="s">
        <v>6628</v>
      </c>
      <c r="N1072" t="s">
        <v>327</v>
      </c>
      <c r="O1072" t="s">
        <v>6580</v>
      </c>
      <c r="P1072" s="4">
        <v>20000</v>
      </c>
      <c r="S1072" s="2">
        <v>45734</v>
      </c>
      <c r="U1072">
        <v>11</v>
      </c>
      <c r="V1072" s="4">
        <v>220000</v>
      </c>
      <c r="W1072" t="s">
        <v>65</v>
      </c>
      <c r="X1072" t="s">
        <v>1517</v>
      </c>
      <c r="Y1072">
        <v>0</v>
      </c>
      <c r="Z1072" s="4">
        <v>200000</v>
      </c>
      <c r="AA1072" s="4">
        <v>20000</v>
      </c>
      <c r="AB1072">
        <v>0</v>
      </c>
      <c r="AC1072">
        <v>0</v>
      </c>
      <c r="AD1072">
        <v>0</v>
      </c>
      <c r="AG1072">
        <v>0</v>
      </c>
      <c r="AP1072" t="s">
        <v>1518</v>
      </c>
      <c r="AQ1072" t="s">
        <v>107</v>
      </c>
      <c r="AR1072" t="s">
        <v>6638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BC1072" t="s">
        <v>69</v>
      </c>
      <c r="BD1072" t="s">
        <v>1519</v>
      </c>
      <c r="BE1072">
        <v>0</v>
      </c>
      <c r="BG1072" t="s">
        <v>107</v>
      </c>
      <c r="BJ1072" t="s">
        <v>1520</v>
      </c>
    </row>
    <row r="1073" spans="1:62" x14ac:dyDescent="0.35">
      <c r="A1073" t="s">
        <v>1525</v>
      </c>
      <c r="B1073">
        <v>10000</v>
      </c>
      <c r="C1073">
        <v>30000</v>
      </c>
      <c r="D1073" s="2">
        <v>45735</v>
      </c>
      <c r="E1073" t="s">
        <v>95</v>
      </c>
      <c r="F1073" t="s">
        <v>1526</v>
      </c>
      <c r="G1073" t="s">
        <v>1364</v>
      </c>
      <c r="I1073">
        <v>3</v>
      </c>
      <c r="J1073" t="s">
        <v>63</v>
      </c>
      <c r="K1073" s="8">
        <v>85</v>
      </c>
      <c r="L1073" s="8" t="s">
        <v>6585</v>
      </c>
      <c r="M1073" s="8" t="s">
        <v>6628</v>
      </c>
      <c r="N1073" t="s">
        <v>327</v>
      </c>
      <c r="O1073" t="s">
        <v>6580</v>
      </c>
      <c r="P1073" s="4">
        <v>10000</v>
      </c>
      <c r="S1073" s="2">
        <v>45734</v>
      </c>
      <c r="U1073">
        <v>11</v>
      </c>
      <c r="V1073" s="4">
        <v>110000</v>
      </c>
      <c r="W1073" t="s">
        <v>65</v>
      </c>
      <c r="X1073" t="s">
        <v>1527</v>
      </c>
      <c r="Y1073">
        <v>0</v>
      </c>
      <c r="Z1073" s="4">
        <v>100000</v>
      </c>
      <c r="AA1073" s="4">
        <v>10000</v>
      </c>
      <c r="AB1073">
        <v>0</v>
      </c>
      <c r="AC1073">
        <v>0</v>
      </c>
      <c r="AD1073">
        <v>0</v>
      </c>
      <c r="AG1073">
        <v>0</v>
      </c>
      <c r="AP1073" t="s">
        <v>1528</v>
      </c>
      <c r="AQ1073" t="s">
        <v>107</v>
      </c>
      <c r="AR1073" t="s">
        <v>6638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BC1073" t="s">
        <v>69</v>
      </c>
      <c r="BD1073" t="s">
        <v>1529</v>
      </c>
      <c r="BE1073">
        <v>0</v>
      </c>
      <c r="BG1073" t="s">
        <v>107</v>
      </c>
      <c r="BJ1073" t="s">
        <v>1530</v>
      </c>
    </row>
    <row r="1074" spans="1:62" x14ac:dyDescent="0.35">
      <c r="A1074" t="s">
        <v>1531</v>
      </c>
      <c r="B1074">
        <v>10000</v>
      </c>
      <c r="C1074">
        <v>30000</v>
      </c>
      <c r="D1074" s="2">
        <v>45735</v>
      </c>
      <c r="E1074" t="s">
        <v>61</v>
      </c>
      <c r="F1074" t="s">
        <v>1532</v>
      </c>
      <c r="G1074" t="s">
        <v>1364</v>
      </c>
      <c r="I1074">
        <v>3</v>
      </c>
      <c r="J1074" t="s">
        <v>63</v>
      </c>
      <c r="K1074" s="8">
        <v>85</v>
      </c>
      <c r="L1074" s="8" t="s">
        <v>6585</v>
      </c>
      <c r="M1074" s="8" t="s">
        <v>6628</v>
      </c>
      <c r="N1074" t="s">
        <v>327</v>
      </c>
      <c r="O1074" t="s">
        <v>6580</v>
      </c>
      <c r="P1074" s="4">
        <v>20000</v>
      </c>
      <c r="S1074" s="2">
        <v>45734</v>
      </c>
      <c r="U1074">
        <v>11</v>
      </c>
      <c r="V1074" s="4">
        <v>220000</v>
      </c>
      <c r="W1074" t="s">
        <v>65</v>
      </c>
      <c r="X1074" t="s">
        <v>1381</v>
      </c>
      <c r="Y1074">
        <v>0</v>
      </c>
      <c r="Z1074" s="4">
        <v>200000</v>
      </c>
      <c r="AA1074" s="4">
        <v>20000</v>
      </c>
      <c r="AB1074">
        <v>0</v>
      </c>
      <c r="AC1074">
        <v>0</v>
      </c>
      <c r="AD1074">
        <v>0</v>
      </c>
      <c r="AG1074">
        <v>0</v>
      </c>
      <c r="AP1074" t="s">
        <v>1382</v>
      </c>
      <c r="AQ1074" t="s">
        <v>107</v>
      </c>
      <c r="AR1074" t="s">
        <v>6638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BC1074" t="s">
        <v>69</v>
      </c>
      <c r="BD1074" t="s">
        <v>1533</v>
      </c>
      <c r="BE1074">
        <v>0</v>
      </c>
      <c r="BG1074" t="s">
        <v>107</v>
      </c>
      <c r="BJ1074" t="s">
        <v>1534</v>
      </c>
    </row>
    <row r="1075" spans="1:62" x14ac:dyDescent="0.35">
      <c r="A1075" t="s">
        <v>1535</v>
      </c>
      <c r="B1075">
        <v>10000</v>
      </c>
      <c r="C1075">
        <v>30000</v>
      </c>
      <c r="D1075" s="2">
        <v>45735</v>
      </c>
      <c r="E1075" t="s">
        <v>95</v>
      </c>
      <c r="F1075" t="s">
        <v>1439</v>
      </c>
      <c r="G1075" t="s">
        <v>1364</v>
      </c>
      <c r="I1075">
        <v>3</v>
      </c>
      <c r="J1075" t="s">
        <v>63</v>
      </c>
      <c r="K1075" s="8">
        <v>85</v>
      </c>
      <c r="L1075" s="8" t="s">
        <v>6585</v>
      </c>
      <c r="M1075" s="8" t="s">
        <v>6628</v>
      </c>
      <c r="N1075" t="s">
        <v>327</v>
      </c>
      <c r="O1075" t="s">
        <v>6580</v>
      </c>
      <c r="P1075" s="4">
        <v>20000</v>
      </c>
      <c r="S1075" s="2">
        <v>45734</v>
      </c>
      <c r="U1075">
        <v>11</v>
      </c>
      <c r="V1075" s="4">
        <v>220000</v>
      </c>
      <c r="W1075" t="s">
        <v>65</v>
      </c>
      <c r="X1075" t="s">
        <v>1440</v>
      </c>
      <c r="Y1075">
        <v>0</v>
      </c>
      <c r="Z1075" s="4">
        <v>200000</v>
      </c>
      <c r="AA1075" s="4">
        <v>20000</v>
      </c>
      <c r="AB1075">
        <v>0</v>
      </c>
      <c r="AC1075">
        <v>0</v>
      </c>
      <c r="AD1075">
        <v>0</v>
      </c>
      <c r="AG1075">
        <v>0</v>
      </c>
      <c r="AP1075" t="s">
        <v>1441</v>
      </c>
      <c r="AQ1075" t="s">
        <v>107</v>
      </c>
      <c r="AR1075" t="s">
        <v>6638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BC1075" t="s">
        <v>69</v>
      </c>
      <c r="BD1075" t="s">
        <v>1536</v>
      </c>
      <c r="BE1075">
        <v>0</v>
      </c>
      <c r="BG1075" t="s">
        <v>107</v>
      </c>
      <c r="BJ1075" t="s">
        <v>1537</v>
      </c>
    </row>
    <row r="1076" spans="1:62" x14ac:dyDescent="0.35">
      <c r="A1076" t="s">
        <v>3942</v>
      </c>
      <c r="B1076">
        <v>10000</v>
      </c>
      <c r="C1076">
        <v>10000</v>
      </c>
      <c r="D1076" s="2">
        <v>45735</v>
      </c>
      <c r="E1076" t="s">
        <v>61</v>
      </c>
      <c r="F1076" t="s">
        <v>3943</v>
      </c>
      <c r="G1076" t="s">
        <v>3944</v>
      </c>
      <c r="I1076">
        <v>1</v>
      </c>
      <c r="J1076" t="s">
        <v>63</v>
      </c>
      <c r="K1076" s="8">
        <v>65</v>
      </c>
      <c r="L1076" s="8" t="s">
        <v>6596</v>
      </c>
      <c r="M1076" s="8" t="s">
        <v>6630</v>
      </c>
      <c r="N1076" t="s">
        <v>268</v>
      </c>
      <c r="O1076" t="s">
        <v>6543</v>
      </c>
      <c r="P1076" s="4">
        <v>1667</v>
      </c>
      <c r="Q1076">
        <f t="shared" ref="Q1076:Q1079" si="274">(P1076/40)+45</f>
        <v>86.674999999999997</v>
      </c>
      <c r="R1076">
        <f t="shared" ref="R1076:R1079" si="275">Q1076/60</f>
        <v>1.4445833333333333</v>
      </c>
      <c r="S1076" s="2">
        <v>45734</v>
      </c>
      <c r="U1076">
        <v>30</v>
      </c>
      <c r="V1076" s="4">
        <v>50010</v>
      </c>
      <c r="W1076" t="s">
        <v>65</v>
      </c>
      <c r="X1076" t="s">
        <v>3945</v>
      </c>
      <c r="Y1076">
        <v>0</v>
      </c>
      <c r="Z1076" s="4">
        <v>50000</v>
      </c>
      <c r="AA1076">
        <v>10</v>
      </c>
      <c r="AB1076">
        <v>0</v>
      </c>
      <c r="AC1076">
        <v>0</v>
      </c>
      <c r="AD1076">
        <v>0</v>
      </c>
      <c r="AG1076">
        <v>0</v>
      </c>
      <c r="AP1076" t="s">
        <v>3946</v>
      </c>
      <c r="AQ1076" t="s">
        <v>116</v>
      </c>
      <c r="AR1076" t="s">
        <v>6639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BC1076" t="s">
        <v>69</v>
      </c>
      <c r="BD1076" t="s">
        <v>3947</v>
      </c>
      <c r="BE1076">
        <v>0</v>
      </c>
      <c r="BG1076" t="s">
        <v>116</v>
      </c>
      <c r="BJ1076" t="s">
        <v>3098</v>
      </c>
    </row>
    <row r="1077" spans="1:62" x14ac:dyDescent="0.35">
      <c r="A1077" t="s">
        <v>3948</v>
      </c>
      <c r="B1077">
        <v>10000</v>
      </c>
      <c r="C1077">
        <v>10000</v>
      </c>
      <c r="D1077" s="2">
        <v>45735</v>
      </c>
      <c r="E1077" t="s">
        <v>61</v>
      </c>
      <c r="F1077" t="s">
        <v>3943</v>
      </c>
      <c r="G1077" t="s">
        <v>3944</v>
      </c>
      <c r="I1077">
        <v>1</v>
      </c>
      <c r="J1077" t="s">
        <v>63</v>
      </c>
      <c r="K1077" s="8">
        <v>65</v>
      </c>
      <c r="L1077" s="8" t="s">
        <v>6596</v>
      </c>
      <c r="M1077" s="8" t="s">
        <v>6630</v>
      </c>
      <c r="N1077" t="s">
        <v>268</v>
      </c>
      <c r="O1077" t="s">
        <v>6543</v>
      </c>
      <c r="P1077" s="4">
        <v>1667</v>
      </c>
      <c r="Q1077">
        <f t="shared" si="274"/>
        <v>86.674999999999997</v>
      </c>
      <c r="R1077">
        <f t="shared" si="275"/>
        <v>1.4445833333333333</v>
      </c>
      <c r="S1077" s="2">
        <v>45734</v>
      </c>
      <c r="U1077">
        <v>30</v>
      </c>
      <c r="V1077" s="4">
        <v>50010</v>
      </c>
      <c r="W1077" t="s">
        <v>65</v>
      </c>
      <c r="X1077" t="s">
        <v>3945</v>
      </c>
      <c r="Y1077">
        <v>0</v>
      </c>
      <c r="Z1077" s="4">
        <v>50000</v>
      </c>
      <c r="AA1077">
        <v>10</v>
      </c>
      <c r="AB1077">
        <v>0</v>
      </c>
      <c r="AC1077">
        <v>0</v>
      </c>
      <c r="AD1077">
        <v>0</v>
      </c>
      <c r="AG1077">
        <v>0</v>
      </c>
      <c r="AP1077" t="s">
        <v>3946</v>
      </c>
      <c r="AQ1077" t="s">
        <v>116</v>
      </c>
      <c r="AR1077" t="s">
        <v>6639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BC1077" t="s">
        <v>69</v>
      </c>
      <c r="BD1077" t="s">
        <v>3949</v>
      </c>
      <c r="BE1077">
        <v>0</v>
      </c>
      <c r="BG1077" t="s">
        <v>116</v>
      </c>
      <c r="BJ1077" t="s">
        <v>3101</v>
      </c>
    </row>
    <row r="1078" spans="1:62" x14ac:dyDescent="0.35">
      <c r="A1078" t="s">
        <v>3950</v>
      </c>
      <c r="B1078">
        <v>10000</v>
      </c>
      <c r="C1078">
        <v>10000</v>
      </c>
      <c r="D1078" s="2">
        <v>45735</v>
      </c>
      <c r="E1078" t="s">
        <v>61</v>
      </c>
      <c r="F1078" t="s">
        <v>3951</v>
      </c>
      <c r="G1078" t="s">
        <v>3952</v>
      </c>
      <c r="I1078">
        <v>1</v>
      </c>
      <c r="J1078" t="s">
        <v>63</v>
      </c>
      <c r="K1078" s="8">
        <v>63</v>
      </c>
      <c r="L1078" s="8" t="s">
        <v>6605</v>
      </c>
      <c r="M1078" s="8" t="s">
        <v>6630</v>
      </c>
      <c r="N1078" t="s">
        <v>519</v>
      </c>
      <c r="O1078" t="s">
        <v>6569</v>
      </c>
      <c r="P1078" s="4">
        <v>6000</v>
      </c>
      <c r="Q1078">
        <f t="shared" si="274"/>
        <v>195</v>
      </c>
      <c r="R1078">
        <f t="shared" si="275"/>
        <v>3.25</v>
      </c>
      <c r="S1078" s="2">
        <v>45734</v>
      </c>
      <c r="U1078">
        <v>90</v>
      </c>
      <c r="V1078" s="4">
        <v>540000</v>
      </c>
      <c r="W1078" t="s">
        <v>65</v>
      </c>
      <c r="X1078" t="s">
        <v>3953</v>
      </c>
      <c r="Y1078">
        <v>0</v>
      </c>
      <c r="Z1078" s="4">
        <v>540000</v>
      </c>
      <c r="AA1078">
        <v>0</v>
      </c>
      <c r="AB1078">
        <v>0</v>
      </c>
      <c r="AC1078">
        <v>0</v>
      </c>
      <c r="AD1078">
        <v>0</v>
      </c>
      <c r="AG1078">
        <v>0</v>
      </c>
      <c r="AP1078" t="s">
        <v>3954</v>
      </c>
      <c r="AQ1078" t="s">
        <v>1672</v>
      </c>
      <c r="AR1078" t="s">
        <v>6681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BC1078" t="s">
        <v>69</v>
      </c>
      <c r="BD1078" t="s">
        <v>3955</v>
      </c>
      <c r="BE1078">
        <v>0</v>
      </c>
      <c r="BG1078" t="s">
        <v>1672</v>
      </c>
      <c r="BJ1078" t="s">
        <v>1674</v>
      </c>
    </row>
    <row r="1079" spans="1:62" x14ac:dyDescent="0.35">
      <c r="A1079" t="s">
        <v>3956</v>
      </c>
      <c r="B1079">
        <v>10000</v>
      </c>
      <c r="C1079">
        <v>10000</v>
      </c>
      <c r="D1079" s="2">
        <v>45735</v>
      </c>
      <c r="E1079" t="s">
        <v>61</v>
      </c>
      <c r="F1079" t="s">
        <v>3951</v>
      </c>
      <c r="G1079" t="s">
        <v>3957</v>
      </c>
      <c r="I1079">
        <v>1</v>
      </c>
      <c r="J1079" t="s">
        <v>63</v>
      </c>
      <c r="K1079" s="8">
        <v>63</v>
      </c>
      <c r="L1079" s="8" t="s">
        <v>6605</v>
      </c>
      <c r="M1079" s="8" t="s">
        <v>6630</v>
      </c>
      <c r="N1079" t="s">
        <v>519</v>
      </c>
      <c r="O1079" t="s">
        <v>6569</v>
      </c>
      <c r="P1079" s="4">
        <v>2275</v>
      </c>
      <c r="Q1079">
        <f t="shared" si="274"/>
        <v>101.875</v>
      </c>
      <c r="R1079">
        <f t="shared" si="275"/>
        <v>1.6979166666666667</v>
      </c>
      <c r="S1079" s="2">
        <v>45734</v>
      </c>
      <c r="U1079">
        <v>40</v>
      </c>
      <c r="V1079" s="4">
        <v>91000</v>
      </c>
      <c r="W1079" t="s">
        <v>65</v>
      </c>
      <c r="X1079" t="s">
        <v>3958</v>
      </c>
      <c r="Y1079">
        <v>0</v>
      </c>
      <c r="Z1079" s="4">
        <v>91000</v>
      </c>
      <c r="AA1079">
        <v>0</v>
      </c>
      <c r="AB1079">
        <v>0</v>
      </c>
      <c r="AC1079">
        <v>0</v>
      </c>
      <c r="AD1079">
        <v>0</v>
      </c>
      <c r="AG1079">
        <v>0</v>
      </c>
      <c r="AP1079" t="s">
        <v>3959</v>
      </c>
      <c r="AQ1079" t="s">
        <v>1672</v>
      </c>
      <c r="AR1079" t="s">
        <v>6681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BC1079" t="s">
        <v>69</v>
      </c>
      <c r="BD1079" t="s">
        <v>3960</v>
      </c>
      <c r="BE1079">
        <v>0</v>
      </c>
      <c r="BG1079" t="s">
        <v>1672</v>
      </c>
      <c r="BJ1079" t="s">
        <v>1674</v>
      </c>
    </row>
    <row r="1080" spans="1:62" x14ac:dyDescent="0.35">
      <c r="A1080" t="s">
        <v>2649</v>
      </c>
      <c r="B1080">
        <v>10000</v>
      </c>
      <c r="C1080">
        <v>20000</v>
      </c>
      <c r="D1080" s="2">
        <v>45735</v>
      </c>
      <c r="E1080" t="s">
        <v>61</v>
      </c>
      <c r="F1080" s="3">
        <v>0.45159722222222221</v>
      </c>
      <c r="G1080" t="s">
        <v>2650</v>
      </c>
      <c r="I1080">
        <v>2</v>
      </c>
      <c r="J1080" t="s">
        <v>63</v>
      </c>
      <c r="K1080" s="8">
        <v>105</v>
      </c>
      <c r="L1080" s="8" t="s">
        <v>6612</v>
      </c>
      <c r="M1080" s="8" t="s">
        <v>6632</v>
      </c>
      <c r="N1080" t="s">
        <v>424</v>
      </c>
      <c r="O1080" t="s">
        <v>6570</v>
      </c>
      <c r="P1080" s="4">
        <v>2000</v>
      </c>
      <c r="S1080" s="2">
        <v>45734</v>
      </c>
      <c r="U1080">
        <v>1</v>
      </c>
      <c r="V1080" s="4">
        <v>2000</v>
      </c>
      <c r="W1080" t="s">
        <v>65</v>
      </c>
      <c r="X1080" t="s">
        <v>2651</v>
      </c>
      <c r="Y1080">
        <v>0</v>
      </c>
      <c r="Z1080" s="4">
        <v>2000</v>
      </c>
      <c r="AA1080">
        <v>0</v>
      </c>
      <c r="AB1080">
        <v>0</v>
      </c>
      <c r="AC1080">
        <v>0</v>
      </c>
      <c r="AD1080">
        <v>0</v>
      </c>
      <c r="AG1080">
        <v>0</v>
      </c>
      <c r="AP1080" t="s">
        <v>2652</v>
      </c>
      <c r="AQ1080" t="s">
        <v>2653</v>
      </c>
      <c r="AR1080" t="s">
        <v>6706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BC1080" t="s">
        <v>69</v>
      </c>
      <c r="BD1080" t="s">
        <v>2654</v>
      </c>
      <c r="BE1080">
        <v>0</v>
      </c>
      <c r="BG1080" t="s">
        <v>2653</v>
      </c>
      <c r="BJ1080" t="s">
        <v>2655</v>
      </c>
    </row>
    <row r="1081" spans="1:62" x14ac:dyDescent="0.35">
      <c r="A1081" t="s">
        <v>3961</v>
      </c>
      <c r="B1081">
        <v>10000</v>
      </c>
      <c r="C1081">
        <v>20000</v>
      </c>
      <c r="D1081" s="2">
        <v>45736</v>
      </c>
      <c r="E1081" t="s">
        <v>61</v>
      </c>
      <c r="F1081" s="3">
        <v>0.54109953703703706</v>
      </c>
      <c r="G1081">
        <v>8628207</v>
      </c>
      <c r="I1081">
        <v>1</v>
      </c>
      <c r="J1081" t="s">
        <v>63</v>
      </c>
      <c r="K1081" s="8">
        <v>63</v>
      </c>
      <c r="L1081" s="8" t="s">
        <v>6605</v>
      </c>
      <c r="M1081" s="8" t="s">
        <v>6630</v>
      </c>
      <c r="N1081" t="s">
        <v>519</v>
      </c>
      <c r="O1081" t="s">
        <v>6569</v>
      </c>
      <c r="P1081" s="4">
        <v>8572</v>
      </c>
      <c r="Q1081">
        <f t="shared" ref="Q1081:Q1082" si="276">(P1081/40)+45</f>
        <v>259.3</v>
      </c>
      <c r="R1081">
        <f t="shared" ref="R1081:R1082" si="277">Q1081/60</f>
        <v>4.3216666666666672</v>
      </c>
      <c r="S1081" s="2">
        <v>45734</v>
      </c>
      <c r="U1081">
        <v>14</v>
      </c>
      <c r="V1081" s="4">
        <v>120008</v>
      </c>
      <c r="W1081" t="s">
        <v>65</v>
      </c>
      <c r="X1081" t="s">
        <v>3962</v>
      </c>
      <c r="Y1081">
        <v>0</v>
      </c>
      <c r="Z1081" s="4">
        <v>120000</v>
      </c>
      <c r="AA1081">
        <v>8</v>
      </c>
      <c r="AB1081">
        <v>0</v>
      </c>
      <c r="AC1081">
        <v>0</v>
      </c>
      <c r="AD1081">
        <v>0</v>
      </c>
      <c r="AG1081">
        <v>0</v>
      </c>
      <c r="AP1081" t="s">
        <v>3963</v>
      </c>
      <c r="AQ1081" t="s">
        <v>157</v>
      </c>
      <c r="AR1081" t="s">
        <v>6640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BC1081" t="s">
        <v>69</v>
      </c>
      <c r="BD1081" t="s">
        <v>3964</v>
      </c>
      <c r="BE1081">
        <v>0</v>
      </c>
      <c r="BG1081" t="s">
        <v>157</v>
      </c>
      <c r="BJ1081" t="s">
        <v>3965</v>
      </c>
    </row>
    <row r="1082" spans="1:62" x14ac:dyDescent="0.35">
      <c r="A1082" t="s">
        <v>3966</v>
      </c>
      <c r="B1082">
        <v>10000</v>
      </c>
      <c r="C1082">
        <v>10000</v>
      </c>
      <c r="D1082" s="2">
        <v>45736</v>
      </c>
      <c r="E1082" t="s">
        <v>61</v>
      </c>
      <c r="F1082" t="s">
        <v>3967</v>
      </c>
      <c r="G1082" t="s">
        <v>3968</v>
      </c>
      <c r="I1082">
        <v>1</v>
      </c>
      <c r="J1082" t="s">
        <v>63</v>
      </c>
      <c r="K1082" s="8">
        <v>78</v>
      </c>
      <c r="L1082" s="8" t="s">
        <v>6593</v>
      </c>
      <c r="M1082" s="8" t="s">
        <v>6629</v>
      </c>
      <c r="N1082" t="s">
        <v>188</v>
      </c>
      <c r="O1082" t="s">
        <v>6410</v>
      </c>
      <c r="P1082" s="4">
        <v>1000</v>
      </c>
      <c r="Q1082">
        <f t="shared" si="276"/>
        <v>70</v>
      </c>
      <c r="R1082">
        <f t="shared" si="277"/>
        <v>1.1666666666666667</v>
      </c>
      <c r="S1082" s="2">
        <v>45734</v>
      </c>
      <c r="U1082">
        <v>2</v>
      </c>
      <c r="V1082" s="4">
        <v>2000</v>
      </c>
      <c r="W1082" t="s">
        <v>65</v>
      </c>
      <c r="X1082" t="s">
        <v>3969</v>
      </c>
      <c r="Y1082">
        <v>0</v>
      </c>
      <c r="Z1082">
        <v>400</v>
      </c>
      <c r="AA1082" s="4">
        <v>1600</v>
      </c>
      <c r="AB1082">
        <v>0</v>
      </c>
      <c r="AC1082">
        <v>0</v>
      </c>
      <c r="AD1082">
        <v>0</v>
      </c>
      <c r="AG1082">
        <v>0</v>
      </c>
      <c r="AP1082" t="s">
        <v>3970</v>
      </c>
      <c r="AQ1082" t="s">
        <v>508</v>
      </c>
      <c r="AR1082" t="s">
        <v>6657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BC1082" t="s">
        <v>69</v>
      </c>
      <c r="BD1082" t="s">
        <v>3971</v>
      </c>
      <c r="BE1082">
        <v>0</v>
      </c>
      <c r="BG1082" t="s">
        <v>508</v>
      </c>
      <c r="BJ1082" t="s">
        <v>2990</v>
      </c>
    </row>
    <row r="1083" spans="1:62" x14ac:dyDescent="0.35">
      <c r="A1083" t="s">
        <v>3972</v>
      </c>
      <c r="B1083">
        <v>10000</v>
      </c>
      <c r="C1083">
        <v>10000</v>
      </c>
      <c r="D1083" s="2">
        <v>45735</v>
      </c>
      <c r="E1083" t="s">
        <v>61</v>
      </c>
      <c r="F1083" t="s">
        <v>3973</v>
      </c>
      <c r="G1083" t="s">
        <v>3974</v>
      </c>
      <c r="I1083">
        <v>1</v>
      </c>
      <c r="J1083" t="s">
        <v>63</v>
      </c>
      <c r="K1083" s="8">
        <v>61</v>
      </c>
      <c r="L1083" s="8" t="s">
        <v>6594</v>
      </c>
      <c r="M1083" s="8" t="s">
        <v>6629</v>
      </c>
      <c r="N1083" t="s">
        <v>216</v>
      </c>
      <c r="O1083" t="s">
        <v>6394</v>
      </c>
      <c r="P1083" s="4">
        <v>1000</v>
      </c>
      <c r="Q1083">
        <f>(P1083/50)+45</f>
        <v>65</v>
      </c>
      <c r="R1083">
        <f>Q1083/60</f>
        <v>1.0833333333333333</v>
      </c>
      <c r="S1083" s="2">
        <v>45734</v>
      </c>
      <c r="U1083">
        <v>1</v>
      </c>
      <c r="V1083" s="4">
        <v>1000</v>
      </c>
      <c r="W1083" t="s">
        <v>65</v>
      </c>
      <c r="X1083" t="s">
        <v>3975</v>
      </c>
      <c r="Y1083">
        <v>0</v>
      </c>
      <c r="Z1083" s="4">
        <v>1000</v>
      </c>
      <c r="AA1083">
        <v>0</v>
      </c>
      <c r="AB1083">
        <v>0</v>
      </c>
      <c r="AC1083">
        <v>0</v>
      </c>
      <c r="AD1083">
        <v>0</v>
      </c>
      <c r="AG1083">
        <v>0</v>
      </c>
      <c r="AP1083" t="s">
        <v>3976</v>
      </c>
      <c r="AQ1083" t="s">
        <v>508</v>
      </c>
      <c r="AR1083" t="s">
        <v>6657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BC1083" t="s">
        <v>69</v>
      </c>
      <c r="BD1083" t="s">
        <v>3977</v>
      </c>
      <c r="BE1083">
        <v>0</v>
      </c>
      <c r="BG1083" t="s">
        <v>508</v>
      </c>
      <c r="BJ1083" t="s">
        <v>2990</v>
      </c>
    </row>
    <row r="1084" spans="1:62" x14ac:dyDescent="0.35">
      <c r="A1084" t="s">
        <v>3978</v>
      </c>
      <c r="B1084">
        <v>10000</v>
      </c>
      <c r="C1084">
        <v>10000</v>
      </c>
      <c r="D1084" s="2">
        <v>45735</v>
      </c>
      <c r="E1084" t="s">
        <v>95</v>
      </c>
      <c r="F1084" t="s">
        <v>3979</v>
      </c>
      <c r="G1084" t="s">
        <v>3980</v>
      </c>
      <c r="I1084">
        <v>1</v>
      </c>
      <c r="J1084" t="s">
        <v>63</v>
      </c>
      <c r="K1084" s="8">
        <v>46</v>
      </c>
      <c r="L1084" s="8" t="s">
        <v>6587</v>
      </c>
      <c r="M1084" s="8" t="s">
        <v>6629</v>
      </c>
      <c r="N1084" t="s">
        <v>113</v>
      </c>
      <c r="O1084" t="s">
        <v>6499</v>
      </c>
      <c r="P1084" s="4">
        <v>1000</v>
      </c>
      <c r="Q1084">
        <f t="shared" ref="Q1084:Q1085" si="278">(P1084/40)+45</f>
        <v>70</v>
      </c>
      <c r="R1084">
        <f t="shared" ref="R1084:R1085" si="279">Q1084/60</f>
        <v>1.1666666666666667</v>
      </c>
      <c r="S1084" s="2">
        <v>45734</v>
      </c>
      <c r="U1084">
        <v>1</v>
      </c>
      <c r="V1084" s="4">
        <v>1000</v>
      </c>
      <c r="W1084" t="s">
        <v>65</v>
      </c>
      <c r="X1084" t="s">
        <v>3981</v>
      </c>
      <c r="Y1084">
        <v>0</v>
      </c>
      <c r="Z1084" s="4">
        <v>1000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3982</v>
      </c>
      <c r="AQ1084" t="s">
        <v>116</v>
      </c>
      <c r="AR1084" t="s">
        <v>6639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BC1084" t="s">
        <v>69</v>
      </c>
      <c r="BD1084" t="s">
        <v>3983</v>
      </c>
      <c r="BE1084">
        <v>0</v>
      </c>
      <c r="BG1084" t="s">
        <v>116</v>
      </c>
      <c r="BJ1084" t="s">
        <v>3281</v>
      </c>
    </row>
    <row r="1085" spans="1:62" x14ac:dyDescent="0.35">
      <c r="A1085" t="s">
        <v>3984</v>
      </c>
      <c r="B1085">
        <v>10000</v>
      </c>
      <c r="C1085">
        <v>10000</v>
      </c>
      <c r="D1085" s="2">
        <v>45734</v>
      </c>
      <c r="E1085" t="s">
        <v>61</v>
      </c>
      <c r="F1085" t="s">
        <v>3985</v>
      </c>
      <c r="G1085" t="s">
        <v>3277</v>
      </c>
      <c r="I1085">
        <v>1</v>
      </c>
      <c r="J1085" t="s">
        <v>63</v>
      </c>
      <c r="K1085" s="8">
        <v>46</v>
      </c>
      <c r="L1085" s="8" t="s">
        <v>6587</v>
      </c>
      <c r="M1085" s="8" t="s">
        <v>6629</v>
      </c>
      <c r="N1085" t="s">
        <v>113</v>
      </c>
      <c r="O1085" t="s">
        <v>6499</v>
      </c>
      <c r="P1085" s="4">
        <v>2000</v>
      </c>
      <c r="Q1085">
        <f t="shared" si="278"/>
        <v>95</v>
      </c>
      <c r="R1085">
        <f t="shared" si="279"/>
        <v>1.5833333333333333</v>
      </c>
      <c r="S1085" s="2">
        <v>45734</v>
      </c>
      <c r="U1085">
        <v>1</v>
      </c>
      <c r="V1085" s="4">
        <v>2000</v>
      </c>
      <c r="W1085" t="s">
        <v>65</v>
      </c>
      <c r="X1085" t="s">
        <v>3986</v>
      </c>
      <c r="Y1085">
        <v>0</v>
      </c>
      <c r="Z1085" s="4">
        <v>2000</v>
      </c>
      <c r="AA1085">
        <v>0</v>
      </c>
      <c r="AB1085">
        <v>0</v>
      </c>
      <c r="AC1085">
        <v>0</v>
      </c>
      <c r="AD1085">
        <v>0</v>
      </c>
      <c r="AG1085">
        <v>0</v>
      </c>
      <c r="AP1085" t="s">
        <v>3987</v>
      </c>
      <c r="AQ1085" t="s">
        <v>116</v>
      </c>
      <c r="AR1085" t="s">
        <v>6639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BC1085" t="s">
        <v>69</v>
      </c>
      <c r="BD1085" t="s">
        <v>3988</v>
      </c>
      <c r="BE1085">
        <v>0</v>
      </c>
      <c r="BG1085" t="s">
        <v>116</v>
      </c>
      <c r="BJ1085" t="s">
        <v>3281</v>
      </c>
    </row>
    <row r="1086" spans="1:62" x14ac:dyDescent="0.35">
      <c r="A1086" t="s">
        <v>3989</v>
      </c>
      <c r="B1086">
        <v>10000</v>
      </c>
      <c r="C1086">
        <v>10000</v>
      </c>
      <c r="D1086" s="2">
        <v>45735</v>
      </c>
      <c r="E1086" t="s">
        <v>95</v>
      </c>
      <c r="F1086" t="s">
        <v>3943</v>
      </c>
      <c r="G1086" t="s">
        <v>3990</v>
      </c>
      <c r="I1086">
        <v>1</v>
      </c>
      <c r="J1086" t="s">
        <v>63</v>
      </c>
      <c r="K1086" s="8">
        <v>32</v>
      </c>
      <c r="L1086" s="8" t="s">
        <v>6607</v>
      </c>
      <c r="M1086" s="8" t="s">
        <v>6629</v>
      </c>
      <c r="N1086" t="s">
        <v>553</v>
      </c>
      <c r="O1086" t="s">
        <v>6552</v>
      </c>
      <c r="P1086" s="4">
        <v>5860</v>
      </c>
      <c r="S1086" s="2">
        <v>45734</v>
      </c>
      <c r="U1086">
        <v>1</v>
      </c>
      <c r="V1086" s="4">
        <v>5860</v>
      </c>
      <c r="W1086" t="s">
        <v>65</v>
      </c>
      <c r="X1086" t="s">
        <v>554</v>
      </c>
      <c r="Y1086">
        <v>0</v>
      </c>
      <c r="Z1086" s="4">
        <v>5360</v>
      </c>
      <c r="AA1086">
        <v>500</v>
      </c>
      <c r="AB1086">
        <v>0</v>
      </c>
      <c r="AC1086">
        <v>0</v>
      </c>
      <c r="AD1086">
        <v>0</v>
      </c>
      <c r="AG1086">
        <v>0</v>
      </c>
      <c r="AP1086" t="s">
        <v>555</v>
      </c>
      <c r="AQ1086" t="s">
        <v>116</v>
      </c>
      <c r="AR1086" t="s">
        <v>6639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BC1086" t="s">
        <v>69</v>
      </c>
      <c r="BD1086" t="s">
        <v>3991</v>
      </c>
      <c r="BE1086">
        <v>0</v>
      </c>
      <c r="BG1086" t="s">
        <v>116</v>
      </c>
      <c r="BJ1086" t="s">
        <v>2762</v>
      </c>
    </row>
    <row r="1087" spans="1:62" x14ac:dyDescent="0.35">
      <c r="A1087" t="s">
        <v>3992</v>
      </c>
      <c r="B1087">
        <v>10000</v>
      </c>
      <c r="C1087">
        <v>10000</v>
      </c>
      <c r="D1087" s="2">
        <v>45735</v>
      </c>
      <c r="E1087" t="s">
        <v>95</v>
      </c>
      <c r="F1087" t="s">
        <v>3943</v>
      </c>
      <c r="G1087" t="s">
        <v>3990</v>
      </c>
      <c r="I1087">
        <v>1</v>
      </c>
      <c r="J1087" t="s">
        <v>63</v>
      </c>
      <c r="K1087" s="8">
        <v>32</v>
      </c>
      <c r="L1087" s="8" t="s">
        <v>6607</v>
      </c>
      <c r="M1087" s="8" t="s">
        <v>6629</v>
      </c>
      <c r="N1087" t="s">
        <v>553</v>
      </c>
      <c r="O1087" t="s">
        <v>6552</v>
      </c>
      <c r="P1087" s="4">
        <v>5860</v>
      </c>
      <c r="S1087" s="2">
        <v>45734</v>
      </c>
      <c r="U1087">
        <v>1</v>
      </c>
      <c r="V1087" s="4">
        <v>5860</v>
      </c>
      <c r="W1087" t="s">
        <v>65</v>
      </c>
      <c r="X1087" t="s">
        <v>554</v>
      </c>
      <c r="Y1087">
        <v>0</v>
      </c>
      <c r="Z1087" s="4">
        <v>5360</v>
      </c>
      <c r="AA1087">
        <v>500</v>
      </c>
      <c r="AB1087">
        <v>0</v>
      </c>
      <c r="AC1087">
        <v>0</v>
      </c>
      <c r="AD1087">
        <v>0</v>
      </c>
      <c r="AG1087">
        <v>0</v>
      </c>
      <c r="AP1087" t="s">
        <v>555</v>
      </c>
      <c r="AQ1087" t="s">
        <v>116</v>
      </c>
      <c r="AR1087" t="s">
        <v>6639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BC1087" t="s">
        <v>69</v>
      </c>
      <c r="BD1087" t="s">
        <v>3993</v>
      </c>
      <c r="BE1087">
        <v>0</v>
      </c>
      <c r="BG1087" t="s">
        <v>116</v>
      </c>
      <c r="BJ1087" t="s">
        <v>3994</v>
      </c>
    </row>
    <row r="1088" spans="1:62" x14ac:dyDescent="0.35">
      <c r="A1088" t="s">
        <v>3995</v>
      </c>
      <c r="B1088">
        <v>10000</v>
      </c>
      <c r="C1088">
        <v>10000</v>
      </c>
      <c r="D1088" s="2">
        <v>45736</v>
      </c>
      <c r="E1088" t="s">
        <v>61</v>
      </c>
      <c r="F1088" t="s">
        <v>3996</v>
      </c>
      <c r="G1088" t="s">
        <v>3990</v>
      </c>
      <c r="I1088">
        <v>1</v>
      </c>
      <c r="J1088" t="s">
        <v>63</v>
      </c>
      <c r="K1088" s="8">
        <v>32</v>
      </c>
      <c r="L1088" s="8" t="s">
        <v>6607</v>
      </c>
      <c r="M1088" s="8" t="s">
        <v>6629</v>
      </c>
      <c r="N1088" t="s">
        <v>553</v>
      </c>
      <c r="O1088" t="s">
        <v>6552</v>
      </c>
      <c r="P1088" s="4">
        <v>5860</v>
      </c>
      <c r="S1088" s="2">
        <v>45734</v>
      </c>
      <c r="U1088">
        <v>1</v>
      </c>
      <c r="V1088" s="4">
        <v>5860</v>
      </c>
      <c r="W1088" t="s">
        <v>65</v>
      </c>
      <c r="X1088" t="s">
        <v>554</v>
      </c>
      <c r="Y1088">
        <v>0</v>
      </c>
      <c r="Z1088" s="4">
        <v>5360</v>
      </c>
      <c r="AA1088">
        <v>500</v>
      </c>
      <c r="AB1088">
        <v>0</v>
      </c>
      <c r="AC1088">
        <v>0</v>
      </c>
      <c r="AD1088">
        <v>0</v>
      </c>
      <c r="AG1088">
        <v>0</v>
      </c>
      <c r="AP1088" t="s">
        <v>555</v>
      </c>
      <c r="AQ1088" t="s">
        <v>116</v>
      </c>
      <c r="AR1088" t="s">
        <v>6639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BC1088" t="s">
        <v>69</v>
      </c>
      <c r="BD1088" t="s">
        <v>3997</v>
      </c>
      <c r="BE1088">
        <v>0</v>
      </c>
      <c r="BG1088" t="s">
        <v>116</v>
      </c>
      <c r="BJ1088" t="s">
        <v>3998</v>
      </c>
    </row>
    <row r="1089" spans="1:62" x14ac:dyDescent="0.35">
      <c r="A1089" t="s">
        <v>3999</v>
      </c>
      <c r="B1089">
        <v>10000</v>
      </c>
      <c r="C1089">
        <v>10000</v>
      </c>
      <c r="D1089" s="2">
        <v>45734</v>
      </c>
      <c r="E1089" t="s">
        <v>61</v>
      </c>
      <c r="F1089" t="s">
        <v>4000</v>
      </c>
      <c r="G1089" t="s">
        <v>2222</v>
      </c>
      <c r="I1089">
        <v>1</v>
      </c>
      <c r="J1089" t="s">
        <v>63</v>
      </c>
      <c r="K1089" s="8">
        <v>61</v>
      </c>
      <c r="L1089" s="8" t="s">
        <v>6594</v>
      </c>
      <c r="M1089" s="8" t="s">
        <v>6629</v>
      </c>
      <c r="N1089" t="s">
        <v>197</v>
      </c>
      <c r="O1089" t="s">
        <v>6565</v>
      </c>
      <c r="P1089" s="4">
        <v>3334</v>
      </c>
      <c r="Q1089">
        <f t="shared" ref="Q1089:Q1092" si="280">(P1089/50)+45</f>
        <v>111.68</v>
      </c>
      <c r="R1089">
        <f t="shared" ref="R1089:R1092" si="281">Q1089/60</f>
        <v>1.8613333333333335</v>
      </c>
      <c r="S1089" s="2">
        <v>45734</v>
      </c>
      <c r="U1089">
        <v>6</v>
      </c>
      <c r="V1089" s="4">
        <v>20004</v>
      </c>
      <c r="W1089" t="s">
        <v>65</v>
      </c>
      <c r="X1089" t="s">
        <v>2422</v>
      </c>
      <c r="Y1089">
        <v>0</v>
      </c>
      <c r="Z1089" s="4">
        <v>20000</v>
      </c>
      <c r="AA1089">
        <v>4</v>
      </c>
      <c r="AB1089">
        <v>0</v>
      </c>
      <c r="AC1089">
        <v>0</v>
      </c>
      <c r="AD1089">
        <v>0</v>
      </c>
      <c r="AG1089">
        <v>0</v>
      </c>
      <c r="AP1089" t="s">
        <v>2423</v>
      </c>
      <c r="AQ1089" t="s">
        <v>116</v>
      </c>
      <c r="AR1089" t="s">
        <v>6639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BC1089" t="s">
        <v>69</v>
      </c>
      <c r="BD1089" t="s">
        <v>4001</v>
      </c>
      <c r="BE1089">
        <v>0</v>
      </c>
      <c r="BG1089" t="s">
        <v>116</v>
      </c>
      <c r="BJ1089" t="s">
        <v>3813</v>
      </c>
    </row>
    <row r="1090" spans="1:62" x14ac:dyDescent="0.35">
      <c r="A1090" t="s">
        <v>4002</v>
      </c>
      <c r="B1090">
        <v>10000</v>
      </c>
      <c r="C1090">
        <v>10000</v>
      </c>
      <c r="D1090" s="2">
        <v>45735</v>
      </c>
      <c r="E1090" t="s">
        <v>95</v>
      </c>
      <c r="F1090" t="s">
        <v>2206</v>
      </c>
      <c r="G1090" t="s">
        <v>2412</v>
      </c>
      <c r="I1090">
        <v>1</v>
      </c>
      <c r="J1090" t="s">
        <v>63</v>
      </c>
      <c r="K1090" s="8">
        <v>12</v>
      </c>
      <c r="L1090" s="8" t="s">
        <v>6604</v>
      </c>
      <c r="M1090" s="8" t="s">
        <v>6629</v>
      </c>
      <c r="N1090" t="s">
        <v>478</v>
      </c>
      <c r="O1090" t="s">
        <v>6434</v>
      </c>
      <c r="P1090" s="4">
        <v>10000</v>
      </c>
      <c r="Q1090">
        <f t="shared" si="280"/>
        <v>245</v>
      </c>
      <c r="R1090">
        <f t="shared" si="281"/>
        <v>4.083333333333333</v>
      </c>
      <c r="S1090" s="2">
        <v>45734</v>
      </c>
      <c r="U1090">
        <v>2</v>
      </c>
      <c r="V1090" s="4">
        <v>20000</v>
      </c>
      <c r="W1090" t="s">
        <v>65</v>
      </c>
      <c r="X1090" t="s">
        <v>2232</v>
      </c>
      <c r="Y1090">
        <v>0</v>
      </c>
      <c r="Z1090" s="4">
        <v>20000</v>
      </c>
      <c r="AA1090">
        <v>0</v>
      </c>
      <c r="AB1090">
        <v>0</v>
      </c>
      <c r="AC1090">
        <v>0</v>
      </c>
      <c r="AD1090">
        <v>0</v>
      </c>
      <c r="AG1090">
        <v>0</v>
      </c>
      <c r="AP1090" t="s">
        <v>2233</v>
      </c>
      <c r="AQ1090" t="s">
        <v>116</v>
      </c>
      <c r="AR1090" t="s">
        <v>6639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BC1090" t="s">
        <v>69</v>
      </c>
      <c r="BD1090" t="s">
        <v>4003</v>
      </c>
      <c r="BE1090">
        <v>0</v>
      </c>
      <c r="BG1090" t="s">
        <v>116</v>
      </c>
      <c r="BJ1090" t="s">
        <v>3813</v>
      </c>
    </row>
    <row r="1091" spans="1:62" x14ac:dyDescent="0.35">
      <c r="A1091" t="s">
        <v>4004</v>
      </c>
      <c r="B1091">
        <v>10000</v>
      </c>
      <c r="C1091">
        <v>10000</v>
      </c>
      <c r="D1091" s="2">
        <v>45734</v>
      </c>
      <c r="E1091" t="s">
        <v>61</v>
      </c>
      <c r="F1091" t="s">
        <v>4005</v>
      </c>
      <c r="G1091" t="s">
        <v>2412</v>
      </c>
      <c r="I1091">
        <v>1</v>
      </c>
      <c r="J1091" t="s">
        <v>63</v>
      </c>
      <c r="K1091" s="8">
        <v>12</v>
      </c>
      <c r="L1091" s="8" t="s">
        <v>6604</v>
      </c>
      <c r="M1091" s="8" t="s">
        <v>6629</v>
      </c>
      <c r="N1091" t="s">
        <v>478</v>
      </c>
      <c r="O1091" t="s">
        <v>6434</v>
      </c>
      <c r="P1091" s="4">
        <v>6500</v>
      </c>
      <c r="Q1091">
        <f t="shared" si="280"/>
        <v>175</v>
      </c>
      <c r="R1091">
        <f t="shared" si="281"/>
        <v>2.9166666666666665</v>
      </c>
      <c r="S1091" s="2">
        <v>45734</v>
      </c>
      <c r="U1091">
        <v>2</v>
      </c>
      <c r="V1091" s="4">
        <v>13000</v>
      </c>
      <c r="W1091" t="s">
        <v>65</v>
      </c>
      <c r="X1091" t="s">
        <v>2118</v>
      </c>
      <c r="Y1091">
        <v>0</v>
      </c>
      <c r="Z1091" s="4">
        <v>13000</v>
      </c>
      <c r="AA1091">
        <v>0</v>
      </c>
      <c r="AB1091">
        <v>0</v>
      </c>
      <c r="AC1091">
        <v>0</v>
      </c>
      <c r="AD1091">
        <v>0</v>
      </c>
      <c r="AG1091">
        <v>0</v>
      </c>
      <c r="AP1091" t="s">
        <v>2119</v>
      </c>
      <c r="AQ1091" t="s">
        <v>116</v>
      </c>
      <c r="AR1091" t="s">
        <v>6639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C1091" t="s">
        <v>69</v>
      </c>
      <c r="BD1091" t="s">
        <v>4006</v>
      </c>
      <c r="BE1091">
        <v>0</v>
      </c>
      <c r="BG1091" t="s">
        <v>116</v>
      </c>
      <c r="BJ1091" t="s">
        <v>3073</v>
      </c>
    </row>
    <row r="1092" spans="1:62" x14ac:dyDescent="0.35">
      <c r="A1092" t="s">
        <v>4007</v>
      </c>
      <c r="B1092">
        <v>10000</v>
      </c>
      <c r="C1092">
        <v>10000</v>
      </c>
      <c r="D1092" s="2">
        <v>45735</v>
      </c>
      <c r="E1092" t="s">
        <v>61</v>
      </c>
      <c r="F1092" t="s">
        <v>4008</v>
      </c>
      <c r="G1092" t="s">
        <v>4009</v>
      </c>
      <c r="I1092">
        <v>1</v>
      </c>
      <c r="J1092" t="s">
        <v>63</v>
      </c>
      <c r="K1092" s="8">
        <v>61</v>
      </c>
      <c r="L1092" s="8" t="s">
        <v>6594</v>
      </c>
      <c r="M1092" s="8" t="s">
        <v>6629</v>
      </c>
      <c r="N1092" t="s">
        <v>197</v>
      </c>
      <c r="O1092" t="s">
        <v>6565</v>
      </c>
      <c r="P1092" s="4">
        <v>3000</v>
      </c>
      <c r="Q1092">
        <f t="shared" si="280"/>
        <v>105</v>
      </c>
      <c r="R1092">
        <f t="shared" si="281"/>
        <v>1.75</v>
      </c>
      <c r="S1092" s="2">
        <v>45734</v>
      </c>
      <c r="U1092">
        <v>6</v>
      </c>
      <c r="V1092" s="4">
        <v>18000</v>
      </c>
      <c r="W1092" t="s">
        <v>65</v>
      </c>
      <c r="X1092" t="s">
        <v>4010</v>
      </c>
      <c r="Y1092">
        <v>0</v>
      </c>
      <c r="Z1092" s="4">
        <v>18000</v>
      </c>
      <c r="AA1092">
        <v>0</v>
      </c>
      <c r="AB1092">
        <v>0</v>
      </c>
      <c r="AC1092">
        <v>0</v>
      </c>
      <c r="AD1092">
        <v>0</v>
      </c>
      <c r="AG1092">
        <v>0</v>
      </c>
      <c r="AP1092" t="s">
        <v>4011</v>
      </c>
      <c r="AQ1092" t="s">
        <v>116</v>
      </c>
      <c r="AR1092" t="s">
        <v>6639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BC1092" t="s">
        <v>69</v>
      </c>
      <c r="BD1092" t="s">
        <v>4012</v>
      </c>
      <c r="BE1092">
        <v>0</v>
      </c>
      <c r="BG1092" t="s">
        <v>116</v>
      </c>
      <c r="BJ1092" t="s">
        <v>3073</v>
      </c>
    </row>
    <row r="1093" spans="1:62" x14ac:dyDescent="0.35">
      <c r="A1093" t="s">
        <v>4013</v>
      </c>
      <c r="B1093">
        <v>10000</v>
      </c>
      <c r="C1093">
        <v>10000</v>
      </c>
      <c r="D1093" s="2">
        <v>45734</v>
      </c>
      <c r="E1093" t="s">
        <v>61</v>
      </c>
      <c r="F1093" t="s">
        <v>3842</v>
      </c>
      <c r="G1093" t="s">
        <v>2754</v>
      </c>
      <c r="I1093">
        <v>1</v>
      </c>
      <c r="J1093" t="s">
        <v>63</v>
      </c>
      <c r="K1093" s="8">
        <v>65</v>
      </c>
      <c r="L1093" s="8" t="s">
        <v>6596</v>
      </c>
      <c r="M1093" s="8" t="s">
        <v>6630</v>
      </c>
      <c r="N1093" t="s">
        <v>268</v>
      </c>
      <c r="O1093" t="s">
        <v>6543</v>
      </c>
      <c r="P1093" s="4">
        <v>1875</v>
      </c>
      <c r="Q1093">
        <f>(P1093/40)+45</f>
        <v>91.875</v>
      </c>
      <c r="R1093">
        <f>Q1093/60</f>
        <v>1.53125</v>
      </c>
      <c r="S1093" s="2">
        <v>45734</v>
      </c>
      <c r="U1093">
        <v>32</v>
      </c>
      <c r="V1093" s="4">
        <v>60000</v>
      </c>
      <c r="W1093" t="s">
        <v>65</v>
      </c>
      <c r="X1093" t="s">
        <v>4014</v>
      </c>
      <c r="Y1093">
        <v>0</v>
      </c>
      <c r="Z1093" s="4">
        <v>60000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4015</v>
      </c>
      <c r="AQ1093" t="s">
        <v>206</v>
      </c>
      <c r="AR1093" t="s">
        <v>6645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BC1093" t="s">
        <v>69</v>
      </c>
      <c r="BD1093" t="s">
        <v>4016</v>
      </c>
      <c r="BE1093">
        <v>0</v>
      </c>
      <c r="BG1093" t="s">
        <v>206</v>
      </c>
      <c r="BJ1093" t="s">
        <v>4017</v>
      </c>
    </row>
    <row r="1094" spans="1:62" x14ac:dyDescent="0.35">
      <c r="A1094" t="s">
        <v>4018</v>
      </c>
      <c r="B1094">
        <v>10000</v>
      </c>
      <c r="C1094">
        <v>10000</v>
      </c>
      <c r="D1094" s="2">
        <v>45735</v>
      </c>
      <c r="E1094" t="s">
        <v>61</v>
      </c>
      <c r="F1094" t="s">
        <v>4019</v>
      </c>
      <c r="G1094" t="s">
        <v>4020</v>
      </c>
      <c r="I1094">
        <v>1</v>
      </c>
      <c r="J1094" t="s">
        <v>63</v>
      </c>
      <c r="K1094" s="8">
        <v>22</v>
      </c>
      <c r="L1094" s="8" t="s">
        <v>6603</v>
      </c>
      <c r="M1094" s="8" t="s">
        <v>6629</v>
      </c>
      <c r="N1094" t="s">
        <v>466</v>
      </c>
      <c r="O1094" t="s">
        <v>6474</v>
      </c>
      <c r="P1094" s="4">
        <v>15000</v>
      </c>
      <c r="Q1094">
        <f t="shared" ref="Q1094:Q1095" si="282">(P1094/50)+45</f>
        <v>345</v>
      </c>
      <c r="R1094">
        <f t="shared" ref="R1094:R1095" si="283">Q1094/60</f>
        <v>5.75</v>
      </c>
      <c r="S1094" s="2">
        <v>45734</v>
      </c>
      <c r="U1094">
        <v>2</v>
      </c>
      <c r="V1094" s="4">
        <v>30000</v>
      </c>
      <c r="W1094" t="s">
        <v>65</v>
      </c>
      <c r="X1094" t="s">
        <v>2902</v>
      </c>
      <c r="Y1094">
        <v>0</v>
      </c>
      <c r="Z1094" s="4">
        <v>30000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2903</v>
      </c>
      <c r="AQ1094" t="s">
        <v>116</v>
      </c>
      <c r="AR1094" t="s">
        <v>6639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BC1094" t="s">
        <v>69</v>
      </c>
      <c r="BD1094" t="s">
        <v>4021</v>
      </c>
      <c r="BE1094">
        <v>0</v>
      </c>
      <c r="BG1094" t="s">
        <v>116</v>
      </c>
      <c r="BJ1094" t="s">
        <v>3327</v>
      </c>
    </row>
    <row r="1095" spans="1:62" x14ac:dyDescent="0.35">
      <c r="A1095" t="s">
        <v>4022</v>
      </c>
      <c r="B1095">
        <v>10000</v>
      </c>
      <c r="C1095">
        <v>10000</v>
      </c>
      <c r="D1095" s="2">
        <v>45735</v>
      </c>
      <c r="E1095" t="s">
        <v>61</v>
      </c>
      <c r="F1095" t="s">
        <v>4008</v>
      </c>
      <c r="G1095" t="s">
        <v>2412</v>
      </c>
      <c r="I1095">
        <v>1</v>
      </c>
      <c r="J1095" t="s">
        <v>63</v>
      </c>
      <c r="K1095" s="8">
        <v>61</v>
      </c>
      <c r="L1095" s="8" t="s">
        <v>6594</v>
      </c>
      <c r="M1095" s="8" t="s">
        <v>6629</v>
      </c>
      <c r="N1095" t="s">
        <v>197</v>
      </c>
      <c r="O1095" t="s">
        <v>6565</v>
      </c>
      <c r="P1095" s="4">
        <v>2667</v>
      </c>
      <c r="Q1095">
        <f t="shared" si="282"/>
        <v>98.34</v>
      </c>
      <c r="R1095">
        <f t="shared" si="283"/>
        <v>1.639</v>
      </c>
      <c r="S1095" s="2">
        <v>45734</v>
      </c>
      <c r="U1095">
        <v>6</v>
      </c>
      <c r="V1095" s="4">
        <v>16002</v>
      </c>
      <c r="W1095" t="s">
        <v>65</v>
      </c>
      <c r="X1095" t="s">
        <v>4010</v>
      </c>
      <c r="Y1095">
        <v>0</v>
      </c>
      <c r="Z1095" s="4">
        <v>16000</v>
      </c>
      <c r="AA1095">
        <v>2</v>
      </c>
      <c r="AB1095">
        <v>0</v>
      </c>
      <c r="AC1095">
        <v>0</v>
      </c>
      <c r="AD1095">
        <v>0</v>
      </c>
      <c r="AG1095">
        <v>0</v>
      </c>
      <c r="AP1095" t="s">
        <v>4011</v>
      </c>
      <c r="AQ1095" t="s">
        <v>116</v>
      </c>
      <c r="AR1095" t="s">
        <v>6639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BC1095" t="s">
        <v>69</v>
      </c>
      <c r="BD1095" t="s">
        <v>4023</v>
      </c>
      <c r="BE1095">
        <v>0</v>
      </c>
      <c r="BG1095" t="s">
        <v>116</v>
      </c>
      <c r="BJ1095" t="s">
        <v>3532</v>
      </c>
    </row>
    <row r="1096" spans="1:62" x14ac:dyDescent="0.35">
      <c r="A1096" t="s">
        <v>4024</v>
      </c>
      <c r="B1096">
        <v>10000</v>
      </c>
      <c r="C1096">
        <v>10000</v>
      </c>
      <c r="D1096" s="2">
        <v>45735</v>
      </c>
      <c r="E1096" t="s">
        <v>61</v>
      </c>
      <c r="F1096" t="s">
        <v>4025</v>
      </c>
      <c r="G1096" t="s">
        <v>4026</v>
      </c>
      <c r="I1096">
        <v>1</v>
      </c>
      <c r="J1096" t="s">
        <v>63</v>
      </c>
      <c r="K1096" s="8">
        <v>31</v>
      </c>
      <c r="L1096" s="8" t="s">
        <v>6595</v>
      </c>
      <c r="M1096" s="8" t="s">
        <v>6629</v>
      </c>
      <c r="N1096" t="s">
        <v>1311</v>
      </c>
      <c r="O1096" t="s">
        <v>6491</v>
      </c>
      <c r="P1096" s="4">
        <v>2000</v>
      </c>
      <c r="Q1096">
        <f>(P1096/40)+45</f>
        <v>95</v>
      </c>
      <c r="R1096">
        <f>Q1096/60</f>
        <v>1.5833333333333333</v>
      </c>
      <c r="S1096" s="2">
        <v>45734</v>
      </c>
      <c r="U1096">
        <v>20</v>
      </c>
      <c r="V1096" s="4">
        <v>40000</v>
      </c>
      <c r="W1096" t="s">
        <v>65</v>
      </c>
      <c r="X1096" t="s">
        <v>4027</v>
      </c>
      <c r="Y1096">
        <v>0</v>
      </c>
      <c r="Z1096" s="4">
        <v>40000</v>
      </c>
      <c r="AA1096">
        <v>0</v>
      </c>
      <c r="AB1096">
        <v>0</v>
      </c>
      <c r="AC1096">
        <v>0</v>
      </c>
      <c r="AD1096">
        <v>0</v>
      </c>
      <c r="AG1096">
        <v>0</v>
      </c>
      <c r="AP1096" t="s">
        <v>4028</v>
      </c>
      <c r="AQ1096" t="s">
        <v>4029</v>
      </c>
      <c r="AR1096" t="s">
        <v>6730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C1096" t="s">
        <v>69</v>
      </c>
      <c r="BD1096" t="s">
        <v>4030</v>
      </c>
      <c r="BE1096">
        <v>0</v>
      </c>
      <c r="BG1096" t="s">
        <v>4029</v>
      </c>
      <c r="BJ1096" t="s">
        <v>4031</v>
      </c>
    </row>
    <row r="1097" spans="1:62" x14ac:dyDescent="0.35">
      <c r="A1097" t="s">
        <v>3573</v>
      </c>
      <c r="B1097">
        <v>10000</v>
      </c>
      <c r="C1097">
        <v>20000</v>
      </c>
      <c r="D1097" s="2">
        <v>45734</v>
      </c>
      <c r="E1097" t="s">
        <v>61</v>
      </c>
      <c r="F1097" t="s">
        <v>3574</v>
      </c>
      <c r="G1097" t="s">
        <v>134</v>
      </c>
      <c r="I1097">
        <v>2</v>
      </c>
      <c r="J1097" t="s">
        <v>63</v>
      </c>
      <c r="K1097" s="8">
        <v>71</v>
      </c>
      <c r="L1097" s="8" t="s">
        <v>6588</v>
      </c>
      <c r="M1097" s="8" t="s">
        <v>6630</v>
      </c>
      <c r="N1097" t="s">
        <v>135</v>
      </c>
      <c r="O1097" t="s">
        <v>6573</v>
      </c>
      <c r="P1097">
        <v>834</v>
      </c>
      <c r="S1097" s="2">
        <v>45734</v>
      </c>
      <c r="U1097">
        <v>6</v>
      </c>
      <c r="V1097" s="4">
        <v>5004</v>
      </c>
      <c r="W1097" t="s">
        <v>65</v>
      </c>
      <c r="X1097">
        <v>83614970001</v>
      </c>
      <c r="Y1097">
        <v>0</v>
      </c>
      <c r="Z1097" s="4">
        <v>5000</v>
      </c>
      <c r="AA1097">
        <v>4</v>
      </c>
      <c r="AB1097">
        <v>0</v>
      </c>
      <c r="AC1097">
        <v>0</v>
      </c>
      <c r="AD1097">
        <v>0</v>
      </c>
      <c r="AG1097">
        <v>0</v>
      </c>
      <c r="AP1097">
        <v>8361497</v>
      </c>
      <c r="AQ1097" t="s">
        <v>91</v>
      </c>
      <c r="AR1097" t="s">
        <v>6637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BC1097" t="s">
        <v>69</v>
      </c>
      <c r="BD1097" t="s">
        <v>3575</v>
      </c>
      <c r="BE1097">
        <v>0</v>
      </c>
      <c r="BG1097" t="s">
        <v>91</v>
      </c>
      <c r="BJ1097" t="s">
        <v>3576</v>
      </c>
    </row>
    <row r="1098" spans="1:62" x14ac:dyDescent="0.35">
      <c r="A1098" t="s">
        <v>4032</v>
      </c>
      <c r="B1098">
        <v>10000</v>
      </c>
      <c r="C1098">
        <v>10000</v>
      </c>
      <c r="D1098" s="2">
        <v>45734</v>
      </c>
      <c r="E1098" t="s">
        <v>61</v>
      </c>
      <c r="F1098" t="s">
        <v>4033</v>
      </c>
      <c r="G1098" t="s">
        <v>134</v>
      </c>
      <c r="I1098">
        <v>1</v>
      </c>
      <c r="J1098" t="s">
        <v>63</v>
      </c>
      <c r="K1098" s="8">
        <v>72</v>
      </c>
      <c r="L1098" s="8" t="s">
        <v>6606</v>
      </c>
      <c r="M1098" s="8" t="s">
        <v>6631</v>
      </c>
      <c r="N1098" t="s">
        <v>163</v>
      </c>
      <c r="O1098" t="s">
        <v>6548</v>
      </c>
      <c r="P1098" s="4">
        <v>7250</v>
      </c>
      <c r="S1098" s="2">
        <v>45734</v>
      </c>
      <c r="U1098">
        <v>4</v>
      </c>
      <c r="V1098" s="4">
        <v>29000</v>
      </c>
      <c r="W1098" t="s">
        <v>65</v>
      </c>
      <c r="X1098">
        <v>83615010001</v>
      </c>
      <c r="Y1098">
        <v>0</v>
      </c>
      <c r="Z1098" s="4">
        <v>25000</v>
      </c>
      <c r="AA1098" s="4">
        <v>4000</v>
      </c>
      <c r="AB1098">
        <v>0</v>
      </c>
      <c r="AC1098">
        <v>0</v>
      </c>
      <c r="AD1098">
        <v>0</v>
      </c>
      <c r="AG1098">
        <v>0</v>
      </c>
      <c r="AP1098">
        <v>8361501</v>
      </c>
      <c r="AQ1098" t="s">
        <v>91</v>
      </c>
      <c r="AR1098" t="s">
        <v>6637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BC1098" t="s">
        <v>69</v>
      </c>
      <c r="BD1098" t="s">
        <v>4034</v>
      </c>
      <c r="BE1098">
        <v>0</v>
      </c>
      <c r="BG1098" t="s">
        <v>91</v>
      </c>
      <c r="BJ1098" t="s">
        <v>3576</v>
      </c>
    </row>
    <row r="1099" spans="1:62" x14ac:dyDescent="0.35">
      <c r="A1099" t="s">
        <v>4032</v>
      </c>
      <c r="B1099">
        <v>10000</v>
      </c>
      <c r="C1099">
        <v>20000</v>
      </c>
      <c r="D1099" s="2">
        <v>45734</v>
      </c>
      <c r="E1099" t="s">
        <v>61</v>
      </c>
      <c r="F1099" t="s">
        <v>4033</v>
      </c>
      <c r="G1099" t="s">
        <v>134</v>
      </c>
      <c r="I1099">
        <v>2</v>
      </c>
      <c r="J1099" t="s">
        <v>63</v>
      </c>
      <c r="K1099" s="8">
        <v>71</v>
      </c>
      <c r="L1099" s="8" t="s">
        <v>6588</v>
      </c>
      <c r="M1099" s="8" t="s">
        <v>6630</v>
      </c>
      <c r="N1099" t="s">
        <v>135</v>
      </c>
      <c r="O1099" t="s">
        <v>6573</v>
      </c>
      <c r="P1099" s="4">
        <v>4167</v>
      </c>
      <c r="S1099" s="2">
        <v>45734</v>
      </c>
      <c r="U1099">
        <v>6</v>
      </c>
      <c r="V1099" s="4">
        <v>25002</v>
      </c>
      <c r="W1099" t="s">
        <v>65</v>
      </c>
      <c r="X1099">
        <v>83615010001</v>
      </c>
      <c r="Y1099">
        <v>0</v>
      </c>
      <c r="Z1099" s="4">
        <v>25000</v>
      </c>
      <c r="AA1099">
        <v>2</v>
      </c>
      <c r="AB1099">
        <v>0</v>
      </c>
      <c r="AC1099">
        <v>0</v>
      </c>
      <c r="AD1099">
        <v>0</v>
      </c>
      <c r="AG1099">
        <v>0</v>
      </c>
      <c r="AP1099">
        <v>8361501</v>
      </c>
      <c r="AQ1099" t="s">
        <v>91</v>
      </c>
      <c r="AR1099" t="s">
        <v>6637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BC1099" t="s">
        <v>69</v>
      </c>
      <c r="BD1099" t="s">
        <v>4034</v>
      </c>
      <c r="BE1099">
        <v>0</v>
      </c>
      <c r="BG1099" t="s">
        <v>91</v>
      </c>
      <c r="BJ1099" t="s">
        <v>3576</v>
      </c>
    </row>
    <row r="1100" spans="1:62" x14ac:dyDescent="0.35">
      <c r="A1100" t="s">
        <v>3577</v>
      </c>
      <c r="B1100">
        <v>10000</v>
      </c>
      <c r="C1100">
        <v>20000</v>
      </c>
      <c r="D1100" s="2">
        <v>45734</v>
      </c>
      <c r="E1100" t="s">
        <v>61</v>
      </c>
      <c r="F1100" t="s">
        <v>3578</v>
      </c>
      <c r="G1100" t="s">
        <v>134</v>
      </c>
      <c r="I1100">
        <v>2</v>
      </c>
      <c r="J1100" t="s">
        <v>63</v>
      </c>
      <c r="K1100" s="8">
        <v>71</v>
      </c>
      <c r="L1100" s="8" t="s">
        <v>6588</v>
      </c>
      <c r="M1100" s="8" t="s">
        <v>6630</v>
      </c>
      <c r="N1100" t="s">
        <v>135</v>
      </c>
      <c r="O1100" t="s">
        <v>6573</v>
      </c>
      <c r="P1100">
        <v>834</v>
      </c>
      <c r="S1100" s="2">
        <v>45734</v>
      </c>
      <c r="U1100">
        <v>6</v>
      </c>
      <c r="V1100" s="4">
        <v>5004</v>
      </c>
      <c r="W1100" t="s">
        <v>65</v>
      </c>
      <c r="X1100">
        <v>83615030001</v>
      </c>
      <c r="Y1100">
        <v>0</v>
      </c>
      <c r="Z1100" s="4">
        <v>5000</v>
      </c>
      <c r="AA1100">
        <v>4</v>
      </c>
      <c r="AB1100">
        <v>0</v>
      </c>
      <c r="AC1100">
        <v>0</v>
      </c>
      <c r="AD1100">
        <v>0</v>
      </c>
      <c r="AG1100">
        <v>0</v>
      </c>
      <c r="AP1100">
        <v>8361503</v>
      </c>
      <c r="AQ1100" t="s">
        <v>91</v>
      </c>
      <c r="AR1100" t="s">
        <v>6637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BC1100" t="s">
        <v>69</v>
      </c>
      <c r="BD1100" t="s">
        <v>3579</v>
      </c>
      <c r="BE1100">
        <v>0</v>
      </c>
      <c r="BG1100" t="s">
        <v>91</v>
      </c>
      <c r="BJ1100" t="s">
        <v>3576</v>
      </c>
    </row>
    <row r="1101" spans="1:62" x14ac:dyDescent="0.35">
      <c r="A1101" t="s">
        <v>3580</v>
      </c>
      <c r="B1101">
        <v>10000</v>
      </c>
      <c r="C1101">
        <v>20000</v>
      </c>
      <c r="D1101" s="2">
        <v>45734</v>
      </c>
      <c r="E1101" t="s">
        <v>61</v>
      </c>
      <c r="F1101" t="s">
        <v>3581</v>
      </c>
      <c r="G1101" t="s">
        <v>134</v>
      </c>
      <c r="I1101">
        <v>2</v>
      </c>
      <c r="J1101" t="s">
        <v>63</v>
      </c>
      <c r="K1101" s="8">
        <v>71</v>
      </c>
      <c r="L1101" s="8" t="s">
        <v>6588</v>
      </c>
      <c r="M1101" s="8" t="s">
        <v>6630</v>
      </c>
      <c r="N1101" t="s">
        <v>135</v>
      </c>
      <c r="O1101" t="s">
        <v>6573</v>
      </c>
      <c r="P1101">
        <v>834</v>
      </c>
      <c r="S1101" s="2">
        <v>45734</v>
      </c>
      <c r="U1101">
        <v>6</v>
      </c>
      <c r="V1101" s="4">
        <v>5004</v>
      </c>
      <c r="W1101" t="s">
        <v>65</v>
      </c>
      <c r="X1101">
        <v>83615120001</v>
      </c>
      <c r="Y1101">
        <v>0</v>
      </c>
      <c r="Z1101" s="4">
        <v>5000</v>
      </c>
      <c r="AA1101">
        <v>4</v>
      </c>
      <c r="AB1101">
        <v>0</v>
      </c>
      <c r="AC1101">
        <v>0</v>
      </c>
      <c r="AD1101">
        <v>0</v>
      </c>
      <c r="AG1101">
        <v>0</v>
      </c>
      <c r="AP1101">
        <v>8361512</v>
      </c>
      <c r="AQ1101" t="s">
        <v>91</v>
      </c>
      <c r="AR1101" t="s">
        <v>6637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BC1101" t="s">
        <v>69</v>
      </c>
      <c r="BD1101" t="s">
        <v>3582</v>
      </c>
      <c r="BE1101">
        <v>0</v>
      </c>
      <c r="BG1101" t="s">
        <v>91</v>
      </c>
      <c r="BJ1101" t="s">
        <v>3576</v>
      </c>
    </row>
    <row r="1102" spans="1:62" x14ac:dyDescent="0.35">
      <c r="A1102" t="s">
        <v>3583</v>
      </c>
      <c r="B1102">
        <v>10000</v>
      </c>
      <c r="C1102">
        <v>20000</v>
      </c>
      <c r="D1102" s="2">
        <v>45734</v>
      </c>
      <c r="E1102" t="s">
        <v>61</v>
      </c>
      <c r="F1102" t="s">
        <v>3584</v>
      </c>
      <c r="G1102" t="s">
        <v>134</v>
      </c>
      <c r="I1102">
        <v>2</v>
      </c>
      <c r="J1102" t="s">
        <v>63</v>
      </c>
      <c r="K1102" s="8">
        <v>71</v>
      </c>
      <c r="L1102" s="8" t="s">
        <v>6588</v>
      </c>
      <c r="M1102" s="8" t="s">
        <v>6630</v>
      </c>
      <c r="N1102" t="s">
        <v>135</v>
      </c>
      <c r="O1102" t="s">
        <v>6573</v>
      </c>
      <c r="P1102">
        <v>834</v>
      </c>
      <c r="S1102" s="2">
        <v>45734</v>
      </c>
      <c r="U1102">
        <v>6</v>
      </c>
      <c r="V1102" s="4">
        <v>5004</v>
      </c>
      <c r="W1102" t="s">
        <v>65</v>
      </c>
      <c r="X1102">
        <v>5000514780001</v>
      </c>
      <c r="Y1102">
        <v>0</v>
      </c>
      <c r="Z1102" s="4">
        <v>5000</v>
      </c>
      <c r="AA1102">
        <v>4</v>
      </c>
      <c r="AB1102">
        <v>0</v>
      </c>
      <c r="AC1102">
        <v>0</v>
      </c>
      <c r="AD1102">
        <v>0</v>
      </c>
      <c r="AG1102">
        <v>0</v>
      </c>
      <c r="AP1102">
        <v>500051478</v>
      </c>
      <c r="AQ1102" t="s">
        <v>91</v>
      </c>
      <c r="AR1102" t="s">
        <v>6637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BC1102" t="s">
        <v>69</v>
      </c>
      <c r="BD1102" t="s">
        <v>3585</v>
      </c>
      <c r="BE1102">
        <v>0</v>
      </c>
      <c r="BG1102" t="s">
        <v>91</v>
      </c>
      <c r="BJ1102" t="s">
        <v>3576</v>
      </c>
    </row>
    <row r="1103" spans="1:62" x14ac:dyDescent="0.35">
      <c r="A1103" t="s">
        <v>3586</v>
      </c>
      <c r="B1103">
        <v>10000</v>
      </c>
      <c r="C1103">
        <v>20000</v>
      </c>
      <c r="D1103" s="2">
        <v>45734</v>
      </c>
      <c r="E1103" t="s">
        <v>61</v>
      </c>
      <c r="F1103" t="s">
        <v>3587</v>
      </c>
      <c r="G1103" t="s">
        <v>134</v>
      </c>
      <c r="I1103">
        <v>2</v>
      </c>
      <c r="J1103" t="s">
        <v>63</v>
      </c>
      <c r="K1103" s="8">
        <v>71</v>
      </c>
      <c r="L1103" s="8" t="s">
        <v>6588</v>
      </c>
      <c r="M1103" s="8" t="s">
        <v>6630</v>
      </c>
      <c r="N1103" t="s">
        <v>135</v>
      </c>
      <c r="O1103" t="s">
        <v>6573</v>
      </c>
      <c r="P1103" s="4">
        <v>1667</v>
      </c>
      <c r="S1103" s="2">
        <v>45734</v>
      </c>
      <c r="U1103">
        <v>6</v>
      </c>
      <c r="V1103" s="4">
        <v>10002</v>
      </c>
      <c r="W1103" t="s">
        <v>65</v>
      </c>
      <c r="X1103">
        <v>83615120001</v>
      </c>
      <c r="Y1103">
        <v>0</v>
      </c>
      <c r="Z1103" s="4">
        <v>10000</v>
      </c>
      <c r="AA1103">
        <v>2</v>
      </c>
      <c r="AB1103">
        <v>0</v>
      </c>
      <c r="AC1103">
        <v>0</v>
      </c>
      <c r="AD1103">
        <v>0</v>
      </c>
      <c r="AG1103">
        <v>0</v>
      </c>
      <c r="AP1103">
        <v>8361512</v>
      </c>
      <c r="AQ1103" t="s">
        <v>91</v>
      </c>
      <c r="AR1103" t="s">
        <v>6637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BC1103" t="s">
        <v>69</v>
      </c>
      <c r="BD1103" t="s">
        <v>3588</v>
      </c>
      <c r="BE1103">
        <v>0</v>
      </c>
      <c r="BG1103" t="s">
        <v>91</v>
      </c>
      <c r="BJ1103" t="s">
        <v>3589</v>
      </c>
    </row>
    <row r="1104" spans="1:62" x14ac:dyDescent="0.35">
      <c r="A1104" t="s">
        <v>4035</v>
      </c>
      <c r="B1104">
        <v>10000</v>
      </c>
      <c r="C1104">
        <v>10000</v>
      </c>
      <c r="D1104" s="2">
        <v>45740</v>
      </c>
      <c r="E1104" t="s">
        <v>61</v>
      </c>
      <c r="F1104" t="s">
        <v>4036</v>
      </c>
      <c r="G1104" t="s">
        <v>4037</v>
      </c>
      <c r="I1104">
        <v>1</v>
      </c>
      <c r="J1104" t="s">
        <v>63</v>
      </c>
      <c r="K1104" s="8">
        <v>79</v>
      </c>
      <c r="L1104" s="8" t="s">
        <v>6608</v>
      </c>
      <c r="M1104" s="8" t="s">
        <v>6631</v>
      </c>
      <c r="N1104" t="s">
        <v>573</v>
      </c>
      <c r="O1104" t="s">
        <v>6547</v>
      </c>
      <c r="P1104">
        <v>100</v>
      </c>
      <c r="Q1104">
        <f t="shared" ref="Q1104:Q1105" si="284">(P1104/20)+30</f>
        <v>35</v>
      </c>
      <c r="R1104">
        <f t="shared" ref="R1104:R1105" si="285">Q1104/60</f>
        <v>0.58333333333333337</v>
      </c>
      <c r="S1104" s="2">
        <v>45734</v>
      </c>
      <c r="U1104">
        <v>60</v>
      </c>
      <c r="V1104" s="4">
        <v>6000</v>
      </c>
      <c r="W1104" t="s">
        <v>65</v>
      </c>
      <c r="X1104" t="s">
        <v>4038</v>
      </c>
      <c r="Y1104">
        <v>0</v>
      </c>
      <c r="Z1104" s="4">
        <v>8000</v>
      </c>
      <c r="AA1104" s="4">
        <v>-2000</v>
      </c>
      <c r="AB1104">
        <v>0</v>
      </c>
      <c r="AC1104">
        <v>0</v>
      </c>
      <c r="AD1104">
        <v>0</v>
      </c>
      <c r="AG1104">
        <v>0</v>
      </c>
      <c r="AP1104" t="s">
        <v>4039</v>
      </c>
      <c r="AQ1104" t="s">
        <v>4040</v>
      </c>
      <c r="AR1104" t="s">
        <v>6731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BC1104" t="s">
        <v>69</v>
      </c>
      <c r="BD1104" t="s">
        <v>4041</v>
      </c>
      <c r="BE1104">
        <v>0</v>
      </c>
      <c r="BG1104" t="s">
        <v>4040</v>
      </c>
      <c r="BJ1104" t="s">
        <v>4042</v>
      </c>
    </row>
    <row r="1105" spans="1:62" x14ac:dyDescent="0.35">
      <c r="A1105" t="s">
        <v>4043</v>
      </c>
      <c r="B1105">
        <v>10000</v>
      </c>
      <c r="C1105">
        <v>10000</v>
      </c>
      <c r="D1105" s="2">
        <v>45740</v>
      </c>
      <c r="E1105" t="s">
        <v>61</v>
      </c>
      <c r="F1105" t="s">
        <v>4044</v>
      </c>
      <c r="G1105" t="s">
        <v>4037</v>
      </c>
      <c r="I1105">
        <v>1</v>
      </c>
      <c r="J1105" t="s">
        <v>63</v>
      </c>
      <c r="K1105" s="8">
        <v>79</v>
      </c>
      <c r="L1105" s="8" t="s">
        <v>6608</v>
      </c>
      <c r="M1105" s="8" t="s">
        <v>6631</v>
      </c>
      <c r="N1105" t="s">
        <v>573</v>
      </c>
      <c r="O1105" t="s">
        <v>6547</v>
      </c>
      <c r="P1105">
        <v>100</v>
      </c>
      <c r="Q1105">
        <f t="shared" si="284"/>
        <v>35</v>
      </c>
      <c r="R1105">
        <f t="shared" si="285"/>
        <v>0.58333333333333337</v>
      </c>
      <c r="S1105" s="2">
        <v>45734</v>
      </c>
      <c r="U1105">
        <v>60</v>
      </c>
      <c r="V1105" s="4">
        <v>6000</v>
      </c>
      <c r="W1105" t="s">
        <v>65</v>
      </c>
      <c r="X1105" t="s">
        <v>4045</v>
      </c>
      <c r="Y1105">
        <v>0</v>
      </c>
      <c r="Z1105" s="4">
        <v>8000</v>
      </c>
      <c r="AA1105" s="4">
        <v>-2000</v>
      </c>
      <c r="AB1105">
        <v>0</v>
      </c>
      <c r="AC1105">
        <v>0</v>
      </c>
      <c r="AD1105">
        <v>0</v>
      </c>
      <c r="AG1105">
        <v>0</v>
      </c>
      <c r="AP1105" t="s">
        <v>4046</v>
      </c>
      <c r="AQ1105" t="s">
        <v>4040</v>
      </c>
      <c r="AR1105" t="s">
        <v>6731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BC1105" t="s">
        <v>69</v>
      </c>
      <c r="BD1105" t="s">
        <v>4047</v>
      </c>
      <c r="BE1105">
        <v>0</v>
      </c>
      <c r="BG1105" t="s">
        <v>4040</v>
      </c>
      <c r="BJ1105" t="s">
        <v>4042</v>
      </c>
    </row>
    <row r="1106" spans="1:62" x14ac:dyDescent="0.35">
      <c r="A1106" t="s">
        <v>3590</v>
      </c>
      <c r="B1106">
        <v>10000</v>
      </c>
      <c r="C1106">
        <v>20000</v>
      </c>
      <c r="D1106" s="2">
        <v>45735</v>
      </c>
      <c r="E1106" t="s">
        <v>61</v>
      </c>
      <c r="F1106" t="s">
        <v>3591</v>
      </c>
      <c r="G1106" t="s">
        <v>134</v>
      </c>
      <c r="I1106">
        <v>2</v>
      </c>
      <c r="J1106" t="s">
        <v>63</v>
      </c>
      <c r="K1106" s="8">
        <v>71</v>
      </c>
      <c r="L1106" s="8" t="s">
        <v>6588</v>
      </c>
      <c r="M1106" s="8" t="s">
        <v>6630</v>
      </c>
      <c r="N1106" t="s">
        <v>135</v>
      </c>
      <c r="O1106" t="s">
        <v>6573</v>
      </c>
      <c r="P1106">
        <v>834</v>
      </c>
      <c r="S1106" s="2">
        <v>45734</v>
      </c>
      <c r="U1106">
        <v>6</v>
      </c>
      <c r="V1106" s="4">
        <v>5004</v>
      </c>
      <c r="W1106" t="s">
        <v>65</v>
      </c>
      <c r="X1106">
        <v>5000514710001</v>
      </c>
      <c r="Y1106">
        <v>0</v>
      </c>
      <c r="Z1106" s="4">
        <v>5000</v>
      </c>
      <c r="AA1106">
        <v>4</v>
      </c>
      <c r="AB1106">
        <v>0</v>
      </c>
      <c r="AC1106">
        <v>0</v>
      </c>
      <c r="AD1106">
        <v>0</v>
      </c>
      <c r="AG1106">
        <v>0</v>
      </c>
      <c r="AP1106">
        <v>500051471</v>
      </c>
      <c r="AQ1106" t="s">
        <v>91</v>
      </c>
      <c r="AR1106" t="s">
        <v>6637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BC1106" t="s">
        <v>69</v>
      </c>
      <c r="BD1106" t="s">
        <v>3592</v>
      </c>
      <c r="BE1106">
        <v>0</v>
      </c>
      <c r="BG1106" t="s">
        <v>91</v>
      </c>
      <c r="BJ1106" t="s">
        <v>3593</v>
      </c>
    </row>
    <row r="1107" spans="1:62" x14ac:dyDescent="0.35">
      <c r="A1107" t="s">
        <v>4048</v>
      </c>
      <c r="B1107">
        <v>10000</v>
      </c>
      <c r="C1107">
        <v>10000</v>
      </c>
      <c r="D1107" s="2">
        <v>45740</v>
      </c>
      <c r="E1107" t="s">
        <v>61</v>
      </c>
      <c r="F1107" t="s">
        <v>4049</v>
      </c>
      <c r="G1107" t="s">
        <v>4037</v>
      </c>
      <c r="I1107">
        <v>1</v>
      </c>
      <c r="J1107" t="s">
        <v>63</v>
      </c>
      <c r="K1107" s="8">
        <v>79</v>
      </c>
      <c r="L1107" s="8" t="s">
        <v>6608</v>
      </c>
      <c r="M1107" s="8" t="s">
        <v>6631</v>
      </c>
      <c r="N1107" t="s">
        <v>573</v>
      </c>
      <c r="O1107" t="s">
        <v>6547</v>
      </c>
      <c r="P1107">
        <v>200</v>
      </c>
      <c r="Q1107">
        <f t="shared" ref="Q1107:Q1108" si="286">(P1107/20)+30</f>
        <v>40</v>
      </c>
      <c r="R1107">
        <f t="shared" ref="R1107:R1108" si="287">Q1107/60</f>
        <v>0.66666666666666663</v>
      </c>
      <c r="S1107" s="2">
        <v>45734</v>
      </c>
      <c r="U1107">
        <v>18</v>
      </c>
      <c r="V1107" s="4">
        <v>3600</v>
      </c>
      <c r="W1107" t="s">
        <v>65</v>
      </c>
      <c r="X1107" t="s">
        <v>4050</v>
      </c>
      <c r="Y1107">
        <v>0</v>
      </c>
      <c r="Z1107" s="4">
        <v>2000</v>
      </c>
      <c r="AA1107" s="4">
        <v>1600</v>
      </c>
      <c r="AB1107">
        <v>0</v>
      </c>
      <c r="AC1107">
        <v>0</v>
      </c>
      <c r="AD1107">
        <v>0</v>
      </c>
      <c r="AG1107">
        <v>0</v>
      </c>
      <c r="AP1107" t="s">
        <v>4051</v>
      </c>
      <c r="AQ1107" t="s">
        <v>4052</v>
      </c>
      <c r="AR1107" t="s">
        <v>6732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BC1107" t="s">
        <v>69</v>
      </c>
      <c r="BD1107" t="s">
        <v>4053</v>
      </c>
      <c r="BE1107">
        <v>0</v>
      </c>
      <c r="BG1107" t="s">
        <v>4052</v>
      </c>
      <c r="BJ1107" t="s">
        <v>4054</v>
      </c>
    </row>
    <row r="1108" spans="1:62" x14ac:dyDescent="0.35">
      <c r="A1108" t="s">
        <v>4055</v>
      </c>
      <c r="B1108">
        <v>10000</v>
      </c>
      <c r="C1108">
        <v>10000</v>
      </c>
      <c r="D1108" s="2">
        <v>45740</v>
      </c>
      <c r="E1108" t="s">
        <v>61</v>
      </c>
      <c r="F1108" t="s">
        <v>4056</v>
      </c>
      <c r="G1108" t="s">
        <v>4037</v>
      </c>
      <c r="I1108">
        <v>1</v>
      </c>
      <c r="J1108" t="s">
        <v>63</v>
      </c>
      <c r="K1108" s="8">
        <v>79</v>
      </c>
      <c r="L1108" s="8" t="s">
        <v>6608</v>
      </c>
      <c r="M1108" s="8" t="s">
        <v>6631</v>
      </c>
      <c r="N1108" t="s">
        <v>573</v>
      </c>
      <c r="O1108" t="s">
        <v>6547</v>
      </c>
      <c r="P1108">
        <v>200</v>
      </c>
      <c r="Q1108">
        <f t="shared" si="286"/>
        <v>40</v>
      </c>
      <c r="R1108">
        <f t="shared" si="287"/>
        <v>0.66666666666666663</v>
      </c>
      <c r="S1108" s="2">
        <v>45734</v>
      </c>
      <c r="U1108">
        <v>18</v>
      </c>
      <c r="V1108" s="4">
        <v>3600</v>
      </c>
      <c r="W1108" t="s">
        <v>65</v>
      </c>
      <c r="X1108" t="s">
        <v>4057</v>
      </c>
      <c r="Y1108">
        <v>0</v>
      </c>
      <c r="Z1108" s="4">
        <v>2000</v>
      </c>
      <c r="AA1108" s="4">
        <v>1600</v>
      </c>
      <c r="AB1108">
        <v>0</v>
      </c>
      <c r="AC1108">
        <v>0</v>
      </c>
      <c r="AD1108">
        <v>0</v>
      </c>
      <c r="AG1108">
        <v>0</v>
      </c>
      <c r="AP1108" t="s">
        <v>4058</v>
      </c>
      <c r="AQ1108" t="s">
        <v>4052</v>
      </c>
      <c r="AR1108" t="s">
        <v>6732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BC1108" t="s">
        <v>69</v>
      </c>
      <c r="BD1108" t="s">
        <v>4059</v>
      </c>
      <c r="BE1108">
        <v>0</v>
      </c>
      <c r="BG1108" t="s">
        <v>4052</v>
      </c>
      <c r="BJ1108" t="s">
        <v>4054</v>
      </c>
    </row>
    <row r="1109" spans="1:62" x14ac:dyDescent="0.35">
      <c r="A1109" t="s">
        <v>3857</v>
      </c>
      <c r="B1109">
        <v>10000</v>
      </c>
      <c r="C1109">
        <v>20000</v>
      </c>
      <c r="D1109" s="2">
        <v>45734</v>
      </c>
      <c r="E1109" t="s">
        <v>61</v>
      </c>
      <c r="F1109" t="s">
        <v>4005</v>
      </c>
      <c r="G1109" t="s">
        <v>4060</v>
      </c>
      <c r="I1109">
        <v>1</v>
      </c>
      <c r="J1109" t="s">
        <v>63</v>
      </c>
      <c r="K1109" s="8">
        <v>94</v>
      </c>
      <c r="L1109" s="8" t="s">
        <v>6599</v>
      </c>
      <c r="M1109" s="8" t="s">
        <v>6629</v>
      </c>
      <c r="N1109" t="s">
        <v>181</v>
      </c>
      <c r="O1109" t="s">
        <v>6544</v>
      </c>
      <c r="P1109">
        <v>250</v>
      </c>
      <c r="S1109" s="2">
        <v>45734</v>
      </c>
      <c r="U1109">
        <v>4</v>
      </c>
      <c r="V1109" s="4">
        <v>1000</v>
      </c>
      <c r="W1109" t="s">
        <v>65</v>
      </c>
      <c r="X1109" t="s">
        <v>3859</v>
      </c>
      <c r="Y1109">
        <v>0</v>
      </c>
      <c r="Z1109">
        <v>500</v>
      </c>
      <c r="AA1109">
        <v>500</v>
      </c>
      <c r="AB1109">
        <v>0</v>
      </c>
      <c r="AC1109">
        <v>0</v>
      </c>
      <c r="AD1109">
        <v>0</v>
      </c>
      <c r="AG1109">
        <v>0</v>
      </c>
      <c r="AP1109" t="s">
        <v>3860</v>
      </c>
      <c r="AQ1109" t="s">
        <v>3615</v>
      </c>
      <c r="AR1109" t="s">
        <v>6724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BC1109" t="s">
        <v>69</v>
      </c>
      <c r="BD1109" t="s">
        <v>3861</v>
      </c>
      <c r="BE1109">
        <v>0</v>
      </c>
      <c r="BG1109" t="s">
        <v>3615</v>
      </c>
      <c r="BJ1109" t="s">
        <v>3617</v>
      </c>
    </row>
    <row r="1110" spans="1:62" x14ac:dyDescent="0.35">
      <c r="A1110" t="s">
        <v>4061</v>
      </c>
      <c r="B1110">
        <v>10000</v>
      </c>
      <c r="C1110">
        <v>10000</v>
      </c>
      <c r="D1110" s="2">
        <v>45734</v>
      </c>
      <c r="E1110" t="s">
        <v>61</v>
      </c>
      <c r="F1110" t="s">
        <v>4062</v>
      </c>
      <c r="G1110" t="s">
        <v>134</v>
      </c>
      <c r="I1110">
        <v>1</v>
      </c>
      <c r="J1110" t="s">
        <v>63</v>
      </c>
      <c r="K1110" s="8">
        <v>72</v>
      </c>
      <c r="L1110" s="8" t="s">
        <v>6606</v>
      </c>
      <c r="M1110" s="8" t="s">
        <v>6631</v>
      </c>
      <c r="N1110" t="s">
        <v>163</v>
      </c>
      <c r="O1110" t="s">
        <v>6548</v>
      </c>
      <c r="P1110" s="4">
        <v>1750</v>
      </c>
      <c r="S1110" s="2">
        <v>45734</v>
      </c>
      <c r="U1110">
        <v>4</v>
      </c>
      <c r="V1110" s="4">
        <v>7000</v>
      </c>
      <c r="W1110" t="s">
        <v>65</v>
      </c>
      <c r="X1110">
        <v>5000582250001</v>
      </c>
      <c r="Y1110">
        <v>0</v>
      </c>
      <c r="Z1110" s="4">
        <v>5000</v>
      </c>
      <c r="AA1110" s="4">
        <v>2000</v>
      </c>
      <c r="AB1110">
        <v>0</v>
      </c>
      <c r="AC1110">
        <v>0</v>
      </c>
      <c r="AD1110">
        <v>0</v>
      </c>
      <c r="AG1110">
        <v>0</v>
      </c>
      <c r="AP1110">
        <v>500058225</v>
      </c>
      <c r="AQ1110" t="s">
        <v>91</v>
      </c>
      <c r="AR1110" t="s">
        <v>6637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BC1110" t="s">
        <v>69</v>
      </c>
      <c r="BD1110" t="s">
        <v>4063</v>
      </c>
      <c r="BE1110">
        <v>0</v>
      </c>
      <c r="BG1110" t="s">
        <v>91</v>
      </c>
      <c r="BJ1110" t="s">
        <v>4064</v>
      </c>
    </row>
    <row r="1111" spans="1:62" x14ac:dyDescent="0.35">
      <c r="A1111" t="s">
        <v>4061</v>
      </c>
      <c r="B1111">
        <v>10000</v>
      </c>
      <c r="C1111">
        <v>20000</v>
      </c>
      <c r="D1111" s="2">
        <v>45734</v>
      </c>
      <c r="E1111" t="s">
        <v>61</v>
      </c>
      <c r="F1111" t="s">
        <v>4062</v>
      </c>
      <c r="G1111" t="s">
        <v>134</v>
      </c>
      <c r="I1111">
        <v>2</v>
      </c>
      <c r="J1111" t="s">
        <v>63</v>
      </c>
      <c r="K1111" s="8">
        <v>71</v>
      </c>
      <c r="L1111" s="8" t="s">
        <v>6588</v>
      </c>
      <c r="M1111" s="8" t="s">
        <v>6630</v>
      </c>
      <c r="N1111" t="s">
        <v>135</v>
      </c>
      <c r="O1111" t="s">
        <v>6573</v>
      </c>
      <c r="P1111">
        <v>834</v>
      </c>
      <c r="S1111" s="2">
        <v>45734</v>
      </c>
      <c r="U1111">
        <v>6</v>
      </c>
      <c r="V1111" s="4">
        <v>5004</v>
      </c>
      <c r="W1111" t="s">
        <v>65</v>
      </c>
      <c r="X1111">
        <v>5000582250001</v>
      </c>
      <c r="Y1111">
        <v>0</v>
      </c>
      <c r="Z1111" s="4">
        <v>5000</v>
      </c>
      <c r="AA1111">
        <v>4</v>
      </c>
      <c r="AB1111">
        <v>0</v>
      </c>
      <c r="AC1111">
        <v>0</v>
      </c>
      <c r="AD1111">
        <v>0</v>
      </c>
      <c r="AG1111">
        <v>0</v>
      </c>
      <c r="AP1111">
        <v>500058225</v>
      </c>
      <c r="AQ1111" t="s">
        <v>91</v>
      </c>
      <c r="AR1111" t="s">
        <v>6637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BC1111" t="s">
        <v>69</v>
      </c>
      <c r="BD1111" t="s">
        <v>4063</v>
      </c>
      <c r="BE1111">
        <v>0</v>
      </c>
      <c r="BG1111" t="s">
        <v>91</v>
      </c>
      <c r="BJ1111" t="s">
        <v>4064</v>
      </c>
    </row>
    <row r="1112" spans="1:62" x14ac:dyDescent="0.35">
      <c r="A1112" t="s">
        <v>4065</v>
      </c>
      <c r="B1112">
        <v>10000</v>
      </c>
      <c r="C1112">
        <v>10000</v>
      </c>
      <c r="D1112" s="2">
        <v>45735</v>
      </c>
      <c r="E1112" t="s">
        <v>61</v>
      </c>
      <c r="F1112" t="s">
        <v>1938</v>
      </c>
      <c r="G1112" t="s">
        <v>134</v>
      </c>
      <c r="I1112">
        <v>1</v>
      </c>
      <c r="J1112" t="s">
        <v>63</v>
      </c>
      <c r="K1112" s="8">
        <v>72</v>
      </c>
      <c r="L1112" s="8" t="s">
        <v>6606</v>
      </c>
      <c r="M1112" s="8" t="s">
        <v>6631</v>
      </c>
      <c r="N1112" t="s">
        <v>163</v>
      </c>
      <c r="O1112" t="s">
        <v>6548</v>
      </c>
      <c r="P1112" s="4">
        <v>1125</v>
      </c>
      <c r="S1112" s="2">
        <v>45734</v>
      </c>
      <c r="U1112">
        <v>4</v>
      </c>
      <c r="V1112" s="4">
        <v>4500</v>
      </c>
      <c r="W1112" t="s">
        <v>65</v>
      </c>
      <c r="X1112">
        <v>5000596180001</v>
      </c>
      <c r="Y1112">
        <v>0</v>
      </c>
      <c r="Z1112" s="4">
        <v>2500</v>
      </c>
      <c r="AA1112" s="4">
        <v>2000</v>
      </c>
      <c r="AB1112">
        <v>0</v>
      </c>
      <c r="AC1112">
        <v>0</v>
      </c>
      <c r="AD1112">
        <v>0</v>
      </c>
      <c r="AG1112">
        <v>0</v>
      </c>
      <c r="AP1112">
        <v>500059618</v>
      </c>
      <c r="AQ1112" t="s">
        <v>91</v>
      </c>
      <c r="AR1112" t="s">
        <v>6637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BC1112" t="s">
        <v>69</v>
      </c>
      <c r="BD1112" t="s">
        <v>4066</v>
      </c>
      <c r="BE1112">
        <v>0</v>
      </c>
      <c r="BG1112" t="s">
        <v>91</v>
      </c>
      <c r="BJ1112" t="s">
        <v>4067</v>
      </c>
    </row>
    <row r="1113" spans="1:62" x14ac:dyDescent="0.35">
      <c r="A1113" t="s">
        <v>4065</v>
      </c>
      <c r="B1113">
        <v>10000</v>
      </c>
      <c r="C1113">
        <v>20000</v>
      </c>
      <c r="D1113" s="2">
        <v>45735</v>
      </c>
      <c r="E1113" t="s">
        <v>61</v>
      </c>
      <c r="F1113" t="s">
        <v>1938</v>
      </c>
      <c r="G1113" t="s">
        <v>134</v>
      </c>
      <c r="I1113">
        <v>2</v>
      </c>
      <c r="J1113" t="s">
        <v>63</v>
      </c>
      <c r="K1113" s="8">
        <v>71</v>
      </c>
      <c r="L1113" s="8" t="s">
        <v>6588</v>
      </c>
      <c r="M1113" s="8" t="s">
        <v>6630</v>
      </c>
      <c r="N1113" t="s">
        <v>135</v>
      </c>
      <c r="O1113" t="s">
        <v>6573</v>
      </c>
      <c r="P1113">
        <v>834</v>
      </c>
      <c r="S1113" s="2">
        <v>45734</v>
      </c>
      <c r="U1113">
        <v>6</v>
      </c>
      <c r="V1113" s="4">
        <v>5004</v>
      </c>
      <c r="W1113" t="s">
        <v>65</v>
      </c>
      <c r="X1113">
        <v>5000596180001</v>
      </c>
      <c r="Y1113">
        <v>0</v>
      </c>
      <c r="Z1113" s="4">
        <v>2500</v>
      </c>
      <c r="AA1113" s="4">
        <v>2504</v>
      </c>
      <c r="AB1113">
        <v>0</v>
      </c>
      <c r="AC1113">
        <v>0</v>
      </c>
      <c r="AD1113">
        <v>0</v>
      </c>
      <c r="AG1113">
        <v>0</v>
      </c>
      <c r="AP1113">
        <v>500059618</v>
      </c>
      <c r="AQ1113" t="s">
        <v>91</v>
      </c>
      <c r="AR1113" t="s">
        <v>6637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BC1113" t="s">
        <v>69</v>
      </c>
      <c r="BD1113" t="s">
        <v>4066</v>
      </c>
      <c r="BE1113">
        <v>0</v>
      </c>
      <c r="BG1113" t="s">
        <v>91</v>
      </c>
      <c r="BJ1113" t="s">
        <v>4067</v>
      </c>
    </row>
    <row r="1114" spans="1:62" x14ac:dyDescent="0.35">
      <c r="A1114" t="s">
        <v>4065</v>
      </c>
      <c r="B1114">
        <v>20000</v>
      </c>
      <c r="C1114">
        <v>10000</v>
      </c>
      <c r="D1114" s="2">
        <v>45735</v>
      </c>
      <c r="E1114" t="s">
        <v>61</v>
      </c>
      <c r="F1114" t="s">
        <v>1938</v>
      </c>
      <c r="G1114" t="s">
        <v>134</v>
      </c>
      <c r="I1114">
        <v>1</v>
      </c>
      <c r="J1114" t="s">
        <v>63</v>
      </c>
      <c r="K1114" s="8">
        <v>72</v>
      </c>
      <c r="L1114" s="8" t="s">
        <v>6606</v>
      </c>
      <c r="M1114" s="8" t="s">
        <v>6631</v>
      </c>
      <c r="N1114" t="s">
        <v>163</v>
      </c>
      <c r="O1114" t="s">
        <v>6548</v>
      </c>
      <c r="P1114">
        <v>625</v>
      </c>
      <c r="S1114" s="2">
        <v>45734</v>
      </c>
      <c r="U1114">
        <v>4</v>
      </c>
      <c r="V1114" s="4">
        <v>2500</v>
      </c>
      <c r="W1114" t="s">
        <v>65</v>
      </c>
      <c r="X1114">
        <v>5000596180001</v>
      </c>
      <c r="Y1114">
        <v>0</v>
      </c>
      <c r="Z1114" s="4">
        <v>2500</v>
      </c>
      <c r="AA1114">
        <v>0</v>
      </c>
      <c r="AB1114">
        <v>0</v>
      </c>
      <c r="AC1114">
        <v>0</v>
      </c>
      <c r="AD1114">
        <v>0</v>
      </c>
      <c r="AG1114">
        <v>0</v>
      </c>
      <c r="AP1114">
        <v>500059618</v>
      </c>
      <c r="AQ1114" t="s">
        <v>91</v>
      </c>
      <c r="AR1114" t="s">
        <v>6637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BC1114" t="s">
        <v>69</v>
      </c>
      <c r="BD1114" t="s">
        <v>4066</v>
      </c>
      <c r="BE1114">
        <v>0</v>
      </c>
      <c r="BG1114" t="s">
        <v>91</v>
      </c>
      <c r="BJ1114" t="s">
        <v>4067</v>
      </c>
    </row>
    <row r="1115" spans="1:62" x14ac:dyDescent="0.35">
      <c r="A1115" t="s">
        <v>4068</v>
      </c>
      <c r="B1115">
        <v>10000</v>
      </c>
      <c r="C1115">
        <v>10000</v>
      </c>
      <c r="D1115" s="2">
        <v>45744</v>
      </c>
      <c r="E1115" t="s">
        <v>61</v>
      </c>
      <c r="F1115" s="3">
        <v>0.52878472222222217</v>
      </c>
      <c r="G1115" t="s">
        <v>4069</v>
      </c>
      <c r="I1115">
        <v>1</v>
      </c>
      <c r="J1115" t="s">
        <v>63</v>
      </c>
      <c r="K1115" s="8">
        <v>79</v>
      </c>
      <c r="L1115" s="8" t="s">
        <v>6608</v>
      </c>
      <c r="M1115" s="8" t="s">
        <v>6631</v>
      </c>
      <c r="N1115" t="s">
        <v>573</v>
      </c>
      <c r="O1115" t="s">
        <v>6547</v>
      </c>
      <c r="P1115">
        <v>834</v>
      </c>
      <c r="Q1115">
        <f>(P1115/20)+30</f>
        <v>71.7</v>
      </c>
      <c r="R1115">
        <f>Q1115/60</f>
        <v>1.1950000000000001</v>
      </c>
      <c r="S1115" s="2">
        <v>45734</v>
      </c>
      <c r="U1115">
        <v>12</v>
      </c>
      <c r="V1115" s="4">
        <v>10008</v>
      </c>
      <c r="W1115" t="s">
        <v>65</v>
      </c>
      <c r="X1115" t="s">
        <v>4070</v>
      </c>
      <c r="Y1115">
        <v>0</v>
      </c>
      <c r="Z1115" s="4">
        <v>5000</v>
      </c>
      <c r="AA1115" s="4">
        <v>5008</v>
      </c>
      <c r="AB1115">
        <v>0</v>
      </c>
      <c r="AC1115">
        <v>0</v>
      </c>
      <c r="AD1115">
        <v>0</v>
      </c>
      <c r="AG1115">
        <v>0</v>
      </c>
      <c r="AP1115" t="s">
        <v>4071</v>
      </c>
      <c r="AQ1115" t="s">
        <v>4072</v>
      </c>
      <c r="AR1115" t="s">
        <v>6733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BC1115" t="s">
        <v>69</v>
      </c>
      <c r="BD1115" t="s">
        <v>4073</v>
      </c>
      <c r="BE1115">
        <v>0</v>
      </c>
      <c r="BG1115" t="s">
        <v>4072</v>
      </c>
      <c r="BJ1115" t="s">
        <v>4074</v>
      </c>
    </row>
    <row r="1116" spans="1:62" x14ac:dyDescent="0.35">
      <c r="A1116" t="s">
        <v>4075</v>
      </c>
      <c r="B1116">
        <v>10000</v>
      </c>
      <c r="C1116">
        <v>10000</v>
      </c>
      <c r="D1116" s="2">
        <v>45734</v>
      </c>
      <c r="E1116" t="s">
        <v>61</v>
      </c>
      <c r="F1116" t="s">
        <v>4076</v>
      </c>
      <c r="G1116" t="s">
        <v>4077</v>
      </c>
      <c r="I1116">
        <v>1</v>
      </c>
      <c r="J1116" t="s">
        <v>63</v>
      </c>
      <c r="K1116" s="8">
        <v>65</v>
      </c>
      <c r="L1116" s="8" t="s">
        <v>6596</v>
      </c>
      <c r="M1116" s="8" t="s">
        <v>6630</v>
      </c>
      <c r="N1116" t="s">
        <v>268</v>
      </c>
      <c r="O1116" t="s">
        <v>6543</v>
      </c>
      <c r="P1116" s="4">
        <v>1000</v>
      </c>
      <c r="Q1116">
        <f>(P1116/40)+45</f>
        <v>70</v>
      </c>
      <c r="R1116">
        <f>Q1116/60</f>
        <v>1.1666666666666667</v>
      </c>
      <c r="S1116" s="2">
        <v>45734</v>
      </c>
      <c r="U1116">
        <v>30</v>
      </c>
      <c r="V1116" s="4">
        <v>30000</v>
      </c>
      <c r="W1116" t="s">
        <v>65</v>
      </c>
      <c r="X1116" t="s">
        <v>4078</v>
      </c>
      <c r="Y1116">
        <v>0</v>
      </c>
      <c r="Z1116" s="4">
        <v>30000</v>
      </c>
      <c r="AA1116">
        <v>0</v>
      </c>
      <c r="AB1116">
        <v>0</v>
      </c>
      <c r="AC1116">
        <v>0</v>
      </c>
      <c r="AD1116">
        <v>0</v>
      </c>
      <c r="AG1116">
        <v>0</v>
      </c>
      <c r="AP1116" t="s">
        <v>4079</v>
      </c>
      <c r="AQ1116" t="s">
        <v>4029</v>
      </c>
      <c r="AR1116" t="s">
        <v>6730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BC1116" t="s">
        <v>69</v>
      </c>
      <c r="BD1116" t="s">
        <v>4080</v>
      </c>
      <c r="BE1116">
        <v>0</v>
      </c>
      <c r="BG1116" t="s">
        <v>4029</v>
      </c>
      <c r="BJ1116" t="s">
        <v>4081</v>
      </c>
    </row>
    <row r="1117" spans="1:62" x14ac:dyDescent="0.35">
      <c r="A1117" t="s">
        <v>4082</v>
      </c>
      <c r="B1117">
        <v>10000</v>
      </c>
      <c r="C1117">
        <v>10000</v>
      </c>
      <c r="D1117" s="2">
        <v>45735</v>
      </c>
      <c r="E1117" t="s">
        <v>61</v>
      </c>
      <c r="F1117" t="s">
        <v>4083</v>
      </c>
      <c r="G1117" t="s">
        <v>4084</v>
      </c>
      <c r="I1117">
        <v>1</v>
      </c>
      <c r="J1117" t="s">
        <v>63</v>
      </c>
      <c r="K1117" s="8">
        <v>88</v>
      </c>
      <c r="L1117" s="8" t="s">
        <v>6610</v>
      </c>
      <c r="M1117" s="8" t="s">
        <v>6631</v>
      </c>
      <c r="N1117" t="s">
        <v>630</v>
      </c>
      <c r="O1117" t="s">
        <v>6571</v>
      </c>
      <c r="P1117">
        <v>200</v>
      </c>
      <c r="S1117" s="2">
        <v>45734</v>
      </c>
      <c r="U1117">
        <v>1</v>
      </c>
      <c r="V1117">
        <v>200</v>
      </c>
      <c r="W1117" t="s">
        <v>65</v>
      </c>
      <c r="X1117">
        <v>107259550001</v>
      </c>
      <c r="Y1117">
        <v>0</v>
      </c>
      <c r="Z1117">
        <v>200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>
        <v>10725955</v>
      </c>
      <c r="AQ1117" t="s">
        <v>487</v>
      </c>
      <c r="AR1117" t="s">
        <v>6656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BC1117" t="s">
        <v>69</v>
      </c>
      <c r="BD1117" t="s">
        <v>4085</v>
      </c>
      <c r="BE1117">
        <v>0</v>
      </c>
      <c r="BG1117" t="s">
        <v>487</v>
      </c>
      <c r="BJ1117" t="s">
        <v>4086</v>
      </c>
    </row>
    <row r="1118" spans="1:62" x14ac:dyDescent="0.35">
      <c r="A1118" t="s">
        <v>4082</v>
      </c>
      <c r="B1118">
        <v>10000</v>
      </c>
      <c r="C1118">
        <v>20000</v>
      </c>
      <c r="D1118" s="2">
        <v>45735</v>
      </c>
      <c r="E1118" t="s">
        <v>61</v>
      </c>
      <c r="F1118" t="s">
        <v>4083</v>
      </c>
      <c r="G1118" t="s">
        <v>4084</v>
      </c>
      <c r="I1118">
        <v>2</v>
      </c>
      <c r="J1118" t="s">
        <v>63</v>
      </c>
      <c r="K1118" s="8">
        <v>100</v>
      </c>
      <c r="L1118" s="8" t="s">
        <v>6613</v>
      </c>
      <c r="M1118" s="8" t="s">
        <v>6633</v>
      </c>
      <c r="N1118" t="s">
        <v>424</v>
      </c>
      <c r="O1118" t="s">
        <v>6570</v>
      </c>
      <c r="P1118">
        <v>200</v>
      </c>
      <c r="S1118" s="2">
        <v>45734</v>
      </c>
      <c r="U1118">
        <v>1</v>
      </c>
      <c r="V1118">
        <v>200</v>
      </c>
      <c r="W1118" t="s">
        <v>65</v>
      </c>
      <c r="X1118">
        <v>107259550001</v>
      </c>
      <c r="Y1118">
        <v>0</v>
      </c>
      <c r="Z1118">
        <v>200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>
        <v>10725955</v>
      </c>
      <c r="AQ1118" t="s">
        <v>487</v>
      </c>
      <c r="AR1118" t="s">
        <v>6656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BC1118" t="s">
        <v>69</v>
      </c>
      <c r="BD1118" t="s">
        <v>4085</v>
      </c>
      <c r="BE1118">
        <v>0</v>
      </c>
      <c r="BG1118" t="s">
        <v>487</v>
      </c>
      <c r="BJ1118" t="s">
        <v>4086</v>
      </c>
    </row>
    <row r="1119" spans="1:62" x14ac:dyDescent="0.35">
      <c r="A1119" t="s">
        <v>4087</v>
      </c>
      <c r="B1119">
        <v>10000</v>
      </c>
      <c r="C1119">
        <v>10000</v>
      </c>
      <c r="D1119" s="2">
        <v>45735</v>
      </c>
      <c r="E1119" t="s">
        <v>61</v>
      </c>
      <c r="F1119" t="s">
        <v>4088</v>
      </c>
      <c r="G1119" t="s">
        <v>134</v>
      </c>
      <c r="I1119">
        <v>1</v>
      </c>
      <c r="J1119" t="s">
        <v>63</v>
      </c>
      <c r="K1119" s="8">
        <v>72</v>
      </c>
      <c r="L1119" s="8" t="s">
        <v>6606</v>
      </c>
      <c r="M1119" s="8" t="s">
        <v>6631</v>
      </c>
      <c r="N1119" t="s">
        <v>163</v>
      </c>
      <c r="O1119" t="s">
        <v>6548</v>
      </c>
      <c r="P1119" s="4">
        <v>6750</v>
      </c>
      <c r="S1119" s="2">
        <v>45734</v>
      </c>
      <c r="U1119">
        <v>4</v>
      </c>
      <c r="V1119" s="4">
        <v>27000</v>
      </c>
      <c r="W1119" t="s">
        <v>65</v>
      </c>
      <c r="X1119">
        <v>86085350001</v>
      </c>
      <c r="Y1119">
        <v>0</v>
      </c>
      <c r="Z1119" s="4">
        <v>23000</v>
      </c>
      <c r="AA1119" s="4">
        <v>4000</v>
      </c>
      <c r="AB1119">
        <v>0</v>
      </c>
      <c r="AC1119">
        <v>0</v>
      </c>
      <c r="AD1119">
        <v>0</v>
      </c>
      <c r="AG1119">
        <v>0</v>
      </c>
      <c r="AP1119">
        <v>8608535</v>
      </c>
      <c r="AQ1119" t="s">
        <v>91</v>
      </c>
      <c r="AR1119" t="s">
        <v>6637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BC1119" t="s">
        <v>69</v>
      </c>
      <c r="BD1119" t="s">
        <v>4089</v>
      </c>
      <c r="BE1119">
        <v>0</v>
      </c>
      <c r="BG1119" t="s">
        <v>91</v>
      </c>
      <c r="BJ1119" t="s">
        <v>4090</v>
      </c>
    </row>
    <row r="1120" spans="1:62" x14ac:dyDescent="0.35">
      <c r="A1120" t="s">
        <v>4091</v>
      </c>
      <c r="B1120">
        <v>10000</v>
      </c>
      <c r="C1120">
        <v>10000</v>
      </c>
      <c r="D1120" s="2">
        <v>45735</v>
      </c>
      <c r="E1120" t="s">
        <v>61</v>
      </c>
      <c r="F1120" t="s">
        <v>4092</v>
      </c>
      <c r="G1120" t="s">
        <v>134</v>
      </c>
      <c r="I1120">
        <v>1</v>
      </c>
      <c r="J1120" t="s">
        <v>63</v>
      </c>
      <c r="K1120" s="8">
        <v>72</v>
      </c>
      <c r="L1120" s="8" t="s">
        <v>6606</v>
      </c>
      <c r="M1120" s="8" t="s">
        <v>6631</v>
      </c>
      <c r="N1120" t="s">
        <v>163</v>
      </c>
      <c r="O1120" t="s">
        <v>6548</v>
      </c>
      <c r="P1120" s="4">
        <v>2000</v>
      </c>
      <c r="S1120" s="2">
        <v>45734</v>
      </c>
      <c r="U1120">
        <v>4</v>
      </c>
      <c r="V1120" s="4">
        <v>8000</v>
      </c>
      <c r="W1120" t="s">
        <v>65</v>
      </c>
      <c r="X1120">
        <v>86085410001</v>
      </c>
      <c r="Y1120">
        <v>0</v>
      </c>
      <c r="Z1120" s="4">
        <v>6000</v>
      </c>
      <c r="AA1120" s="4">
        <v>2000</v>
      </c>
      <c r="AB1120">
        <v>0</v>
      </c>
      <c r="AC1120">
        <v>0</v>
      </c>
      <c r="AD1120">
        <v>0</v>
      </c>
      <c r="AG1120">
        <v>0</v>
      </c>
      <c r="AP1120">
        <v>8608541</v>
      </c>
      <c r="AQ1120" t="s">
        <v>91</v>
      </c>
      <c r="AR1120" t="s">
        <v>6637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BC1120" t="s">
        <v>69</v>
      </c>
      <c r="BD1120" t="s">
        <v>4093</v>
      </c>
      <c r="BE1120">
        <v>0</v>
      </c>
      <c r="BG1120" t="s">
        <v>91</v>
      </c>
      <c r="BJ1120" t="s">
        <v>4090</v>
      </c>
    </row>
    <row r="1121" spans="1:62" x14ac:dyDescent="0.35">
      <c r="A1121" t="s">
        <v>4094</v>
      </c>
      <c r="B1121">
        <v>10000</v>
      </c>
      <c r="C1121">
        <v>10000</v>
      </c>
      <c r="D1121" s="2">
        <v>45735</v>
      </c>
      <c r="E1121" t="s">
        <v>61</v>
      </c>
      <c r="F1121" t="s">
        <v>4092</v>
      </c>
      <c r="G1121" t="s">
        <v>134</v>
      </c>
      <c r="I1121">
        <v>1</v>
      </c>
      <c r="J1121" t="s">
        <v>63</v>
      </c>
      <c r="K1121" s="8">
        <v>72</v>
      </c>
      <c r="L1121" s="8" t="s">
        <v>6606</v>
      </c>
      <c r="M1121" s="8" t="s">
        <v>6631</v>
      </c>
      <c r="N1121" t="s">
        <v>163</v>
      </c>
      <c r="O1121" t="s">
        <v>6548</v>
      </c>
      <c r="P1121" s="4">
        <v>1750</v>
      </c>
      <c r="S1121" s="2">
        <v>45734</v>
      </c>
      <c r="U1121">
        <v>4</v>
      </c>
      <c r="V1121" s="4">
        <v>7000</v>
      </c>
      <c r="W1121" t="s">
        <v>65</v>
      </c>
      <c r="X1121">
        <v>5000580740001</v>
      </c>
      <c r="Y1121">
        <v>0</v>
      </c>
      <c r="Z1121" s="4">
        <v>5000</v>
      </c>
      <c r="AA1121" s="4">
        <v>2000</v>
      </c>
      <c r="AB1121">
        <v>0</v>
      </c>
      <c r="AC1121">
        <v>0</v>
      </c>
      <c r="AD1121">
        <v>0</v>
      </c>
      <c r="AG1121">
        <v>0</v>
      </c>
      <c r="AP1121">
        <v>500058074</v>
      </c>
      <c r="AQ1121" t="s">
        <v>91</v>
      </c>
      <c r="AR1121" t="s">
        <v>6637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BC1121" t="s">
        <v>69</v>
      </c>
      <c r="BD1121" t="s">
        <v>4095</v>
      </c>
      <c r="BE1121">
        <v>0</v>
      </c>
      <c r="BG1121" t="s">
        <v>91</v>
      </c>
      <c r="BJ1121" t="s">
        <v>4090</v>
      </c>
    </row>
    <row r="1122" spans="1:62" x14ac:dyDescent="0.35">
      <c r="A1122" t="s">
        <v>4096</v>
      </c>
      <c r="B1122">
        <v>10000</v>
      </c>
      <c r="C1122">
        <v>10000</v>
      </c>
      <c r="D1122" s="2">
        <v>45735</v>
      </c>
      <c r="E1122" t="s">
        <v>61</v>
      </c>
      <c r="F1122" t="s">
        <v>4092</v>
      </c>
      <c r="G1122" t="s">
        <v>134</v>
      </c>
      <c r="I1122">
        <v>1</v>
      </c>
      <c r="J1122" t="s">
        <v>63</v>
      </c>
      <c r="K1122" s="8">
        <v>72</v>
      </c>
      <c r="L1122" s="8" t="s">
        <v>6606</v>
      </c>
      <c r="M1122" s="8" t="s">
        <v>6631</v>
      </c>
      <c r="N1122" t="s">
        <v>163</v>
      </c>
      <c r="O1122" t="s">
        <v>6548</v>
      </c>
      <c r="P1122" s="4">
        <v>7750</v>
      </c>
      <c r="S1122" s="2">
        <v>45734</v>
      </c>
      <c r="U1122">
        <v>4</v>
      </c>
      <c r="V1122" s="4">
        <v>31000</v>
      </c>
      <c r="W1122" t="s">
        <v>65</v>
      </c>
      <c r="X1122">
        <v>5000580750001</v>
      </c>
      <c r="Y1122">
        <v>0</v>
      </c>
      <c r="Z1122" s="4">
        <v>27000</v>
      </c>
      <c r="AA1122" s="4">
        <v>4000</v>
      </c>
      <c r="AB1122">
        <v>0</v>
      </c>
      <c r="AC1122">
        <v>0</v>
      </c>
      <c r="AD1122">
        <v>0</v>
      </c>
      <c r="AG1122">
        <v>0</v>
      </c>
      <c r="AP1122">
        <v>500058075</v>
      </c>
      <c r="AQ1122" t="s">
        <v>91</v>
      </c>
      <c r="AR1122" t="s">
        <v>6637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BC1122" t="s">
        <v>69</v>
      </c>
      <c r="BD1122" t="s">
        <v>4097</v>
      </c>
      <c r="BE1122">
        <v>0</v>
      </c>
      <c r="BG1122" t="s">
        <v>91</v>
      </c>
      <c r="BJ1122" t="s">
        <v>4090</v>
      </c>
    </row>
    <row r="1123" spans="1:62" x14ac:dyDescent="0.35">
      <c r="A1123" t="s">
        <v>4098</v>
      </c>
      <c r="B1123">
        <v>10000</v>
      </c>
      <c r="C1123">
        <v>10000</v>
      </c>
      <c r="D1123" s="2">
        <v>45735</v>
      </c>
      <c r="E1123" t="s">
        <v>61</v>
      </c>
      <c r="F1123" t="s">
        <v>4092</v>
      </c>
      <c r="G1123" t="s">
        <v>134</v>
      </c>
      <c r="I1123">
        <v>1</v>
      </c>
      <c r="J1123" t="s">
        <v>63</v>
      </c>
      <c r="K1123" s="8">
        <v>72</v>
      </c>
      <c r="L1123" s="8" t="s">
        <v>6606</v>
      </c>
      <c r="M1123" s="8" t="s">
        <v>6631</v>
      </c>
      <c r="N1123" t="s">
        <v>163</v>
      </c>
      <c r="O1123" t="s">
        <v>6548</v>
      </c>
      <c r="P1123" s="4">
        <v>4500</v>
      </c>
      <c r="S1123" s="2">
        <v>45734</v>
      </c>
      <c r="U1123">
        <v>4</v>
      </c>
      <c r="V1123" s="4">
        <v>18000</v>
      </c>
      <c r="W1123" t="s">
        <v>65</v>
      </c>
      <c r="X1123">
        <v>5000582200001</v>
      </c>
      <c r="Y1123">
        <v>0</v>
      </c>
      <c r="Z1123" s="4">
        <v>15000</v>
      </c>
      <c r="AA1123" s="4">
        <v>3000</v>
      </c>
      <c r="AB1123">
        <v>0</v>
      </c>
      <c r="AC1123">
        <v>0</v>
      </c>
      <c r="AD1123">
        <v>0</v>
      </c>
      <c r="AG1123">
        <v>0</v>
      </c>
      <c r="AP1123">
        <v>500058220</v>
      </c>
      <c r="AQ1123" t="s">
        <v>91</v>
      </c>
      <c r="AR1123" t="s">
        <v>6637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BC1123" t="s">
        <v>69</v>
      </c>
      <c r="BD1123" t="s">
        <v>4099</v>
      </c>
      <c r="BE1123">
        <v>0</v>
      </c>
      <c r="BG1123" t="s">
        <v>91</v>
      </c>
      <c r="BJ1123" t="s">
        <v>4090</v>
      </c>
    </row>
    <row r="1124" spans="1:62" x14ac:dyDescent="0.35">
      <c r="A1124" t="s">
        <v>4100</v>
      </c>
      <c r="B1124">
        <v>10000</v>
      </c>
      <c r="C1124">
        <v>10000</v>
      </c>
      <c r="D1124" s="2">
        <v>45734</v>
      </c>
      <c r="E1124" t="s">
        <v>61</v>
      </c>
      <c r="F1124" t="s">
        <v>4101</v>
      </c>
      <c r="G1124" t="s">
        <v>134</v>
      </c>
      <c r="I1124">
        <v>1</v>
      </c>
      <c r="J1124" t="s">
        <v>63</v>
      </c>
      <c r="K1124" s="8">
        <v>72</v>
      </c>
      <c r="L1124" s="8" t="s">
        <v>6606</v>
      </c>
      <c r="M1124" s="8" t="s">
        <v>6631</v>
      </c>
      <c r="N1124" t="s">
        <v>163</v>
      </c>
      <c r="O1124" t="s">
        <v>6548</v>
      </c>
      <c r="P1124" s="4">
        <v>1750</v>
      </c>
      <c r="S1124" s="2">
        <v>45734</v>
      </c>
      <c r="U1124">
        <v>4</v>
      </c>
      <c r="V1124" s="4">
        <v>7000</v>
      </c>
      <c r="W1124" t="s">
        <v>65</v>
      </c>
      <c r="X1124">
        <v>5000582230001</v>
      </c>
      <c r="Y1124">
        <v>0</v>
      </c>
      <c r="Z1124" s="4">
        <v>5000</v>
      </c>
      <c r="AA1124" s="4">
        <v>2000</v>
      </c>
      <c r="AB1124">
        <v>0</v>
      </c>
      <c r="AC1124">
        <v>0</v>
      </c>
      <c r="AD1124">
        <v>0</v>
      </c>
      <c r="AG1124">
        <v>0</v>
      </c>
      <c r="AP1124">
        <v>500058223</v>
      </c>
      <c r="AQ1124" t="s">
        <v>91</v>
      </c>
      <c r="AR1124" t="s">
        <v>6637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BC1124" t="s">
        <v>69</v>
      </c>
      <c r="BD1124" t="s">
        <v>4102</v>
      </c>
      <c r="BE1124">
        <v>0</v>
      </c>
      <c r="BG1124" t="s">
        <v>91</v>
      </c>
      <c r="BJ1124" t="s">
        <v>4090</v>
      </c>
    </row>
    <row r="1125" spans="1:62" x14ac:dyDescent="0.35">
      <c r="A1125" t="s">
        <v>4100</v>
      </c>
      <c r="B1125">
        <v>10000</v>
      </c>
      <c r="C1125">
        <v>20000</v>
      </c>
      <c r="D1125" s="2">
        <v>45734</v>
      </c>
      <c r="E1125" t="s">
        <v>61</v>
      </c>
      <c r="F1125" t="s">
        <v>4101</v>
      </c>
      <c r="G1125" t="s">
        <v>134</v>
      </c>
      <c r="I1125">
        <v>2</v>
      </c>
      <c r="J1125" t="s">
        <v>63</v>
      </c>
      <c r="K1125" s="8">
        <v>71</v>
      </c>
      <c r="L1125" s="8" t="s">
        <v>6588</v>
      </c>
      <c r="M1125" s="8" t="s">
        <v>6630</v>
      </c>
      <c r="N1125" t="s">
        <v>135</v>
      </c>
      <c r="O1125" t="s">
        <v>6573</v>
      </c>
      <c r="P1125">
        <v>834</v>
      </c>
      <c r="S1125" s="2">
        <v>45734</v>
      </c>
      <c r="U1125">
        <v>6</v>
      </c>
      <c r="V1125" s="4">
        <v>5004</v>
      </c>
      <c r="W1125" t="s">
        <v>65</v>
      </c>
      <c r="X1125">
        <v>5000582230001</v>
      </c>
      <c r="Y1125">
        <v>0</v>
      </c>
      <c r="Z1125" s="4">
        <v>5000</v>
      </c>
      <c r="AA1125">
        <v>4</v>
      </c>
      <c r="AB1125">
        <v>0</v>
      </c>
      <c r="AC1125">
        <v>0</v>
      </c>
      <c r="AD1125">
        <v>0</v>
      </c>
      <c r="AG1125">
        <v>0</v>
      </c>
      <c r="AP1125">
        <v>500058223</v>
      </c>
      <c r="AQ1125" t="s">
        <v>91</v>
      </c>
      <c r="AR1125" t="s">
        <v>6637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BC1125" t="s">
        <v>69</v>
      </c>
      <c r="BD1125" t="s">
        <v>4102</v>
      </c>
      <c r="BE1125">
        <v>0</v>
      </c>
      <c r="BG1125" t="s">
        <v>91</v>
      </c>
      <c r="BJ1125" t="s">
        <v>4090</v>
      </c>
    </row>
    <row r="1126" spans="1:62" x14ac:dyDescent="0.35">
      <c r="A1126" t="s">
        <v>4103</v>
      </c>
      <c r="B1126">
        <v>10000</v>
      </c>
      <c r="C1126">
        <v>10000</v>
      </c>
      <c r="D1126" s="2">
        <v>45734</v>
      </c>
      <c r="E1126" t="s">
        <v>61</v>
      </c>
      <c r="F1126" t="s">
        <v>4104</v>
      </c>
      <c r="G1126" t="s">
        <v>134</v>
      </c>
      <c r="I1126">
        <v>1</v>
      </c>
      <c r="J1126" t="s">
        <v>63</v>
      </c>
      <c r="K1126" s="8">
        <v>72</v>
      </c>
      <c r="L1126" s="8" t="s">
        <v>6606</v>
      </c>
      <c r="M1126" s="8" t="s">
        <v>6631</v>
      </c>
      <c r="N1126" t="s">
        <v>163</v>
      </c>
      <c r="O1126" t="s">
        <v>6548</v>
      </c>
      <c r="P1126" s="4">
        <v>1750</v>
      </c>
      <c r="S1126" s="2">
        <v>45734</v>
      </c>
      <c r="U1126">
        <v>4</v>
      </c>
      <c r="V1126" s="4">
        <v>7000</v>
      </c>
      <c r="W1126" t="s">
        <v>65</v>
      </c>
      <c r="X1126">
        <v>5000602800001</v>
      </c>
      <c r="Y1126">
        <v>0</v>
      </c>
      <c r="Z1126" s="4">
        <v>5000</v>
      </c>
      <c r="AA1126" s="4">
        <v>2000</v>
      </c>
      <c r="AB1126">
        <v>0</v>
      </c>
      <c r="AC1126">
        <v>0</v>
      </c>
      <c r="AD1126">
        <v>0</v>
      </c>
      <c r="AG1126">
        <v>0</v>
      </c>
      <c r="AP1126">
        <v>500060280</v>
      </c>
      <c r="AQ1126" t="s">
        <v>91</v>
      </c>
      <c r="AR1126" t="s">
        <v>6637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BC1126" t="s">
        <v>69</v>
      </c>
      <c r="BD1126" t="s">
        <v>4105</v>
      </c>
      <c r="BE1126">
        <v>0</v>
      </c>
      <c r="BG1126" t="s">
        <v>91</v>
      </c>
      <c r="BJ1126" t="s">
        <v>4090</v>
      </c>
    </row>
    <row r="1127" spans="1:62" x14ac:dyDescent="0.35">
      <c r="A1127" t="s">
        <v>4103</v>
      </c>
      <c r="B1127">
        <v>10000</v>
      </c>
      <c r="C1127">
        <v>20000</v>
      </c>
      <c r="D1127" s="2">
        <v>45734</v>
      </c>
      <c r="E1127" t="s">
        <v>61</v>
      </c>
      <c r="F1127" t="s">
        <v>4104</v>
      </c>
      <c r="G1127" t="s">
        <v>134</v>
      </c>
      <c r="I1127">
        <v>2</v>
      </c>
      <c r="J1127" t="s">
        <v>63</v>
      </c>
      <c r="K1127" s="8">
        <v>71</v>
      </c>
      <c r="L1127" s="8" t="s">
        <v>6588</v>
      </c>
      <c r="M1127" s="8" t="s">
        <v>6630</v>
      </c>
      <c r="N1127" t="s">
        <v>135</v>
      </c>
      <c r="O1127" t="s">
        <v>6573</v>
      </c>
      <c r="P1127">
        <v>834</v>
      </c>
      <c r="S1127" s="2">
        <v>45734</v>
      </c>
      <c r="U1127">
        <v>6</v>
      </c>
      <c r="V1127" s="4">
        <v>5004</v>
      </c>
      <c r="W1127" t="s">
        <v>65</v>
      </c>
      <c r="X1127">
        <v>5000602800001</v>
      </c>
      <c r="Y1127">
        <v>0</v>
      </c>
      <c r="Z1127" s="4">
        <v>5000</v>
      </c>
      <c r="AA1127">
        <v>4</v>
      </c>
      <c r="AB1127">
        <v>0</v>
      </c>
      <c r="AC1127">
        <v>0</v>
      </c>
      <c r="AD1127">
        <v>0</v>
      </c>
      <c r="AG1127">
        <v>0</v>
      </c>
      <c r="AP1127">
        <v>500060280</v>
      </c>
      <c r="AQ1127" t="s">
        <v>91</v>
      </c>
      <c r="AR1127" t="s">
        <v>6637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BC1127" t="s">
        <v>69</v>
      </c>
      <c r="BD1127" t="s">
        <v>4105</v>
      </c>
      <c r="BE1127">
        <v>0</v>
      </c>
      <c r="BG1127" t="s">
        <v>91</v>
      </c>
      <c r="BJ1127" t="s">
        <v>4090</v>
      </c>
    </row>
    <row r="1128" spans="1:62" x14ac:dyDescent="0.35">
      <c r="A1128" t="s">
        <v>4106</v>
      </c>
      <c r="B1128">
        <v>10000</v>
      </c>
      <c r="C1128">
        <v>10000</v>
      </c>
      <c r="D1128" s="2">
        <v>45734</v>
      </c>
      <c r="E1128" t="s">
        <v>61</v>
      </c>
      <c r="F1128" t="s">
        <v>4107</v>
      </c>
      <c r="G1128" t="s">
        <v>134</v>
      </c>
      <c r="I1128">
        <v>1</v>
      </c>
      <c r="J1128" t="s">
        <v>63</v>
      </c>
      <c r="K1128" s="8">
        <v>72</v>
      </c>
      <c r="L1128" s="8" t="s">
        <v>6606</v>
      </c>
      <c r="M1128" s="8" t="s">
        <v>6631</v>
      </c>
      <c r="N1128" t="s">
        <v>163</v>
      </c>
      <c r="O1128" t="s">
        <v>6548</v>
      </c>
      <c r="P1128" s="4">
        <v>2000</v>
      </c>
      <c r="S1128" s="2">
        <v>45734</v>
      </c>
      <c r="U1128">
        <v>4</v>
      </c>
      <c r="V1128" s="4">
        <v>8000</v>
      </c>
      <c r="W1128" t="s">
        <v>65</v>
      </c>
      <c r="X1128">
        <v>5000602810001</v>
      </c>
      <c r="Y1128">
        <v>0</v>
      </c>
      <c r="Z1128" s="4">
        <v>6000</v>
      </c>
      <c r="AA1128" s="4">
        <v>2000</v>
      </c>
      <c r="AB1128">
        <v>0</v>
      </c>
      <c r="AC1128">
        <v>0</v>
      </c>
      <c r="AD1128">
        <v>0</v>
      </c>
      <c r="AG1128">
        <v>0</v>
      </c>
      <c r="AP1128">
        <v>500060281</v>
      </c>
      <c r="AQ1128" t="s">
        <v>91</v>
      </c>
      <c r="AR1128" t="s">
        <v>6637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BC1128" t="s">
        <v>69</v>
      </c>
      <c r="BD1128" t="s">
        <v>4108</v>
      </c>
      <c r="BE1128">
        <v>0</v>
      </c>
      <c r="BG1128" t="s">
        <v>91</v>
      </c>
      <c r="BJ1128" t="s">
        <v>4090</v>
      </c>
    </row>
    <row r="1129" spans="1:62" x14ac:dyDescent="0.35">
      <c r="A1129" t="s">
        <v>4106</v>
      </c>
      <c r="B1129">
        <v>10000</v>
      </c>
      <c r="C1129">
        <v>20000</v>
      </c>
      <c r="D1129" s="2">
        <v>45734</v>
      </c>
      <c r="E1129" t="s">
        <v>61</v>
      </c>
      <c r="F1129" t="s">
        <v>4107</v>
      </c>
      <c r="G1129" t="s">
        <v>134</v>
      </c>
      <c r="I1129">
        <v>2</v>
      </c>
      <c r="J1129" t="s">
        <v>63</v>
      </c>
      <c r="K1129" s="8">
        <v>71</v>
      </c>
      <c r="L1129" s="8" t="s">
        <v>6588</v>
      </c>
      <c r="M1129" s="8" t="s">
        <v>6630</v>
      </c>
      <c r="N1129" t="s">
        <v>135</v>
      </c>
      <c r="O1129" t="s">
        <v>6573</v>
      </c>
      <c r="P1129" s="4">
        <v>1000</v>
      </c>
      <c r="S1129" s="2">
        <v>45734</v>
      </c>
      <c r="U1129">
        <v>6</v>
      </c>
      <c r="V1129" s="4">
        <v>6000</v>
      </c>
      <c r="W1129" t="s">
        <v>65</v>
      </c>
      <c r="X1129">
        <v>5000602810001</v>
      </c>
      <c r="Y1129">
        <v>0</v>
      </c>
      <c r="Z1129" s="4">
        <v>6000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>
        <v>500060281</v>
      </c>
      <c r="AQ1129" t="s">
        <v>91</v>
      </c>
      <c r="AR1129" t="s">
        <v>6637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BC1129" t="s">
        <v>69</v>
      </c>
      <c r="BD1129" t="s">
        <v>4108</v>
      </c>
      <c r="BE1129">
        <v>0</v>
      </c>
      <c r="BG1129" t="s">
        <v>91</v>
      </c>
      <c r="BJ1129" t="s">
        <v>4090</v>
      </c>
    </row>
    <row r="1130" spans="1:62" x14ac:dyDescent="0.35">
      <c r="A1130" t="s">
        <v>4109</v>
      </c>
      <c r="B1130">
        <v>10000</v>
      </c>
      <c r="C1130">
        <v>10000</v>
      </c>
      <c r="D1130" s="2">
        <v>45735</v>
      </c>
      <c r="E1130" t="s">
        <v>61</v>
      </c>
      <c r="F1130" t="s">
        <v>4088</v>
      </c>
      <c r="G1130" t="s">
        <v>134</v>
      </c>
      <c r="I1130">
        <v>1</v>
      </c>
      <c r="J1130" t="s">
        <v>63</v>
      </c>
      <c r="K1130" s="8">
        <v>72</v>
      </c>
      <c r="L1130" s="8" t="s">
        <v>6606</v>
      </c>
      <c r="M1130" s="8" t="s">
        <v>6631</v>
      </c>
      <c r="N1130" t="s">
        <v>163</v>
      </c>
      <c r="O1130" t="s">
        <v>6548</v>
      </c>
      <c r="P1130" s="4">
        <v>10500</v>
      </c>
      <c r="S1130" s="2">
        <v>45734</v>
      </c>
      <c r="U1130">
        <v>4</v>
      </c>
      <c r="V1130" s="4">
        <v>42000</v>
      </c>
      <c r="W1130" t="s">
        <v>65</v>
      </c>
      <c r="X1130">
        <v>5000602820001</v>
      </c>
      <c r="Y1130">
        <v>0</v>
      </c>
      <c r="Z1130" s="4">
        <v>37000</v>
      </c>
      <c r="AA1130" s="4">
        <v>5000</v>
      </c>
      <c r="AB1130">
        <v>0</v>
      </c>
      <c r="AC1130">
        <v>0</v>
      </c>
      <c r="AD1130">
        <v>0</v>
      </c>
      <c r="AG1130">
        <v>0</v>
      </c>
      <c r="AP1130">
        <v>500060282</v>
      </c>
      <c r="AQ1130" t="s">
        <v>91</v>
      </c>
      <c r="AR1130" t="s">
        <v>6637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BC1130" t="s">
        <v>69</v>
      </c>
      <c r="BD1130" t="s">
        <v>4110</v>
      </c>
      <c r="BE1130">
        <v>0</v>
      </c>
      <c r="BG1130" t="s">
        <v>91</v>
      </c>
      <c r="BJ1130" t="s">
        <v>4090</v>
      </c>
    </row>
    <row r="1131" spans="1:62" x14ac:dyDescent="0.35">
      <c r="A1131" t="s">
        <v>4111</v>
      </c>
      <c r="B1131">
        <v>10000</v>
      </c>
      <c r="C1131">
        <v>10000</v>
      </c>
      <c r="D1131" s="2">
        <v>45734</v>
      </c>
      <c r="E1131" t="s">
        <v>61</v>
      </c>
      <c r="F1131" t="s">
        <v>4112</v>
      </c>
      <c r="G1131" t="s">
        <v>134</v>
      </c>
      <c r="I1131">
        <v>1</v>
      </c>
      <c r="J1131" t="s">
        <v>63</v>
      </c>
      <c r="K1131" s="8">
        <v>72</v>
      </c>
      <c r="L1131" s="8" t="s">
        <v>6606</v>
      </c>
      <c r="M1131" s="8" t="s">
        <v>6631</v>
      </c>
      <c r="N1131" t="s">
        <v>163</v>
      </c>
      <c r="O1131" t="s">
        <v>6548</v>
      </c>
      <c r="P1131" s="4">
        <v>2250</v>
      </c>
      <c r="S1131" s="2">
        <v>45734</v>
      </c>
      <c r="U1131">
        <v>4</v>
      </c>
      <c r="V1131" s="4">
        <v>9000</v>
      </c>
      <c r="W1131" t="s">
        <v>65</v>
      </c>
      <c r="X1131">
        <v>5000634580001</v>
      </c>
      <c r="Y1131">
        <v>0</v>
      </c>
      <c r="Z1131" s="4">
        <v>7000</v>
      </c>
      <c r="AA1131" s="4">
        <v>2000</v>
      </c>
      <c r="AB1131">
        <v>0</v>
      </c>
      <c r="AC1131">
        <v>0</v>
      </c>
      <c r="AD1131">
        <v>0</v>
      </c>
      <c r="AG1131">
        <v>0</v>
      </c>
      <c r="AP1131">
        <v>500063458</v>
      </c>
      <c r="AQ1131" t="s">
        <v>91</v>
      </c>
      <c r="AR1131" t="s">
        <v>6637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BC1131" t="s">
        <v>69</v>
      </c>
      <c r="BD1131" t="s">
        <v>4113</v>
      </c>
      <c r="BE1131">
        <v>0</v>
      </c>
      <c r="BG1131" t="s">
        <v>91</v>
      </c>
      <c r="BJ1131" t="s">
        <v>4090</v>
      </c>
    </row>
    <row r="1132" spans="1:62" x14ac:dyDescent="0.35">
      <c r="A1132" t="s">
        <v>4111</v>
      </c>
      <c r="B1132">
        <v>10000</v>
      </c>
      <c r="C1132">
        <v>20000</v>
      </c>
      <c r="D1132" s="2">
        <v>45734</v>
      </c>
      <c r="E1132" t="s">
        <v>61</v>
      </c>
      <c r="F1132" t="s">
        <v>4112</v>
      </c>
      <c r="G1132" t="s">
        <v>134</v>
      </c>
      <c r="I1132">
        <v>2</v>
      </c>
      <c r="J1132" t="s">
        <v>63</v>
      </c>
      <c r="K1132" s="8">
        <v>71</v>
      </c>
      <c r="L1132" s="8" t="s">
        <v>6588</v>
      </c>
      <c r="M1132" s="8" t="s">
        <v>6630</v>
      </c>
      <c r="N1132" t="s">
        <v>135</v>
      </c>
      <c r="O1132" t="s">
        <v>6573</v>
      </c>
      <c r="P1132" s="4">
        <v>1167</v>
      </c>
      <c r="S1132" s="2">
        <v>45734</v>
      </c>
      <c r="U1132">
        <v>6</v>
      </c>
      <c r="V1132" s="4">
        <v>7002</v>
      </c>
      <c r="W1132" t="s">
        <v>65</v>
      </c>
      <c r="X1132">
        <v>5000634580001</v>
      </c>
      <c r="Y1132">
        <v>0</v>
      </c>
      <c r="Z1132" s="4">
        <v>7000</v>
      </c>
      <c r="AA1132">
        <v>2</v>
      </c>
      <c r="AB1132">
        <v>0</v>
      </c>
      <c r="AC1132">
        <v>0</v>
      </c>
      <c r="AD1132">
        <v>0</v>
      </c>
      <c r="AG1132">
        <v>0</v>
      </c>
      <c r="AP1132">
        <v>500063458</v>
      </c>
      <c r="AQ1132" t="s">
        <v>91</v>
      </c>
      <c r="AR1132" t="s">
        <v>6637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BC1132" t="s">
        <v>69</v>
      </c>
      <c r="BD1132" t="s">
        <v>4113</v>
      </c>
      <c r="BE1132">
        <v>0</v>
      </c>
      <c r="BG1132" t="s">
        <v>91</v>
      </c>
      <c r="BJ1132" t="s">
        <v>4090</v>
      </c>
    </row>
    <row r="1133" spans="1:62" x14ac:dyDescent="0.35">
      <c r="A1133" t="s">
        <v>4114</v>
      </c>
      <c r="B1133">
        <v>10000</v>
      </c>
      <c r="C1133">
        <v>10000</v>
      </c>
      <c r="D1133" s="2">
        <v>45736</v>
      </c>
      <c r="E1133" t="s">
        <v>61</v>
      </c>
      <c r="F1133" s="3">
        <v>0.47020833333333334</v>
      </c>
      <c r="G1133" t="s">
        <v>4115</v>
      </c>
      <c r="I1133">
        <v>1</v>
      </c>
      <c r="J1133" t="s">
        <v>63</v>
      </c>
      <c r="K1133" s="8">
        <v>88</v>
      </c>
      <c r="L1133" s="8" t="s">
        <v>6610</v>
      </c>
      <c r="M1133" s="8" t="s">
        <v>6631</v>
      </c>
      <c r="N1133" t="s">
        <v>630</v>
      </c>
      <c r="O1133" t="s">
        <v>6571</v>
      </c>
      <c r="P1133" s="4">
        <v>2100</v>
      </c>
      <c r="S1133" s="2">
        <v>45734</v>
      </c>
      <c r="U1133">
        <v>5</v>
      </c>
      <c r="V1133" s="4">
        <v>10500</v>
      </c>
      <c r="W1133" t="s">
        <v>65</v>
      </c>
      <c r="X1133" t="s">
        <v>4116</v>
      </c>
      <c r="Y1133">
        <v>0</v>
      </c>
      <c r="Z1133" s="4">
        <v>10000</v>
      </c>
      <c r="AA1133">
        <v>500</v>
      </c>
      <c r="AB1133">
        <v>0</v>
      </c>
      <c r="AC1133">
        <v>0</v>
      </c>
      <c r="AD1133">
        <v>0</v>
      </c>
      <c r="AG1133">
        <v>0</v>
      </c>
      <c r="AP1133" t="s">
        <v>4117</v>
      </c>
      <c r="AQ1133" t="s">
        <v>116</v>
      </c>
      <c r="AR1133" t="s">
        <v>6639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C1133" t="s">
        <v>69</v>
      </c>
      <c r="BD1133" t="s">
        <v>4118</v>
      </c>
      <c r="BE1133">
        <v>0</v>
      </c>
      <c r="BG1133" t="s">
        <v>116</v>
      </c>
      <c r="BJ1133" t="s">
        <v>4119</v>
      </c>
    </row>
    <row r="1134" spans="1:62" x14ac:dyDescent="0.35">
      <c r="A1134" t="s">
        <v>4121</v>
      </c>
      <c r="B1134">
        <v>10000</v>
      </c>
      <c r="C1134">
        <v>10000</v>
      </c>
      <c r="D1134" s="2">
        <v>45735</v>
      </c>
      <c r="E1134" t="s">
        <v>61</v>
      </c>
      <c r="F1134" t="s">
        <v>3898</v>
      </c>
      <c r="G1134" t="s">
        <v>2526</v>
      </c>
      <c r="H1134" t="s">
        <v>4122</v>
      </c>
      <c r="I1134">
        <v>1</v>
      </c>
      <c r="J1134" t="s">
        <v>69</v>
      </c>
      <c r="K1134" s="8">
        <v>95</v>
      </c>
      <c r="L1134" s="8" t="s">
        <v>6609</v>
      </c>
      <c r="M1134" s="8" t="s">
        <v>6630</v>
      </c>
      <c r="N1134" t="s">
        <v>597</v>
      </c>
      <c r="O1134" t="s">
        <v>6556</v>
      </c>
      <c r="P1134" s="4">
        <v>3750</v>
      </c>
      <c r="Q1134">
        <f t="shared" ref="Q1134:Q1136" si="288">(P1134/20)+45</f>
        <v>232.5</v>
      </c>
      <c r="R1134">
        <f t="shared" ref="R1134:R1136" si="289">Q1134/60</f>
        <v>3.875</v>
      </c>
      <c r="S1134" s="2">
        <v>45735</v>
      </c>
      <c r="U1134">
        <v>8</v>
      </c>
      <c r="V1134" s="4">
        <v>30000</v>
      </c>
      <c r="W1134" t="s">
        <v>65</v>
      </c>
      <c r="X1134" t="s">
        <v>2527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G1134">
        <v>0</v>
      </c>
      <c r="AK1134" t="s">
        <v>69</v>
      </c>
      <c r="AL1134">
        <v>0</v>
      </c>
      <c r="AM1134" t="s">
        <v>69</v>
      </c>
      <c r="AP1134" t="s">
        <v>2528</v>
      </c>
      <c r="AQ1134" t="s">
        <v>271</v>
      </c>
      <c r="AR1134" t="s">
        <v>6648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C1134" t="s">
        <v>69</v>
      </c>
      <c r="BG1134" t="s">
        <v>271</v>
      </c>
      <c r="BJ1134" t="s">
        <v>4123</v>
      </c>
    </row>
    <row r="1135" spans="1:62" x14ac:dyDescent="0.35">
      <c r="A1135" t="s">
        <v>4124</v>
      </c>
      <c r="B1135">
        <v>10000</v>
      </c>
      <c r="C1135">
        <v>10000</v>
      </c>
      <c r="D1135" s="2">
        <v>45755</v>
      </c>
      <c r="E1135" t="s">
        <v>61</v>
      </c>
      <c r="F1135" t="s">
        <v>4125</v>
      </c>
      <c r="G1135" t="s">
        <v>4126</v>
      </c>
      <c r="H1135" t="s">
        <v>4127</v>
      </c>
      <c r="I1135">
        <v>1</v>
      </c>
      <c r="J1135" t="s">
        <v>69</v>
      </c>
      <c r="K1135" s="8">
        <v>90</v>
      </c>
      <c r="L1135" s="8" t="s">
        <v>6589</v>
      </c>
      <c r="M1135" s="8" t="s">
        <v>6630</v>
      </c>
      <c r="N1135" t="s">
        <v>405</v>
      </c>
      <c r="O1135" t="s">
        <v>6555</v>
      </c>
      <c r="P1135" s="4">
        <v>17500</v>
      </c>
      <c r="Q1135">
        <f t="shared" si="288"/>
        <v>920</v>
      </c>
      <c r="R1135">
        <f t="shared" si="289"/>
        <v>15.333333333333334</v>
      </c>
      <c r="S1135" s="2">
        <v>45735</v>
      </c>
      <c r="U1135">
        <v>4</v>
      </c>
      <c r="V1135" s="4">
        <v>70000</v>
      </c>
      <c r="W1135" t="s">
        <v>65</v>
      </c>
      <c r="X1135" t="s">
        <v>765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G1135">
        <v>0</v>
      </c>
      <c r="AK1135" t="s">
        <v>69</v>
      </c>
      <c r="AL1135">
        <v>0</v>
      </c>
      <c r="AM1135" t="s">
        <v>69</v>
      </c>
      <c r="AP1135" t="s">
        <v>766</v>
      </c>
      <c r="AQ1135" t="s">
        <v>767</v>
      </c>
      <c r="AR1135" t="s">
        <v>6664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BC1135" t="s">
        <v>69</v>
      </c>
      <c r="BG1135" t="s">
        <v>767</v>
      </c>
      <c r="BJ1135" t="s">
        <v>4128</v>
      </c>
    </row>
    <row r="1136" spans="1:62" x14ac:dyDescent="0.35">
      <c r="A1136" t="s">
        <v>4129</v>
      </c>
      <c r="B1136">
        <v>10000</v>
      </c>
      <c r="C1136">
        <v>10000</v>
      </c>
      <c r="D1136" s="2">
        <v>45735</v>
      </c>
      <c r="E1136" t="s">
        <v>61</v>
      </c>
      <c r="F1136" t="s">
        <v>4130</v>
      </c>
      <c r="G1136" t="s">
        <v>4131</v>
      </c>
      <c r="I1136">
        <v>1</v>
      </c>
      <c r="J1136" t="s">
        <v>69</v>
      </c>
      <c r="K1136" s="8">
        <v>112</v>
      </c>
      <c r="L1136" s="8" t="s">
        <v>6616</v>
      </c>
      <c r="M1136" s="8" t="s">
        <v>6630</v>
      </c>
      <c r="N1136" t="s">
        <v>533</v>
      </c>
      <c r="O1136" t="s">
        <v>6572</v>
      </c>
      <c r="P1136">
        <v>500</v>
      </c>
      <c r="Q1136">
        <f t="shared" si="288"/>
        <v>70</v>
      </c>
      <c r="R1136">
        <f t="shared" si="289"/>
        <v>1.1666666666666667</v>
      </c>
      <c r="S1136" s="2">
        <v>45735</v>
      </c>
      <c r="U1136">
        <v>20</v>
      </c>
      <c r="V1136" s="4">
        <v>10000</v>
      </c>
      <c r="W1136" t="s">
        <v>65</v>
      </c>
      <c r="X1136" t="s">
        <v>4132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G1136">
        <v>0</v>
      </c>
      <c r="AK1136" t="s">
        <v>69</v>
      </c>
      <c r="AL1136">
        <v>0</v>
      </c>
      <c r="AM1136" t="s">
        <v>69</v>
      </c>
      <c r="AP1136" t="s">
        <v>4133</v>
      </c>
      <c r="AQ1136" t="s">
        <v>321</v>
      </c>
      <c r="AR1136" t="s">
        <v>6652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BC1136" t="s">
        <v>69</v>
      </c>
      <c r="BG1136" t="s">
        <v>321</v>
      </c>
      <c r="BJ1136" t="s">
        <v>4134</v>
      </c>
    </row>
    <row r="1137" spans="1:62" x14ac:dyDescent="0.35">
      <c r="A1137" t="s">
        <v>3367</v>
      </c>
      <c r="B1137">
        <v>10000</v>
      </c>
      <c r="C1137">
        <v>20000</v>
      </c>
      <c r="D1137" s="2">
        <v>45735</v>
      </c>
      <c r="E1137" t="s">
        <v>61</v>
      </c>
      <c r="F1137" t="s">
        <v>3368</v>
      </c>
      <c r="G1137">
        <v>10639931025</v>
      </c>
      <c r="H1137" t="s">
        <v>3369</v>
      </c>
      <c r="I1137">
        <v>2</v>
      </c>
      <c r="J1137" t="s">
        <v>69</v>
      </c>
      <c r="K1137" s="8">
        <v>77</v>
      </c>
      <c r="L1137" s="8" t="s">
        <v>6584</v>
      </c>
      <c r="M1137" s="8" t="s">
        <v>6627</v>
      </c>
      <c r="N1137" t="s">
        <v>127</v>
      </c>
      <c r="O1137" t="s">
        <v>6567</v>
      </c>
      <c r="P1137">
        <v>600</v>
      </c>
      <c r="Q1137">
        <f>(P1137/60)+45</f>
        <v>55</v>
      </c>
      <c r="R1137">
        <f>Q1137/60</f>
        <v>0.91666666666666663</v>
      </c>
      <c r="S1137" s="2">
        <v>45735</v>
      </c>
      <c r="U1137">
        <v>15</v>
      </c>
      <c r="V1137" s="4">
        <v>9000</v>
      </c>
      <c r="W1137" t="s">
        <v>65</v>
      </c>
      <c r="X1137" t="s">
        <v>3370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G1137">
        <v>0</v>
      </c>
      <c r="AK1137" t="s">
        <v>69</v>
      </c>
      <c r="AL1137">
        <v>0</v>
      </c>
      <c r="AM1137" t="s">
        <v>69</v>
      </c>
      <c r="AP1137" t="s">
        <v>3371</v>
      </c>
      <c r="AQ1137" t="s">
        <v>68</v>
      </c>
      <c r="AR1137" t="s">
        <v>6636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BC1137" t="s">
        <v>69</v>
      </c>
      <c r="BG1137" t="s">
        <v>68</v>
      </c>
      <c r="BJ1137" t="s">
        <v>3372</v>
      </c>
    </row>
    <row r="1138" spans="1:62" x14ac:dyDescent="0.35">
      <c r="A1138" t="s">
        <v>4135</v>
      </c>
      <c r="B1138">
        <v>10000</v>
      </c>
      <c r="C1138">
        <v>10000</v>
      </c>
      <c r="D1138" s="2">
        <v>45735</v>
      </c>
      <c r="E1138" t="s">
        <v>61</v>
      </c>
      <c r="F1138" t="s">
        <v>3885</v>
      </c>
      <c r="G1138" t="s">
        <v>2773</v>
      </c>
      <c r="H1138" t="s">
        <v>1577</v>
      </c>
      <c r="I1138">
        <v>1</v>
      </c>
      <c r="J1138" t="s">
        <v>69</v>
      </c>
      <c r="K1138" s="8">
        <v>82</v>
      </c>
      <c r="L1138" s="8" t="s">
        <v>6598</v>
      </c>
      <c r="M1138" s="8" t="s">
        <v>6630</v>
      </c>
      <c r="N1138" t="s">
        <v>341</v>
      </c>
      <c r="O1138" t="s">
        <v>6346</v>
      </c>
      <c r="P1138" s="4">
        <v>5000</v>
      </c>
      <c r="S1138" s="2">
        <v>45735</v>
      </c>
      <c r="U1138">
        <v>6</v>
      </c>
      <c r="V1138" s="4">
        <v>30000</v>
      </c>
      <c r="W1138" t="s">
        <v>65</v>
      </c>
      <c r="X1138" t="s">
        <v>1578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G1138">
        <v>0</v>
      </c>
      <c r="AK1138" t="s">
        <v>69</v>
      </c>
      <c r="AL1138">
        <v>0</v>
      </c>
      <c r="AM1138" t="s">
        <v>69</v>
      </c>
      <c r="AP1138" t="s">
        <v>1579</v>
      </c>
      <c r="AQ1138" t="s">
        <v>829</v>
      </c>
      <c r="AR1138" t="s">
        <v>6653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BC1138" t="s">
        <v>69</v>
      </c>
      <c r="BG1138" t="s">
        <v>829</v>
      </c>
      <c r="BJ1138" t="s">
        <v>4136</v>
      </c>
    </row>
    <row r="1139" spans="1:62" x14ac:dyDescent="0.35">
      <c r="A1139" t="s">
        <v>4137</v>
      </c>
      <c r="B1139">
        <v>10000</v>
      </c>
      <c r="C1139">
        <v>10000</v>
      </c>
      <c r="D1139" s="2">
        <v>45735</v>
      </c>
      <c r="E1139" t="s">
        <v>61</v>
      </c>
      <c r="F1139" t="s">
        <v>3885</v>
      </c>
      <c r="G1139" t="s">
        <v>2773</v>
      </c>
      <c r="H1139" t="s">
        <v>1577</v>
      </c>
      <c r="I1139">
        <v>1</v>
      </c>
      <c r="J1139" t="s">
        <v>69</v>
      </c>
      <c r="K1139" s="8">
        <v>82</v>
      </c>
      <c r="L1139" s="8" t="s">
        <v>6598</v>
      </c>
      <c r="M1139" s="8" t="s">
        <v>6630</v>
      </c>
      <c r="N1139" t="s">
        <v>341</v>
      </c>
      <c r="O1139" t="s">
        <v>6346</v>
      </c>
      <c r="P1139" s="4">
        <v>5000</v>
      </c>
      <c r="S1139" s="2">
        <v>45735</v>
      </c>
      <c r="U1139">
        <v>6</v>
      </c>
      <c r="V1139" s="4">
        <v>30000</v>
      </c>
      <c r="W1139" t="s">
        <v>65</v>
      </c>
      <c r="X1139" t="s">
        <v>1578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G1139">
        <v>0</v>
      </c>
      <c r="AK1139" t="s">
        <v>69</v>
      </c>
      <c r="AL1139">
        <v>0</v>
      </c>
      <c r="AM1139" t="s">
        <v>69</v>
      </c>
      <c r="AP1139" t="s">
        <v>1579</v>
      </c>
      <c r="AQ1139" t="s">
        <v>829</v>
      </c>
      <c r="AR1139" t="s">
        <v>6653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BC1139" t="s">
        <v>69</v>
      </c>
      <c r="BG1139" t="s">
        <v>829</v>
      </c>
      <c r="BJ1139" t="s">
        <v>4138</v>
      </c>
    </row>
    <row r="1140" spans="1:62" x14ac:dyDescent="0.35">
      <c r="A1140" t="s">
        <v>4139</v>
      </c>
      <c r="B1140">
        <v>10000</v>
      </c>
      <c r="C1140">
        <v>10000</v>
      </c>
      <c r="D1140" s="2">
        <v>45762</v>
      </c>
      <c r="E1140" t="s">
        <v>61</v>
      </c>
      <c r="F1140" t="s">
        <v>4140</v>
      </c>
      <c r="G1140" t="s">
        <v>4141</v>
      </c>
      <c r="H1140" t="s">
        <v>4142</v>
      </c>
      <c r="I1140">
        <v>1</v>
      </c>
      <c r="J1140" t="s">
        <v>69</v>
      </c>
      <c r="K1140" s="8">
        <v>79</v>
      </c>
      <c r="L1140" t="s">
        <v>6608</v>
      </c>
      <c r="M1140" s="8" t="s">
        <v>6631</v>
      </c>
      <c r="N1140" t="s">
        <v>296</v>
      </c>
      <c r="O1140" t="s">
        <v>6550</v>
      </c>
      <c r="P1140" s="4">
        <v>1850</v>
      </c>
      <c r="S1140" s="2">
        <v>45735</v>
      </c>
      <c r="U1140">
        <v>35</v>
      </c>
      <c r="V1140" s="4">
        <v>64750</v>
      </c>
      <c r="W1140" t="s">
        <v>65</v>
      </c>
      <c r="X1140" t="s">
        <v>147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G1140">
        <v>0</v>
      </c>
      <c r="AK1140" t="s">
        <v>69</v>
      </c>
      <c r="AL1140">
        <v>0</v>
      </c>
      <c r="AM1140" t="s">
        <v>69</v>
      </c>
      <c r="AP1140" t="s">
        <v>148</v>
      </c>
      <c r="AQ1140" t="s">
        <v>107</v>
      </c>
      <c r="AR1140" t="s">
        <v>6638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BC1140" t="s">
        <v>69</v>
      </c>
      <c r="BG1140" t="s">
        <v>107</v>
      </c>
      <c r="BJ1140" t="s">
        <v>4143</v>
      </c>
    </row>
    <row r="1141" spans="1:62" x14ac:dyDescent="0.35">
      <c r="A1141" t="s">
        <v>4144</v>
      </c>
      <c r="B1141">
        <v>10000</v>
      </c>
      <c r="C1141">
        <v>10000</v>
      </c>
      <c r="D1141" s="2">
        <v>45754</v>
      </c>
      <c r="E1141" t="s">
        <v>61</v>
      </c>
      <c r="F1141" t="s">
        <v>4145</v>
      </c>
      <c r="G1141">
        <v>10620258037</v>
      </c>
      <c r="H1141" t="s">
        <v>4146</v>
      </c>
      <c r="I1141">
        <v>1</v>
      </c>
      <c r="J1141" t="s">
        <v>69</v>
      </c>
      <c r="K1141" s="8">
        <v>79</v>
      </c>
      <c r="L1141" s="8" t="s">
        <v>6608</v>
      </c>
      <c r="M1141" s="8" t="s">
        <v>6631</v>
      </c>
      <c r="N1141" t="s">
        <v>573</v>
      </c>
      <c r="O1141" t="s">
        <v>6547</v>
      </c>
      <c r="P1141">
        <v>569</v>
      </c>
      <c r="Q1141">
        <f t="shared" ref="Q1141:Q1144" si="290">(P1141/20)+30</f>
        <v>58.45</v>
      </c>
      <c r="R1141">
        <f t="shared" ref="R1141:R1144" si="291">Q1141/60</f>
        <v>0.97416666666666674</v>
      </c>
      <c r="S1141" s="2">
        <v>45735</v>
      </c>
      <c r="U1141">
        <v>176</v>
      </c>
      <c r="V1141" s="4">
        <v>100144</v>
      </c>
      <c r="W1141" t="s">
        <v>65</v>
      </c>
      <c r="X1141" t="s">
        <v>1352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G1141">
        <v>0</v>
      </c>
      <c r="AK1141" t="s">
        <v>69</v>
      </c>
      <c r="AL1141">
        <v>0</v>
      </c>
      <c r="AM1141" t="s">
        <v>69</v>
      </c>
      <c r="AP1141" t="s">
        <v>1353</v>
      </c>
      <c r="AQ1141" t="s">
        <v>107</v>
      </c>
      <c r="AR1141" t="s">
        <v>6638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BC1141" t="s">
        <v>69</v>
      </c>
      <c r="BG1141" t="s">
        <v>107</v>
      </c>
      <c r="BJ1141" t="s">
        <v>4147</v>
      </c>
    </row>
    <row r="1142" spans="1:62" x14ac:dyDescent="0.35">
      <c r="A1142" t="s">
        <v>4148</v>
      </c>
      <c r="B1142">
        <v>10000</v>
      </c>
      <c r="C1142">
        <v>10000</v>
      </c>
      <c r="D1142" s="2">
        <v>45748</v>
      </c>
      <c r="E1142" t="s">
        <v>61</v>
      </c>
      <c r="F1142" t="s">
        <v>4149</v>
      </c>
      <c r="G1142">
        <v>10620258042</v>
      </c>
      <c r="H1142" t="s">
        <v>4150</v>
      </c>
      <c r="I1142">
        <v>1</v>
      </c>
      <c r="J1142" t="s">
        <v>69</v>
      </c>
      <c r="K1142" s="8">
        <v>79</v>
      </c>
      <c r="L1142" s="8" t="s">
        <v>6608</v>
      </c>
      <c r="M1142" s="8" t="s">
        <v>6631</v>
      </c>
      <c r="N1142" t="s">
        <v>573</v>
      </c>
      <c r="O1142" t="s">
        <v>6547</v>
      </c>
      <c r="P1142">
        <v>270</v>
      </c>
      <c r="Q1142">
        <f t="shared" si="290"/>
        <v>43.5</v>
      </c>
      <c r="R1142">
        <f t="shared" si="291"/>
        <v>0.72499999999999998</v>
      </c>
      <c r="S1142" s="2">
        <v>45735</v>
      </c>
      <c r="U1142">
        <v>297</v>
      </c>
      <c r="V1142" s="4">
        <v>80190</v>
      </c>
      <c r="W1142" t="s">
        <v>65</v>
      </c>
      <c r="X1142" t="s">
        <v>4151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G1142">
        <v>0</v>
      </c>
      <c r="AK1142" t="s">
        <v>69</v>
      </c>
      <c r="AL1142">
        <v>0</v>
      </c>
      <c r="AM1142" t="s">
        <v>69</v>
      </c>
      <c r="AP1142" t="s">
        <v>4152</v>
      </c>
      <c r="AQ1142" t="s">
        <v>107</v>
      </c>
      <c r="AR1142" t="s">
        <v>6638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BC1142" t="s">
        <v>69</v>
      </c>
      <c r="BG1142" t="s">
        <v>107</v>
      </c>
      <c r="BJ1142" t="s">
        <v>4153</v>
      </c>
    </row>
    <row r="1143" spans="1:62" x14ac:dyDescent="0.35">
      <c r="A1143" t="s">
        <v>4154</v>
      </c>
      <c r="B1143">
        <v>10000</v>
      </c>
      <c r="C1143">
        <v>10000</v>
      </c>
      <c r="D1143" s="2">
        <v>45741</v>
      </c>
      <c r="E1143" t="s">
        <v>61</v>
      </c>
      <c r="F1143" t="s">
        <v>4155</v>
      </c>
      <c r="G1143" t="s">
        <v>4156</v>
      </c>
      <c r="H1143" t="s">
        <v>4150</v>
      </c>
      <c r="I1143">
        <v>1</v>
      </c>
      <c r="J1143" t="s">
        <v>69</v>
      </c>
      <c r="K1143" s="8">
        <v>79</v>
      </c>
      <c r="L1143" s="8" t="s">
        <v>6608</v>
      </c>
      <c r="M1143" s="8" t="s">
        <v>6631</v>
      </c>
      <c r="N1143" t="s">
        <v>573</v>
      </c>
      <c r="O1143" t="s">
        <v>6547</v>
      </c>
      <c r="P1143" s="4">
        <v>4260</v>
      </c>
      <c r="Q1143">
        <f t="shared" si="290"/>
        <v>243</v>
      </c>
      <c r="R1143">
        <f t="shared" si="291"/>
        <v>4.05</v>
      </c>
      <c r="S1143" s="2">
        <v>45735</v>
      </c>
      <c r="U1143">
        <v>27</v>
      </c>
      <c r="V1143" s="4">
        <v>115020</v>
      </c>
      <c r="W1143" t="s">
        <v>65</v>
      </c>
      <c r="X1143" t="s">
        <v>4157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G1143">
        <v>0</v>
      </c>
      <c r="AK1143" t="s">
        <v>69</v>
      </c>
      <c r="AL1143">
        <v>0</v>
      </c>
      <c r="AM1143" t="s">
        <v>69</v>
      </c>
      <c r="AP1143" t="s">
        <v>4158</v>
      </c>
      <c r="AQ1143" t="s">
        <v>107</v>
      </c>
      <c r="AR1143" t="s">
        <v>6638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BC1143" t="s">
        <v>69</v>
      </c>
      <c r="BG1143" t="s">
        <v>107</v>
      </c>
      <c r="BJ1143" t="s">
        <v>4159</v>
      </c>
    </row>
    <row r="1144" spans="1:62" x14ac:dyDescent="0.35">
      <c r="A1144" t="s">
        <v>4154</v>
      </c>
      <c r="B1144">
        <v>10000</v>
      </c>
      <c r="C1144">
        <v>40000</v>
      </c>
      <c r="D1144" s="2">
        <v>45751</v>
      </c>
      <c r="E1144" t="s">
        <v>61</v>
      </c>
      <c r="F1144" t="s">
        <v>4160</v>
      </c>
      <c r="G1144" t="s">
        <v>4161</v>
      </c>
      <c r="H1144" t="s">
        <v>4146</v>
      </c>
      <c r="I1144">
        <v>1</v>
      </c>
      <c r="J1144" t="s">
        <v>69</v>
      </c>
      <c r="K1144" s="8">
        <v>79</v>
      </c>
      <c r="L1144" s="8" t="s">
        <v>6608</v>
      </c>
      <c r="M1144" s="8" t="s">
        <v>6631</v>
      </c>
      <c r="N1144" t="s">
        <v>573</v>
      </c>
      <c r="O1144" t="s">
        <v>6547</v>
      </c>
      <c r="P1144" s="4">
        <v>1073</v>
      </c>
      <c r="Q1144">
        <f t="shared" si="290"/>
        <v>83.65</v>
      </c>
      <c r="R1144">
        <f t="shared" si="291"/>
        <v>1.3941666666666668</v>
      </c>
      <c r="S1144" s="2">
        <v>45735</v>
      </c>
      <c r="U1144">
        <v>176</v>
      </c>
      <c r="V1144" s="4">
        <v>188848</v>
      </c>
      <c r="W1144" t="s">
        <v>65</v>
      </c>
      <c r="X1144" t="s">
        <v>4157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G1144">
        <v>0</v>
      </c>
      <c r="AK1144" t="s">
        <v>69</v>
      </c>
      <c r="AL1144">
        <v>0</v>
      </c>
      <c r="AM1144" t="s">
        <v>69</v>
      </c>
      <c r="AP1144" t="s">
        <v>4158</v>
      </c>
      <c r="AQ1144" t="s">
        <v>107</v>
      </c>
      <c r="AR1144" t="s">
        <v>6638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BC1144" t="s">
        <v>69</v>
      </c>
      <c r="BG1144" t="s">
        <v>107</v>
      </c>
      <c r="BJ1144" t="s">
        <v>4159</v>
      </c>
    </row>
    <row r="1145" spans="1:62" x14ac:dyDescent="0.35">
      <c r="A1145" t="s">
        <v>4162</v>
      </c>
      <c r="B1145">
        <v>10000</v>
      </c>
      <c r="C1145">
        <v>10000</v>
      </c>
      <c r="D1145" s="2">
        <v>45735</v>
      </c>
      <c r="E1145" t="s">
        <v>61</v>
      </c>
      <c r="F1145" t="s">
        <v>3898</v>
      </c>
      <c r="G1145" t="s">
        <v>2526</v>
      </c>
      <c r="I1145">
        <v>1</v>
      </c>
      <c r="J1145" t="s">
        <v>63</v>
      </c>
      <c r="K1145" s="8">
        <v>95</v>
      </c>
      <c r="L1145" s="8" t="s">
        <v>6609</v>
      </c>
      <c r="M1145" s="8" t="s">
        <v>6630</v>
      </c>
      <c r="N1145" t="s">
        <v>597</v>
      </c>
      <c r="O1145" t="s">
        <v>6556</v>
      </c>
      <c r="P1145" s="4">
        <v>7500</v>
      </c>
      <c r="Q1145">
        <f>(P1145/20)+45</f>
        <v>420</v>
      </c>
      <c r="R1145">
        <f>Q1145/60</f>
        <v>7</v>
      </c>
      <c r="S1145" s="2">
        <v>45735</v>
      </c>
      <c r="U1145">
        <v>8</v>
      </c>
      <c r="V1145" s="4">
        <v>60000</v>
      </c>
      <c r="W1145" t="s">
        <v>65</v>
      </c>
      <c r="X1145" t="s">
        <v>2527</v>
      </c>
      <c r="Y1145">
        <v>0</v>
      </c>
      <c r="Z1145" s="4">
        <v>60000</v>
      </c>
      <c r="AA1145">
        <v>0</v>
      </c>
      <c r="AB1145">
        <v>0</v>
      </c>
      <c r="AC1145">
        <v>0</v>
      </c>
      <c r="AD1145">
        <v>0</v>
      </c>
      <c r="AG1145">
        <v>0</v>
      </c>
      <c r="AP1145" t="s">
        <v>2528</v>
      </c>
      <c r="AQ1145" t="s">
        <v>271</v>
      </c>
      <c r="AR1145" t="s">
        <v>6648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BC1145" t="s">
        <v>69</v>
      </c>
      <c r="BD1145" t="s">
        <v>4163</v>
      </c>
      <c r="BE1145">
        <v>0</v>
      </c>
      <c r="BG1145" t="s">
        <v>271</v>
      </c>
      <c r="BJ1145" t="s">
        <v>4164</v>
      </c>
    </row>
    <row r="1146" spans="1:62" x14ac:dyDescent="0.35">
      <c r="A1146" t="s">
        <v>4165</v>
      </c>
      <c r="B1146">
        <v>10000</v>
      </c>
      <c r="C1146">
        <v>20000</v>
      </c>
      <c r="D1146" s="2">
        <v>45736</v>
      </c>
      <c r="E1146" t="s">
        <v>61</v>
      </c>
      <c r="F1146" t="s">
        <v>4166</v>
      </c>
      <c r="G1146" t="s">
        <v>4167</v>
      </c>
      <c r="I1146">
        <v>1</v>
      </c>
      <c r="J1146" t="s">
        <v>63</v>
      </c>
      <c r="K1146" s="8">
        <v>61</v>
      </c>
      <c r="L1146" s="8" t="s">
        <v>6594</v>
      </c>
      <c r="M1146" s="8" t="s">
        <v>6629</v>
      </c>
      <c r="N1146" t="s">
        <v>216</v>
      </c>
      <c r="O1146" t="s">
        <v>6394</v>
      </c>
      <c r="P1146">
        <v>200</v>
      </c>
      <c r="Q1146">
        <f>(P1146/50)+45</f>
        <v>49</v>
      </c>
      <c r="R1146">
        <f>Q1146/60</f>
        <v>0.81666666666666665</v>
      </c>
      <c r="S1146" s="2">
        <v>45735</v>
      </c>
      <c r="U1146">
        <v>1</v>
      </c>
      <c r="V1146">
        <v>200</v>
      </c>
      <c r="W1146" t="s">
        <v>65</v>
      </c>
      <c r="X1146" t="s">
        <v>4168</v>
      </c>
      <c r="Y1146">
        <v>0</v>
      </c>
      <c r="Z1146">
        <v>200</v>
      </c>
      <c r="AA1146">
        <v>0</v>
      </c>
      <c r="AB1146">
        <v>0</v>
      </c>
      <c r="AC1146">
        <v>0</v>
      </c>
      <c r="AD1146">
        <v>0</v>
      </c>
      <c r="AG1146">
        <v>0</v>
      </c>
      <c r="AP1146" t="s">
        <v>4169</v>
      </c>
      <c r="AQ1146" t="s">
        <v>3737</v>
      </c>
      <c r="AR1146" t="s">
        <v>6726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BC1146" t="s">
        <v>69</v>
      </c>
      <c r="BD1146" t="s">
        <v>4170</v>
      </c>
      <c r="BE1146">
        <v>0</v>
      </c>
      <c r="BG1146" t="s">
        <v>3737</v>
      </c>
      <c r="BJ1146" t="s">
        <v>4171</v>
      </c>
    </row>
    <row r="1147" spans="1:62" x14ac:dyDescent="0.35">
      <c r="A1147" t="s">
        <v>4172</v>
      </c>
      <c r="B1147">
        <v>10000</v>
      </c>
      <c r="C1147">
        <v>10000</v>
      </c>
      <c r="D1147" s="2">
        <v>45735</v>
      </c>
      <c r="E1147" t="s">
        <v>61</v>
      </c>
      <c r="F1147" t="s">
        <v>4130</v>
      </c>
      <c r="G1147" t="s">
        <v>4131</v>
      </c>
      <c r="I1147">
        <v>1</v>
      </c>
      <c r="J1147" t="s">
        <v>63</v>
      </c>
      <c r="K1147" s="8">
        <v>112</v>
      </c>
      <c r="L1147" s="8" t="s">
        <v>6616</v>
      </c>
      <c r="M1147" s="8" t="s">
        <v>6630</v>
      </c>
      <c r="N1147" t="s">
        <v>533</v>
      </c>
      <c r="O1147" t="s">
        <v>6572</v>
      </c>
      <c r="P1147" s="4">
        <v>1500</v>
      </c>
      <c r="Q1147">
        <f>(P1147/20)+45</f>
        <v>120</v>
      </c>
      <c r="R1147">
        <f>Q1147/60</f>
        <v>2</v>
      </c>
      <c r="S1147" s="2">
        <v>45735</v>
      </c>
      <c r="U1147">
        <v>20</v>
      </c>
      <c r="V1147" s="4">
        <v>30000</v>
      </c>
      <c r="W1147" t="s">
        <v>65</v>
      </c>
      <c r="X1147" t="s">
        <v>4132</v>
      </c>
      <c r="Y1147">
        <v>0</v>
      </c>
      <c r="Z1147" s="4">
        <v>30000</v>
      </c>
      <c r="AA1147">
        <v>0</v>
      </c>
      <c r="AB1147">
        <v>0</v>
      </c>
      <c r="AC1147">
        <v>0</v>
      </c>
      <c r="AD1147">
        <v>0</v>
      </c>
      <c r="AG1147">
        <v>0</v>
      </c>
      <c r="AP1147" t="s">
        <v>4133</v>
      </c>
      <c r="AQ1147" t="s">
        <v>321</v>
      </c>
      <c r="AR1147" t="s">
        <v>6652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C1147" t="s">
        <v>69</v>
      </c>
      <c r="BD1147" t="s">
        <v>4173</v>
      </c>
      <c r="BE1147">
        <v>0</v>
      </c>
      <c r="BG1147" t="s">
        <v>321</v>
      </c>
      <c r="BJ1147" t="s">
        <v>3912</v>
      </c>
    </row>
    <row r="1148" spans="1:62" x14ac:dyDescent="0.35">
      <c r="A1148" t="s">
        <v>3924</v>
      </c>
      <c r="B1148">
        <v>10000</v>
      </c>
      <c r="C1148">
        <v>20000</v>
      </c>
      <c r="D1148" s="2">
        <v>45736</v>
      </c>
      <c r="E1148" t="s">
        <v>61</v>
      </c>
      <c r="F1148" t="s">
        <v>3925</v>
      </c>
      <c r="G1148" t="s">
        <v>89</v>
      </c>
      <c r="I1148">
        <v>1</v>
      </c>
      <c r="J1148" t="s">
        <v>63</v>
      </c>
      <c r="K1148" s="8">
        <v>73</v>
      </c>
      <c r="L1148" s="8" t="s">
        <v>6586</v>
      </c>
      <c r="M1148" s="8" t="s">
        <v>6627</v>
      </c>
      <c r="N1148" t="s">
        <v>90</v>
      </c>
      <c r="O1148" t="s">
        <v>6564</v>
      </c>
      <c r="P1148" s="4">
        <v>12000</v>
      </c>
      <c r="Q1148">
        <f>(P1148/60)+45</f>
        <v>245</v>
      </c>
      <c r="R1148">
        <f>Q1148/60</f>
        <v>4.083333333333333</v>
      </c>
      <c r="S1148" s="2">
        <v>45735</v>
      </c>
      <c r="U1148">
        <v>12</v>
      </c>
      <c r="V1148" s="4">
        <v>144000</v>
      </c>
      <c r="W1148" t="s">
        <v>65</v>
      </c>
      <c r="X1148">
        <v>80256220001</v>
      </c>
      <c r="Y1148">
        <v>0</v>
      </c>
      <c r="Z1148" s="4">
        <v>144000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>
        <v>8025622</v>
      </c>
      <c r="AQ1148" t="s">
        <v>91</v>
      </c>
      <c r="AR1148" t="s">
        <v>6637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BC1148" t="s">
        <v>69</v>
      </c>
      <c r="BD1148" t="s">
        <v>3926</v>
      </c>
      <c r="BE1148">
        <v>0</v>
      </c>
      <c r="BG1148" t="s">
        <v>91</v>
      </c>
      <c r="BJ1148" t="s">
        <v>3927</v>
      </c>
    </row>
    <row r="1149" spans="1:62" x14ac:dyDescent="0.35">
      <c r="A1149" t="s">
        <v>4174</v>
      </c>
      <c r="B1149">
        <v>10000</v>
      </c>
      <c r="C1149">
        <v>10000</v>
      </c>
      <c r="D1149" s="2">
        <v>45735</v>
      </c>
      <c r="E1149" t="s">
        <v>61</v>
      </c>
      <c r="F1149" t="s">
        <v>4175</v>
      </c>
      <c r="G1149" t="s">
        <v>418</v>
      </c>
      <c r="I1149">
        <v>1</v>
      </c>
      <c r="J1149" t="s">
        <v>63</v>
      </c>
      <c r="K1149" s="8">
        <v>59</v>
      </c>
      <c r="L1149" s="8" t="s">
        <v>6592</v>
      </c>
      <c r="M1149" s="8" t="s">
        <v>6629</v>
      </c>
      <c r="N1149" t="s">
        <v>745</v>
      </c>
      <c r="O1149" t="s">
        <v>6501</v>
      </c>
      <c r="P1149">
        <v>100</v>
      </c>
      <c r="Q1149">
        <f t="shared" ref="Q1149:Q1153" si="292">(P1149/40)+45</f>
        <v>47.5</v>
      </c>
      <c r="R1149">
        <f t="shared" ref="R1149:R1153" si="293">Q1149/60</f>
        <v>0.79166666666666663</v>
      </c>
      <c r="S1149" s="2">
        <v>45735</v>
      </c>
      <c r="U1149">
        <v>10</v>
      </c>
      <c r="V1149" s="4">
        <v>1000</v>
      </c>
      <c r="W1149" t="s">
        <v>65</v>
      </c>
      <c r="X1149">
        <v>112024410001</v>
      </c>
      <c r="Y1149">
        <v>0</v>
      </c>
      <c r="Z1149" s="4">
        <v>1000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>
        <v>11202441</v>
      </c>
      <c r="AQ1149" t="s">
        <v>182</v>
      </c>
      <c r="AR1149" t="s">
        <v>6643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C1149" t="s">
        <v>69</v>
      </c>
      <c r="BD1149" t="s">
        <v>4176</v>
      </c>
      <c r="BE1149">
        <v>0</v>
      </c>
      <c r="BG1149" t="s">
        <v>182</v>
      </c>
      <c r="BJ1149" t="s">
        <v>4177</v>
      </c>
    </row>
    <row r="1150" spans="1:62" x14ac:dyDescent="0.35">
      <c r="A1150" t="s">
        <v>4174</v>
      </c>
      <c r="B1150">
        <v>20000</v>
      </c>
      <c r="C1150">
        <v>10000</v>
      </c>
      <c r="D1150" s="2">
        <v>45735</v>
      </c>
      <c r="E1150" t="s">
        <v>61</v>
      </c>
      <c r="F1150" t="s">
        <v>4175</v>
      </c>
      <c r="G1150" t="s">
        <v>418</v>
      </c>
      <c r="I1150">
        <v>1</v>
      </c>
      <c r="J1150" t="s">
        <v>63</v>
      </c>
      <c r="K1150" s="8">
        <v>59</v>
      </c>
      <c r="L1150" s="8" t="s">
        <v>6592</v>
      </c>
      <c r="M1150" s="8" t="s">
        <v>6629</v>
      </c>
      <c r="N1150" t="s">
        <v>745</v>
      </c>
      <c r="O1150" t="s">
        <v>6501</v>
      </c>
      <c r="P1150">
        <v>100</v>
      </c>
      <c r="Q1150">
        <f t="shared" si="292"/>
        <v>47.5</v>
      </c>
      <c r="R1150">
        <f t="shared" si="293"/>
        <v>0.79166666666666663</v>
      </c>
      <c r="S1150" s="2">
        <v>45735</v>
      </c>
      <c r="U1150">
        <v>10</v>
      </c>
      <c r="V1150" s="4">
        <v>1000</v>
      </c>
      <c r="W1150" t="s">
        <v>65</v>
      </c>
      <c r="X1150">
        <v>112024410001</v>
      </c>
      <c r="Y1150">
        <v>0</v>
      </c>
      <c r="Z1150" s="4">
        <v>1000</v>
      </c>
      <c r="AA1150">
        <v>0</v>
      </c>
      <c r="AB1150">
        <v>0</v>
      </c>
      <c r="AC1150">
        <v>0</v>
      </c>
      <c r="AD1150">
        <v>0</v>
      </c>
      <c r="AG1150">
        <v>0</v>
      </c>
      <c r="AP1150">
        <v>11202441</v>
      </c>
      <c r="AQ1150" t="s">
        <v>182</v>
      </c>
      <c r="AR1150" t="s">
        <v>6643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C1150" t="s">
        <v>69</v>
      </c>
      <c r="BD1150" t="s">
        <v>4176</v>
      </c>
      <c r="BE1150">
        <v>0</v>
      </c>
      <c r="BG1150" t="s">
        <v>182</v>
      </c>
      <c r="BJ1150" t="s">
        <v>4177</v>
      </c>
    </row>
    <row r="1151" spans="1:62" x14ac:dyDescent="0.35">
      <c r="A1151" t="s">
        <v>4178</v>
      </c>
      <c r="B1151">
        <v>10000</v>
      </c>
      <c r="C1151">
        <v>10000</v>
      </c>
      <c r="D1151" s="2">
        <v>45735</v>
      </c>
      <c r="E1151" t="s">
        <v>61</v>
      </c>
      <c r="F1151" t="s">
        <v>4179</v>
      </c>
      <c r="G1151" t="s">
        <v>418</v>
      </c>
      <c r="I1151">
        <v>1</v>
      </c>
      <c r="J1151" t="s">
        <v>63</v>
      </c>
      <c r="K1151" s="8">
        <v>59</v>
      </c>
      <c r="L1151" s="8" t="s">
        <v>6592</v>
      </c>
      <c r="M1151" s="8" t="s">
        <v>6629</v>
      </c>
      <c r="N1151" t="s">
        <v>745</v>
      </c>
      <c r="O1151" t="s">
        <v>6501</v>
      </c>
      <c r="P1151" s="4">
        <v>1000</v>
      </c>
      <c r="Q1151">
        <f t="shared" si="292"/>
        <v>70</v>
      </c>
      <c r="R1151">
        <f t="shared" si="293"/>
        <v>1.1666666666666667</v>
      </c>
      <c r="S1151" s="2">
        <v>45735</v>
      </c>
      <c r="U1151">
        <v>10</v>
      </c>
      <c r="V1151" s="4">
        <v>10000</v>
      </c>
      <c r="W1151" t="s">
        <v>65</v>
      </c>
      <c r="X1151">
        <v>112023700001</v>
      </c>
      <c r="Y1151">
        <v>0</v>
      </c>
      <c r="Z1151" s="4">
        <v>10000</v>
      </c>
      <c r="AA1151">
        <v>0</v>
      </c>
      <c r="AB1151">
        <v>0</v>
      </c>
      <c r="AC1151">
        <v>0</v>
      </c>
      <c r="AD1151">
        <v>0</v>
      </c>
      <c r="AG1151">
        <v>0</v>
      </c>
      <c r="AP1151">
        <v>11202370</v>
      </c>
      <c r="AQ1151" t="s">
        <v>182</v>
      </c>
      <c r="AR1151" t="s">
        <v>6643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BC1151" t="s">
        <v>69</v>
      </c>
      <c r="BD1151" t="s">
        <v>4180</v>
      </c>
      <c r="BE1151">
        <v>0</v>
      </c>
      <c r="BG1151" t="s">
        <v>182</v>
      </c>
      <c r="BJ1151" t="s">
        <v>4181</v>
      </c>
    </row>
    <row r="1152" spans="1:62" x14ac:dyDescent="0.35">
      <c r="A1152" t="s">
        <v>4178</v>
      </c>
      <c r="B1152">
        <v>20000</v>
      </c>
      <c r="C1152">
        <v>10000</v>
      </c>
      <c r="D1152" s="2">
        <v>45735</v>
      </c>
      <c r="E1152" t="s">
        <v>61</v>
      </c>
      <c r="F1152" t="s">
        <v>4179</v>
      </c>
      <c r="G1152" t="s">
        <v>418</v>
      </c>
      <c r="I1152">
        <v>1</v>
      </c>
      <c r="J1152" t="s">
        <v>63</v>
      </c>
      <c r="K1152" s="8">
        <v>59</v>
      </c>
      <c r="L1152" s="8" t="s">
        <v>6592</v>
      </c>
      <c r="M1152" s="8" t="s">
        <v>6629</v>
      </c>
      <c r="N1152" t="s">
        <v>745</v>
      </c>
      <c r="O1152" t="s">
        <v>6501</v>
      </c>
      <c r="P1152" s="4">
        <v>1000</v>
      </c>
      <c r="Q1152">
        <f t="shared" si="292"/>
        <v>70</v>
      </c>
      <c r="R1152">
        <f t="shared" si="293"/>
        <v>1.1666666666666667</v>
      </c>
      <c r="S1152" s="2">
        <v>45735</v>
      </c>
      <c r="U1152">
        <v>10</v>
      </c>
      <c r="V1152" s="4">
        <v>10000</v>
      </c>
      <c r="W1152" t="s">
        <v>65</v>
      </c>
      <c r="X1152">
        <v>112023700001</v>
      </c>
      <c r="Y1152">
        <v>0</v>
      </c>
      <c r="Z1152" s="4">
        <v>10000</v>
      </c>
      <c r="AA1152">
        <v>0</v>
      </c>
      <c r="AB1152">
        <v>0</v>
      </c>
      <c r="AC1152">
        <v>0</v>
      </c>
      <c r="AD1152">
        <v>0</v>
      </c>
      <c r="AG1152">
        <v>0</v>
      </c>
      <c r="AP1152">
        <v>11202370</v>
      </c>
      <c r="AQ1152" t="s">
        <v>182</v>
      </c>
      <c r="AR1152" t="s">
        <v>6643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BC1152" t="s">
        <v>69</v>
      </c>
      <c r="BD1152" t="s">
        <v>4180</v>
      </c>
      <c r="BE1152">
        <v>0</v>
      </c>
      <c r="BG1152" t="s">
        <v>182</v>
      </c>
      <c r="BJ1152" t="s">
        <v>4181</v>
      </c>
    </row>
    <row r="1153" spans="1:62" x14ac:dyDescent="0.35">
      <c r="A1153" t="s">
        <v>4178</v>
      </c>
      <c r="B1153">
        <v>30000</v>
      </c>
      <c r="C1153">
        <v>10000</v>
      </c>
      <c r="D1153" s="2">
        <v>45735</v>
      </c>
      <c r="E1153" t="s">
        <v>61</v>
      </c>
      <c r="F1153" t="s">
        <v>4179</v>
      </c>
      <c r="G1153" t="s">
        <v>418</v>
      </c>
      <c r="I1153">
        <v>1</v>
      </c>
      <c r="J1153" t="s">
        <v>63</v>
      </c>
      <c r="K1153" s="8">
        <v>59</v>
      </c>
      <c r="L1153" s="8" t="s">
        <v>6592</v>
      </c>
      <c r="M1153" s="8" t="s">
        <v>6629</v>
      </c>
      <c r="N1153" t="s">
        <v>745</v>
      </c>
      <c r="O1153" t="s">
        <v>6501</v>
      </c>
      <c r="P1153" s="4">
        <v>1000</v>
      </c>
      <c r="Q1153">
        <f t="shared" si="292"/>
        <v>70</v>
      </c>
      <c r="R1153">
        <f t="shared" si="293"/>
        <v>1.1666666666666667</v>
      </c>
      <c r="S1153" s="2">
        <v>45735</v>
      </c>
      <c r="U1153">
        <v>10</v>
      </c>
      <c r="V1153" s="4">
        <v>10000</v>
      </c>
      <c r="W1153" t="s">
        <v>65</v>
      </c>
      <c r="X1153">
        <v>112023700001</v>
      </c>
      <c r="Y1153">
        <v>0</v>
      </c>
      <c r="Z1153" s="4">
        <v>10000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>
        <v>11202370</v>
      </c>
      <c r="AQ1153" t="s">
        <v>182</v>
      </c>
      <c r="AR1153" t="s">
        <v>6643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BC1153" t="s">
        <v>69</v>
      </c>
      <c r="BD1153" t="s">
        <v>4180</v>
      </c>
      <c r="BE1153">
        <v>0</v>
      </c>
      <c r="BG1153" t="s">
        <v>182</v>
      </c>
      <c r="BJ1153" t="s">
        <v>4181</v>
      </c>
    </row>
    <row r="1154" spans="1:62" x14ac:dyDescent="0.35">
      <c r="A1154" t="s">
        <v>3928</v>
      </c>
      <c r="B1154">
        <v>20000</v>
      </c>
      <c r="C1154">
        <v>20000</v>
      </c>
      <c r="D1154" s="2">
        <v>45741</v>
      </c>
      <c r="E1154" t="s">
        <v>61</v>
      </c>
      <c r="F1154" s="3">
        <v>0.44512731481481482</v>
      </c>
      <c r="G1154" t="s">
        <v>3929</v>
      </c>
      <c r="I1154">
        <v>1</v>
      </c>
      <c r="J1154" t="s">
        <v>63</v>
      </c>
      <c r="K1154" s="8">
        <v>103</v>
      </c>
      <c r="L1154" s="8" t="s">
        <v>6589</v>
      </c>
      <c r="M1154" s="8" t="s">
        <v>6630</v>
      </c>
      <c r="N1154" t="s">
        <v>733</v>
      </c>
      <c r="O1154" t="s">
        <v>6561</v>
      </c>
      <c r="P1154" s="4">
        <v>43125</v>
      </c>
      <c r="Q1154">
        <f>(P1154/20)+45</f>
        <v>2201.25</v>
      </c>
      <c r="R1154">
        <f>Q1154/60</f>
        <v>36.6875</v>
      </c>
      <c r="S1154" s="2">
        <v>45735</v>
      </c>
      <c r="U1154">
        <v>8</v>
      </c>
      <c r="V1154" s="4">
        <v>345000</v>
      </c>
      <c r="W1154" t="s">
        <v>65</v>
      </c>
      <c r="X1154" s="12" t="s">
        <v>319</v>
      </c>
      <c r="Y1154">
        <v>0</v>
      </c>
      <c r="Z1154" s="4">
        <v>345000</v>
      </c>
      <c r="AA1154">
        <v>0</v>
      </c>
      <c r="AB1154">
        <v>0</v>
      </c>
      <c r="AC1154">
        <v>0</v>
      </c>
      <c r="AD1154">
        <v>0</v>
      </c>
      <c r="AG1154">
        <v>0</v>
      </c>
      <c r="AP1154" t="s">
        <v>320</v>
      </c>
      <c r="AQ1154" t="s">
        <v>321</v>
      </c>
      <c r="AR1154" t="s">
        <v>6652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BC1154" t="s">
        <v>69</v>
      </c>
      <c r="BD1154" t="s">
        <v>3930</v>
      </c>
      <c r="BE1154">
        <v>0</v>
      </c>
      <c r="BG1154" t="s">
        <v>321</v>
      </c>
      <c r="BJ1154" t="s">
        <v>3931</v>
      </c>
    </row>
    <row r="1155" spans="1:62" x14ac:dyDescent="0.35">
      <c r="A1155" t="s">
        <v>3928</v>
      </c>
      <c r="B1155">
        <v>20000</v>
      </c>
      <c r="C1155">
        <v>30000</v>
      </c>
      <c r="D1155" s="2">
        <v>45741</v>
      </c>
      <c r="E1155" t="s">
        <v>61</v>
      </c>
      <c r="F1155" s="3">
        <v>0.44512731481481482</v>
      </c>
      <c r="G1155" t="s">
        <v>3929</v>
      </c>
      <c r="I1155">
        <v>1</v>
      </c>
      <c r="J1155" t="s">
        <v>63</v>
      </c>
      <c r="K1155" s="8">
        <v>103</v>
      </c>
      <c r="L1155" s="8" t="s">
        <v>6589</v>
      </c>
      <c r="M1155" s="8" t="s">
        <v>6630</v>
      </c>
      <c r="N1155" t="s">
        <v>732</v>
      </c>
      <c r="O1155" t="s">
        <v>6563</v>
      </c>
      <c r="P1155" s="4">
        <v>22500</v>
      </c>
      <c r="S1155" s="2">
        <v>45735</v>
      </c>
      <c r="U1155">
        <v>8</v>
      </c>
      <c r="V1155" s="4">
        <v>180000</v>
      </c>
      <c r="W1155" t="s">
        <v>65</v>
      </c>
      <c r="X1155" t="s">
        <v>319</v>
      </c>
      <c r="Y1155">
        <v>0</v>
      </c>
      <c r="Z1155" s="4">
        <v>180000</v>
      </c>
      <c r="AA1155">
        <v>0</v>
      </c>
      <c r="AB1155">
        <v>0</v>
      </c>
      <c r="AC1155">
        <v>0</v>
      </c>
      <c r="AD1155">
        <v>0</v>
      </c>
      <c r="AG1155">
        <v>0</v>
      </c>
      <c r="AP1155" t="s">
        <v>320</v>
      </c>
      <c r="AQ1155" t="s">
        <v>321</v>
      </c>
      <c r="AR1155" t="s">
        <v>6652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BC1155" t="s">
        <v>69</v>
      </c>
      <c r="BD1155" t="s">
        <v>3930</v>
      </c>
      <c r="BE1155">
        <v>0</v>
      </c>
      <c r="BG1155" t="s">
        <v>321</v>
      </c>
      <c r="BJ1155" t="s">
        <v>3931</v>
      </c>
    </row>
    <row r="1156" spans="1:62" x14ac:dyDescent="0.35">
      <c r="A1156" t="s">
        <v>4182</v>
      </c>
      <c r="B1156">
        <v>10000</v>
      </c>
      <c r="C1156">
        <v>10000</v>
      </c>
      <c r="D1156" s="2">
        <v>45741</v>
      </c>
      <c r="E1156" t="s">
        <v>61</v>
      </c>
      <c r="F1156" t="s">
        <v>4183</v>
      </c>
      <c r="G1156" t="s">
        <v>4156</v>
      </c>
      <c r="I1156">
        <v>1</v>
      </c>
      <c r="J1156" t="s">
        <v>63</v>
      </c>
      <c r="K1156" s="8">
        <v>79</v>
      </c>
      <c r="L1156" s="8" t="s">
        <v>6608</v>
      </c>
      <c r="M1156" s="8" t="s">
        <v>6631</v>
      </c>
      <c r="N1156" t="s">
        <v>573</v>
      </c>
      <c r="O1156" t="s">
        <v>6547</v>
      </c>
      <c r="P1156" s="4">
        <v>4260</v>
      </c>
      <c r="Q1156">
        <f>(P1156/20)+30</f>
        <v>243</v>
      </c>
      <c r="R1156">
        <f>Q1156/60</f>
        <v>4.05</v>
      </c>
      <c r="S1156" s="2">
        <v>45735</v>
      </c>
      <c r="U1156">
        <v>27</v>
      </c>
      <c r="V1156" s="4">
        <v>115020</v>
      </c>
      <c r="W1156" t="s">
        <v>65</v>
      </c>
      <c r="X1156" t="s">
        <v>4184</v>
      </c>
      <c r="Y1156">
        <v>0</v>
      </c>
      <c r="Z1156" s="4">
        <v>100000</v>
      </c>
      <c r="AA1156" s="4">
        <v>15020</v>
      </c>
      <c r="AB1156">
        <v>0</v>
      </c>
      <c r="AC1156">
        <v>0</v>
      </c>
      <c r="AD1156">
        <v>0</v>
      </c>
      <c r="AG1156">
        <v>0</v>
      </c>
      <c r="AP1156" t="s">
        <v>4185</v>
      </c>
      <c r="AQ1156" t="s">
        <v>107</v>
      </c>
      <c r="AR1156" t="s">
        <v>6638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BC1156" t="s">
        <v>69</v>
      </c>
      <c r="BD1156" t="s">
        <v>4186</v>
      </c>
      <c r="BE1156">
        <v>0</v>
      </c>
      <c r="BG1156" t="s">
        <v>107</v>
      </c>
      <c r="BJ1156" t="s">
        <v>4187</v>
      </c>
    </row>
    <row r="1157" spans="1:62" x14ac:dyDescent="0.35">
      <c r="A1157" t="s">
        <v>1796</v>
      </c>
      <c r="B1157">
        <v>10000</v>
      </c>
      <c r="C1157">
        <v>30000</v>
      </c>
      <c r="D1157" s="2">
        <v>45740</v>
      </c>
      <c r="E1157" t="s">
        <v>61</v>
      </c>
      <c r="F1157" t="s">
        <v>1797</v>
      </c>
      <c r="G1157">
        <v>10639931011</v>
      </c>
      <c r="I1157">
        <v>3</v>
      </c>
      <c r="J1157" t="s">
        <v>63</v>
      </c>
      <c r="K1157" s="8">
        <v>85</v>
      </c>
      <c r="L1157" s="8" t="s">
        <v>6585</v>
      </c>
      <c r="M1157" s="8" t="s">
        <v>6628</v>
      </c>
      <c r="N1157" t="s">
        <v>104</v>
      </c>
      <c r="O1157" t="s">
        <v>6579</v>
      </c>
      <c r="P1157" s="4">
        <v>18182</v>
      </c>
      <c r="S1157" s="2">
        <v>45735</v>
      </c>
      <c r="U1157">
        <v>11</v>
      </c>
      <c r="V1157" s="4">
        <v>200002</v>
      </c>
      <c r="W1157" t="s">
        <v>65</v>
      </c>
      <c r="X1157" t="s">
        <v>1798</v>
      </c>
      <c r="Y1157">
        <v>0</v>
      </c>
      <c r="Z1157" s="4">
        <v>180000</v>
      </c>
      <c r="AA1157" s="4">
        <v>20002</v>
      </c>
      <c r="AB1157">
        <v>0</v>
      </c>
      <c r="AC1157">
        <v>0</v>
      </c>
      <c r="AD1157">
        <v>0</v>
      </c>
      <c r="AG1157">
        <v>0</v>
      </c>
      <c r="AP1157" t="s">
        <v>1799</v>
      </c>
      <c r="AQ1157" t="s">
        <v>107</v>
      </c>
      <c r="AR1157" t="s">
        <v>6638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BC1157" t="s">
        <v>69</v>
      </c>
      <c r="BD1157" t="s">
        <v>1800</v>
      </c>
      <c r="BE1157">
        <v>0</v>
      </c>
      <c r="BG1157" t="s">
        <v>107</v>
      </c>
      <c r="BJ1157" t="s">
        <v>1801</v>
      </c>
    </row>
    <row r="1158" spans="1:62" x14ac:dyDescent="0.35">
      <c r="A1158" t="s">
        <v>4188</v>
      </c>
      <c r="B1158">
        <v>10000</v>
      </c>
      <c r="C1158">
        <v>10000</v>
      </c>
      <c r="D1158" s="2">
        <v>45741</v>
      </c>
      <c r="E1158" t="s">
        <v>61</v>
      </c>
      <c r="F1158" t="s">
        <v>1345</v>
      </c>
      <c r="G1158" t="s">
        <v>4156</v>
      </c>
      <c r="I1158">
        <v>1</v>
      </c>
      <c r="J1158" t="s">
        <v>63</v>
      </c>
      <c r="K1158" s="8">
        <v>79</v>
      </c>
      <c r="L1158" s="8" t="s">
        <v>6608</v>
      </c>
      <c r="M1158" s="8" t="s">
        <v>6631</v>
      </c>
      <c r="N1158" t="s">
        <v>573</v>
      </c>
      <c r="O1158" t="s">
        <v>6547</v>
      </c>
      <c r="P1158" s="4">
        <v>4260</v>
      </c>
      <c r="Q1158">
        <f t="shared" ref="Q1158:Q1159" si="294">(P1158/20)+30</f>
        <v>243</v>
      </c>
      <c r="R1158">
        <f t="shared" ref="R1158:R1159" si="295">Q1158/60</f>
        <v>4.05</v>
      </c>
      <c r="S1158" s="2">
        <v>45735</v>
      </c>
      <c r="U1158">
        <v>27</v>
      </c>
      <c r="V1158" s="4">
        <v>115020</v>
      </c>
      <c r="W1158" t="s">
        <v>65</v>
      </c>
      <c r="X1158" t="s">
        <v>4189</v>
      </c>
      <c r="Y1158">
        <v>0</v>
      </c>
      <c r="Z1158" s="4">
        <v>100000</v>
      </c>
      <c r="AA1158" s="4">
        <v>15020</v>
      </c>
      <c r="AB1158">
        <v>0</v>
      </c>
      <c r="AC1158">
        <v>0</v>
      </c>
      <c r="AD1158">
        <v>0</v>
      </c>
      <c r="AG1158">
        <v>0</v>
      </c>
      <c r="AP1158" t="s">
        <v>4190</v>
      </c>
      <c r="AQ1158" t="s">
        <v>107</v>
      </c>
      <c r="AR1158" t="s">
        <v>6638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BC1158" t="s">
        <v>69</v>
      </c>
      <c r="BD1158" t="s">
        <v>4191</v>
      </c>
      <c r="BE1158">
        <v>0</v>
      </c>
      <c r="BG1158" t="s">
        <v>107</v>
      </c>
      <c r="BJ1158" t="s">
        <v>4192</v>
      </c>
    </row>
    <row r="1159" spans="1:62" x14ac:dyDescent="0.35">
      <c r="A1159" t="s">
        <v>4193</v>
      </c>
      <c r="B1159">
        <v>10000</v>
      </c>
      <c r="C1159">
        <v>10000</v>
      </c>
      <c r="D1159" s="2">
        <v>45741</v>
      </c>
      <c r="E1159" t="s">
        <v>61</v>
      </c>
      <c r="F1159" t="s">
        <v>4194</v>
      </c>
      <c r="G1159" t="s">
        <v>4156</v>
      </c>
      <c r="I1159">
        <v>1</v>
      </c>
      <c r="J1159" t="s">
        <v>63</v>
      </c>
      <c r="K1159" s="8">
        <v>79</v>
      </c>
      <c r="L1159" s="8" t="s">
        <v>6608</v>
      </c>
      <c r="M1159" s="8" t="s">
        <v>6631</v>
      </c>
      <c r="N1159" t="s">
        <v>573</v>
      </c>
      <c r="O1159" t="s">
        <v>6547</v>
      </c>
      <c r="P1159" s="4">
        <v>4260</v>
      </c>
      <c r="Q1159">
        <f t="shared" si="294"/>
        <v>243</v>
      </c>
      <c r="R1159">
        <f t="shared" si="295"/>
        <v>4.05</v>
      </c>
      <c r="S1159" s="2">
        <v>45735</v>
      </c>
      <c r="U1159">
        <v>27</v>
      </c>
      <c r="V1159" s="4">
        <v>115020</v>
      </c>
      <c r="W1159" t="s">
        <v>65</v>
      </c>
      <c r="X1159" t="s">
        <v>814</v>
      </c>
      <c r="Y1159">
        <v>0</v>
      </c>
      <c r="Z1159" s="4">
        <v>100000</v>
      </c>
      <c r="AA1159" s="4">
        <v>15020</v>
      </c>
      <c r="AB1159">
        <v>0</v>
      </c>
      <c r="AC1159">
        <v>0</v>
      </c>
      <c r="AD1159">
        <v>0</v>
      </c>
      <c r="AG1159">
        <v>0</v>
      </c>
      <c r="AP1159" t="s">
        <v>815</v>
      </c>
      <c r="AQ1159" t="s">
        <v>107</v>
      </c>
      <c r="AR1159" t="s">
        <v>6638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BC1159" t="s">
        <v>69</v>
      </c>
      <c r="BD1159" t="s">
        <v>4195</v>
      </c>
      <c r="BE1159">
        <v>0</v>
      </c>
      <c r="BG1159" t="s">
        <v>107</v>
      </c>
      <c r="BJ1159" t="s">
        <v>4196</v>
      </c>
    </row>
    <row r="1160" spans="1:62" x14ac:dyDescent="0.35">
      <c r="A1160" t="s">
        <v>4197</v>
      </c>
      <c r="B1160">
        <v>10000</v>
      </c>
      <c r="C1160">
        <v>10000</v>
      </c>
      <c r="D1160" s="2">
        <v>45735</v>
      </c>
      <c r="E1160" t="s">
        <v>61</v>
      </c>
      <c r="F1160" t="s">
        <v>4198</v>
      </c>
      <c r="G1160" t="s">
        <v>2069</v>
      </c>
      <c r="I1160">
        <v>1</v>
      </c>
      <c r="J1160" t="s">
        <v>63</v>
      </c>
      <c r="K1160" s="8">
        <v>94</v>
      </c>
      <c r="L1160" s="8" t="s">
        <v>6599</v>
      </c>
      <c r="M1160" s="8" t="s">
        <v>6629</v>
      </c>
      <c r="N1160" t="s">
        <v>181</v>
      </c>
      <c r="O1160" t="s">
        <v>6544</v>
      </c>
      <c r="P1160" s="4">
        <v>5000</v>
      </c>
      <c r="S1160" s="2">
        <v>45735</v>
      </c>
      <c r="U1160">
        <v>4</v>
      </c>
      <c r="V1160" s="4">
        <v>20000</v>
      </c>
      <c r="W1160" t="s">
        <v>65</v>
      </c>
      <c r="X1160" t="s">
        <v>3859</v>
      </c>
      <c r="Y1160">
        <v>0</v>
      </c>
      <c r="Z1160" s="4">
        <v>20000</v>
      </c>
      <c r="AA1160">
        <v>0</v>
      </c>
      <c r="AB1160">
        <v>0</v>
      </c>
      <c r="AC1160">
        <v>0</v>
      </c>
      <c r="AD1160">
        <v>0</v>
      </c>
      <c r="AG1160">
        <v>0</v>
      </c>
      <c r="AP1160" t="s">
        <v>3860</v>
      </c>
      <c r="AQ1160" t="s">
        <v>364</v>
      </c>
      <c r="AR1160" t="s">
        <v>6653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BC1160" t="s">
        <v>69</v>
      </c>
      <c r="BD1160" t="s">
        <v>4199</v>
      </c>
      <c r="BE1160">
        <v>0</v>
      </c>
      <c r="BG1160" t="s">
        <v>364</v>
      </c>
      <c r="BJ1160" t="s">
        <v>4200</v>
      </c>
    </row>
    <row r="1161" spans="1:62" x14ac:dyDescent="0.35">
      <c r="A1161" t="s">
        <v>4201</v>
      </c>
      <c r="B1161">
        <v>10000</v>
      </c>
      <c r="C1161">
        <v>10000</v>
      </c>
      <c r="D1161" s="2">
        <v>45736</v>
      </c>
      <c r="E1161" t="s">
        <v>61</v>
      </c>
      <c r="F1161" t="s">
        <v>4202</v>
      </c>
      <c r="G1161" t="s">
        <v>418</v>
      </c>
      <c r="I1161">
        <v>1</v>
      </c>
      <c r="J1161" t="s">
        <v>63</v>
      </c>
      <c r="K1161" s="8">
        <v>59</v>
      </c>
      <c r="L1161" s="8" t="s">
        <v>6592</v>
      </c>
      <c r="M1161" s="8" t="s">
        <v>6629</v>
      </c>
      <c r="N1161" t="s">
        <v>745</v>
      </c>
      <c r="O1161" t="s">
        <v>6501</v>
      </c>
      <c r="P1161" s="4">
        <v>2000</v>
      </c>
      <c r="Q1161">
        <f t="shared" ref="Q1161:Q1162" si="296">(P1161/40)+45</f>
        <v>95</v>
      </c>
      <c r="R1161">
        <f t="shared" ref="R1161:R1162" si="297">Q1161/60</f>
        <v>1.5833333333333333</v>
      </c>
      <c r="S1161" s="2">
        <v>45735</v>
      </c>
      <c r="U1161">
        <v>10</v>
      </c>
      <c r="V1161" s="4">
        <v>20000</v>
      </c>
      <c r="W1161" t="s">
        <v>65</v>
      </c>
      <c r="X1161">
        <v>112023530001</v>
      </c>
      <c r="Y1161">
        <v>0</v>
      </c>
      <c r="Z1161" s="4">
        <v>20000</v>
      </c>
      <c r="AA1161">
        <v>0</v>
      </c>
      <c r="AB1161">
        <v>0</v>
      </c>
      <c r="AC1161">
        <v>0</v>
      </c>
      <c r="AD1161">
        <v>0</v>
      </c>
      <c r="AG1161">
        <v>0</v>
      </c>
      <c r="AP1161">
        <v>11202353</v>
      </c>
      <c r="AQ1161" t="s">
        <v>2825</v>
      </c>
      <c r="AR1161" t="s">
        <v>6708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BC1161" t="s">
        <v>69</v>
      </c>
      <c r="BD1161" t="s">
        <v>4203</v>
      </c>
      <c r="BE1161">
        <v>0</v>
      </c>
      <c r="BG1161" t="s">
        <v>2825</v>
      </c>
      <c r="BJ1161" t="s">
        <v>4204</v>
      </c>
    </row>
    <row r="1162" spans="1:62" x14ac:dyDescent="0.35">
      <c r="A1162" t="s">
        <v>4205</v>
      </c>
      <c r="B1162">
        <v>10000</v>
      </c>
      <c r="C1162">
        <v>10000</v>
      </c>
      <c r="D1162" s="2">
        <v>45735</v>
      </c>
      <c r="E1162" t="s">
        <v>61</v>
      </c>
      <c r="F1162" s="3">
        <v>0.47158564814814813</v>
      </c>
      <c r="G1162" t="s">
        <v>4206</v>
      </c>
      <c r="I1162">
        <v>1</v>
      </c>
      <c r="J1162" t="s">
        <v>63</v>
      </c>
      <c r="K1162" s="8">
        <v>65</v>
      </c>
      <c r="L1162" s="8" t="s">
        <v>6596</v>
      </c>
      <c r="M1162" s="8" t="s">
        <v>6630</v>
      </c>
      <c r="N1162" t="s">
        <v>268</v>
      </c>
      <c r="O1162" t="s">
        <v>6543</v>
      </c>
      <c r="P1162" s="4">
        <v>2101</v>
      </c>
      <c r="Q1162">
        <f t="shared" si="296"/>
        <v>97.525000000000006</v>
      </c>
      <c r="R1162">
        <f t="shared" si="297"/>
        <v>1.6254166666666667</v>
      </c>
      <c r="S1162" s="2">
        <v>45735</v>
      </c>
      <c r="U1162">
        <v>8</v>
      </c>
      <c r="V1162" s="4">
        <v>16808</v>
      </c>
      <c r="W1162" t="s">
        <v>65</v>
      </c>
      <c r="X1162">
        <v>150638440001</v>
      </c>
      <c r="Y1162">
        <v>0</v>
      </c>
      <c r="Z1162" s="4">
        <v>16806</v>
      </c>
      <c r="AA1162">
        <v>2</v>
      </c>
      <c r="AB1162">
        <v>0</v>
      </c>
      <c r="AC1162">
        <v>0</v>
      </c>
      <c r="AD1162">
        <v>0</v>
      </c>
      <c r="AG1162">
        <v>0</v>
      </c>
      <c r="AP1162">
        <v>15063844</v>
      </c>
      <c r="AQ1162" t="s">
        <v>311</v>
      </c>
      <c r="AR1162" t="s">
        <v>6651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BC1162" t="s">
        <v>69</v>
      </c>
      <c r="BD1162" t="s">
        <v>4207</v>
      </c>
      <c r="BE1162">
        <v>0</v>
      </c>
      <c r="BG1162" t="s">
        <v>311</v>
      </c>
      <c r="BJ1162" t="s">
        <v>4208</v>
      </c>
    </row>
    <row r="1163" spans="1:62" x14ac:dyDescent="0.35">
      <c r="A1163" t="s">
        <v>4209</v>
      </c>
      <c r="B1163">
        <v>10000</v>
      </c>
      <c r="C1163">
        <v>10000</v>
      </c>
      <c r="D1163" s="2">
        <v>45736</v>
      </c>
      <c r="E1163" t="s">
        <v>61</v>
      </c>
      <c r="F1163" t="s">
        <v>4210</v>
      </c>
      <c r="G1163" t="s">
        <v>4211</v>
      </c>
      <c r="I1163">
        <v>1</v>
      </c>
      <c r="J1163" t="s">
        <v>63</v>
      </c>
      <c r="K1163" s="8">
        <v>72</v>
      </c>
      <c r="L1163" s="8" t="s">
        <v>6606</v>
      </c>
      <c r="M1163" s="8" t="s">
        <v>6631</v>
      </c>
      <c r="N1163" t="s">
        <v>163</v>
      </c>
      <c r="O1163" t="s">
        <v>6548</v>
      </c>
      <c r="P1163" s="4">
        <v>1000</v>
      </c>
      <c r="S1163" s="2">
        <v>45735</v>
      </c>
      <c r="U1163">
        <v>3</v>
      </c>
      <c r="V1163" s="4">
        <v>3000</v>
      </c>
      <c r="W1163" t="s">
        <v>65</v>
      </c>
      <c r="X1163" t="s">
        <v>4212</v>
      </c>
      <c r="Y1163">
        <v>0</v>
      </c>
      <c r="Z1163" s="4">
        <v>1000</v>
      </c>
      <c r="AA1163" s="4">
        <v>2000</v>
      </c>
      <c r="AB1163">
        <v>0</v>
      </c>
      <c r="AC1163">
        <v>0</v>
      </c>
      <c r="AD1163">
        <v>0</v>
      </c>
      <c r="AG1163">
        <v>0</v>
      </c>
      <c r="AP1163" t="s">
        <v>4213</v>
      </c>
      <c r="AQ1163" t="s">
        <v>3168</v>
      </c>
      <c r="AR1163" t="s">
        <v>6716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BC1163" t="s">
        <v>69</v>
      </c>
      <c r="BD1163" t="s">
        <v>4214</v>
      </c>
      <c r="BE1163">
        <v>0</v>
      </c>
      <c r="BG1163" t="s">
        <v>3168</v>
      </c>
      <c r="BJ1163" t="s">
        <v>4215</v>
      </c>
    </row>
    <row r="1164" spans="1:62" x14ac:dyDescent="0.35">
      <c r="A1164" t="s">
        <v>3164</v>
      </c>
      <c r="B1164">
        <v>10000</v>
      </c>
      <c r="C1164">
        <v>40000</v>
      </c>
      <c r="D1164" s="2">
        <v>45736</v>
      </c>
      <c r="E1164" t="s">
        <v>61</v>
      </c>
      <c r="F1164" t="s">
        <v>4216</v>
      </c>
      <c r="G1164">
        <v>860908144578</v>
      </c>
      <c r="I1164">
        <v>1</v>
      </c>
      <c r="J1164" t="s">
        <v>63</v>
      </c>
      <c r="K1164" s="8">
        <v>72</v>
      </c>
      <c r="L1164" s="8" t="s">
        <v>6606</v>
      </c>
      <c r="M1164" s="8" t="s">
        <v>6631</v>
      </c>
      <c r="N1164" t="s">
        <v>163</v>
      </c>
      <c r="O1164" t="s">
        <v>6548</v>
      </c>
      <c r="P1164" s="4">
        <v>1200</v>
      </c>
      <c r="S1164" s="2">
        <v>45735</v>
      </c>
      <c r="U1164">
        <v>3</v>
      </c>
      <c r="V1164" s="4">
        <v>3600</v>
      </c>
      <c r="W1164" t="s">
        <v>65</v>
      </c>
      <c r="X1164" t="s">
        <v>3166</v>
      </c>
      <c r="Y1164">
        <v>0</v>
      </c>
      <c r="Z1164" s="4">
        <v>2700</v>
      </c>
      <c r="AA1164">
        <v>900</v>
      </c>
      <c r="AB1164">
        <v>0</v>
      </c>
      <c r="AC1164">
        <v>0</v>
      </c>
      <c r="AD1164">
        <v>0</v>
      </c>
      <c r="AG1164">
        <v>0</v>
      </c>
      <c r="AP1164" t="s">
        <v>3167</v>
      </c>
      <c r="AQ1164" t="s">
        <v>3168</v>
      </c>
      <c r="AR1164" t="s">
        <v>6716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BC1164" t="s">
        <v>69</v>
      </c>
      <c r="BD1164" t="s">
        <v>3169</v>
      </c>
      <c r="BE1164">
        <v>0</v>
      </c>
      <c r="BG1164" t="s">
        <v>3168</v>
      </c>
      <c r="BJ1164" t="s">
        <v>3170</v>
      </c>
    </row>
    <row r="1165" spans="1:62" x14ac:dyDescent="0.35">
      <c r="A1165" t="s">
        <v>4217</v>
      </c>
      <c r="B1165">
        <v>10000</v>
      </c>
      <c r="C1165">
        <v>20000</v>
      </c>
      <c r="D1165" s="2">
        <v>45744</v>
      </c>
      <c r="E1165" t="s">
        <v>61</v>
      </c>
      <c r="F1165" t="s">
        <v>310</v>
      </c>
      <c r="G1165" t="s">
        <v>4218</v>
      </c>
      <c r="I1165">
        <v>1</v>
      </c>
      <c r="J1165" t="s">
        <v>63</v>
      </c>
      <c r="K1165" s="8">
        <v>79</v>
      </c>
      <c r="L1165" s="8" t="s">
        <v>6608</v>
      </c>
      <c r="M1165" s="8" t="s">
        <v>6631</v>
      </c>
      <c r="N1165" t="s">
        <v>573</v>
      </c>
      <c r="O1165" t="s">
        <v>6547</v>
      </c>
      <c r="P1165" s="4">
        <v>4108</v>
      </c>
      <c r="Q1165">
        <f>(P1165/20)+30</f>
        <v>235.4</v>
      </c>
      <c r="R1165">
        <f>Q1165/60</f>
        <v>3.9233333333333333</v>
      </c>
      <c r="S1165" s="2">
        <v>45735</v>
      </c>
      <c r="U1165">
        <v>28</v>
      </c>
      <c r="V1165" s="4">
        <v>115024</v>
      </c>
      <c r="W1165" t="s">
        <v>65</v>
      </c>
      <c r="X1165" t="s">
        <v>1218</v>
      </c>
      <c r="Y1165">
        <v>0</v>
      </c>
      <c r="Z1165" s="4">
        <v>100000</v>
      </c>
      <c r="AA1165" s="4">
        <v>15024</v>
      </c>
      <c r="AB1165">
        <v>0</v>
      </c>
      <c r="AC1165">
        <v>0</v>
      </c>
      <c r="AD1165">
        <v>0</v>
      </c>
      <c r="AG1165">
        <v>0</v>
      </c>
      <c r="AP1165" t="s">
        <v>1219</v>
      </c>
      <c r="AQ1165" t="s">
        <v>107</v>
      </c>
      <c r="AR1165" t="s">
        <v>6638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BC1165" t="s">
        <v>69</v>
      </c>
      <c r="BD1165" t="s">
        <v>4219</v>
      </c>
      <c r="BE1165">
        <v>0</v>
      </c>
      <c r="BG1165" t="s">
        <v>107</v>
      </c>
      <c r="BJ1165" t="s">
        <v>4220</v>
      </c>
    </row>
    <row r="1166" spans="1:62" x14ac:dyDescent="0.35">
      <c r="A1166" t="s">
        <v>4221</v>
      </c>
      <c r="B1166">
        <v>10000</v>
      </c>
      <c r="C1166">
        <v>10000</v>
      </c>
      <c r="D1166" s="2">
        <v>45735</v>
      </c>
      <c r="E1166" t="s">
        <v>61</v>
      </c>
      <c r="F1166" t="s">
        <v>4222</v>
      </c>
      <c r="G1166" t="s">
        <v>4223</v>
      </c>
      <c r="I1166">
        <v>1</v>
      </c>
      <c r="J1166" t="s">
        <v>63</v>
      </c>
      <c r="K1166" s="8">
        <v>29</v>
      </c>
      <c r="L1166" s="8" t="s">
        <v>6595</v>
      </c>
      <c r="M1166" s="8" t="s">
        <v>6629</v>
      </c>
      <c r="N1166" t="s">
        <v>249</v>
      </c>
      <c r="O1166" t="s">
        <v>6500</v>
      </c>
      <c r="P1166" s="4">
        <v>4000</v>
      </c>
      <c r="Q1166">
        <f>(P1166/40)+45</f>
        <v>145</v>
      </c>
      <c r="R1166">
        <f>Q1166/60</f>
        <v>2.4166666666666665</v>
      </c>
      <c r="S1166" s="2">
        <v>45735</v>
      </c>
      <c r="U1166">
        <v>1</v>
      </c>
      <c r="V1166" s="4">
        <v>4000</v>
      </c>
      <c r="W1166" t="s">
        <v>65</v>
      </c>
      <c r="X1166" t="s">
        <v>4224</v>
      </c>
      <c r="Y1166">
        <v>0</v>
      </c>
      <c r="Z1166" s="4">
        <v>4000</v>
      </c>
      <c r="AA1166">
        <v>0</v>
      </c>
      <c r="AB1166">
        <v>0</v>
      </c>
      <c r="AC1166">
        <v>0</v>
      </c>
      <c r="AD1166">
        <v>0</v>
      </c>
      <c r="AG1166">
        <v>0</v>
      </c>
      <c r="AP1166" t="s">
        <v>4225</v>
      </c>
      <c r="AQ1166" t="s">
        <v>1892</v>
      </c>
      <c r="AR1166" t="s">
        <v>6692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BC1166" t="s">
        <v>69</v>
      </c>
      <c r="BD1166" t="s">
        <v>4226</v>
      </c>
      <c r="BE1166">
        <v>0</v>
      </c>
      <c r="BG1166" t="s">
        <v>1892</v>
      </c>
      <c r="BJ1166" t="s">
        <v>4227</v>
      </c>
    </row>
    <row r="1167" spans="1:62" x14ac:dyDescent="0.35">
      <c r="A1167" t="s">
        <v>4228</v>
      </c>
      <c r="B1167">
        <v>10000</v>
      </c>
      <c r="C1167">
        <v>10000</v>
      </c>
      <c r="D1167" s="2">
        <v>45741</v>
      </c>
      <c r="E1167" t="s">
        <v>61</v>
      </c>
      <c r="F1167" t="s">
        <v>4229</v>
      </c>
      <c r="G1167" t="s">
        <v>4156</v>
      </c>
      <c r="I1167">
        <v>1</v>
      </c>
      <c r="J1167" t="s">
        <v>63</v>
      </c>
      <c r="K1167" s="8">
        <v>79</v>
      </c>
      <c r="L1167" s="8" t="s">
        <v>6608</v>
      </c>
      <c r="M1167" s="8" t="s">
        <v>6631</v>
      </c>
      <c r="N1167" t="s">
        <v>573</v>
      </c>
      <c r="O1167" t="s">
        <v>6547</v>
      </c>
      <c r="P1167" s="4">
        <v>4260</v>
      </c>
      <c r="Q1167">
        <f>(P1167/20)+30</f>
        <v>243</v>
      </c>
      <c r="R1167">
        <f>Q1167/60</f>
        <v>4.05</v>
      </c>
      <c r="S1167" s="2">
        <v>45735</v>
      </c>
      <c r="U1167">
        <v>27</v>
      </c>
      <c r="V1167" s="4">
        <v>115020</v>
      </c>
      <c r="W1167" t="s">
        <v>65</v>
      </c>
      <c r="X1167" t="s">
        <v>820</v>
      </c>
      <c r="Y1167">
        <v>0</v>
      </c>
      <c r="Z1167" s="4">
        <v>100000</v>
      </c>
      <c r="AA1167" s="4">
        <v>15020</v>
      </c>
      <c r="AB1167">
        <v>0</v>
      </c>
      <c r="AC1167">
        <v>0</v>
      </c>
      <c r="AD1167">
        <v>0</v>
      </c>
      <c r="AG1167">
        <v>0</v>
      </c>
      <c r="AP1167" t="s">
        <v>821</v>
      </c>
      <c r="AQ1167" t="s">
        <v>107</v>
      </c>
      <c r="AR1167" t="s">
        <v>6638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BC1167" t="s">
        <v>69</v>
      </c>
      <c r="BD1167" t="s">
        <v>4230</v>
      </c>
      <c r="BE1167">
        <v>0</v>
      </c>
      <c r="BG1167" t="s">
        <v>107</v>
      </c>
      <c r="BJ1167" t="s">
        <v>4231</v>
      </c>
    </row>
    <row r="1168" spans="1:62" x14ac:dyDescent="0.35">
      <c r="A1168" t="s">
        <v>4232</v>
      </c>
      <c r="B1168">
        <v>10000</v>
      </c>
      <c r="C1168">
        <v>10000</v>
      </c>
      <c r="D1168" s="2">
        <v>45736</v>
      </c>
      <c r="E1168" t="s">
        <v>61</v>
      </c>
      <c r="F1168" s="3">
        <v>0.54069444444444448</v>
      </c>
      <c r="G1168">
        <v>1006323</v>
      </c>
      <c r="I1168">
        <v>1</v>
      </c>
      <c r="J1168" t="s">
        <v>63</v>
      </c>
      <c r="K1168" s="8">
        <v>63</v>
      </c>
      <c r="L1168" s="8" t="s">
        <v>6605</v>
      </c>
      <c r="M1168" s="8" t="s">
        <v>6630</v>
      </c>
      <c r="N1168" t="s">
        <v>519</v>
      </c>
      <c r="O1168" t="s">
        <v>6569</v>
      </c>
      <c r="P1168" s="4">
        <v>2400</v>
      </c>
      <c r="Q1168">
        <f t="shared" ref="Q1168:Q1171" si="298">(P1168/40)+45</f>
        <v>105</v>
      </c>
      <c r="R1168">
        <f t="shared" ref="R1168:R1171" si="299">Q1168/60</f>
        <v>1.75</v>
      </c>
      <c r="S1168" s="2">
        <v>45735</v>
      </c>
      <c r="U1168">
        <v>50</v>
      </c>
      <c r="V1168" s="4">
        <v>120000</v>
      </c>
      <c r="W1168" t="s">
        <v>65</v>
      </c>
      <c r="X1168" t="s">
        <v>4233</v>
      </c>
      <c r="Y1168">
        <v>0</v>
      </c>
      <c r="Z1168" s="4">
        <v>120000</v>
      </c>
      <c r="AA1168">
        <v>0</v>
      </c>
      <c r="AB1168">
        <v>0</v>
      </c>
      <c r="AC1168">
        <v>0</v>
      </c>
      <c r="AD1168">
        <v>0</v>
      </c>
      <c r="AG1168">
        <v>0</v>
      </c>
      <c r="AP1168" t="s">
        <v>4234</v>
      </c>
      <c r="AQ1168" t="s">
        <v>157</v>
      </c>
      <c r="AR1168" t="s">
        <v>6640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BC1168" t="s">
        <v>69</v>
      </c>
      <c r="BD1168" t="s">
        <v>4235</v>
      </c>
      <c r="BE1168">
        <v>0</v>
      </c>
      <c r="BG1168" t="s">
        <v>157</v>
      </c>
      <c r="BJ1168" t="s">
        <v>4236</v>
      </c>
    </row>
    <row r="1169" spans="1:62" x14ac:dyDescent="0.35">
      <c r="A1169" t="s">
        <v>4237</v>
      </c>
      <c r="B1169">
        <v>10000</v>
      </c>
      <c r="C1169">
        <v>20000</v>
      </c>
      <c r="D1169" s="2">
        <v>45736</v>
      </c>
      <c r="E1169" t="s">
        <v>61</v>
      </c>
      <c r="F1169" s="3">
        <v>0.54069444444444448</v>
      </c>
      <c r="G1169">
        <v>8628207</v>
      </c>
      <c r="I1169">
        <v>1</v>
      </c>
      <c r="J1169" t="s">
        <v>63</v>
      </c>
      <c r="K1169" s="8">
        <v>63</v>
      </c>
      <c r="L1169" s="8" t="s">
        <v>6605</v>
      </c>
      <c r="M1169" s="8" t="s">
        <v>6630</v>
      </c>
      <c r="N1169" t="s">
        <v>519</v>
      </c>
      <c r="O1169" t="s">
        <v>6569</v>
      </c>
      <c r="P1169" s="4">
        <v>8572</v>
      </c>
      <c r="Q1169">
        <f t="shared" si="298"/>
        <v>259.3</v>
      </c>
      <c r="R1169">
        <f t="shared" si="299"/>
        <v>4.3216666666666672</v>
      </c>
      <c r="S1169" s="2">
        <v>45735</v>
      </c>
      <c r="U1169">
        <v>14</v>
      </c>
      <c r="V1169" s="4">
        <v>120008</v>
      </c>
      <c r="W1169" t="s">
        <v>65</v>
      </c>
      <c r="X1169" t="s">
        <v>3962</v>
      </c>
      <c r="Y1169">
        <v>0</v>
      </c>
      <c r="Z1169" s="4">
        <v>120000</v>
      </c>
      <c r="AA1169">
        <v>8</v>
      </c>
      <c r="AB1169">
        <v>0</v>
      </c>
      <c r="AC1169">
        <v>0</v>
      </c>
      <c r="AD1169">
        <v>0</v>
      </c>
      <c r="AG1169">
        <v>0</v>
      </c>
      <c r="AP1169" t="s">
        <v>3963</v>
      </c>
      <c r="AQ1169" t="s">
        <v>157</v>
      </c>
      <c r="AR1169" t="s">
        <v>6640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BC1169" t="s">
        <v>69</v>
      </c>
      <c r="BD1169" t="s">
        <v>4238</v>
      </c>
      <c r="BE1169">
        <v>0</v>
      </c>
      <c r="BG1169" t="s">
        <v>157</v>
      </c>
      <c r="BJ1169" t="s">
        <v>4239</v>
      </c>
    </row>
    <row r="1170" spans="1:62" x14ac:dyDescent="0.35">
      <c r="A1170" t="s">
        <v>4240</v>
      </c>
      <c r="B1170">
        <v>10000</v>
      </c>
      <c r="C1170">
        <v>10000</v>
      </c>
      <c r="D1170" s="2">
        <v>45736</v>
      </c>
      <c r="E1170" t="s">
        <v>61</v>
      </c>
      <c r="F1170" s="3">
        <v>0.54069444444444448</v>
      </c>
      <c r="G1170">
        <v>1006323</v>
      </c>
      <c r="I1170">
        <v>1</v>
      </c>
      <c r="J1170" t="s">
        <v>63</v>
      </c>
      <c r="K1170" s="8">
        <v>63</v>
      </c>
      <c r="L1170" s="8" t="s">
        <v>6605</v>
      </c>
      <c r="M1170" s="8" t="s">
        <v>6630</v>
      </c>
      <c r="N1170" t="s">
        <v>519</v>
      </c>
      <c r="O1170" t="s">
        <v>6569</v>
      </c>
      <c r="P1170" s="4">
        <v>1600</v>
      </c>
      <c r="Q1170">
        <f t="shared" si="298"/>
        <v>85</v>
      </c>
      <c r="R1170">
        <f t="shared" si="299"/>
        <v>1.4166666666666667</v>
      </c>
      <c r="S1170" s="2">
        <v>45735</v>
      </c>
      <c r="U1170">
        <v>50</v>
      </c>
      <c r="V1170" s="4">
        <v>80000</v>
      </c>
      <c r="W1170" t="s">
        <v>65</v>
      </c>
      <c r="X1170" t="s">
        <v>4233</v>
      </c>
      <c r="Y1170">
        <v>0</v>
      </c>
      <c r="Z1170" s="4">
        <v>80000</v>
      </c>
      <c r="AA1170">
        <v>0</v>
      </c>
      <c r="AB1170">
        <v>0</v>
      </c>
      <c r="AC1170">
        <v>0</v>
      </c>
      <c r="AD1170">
        <v>0</v>
      </c>
      <c r="AG1170">
        <v>0</v>
      </c>
      <c r="AP1170" t="s">
        <v>4234</v>
      </c>
      <c r="AQ1170" t="s">
        <v>175</v>
      </c>
      <c r="AR1170" t="s">
        <v>6642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BC1170" t="s">
        <v>69</v>
      </c>
      <c r="BD1170" t="s">
        <v>4241</v>
      </c>
      <c r="BE1170">
        <v>0</v>
      </c>
      <c r="BG1170" t="s">
        <v>175</v>
      </c>
      <c r="BJ1170" t="s">
        <v>4242</v>
      </c>
    </row>
    <row r="1171" spans="1:62" x14ac:dyDescent="0.35">
      <c r="A1171" t="s">
        <v>4243</v>
      </c>
      <c r="B1171">
        <v>10000</v>
      </c>
      <c r="C1171">
        <v>10000</v>
      </c>
      <c r="D1171" s="2">
        <v>45737</v>
      </c>
      <c r="E1171" t="s">
        <v>61</v>
      </c>
      <c r="F1171" t="s">
        <v>4244</v>
      </c>
      <c r="G1171" t="s">
        <v>4245</v>
      </c>
      <c r="I1171">
        <v>1</v>
      </c>
      <c r="J1171" t="s">
        <v>63</v>
      </c>
      <c r="K1171" s="8">
        <v>63</v>
      </c>
      <c r="L1171" s="8" t="s">
        <v>6605</v>
      </c>
      <c r="M1171" s="8" t="s">
        <v>6630</v>
      </c>
      <c r="N1171" t="s">
        <v>519</v>
      </c>
      <c r="O1171" t="s">
        <v>6569</v>
      </c>
      <c r="P1171" s="4">
        <v>10000</v>
      </c>
      <c r="Q1171">
        <f t="shared" si="298"/>
        <v>295</v>
      </c>
      <c r="R1171">
        <f t="shared" si="299"/>
        <v>4.916666666666667</v>
      </c>
      <c r="S1171" s="2">
        <v>45735</v>
      </c>
      <c r="U1171">
        <v>60</v>
      </c>
      <c r="V1171" s="4">
        <v>600000</v>
      </c>
      <c r="W1171" t="s">
        <v>65</v>
      </c>
      <c r="X1171" t="s">
        <v>587</v>
      </c>
      <c r="Y1171">
        <v>0</v>
      </c>
      <c r="Z1171" s="4">
        <v>600000</v>
      </c>
      <c r="AA1171">
        <v>0</v>
      </c>
      <c r="AB1171">
        <v>0</v>
      </c>
      <c r="AC1171">
        <v>0</v>
      </c>
      <c r="AD1171">
        <v>0</v>
      </c>
      <c r="AG1171">
        <v>0</v>
      </c>
      <c r="AP1171" t="s">
        <v>588</v>
      </c>
      <c r="AQ1171" t="s">
        <v>175</v>
      </c>
      <c r="AR1171" t="s">
        <v>6642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BC1171" t="s">
        <v>69</v>
      </c>
      <c r="BD1171" t="s">
        <v>4246</v>
      </c>
      <c r="BE1171">
        <v>0</v>
      </c>
      <c r="BG1171" t="s">
        <v>175</v>
      </c>
      <c r="BJ1171" t="s">
        <v>4247</v>
      </c>
    </row>
    <row r="1172" spans="1:62" x14ac:dyDescent="0.35">
      <c r="A1172" t="s">
        <v>4248</v>
      </c>
      <c r="B1172">
        <v>10000</v>
      </c>
      <c r="C1172">
        <v>10000</v>
      </c>
      <c r="D1172" s="2">
        <v>45735</v>
      </c>
      <c r="E1172" t="s">
        <v>61</v>
      </c>
      <c r="F1172" t="s">
        <v>3918</v>
      </c>
      <c r="G1172" t="s">
        <v>4249</v>
      </c>
      <c r="I1172">
        <v>1</v>
      </c>
      <c r="J1172" t="s">
        <v>63</v>
      </c>
      <c r="K1172" s="8">
        <v>61</v>
      </c>
      <c r="L1172" s="8" t="s">
        <v>6594</v>
      </c>
      <c r="M1172" s="8" t="s">
        <v>6629</v>
      </c>
      <c r="N1172" t="s">
        <v>216</v>
      </c>
      <c r="O1172" t="s">
        <v>6394</v>
      </c>
      <c r="P1172" s="4">
        <v>1000</v>
      </c>
      <c r="Q1172">
        <f t="shared" ref="Q1172:Q1173" si="300">(P1172/50)+45</f>
        <v>65</v>
      </c>
      <c r="R1172">
        <f t="shared" ref="R1172:R1173" si="301">Q1172/60</f>
        <v>1.0833333333333333</v>
      </c>
      <c r="S1172" s="2">
        <v>45735</v>
      </c>
      <c r="U1172">
        <v>1</v>
      </c>
      <c r="V1172" s="4">
        <v>1000</v>
      </c>
      <c r="W1172" t="s">
        <v>65</v>
      </c>
      <c r="X1172" t="s">
        <v>4250</v>
      </c>
      <c r="Y1172">
        <v>0</v>
      </c>
      <c r="Z1172" s="4">
        <v>1000</v>
      </c>
      <c r="AA1172">
        <v>0</v>
      </c>
      <c r="AB1172">
        <v>0</v>
      </c>
      <c r="AC1172">
        <v>0</v>
      </c>
      <c r="AD1172">
        <v>0</v>
      </c>
      <c r="AG1172">
        <v>0</v>
      </c>
      <c r="AP1172" t="s">
        <v>4251</v>
      </c>
      <c r="AQ1172" t="s">
        <v>508</v>
      </c>
      <c r="AR1172" t="s">
        <v>6657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BC1172" t="s">
        <v>69</v>
      </c>
      <c r="BD1172" t="s">
        <v>4252</v>
      </c>
      <c r="BE1172">
        <v>0</v>
      </c>
      <c r="BG1172" t="s">
        <v>508</v>
      </c>
      <c r="BJ1172" t="s">
        <v>2990</v>
      </c>
    </row>
    <row r="1173" spans="1:62" x14ac:dyDescent="0.35">
      <c r="A1173" t="s">
        <v>3966</v>
      </c>
      <c r="B1173">
        <v>10000</v>
      </c>
      <c r="C1173">
        <v>20000</v>
      </c>
      <c r="D1173" s="2">
        <v>45736</v>
      </c>
      <c r="E1173" t="s">
        <v>61</v>
      </c>
      <c r="F1173" t="s">
        <v>3967</v>
      </c>
      <c r="G1173" t="s">
        <v>3968</v>
      </c>
      <c r="I1173">
        <v>2</v>
      </c>
      <c r="J1173" t="s">
        <v>63</v>
      </c>
      <c r="K1173" s="8">
        <v>60</v>
      </c>
      <c r="L1173" s="8" t="s">
        <v>6590</v>
      </c>
      <c r="M1173" s="8" t="s">
        <v>6630</v>
      </c>
      <c r="N1173" t="s">
        <v>277</v>
      </c>
      <c r="O1173" t="s">
        <v>6554</v>
      </c>
      <c r="P1173" s="4">
        <v>1000</v>
      </c>
      <c r="Q1173">
        <f t="shared" si="300"/>
        <v>65</v>
      </c>
      <c r="R1173">
        <f t="shared" si="301"/>
        <v>1.0833333333333333</v>
      </c>
      <c r="S1173" s="2">
        <v>45735</v>
      </c>
      <c r="U1173">
        <v>2</v>
      </c>
      <c r="V1173" s="4">
        <v>2000</v>
      </c>
      <c r="W1173" t="s">
        <v>65</v>
      </c>
      <c r="X1173" t="s">
        <v>3969</v>
      </c>
      <c r="Y1173">
        <v>0</v>
      </c>
      <c r="Z1173">
        <v>571</v>
      </c>
      <c r="AA1173" s="4">
        <v>1429</v>
      </c>
      <c r="AB1173">
        <v>0</v>
      </c>
      <c r="AC1173">
        <v>0</v>
      </c>
      <c r="AD1173">
        <v>0</v>
      </c>
      <c r="AG1173">
        <v>0</v>
      </c>
      <c r="AP1173" t="s">
        <v>3970</v>
      </c>
      <c r="AQ1173" t="s">
        <v>508</v>
      </c>
      <c r="AR1173" t="s">
        <v>6657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BC1173" t="s">
        <v>69</v>
      </c>
      <c r="BD1173" t="s">
        <v>3971</v>
      </c>
      <c r="BE1173">
        <v>0</v>
      </c>
      <c r="BG1173" t="s">
        <v>508</v>
      </c>
      <c r="BJ1173" t="s">
        <v>2990</v>
      </c>
    </row>
    <row r="1174" spans="1:62" x14ac:dyDescent="0.35">
      <c r="A1174" t="s">
        <v>4253</v>
      </c>
      <c r="B1174">
        <v>10000</v>
      </c>
      <c r="C1174">
        <v>10000</v>
      </c>
      <c r="D1174" s="2">
        <v>45736</v>
      </c>
      <c r="E1174" t="s">
        <v>61</v>
      </c>
      <c r="F1174" s="3">
        <v>0.42677083333333332</v>
      </c>
      <c r="G1174" t="s">
        <v>3767</v>
      </c>
      <c r="I1174">
        <v>1</v>
      </c>
      <c r="J1174" t="s">
        <v>63</v>
      </c>
      <c r="K1174" s="8">
        <v>46</v>
      </c>
      <c r="L1174" s="8" t="s">
        <v>6587</v>
      </c>
      <c r="M1174" s="8" t="s">
        <v>6629</v>
      </c>
      <c r="N1174" t="s">
        <v>113</v>
      </c>
      <c r="O1174" t="s">
        <v>6499</v>
      </c>
      <c r="P1174" s="4">
        <v>4000</v>
      </c>
      <c r="Q1174">
        <f>(P1174/40)+45</f>
        <v>145</v>
      </c>
      <c r="R1174">
        <f>Q1174/60</f>
        <v>2.4166666666666665</v>
      </c>
      <c r="S1174" s="2">
        <v>45735</v>
      </c>
      <c r="U1174">
        <v>1</v>
      </c>
      <c r="V1174" s="4">
        <v>4000</v>
      </c>
      <c r="W1174" t="s">
        <v>65</v>
      </c>
      <c r="X1174" t="s">
        <v>4254</v>
      </c>
      <c r="Y1174">
        <v>0</v>
      </c>
      <c r="Z1174" s="4">
        <v>4000</v>
      </c>
      <c r="AA1174">
        <v>0</v>
      </c>
      <c r="AB1174">
        <v>0</v>
      </c>
      <c r="AC1174">
        <v>0</v>
      </c>
      <c r="AD1174">
        <v>0</v>
      </c>
      <c r="AG1174">
        <v>0</v>
      </c>
      <c r="AP1174" t="s">
        <v>4255</v>
      </c>
      <c r="AQ1174" t="s">
        <v>116</v>
      </c>
      <c r="AR1174" t="s">
        <v>6639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BC1174" t="s">
        <v>69</v>
      </c>
      <c r="BD1174" t="s">
        <v>4256</v>
      </c>
      <c r="BE1174">
        <v>0</v>
      </c>
      <c r="BG1174" t="s">
        <v>116</v>
      </c>
      <c r="BJ1174" t="s">
        <v>3281</v>
      </c>
    </row>
    <row r="1175" spans="1:62" x14ac:dyDescent="0.35">
      <c r="A1175" t="s">
        <v>4257</v>
      </c>
      <c r="B1175">
        <v>10000</v>
      </c>
      <c r="C1175">
        <v>10000</v>
      </c>
      <c r="D1175" s="2">
        <v>45736</v>
      </c>
      <c r="E1175" t="s">
        <v>61</v>
      </c>
      <c r="F1175" t="s">
        <v>4258</v>
      </c>
      <c r="G1175" t="s">
        <v>3980</v>
      </c>
      <c r="I1175">
        <v>1</v>
      </c>
      <c r="J1175" t="s">
        <v>63</v>
      </c>
      <c r="K1175" s="8">
        <v>12</v>
      </c>
      <c r="L1175" s="8" t="s">
        <v>6604</v>
      </c>
      <c r="M1175" s="8" t="s">
        <v>6629</v>
      </c>
      <c r="N1175" t="s">
        <v>478</v>
      </c>
      <c r="O1175" t="s">
        <v>6434</v>
      </c>
      <c r="P1175" s="4">
        <v>16000</v>
      </c>
      <c r="Q1175">
        <f t="shared" ref="Q1175:Q1176" si="302">(P1175/50)+45</f>
        <v>365</v>
      </c>
      <c r="R1175">
        <f t="shared" ref="R1175:R1178" si="303">Q1175/60</f>
        <v>6.083333333333333</v>
      </c>
      <c r="S1175" s="2">
        <v>45735</v>
      </c>
      <c r="U1175">
        <v>1</v>
      </c>
      <c r="V1175" s="4">
        <v>16000</v>
      </c>
      <c r="W1175" t="s">
        <v>65</v>
      </c>
      <c r="X1175" t="s">
        <v>4259</v>
      </c>
      <c r="Y1175">
        <v>0</v>
      </c>
      <c r="Z1175" s="4">
        <v>16000</v>
      </c>
      <c r="AA1175">
        <v>0</v>
      </c>
      <c r="AB1175">
        <v>0</v>
      </c>
      <c r="AC1175">
        <v>0</v>
      </c>
      <c r="AD1175">
        <v>0</v>
      </c>
      <c r="AG1175">
        <v>0</v>
      </c>
      <c r="AP1175" t="s">
        <v>4260</v>
      </c>
      <c r="AQ1175" t="s">
        <v>116</v>
      </c>
      <c r="AR1175" t="s">
        <v>6639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BC1175" t="s">
        <v>69</v>
      </c>
      <c r="BD1175" t="s">
        <v>4261</v>
      </c>
      <c r="BE1175">
        <v>0</v>
      </c>
      <c r="BG1175" t="s">
        <v>116</v>
      </c>
      <c r="BJ1175" t="s">
        <v>3281</v>
      </c>
    </row>
    <row r="1176" spans="1:62" x14ac:dyDescent="0.35">
      <c r="A1176" t="s">
        <v>4262</v>
      </c>
      <c r="B1176">
        <v>10000</v>
      </c>
      <c r="C1176">
        <v>10000</v>
      </c>
      <c r="D1176" s="2">
        <v>45737</v>
      </c>
      <c r="E1176" t="s">
        <v>61</v>
      </c>
      <c r="F1176" t="s">
        <v>4263</v>
      </c>
      <c r="G1176" t="s">
        <v>3980</v>
      </c>
      <c r="I1176">
        <v>1</v>
      </c>
      <c r="J1176" t="s">
        <v>63</v>
      </c>
      <c r="K1176" s="8">
        <v>12</v>
      </c>
      <c r="L1176" s="8" t="s">
        <v>6604</v>
      </c>
      <c r="M1176" s="8" t="s">
        <v>6629</v>
      </c>
      <c r="N1176" t="s">
        <v>478</v>
      </c>
      <c r="O1176" t="s">
        <v>6434</v>
      </c>
      <c r="P1176" s="4">
        <v>18000</v>
      </c>
      <c r="Q1176">
        <f t="shared" si="302"/>
        <v>405</v>
      </c>
      <c r="R1176">
        <f t="shared" si="303"/>
        <v>6.75</v>
      </c>
      <c r="S1176" s="2">
        <v>45735</v>
      </c>
      <c r="U1176">
        <v>1</v>
      </c>
      <c r="V1176" s="4">
        <v>18000</v>
      </c>
      <c r="W1176" t="s">
        <v>65</v>
      </c>
      <c r="X1176" t="s">
        <v>4259</v>
      </c>
      <c r="Y1176">
        <v>0</v>
      </c>
      <c r="Z1176" s="4">
        <v>18000</v>
      </c>
      <c r="AA1176">
        <v>0</v>
      </c>
      <c r="AB1176">
        <v>0</v>
      </c>
      <c r="AC1176">
        <v>0</v>
      </c>
      <c r="AD1176">
        <v>0</v>
      </c>
      <c r="AG1176">
        <v>0</v>
      </c>
      <c r="AP1176" t="s">
        <v>4260</v>
      </c>
      <c r="AQ1176" t="s">
        <v>116</v>
      </c>
      <c r="AR1176" t="s">
        <v>6639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BC1176" t="s">
        <v>69</v>
      </c>
      <c r="BD1176" t="s">
        <v>4264</v>
      </c>
      <c r="BE1176">
        <v>0</v>
      </c>
      <c r="BG1176" t="s">
        <v>116</v>
      </c>
      <c r="BJ1176" t="s">
        <v>3004</v>
      </c>
    </row>
    <row r="1177" spans="1:62" x14ac:dyDescent="0.35">
      <c r="A1177" t="s">
        <v>4265</v>
      </c>
      <c r="B1177">
        <v>10000</v>
      </c>
      <c r="C1177">
        <v>10000</v>
      </c>
      <c r="D1177" s="2">
        <v>45735</v>
      </c>
      <c r="E1177" t="s">
        <v>61</v>
      </c>
      <c r="F1177" t="s">
        <v>4266</v>
      </c>
      <c r="G1177" t="s">
        <v>4267</v>
      </c>
      <c r="I1177">
        <v>1</v>
      </c>
      <c r="J1177" t="s">
        <v>63</v>
      </c>
      <c r="K1177" s="8">
        <v>59</v>
      </c>
      <c r="L1177" s="8" t="s">
        <v>6592</v>
      </c>
      <c r="M1177" s="8" t="s">
        <v>6629</v>
      </c>
      <c r="N1177" t="s">
        <v>745</v>
      </c>
      <c r="O1177" t="s">
        <v>6501</v>
      </c>
      <c r="P1177">
        <v>500</v>
      </c>
      <c r="Q1177">
        <f t="shared" ref="Q1177:Q1178" si="304">(P1177/40)+45</f>
        <v>57.5</v>
      </c>
      <c r="R1177">
        <f t="shared" si="303"/>
        <v>0.95833333333333337</v>
      </c>
      <c r="S1177" s="2">
        <v>45735</v>
      </c>
      <c r="U1177">
        <v>10</v>
      </c>
      <c r="V1177" s="4">
        <v>5000</v>
      </c>
      <c r="W1177" t="s">
        <v>65</v>
      </c>
      <c r="X1177">
        <v>112023960001</v>
      </c>
      <c r="Y1177">
        <v>0</v>
      </c>
      <c r="Z1177" s="4">
        <v>5000</v>
      </c>
      <c r="AA1177">
        <v>0</v>
      </c>
      <c r="AB1177">
        <v>0</v>
      </c>
      <c r="AC1177">
        <v>0</v>
      </c>
      <c r="AD1177">
        <v>0</v>
      </c>
      <c r="AG1177">
        <v>0</v>
      </c>
      <c r="AP1177">
        <v>11202396</v>
      </c>
      <c r="AQ1177" t="s">
        <v>182</v>
      </c>
      <c r="AR1177" t="s">
        <v>6643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BC1177" t="s">
        <v>69</v>
      </c>
      <c r="BD1177" t="s">
        <v>4268</v>
      </c>
      <c r="BE1177">
        <v>0</v>
      </c>
      <c r="BG1177" t="s">
        <v>182</v>
      </c>
      <c r="BJ1177" t="s">
        <v>4269</v>
      </c>
    </row>
    <row r="1178" spans="1:62" x14ac:dyDescent="0.35">
      <c r="A1178" t="s">
        <v>4270</v>
      </c>
      <c r="B1178">
        <v>10000</v>
      </c>
      <c r="C1178">
        <v>10000</v>
      </c>
      <c r="D1178" s="2">
        <v>45735</v>
      </c>
      <c r="E1178" t="s">
        <v>61</v>
      </c>
      <c r="F1178" t="s">
        <v>4266</v>
      </c>
      <c r="G1178" t="s">
        <v>4267</v>
      </c>
      <c r="I1178">
        <v>1</v>
      </c>
      <c r="J1178" t="s">
        <v>63</v>
      </c>
      <c r="K1178" s="8">
        <v>59</v>
      </c>
      <c r="L1178" s="8" t="s">
        <v>6592</v>
      </c>
      <c r="M1178" s="8" t="s">
        <v>6629</v>
      </c>
      <c r="N1178" t="s">
        <v>745</v>
      </c>
      <c r="O1178" t="s">
        <v>6501</v>
      </c>
      <c r="P1178">
        <v>500</v>
      </c>
      <c r="Q1178">
        <f t="shared" si="304"/>
        <v>57.5</v>
      </c>
      <c r="R1178">
        <f t="shared" si="303"/>
        <v>0.95833333333333337</v>
      </c>
      <c r="S1178" s="2">
        <v>45735</v>
      </c>
      <c r="U1178">
        <v>10</v>
      </c>
      <c r="V1178" s="4">
        <v>5000</v>
      </c>
      <c r="W1178" t="s">
        <v>65</v>
      </c>
      <c r="X1178">
        <v>112023960001</v>
      </c>
      <c r="Y1178">
        <v>0</v>
      </c>
      <c r="Z1178" s="4">
        <v>5000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>
        <v>11202396</v>
      </c>
      <c r="AQ1178" t="s">
        <v>182</v>
      </c>
      <c r="AR1178" t="s">
        <v>6643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BC1178" t="s">
        <v>69</v>
      </c>
      <c r="BD1178" t="s">
        <v>4271</v>
      </c>
      <c r="BE1178">
        <v>0</v>
      </c>
      <c r="BG1178" t="s">
        <v>182</v>
      </c>
      <c r="BJ1178" t="s">
        <v>4272</v>
      </c>
    </row>
    <row r="1179" spans="1:62" x14ac:dyDescent="0.35">
      <c r="A1179" t="s">
        <v>4273</v>
      </c>
      <c r="B1179">
        <v>10000</v>
      </c>
      <c r="C1179">
        <v>10000</v>
      </c>
      <c r="D1179" s="2">
        <v>45735</v>
      </c>
      <c r="E1179" t="s">
        <v>61</v>
      </c>
      <c r="F1179" t="s">
        <v>4274</v>
      </c>
      <c r="G1179" t="s">
        <v>3029</v>
      </c>
      <c r="I1179">
        <v>1</v>
      </c>
      <c r="J1179" t="s">
        <v>63</v>
      </c>
      <c r="K1179" s="8">
        <v>86</v>
      </c>
      <c r="L1179" s="8" t="s">
        <v>6584</v>
      </c>
      <c r="M1179" s="8" t="s">
        <v>6627</v>
      </c>
      <c r="N1179" t="s">
        <v>64</v>
      </c>
      <c r="O1179" t="s">
        <v>6559</v>
      </c>
      <c r="P1179" s="4">
        <v>27500</v>
      </c>
      <c r="Q1179">
        <f>(P1179/60)+45</f>
        <v>503.33333333333331</v>
      </c>
      <c r="R1179">
        <f>Q1179/60</f>
        <v>8.3888888888888893</v>
      </c>
      <c r="S1179" s="2">
        <v>45735</v>
      </c>
      <c r="U1179">
        <v>2</v>
      </c>
      <c r="V1179" s="4">
        <v>55000</v>
      </c>
      <c r="W1179" t="s">
        <v>65</v>
      </c>
      <c r="X1179" t="s">
        <v>4275</v>
      </c>
      <c r="Y1179">
        <v>0</v>
      </c>
      <c r="Z1179" s="4">
        <v>55000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4276</v>
      </c>
      <c r="AQ1179" t="s">
        <v>1855</v>
      </c>
      <c r="AR1179" t="s">
        <v>6689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BC1179" t="s">
        <v>69</v>
      </c>
      <c r="BD1179" t="s">
        <v>4277</v>
      </c>
      <c r="BE1179">
        <v>0</v>
      </c>
      <c r="BG1179" t="s">
        <v>1855</v>
      </c>
      <c r="BJ1179" t="s">
        <v>4278</v>
      </c>
    </row>
    <row r="1180" spans="1:62" x14ac:dyDescent="0.35">
      <c r="A1180" t="s">
        <v>4279</v>
      </c>
      <c r="B1180">
        <v>10000</v>
      </c>
      <c r="C1180">
        <v>10000</v>
      </c>
      <c r="D1180" s="2">
        <v>45736</v>
      </c>
      <c r="E1180" t="s">
        <v>61</v>
      </c>
      <c r="F1180" t="s">
        <v>4280</v>
      </c>
      <c r="G1180" t="s">
        <v>498</v>
      </c>
      <c r="I1180">
        <v>1</v>
      </c>
      <c r="J1180" t="s">
        <v>63</v>
      </c>
      <c r="K1180" s="8">
        <v>61</v>
      </c>
      <c r="L1180" s="8" t="s">
        <v>6594</v>
      </c>
      <c r="M1180" s="8" t="s">
        <v>6629</v>
      </c>
      <c r="N1180" t="s">
        <v>216</v>
      </c>
      <c r="O1180" t="s">
        <v>6394</v>
      </c>
      <c r="P1180" s="4">
        <v>1000</v>
      </c>
      <c r="Q1180">
        <f>(P1180/50)+45</f>
        <v>65</v>
      </c>
      <c r="R1180">
        <f>Q1180/60</f>
        <v>1.0833333333333333</v>
      </c>
      <c r="S1180" s="2">
        <v>45735</v>
      </c>
      <c r="U1180">
        <v>1</v>
      </c>
      <c r="V1180" s="4">
        <v>1000</v>
      </c>
      <c r="W1180" t="s">
        <v>65</v>
      </c>
      <c r="X1180">
        <v>107475500001</v>
      </c>
      <c r="Y1180">
        <v>0</v>
      </c>
      <c r="Z1180" s="4">
        <v>1000</v>
      </c>
      <c r="AA1180">
        <v>0</v>
      </c>
      <c r="AB1180">
        <v>0</v>
      </c>
      <c r="AC1180">
        <v>0</v>
      </c>
      <c r="AD1180">
        <v>0</v>
      </c>
      <c r="AG1180">
        <v>0</v>
      </c>
      <c r="AP1180">
        <v>10747550</v>
      </c>
      <c r="AQ1180" t="s">
        <v>487</v>
      </c>
      <c r="AR1180" t="s">
        <v>6656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BC1180" t="s">
        <v>69</v>
      </c>
      <c r="BD1180" t="s">
        <v>4281</v>
      </c>
      <c r="BE1180">
        <v>0</v>
      </c>
      <c r="BG1180" t="s">
        <v>487</v>
      </c>
      <c r="BJ1180" t="s">
        <v>4282</v>
      </c>
    </row>
    <row r="1181" spans="1:62" x14ac:dyDescent="0.35">
      <c r="A1181" t="s">
        <v>4283</v>
      </c>
      <c r="B1181">
        <v>10000</v>
      </c>
      <c r="C1181">
        <v>10000</v>
      </c>
      <c r="D1181" s="2">
        <v>45736</v>
      </c>
      <c r="E1181" t="s">
        <v>61</v>
      </c>
      <c r="F1181" t="s">
        <v>3996</v>
      </c>
      <c r="G1181" t="s">
        <v>4284</v>
      </c>
      <c r="I1181">
        <v>1</v>
      </c>
      <c r="J1181" t="s">
        <v>63</v>
      </c>
      <c r="K1181" s="8">
        <v>32</v>
      </c>
      <c r="L1181" s="8" t="s">
        <v>6607</v>
      </c>
      <c r="M1181" s="8" t="s">
        <v>6629</v>
      </c>
      <c r="N1181" t="s">
        <v>553</v>
      </c>
      <c r="O1181" t="s">
        <v>6552</v>
      </c>
      <c r="P1181" s="4">
        <v>5860</v>
      </c>
      <c r="S1181" s="2">
        <v>45735</v>
      </c>
      <c r="U1181">
        <v>1</v>
      </c>
      <c r="V1181" s="4">
        <v>5860</v>
      </c>
      <c r="W1181" t="s">
        <v>65</v>
      </c>
      <c r="X1181" t="s">
        <v>1774</v>
      </c>
      <c r="Y1181">
        <v>0</v>
      </c>
      <c r="Z1181" s="4">
        <v>5360</v>
      </c>
      <c r="AA1181">
        <v>500</v>
      </c>
      <c r="AB1181">
        <v>0</v>
      </c>
      <c r="AC1181">
        <v>0</v>
      </c>
      <c r="AD1181">
        <v>0</v>
      </c>
      <c r="AG1181">
        <v>0</v>
      </c>
      <c r="AP1181" t="s">
        <v>1775</v>
      </c>
      <c r="AQ1181" t="s">
        <v>116</v>
      </c>
      <c r="AR1181" t="s">
        <v>6639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BC1181" t="s">
        <v>69</v>
      </c>
      <c r="BD1181" t="s">
        <v>4285</v>
      </c>
      <c r="BE1181">
        <v>0</v>
      </c>
      <c r="BG1181" t="s">
        <v>116</v>
      </c>
      <c r="BJ1181" t="s">
        <v>3994</v>
      </c>
    </row>
    <row r="1182" spans="1:62" x14ac:dyDescent="0.35">
      <c r="A1182" t="s">
        <v>4286</v>
      </c>
      <c r="B1182">
        <v>10000</v>
      </c>
      <c r="C1182">
        <v>10000</v>
      </c>
      <c r="D1182" s="2">
        <v>45736</v>
      </c>
      <c r="E1182" t="s">
        <v>61</v>
      </c>
      <c r="F1182" t="s">
        <v>3996</v>
      </c>
      <c r="G1182" t="s">
        <v>4284</v>
      </c>
      <c r="I1182">
        <v>1</v>
      </c>
      <c r="J1182" t="s">
        <v>63</v>
      </c>
      <c r="K1182" s="8">
        <v>32</v>
      </c>
      <c r="L1182" s="8" t="s">
        <v>6607</v>
      </c>
      <c r="M1182" s="8" t="s">
        <v>6629</v>
      </c>
      <c r="N1182" t="s">
        <v>553</v>
      </c>
      <c r="O1182" t="s">
        <v>6552</v>
      </c>
      <c r="P1182" s="4">
        <v>5860</v>
      </c>
      <c r="S1182" s="2">
        <v>45735</v>
      </c>
      <c r="U1182">
        <v>1</v>
      </c>
      <c r="V1182" s="4">
        <v>5860</v>
      </c>
      <c r="W1182" t="s">
        <v>65</v>
      </c>
      <c r="X1182" t="s">
        <v>1774</v>
      </c>
      <c r="Y1182">
        <v>0</v>
      </c>
      <c r="Z1182" s="4">
        <v>5360</v>
      </c>
      <c r="AA1182">
        <v>500</v>
      </c>
      <c r="AB1182">
        <v>0</v>
      </c>
      <c r="AC1182">
        <v>0</v>
      </c>
      <c r="AD1182">
        <v>0</v>
      </c>
      <c r="AG1182">
        <v>0</v>
      </c>
      <c r="AP1182" t="s">
        <v>1775</v>
      </c>
      <c r="AQ1182" t="s">
        <v>116</v>
      </c>
      <c r="AR1182" t="s">
        <v>6639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BC1182" t="s">
        <v>69</v>
      </c>
      <c r="BD1182" t="s">
        <v>4287</v>
      </c>
      <c r="BE1182">
        <v>0</v>
      </c>
      <c r="BG1182" t="s">
        <v>116</v>
      </c>
      <c r="BJ1182" t="s">
        <v>3998</v>
      </c>
    </row>
    <row r="1183" spans="1:62" x14ac:dyDescent="0.35">
      <c r="A1183" t="s">
        <v>4288</v>
      </c>
      <c r="B1183">
        <v>10000</v>
      </c>
      <c r="C1183">
        <v>10000</v>
      </c>
      <c r="D1183" s="2">
        <v>45735</v>
      </c>
      <c r="E1183" t="s">
        <v>61</v>
      </c>
      <c r="F1183" t="s">
        <v>4289</v>
      </c>
      <c r="G1183" t="s">
        <v>4009</v>
      </c>
      <c r="I1183">
        <v>1</v>
      </c>
      <c r="J1183" t="s">
        <v>63</v>
      </c>
      <c r="K1183" s="8">
        <v>61</v>
      </c>
      <c r="L1183" s="8" t="s">
        <v>6594</v>
      </c>
      <c r="M1183" s="8" t="s">
        <v>6629</v>
      </c>
      <c r="N1183" t="s">
        <v>197</v>
      </c>
      <c r="O1183" t="s">
        <v>6565</v>
      </c>
      <c r="P1183" s="4">
        <v>4167</v>
      </c>
      <c r="Q1183">
        <f t="shared" ref="Q1183:Q1186" si="305">(P1183/50)+45</f>
        <v>128.34</v>
      </c>
      <c r="R1183">
        <f t="shared" ref="R1183:R1186" si="306">Q1183/60</f>
        <v>2.1390000000000002</v>
      </c>
      <c r="S1183" s="2">
        <v>45735</v>
      </c>
      <c r="U1183">
        <v>6</v>
      </c>
      <c r="V1183" s="4">
        <v>25002</v>
      </c>
      <c r="W1183" t="s">
        <v>65</v>
      </c>
      <c r="X1183" t="s">
        <v>2124</v>
      </c>
      <c r="Y1183">
        <v>0</v>
      </c>
      <c r="Z1183" s="4">
        <v>25000</v>
      </c>
      <c r="AA1183">
        <v>2</v>
      </c>
      <c r="AB1183">
        <v>0</v>
      </c>
      <c r="AC1183">
        <v>0</v>
      </c>
      <c r="AD1183">
        <v>0</v>
      </c>
      <c r="AG1183">
        <v>0</v>
      </c>
      <c r="AP1183" t="s">
        <v>2125</v>
      </c>
      <c r="AQ1183" t="s">
        <v>116</v>
      </c>
      <c r="AR1183" t="s">
        <v>6639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BC1183" t="s">
        <v>69</v>
      </c>
      <c r="BD1183" t="s">
        <v>4290</v>
      </c>
      <c r="BE1183">
        <v>0</v>
      </c>
      <c r="BG1183" t="s">
        <v>116</v>
      </c>
      <c r="BJ1183" t="s">
        <v>3073</v>
      </c>
    </row>
    <row r="1184" spans="1:62" x14ac:dyDescent="0.35">
      <c r="A1184" t="s">
        <v>4291</v>
      </c>
      <c r="B1184">
        <v>10000</v>
      </c>
      <c r="C1184">
        <v>10000</v>
      </c>
      <c r="D1184" s="2">
        <v>45736</v>
      </c>
      <c r="E1184" t="s">
        <v>61</v>
      </c>
      <c r="F1184" t="s">
        <v>4292</v>
      </c>
      <c r="G1184" t="s">
        <v>4293</v>
      </c>
      <c r="I1184">
        <v>1</v>
      </c>
      <c r="J1184" t="s">
        <v>63</v>
      </c>
      <c r="K1184" s="8">
        <v>61</v>
      </c>
      <c r="L1184" s="8" t="s">
        <v>6594</v>
      </c>
      <c r="M1184" s="8" t="s">
        <v>6629</v>
      </c>
      <c r="N1184" t="s">
        <v>197</v>
      </c>
      <c r="O1184" t="s">
        <v>6565</v>
      </c>
      <c r="P1184" s="4">
        <v>4334</v>
      </c>
      <c r="Q1184">
        <f t="shared" si="305"/>
        <v>131.68</v>
      </c>
      <c r="R1184">
        <f t="shared" si="306"/>
        <v>2.194666666666667</v>
      </c>
      <c r="S1184" s="2">
        <v>45735</v>
      </c>
      <c r="U1184">
        <v>6</v>
      </c>
      <c r="V1184" s="4">
        <v>26004</v>
      </c>
      <c r="W1184" t="s">
        <v>65</v>
      </c>
      <c r="X1184" t="s">
        <v>1903</v>
      </c>
      <c r="Y1184">
        <v>0</v>
      </c>
      <c r="Z1184" s="4">
        <v>26000</v>
      </c>
      <c r="AA1184">
        <v>4</v>
      </c>
      <c r="AB1184">
        <v>0</v>
      </c>
      <c r="AC1184">
        <v>0</v>
      </c>
      <c r="AD1184">
        <v>0</v>
      </c>
      <c r="AG1184">
        <v>0</v>
      </c>
      <c r="AP1184" t="s">
        <v>1904</v>
      </c>
      <c r="AQ1184" t="s">
        <v>116</v>
      </c>
      <c r="AR1184" t="s">
        <v>6639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BC1184" t="s">
        <v>69</v>
      </c>
      <c r="BD1184" t="s">
        <v>4294</v>
      </c>
      <c r="BE1184">
        <v>0</v>
      </c>
      <c r="BG1184" t="s">
        <v>116</v>
      </c>
      <c r="BJ1184" t="s">
        <v>3073</v>
      </c>
    </row>
    <row r="1185" spans="1:62" x14ac:dyDescent="0.35">
      <c r="A1185" t="s">
        <v>4295</v>
      </c>
      <c r="B1185">
        <v>10000</v>
      </c>
      <c r="C1185">
        <v>10000</v>
      </c>
      <c r="D1185" s="2">
        <v>45736</v>
      </c>
      <c r="E1185" t="s">
        <v>61</v>
      </c>
      <c r="F1185" t="s">
        <v>4296</v>
      </c>
      <c r="G1185" t="s">
        <v>4297</v>
      </c>
      <c r="I1185">
        <v>1</v>
      </c>
      <c r="J1185" t="s">
        <v>63</v>
      </c>
      <c r="K1185" s="8">
        <v>22</v>
      </c>
      <c r="L1185" s="8" t="s">
        <v>6603</v>
      </c>
      <c r="M1185" s="8" t="s">
        <v>6629</v>
      </c>
      <c r="N1185" t="s">
        <v>466</v>
      </c>
      <c r="O1185" t="s">
        <v>6474</v>
      </c>
      <c r="P1185" s="4">
        <v>20000</v>
      </c>
      <c r="Q1185">
        <f t="shared" si="305"/>
        <v>445</v>
      </c>
      <c r="R1185">
        <f t="shared" si="306"/>
        <v>7.416666666666667</v>
      </c>
      <c r="S1185" s="2">
        <v>45735</v>
      </c>
      <c r="U1185">
        <v>2</v>
      </c>
      <c r="V1185" s="4">
        <v>40000</v>
      </c>
      <c r="W1185" t="s">
        <v>65</v>
      </c>
      <c r="X1185" t="s">
        <v>2902</v>
      </c>
      <c r="Y1185">
        <v>0</v>
      </c>
      <c r="Z1185" s="4">
        <v>40000</v>
      </c>
      <c r="AA1185">
        <v>0</v>
      </c>
      <c r="AB1185">
        <v>0</v>
      </c>
      <c r="AC1185">
        <v>0</v>
      </c>
      <c r="AD1185">
        <v>0</v>
      </c>
      <c r="AG1185">
        <v>0</v>
      </c>
      <c r="AP1185" t="s">
        <v>2903</v>
      </c>
      <c r="AQ1185" t="s">
        <v>116</v>
      </c>
      <c r="AR1185" t="s">
        <v>6639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BC1185" t="s">
        <v>69</v>
      </c>
      <c r="BD1185" t="s">
        <v>4298</v>
      </c>
      <c r="BE1185">
        <v>0</v>
      </c>
      <c r="BG1185" t="s">
        <v>116</v>
      </c>
      <c r="BJ1185" t="s">
        <v>3532</v>
      </c>
    </row>
    <row r="1186" spans="1:62" x14ac:dyDescent="0.35">
      <c r="A1186" t="s">
        <v>4299</v>
      </c>
      <c r="B1186">
        <v>10000</v>
      </c>
      <c r="C1186">
        <v>10000</v>
      </c>
      <c r="D1186" s="2">
        <v>45735</v>
      </c>
      <c r="E1186" t="s">
        <v>61</v>
      </c>
      <c r="F1186" t="s">
        <v>4289</v>
      </c>
      <c r="G1186" t="s">
        <v>4009</v>
      </c>
      <c r="I1186">
        <v>1</v>
      </c>
      <c r="J1186" t="s">
        <v>63</v>
      </c>
      <c r="K1186" s="8">
        <v>61</v>
      </c>
      <c r="L1186" s="8" t="s">
        <v>6594</v>
      </c>
      <c r="M1186" s="8" t="s">
        <v>6629</v>
      </c>
      <c r="N1186" t="s">
        <v>197</v>
      </c>
      <c r="O1186" t="s">
        <v>6565</v>
      </c>
      <c r="P1186" s="4">
        <v>4667</v>
      </c>
      <c r="Q1186">
        <f t="shared" si="305"/>
        <v>138.34</v>
      </c>
      <c r="R1186">
        <f t="shared" si="306"/>
        <v>2.3056666666666668</v>
      </c>
      <c r="S1186" s="2">
        <v>45735</v>
      </c>
      <c r="U1186">
        <v>6</v>
      </c>
      <c r="V1186" s="4">
        <v>28002</v>
      </c>
      <c r="W1186" t="s">
        <v>65</v>
      </c>
      <c r="X1186" t="s">
        <v>2124</v>
      </c>
      <c r="Y1186">
        <v>0</v>
      </c>
      <c r="Z1186" s="4">
        <v>28000</v>
      </c>
      <c r="AA1186">
        <v>2</v>
      </c>
      <c r="AB1186">
        <v>0</v>
      </c>
      <c r="AC1186">
        <v>0</v>
      </c>
      <c r="AD1186">
        <v>0</v>
      </c>
      <c r="AG1186">
        <v>0</v>
      </c>
      <c r="AP1186" t="s">
        <v>2125</v>
      </c>
      <c r="AQ1186" t="s">
        <v>116</v>
      </c>
      <c r="AR1186" t="s">
        <v>6639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BC1186" t="s">
        <v>69</v>
      </c>
      <c r="BD1186" t="s">
        <v>4300</v>
      </c>
      <c r="BE1186">
        <v>0</v>
      </c>
      <c r="BG1186" t="s">
        <v>116</v>
      </c>
      <c r="BJ1186" t="s">
        <v>3532</v>
      </c>
    </row>
    <row r="1187" spans="1:62" x14ac:dyDescent="0.35">
      <c r="A1187" t="s">
        <v>3074</v>
      </c>
      <c r="B1187">
        <v>10000</v>
      </c>
      <c r="C1187">
        <v>20000</v>
      </c>
      <c r="D1187" s="2">
        <v>45735</v>
      </c>
      <c r="E1187" t="s">
        <v>61</v>
      </c>
      <c r="F1187" t="s">
        <v>3075</v>
      </c>
      <c r="G1187">
        <v>10639931032</v>
      </c>
      <c r="I1187">
        <v>2</v>
      </c>
      <c r="J1187" t="s">
        <v>63</v>
      </c>
      <c r="K1187" s="8">
        <v>77</v>
      </c>
      <c r="L1187" s="8" t="s">
        <v>6584</v>
      </c>
      <c r="M1187" s="8" t="s">
        <v>6627</v>
      </c>
      <c r="N1187" t="s">
        <v>127</v>
      </c>
      <c r="O1187" t="s">
        <v>6567</v>
      </c>
      <c r="P1187">
        <v>300</v>
      </c>
      <c r="Q1187">
        <f t="shared" ref="Q1187:Q1189" si="307">(P1187/60)+45</f>
        <v>50</v>
      </c>
      <c r="R1187">
        <f t="shared" ref="R1187:R1189" si="308">Q1187/60</f>
        <v>0.83333333333333337</v>
      </c>
      <c r="S1187" s="2">
        <v>45735</v>
      </c>
      <c r="U1187">
        <v>25</v>
      </c>
      <c r="V1187" s="4">
        <v>7500</v>
      </c>
      <c r="W1187" t="s">
        <v>65</v>
      </c>
      <c r="X1187" t="s">
        <v>3076</v>
      </c>
      <c r="Y1187">
        <v>0</v>
      </c>
      <c r="Z1187" s="4">
        <v>5000</v>
      </c>
      <c r="AA1187" s="4">
        <v>2500</v>
      </c>
      <c r="AB1187">
        <v>0</v>
      </c>
      <c r="AC1187">
        <v>0</v>
      </c>
      <c r="AD1187">
        <v>0</v>
      </c>
      <c r="AG1187">
        <v>0</v>
      </c>
      <c r="AP1187" t="s">
        <v>3077</v>
      </c>
      <c r="AQ1187" t="s">
        <v>68</v>
      </c>
      <c r="AR1187" t="s">
        <v>6636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BC1187" t="s">
        <v>69</v>
      </c>
      <c r="BD1187" t="s">
        <v>3078</v>
      </c>
      <c r="BE1187">
        <v>0</v>
      </c>
      <c r="BG1187" t="s">
        <v>68</v>
      </c>
      <c r="BJ1187" t="s">
        <v>3079</v>
      </c>
    </row>
    <row r="1188" spans="1:62" x14ac:dyDescent="0.35">
      <c r="A1188" t="s">
        <v>3080</v>
      </c>
      <c r="B1188">
        <v>10000</v>
      </c>
      <c r="C1188">
        <v>20000</v>
      </c>
      <c r="D1188" s="2">
        <v>45735</v>
      </c>
      <c r="E1188" t="s">
        <v>61</v>
      </c>
      <c r="F1188" t="s">
        <v>3081</v>
      </c>
      <c r="G1188">
        <v>10639931032</v>
      </c>
      <c r="I1188">
        <v>2</v>
      </c>
      <c r="J1188" t="s">
        <v>63</v>
      </c>
      <c r="K1188" s="8">
        <v>77</v>
      </c>
      <c r="L1188" s="8" t="s">
        <v>6584</v>
      </c>
      <c r="M1188" s="8" t="s">
        <v>6627</v>
      </c>
      <c r="N1188" t="s">
        <v>127</v>
      </c>
      <c r="O1188" t="s">
        <v>6567</v>
      </c>
      <c r="P1188">
        <v>300</v>
      </c>
      <c r="Q1188">
        <f t="shared" si="307"/>
        <v>50</v>
      </c>
      <c r="R1188">
        <f t="shared" si="308"/>
        <v>0.83333333333333337</v>
      </c>
      <c r="S1188" s="2">
        <v>45735</v>
      </c>
      <c r="U1188">
        <v>25</v>
      </c>
      <c r="V1188" s="4">
        <v>7500</v>
      </c>
      <c r="W1188" t="s">
        <v>65</v>
      </c>
      <c r="X1188" t="s">
        <v>3082</v>
      </c>
      <c r="Y1188">
        <v>0</v>
      </c>
      <c r="Z1188" s="4">
        <v>5000</v>
      </c>
      <c r="AA1188" s="4">
        <v>2500</v>
      </c>
      <c r="AB1188">
        <v>0</v>
      </c>
      <c r="AC1188">
        <v>0</v>
      </c>
      <c r="AD1188">
        <v>0</v>
      </c>
      <c r="AG1188">
        <v>0</v>
      </c>
      <c r="AP1188" t="s">
        <v>3083</v>
      </c>
      <c r="AQ1188" t="s">
        <v>68</v>
      </c>
      <c r="AR1188" t="s">
        <v>6636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BC1188" t="s">
        <v>69</v>
      </c>
      <c r="BD1188" t="s">
        <v>3084</v>
      </c>
      <c r="BE1188">
        <v>0</v>
      </c>
      <c r="BG1188" t="s">
        <v>68</v>
      </c>
      <c r="BJ1188" t="s">
        <v>3085</v>
      </c>
    </row>
    <row r="1189" spans="1:62" x14ac:dyDescent="0.35">
      <c r="A1189" t="s">
        <v>3086</v>
      </c>
      <c r="B1189">
        <v>10000</v>
      </c>
      <c r="C1189">
        <v>20000</v>
      </c>
      <c r="D1189" s="2">
        <v>45735</v>
      </c>
      <c r="E1189" t="s">
        <v>61</v>
      </c>
      <c r="F1189" t="s">
        <v>3087</v>
      </c>
      <c r="G1189">
        <v>10639931032</v>
      </c>
      <c r="I1189">
        <v>2</v>
      </c>
      <c r="J1189" t="s">
        <v>63</v>
      </c>
      <c r="K1189" s="8">
        <v>77</v>
      </c>
      <c r="L1189" s="8" t="s">
        <v>6584</v>
      </c>
      <c r="M1189" s="8" t="s">
        <v>6627</v>
      </c>
      <c r="N1189" t="s">
        <v>127</v>
      </c>
      <c r="O1189" t="s">
        <v>6567</v>
      </c>
      <c r="P1189">
        <v>120</v>
      </c>
      <c r="Q1189">
        <f t="shared" si="307"/>
        <v>47</v>
      </c>
      <c r="R1189">
        <f t="shared" si="308"/>
        <v>0.78333333333333333</v>
      </c>
      <c r="S1189" s="2">
        <v>45735</v>
      </c>
      <c r="U1189">
        <v>15</v>
      </c>
      <c r="V1189" s="4">
        <v>1800</v>
      </c>
      <c r="W1189" t="s">
        <v>65</v>
      </c>
      <c r="X1189" t="s">
        <v>3088</v>
      </c>
      <c r="Y1189">
        <v>0</v>
      </c>
      <c r="Z1189" s="4">
        <v>1000</v>
      </c>
      <c r="AA1189">
        <v>800</v>
      </c>
      <c r="AB1189">
        <v>0</v>
      </c>
      <c r="AC1189">
        <v>0</v>
      </c>
      <c r="AD1189">
        <v>0</v>
      </c>
      <c r="AG1189">
        <v>0</v>
      </c>
      <c r="AP1189" t="s">
        <v>3089</v>
      </c>
      <c r="AQ1189" t="s">
        <v>68</v>
      </c>
      <c r="AR1189" t="s">
        <v>6636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BC1189" t="s">
        <v>69</v>
      </c>
      <c r="BD1189" t="s">
        <v>3090</v>
      </c>
      <c r="BE1189">
        <v>0</v>
      </c>
      <c r="BG1189" t="s">
        <v>68</v>
      </c>
      <c r="BJ1189" t="s">
        <v>3091</v>
      </c>
    </row>
    <row r="1190" spans="1:62" x14ac:dyDescent="0.35">
      <c r="A1190" t="s">
        <v>4301</v>
      </c>
      <c r="B1190">
        <v>10000</v>
      </c>
      <c r="C1190">
        <v>10000</v>
      </c>
      <c r="D1190" s="2">
        <v>45735</v>
      </c>
      <c r="E1190" t="s">
        <v>61</v>
      </c>
      <c r="F1190" t="s">
        <v>4302</v>
      </c>
      <c r="G1190" t="s">
        <v>2069</v>
      </c>
      <c r="I1190">
        <v>1</v>
      </c>
      <c r="J1190" t="s">
        <v>63</v>
      </c>
      <c r="K1190" s="8">
        <v>94</v>
      </c>
      <c r="L1190" s="8" t="s">
        <v>6599</v>
      </c>
      <c r="M1190" s="8" t="s">
        <v>6629</v>
      </c>
      <c r="N1190" t="s">
        <v>181</v>
      </c>
      <c r="O1190" t="s">
        <v>6544</v>
      </c>
      <c r="P1190" s="4">
        <v>5000</v>
      </c>
      <c r="S1190" s="2">
        <v>45735</v>
      </c>
      <c r="U1190">
        <v>4</v>
      </c>
      <c r="V1190" s="4">
        <v>20000</v>
      </c>
      <c r="W1190" t="s">
        <v>65</v>
      </c>
      <c r="X1190" t="s">
        <v>3859</v>
      </c>
      <c r="Y1190">
        <v>0</v>
      </c>
      <c r="Z1190" s="4">
        <v>20000</v>
      </c>
      <c r="AA1190">
        <v>0</v>
      </c>
      <c r="AB1190">
        <v>0</v>
      </c>
      <c r="AC1190">
        <v>0</v>
      </c>
      <c r="AD1190">
        <v>0</v>
      </c>
      <c r="AG1190">
        <v>0</v>
      </c>
      <c r="AP1190" t="s">
        <v>3860</v>
      </c>
      <c r="AQ1190" t="s">
        <v>364</v>
      </c>
      <c r="AR1190" t="s">
        <v>6653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BC1190" t="s">
        <v>69</v>
      </c>
      <c r="BD1190" t="s">
        <v>4303</v>
      </c>
      <c r="BE1190">
        <v>0</v>
      </c>
      <c r="BG1190" t="s">
        <v>364</v>
      </c>
      <c r="BJ1190" t="s">
        <v>4304</v>
      </c>
    </row>
    <row r="1191" spans="1:62" x14ac:dyDescent="0.35">
      <c r="A1191" t="s">
        <v>4305</v>
      </c>
      <c r="B1191">
        <v>10000</v>
      </c>
      <c r="C1191">
        <v>10000</v>
      </c>
      <c r="D1191" s="2">
        <v>45744</v>
      </c>
      <c r="E1191" t="s">
        <v>61</v>
      </c>
      <c r="F1191" t="s">
        <v>4306</v>
      </c>
      <c r="G1191" t="s">
        <v>4218</v>
      </c>
      <c r="I1191">
        <v>1</v>
      </c>
      <c r="J1191" t="s">
        <v>63</v>
      </c>
      <c r="K1191" s="8">
        <v>79</v>
      </c>
      <c r="L1191" s="8" t="s">
        <v>6608</v>
      </c>
      <c r="M1191" s="8" t="s">
        <v>6631</v>
      </c>
      <c r="N1191" t="s">
        <v>573</v>
      </c>
      <c r="O1191" t="s">
        <v>6547</v>
      </c>
      <c r="P1191" s="4">
        <v>4108</v>
      </c>
      <c r="Q1191">
        <f t="shared" ref="Q1191:Q1194" si="309">(P1191/20)+30</f>
        <v>235.4</v>
      </c>
      <c r="R1191">
        <f t="shared" ref="R1191:R1196" si="310">Q1191/60</f>
        <v>3.9233333333333333</v>
      </c>
      <c r="S1191" s="2">
        <v>45735</v>
      </c>
      <c r="U1191">
        <v>28</v>
      </c>
      <c r="V1191" s="4">
        <v>115024</v>
      </c>
      <c r="W1191" t="s">
        <v>65</v>
      </c>
      <c r="X1191" t="s">
        <v>4307</v>
      </c>
      <c r="Y1191">
        <v>0</v>
      </c>
      <c r="Z1191" s="4">
        <v>100000</v>
      </c>
      <c r="AA1191" s="4">
        <v>15024</v>
      </c>
      <c r="AB1191">
        <v>0</v>
      </c>
      <c r="AC1191">
        <v>0</v>
      </c>
      <c r="AD1191">
        <v>0</v>
      </c>
      <c r="AG1191">
        <v>0</v>
      </c>
      <c r="AP1191" t="s">
        <v>4308</v>
      </c>
      <c r="AQ1191" t="s">
        <v>107</v>
      </c>
      <c r="AR1191" t="s">
        <v>6638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BC1191" t="s">
        <v>69</v>
      </c>
      <c r="BD1191" t="s">
        <v>4309</v>
      </c>
      <c r="BE1191">
        <v>0</v>
      </c>
      <c r="BG1191" t="s">
        <v>107</v>
      </c>
      <c r="BJ1191" t="s">
        <v>4310</v>
      </c>
    </row>
    <row r="1192" spans="1:62" x14ac:dyDescent="0.35">
      <c r="A1192" t="s">
        <v>4311</v>
      </c>
      <c r="B1192">
        <v>10000</v>
      </c>
      <c r="C1192">
        <v>10000</v>
      </c>
      <c r="D1192" s="2">
        <v>45744</v>
      </c>
      <c r="E1192" t="s">
        <v>61</v>
      </c>
      <c r="F1192" t="s">
        <v>4312</v>
      </c>
      <c r="G1192" t="s">
        <v>4218</v>
      </c>
      <c r="I1192">
        <v>1</v>
      </c>
      <c r="J1192" t="s">
        <v>63</v>
      </c>
      <c r="K1192" s="8">
        <v>79</v>
      </c>
      <c r="L1192" s="8" t="s">
        <v>6608</v>
      </c>
      <c r="M1192" s="8" t="s">
        <v>6631</v>
      </c>
      <c r="N1192" t="s">
        <v>573</v>
      </c>
      <c r="O1192" t="s">
        <v>6547</v>
      </c>
      <c r="P1192" s="4">
        <v>4108</v>
      </c>
      <c r="Q1192">
        <f t="shared" si="309"/>
        <v>235.4</v>
      </c>
      <c r="R1192">
        <f t="shared" si="310"/>
        <v>3.9233333333333333</v>
      </c>
      <c r="S1192" s="2">
        <v>45735</v>
      </c>
      <c r="U1192">
        <v>28</v>
      </c>
      <c r="V1192" s="4">
        <v>115024</v>
      </c>
      <c r="W1192" t="s">
        <v>65</v>
      </c>
      <c r="X1192" t="s">
        <v>4313</v>
      </c>
      <c r="Y1192">
        <v>0</v>
      </c>
      <c r="Z1192" s="4">
        <v>100000</v>
      </c>
      <c r="AA1192" s="4">
        <v>15024</v>
      </c>
      <c r="AB1192">
        <v>0</v>
      </c>
      <c r="AC1192">
        <v>0</v>
      </c>
      <c r="AD1192">
        <v>0</v>
      </c>
      <c r="AG1192">
        <v>0</v>
      </c>
      <c r="AP1192" t="s">
        <v>4314</v>
      </c>
      <c r="AQ1192" t="s">
        <v>107</v>
      </c>
      <c r="AR1192" t="s">
        <v>6638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BC1192" t="s">
        <v>69</v>
      </c>
      <c r="BD1192" t="s">
        <v>4315</v>
      </c>
      <c r="BE1192">
        <v>0</v>
      </c>
      <c r="BG1192" t="s">
        <v>107</v>
      </c>
      <c r="BJ1192" t="s">
        <v>4316</v>
      </c>
    </row>
    <row r="1193" spans="1:62" x14ac:dyDescent="0.35">
      <c r="A1193" t="s">
        <v>4317</v>
      </c>
      <c r="B1193">
        <v>10000</v>
      </c>
      <c r="C1193">
        <v>10000</v>
      </c>
      <c r="D1193" s="2">
        <v>45741</v>
      </c>
      <c r="E1193" t="s">
        <v>61</v>
      </c>
      <c r="F1193" t="s">
        <v>4318</v>
      </c>
      <c r="G1193" t="s">
        <v>4156</v>
      </c>
      <c r="I1193">
        <v>1</v>
      </c>
      <c r="J1193" t="s">
        <v>63</v>
      </c>
      <c r="K1193" s="8">
        <v>79</v>
      </c>
      <c r="L1193" s="8" t="s">
        <v>6608</v>
      </c>
      <c r="M1193" s="8" t="s">
        <v>6631</v>
      </c>
      <c r="N1193" t="s">
        <v>573</v>
      </c>
      <c r="O1193" t="s">
        <v>6547</v>
      </c>
      <c r="P1193" s="4">
        <v>4260</v>
      </c>
      <c r="Q1193">
        <f t="shared" si="309"/>
        <v>243</v>
      </c>
      <c r="R1193">
        <f t="shared" si="310"/>
        <v>4.05</v>
      </c>
      <c r="S1193" s="2">
        <v>45735</v>
      </c>
      <c r="U1193">
        <v>27</v>
      </c>
      <c r="V1193" s="4">
        <v>115020</v>
      </c>
      <c r="W1193" t="s">
        <v>65</v>
      </c>
      <c r="X1193" t="s">
        <v>574</v>
      </c>
      <c r="Y1193">
        <v>0</v>
      </c>
      <c r="Z1193" s="4">
        <v>100000</v>
      </c>
      <c r="AA1193" s="4">
        <v>15020</v>
      </c>
      <c r="AB1193">
        <v>0</v>
      </c>
      <c r="AC1193">
        <v>0</v>
      </c>
      <c r="AD1193">
        <v>0</v>
      </c>
      <c r="AG1193">
        <v>0</v>
      </c>
      <c r="AP1193" t="s">
        <v>575</v>
      </c>
      <c r="AQ1193" t="s">
        <v>107</v>
      </c>
      <c r="AR1193" t="s">
        <v>6638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BC1193" t="s">
        <v>69</v>
      </c>
      <c r="BD1193" t="s">
        <v>4319</v>
      </c>
      <c r="BE1193">
        <v>0</v>
      </c>
      <c r="BG1193" t="s">
        <v>107</v>
      </c>
      <c r="BJ1193" t="s">
        <v>4320</v>
      </c>
    </row>
    <row r="1194" spans="1:62" x14ac:dyDescent="0.35">
      <c r="A1194" t="s">
        <v>4321</v>
      </c>
      <c r="B1194">
        <v>10000</v>
      </c>
      <c r="C1194">
        <v>10000</v>
      </c>
      <c r="D1194" s="2">
        <v>45744</v>
      </c>
      <c r="E1194" t="s">
        <v>95</v>
      </c>
      <c r="F1194" t="s">
        <v>359</v>
      </c>
      <c r="G1194" t="s">
        <v>4322</v>
      </c>
      <c r="I1194">
        <v>1</v>
      </c>
      <c r="J1194" t="s">
        <v>63</v>
      </c>
      <c r="K1194" s="8">
        <v>79</v>
      </c>
      <c r="L1194" s="8" t="s">
        <v>6608</v>
      </c>
      <c r="M1194" s="8" t="s">
        <v>6631</v>
      </c>
      <c r="N1194" t="s">
        <v>573</v>
      </c>
      <c r="O1194" t="s">
        <v>6547</v>
      </c>
      <c r="P1194" s="4">
        <v>4108</v>
      </c>
      <c r="Q1194">
        <f t="shared" si="309"/>
        <v>235.4</v>
      </c>
      <c r="R1194">
        <f t="shared" si="310"/>
        <v>3.9233333333333333</v>
      </c>
      <c r="S1194" s="2">
        <v>45735</v>
      </c>
      <c r="U1194">
        <v>56</v>
      </c>
      <c r="V1194" s="4">
        <v>230048</v>
      </c>
      <c r="W1194" t="s">
        <v>65</v>
      </c>
      <c r="X1194" t="s">
        <v>1224</v>
      </c>
      <c r="Y1194">
        <v>0</v>
      </c>
      <c r="Z1194" s="4">
        <v>200000</v>
      </c>
      <c r="AA1194" s="4">
        <v>30048</v>
      </c>
      <c r="AB1194">
        <v>0</v>
      </c>
      <c r="AC1194">
        <v>0</v>
      </c>
      <c r="AD1194">
        <v>0</v>
      </c>
      <c r="AG1194">
        <v>0</v>
      </c>
      <c r="AP1194" t="s">
        <v>1225</v>
      </c>
      <c r="AQ1194" t="s">
        <v>107</v>
      </c>
      <c r="AR1194" t="s">
        <v>6638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BC1194" t="s">
        <v>69</v>
      </c>
      <c r="BD1194" t="s">
        <v>4323</v>
      </c>
      <c r="BE1194">
        <v>0</v>
      </c>
      <c r="BG1194" t="s">
        <v>107</v>
      </c>
      <c r="BJ1194" t="s">
        <v>4324</v>
      </c>
    </row>
    <row r="1195" spans="1:62" x14ac:dyDescent="0.35">
      <c r="A1195" t="s">
        <v>4325</v>
      </c>
      <c r="B1195">
        <v>10000</v>
      </c>
      <c r="C1195">
        <v>10000</v>
      </c>
      <c r="D1195" s="2">
        <v>45735</v>
      </c>
      <c r="E1195" t="s">
        <v>61</v>
      </c>
      <c r="F1195" t="s">
        <v>4025</v>
      </c>
      <c r="G1195" t="s">
        <v>4026</v>
      </c>
      <c r="I1195">
        <v>1</v>
      </c>
      <c r="J1195" t="s">
        <v>63</v>
      </c>
      <c r="K1195" s="8">
        <v>31</v>
      </c>
      <c r="L1195" s="8" t="s">
        <v>6595</v>
      </c>
      <c r="M1195" s="8" t="s">
        <v>6629</v>
      </c>
      <c r="N1195" t="s">
        <v>1311</v>
      </c>
      <c r="O1195" t="s">
        <v>6491</v>
      </c>
      <c r="P1195" s="4">
        <v>2000</v>
      </c>
      <c r="Q1195">
        <f t="shared" ref="Q1195:Q1196" si="311">(P1195/40)+45</f>
        <v>95</v>
      </c>
      <c r="R1195">
        <f t="shared" si="310"/>
        <v>1.5833333333333333</v>
      </c>
      <c r="S1195" s="2">
        <v>45735</v>
      </c>
      <c r="U1195">
        <v>20</v>
      </c>
      <c r="V1195" s="4">
        <v>40000</v>
      </c>
      <c r="W1195" t="s">
        <v>65</v>
      </c>
      <c r="X1195" t="s">
        <v>4326</v>
      </c>
      <c r="Y1195">
        <v>0</v>
      </c>
      <c r="Z1195" s="4">
        <v>40000</v>
      </c>
      <c r="AA1195">
        <v>0</v>
      </c>
      <c r="AB1195">
        <v>0</v>
      </c>
      <c r="AC1195">
        <v>0</v>
      </c>
      <c r="AD1195">
        <v>0</v>
      </c>
      <c r="AG1195">
        <v>0</v>
      </c>
      <c r="AP1195" t="s">
        <v>4327</v>
      </c>
      <c r="AQ1195" t="s">
        <v>4029</v>
      </c>
      <c r="AR1195" t="s">
        <v>6730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BC1195" t="s">
        <v>69</v>
      </c>
      <c r="BD1195" t="s">
        <v>4328</v>
      </c>
      <c r="BE1195">
        <v>0</v>
      </c>
      <c r="BG1195" t="s">
        <v>4029</v>
      </c>
      <c r="BJ1195" t="s">
        <v>4031</v>
      </c>
    </row>
    <row r="1196" spans="1:62" x14ac:dyDescent="0.35">
      <c r="A1196" t="s">
        <v>4329</v>
      </c>
      <c r="B1196">
        <v>10000</v>
      </c>
      <c r="C1196">
        <v>10000</v>
      </c>
      <c r="D1196" s="2">
        <v>45735</v>
      </c>
      <c r="E1196" t="s">
        <v>61</v>
      </c>
      <c r="F1196" t="s">
        <v>4025</v>
      </c>
      <c r="G1196" t="s">
        <v>4026</v>
      </c>
      <c r="I1196">
        <v>1</v>
      </c>
      <c r="J1196" t="s">
        <v>63</v>
      </c>
      <c r="K1196" s="8">
        <v>31</v>
      </c>
      <c r="L1196" s="8" t="s">
        <v>6595</v>
      </c>
      <c r="M1196" s="8" t="s">
        <v>6629</v>
      </c>
      <c r="N1196" t="s">
        <v>1311</v>
      </c>
      <c r="O1196" t="s">
        <v>6491</v>
      </c>
      <c r="P1196" s="4">
        <v>2000</v>
      </c>
      <c r="Q1196">
        <f t="shared" si="311"/>
        <v>95</v>
      </c>
      <c r="R1196">
        <f t="shared" si="310"/>
        <v>1.5833333333333333</v>
      </c>
      <c r="S1196" s="2">
        <v>45735</v>
      </c>
      <c r="U1196">
        <v>20</v>
      </c>
      <c r="V1196" s="4">
        <v>40000</v>
      </c>
      <c r="W1196" t="s">
        <v>65</v>
      </c>
      <c r="X1196" t="s">
        <v>4330</v>
      </c>
      <c r="Y1196">
        <v>0</v>
      </c>
      <c r="Z1196" s="4">
        <v>40000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4331</v>
      </c>
      <c r="AQ1196" t="s">
        <v>4029</v>
      </c>
      <c r="AR1196" t="s">
        <v>6730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BC1196" t="s">
        <v>69</v>
      </c>
      <c r="BD1196" t="s">
        <v>4332</v>
      </c>
      <c r="BE1196">
        <v>0</v>
      </c>
      <c r="BG1196" t="s">
        <v>4029</v>
      </c>
      <c r="BJ1196" t="s">
        <v>4031</v>
      </c>
    </row>
    <row r="1197" spans="1:62" x14ac:dyDescent="0.35">
      <c r="A1197" t="s">
        <v>3550</v>
      </c>
      <c r="B1197">
        <v>10000</v>
      </c>
      <c r="C1197">
        <v>20000</v>
      </c>
      <c r="D1197" s="2">
        <v>45736</v>
      </c>
      <c r="E1197" t="s">
        <v>61</v>
      </c>
      <c r="F1197" t="s">
        <v>3551</v>
      </c>
      <c r="G1197" t="s">
        <v>387</v>
      </c>
      <c r="I1197">
        <v>2</v>
      </c>
      <c r="J1197" t="s">
        <v>63</v>
      </c>
      <c r="K1197" s="8">
        <v>92</v>
      </c>
      <c r="L1197" s="8" t="s">
        <v>6614</v>
      </c>
      <c r="M1197" s="8" t="s">
        <v>6633</v>
      </c>
      <c r="N1197" t="s">
        <v>424</v>
      </c>
      <c r="O1197" t="s">
        <v>6570</v>
      </c>
      <c r="P1197">
        <v>300</v>
      </c>
      <c r="S1197" s="2">
        <v>45735</v>
      </c>
      <c r="U1197">
        <v>3</v>
      </c>
      <c r="V1197">
        <v>900</v>
      </c>
      <c r="W1197" t="s">
        <v>65</v>
      </c>
      <c r="X1197" t="s">
        <v>3552</v>
      </c>
      <c r="Y1197">
        <v>0</v>
      </c>
      <c r="Z1197">
        <v>600</v>
      </c>
      <c r="AA1197">
        <v>300</v>
      </c>
      <c r="AB1197">
        <v>0</v>
      </c>
      <c r="AC1197">
        <v>0</v>
      </c>
      <c r="AD1197">
        <v>0</v>
      </c>
      <c r="AG1197">
        <v>0</v>
      </c>
      <c r="AP1197" t="s">
        <v>3553</v>
      </c>
      <c r="AQ1197" t="s">
        <v>1241</v>
      </c>
      <c r="AR1197" t="s">
        <v>6673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BC1197" t="s">
        <v>69</v>
      </c>
      <c r="BD1197" t="s">
        <v>3554</v>
      </c>
      <c r="BE1197">
        <v>0</v>
      </c>
      <c r="BG1197" t="s">
        <v>1241</v>
      </c>
      <c r="BJ1197" t="s">
        <v>3555</v>
      </c>
    </row>
    <row r="1198" spans="1:62" x14ac:dyDescent="0.35">
      <c r="A1198" t="s">
        <v>3556</v>
      </c>
      <c r="B1198">
        <v>10000</v>
      </c>
      <c r="C1198">
        <v>20000</v>
      </c>
      <c r="D1198" s="2">
        <v>45736</v>
      </c>
      <c r="E1198" t="s">
        <v>61</v>
      </c>
      <c r="F1198" t="s">
        <v>3551</v>
      </c>
      <c r="G1198" t="s">
        <v>1238</v>
      </c>
      <c r="I1198">
        <v>2</v>
      </c>
      <c r="J1198" t="s">
        <v>63</v>
      </c>
      <c r="K1198" s="8">
        <v>92</v>
      </c>
      <c r="L1198" s="8" t="s">
        <v>6614</v>
      </c>
      <c r="M1198" s="8" t="s">
        <v>6633</v>
      </c>
      <c r="N1198" t="s">
        <v>424</v>
      </c>
      <c r="O1198" t="s">
        <v>6570</v>
      </c>
      <c r="P1198">
        <v>600</v>
      </c>
      <c r="S1198" s="2">
        <v>45735</v>
      </c>
      <c r="U1198">
        <v>1</v>
      </c>
      <c r="V1198">
        <v>600</v>
      </c>
      <c r="W1198" t="s">
        <v>65</v>
      </c>
      <c r="X1198" t="s">
        <v>1239</v>
      </c>
      <c r="Y1198">
        <v>0</v>
      </c>
      <c r="Z1198">
        <v>500</v>
      </c>
      <c r="AA1198">
        <v>100</v>
      </c>
      <c r="AB1198">
        <v>0</v>
      </c>
      <c r="AC1198">
        <v>0</v>
      </c>
      <c r="AD1198">
        <v>0</v>
      </c>
      <c r="AG1198">
        <v>0</v>
      </c>
      <c r="AP1198" t="s">
        <v>1240</v>
      </c>
      <c r="AQ1198" t="s">
        <v>1241</v>
      </c>
      <c r="AR1198" t="s">
        <v>6673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BC1198" t="s">
        <v>69</v>
      </c>
      <c r="BD1198" t="s">
        <v>3557</v>
      </c>
      <c r="BE1198">
        <v>0</v>
      </c>
      <c r="BG1198" t="s">
        <v>1241</v>
      </c>
      <c r="BJ1198" t="s">
        <v>3555</v>
      </c>
    </row>
    <row r="1199" spans="1:62" x14ac:dyDescent="0.35">
      <c r="A1199" t="s">
        <v>4333</v>
      </c>
      <c r="B1199">
        <v>10000</v>
      </c>
      <c r="C1199">
        <v>10000</v>
      </c>
      <c r="D1199" s="2">
        <v>45744</v>
      </c>
      <c r="E1199" t="s">
        <v>61</v>
      </c>
      <c r="F1199" t="s">
        <v>3979</v>
      </c>
      <c r="G1199" t="s">
        <v>4218</v>
      </c>
      <c r="I1199">
        <v>1</v>
      </c>
      <c r="J1199" t="s">
        <v>63</v>
      </c>
      <c r="K1199" s="8">
        <v>79</v>
      </c>
      <c r="L1199" s="8" t="s">
        <v>6608</v>
      </c>
      <c r="M1199" s="8" t="s">
        <v>6631</v>
      </c>
      <c r="N1199" t="s">
        <v>573</v>
      </c>
      <c r="O1199" t="s">
        <v>6547</v>
      </c>
      <c r="P1199" s="4">
        <v>4108</v>
      </c>
      <c r="Q1199">
        <f>(P1199/20)+30</f>
        <v>235.4</v>
      </c>
      <c r="R1199">
        <f>Q1199/60</f>
        <v>3.9233333333333333</v>
      </c>
      <c r="S1199" s="2">
        <v>45735</v>
      </c>
      <c r="U1199">
        <v>28</v>
      </c>
      <c r="V1199" s="4">
        <v>115024</v>
      </c>
      <c r="W1199" t="s">
        <v>65</v>
      </c>
      <c r="X1199" t="s">
        <v>4334</v>
      </c>
      <c r="Y1199">
        <v>0</v>
      </c>
      <c r="Z1199" s="4">
        <v>100000</v>
      </c>
      <c r="AA1199" s="4">
        <v>15024</v>
      </c>
      <c r="AB1199">
        <v>0</v>
      </c>
      <c r="AC1199">
        <v>0</v>
      </c>
      <c r="AD1199">
        <v>0</v>
      </c>
      <c r="AG1199">
        <v>0</v>
      </c>
      <c r="AP1199" t="s">
        <v>4335</v>
      </c>
      <c r="AQ1199" t="s">
        <v>107</v>
      </c>
      <c r="AR1199" t="s">
        <v>6638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BC1199" t="s">
        <v>69</v>
      </c>
      <c r="BD1199" t="s">
        <v>4336</v>
      </c>
      <c r="BE1199">
        <v>0</v>
      </c>
      <c r="BG1199" t="s">
        <v>107</v>
      </c>
      <c r="BJ1199" t="s">
        <v>4337</v>
      </c>
    </row>
    <row r="1200" spans="1:62" x14ac:dyDescent="0.35">
      <c r="A1200" t="s">
        <v>4338</v>
      </c>
      <c r="B1200">
        <v>10000</v>
      </c>
      <c r="C1200">
        <v>10000</v>
      </c>
      <c r="D1200" s="2">
        <v>45736</v>
      </c>
      <c r="E1200" t="s">
        <v>61</v>
      </c>
      <c r="F1200" t="s">
        <v>4339</v>
      </c>
      <c r="G1200" t="s">
        <v>4340</v>
      </c>
      <c r="I1200">
        <v>1</v>
      </c>
      <c r="J1200" t="s">
        <v>63</v>
      </c>
      <c r="K1200" s="8">
        <v>72</v>
      </c>
      <c r="L1200" s="8" t="s">
        <v>6606</v>
      </c>
      <c r="M1200" s="8" t="s">
        <v>6631</v>
      </c>
      <c r="N1200" t="s">
        <v>163</v>
      </c>
      <c r="O1200" t="s">
        <v>6548</v>
      </c>
      <c r="P1200" s="4">
        <v>2000</v>
      </c>
      <c r="S1200" s="2">
        <v>45735</v>
      </c>
      <c r="U1200">
        <v>4</v>
      </c>
      <c r="V1200" s="4">
        <v>8000</v>
      </c>
      <c r="W1200" t="s">
        <v>65</v>
      </c>
      <c r="X1200">
        <v>5000444260001</v>
      </c>
      <c r="Y1200">
        <v>0</v>
      </c>
      <c r="Z1200" s="4">
        <v>6000</v>
      </c>
      <c r="AA1200" s="4">
        <v>2000</v>
      </c>
      <c r="AB1200">
        <v>0</v>
      </c>
      <c r="AC1200">
        <v>0</v>
      </c>
      <c r="AD1200">
        <v>0</v>
      </c>
      <c r="AG1200">
        <v>0</v>
      </c>
      <c r="AP1200">
        <v>500044426</v>
      </c>
      <c r="AQ1200" t="s">
        <v>91</v>
      </c>
      <c r="AR1200" t="s">
        <v>6637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BC1200" t="s">
        <v>69</v>
      </c>
      <c r="BD1200" t="s">
        <v>4341</v>
      </c>
      <c r="BE1200">
        <v>0</v>
      </c>
      <c r="BG1200" t="s">
        <v>91</v>
      </c>
      <c r="BJ1200" t="s">
        <v>4342</v>
      </c>
    </row>
    <row r="1201" spans="1:62" x14ac:dyDescent="0.35">
      <c r="A1201" t="s">
        <v>4343</v>
      </c>
      <c r="B1201">
        <v>10000</v>
      </c>
      <c r="C1201">
        <v>10000</v>
      </c>
      <c r="D1201" s="2">
        <v>45736</v>
      </c>
      <c r="E1201" t="s">
        <v>61</v>
      </c>
      <c r="F1201" t="s">
        <v>4344</v>
      </c>
      <c r="G1201" t="s">
        <v>4340</v>
      </c>
      <c r="I1201">
        <v>1</v>
      </c>
      <c r="J1201" t="s">
        <v>63</v>
      </c>
      <c r="K1201" s="8">
        <v>72</v>
      </c>
      <c r="L1201" s="8" t="s">
        <v>6606</v>
      </c>
      <c r="M1201" s="8" t="s">
        <v>6631</v>
      </c>
      <c r="N1201" t="s">
        <v>163</v>
      </c>
      <c r="O1201" t="s">
        <v>6548</v>
      </c>
      <c r="P1201" s="4">
        <v>1750</v>
      </c>
      <c r="S1201" s="2">
        <v>45735</v>
      </c>
      <c r="U1201">
        <v>4</v>
      </c>
      <c r="V1201" s="4">
        <v>7000</v>
      </c>
      <c r="W1201" t="s">
        <v>65</v>
      </c>
      <c r="X1201">
        <v>5000514740001</v>
      </c>
      <c r="Y1201">
        <v>0</v>
      </c>
      <c r="Z1201" s="4">
        <v>5000</v>
      </c>
      <c r="AA1201" s="4">
        <v>2000</v>
      </c>
      <c r="AB1201">
        <v>0</v>
      </c>
      <c r="AC1201">
        <v>0</v>
      </c>
      <c r="AD1201">
        <v>0</v>
      </c>
      <c r="AG1201">
        <v>0</v>
      </c>
      <c r="AP1201">
        <v>500051474</v>
      </c>
      <c r="AQ1201" t="s">
        <v>91</v>
      </c>
      <c r="AR1201" t="s">
        <v>6637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BC1201" t="s">
        <v>69</v>
      </c>
      <c r="BD1201" t="s">
        <v>4345</v>
      </c>
      <c r="BE1201">
        <v>0</v>
      </c>
      <c r="BG1201" t="s">
        <v>91</v>
      </c>
      <c r="BJ1201" t="s">
        <v>4342</v>
      </c>
    </row>
    <row r="1202" spans="1:62" x14ac:dyDescent="0.35">
      <c r="A1202" t="s">
        <v>3853</v>
      </c>
      <c r="B1202">
        <v>10000</v>
      </c>
      <c r="C1202">
        <v>20000</v>
      </c>
      <c r="D1202" s="2">
        <v>45735</v>
      </c>
      <c r="E1202" t="s">
        <v>61</v>
      </c>
      <c r="F1202" t="s">
        <v>3854</v>
      </c>
      <c r="G1202">
        <v>408232392</v>
      </c>
      <c r="I1202">
        <v>2</v>
      </c>
      <c r="J1202" t="s">
        <v>63</v>
      </c>
      <c r="K1202" s="8">
        <v>105</v>
      </c>
      <c r="L1202" s="8" t="s">
        <v>6612</v>
      </c>
      <c r="M1202" s="8" t="s">
        <v>6632</v>
      </c>
      <c r="N1202" t="s">
        <v>424</v>
      </c>
      <c r="O1202" t="s">
        <v>6570</v>
      </c>
      <c r="P1202" s="4">
        <v>1600</v>
      </c>
      <c r="S1202" s="2">
        <v>45735</v>
      </c>
      <c r="U1202">
        <v>1</v>
      </c>
      <c r="V1202" s="4">
        <v>1600</v>
      </c>
      <c r="W1202" t="s">
        <v>65</v>
      </c>
      <c r="X1202">
        <v>104484310001</v>
      </c>
      <c r="Y1202">
        <v>0</v>
      </c>
      <c r="Z1202" s="4">
        <v>1300</v>
      </c>
      <c r="AA1202">
        <v>300</v>
      </c>
      <c r="AB1202">
        <v>0</v>
      </c>
      <c r="AC1202">
        <v>0</v>
      </c>
      <c r="AD1202">
        <v>0</v>
      </c>
      <c r="AG1202">
        <v>0</v>
      </c>
      <c r="AP1202">
        <v>10448431</v>
      </c>
      <c r="AQ1202" t="s">
        <v>487</v>
      </c>
      <c r="AR1202" t="s">
        <v>6656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BC1202" t="s">
        <v>69</v>
      </c>
      <c r="BD1202" t="s">
        <v>3855</v>
      </c>
      <c r="BE1202">
        <v>0</v>
      </c>
      <c r="BG1202" t="s">
        <v>487</v>
      </c>
      <c r="BJ1202" t="s">
        <v>3856</v>
      </c>
    </row>
    <row r="1203" spans="1:62" x14ac:dyDescent="0.35">
      <c r="A1203" t="s">
        <v>4346</v>
      </c>
      <c r="B1203">
        <v>10000</v>
      </c>
      <c r="C1203">
        <v>10000</v>
      </c>
      <c r="D1203" s="2">
        <v>45744</v>
      </c>
      <c r="E1203" t="s">
        <v>61</v>
      </c>
      <c r="F1203" t="s">
        <v>4347</v>
      </c>
      <c r="G1203" t="s">
        <v>4218</v>
      </c>
      <c r="I1203">
        <v>1</v>
      </c>
      <c r="J1203" t="s">
        <v>63</v>
      </c>
      <c r="K1203" s="8">
        <v>79</v>
      </c>
      <c r="L1203" s="8" t="s">
        <v>6608</v>
      </c>
      <c r="M1203" s="8" t="s">
        <v>6631</v>
      </c>
      <c r="N1203" t="s">
        <v>573</v>
      </c>
      <c r="O1203" t="s">
        <v>6547</v>
      </c>
      <c r="P1203" s="4">
        <v>4108</v>
      </c>
      <c r="Q1203">
        <f t="shared" ref="Q1203:Q1204" si="312">(P1203/20)+30</f>
        <v>235.4</v>
      </c>
      <c r="R1203">
        <f t="shared" ref="R1203:R1204" si="313">Q1203/60</f>
        <v>3.9233333333333333</v>
      </c>
      <c r="S1203" s="2">
        <v>45735</v>
      </c>
      <c r="U1203">
        <v>28</v>
      </c>
      <c r="V1203" s="4">
        <v>115024</v>
      </c>
      <c r="W1203" t="s">
        <v>65</v>
      </c>
      <c r="X1203" t="s">
        <v>1218</v>
      </c>
      <c r="Y1203">
        <v>0</v>
      </c>
      <c r="Z1203" s="4">
        <v>100000</v>
      </c>
      <c r="AA1203" s="4">
        <v>15024</v>
      </c>
      <c r="AB1203">
        <v>0</v>
      </c>
      <c r="AC1203">
        <v>0</v>
      </c>
      <c r="AD1203">
        <v>0</v>
      </c>
      <c r="AG1203">
        <v>0</v>
      </c>
      <c r="AP1203" t="s">
        <v>1219</v>
      </c>
      <c r="AQ1203" t="s">
        <v>107</v>
      </c>
      <c r="AR1203" t="s">
        <v>6638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BC1203" t="s">
        <v>69</v>
      </c>
      <c r="BD1203" t="s">
        <v>4348</v>
      </c>
      <c r="BE1203">
        <v>0</v>
      </c>
      <c r="BG1203" t="s">
        <v>107</v>
      </c>
      <c r="BJ1203" t="s">
        <v>4349</v>
      </c>
    </row>
    <row r="1204" spans="1:62" x14ac:dyDescent="0.35">
      <c r="A1204" t="s">
        <v>4350</v>
      </c>
      <c r="B1204">
        <v>10000</v>
      </c>
      <c r="C1204">
        <v>10000</v>
      </c>
      <c r="D1204" s="2">
        <v>45744</v>
      </c>
      <c r="E1204" t="s">
        <v>61</v>
      </c>
      <c r="F1204" t="s">
        <v>4351</v>
      </c>
      <c r="G1204" t="s">
        <v>4218</v>
      </c>
      <c r="I1204">
        <v>1</v>
      </c>
      <c r="J1204" t="s">
        <v>63</v>
      </c>
      <c r="K1204" s="8">
        <v>79</v>
      </c>
      <c r="L1204" s="8" t="s">
        <v>6608</v>
      </c>
      <c r="M1204" s="8" t="s">
        <v>6631</v>
      </c>
      <c r="N1204" t="s">
        <v>573</v>
      </c>
      <c r="O1204" t="s">
        <v>6547</v>
      </c>
      <c r="P1204" s="4">
        <v>4108</v>
      </c>
      <c r="Q1204">
        <f t="shared" si="312"/>
        <v>235.4</v>
      </c>
      <c r="R1204">
        <f t="shared" si="313"/>
        <v>3.9233333333333333</v>
      </c>
      <c r="S1204" s="2">
        <v>45735</v>
      </c>
      <c r="U1204">
        <v>28</v>
      </c>
      <c r="V1204" s="4">
        <v>115024</v>
      </c>
      <c r="W1204" t="s">
        <v>65</v>
      </c>
      <c r="X1204" t="s">
        <v>1657</v>
      </c>
      <c r="Y1204">
        <v>0</v>
      </c>
      <c r="Z1204" s="4">
        <v>100000</v>
      </c>
      <c r="AA1204" s="4">
        <v>15024</v>
      </c>
      <c r="AB1204">
        <v>0</v>
      </c>
      <c r="AC1204">
        <v>0</v>
      </c>
      <c r="AD1204">
        <v>0</v>
      </c>
      <c r="AG1204">
        <v>0</v>
      </c>
      <c r="AP1204" t="s">
        <v>1658</v>
      </c>
      <c r="AQ1204" t="s">
        <v>107</v>
      </c>
      <c r="AR1204" t="s">
        <v>6638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BC1204" t="s">
        <v>69</v>
      </c>
      <c r="BD1204" t="s">
        <v>4352</v>
      </c>
      <c r="BE1204">
        <v>0</v>
      </c>
      <c r="BG1204" t="s">
        <v>107</v>
      </c>
      <c r="BJ1204" t="s">
        <v>4353</v>
      </c>
    </row>
    <row r="1205" spans="1:62" x14ac:dyDescent="0.35">
      <c r="A1205" t="s">
        <v>4354</v>
      </c>
      <c r="B1205">
        <v>10000</v>
      </c>
      <c r="C1205">
        <v>10000</v>
      </c>
      <c r="D1205" s="2">
        <v>45736</v>
      </c>
      <c r="E1205" t="s">
        <v>61</v>
      </c>
      <c r="F1205" s="3">
        <v>0.42677083333333332</v>
      </c>
      <c r="G1205" t="s">
        <v>2069</v>
      </c>
      <c r="I1205">
        <v>1</v>
      </c>
      <c r="J1205" t="s">
        <v>63</v>
      </c>
      <c r="K1205" s="8">
        <v>94</v>
      </c>
      <c r="L1205" s="8" t="s">
        <v>6599</v>
      </c>
      <c r="M1205" s="8" t="s">
        <v>6629</v>
      </c>
      <c r="N1205" t="s">
        <v>181</v>
      </c>
      <c r="O1205" t="s">
        <v>6544</v>
      </c>
      <c r="P1205">
        <v>500</v>
      </c>
      <c r="S1205" s="2">
        <v>45735</v>
      </c>
      <c r="U1205">
        <v>4</v>
      </c>
      <c r="V1205" s="4">
        <v>2000</v>
      </c>
      <c r="W1205" t="s">
        <v>65</v>
      </c>
      <c r="X1205" t="s">
        <v>4355</v>
      </c>
      <c r="Y1205">
        <v>0</v>
      </c>
      <c r="Z1205" s="4">
        <v>2000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4356</v>
      </c>
      <c r="AQ1205" t="s">
        <v>3615</v>
      </c>
      <c r="AR1205" t="s">
        <v>6724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C1205" t="s">
        <v>69</v>
      </c>
      <c r="BD1205" t="s">
        <v>4357</v>
      </c>
      <c r="BE1205">
        <v>0</v>
      </c>
      <c r="BG1205" t="s">
        <v>3615</v>
      </c>
      <c r="BJ1205" t="s">
        <v>3617</v>
      </c>
    </row>
    <row r="1206" spans="1:62" x14ac:dyDescent="0.35">
      <c r="A1206" t="s">
        <v>4358</v>
      </c>
      <c r="B1206">
        <v>10000</v>
      </c>
      <c r="C1206">
        <v>10000</v>
      </c>
      <c r="D1206" s="2">
        <v>45737</v>
      </c>
      <c r="E1206" t="s">
        <v>61</v>
      </c>
      <c r="F1206" t="s">
        <v>4359</v>
      </c>
      <c r="G1206">
        <v>59469</v>
      </c>
      <c r="I1206">
        <v>1</v>
      </c>
      <c r="J1206" t="s">
        <v>63</v>
      </c>
      <c r="K1206" s="8">
        <v>73</v>
      </c>
      <c r="L1206" s="8" t="s">
        <v>6586</v>
      </c>
      <c r="M1206" s="8" t="s">
        <v>6627</v>
      </c>
      <c r="N1206" t="s">
        <v>90</v>
      </c>
      <c r="O1206" t="s">
        <v>6564</v>
      </c>
      <c r="P1206" s="4">
        <v>7875</v>
      </c>
      <c r="Q1206">
        <f t="shared" ref="Q1206:Q1207" si="314">(P1206/60)+45</f>
        <v>176.25</v>
      </c>
      <c r="R1206">
        <f t="shared" ref="R1206:R1207" si="315">Q1206/60</f>
        <v>2.9375</v>
      </c>
      <c r="S1206" s="2">
        <v>45735</v>
      </c>
      <c r="U1206">
        <v>12</v>
      </c>
      <c r="V1206" s="4">
        <v>94500</v>
      </c>
      <c r="W1206" t="s">
        <v>65</v>
      </c>
      <c r="X1206" t="s">
        <v>4360</v>
      </c>
      <c r="Y1206">
        <v>0</v>
      </c>
      <c r="Z1206" s="4">
        <v>94500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4361</v>
      </c>
      <c r="AQ1206" t="s">
        <v>321</v>
      </c>
      <c r="AR1206" t="s">
        <v>6652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BC1206" t="s">
        <v>69</v>
      </c>
      <c r="BD1206" t="s">
        <v>4362</v>
      </c>
      <c r="BE1206">
        <v>0</v>
      </c>
      <c r="BG1206" t="s">
        <v>321</v>
      </c>
      <c r="BJ1206" t="s">
        <v>4363</v>
      </c>
    </row>
    <row r="1207" spans="1:62" x14ac:dyDescent="0.35">
      <c r="A1207" t="s">
        <v>3618</v>
      </c>
      <c r="B1207">
        <v>10000</v>
      </c>
      <c r="C1207">
        <v>20000</v>
      </c>
      <c r="D1207" s="2">
        <v>45735</v>
      </c>
      <c r="E1207" t="s">
        <v>61</v>
      </c>
      <c r="F1207" t="s">
        <v>3619</v>
      </c>
      <c r="G1207">
        <v>10639931025</v>
      </c>
      <c r="I1207">
        <v>2</v>
      </c>
      <c r="J1207" t="s">
        <v>63</v>
      </c>
      <c r="K1207" s="8">
        <v>77</v>
      </c>
      <c r="L1207" s="8" t="s">
        <v>6584</v>
      </c>
      <c r="M1207" s="8" t="s">
        <v>6627</v>
      </c>
      <c r="N1207" t="s">
        <v>127</v>
      </c>
      <c r="O1207" t="s">
        <v>6567</v>
      </c>
      <c r="P1207">
        <v>639</v>
      </c>
      <c r="Q1207">
        <f t="shared" si="314"/>
        <v>55.65</v>
      </c>
      <c r="R1207">
        <f t="shared" si="315"/>
        <v>0.92749999999999999</v>
      </c>
      <c r="S1207" s="2">
        <v>45735</v>
      </c>
      <c r="U1207">
        <v>36</v>
      </c>
      <c r="V1207" s="4">
        <v>23004</v>
      </c>
      <c r="W1207" t="s">
        <v>65</v>
      </c>
      <c r="X1207" t="s">
        <v>3620</v>
      </c>
      <c r="Y1207">
        <v>0</v>
      </c>
      <c r="Z1207" s="4">
        <v>15000</v>
      </c>
      <c r="AA1207" s="4">
        <v>8004</v>
      </c>
      <c r="AB1207">
        <v>0</v>
      </c>
      <c r="AC1207">
        <v>0</v>
      </c>
      <c r="AD1207">
        <v>0</v>
      </c>
      <c r="AG1207">
        <v>0</v>
      </c>
      <c r="AP1207" t="s">
        <v>3621</v>
      </c>
      <c r="AQ1207" t="s">
        <v>68</v>
      </c>
      <c r="AR1207" t="s">
        <v>6636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BC1207" t="s">
        <v>69</v>
      </c>
      <c r="BD1207" t="s">
        <v>3622</v>
      </c>
      <c r="BE1207">
        <v>0</v>
      </c>
      <c r="BG1207" t="s">
        <v>68</v>
      </c>
      <c r="BJ1207" t="s">
        <v>3623</v>
      </c>
    </row>
    <row r="1208" spans="1:62" x14ac:dyDescent="0.35">
      <c r="A1208" t="s">
        <v>4364</v>
      </c>
      <c r="B1208">
        <v>10000</v>
      </c>
      <c r="C1208">
        <v>10000</v>
      </c>
      <c r="D1208" s="2">
        <v>45736</v>
      </c>
      <c r="E1208" t="s">
        <v>61</v>
      </c>
      <c r="F1208" t="s">
        <v>4365</v>
      </c>
      <c r="G1208" t="s">
        <v>4340</v>
      </c>
      <c r="I1208">
        <v>1</v>
      </c>
      <c r="J1208" t="s">
        <v>63</v>
      </c>
      <c r="K1208" s="8">
        <v>72</v>
      </c>
      <c r="L1208" s="8" t="s">
        <v>6606</v>
      </c>
      <c r="M1208" s="8" t="s">
        <v>6631</v>
      </c>
      <c r="N1208" t="s">
        <v>163</v>
      </c>
      <c r="O1208" t="s">
        <v>6548</v>
      </c>
      <c r="P1208" s="4">
        <v>2250</v>
      </c>
      <c r="S1208" s="2">
        <v>45735</v>
      </c>
      <c r="U1208">
        <v>4</v>
      </c>
      <c r="V1208" s="4">
        <v>9000</v>
      </c>
      <c r="W1208" t="s">
        <v>65</v>
      </c>
      <c r="X1208">
        <v>5000514990001</v>
      </c>
      <c r="Y1208">
        <v>0</v>
      </c>
      <c r="Z1208" s="4">
        <v>7000</v>
      </c>
      <c r="AA1208" s="4">
        <v>2000</v>
      </c>
      <c r="AB1208">
        <v>0</v>
      </c>
      <c r="AC1208">
        <v>0</v>
      </c>
      <c r="AD1208">
        <v>0</v>
      </c>
      <c r="AG1208">
        <v>0</v>
      </c>
      <c r="AP1208">
        <v>500051499</v>
      </c>
      <c r="AQ1208" t="s">
        <v>91</v>
      </c>
      <c r="AR1208" t="s">
        <v>6637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BC1208" t="s">
        <v>69</v>
      </c>
      <c r="BD1208" t="s">
        <v>4366</v>
      </c>
      <c r="BE1208">
        <v>0</v>
      </c>
      <c r="BG1208" t="s">
        <v>91</v>
      </c>
      <c r="BJ1208" t="s">
        <v>4367</v>
      </c>
    </row>
    <row r="1209" spans="1:62" x14ac:dyDescent="0.35">
      <c r="A1209" t="s">
        <v>4368</v>
      </c>
      <c r="B1209">
        <v>10000</v>
      </c>
      <c r="C1209">
        <v>10000</v>
      </c>
      <c r="D1209" s="2">
        <v>45736</v>
      </c>
      <c r="E1209" t="s">
        <v>61</v>
      </c>
      <c r="F1209" t="s">
        <v>4369</v>
      </c>
      <c r="G1209" t="s">
        <v>4340</v>
      </c>
      <c r="I1209">
        <v>1</v>
      </c>
      <c r="J1209" t="s">
        <v>63</v>
      </c>
      <c r="K1209" s="8">
        <v>72</v>
      </c>
      <c r="L1209" s="8" t="s">
        <v>6606</v>
      </c>
      <c r="M1209" s="8" t="s">
        <v>6631</v>
      </c>
      <c r="N1209" t="s">
        <v>163</v>
      </c>
      <c r="O1209" t="s">
        <v>6548</v>
      </c>
      <c r="P1209" s="4">
        <v>2000</v>
      </c>
      <c r="S1209" s="2">
        <v>45735</v>
      </c>
      <c r="U1209">
        <v>4</v>
      </c>
      <c r="V1209" s="4">
        <v>8000</v>
      </c>
      <c r="W1209" t="s">
        <v>65</v>
      </c>
      <c r="X1209">
        <v>5000634590001</v>
      </c>
      <c r="Y1209">
        <v>0</v>
      </c>
      <c r="Z1209" s="4">
        <v>6000</v>
      </c>
      <c r="AA1209" s="4">
        <v>2000</v>
      </c>
      <c r="AB1209">
        <v>0</v>
      </c>
      <c r="AC1209">
        <v>0</v>
      </c>
      <c r="AD1209">
        <v>0</v>
      </c>
      <c r="AG1209">
        <v>0</v>
      </c>
      <c r="AP1209">
        <v>500063459</v>
      </c>
      <c r="AQ1209" t="s">
        <v>91</v>
      </c>
      <c r="AR1209" t="s">
        <v>6637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BC1209" t="s">
        <v>69</v>
      </c>
      <c r="BD1209" t="s">
        <v>4370</v>
      </c>
      <c r="BE1209">
        <v>0</v>
      </c>
      <c r="BG1209" t="s">
        <v>91</v>
      </c>
      <c r="BJ1209" t="s">
        <v>4367</v>
      </c>
    </row>
    <row r="1210" spans="1:62" x14ac:dyDescent="0.35">
      <c r="A1210" t="s">
        <v>4371</v>
      </c>
      <c r="B1210">
        <v>10000</v>
      </c>
      <c r="C1210">
        <v>10000</v>
      </c>
      <c r="D1210" s="2">
        <v>45736</v>
      </c>
      <c r="E1210" t="s">
        <v>61</v>
      </c>
      <c r="F1210" t="s">
        <v>4372</v>
      </c>
      <c r="G1210" t="s">
        <v>4340</v>
      </c>
      <c r="I1210">
        <v>1</v>
      </c>
      <c r="J1210" t="s">
        <v>63</v>
      </c>
      <c r="K1210" s="8">
        <v>72</v>
      </c>
      <c r="L1210" s="8" t="s">
        <v>6606</v>
      </c>
      <c r="M1210" s="8" t="s">
        <v>6631</v>
      </c>
      <c r="N1210" t="s">
        <v>163</v>
      </c>
      <c r="O1210" t="s">
        <v>6548</v>
      </c>
      <c r="P1210" s="4">
        <v>2250</v>
      </c>
      <c r="S1210" s="2">
        <v>45735</v>
      </c>
      <c r="U1210">
        <v>4</v>
      </c>
      <c r="V1210" s="4">
        <v>9000</v>
      </c>
      <c r="W1210" t="s">
        <v>65</v>
      </c>
      <c r="X1210">
        <v>5000635410001</v>
      </c>
      <c r="Y1210">
        <v>0</v>
      </c>
      <c r="Z1210" s="4">
        <v>7000</v>
      </c>
      <c r="AA1210" s="4">
        <v>2000</v>
      </c>
      <c r="AB1210">
        <v>0</v>
      </c>
      <c r="AC1210">
        <v>0</v>
      </c>
      <c r="AD1210">
        <v>0</v>
      </c>
      <c r="AG1210">
        <v>0</v>
      </c>
      <c r="AP1210">
        <v>500063541</v>
      </c>
      <c r="AQ1210" t="s">
        <v>91</v>
      </c>
      <c r="AR1210" t="s">
        <v>6637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BC1210" t="s">
        <v>69</v>
      </c>
      <c r="BD1210" t="s">
        <v>4373</v>
      </c>
      <c r="BE1210">
        <v>0</v>
      </c>
      <c r="BG1210" t="s">
        <v>91</v>
      </c>
      <c r="BJ1210" t="s">
        <v>4367</v>
      </c>
    </row>
    <row r="1211" spans="1:62" x14ac:dyDescent="0.35">
      <c r="A1211" t="s">
        <v>4374</v>
      </c>
      <c r="B1211">
        <v>10000</v>
      </c>
      <c r="C1211">
        <v>10000</v>
      </c>
      <c r="D1211" s="2">
        <v>45734</v>
      </c>
      <c r="E1211" t="s">
        <v>61</v>
      </c>
      <c r="F1211" t="s">
        <v>4076</v>
      </c>
      <c r="G1211" t="s">
        <v>4077</v>
      </c>
      <c r="I1211">
        <v>1</v>
      </c>
      <c r="J1211" t="s">
        <v>63</v>
      </c>
      <c r="K1211" s="8">
        <v>65</v>
      </c>
      <c r="L1211" s="8" t="s">
        <v>6596</v>
      </c>
      <c r="M1211" s="8" t="s">
        <v>6630</v>
      </c>
      <c r="N1211" t="s">
        <v>268</v>
      </c>
      <c r="O1211" t="s">
        <v>6543</v>
      </c>
      <c r="P1211" s="4">
        <v>1000</v>
      </c>
      <c r="Q1211">
        <f>(P1211/40)+45</f>
        <v>70</v>
      </c>
      <c r="R1211">
        <f>Q1211/60</f>
        <v>1.1666666666666667</v>
      </c>
      <c r="S1211" s="2">
        <v>45735</v>
      </c>
      <c r="U1211">
        <v>30</v>
      </c>
      <c r="V1211" s="4">
        <v>30000</v>
      </c>
      <c r="W1211" t="s">
        <v>65</v>
      </c>
      <c r="X1211" t="s">
        <v>4078</v>
      </c>
      <c r="Y1211">
        <v>0</v>
      </c>
      <c r="Z1211" s="4">
        <v>30000</v>
      </c>
      <c r="AA1211">
        <v>0</v>
      </c>
      <c r="AB1211">
        <v>0</v>
      </c>
      <c r="AC1211">
        <v>0</v>
      </c>
      <c r="AD1211">
        <v>0</v>
      </c>
      <c r="AG1211">
        <v>0</v>
      </c>
      <c r="AP1211" t="s">
        <v>4079</v>
      </c>
      <c r="AQ1211" t="s">
        <v>4029</v>
      </c>
      <c r="AR1211" t="s">
        <v>6730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BC1211" t="s">
        <v>69</v>
      </c>
      <c r="BD1211" t="s">
        <v>4375</v>
      </c>
      <c r="BE1211">
        <v>0</v>
      </c>
      <c r="BG1211" t="s">
        <v>4029</v>
      </c>
      <c r="BJ1211" t="s">
        <v>4376</v>
      </c>
    </row>
    <row r="1212" spans="1:62" x14ac:dyDescent="0.35">
      <c r="A1212" t="s">
        <v>4087</v>
      </c>
      <c r="B1212">
        <v>10000</v>
      </c>
      <c r="C1212">
        <v>20000</v>
      </c>
      <c r="D1212" s="2">
        <v>45735</v>
      </c>
      <c r="E1212" t="s">
        <v>61</v>
      </c>
      <c r="F1212" t="s">
        <v>4088</v>
      </c>
      <c r="G1212" t="s">
        <v>134</v>
      </c>
      <c r="I1212">
        <v>2</v>
      </c>
      <c r="J1212" t="s">
        <v>63</v>
      </c>
      <c r="K1212" s="8">
        <v>71</v>
      </c>
      <c r="L1212" s="8" t="s">
        <v>6588</v>
      </c>
      <c r="M1212" s="8" t="s">
        <v>6630</v>
      </c>
      <c r="N1212" t="s">
        <v>135</v>
      </c>
      <c r="O1212" t="s">
        <v>6573</v>
      </c>
      <c r="P1212" s="4">
        <v>3834</v>
      </c>
      <c r="S1212" s="2">
        <v>45735</v>
      </c>
      <c r="U1212">
        <v>6</v>
      </c>
      <c r="V1212" s="4">
        <v>23004</v>
      </c>
      <c r="W1212" t="s">
        <v>65</v>
      </c>
      <c r="X1212">
        <v>86085350001</v>
      </c>
      <c r="Y1212">
        <v>0</v>
      </c>
      <c r="Z1212" s="4">
        <v>23000</v>
      </c>
      <c r="AA1212">
        <v>4</v>
      </c>
      <c r="AB1212">
        <v>0</v>
      </c>
      <c r="AC1212">
        <v>0</v>
      </c>
      <c r="AD1212">
        <v>0</v>
      </c>
      <c r="AG1212">
        <v>0</v>
      </c>
      <c r="AP1212">
        <v>8608535</v>
      </c>
      <c r="AQ1212" t="s">
        <v>91</v>
      </c>
      <c r="AR1212" t="s">
        <v>6637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BC1212" t="s">
        <v>69</v>
      </c>
      <c r="BD1212" t="s">
        <v>4089</v>
      </c>
      <c r="BE1212">
        <v>0</v>
      </c>
      <c r="BG1212" t="s">
        <v>91</v>
      </c>
      <c r="BJ1212" t="s">
        <v>4090</v>
      </c>
    </row>
    <row r="1213" spans="1:62" x14ac:dyDescent="0.35">
      <c r="A1213" t="s">
        <v>4091</v>
      </c>
      <c r="B1213">
        <v>10000</v>
      </c>
      <c r="C1213">
        <v>20000</v>
      </c>
      <c r="D1213" s="2">
        <v>45735</v>
      </c>
      <c r="E1213" t="s">
        <v>61</v>
      </c>
      <c r="F1213" t="s">
        <v>4092</v>
      </c>
      <c r="G1213" t="s">
        <v>134</v>
      </c>
      <c r="I1213">
        <v>2</v>
      </c>
      <c r="J1213" t="s">
        <v>63</v>
      </c>
      <c r="K1213" s="8">
        <v>71</v>
      </c>
      <c r="L1213" s="8" t="s">
        <v>6588</v>
      </c>
      <c r="M1213" s="8" t="s">
        <v>6630</v>
      </c>
      <c r="N1213" t="s">
        <v>135</v>
      </c>
      <c r="O1213" t="s">
        <v>6573</v>
      </c>
      <c r="P1213" s="4">
        <v>1000</v>
      </c>
      <c r="S1213" s="2">
        <v>45735</v>
      </c>
      <c r="U1213">
        <v>6</v>
      </c>
      <c r="V1213" s="4">
        <v>6000</v>
      </c>
      <c r="W1213" t="s">
        <v>65</v>
      </c>
      <c r="X1213">
        <v>86085410001</v>
      </c>
      <c r="Y1213">
        <v>0</v>
      </c>
      <c r="Z1213" s="4">
        <v>6000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>
        <v>8608541</v>
      </c>
      <c r="AQ1213" t="s">
        <v>91</v>
      </c>
      <c r="AR1213" t="s">
        <v>6637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BC1213" t="s">
        <v>69</v>
      </c>
      <c r="BD1213" t="s">
        <v>4093</v>
      </c>
      <c r="BE1213">
        <v>0</v>
      </c>
      <c r="BG1213" t="s">
        <v>91</v>
      </c>
      <c r="BJ1213" t="s">
        <v>4090</v>
      </c>
    </row>
    <row r="1214" spans="1:62" x14ac:dyDescent="0.35">
      <c r="A1214" t="s">
        <v>4094</v>
      </c>
      <c r="B1214">
        <v>10000</v>
      </c>
      <c r="C1214">
        <v>20000</v>
      </c>
      <c r="D1214" s="2">
        <v>45735</v>
      </c>
      <c r="E1214" t="s">
        <v>61</v>
      </c>
      <c r="F1214" t="s">
        <v>4092</v>
      </c>
      <c r="G1214" t="s">
        <v>134</v>
      </c>
      <c r="I1214">
        <v>2</v>
      </c>
      <c r="J1214" t="s">
        <v>63</v>
      </c>
      <c r="K1214" s="8">
        <v>71</v>
      </c>
      <c r="L1214" s="8" t="s">
        <v>6588</v>
      </c>
      <c r="M1214" s="8" t="s">
        <v>6630</v>
      </c>
      <c r="N1214" t="s">
        <v>135</v>
      </c>
      <c r="O1214" t="s">
        <v>6573</v>
      </c>
      <c r="P1214">
        <v>834</v>
      </c>
      <c r="S1214" s="2">
        <v>45735</v>
      </c>
      <c r="U1214">
        <v>6</v>
      </c>
      <c r="V1214" s="4">
        <v>5004</v>
      </c>
      <c r="W1214" t="s">
        <v>65</v>
      </c>
      <c r="X1214">
        <v>5000580740001</v>
      </c>
      <c r="Y1214">
        <v>0</v>
      </c>
      <c r="Z1214" s="4">
        <v>5000</v>
      </c>
      <c r="AA1214">
        <v>4</v>
      </c>
      <c r="AB1214">
        <v>0</v>
      </c>
      <c r="AC1214">
        <v>0</v>
      </c>
      <c r="AD1214">
        <v>0</v>
      </c>
      <c r="AG1214">
        <v>0</v>
      </c>
      <c r="AP1214">
        <v>500058074</v>
      </c>
      <c r="AQ1214" t="s">
        <v>91</v>
      </c>
      <c r="AR1214" t="s">
        <v>6637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BC1214" t="s">
        <v>69</v>
      </c>
      <c r="BD1214" t="s">
        <v>4095</v>
      </c>
      <c r="BE1214">
        <v>0</v>
      </c>
      <c r="BG1214" t="s">
        <v>91</v>
      </c>
      <c r="BJ1214" t="s">
        <v>4090</v>
      </c>
    </row>
    <row r="1215" spans="1:62" x14ac:dyDescent="0.35">
      <c r="A1215" t="s">
        <v>4096</v>
      </c>
      <c r="B1215">
        <v>10000</v>
      </c>
      <c r="C1215">
        <v>20000</v>
      </c>
      <c r="D1215" s="2">
        <v>45735</v>
      </c>
      <c r="E1215" t="s">
        <v>61</v>
      </c>
      <c r="F1215" t="s">
        <v>4092</v>
      </c>
      <c r="G1215" t="s">
        <v>134</v>
      </c>
      <c r="I1215">
        <v>2</v>
      </c>
      <c r="J1215" t="s">
        <v>63</v>
      </c>
      <c r="K1215" s="8">
        <v>71</v>
      </c>
      <c r="L1215" s="8" t="s">
        <v>6588</v>
      </c>
      <c r="M1215" s="8" t="s">
        <v>6630</v>
      </c>
      <c r="N1215" t="s">
        <v>135</v>
      </c>
      <c r="O1215" t="s">
        <v>6573</v>
      </c>
      <c r="P1215" s="4">
        <v>4500</v>
      </c>
      <c r="S1215" s="2">
        <v>45735</v>
      </c>
      <c r="U1215">
        <v>6</v>
      </c>
      <c r="V1215" s="4">
        <v>27000</v>
      </c>
      <c r="W1215" t="s">
        <v>65</v>
      </c>
      <c r="X1215">
        <v>5000580750001</v>
      </c>
      <c r="Y1215">
        <v>0</v>
      </c>
      <c r="Z1215" s="4">
        <v>27000</v>
      </c>
      <c r="AA1215">
        <v>0</v>
      </c>
      <c r="AB1215">
        <v>0</v>
      </c>
      <c r="AC1215">
        <v>0</v>
      </c>
      <c r="AD1215">
        <v>0</v>
      </c>
      <c r="AG1215">
        <v>0</v>
      </c>
      <c r="AP1215">
        <v>500058075</v>
      </c>
      <c r="AQ1215" t="s">
        <v>91</v>
      </c>
      <c r="AR1215" t="s">
        <v>6637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BC1215" t="s">
        <v>69</v>
      </c>
      <c r="BD1215" t="s">
        <v>4097</v>
      </c>
      <c r="BE1215">
        <v>0</v>
      </c>
      <c r="BG1215" t="s">
        <v>91</v>
      </c>
      <c r="BJ1215" t="s">
        <v>4090</v>
      </c>
    </row>
    <row r="1216" spans="1:62" x14ac:dyDescent="0.35">
      <c r="A1216" t="s">
        <v>4098</v>
      </c>
      <c r="B1216">
        <v>10000</v>
      </c>
      <c r="C1216">
        <v>20000</v>
      </c>
      <c r="D1216" s="2">
        <v>45735</v>
      </c>
      <c r="E1216" t="s">
        <v>61</v>
      </c>
      <c r="F1216" t="s">
        <v>4092</v>
      </c>
      <c r="G1216" t="s">
        <v>134</v>
      </c>
      <c r="I1216">
        <v>2</v>
      </c>
      <c r="J1216" t="s">
        <v>63</v>
      </c>
      <c r="K1216" s="8">
        <v>71</v>
      </c>
      <c r="L1216" s="8" t="s">
        <v>6588</v>
      </c>
      <c r="M1216" s="8" t="s">
        <v>6630</v>
      </c>
      <c r="N1216" t="s">
        <v>135</v>
      </c>
      <c r="O1216" t="s">
        <v>6573</v>
      </c>
      <c r="P1216" s="4">
        <v>2500</v>
      </c>
      <c r="S1216" s="2">
        <v>45735</v>
      </c>
      <c r="U1216">
        <v>6</v>
      </c>
      <c r="V1216" s="4">
        <v>15000</v>
      </c>
      <c r="W1216" t="s">
        <v>65</v>
      </c>
      <c r="X1216">
        <v>5000582200001</v>
      </c>
      <c r="Y1216">
        <v>0</v>
      </c>
      <c r="Z1216" s="4">
        <v>15000</v>
      </c>
      <c r="AA1216">
        <v>0</v>
      </c>
      <c r="AB1216">
        <v>0</v>
      </c>
      <c r="AC1216">
        <v>0</v>
      </c>
      <c r="AD1216">
        <v>0</v>
      </c>
      <c r="AG1216">
        <v>0</v>
      </c>
      <c r="AP1216">
        <v>500058220</v>
      </c>
      <c r="AQ1216" t="s">
        <v>91</v>
      </c>
      <c r="AR1216" t="s">
        <v>6637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BC1216" t="s">
        <v>69</v>
      </c>
      <c r="BD1216" t="s">
        <v>4099</v>
      </c>
      <c r="BE1216">
        <v>0</v>
      </c>
      <c r="BG1216" t="s">
        <v>91</v>
      </c>
      <c r="BJ1216" t="s">
        <v>4090</v>
      </c>
    </row>
    <row r="1217" spans="1:62" x14ac:dyDescent="0.35">
      <c r="A1217" t="s">
        <v>4377</v>
      </c>
      <c r="B1217">
        <v>10000</v>
      </c>
      <c r="C1217">
        <v>10000</v>
      </c>
      <c r="D1217" s="2">
        <v>45736</v>
      </c>
      <c r="E1217" t="s">
        <v>61</v>
      </c>
      <c r="F1217" t="s">
        <v>4378</v>
      </c>
      <c r="G1217" t="s">
        <v>134</v>
      </c>
      <c r="I1217">
        <v>1</v>
      </c>
      <c r="J1217" t="s">
        <v>63</v>
      </c>
      <c r="K1217" s="8">
        <v>72</v>
      </c>
      <c r="L1217" s="8" t="s">
        <v>6606</v>
      </c>
      <c r="M1217" s="8" t="s">
        <v>6631</v>
      </c>
      <c r="N1217" t="s">
        <v>163</v>
      </c>
      <c r="O1217" t="s">
        <v>6548</v>
      </c>
      <c r="P1217" s="4">
        <v>24000</v>
      </c>
      <c r="S1217" s="2">
        <v>45735</v>
      </c>
      <c r="U1217">
        <v>4</v>
      </c>
      <c r="V1217" s="4">
        <v>96000</v>
      </c>
      <c r="W1217" t="s">
        <v>65</v>
      </c>
      <c r="X1217">
        <v>5000582210001</v>
      </c>
      <c r="Y1217">
        <v>0</v>
      </c>
      <c r="Z1217" s="4">
        <v>86000</v>
      </c>
      <c r="AA1217" s="4">
        <v>10000</v>
      </c>
      <c r="AB1217">
        <v>0</v>
      </c>
      <c r="AC1217">
        <v>0</v>
      </c>
      <c r="AD1217">
        <v>0</v>
      </c>
      <c r="AG1217">
        <v>0</v>
      </c>
      <c r="AP1217">
        <v>500058221</v>
      </c>
      <c r="AQ1217" t="s">
        <v>91</v>
      </c>
      <c r="AR1217" t="s">
        <v>6637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BC1217" t="s">
        <v>69</v>
      </c>
      <c r="BD1217" t="s">
        <v>4379</v>
      </c>
      <c r="BE1217">
        <v>0</v>
      </c>
      <c r="BG1217" t="s">
        <v>91</v>
      </c>
      <c r="BJ1217" t="s">
        <v>4090</v>
      </c>
    </row>
    <row r="1218" spans="1:62" x14ac:dyDescent="0.35">
      <c r="A1218" t="s">
        <v>4377</v>
      </c>
      <c r="B1218">
        <v>10000</v>
      </c>
      <c r="C1218">
        <v>20000</v>
      </c>
      <c r="D1218" s="2">
        <v>45736</v>
      </c>
      <c r="E1218" t="s">
        <v>61</v>
      </c>
      <c r="F1218" t="s">
        <v>4378</v>
      </c>
      <c r="G1218" t="s">
        <v>134</v>
      </c>
      <c r="I1218">
        <v>2</v>
      </c>
      <c r="J1218" t="s">
        <v>63</v>
      </c>
      <c r="K1218" s="8">
        <v>71</v>
      </c>
      <c r="L1218" s="8" t="s">
        <v>6588</v>
      </c>
      <c r="M1218" s="8" t="s">
        <v>6630</v>
      </c>
      <c r="N1218" t="s">
        <v>135</v>
      </c>
      <c r="O1218" t="s">
        <v>6573</v>
      </c>
      <c r="P1218" s="4">
        <v>14334</v>
      </c>
      <c r="S1218" s="2">
        <v>45735</v>
      </c>
      <c r="U1218">
        <v>6</v>
      </c>
      <c r="V1218" s="4">
        <v>86004</v>
      </c>
      <c r="W1218" t="s">
        <v>65</v>
      </c>
      <c r="X1218">
        <v>5000582210001</v>
      </c>
      <c r="Y1218">
        <v>0</v>
      </c>
      <c r="Z1218" s="4">
        <v>86000</v>
      </c>
      <c r="AA1218">
        <v>4</v>
      </c>
      <c r="AB1218">
        <v>0</v>
      </c>
      <c r="AC1218">
        <v>0</v>
      </c>
      <c r="AD1218">
        <v>0</v>
      </c>
      <c r="AG1218">
        <v>0</v>
      </c>
      <c r="AP1218">
        <v>500058221</v>
      </c>
      <c r="AQ1218" t="s">
        <v>91</v>
      </c>
      <c r="AR1218" t="s">
        <v>6637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BC1218" t="s">
        <v>69</v>
      </c>
      <c r="BD1218" t="s">
        <v>4379</v>
      </c>
      <c r="BE1218">
        <v>0</v>
      </c>
      <c r="BG1218" t="s">
        <v>91</v>
      </c>
      <c r="BJ1218" t="s">
        <v>4090</v>
      </c>
    </row>
    <row r="1219" spans="1:62" x14ac:dyDescent="0.35">
      <c r="A1219" t="s">
        <v>4109</v>
      </c>
      <c r="B1219">
        <v>10000</v>
      </c>
      <c r="C1219">
        <v>20000</v>
      </c>
      <c r="D1219" s="2">
        <v>45735</v>
      </c>
      <c r="E1219" t="s">
        <v>61</v>
      </c>
      <c r="F1219" t="s">
        <v>4088</v>
      </c>
      <c r="G1219" t="s">
        <v>134</v>
      </c>
      <c r="I1219">
        <v>2</v>
      </c>
      <c r="J1219" t="s">
        <v>63</v>
      </c>
      <c r="K1219" s="8">
        <v>71</v>
      </c>
      <c r="L1219" s="8" t="s">
        <v>6588</v>
      </c>
      <c r="M1219" s="8" t="s">
        <v>6630</v>
      </c>
      <c r="N1219" t="s">
        <v>135</v>
      </c>
      <c r="O1219" t="s">
        <v>6573</v>
      </c>
      <c r="P1219" s="4">
        <v>6167</v>
      </c>
      <c r="S1219" s="2">
        <v>45735</v>
      </c>
      <c r="U1219">
        <v>6</v>
      </c>
      <c r="V1219" s="4">
        <v>37002</v>
      </c>
      <c r="W1219" t="s">
        <v>65</v>
      </c>
      <c r="X1219">
        <v>5000602820001</v>
      </c>
      <c r="Y1219">
        <v>0</v>
      </c>
      <c r="Z1219" s="4">
        <v>37000</v>
      </c>
      <c r="AA1219">
        <v>2</v>
      </c>
      <c r="AB1219">
        <v>0</v>
      </c>
      <c r="AC1219">
        <v>0</v>
      </c>
      <c r="AD1219">
        <v>0</v>
      </c>
      <c r="AG1219">
        <v>0</v>
      </c>
      <c r="AP1219">
        <v>500060282</v>
      </c>
      <c r="AQ1219" t="s">
        <v>91</v>
      </c>
      <c r="AR1219" t="s">
        <v>6637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BC1219" t="s">
        <v>69</v>
      </c>
      <c r="BD1219" t="s">
        <v>4110</v>
      </c>
      <c r="BE1219">
        <v>0</v>
      </c>
      <c r="BG1219" t="s">
        <v>91</v>
      </c>
      <c r="BJ1219" t="s">
        <v>4090</v>
      </c>
    </row>
    <row r="1220" spans="1:62" x14ac:dyDescent="0.35">
      <c r="A1220" t="s">
        <v>4380</v>
      </c>
      <c r="B1220">
        <v>10000</v>
      </c>
      <c r="C1220">
        <v>10000</v>
      </c>
      <c r="D1220" s="2">
        <v>45737</v>
      </c>
      <c r="E1220" t="s">
        <v>61</v>
      </c>
      <c r="F1220" t="s">
        <v>4381</v>
      </c>
      <c r="G1220" t="s">
        <v>4340</v>
      </c>
      <c r="I1220">
        <v>1</v>
      </c>
      <c r="J1220" t="s">
        <v>63</v>
      </c>
      <c r="K1220" s="8">
        <v>72</v>
      </c>
      <c r="L1220" s="8" t="s">
        <v>6606</v>
      </c>
      <c r="M1220" s="8" t="s">
        <v>6631</v>
      </c>
      <c r="N1220" t="s">
        <v>163</v>
      </c>
      <c r="O1220" t="s">
        <v>6548</v>
      </c>
      <c r="P1220" s="4">
        <v>1125</v>
      </c>
      <c r="S1220" s="2">
        <v>45735</v>
      </c>
      <c r="U1220">
        <v>4</v>
      </c>
      <c r="V1220" s="4">
        <v>4500</v>
      </c>
      <c r="W1220" t="s">
        <v>65</v>
      </c>
      <c r="X1220">
        <v>5000478070001</v>
      </c>
      <c r="Y1220">
        <v>0</v>
      </c>
      <c r="Z1220" s="4">
        <v>2500</v>
      </c>
      <c r="AA1220" s="4">
        <v>2000</v>
      </c>
      <c r="AB1220">
        <v>0</v>
      </c>
      <c r="AC1220">
        <v>0</v>
      </c>
      <c r="AD1220">
        <v>0</v>
      </c>
      <c r="AG1220">
        <v>0</v>
      </c>
      <c r="AP1220">
        <v>500047807</v>
      </c>
      <c r="AQ1220" t="s">
        <v>91</v>
      </c>
      <c r="AR1220" t="s">
        <v>6637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BC1220" t="s">
        <v>69</v>
      </c>
      <c r="BD1220" t="s">
        <v>4382</v>
      </c>
      <c r="BE1220">
        <v>0</v>
      </c>
      <c r="BG1220" t="s">
        <v>91</v>
      </c>
      <c r="BJ1220" t="s">
        <v>4383</v>
      </c>
    </row>
    <row r="1221" spans="1:62" x14ac:dyDescent="0.35">
      <c r="A1221" t="s">
        <v>4380</v>
      </c>
      <c r="B1221">
        <v>20000</v>
      </c>
      <c r="C1221">
        <v>10000</v>
      </c>
      <c r="D1221" s="2">
        <v>45737</v>
      </c>
      <c r="E1221" t="s">
        <v>61</v>
      </c>
      <c r="F1221" t="s">
        <v>4381</v>
      </c>
      <c r="G1221" t="s">
        <v>4340</v>
      </c>
      <c r="I1221">
        <v>1</v>
      </c>
      <c r="J1221" t="s">
        <v>63</v>
      </c>
      <c r="K1221" s="8">
        <v>72</v>
      </c>
      <c r="L1221" s="8" t="s">
        <v>6606</v>
      </c>
      <c r="M1221" s="8" t="s">
        <v>6631</v>
      </c>
      <c r="N1221" t="s">
        <v>163</v>
      </c>
      <c r="O1221" t="s">
        <v>6548</v>
      </c>
      <c r="P1221">
        <v>625</v>
      </c>
      <c r="S1221" s="2">
        <v>45735</v>
      </c>
      <c r="U1221">
        <v>4</v>
      </c>
      <c r="V1221" s="4">
        <v>2500</v>
      </c>
      <c r="W1221" t="s">
        <v>65</v>
      </c>
      <c r="X1221">
        <v>5000478070001</v>
      </c>
      <c r="Y1221">
        <v>0</v>
      </c>
      <c r="Z1221" s="4">
        <v>2500</v>
      </c>
      <c r="AA1221">
        <v>0</v>
      </c>
      <c r="AB1221">
        <v>0</v>
      </c>
      <c r="AC1221">
        <v>0</v>
      </c>
      <c r="AD1221">
        <v>0</v>
      </c>
      <c r="AG1221">
        <v>0</v>
      </c>
      <c r="AP1221">
        <v>500047807</v>
      </c>
      <c r="AQ1221" t="s">
        <v>91</v>
      </c>
      <c r="AR1221" t="s">
        <v>6637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BC1221" t="s">
        <v>69</v>
      </c>
      <c r="BD1221" t="s">
        <v>4382</v>
      </c>
      <c r="BE1221">
        <v>0</v>
      </c>
      <c r="BG1221" t="s">
        <v>91</v>
      </c>
      <c r="BJ1221" t="s">
        <v>4383</v>
      </c>
    </row>
    <row r="1222" spans="1:62" x14ac:dyDescent="0.35">
      <c r="A1222" t="s">
        <v>4384</v>
      </c>
      <c r="B1222">
        <v>10000</v>
      </c>
      <c r="C1222">
        <v>10000</v>
      </c>
      <c r="D1222" s="2">
        <v>45737</v>
      </c>
      <c r="E1222" t="s">
        <v>61</v>
      </c>
      <c r="F1222" t="s">
        <v>4385</v>
      </c>
      <c r="G1222" t="s">
        <v>4340</v>
      </c>
      <c r="I1222">
        <v>1</v>
      </c>
      <c r="J1222" t="s">
        <v>63</v>
      </c>
      <c r="K1222" s="8">
        <v>72</v>
      </c>
      <c r="L1222" s="8" t="s">
        <v>6606</v>
      </c>
      <c r="M1222" s="8" t="s">
        <v>6631</v>
      </c>
      <c r="N1222" t="s">
        <v>163</v>
      </c>
      <c r="O1222" t="s">
        <v>6548</v>
      </c>
      <c r="P1222" s="4">
        <v>1125</v>
      </c>
      <c r="S1222" s="2">
        <v>45735</v>
      </c>
      <c r="U1222">
        <v>4</v>
      </c>
      <c r="V1222" s="4">
        <v>4500</v>
      </c>
      <c r="W1222" t="s">
        <v>65</v>
      </c>
      <c r="X1222">
        <v>5000478080001</v>
      </c>
      <c r="Y1222">
        <v>0</v>
      </c>
      <c r="Z1222" s="4">
        <v>2500</v>
      </c>
      <c r="AA1222" s="4">
        <v>2000</v>
      </c>
      <c r="AB1222">
        <v>0</v>
      </c>
      <c r="AC1222">
        <v>0</v>
      </c>
      <c r="AD1222">
        <v>0</v>
      </c>
      <c r="AG1222">
        <v>0</v>
      </c>
      <c r="AP1222">
        <v>500047808</v>
      </c>
      <c r="AQ1222" t="s">
        <v>91</v>
      </c>
      <c r="AR1222" t="s">
        <v>6637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BC1222" t="s">
        <v>69</v>
      </c>
      <c r="BD1222" t="s">
        <v>4386</v>
      </c>
      <c r="BE1222">
        <v>0</v>
      </c>
      <c r="BG1222" t="s">
        <v>91</v>
      </c>
      <c r="BJ1222" t="s">
        <v>4383</v>
      </c>
    </row>
    <row r="1223" spans="1:62" x14ac:dyDescent="0.35">
      <c r="A1223" t="s">
        <v>4384</v>
      </c>
      <c r="B1223">
        <v>20000</v>
      </c>
      <c r="C1223">
        <v>10000</v>
      </c>
      <c r="D1223" s="2">
        <v>45737</v>
      </c>
      <c r="E1223" t="s">
        <v>61</v>
      </c>
      <c r="F1223" t="s">
        <v>4385</v>
      </c>
      <c r="G1223" t="s">
        <v>4340</v>
      </c>
      <c r="I1223">
        <v>1</v>
      </c>
      <c r="J1223" t="s">
        <v>63</v>
      </c>
      <c r="K1223" s="8">
        <v>72</v>
      </c>
      <c r="L1223" s="8" t="s">
        <v>6606</v>
      </c>
      <c r="M1223" s="8" t="s">
        <v>6631</v>
      </c>
      <c r="N1223" t="s">
        <v>163</v>
      </c>
      <c r="O1223" t="s">
        <v>6548</v>
      </c>
      <c r="P1223">
        <v>625</v>
      </c>
      <c r="S1223" s="2">
        <v>45735</v>
      </c>
      <c r="U1223">
        <v>4</v>
      </c>
      <c r="V1223" s="4">
        <v>2500</v>
      </c>
      <c r="W1223" t="s">
        <v>65</v>
      </c>
      <c r="X1223">
        <v>5000478080001</v>
      </c>
      <c r="Y1223">
        <v>0</v>
      </c>
      <c r="Z1223" s="4">
        <v>2500</v>
      </c>
      <c r="AA1223">
        <v>0</v>
      </c>
      <c r="AB1223">
        <v>0</v>
      </c>
      <c r="AC1223">
        <v>0</v>
      </c>
      <c r="AD1223">
        <v>0</v>
      </c>
      <c r="AG1223">
        <v>0</v>
      </c>
      <c r="AP1223">
        <v>500047808</v>
      </c>
      <c r="AQ1223" t="s">
        <v>91</v>
      </c>
      <c r="AR1223" t="s">
        <v>6637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BC1223" t="s">
        <v>69</v>
      </c>
      <c r="BD1223" t="s">
        <v>4386</v>
      </c>
      <c r="BE1223">
        <v>0</v>
      </c>
      <c r="BG1223" t="s">
        <v>91</v>
      </c>
      <c r="BJ1223" t="s">
        <v>4383</v>
      </c>
    </row>
    <row r="1224" spans="1:62" x14ac:dyDescent="0.35">
      <c r="A1224" t="s">
        <v>4387</v>
      </c>
      <c r="B1224">
        <v>10000</v>
      </c>
      <c r="C1224">
        <v>10000</v>
      </c>
      <c r="D1224" s="2">
        <v>45737</v>
      </c>
      <c r="E1224" t="s">
        <v>61</v>
      </c>
      <c r="F1224" t="s">
        <v>4388</v>
      </c>
      <c r="G1224" t="s">
        <v>4340</v>
      </c>
      <c r="I1224">
        <v>1</v>
      </c>
      <c r="J1224" t="s">
        <v>63</v>
      </c>
      <c r="K1224" s="8">
        <v>72</v>
      </c>
      <c r="L1224" s="8" t="s">
        <v>6606</v>
      </c>
      <c r="M1224" s="8" t="s">
        <v>6631</v>
      </c>
      <c r="N1224" t="s">
        <v>163</v>
      </c>
      <c r="O1224" t="s">
        <v>6548</v>
      </c>
      <c r="P1224" s="4">
        <v>1125</v>
      </c>
      <c r="S1224" s="2">
        <v>45735</v>
      </c>
      <c r="U1224">
        <v>4</v>
      </c>
      <c r="V1224" s="4">
        <v>4500</v>
      </c>
      <c r="W1224" t="s">
        <v>65</v>
      </c>
      <c r="X1224">
        <v>5000479220001</v>
      </c>
      <c r="Y1224">
        <v>0</v>
      </c>
      <c r="Z1224" s="4">
        <v>2500</v>
      </c>
      <c r="AA1224" s="4">
        <v>2000</v>
      </c>
      <c r="AB1224">
        <v>0</v>
      </c>
      <c r="AC1224">
        <v>0</v>
      </c>
      <c r="AD1224">
        <v>0</v>
      </c>
      <c r="AG1224">
        <v>0</v>
      </c>
      <c r="AP1224">
        <v>500047922</v>
      </c>
      <c r="AQ1224" t="s">
        <v>91</v>
      </c>
      <c r="AR1224" t="s">
        <v>6637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BC1224" t="s">
        <v>69</v>
      </c>
      <c r="BD1224" t="s">
        <v>4389</v>
      </c>
      <c r="BE1224">
        <v>0</v>
      </c>
      <c r="BG1224" t="s">
        <v>91</v>
      </c>
      <c r="BJ1224" t="s">
        <v>4383</v>
      </c>
    </row>
    <row r="1225" spans="1:62" x14ac:dyDescent="0.35">
      <c r="A1225" t="s">
        <v>4387</v>
      </c>
      <c r="B1225">
        <v>20000</v>
      </c>
      <c r="C1225">
        <v>10000</v>
      </c>
      <c r="D1225" s="2">
        <v>45737</v>
      </c>
      <c r="E1225" t="s">
        <v>61</v>
      </c>
      <c r="F1225" t="s">
        <v>4388</v>
      </c>
      <c r="G1225" t="s">
        <v>4340</v>
      </c>
      <c r="I1225">
        <v>1</v>
      </c>
      <c r="J1225" t="s">
        <v>63</v>
      </c>
      <c r="K1225" s="8">
        <v>72</v>
      </c>
      <c r="L1225" s="8" t="s">
        <v>6606</v>
      </c>
      <c r="M1225" s="8" t="s">
        <v>6631</v>
      </c>
      <c r="N1225" t="s">
        <v>163</v>
      </c>
      <c r="O1225" t="s">
        <v>6548</v>
      </c>
      <c r="P1225">
        <v>625</v>
      </c>
      <c r="S1225" s="2">
        <v>45735</v>
      </c>
      <c r="U1225">
        <v>4</v>
      </c>
      <c r="V1225" s="4">
        <v>2500</v>
      </c>
      <c r="W1225" t="s">
        <v>65</v>
      </c>
      <c r="X1225">
        <v>5000479220001</v>
      </c>
      <c r="Y1225">
        <v>0</v>
      </c>
      <c r="Z1225" s="4">
        <v>2500</v>
      </c>
      <c r="AA1225">
        <v>0</v>
      </c>
      <c r="AB1225">
        <v>0</v>
      </c>
      <c r="AC1225">
        <v>0</v>
      </c>
      <c r="AD1225">
        <v>0</v>
      </c>
      <c r="AG1225">
        <v>0</v>
      </c>
      <c r="AP1225">
        <v>500047922</v>
      </c>
      <c r="AQ1225" t="s">
        <v>91</v>
      </c>
      <c r="AR1225" t="s">
        <v>6637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BC1225" t="s">
        <v>69</v>
      </c>
      <c r="BD1225" t="s">
        <v>4389</v>
      </c>
      <c r="BE1225">
        <v>0</v>
      </c>
      <c r="BG1225" t="s">
        <v>91</v>
      </c>
      <c r="BJ1225" t="s">
        <v>4383</v>
      </c>
    </row>
    <row r="1226" spans="1:62" x14ac:dyDescent="0.35">
      <c r="A1226" t="s">
        <v>4390</v>
      </c>
      <c r="B1226">
        <v>10000</v>
      </c>
      <c r="C1226">
        <v>10000</v>
      </c>
      <c r="D1226" s="2">
        <v>45737</v>
      </c>
      <c r="E1226" t="s">
        <v>61</v>
      </c>
      <c r="F1226" t="s">
        <v>4391</v>
      </c>
      <c r="G1226" t="s">
        <v>4340</v>
      </c>
      <c r="I1226">
        <v>1</v>
      </c>
      <c r="J1226" t="s">
        <v>63</v>
      </c>
      <c r="K1226" s="8">
        <v>72</v>
      </c>
      <c r="L1226" s="8" t="s">
        <v>6606</v>
      </c>
      <c r="M1226" s="8" t="s">
        <v>6631</v>
      </c>
      <c r="N1226" t="s">
        <v>163</v>
      </c>
      <c r="O1226" t="s">
        <v>6548</v>
      </c>
      <c r="P1226" s="4">
        <v>1125</v>
      </c>
      <c r="S1226" s="2">
        <v>45735</v>
      </c>
      <c r="U1226">
        <v>4</v>
      </c>
      <c r="V1226" s="4">
        <v>4500</v>
      </c>
      <c r="W1226" t="s">
        <v>65</v>
      </c>
      <c r="X1226">
        <v>5000580790001</v>
      </c>
      <c r="Y1226">
        <v>0</v>
      </c>
      <c r="Z1226" s="4">
        <v>2500</v>
      </c>
      <c r="AA1226" s="4">
        <v>2000</v>
      </c>
      <c r="AB1226">
        <v>0</v>
      </c>
      <c r="AC1226">
        <v>0</v>
      </c>
      <c r="AD1226">
        <v>0</v>
      </c>
      <c r="AG1226">
        <v>0</v>
      </c>
      <c r="AP1226">
        <v>500058079</v>
      </c>
      <c r="AQ1226" t="s">
        <v>91</v>
      </c>
      <c r="AR1226" t="s">
        <v>6637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BC1226" t="s">
        <v>69</v>
      </c>
      <c r="BD1226" t="s">
        <v>4392</v>
      </c>
      <c r="BE1226">
        <v>0</v>
      </c>
      <c r="BG1226" t="s">
        <v>91</v>
      </c>
      <c r="BJ1226" t="s">
        <v>4383</v>
      </c>
    </row>
    <row r="1227" spans="1:62" x14ac:dyDescent="0.35">
      <c r="A1227" t="s">
        <v>4390</v>
      </c>
      <c r="B1227">
        <v>20000</v>
      </c>
      <c r="C1227">
        <v>10000</v>
      </c>
      <c r="D1227" s="2">
        <v>45737</v>
      </c>
      <c r="E1227" t="s">
        <v>61</v>
      </c>
      <c r="F1227" t="s">
        <v>4391</v>
      </c>
      <c r="G1227" t="s">
        <v>4340</v>
      </c>
      <c r="I1227">
        <v>1</v>
      </c>
      <c r="J1227" t="s">
        <v>63</v>
      </c>
      <c r="K1227" s="8">
        <v>72</v>
      </c>
      <c r="L1227" s="8" t="s">
        <v>6606</v>
      </c>
      <c r="M1227" s="8" t="s">
        <v>6631</v>
      </c>
      <c r="N1227" t="s">
        <v>163</v>
      </c>
      <c r="O1227" t="s">
        <v>6548</v>
      </c>
      <c r="P1227">
        <v>625</v>
      </c>
      <c r="S1227" s="2">
        <v>45735</v>
      </c>
      <c r="U1227">
        <v>4</v>
      </c>
      <c r="V1227" s="4">
        <v>2500</v>
      </c>
      <c r="W1227" t="s">
        <v>65</v>
      </c>
      <c r="X1227">
        <v>5000580790001</v>
      </c>
      <c r="Y1227">
        <v>0</v>
      </c>
      <c r="Z1227" s="4">
        <v>2500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>
        <v>500058079</v>
      </c>
      <c r="AQ1227" t="s">
        <v>91</v>
      </c>
      <c r="AR1227" t="s">
        <v>6637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BC1227" t="s">
        <v>69</v>
      </c>
      <c r="BD1227" t="s">
        <v>4392</v>
      </c>
      <c r="BE1227">
        <v>0</v>
      </c>
      <c r="BG1227" t="s">
        <v>91</v>
      </c>
      <c r="BJ1227" t="s">
        <v>4383</v>
      </c>
    </row>
    <row r="1228" spans="1:62" x14ac:dyDescent="0.35">
      <c r="A1228" t="s">
        <v>4393</v>
      </c>
      <c r="B1228">
        <v>10000</v>
      </c>
      <c r="C1228">
        <v>10000</v>
      </c>
      <c r="D1228" s="2">
        <v>45737</v>
      </c>
      <c r="E1228" t="s">
        <v>61</v>
      </c>
      <c r="F1228" t="s">
        <v>4394</v>
      </c>
      <c r="G1228" t="s">
        <v>4340</v>
      </c>
      <c r="I1228">
        <v>1</v>
      </c>
      <c r="J1228" t="s">
        <v>63</v>
      </c>
      <c r="K1228" s="8">
        <v>72</v>
      </c>
      <c r="L1228" s="8" t="s">
        <v>6606</v>
      </c>
      <c r="M1228" s="8" t="s">
        <v>6631</v>
      </c>
      <c r="N1228" t="s">
        <v>163</v>
      </c>
      <c r="O1228" t="s">
        <v>6548</v>
      </c>
      <c r="P1228" s="4">
        <v>2625</v>
      </c>
      <c r="S1228" s="2">
        <v>45735</v>
      </c>
      <c r="U1228">
        <v>4</v>
      </c>
      <c r="V1228" s="4">
        <v>10500</v>
      </c>
      <c r="W1228" t="s">
        <v>65</v>
      </c>
      <c r="X1228">
        <v>5000582270001</v>
      </c>
      <c r="Y1228">
        <v>0</v>
      </c>
      <c r="Z1228" s="4">
        <v>7500</v>
      </c>
      <c r="AA1228" s="4">
        <v>3000</v>
      </c>
      <c r="AB1228">
        <v>0</v>
      </c>
      <c r="AC1228">
        <v>0</v>
      </c>
      <c r="AD1228">
        <v>0</v>
      </c>
      <c r="AG1228">
        <v>0</v>
      </c>
      <c r="AP1228">
        <v>500058227</v>
      </c>
      <c r="AQ1228" t="s">
        <v>91</v>
      </c>
      <c r="AR1228" t="s">
        <v>6637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BC1228" t="s">
        <v>69</v>
      </c>
      <c r="BD1228" t="s">
        <v>4395</v>
      </c>
      <c r="BE1228">
        <v>0</v>
      </c>
      <c r="BG1228" t="s">
        <v>91</v>
      </c>
      <c r="BJ1228" t="s">
        <v>4383</v>
      </c>
    </row>
    <row r="1229" spans="1:62" x14ac:dyDescent="0.35">
      <c r="A1229" t="s">
        <v>4393</v>
      </c>
      <c r="B1229">
        <v>20000</v>
      </c>
      <c r="C1229">
        <v>10000</v>
      </c>
      <c r="D1229" s="2">
        <v>45737</v>
      </c>
      <c r="E1229" t="s">
        <v>61</v>
      </c>
      <c r="F1229" t="s">
        <v>4394</v>
      </c>
      <c r="G1229" t="s">
        <v>4340</v>
      </c>
      <c r="I1229">
        <v>1</v>
      </c>
      <c r="J1229" t="s">
        <v>63</v>
      </c>
      <c r="K1229" s="8">
        <v>72</v>
      </c>
      <c r="L1229" s="8" t="s">
        <v>6606</v>
      </c>
      <c r="M1229" s="8" t="s">
        <v>6631</v>
      </c>
      <c r="N1229" t="s">
        <v>163</v>
      </c>
      <c r="O1229" t="s">
        <v>6548</v>
      </c>
      <c r="P1229" s="4">
        <v>1875</v>
      </c>
      <c r="S1229" s="2">
        <v>45735</v>
      </c>
      <c r="U1229">
        <v>4</v>
      </c>
      <c r="V1229" s="4">
        <v>7500</v>
      </c>
      <c r="W1229" t="s">
        <v>65</v>
      </c>
      <c r="X1229">
        <v>5000582270001</v>
      </c>
      <c r="Y1229">
        <v>0</v>
      </c>
      <c r="Z1229" s="4">
        <v>7500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>
        <v>500058227</v>
      </c>
      <c r="AQ1229" t="s">
        <v>91</v>
      </c>
      <c r="AR1229" t="s">
        <v>6637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BC1229" t="s">
        <v>69</v>
      </c>
      <c r="BD1229" t="s">
        <v>4395</v>
      </c>
      <c r="BE1229">
        <v>0</v>
      </c>
      <c r="BG1229" t="s">
        <v>91</v>
      </c>
      <c r="BJ1229" t="s">
        <v>4383</v>
      </c>
    </row>
    <row r="1230" spans="1:62" x14ac:dyDescent="0.35">
      <c r="A1230" t="s">
        <v>4396</v>
      </c>
      <c r="B1230">
        <v>10000</v>
      </c>
      <c r="C1230">
        <v>10000</v>
      </c>
      <c r="D1230" s="2">
        <v>45737</v>
      </c>
      <c r="E1230" t="s">
        <v>61</v>
      </c>
      <c r="F1230" t="s">
        <v>4397</v>
      </c>
      <c r="G1230" t="s">
        <v>4340</v>
      </c>
      <c r="I1230">
        <v>1</v>
      </c>
      <c r="J1230" t="s">
        <v>63</v>
      </c>
      <c r="K1230" s="8">
        <v>72</v>
      </c>
      <c r="L1230" s="8" t="s">
        <v>6606</v>
      </c>
      <c r="M1230" s="8" t="s">
        <v>6631</v>
      </c>
      <c r="N1230" t="s">
        <v>163</v>
      </c>
      <c r="O1230" t="s">
        <v>6548</v>
      </c>
      <c r="P1230" s="4">
        <v>1125</v>
      </c>
      <c r="S1230" s="2">
        <v>45735</v>
      </c>
      <c r="U1230">
        <v>4</v>
      </c>
      <c r="V1230" s="4">
        <v>4500</v>
      </c>
      <c r="W1230" t="s">
        <v>65</v>
      </c>
      <c r="X1230">
        <v>5000582280001</v>
      </c>
      <c r="Y1230">
        <v>0</v>
      </c>
      <c r="Z1230" s="4">
        <v>2500</v>
      </c>
      <c r="AA1230" s="4">
        <v>2000</v>
      </c>
      <c r="AB1230">
        <v>0</v>
      </c>
      <c r="AC1230">
        <v>0</v>
      </c>
      <c r="AD1230">
        <v>0</v>
      </c>
      <c r="AG1230">
        <v>0</v>
      </c>
      <c r="AP1230">
        <v>500058228</v>
      </c>
      <c r="AQ1230" t="s">
        <v>91</v>
      </c>
      <c r="AR1230" t="s">
        <v>6637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BC1230" t="s">
        <v>69</v>
      </c>
      <c r="BD1230" t="s">
        <v>4398</v>
      </c>
      <c r="BE1230">
        <v>0</v>
      </c>
      <c r="BG1230" t="s">
        <v>91</v>
      </c>
      <c r="BJ1230" t="s">
        <v>4383</v>
      </c>
    </row>
    <row r="1231" spans="1:62" x14ac:dyDescent="0.35">
      <c r="A1231" t="s">
        <v>4396</v>
      </c>
      <c r="B1231">
        <v>20000</v>
      </c>
      <c r="C1231">
        <v>10000</v>
      </c>
      <c r="D1231" s="2">
        <v>45737</v>
      </c>
      <c r="E1231" t="s">
        <v>61</v>
      </c>
      <c r="F1231" t="s">
        <v>4397</v>
      </c>
      <c r="G1231" t="s">
        <v>4340</v>
      </c>
      <c r="I1231">
        <v>1</v>
      </c>
      <c r="J1231" t="s">
        <v>63</v>
      </c>
      <c r="K1231" s="8">
        <v>72</v>
      </c>
      <c r="L1231" s="8" t="s">
        <v>6606</v>
      </c>
      <c r="M1231" s="8" t="s">
        <v>6631</v>
      </c>
      <c r="N1231" t="s">
        <v>163</v>
      </c>
      <c r="O1231" t="s">
        <v>6548</v>
      </c>
      <c r="P1231">
        <v>625</v>
      </c>
      <c r="S1231" s="2">
        <v>45735</v>
      </c>
      <c r="U1231">
        <v>4</v>
      </c>
      <c r="V1231" s="4">
        <v>2500</v>
      </c>
      <c r="W1231" t="s">
        <v>65</v>
      </c>
      <c r="X1231">
        <v>5000582280001</v>
      </c>
      <c r="Y1231">
        <v>0</v>
      </c>
      <c r="Z1231" s="4">
        <v>2500</v>
      </c>
      <c r="AA1231">
        <v>0</v>
      </c>
      <c r="AB1231">
        <v>0</v>
      </c>
      <c r="AC1231">
        <v>0</v>
      </c>
      <c r="AD1231">
        <v>0</v>
      </c>
      <c r="AG1231">
        <v>0</v>
      </c>
      <c r="AP1231">
        <v>500058228</v>
      </c>
      <c r="AQ1231" t="s">
        <v>91</v>
      </c>
      <c r="AR1231" t="s">
        <v>6637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BC1231" t="s">
        <v>69</v>
      </c>
      <c r="BD1231" t="s">
        <v>4398</v>
      </c>
      <c r="BE1231">
        <v>0</v>
      </c>
      <c r="BG1231" t="s">
        <v>91</v>
      </c>
      <c r="BJ1231" t="s">
        <v>4383</v>
      </c>
    </row>
    <row r="1232" spans="1:62" x14ac:dyDescent="0.35">
      <c r="A1232" t="s">
        <v>4399</v>
      </c>
      <c r="B1232">
        <v>10000</v>
      </c>
      <c r="C1232">
        <v>10000</v>
      </c>
      <c r="D1232" s="2">
        <v>45737</v>
      </c>
      <c r="E1232" t="s">
        <v>61</v>
      </c>
      <c r="F1232" t="s">
        <v>4400</v>
      </c>
      <c r="G1232" t="s">
        <v>4340</v>
      </c>
      <c r="I1232">
        <v>1</v>
      </c>
      <c r="J1232" t="s">
        <v>63</v>
      </c>
      <c r="K1232" s="8">
        <v>72</v>
      </c>
      <c r="L1232" s="8" t="s">
        <v>6606</v>
      </c>
      <c r="M1232" s="8" t="s">
        <v>6631</v>
      </c>
      <c r="N1232" t="s">
        <v>163</v>
      </c>
      <c r="O1232" t="s">
        <v>6548</v>
      </c>
      <c r="P1232" s="4">
        <v>2500</v>
      </c>
      <c r="S1232" s="2">
        <v>45735</v>
      </c>
      <c r="U1232">
        <v>4</v>
      </c>
      <c r="V1232" s="4">
        <v>10000</v>
      </c>
      <c r="W1232" t="s">
        <v>65</v>
      </c>
      <c r="X1232">
        <v>5000584100001</v>
      </c>
      <c r="Y1232">
        <v>0</v>
      </c>
      <c r="Z1232" s="4">
        <v>7000</v>
      </c>
      <c r="AA1232" s="4">
        <v>3000</v>
      </c>
      <c r="AB1232">
        <v>0</v>
      </c>
      <c r="AC1232">
        <v>0</v>
      </c>
      <c r="AD1232">
        <v>0</v>
      </c>
      <c r="AG1232">
        <v>0</v>
      </c>
      <c r="AP1232">
        <v>500058410</v>
      </c>
      <c r="AQ1232" t="s">
        <v>91</v>
      </c>
      <c r="AR1232" t="s">
        <v>6637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BC1232" t="s">
        <v>69</v>
      </c>
      <c r="BD1232" t="s">
        <v>4401</v>
      </c>
      <c r="BE1232">
        <v>0</v>
      </c>
      <c r="BG1232" t="s">
        <v>91</v>
      </c>
      <c r="BJ1232" t="s">
        <v>4383</v>
      </c>
    </row>
    <row r="1233" spans="1:62" x14ac:dyDescent="0.35">
      <c r="A1233" t="s">
        <v>4399</v>
      </c>
      <c r="B1233">
        <v>20000</v>
      </c>
      <c r="C1233">
        <v>10000</v>
      </c>
      <c r="D1233" s="2">
        <v>45737</v>
      </c>
      <c r="E1233" t="s">
        <v>61</v>
      </c>
      <c r="F1233" t="s">
        <v>4400</v>
      </c>
      <c r="G1233" t="s">
        <v>4340</v>
      </c>
      <c r="I1233">
        <v>1</v>
      </c>
      <c r="J1233" t="s">
        <v>63</v>
      </c>
      <c r="K1233" s="8">
        <v>72</v>
      </c>
      <c r="L1233" s="8" t="s">
        <v>6606</v>
      </c>
      <c r="M1233" s="8" t="s">
        <v>6631</v>
      </c>
      <c r="N1233" t="s">
        <v>163</v>
      </c>
      <c r="O1233" t="s">
        <v>6548</v>
      </c>
      <c r="P1233" s="4">
        <v>1750</v>
      </c>
      <c r="S1233" s="2">
        <v>45735</v>
      </c>
      <c r="U1233">
        <v>4</v>
      </c>
      <c r="V1233" s="4">
        <v>7000</v>
      </c>
      <c r="W1233" t="s">
        <v>65</v>
      </c>
      <c r="X1233">
        <v>5000584100001</v>
      </c>
      <c r="Y1233">
        <v>0</v>
      </c>
      <c r="Z1233" s="4">
        <v>7000</v>
      </c>
      <c r="AA1233">
        <v>0</v>
      </c>
      <c r="AB1233">
        <v>0</v>
      </c>
      <c r="AC1233">
        <v>0</v>
      </c>
      <c r="AD1233">
        <v>0</v>
      </c>
      <c r="AG1233">
        <v>0</v>
      </c>
      <c r="AP1233">
        <v>500058410</v>
      </c>
      <c r="AQ1233" t="s">
        <v>91</v>
      </c>
      <c r="AR1233" t="s">
        <v>6637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BC1233" t="s">
        <v>69</v>
      </c>
      <c r="BD1233" t="s">
        <v>4401</v>
      </c>
      <c r="BE1233">
        <v>0</v>
      </c>
      <c r="BG1233" t="s">
        <v>91</v>
      </c>
      <c r="BJ1233" t="s">
        <v>4383</v>
      </c>
    </row>
    <row r="1234" spans="1:62" x14ac:dyDescent="0.35">
      <c r="A1234" t="s">
        <v>4114</v>
      </c>
      <c r="B1234">
        <v>10000</v>
      </c>
      <c r="C1234">
        <v>20000</v>
      </c>
      <c r="D1234" s="2">
        <v>45736</v>
      </c>
      <c r="E1234" t="s">
        <v>61</v>
      </c>
      <c r="F1234" s="3">
        <v>0.47020833333333334</v>
      </c>
      <c r="G1234" t="s">
        <v>4115</v>
      </c>
      <c r="I1234">
        <v>2</v>
      </c>
      <c r="J1234" t="s">
        <v>63</v>
      </c>
      <c r="K1234" s="8">
        <v>105</v>
      </c>
      <c r="L1234" s="8" t="s">
        <v>6612</v>
      </c>
      <c r="M1234" s="8" t="s">
        <v>6632</v>
      </c>
      <c r="N1234" t="s">
        <v>424</v>
      </c>
      <c r="O1234" t="s">
        <v>6570</v>
      </c>
      <c r="P1234" s="4">
        <v>10500</v>
      </c>
      <c r="S1234" s="2">
        <v>45735</v>
      </c>
      <c r="U1234">
        <v>1</v>
      </c>
      <c r="V1234" s="4">
        <v>10500</v>
      </c>
      <c r="W1234" t="s">
        <v>65</v>
      </c>
      <c r="X1234" t="s">
        <v>4116</v>
      </c>
      <c r="Y1234">
        <v>0</v>
      </c>
      <c r="Z1234" s="4">
        <v>10000</v>
      </c>
      <c r="AA1234">
        <v>500</v>
      </c>
      <c r="AB1234">
        <v>0</v>
      </c>
      <c r="AC1234">
        <v>0</v>
      </c>
      <c r="AD1234">
        <v>0</v>
      </c>
      <c r="AG1234">
        <v>0</v>
      </c>
      <c r="AP1234" t="s">
        <v>4117</v>
      </c>
      <c r="AQ1234" t="s">
        <v>116</v>
      </c>
      <c r="AR1234" t="s">
        <v>6639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BC1234" t="s">
        <v>69</v>
      </c>
      <c r="BD1234" t="s">
        <v>4118</v>
      </c>
      <c r="BE1234">
        <v>0</v>
      </c>
      <c r="BG1234" t="s">
        <v>116</v>
      </c>
      <c r="BJ1234" t="s">
        <v>4119</v>
      </c>
    </row>
    <row r="1235" spans="1:62" x14ac:dyDescent="0.35">
      <c r="A1235" t="s">
        <v>4402</v>
      </c>
      <c r="B1235">
        <v>10000</v>
      </c>
      <c r="C1235">
        <v>10000</v>
      </c>
      <c r="D1235" s="2">
        <v>45736</v>
      </c>
      <c r="E1235" t="s">
        <v>61</v>
      </c>
      <c r="F1235" s="3">
        <v>0.47075231481481483</v>
      </c>
      <c r="G1235" t="s">
        <v>4403</v>
      </c>
      <c r="I1235">
        <v>1</v>
      </c>
      <c r="J1235" t="s">
        <v>63</v>
      </c>
      <c r="K1235" s="8">
        <v>88</v>
      </c>
      <c r="L1235" s="8" t="s">
        <v>6610</v>
      </c>
      <c r="M1235" s="8" t="s">
        <v>6631</v>
      </c>
      <c r="N1235" t="s">
        <v>630</v>
      </c>
      <c r="O1235" t="s">
        <v>6571</v>
      </c>
      <c r="P1235" s="4">
        <v>2100</v>
      </c>
      <c r="S1235" s="2">
        <v>45735</v>
      </c>
      <c r="U1235">
        <v>5</v>
      </c>
      <c r="V1235" s="4">
        <v>10500</v>
      </c>
      <c r="W1235" t="s">
        <v>65</v>
      </c>
      <c r="X1235" t="s">
        <v>4404</v>
      </c>
      <c r="Y1235">
        <v>0</v>
      </c>
      <c r="Z1235" s="4">
        <v>10000</v>
      </c>
      <c r="AA1235">
        <v>500</v>
      </c>
      <c r="AB1235">
        <v>0</v>
      </c>
      <c r="AC1235">
        <v>0</v>
      </c>
      <c r="AD1235">
        <v>0</v>
      </c>
      <c r="AG1235">
        <v>0</v>
      </c>
      <c r="AP1235" t="s">
        <v>4405</v>
      </c>
      <c r="AQ1235" t="s">
        <v>116</v>
      </c>
      <c r="AR1235" t="s">
        <v>6639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BC1235" t="s">
        <v>69</v>
      </c>
      <c r="BD1235" t="s">
        <v>4406</v>
      </c>
      <c r="BE1235">
        <v>0</v>
      </c>
      <c r="BG1235" t="s">
        <v>116</v>
      </c>
      <c r="BJ1235" t="s">
        <v>4119</v>
      </c>
    </row>
    <row r="1236" spans="1:62" x14ac:dyDescent="0.35">
      <c r="A1236" t="s">
        <v>4402</v>
      </c>
      <c r="B1236">
        <v>10000</v>
      </c>
      <c r="C1236">
        <v>20000</v>
      </c>
      <c r="D1236" s="2">
        <v>45736</v>
      </c>
      <c r="E1236" t="s">
        <v>61</v>
      </c>
      <c r="F1236" s="3">
        <v>0.47075231481481483</v>
      </c>
      <c r="G1236" t="s">
        <v>4403</v>
      </c>
      <c r="I1236">
        <v>2</v>
      </c>
      <c r="J1236" t="s">
        <v>63</v>
      </c>
      <c r="K1236" s="8">
        <v>105</v>
      </c>
      <c r="L1236" s="8" t="s">
        <v>6612</v>
      </c>
      <c r="M1236" s="8" t="s">
        <v>6632</v>
      </c>
      <c r="N1236" t="s">
        <v>424</v>
      </c>
      <c r="O1236" t="s">
        <v>6570</v>
      </c>
      <c r="P1236" s="4">
        <v>10500</v>
      </c>
      <c r="S1236" s="2">
        <v>45735</v>
      </c>
      <c r="U1236">
        <v>1</v>
      </c>
      <c r="V1236" s="4">
        <v>10500</v>
      </c>
      <c r="W1236" t="s">
        <v>65</v>
      </c>
      <c r="X1236" t="s">
        <v>4404</v>
      </c>
      <c r="Y1236">
        <v>0</v>
      </c>
      <c r="Z1236" s="4">
        <v>10000</v>
      </c>
      <c r="AA1236">
        <v>500</v>
      </c>
      <c r="AB1236">
        <v>0</v>
      </c>
      <c r="AC1236">
        <v>0</v>
      </c>
      <c r="AD1236">
        <v>0</v>
      </c>
      <c r="AG1236">
        <v>0</v>
      </c>
      <c r="AP1236" t="s">
        <v>4405</v>
      </c>
      <c r="AQ1236" t="s">
        <v>116</v>
      </c>
      <c r="AR1236" t="s">
        <v>6639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BC1236" t="s">
        <v>69</v>
      </c>
      <c r="BD1236" t="s">
        <v>4406</v>
      </c>
      <c r="BE1236">
        <v>0</v>
      </c>
      <c r="BG1236" t="s">
        <v>116</v>
      </c>
      <c r="BJ1236" t="s">
        <v>4119</v>
      </c>
    </row>
    <row r="1237" spans="1:62" x14ac:dyDescent="0.35">
      <c r="A1237" t="s">
        <v>4407</v>
      </c>
      <c r="B1237">
        <v>10000</v>
      </c>
      <c r="C1237">
        <v>10000</v>
      </c>
      <c r="D1237" s="2">
        <v>45736</v>
      </c>
      <c r="E1237" t="s">
        <v>61</v>
      </c>
      <c r="F1237" t="s">
        <v>4408</v>
      </c>
      <c r="G1237" t="s">
        <v>1149</v>
      </c>
      <c r="I1237">
        <v>1</v>
      </c>
      <c r="J1237" t="s">
        <v>63</v>
      </c>
      <c r="K1237" s="8">
        <v>29</v>
      </c>
      <c r="L1237" s="8" t="s">
        <v>6595</v>
      </c>
      <c r="M1237" s="8" t="s">
        <v>6629</v>
      </c>
      <c r="N1237" t="s">
        <v>249</v>
      </c>
      <c r="O1237" t="s">
        <v>6500</v>
      </c>
      <c r="P1237" s="4">
        <v>4000</v>
      </c>
      <c r="Q1237">
        <f>(P1237/40)+45</f>
        <v>145</v>
      </c>
      <c r="R1237">
        <f>Q1237/60</f>
        <v>2.4166666666666665</v>
      </c>
      <c r="S1237" s="2">
        <v>45735</v>
      </c>
      <c r="U1237">
        <v>1</v>
      </c>
      <c r="V1237" s="4">
        <v>4000</v>
      </c>
      <c r="W1237" t="s">
        <v>65</v>
      </c>
      <c r="X1237" t="s">
        <v>4409</v>
      </c>
      <c r="Y1237">
        <v>0</v>
      </c>
      <c r="Z1237" s="4">
        <v>4000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4410</v>
      </c>
      <c r="AQ1237" t="s">
        <v>1892</v>
      </c>
      <c r="AR1237" t="s">
        <v>6692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BC1237" t="s">
        <v>69</v>
      </c>
      <c r="BD1237" t="s">
        <v>4411</v>
      </c>
      <c r="BE1237">
        <v>0</v>
      </c>
      <c r="BG1237" t="s">
        <v>1892</v>
      </c>
      <c r="BJ1237" t="s">
        <v>4412</v>
      </c>
    </row>
    <row r="1238" spans="1:62" x14ac:dyDescent="0.35">
      <c r="A1238" t="s">
        <v>4413</v>
      </c>
      <c r="B1238">
        <v>10000</v>
      </c>
      <c r="C1238">
        <v>10000</v>
      </c>
      <c r="D1238" s="2">
        <v>45737</v>
      </c>
      <c r="E1238" t="s">
        <v>61</v>
      </c>
      <c r="F1238" t="s">
        <v>4414</v>
      </c>
      <c r="G1238" t="s">
        <v>4415</v>
      </c>
      <c r="I1238">
        <v>1</v>
      </c>
      <c r="J1238" t="s">
        <v>63</v>
      </c>
      <c r="K1238" s="8">
        <v>88</v>
      </c>
      <c r="L1238" s="8" t="s">
        <v>6610</v>
      </c>
      <c r="M1238" s="8" t="s">
        <v>6631</v>
      </c>
      <c r="N1238" t="s">
        <v>630</v>
      </c>
      <c r="O1238" t="s">
        <v>6571</v>
      </c>
      <c r="P1238">
        <v>20</v>
      </c>
      <c r="S1238" s="2">
        <v>45735</v>
      </c>
      <c r="U1238">
        <v>1</v>
      </c>
      <c r="V1238">
        <v>20</v>
      </c>
      <c r="W1238" t="s">
        <v>65</v>
      </c>
      <c r="X1238">
        <v>107473440001</v>
      </c>
      <c r="Y1238">
        <v>0</v>
      </c>
      <c r="Z1238">
        <v>20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>
        <v>10747344</v>
      </c>
      <c r="AQ1238" t="s">
        <v>487</v>
      </c>
      <c r="AR1238" t="s">
        <v>6656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BC1238" t="s">
        <v>69</v>
      </c>
      <c r="BD1238" t="s">
        <v>4416</v>
      </c>
      <c r="BE1238">
        <v>0</v>
      </c>
      <c r="BG1238" t="s">
        <v>487</v>
      </c>
      <c r="BJ1238" t="s">
        <v>4417</v>
      </c>
    </row>
    <row r="1239" spans="1:62" x14ac:dyDescent="0.35">
      <c r="A1239" t="s">
        <v>4418</v>
      </c>
      <c r="B1239">
        <v>10000</v>
      </c>
      <c r="C1239">
        <v>10000</v>
      </c>
      <c r="D1239" s="2">
        <v>45736</v>
      </c>
      <c r="E1239" t="s">
        <v>61</v>
      </c>
      <c r="F1239" t="s">
        <v>4419</v>
      </c>
      <c r="G1239" t="s">
        <v>4420</v>
      </c>
      <c r="I1239">
        <v>1</v>
      </c>
      <c r="J1239" t="s">
        <v>63</v>
      </c>
      <c r="K1239" s="8">
        <v>88</v>
      </c>
      <c r="L1239" s="8" t="s">
        <v>6610</v>
      </c>
      <c r="M1239" s="8" t="s">
        <v>6631</v>
      </c>
      <c r="N1239" t="s">
        <v>630</v>
      </c>
      <c r="O1239" t="s">
        <v>6571</v>
      </c>
      <c r="P1239">
        <v>20</v>
      </c>
      <c r="S1239" s="2">
        <v>45735</v>
      </c>
      <c r="U1239">
        <v>1</v>
      </c>
      <c r="V1239">
        <v>20</v>
      </c>
      <c r="W1239" t="s">
        <v>65</v>
      </c>
      <c r="X1239">
        <v>107473450001</v>
      </c>
      <c r="Y1239">
        <v>0</v>
      </c>
      <c r="Z1239">
        <v>20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>
        <v>10747345</v>
      </c>
      <c r="AQ1239" t="s">
        <v>487</v>
      </c>
      <c r="AR1239" t="s">
        <v>6656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BC1239" t="s">
        <v>69</v>
      </c>
      <c r="BD1239" t="s">
        <v>4421</v>
      </c>
      <c r="BE1239">
        <v>0</v>
      </c>
      <c r="BG1239" t="s">
        <v>487</v>
      </c>
      <c r="BJ1239" t="s">
        <v>4417</v>
      </c>
    </row>
    <row r="1240" spans="1:62" x14ac:dyDescent="0.35">
      <c r="A1240" t="s">
        <v>4418</v>
      </c>
      <c r="B1240">
        <v>10000</v>
      </c>
      <c r="C1240">
        <v>20000</v>
      </c>
      <c r="D1240" s="2">
        <v>45736</v>
      </c>
      <c r="E1240" t="s">
        <v>61</v>
      </c>
      <c r="F1240" t="s">
        <v>4422</v>
      </c>
      <c r="G1240" t="s">
        <v>4420</v>
      </c>
      <c r="I1240">
        <v>2</v>
      </c>
      <c r="J1240" t="s">
        <v>63</v>
      </c>
      <c r="K1240" s="8">
        <v>92</v>
      </c>
      <c r="L1240" s="8" t="s">
        <v>6614</v>
      </c>
      <c r="M1240" s="8" t="s">
        <v>6633</v>
      </c>
      <c r="N1240" t="s">
        <v>424</v>
      </c>
      <c r="O1240" t="s">
        <v>6570</v>
      </c>
      <c r="P1240">
        <v>20</v>
      </c>
      <c r="S1240" s="2">
        <v>45735</v>
      </c>
      <c r="U1240">
        <v>1</v>
      </c>
      <c r="V1240">
        <v>20</v>
      </c>
      <c r="W1240" t="s">
        <v>65</v>
      </c>
      <c r="X1240">
        <v>107473450001</v>
      </c>
      <c r="Y1240">
        <v>0</v>
      </c>
      <c r="Z1240">
        <v>20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>
        <v>10747345</v>
      </c>
      <c r="AQ1240" t="s">
        <v>487</v>
      </c>
      <c r="AR1240" t="s">
        <v>6656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BC1240" t="s">
        <v>69</v>
      </c>
      <c r="BD1240" t="s">
        <v>4421</v>
      </c>
      <c r="BE1240">
        <v>0</v>
      </c>
      <c r="BG1240" t="s">
        <v>487</v>
      </c>
      <c r="BJ1240" t="s">
        <v>4417</v>
      </c>
    </row>
    <row r="1241" spans="1:62" x14ac:dyDescent="0.35">
      <c r="A1241" t="s">
        <v>4423</v>
      </c>
      <c r="B1241">
        <v>10000</v>
      </c>
      <c r="C1241">
        <v>10000</v>
      </c>
      <c r="D1241" s="2">
        <v>45737</v>
      </c>
      <c r="E1241" t="s">
        <v>61</v>
      </c>
      <c r="F1241" t="s">
        <v>4414</v>
      </c>
      <c r="G1241" t="s">
        <v>4415</v>
      </c>
      <c r="I1241">
        <v>1</v>
      </c>
      <c r="J1241" t="s">
        <v>63</v>
      </c>
      <c r="K1241" s="8">
        <v>88</v>
      </c>
      <c r="L1241" s="8" t="s">
        <v>6610</v>
      </c>
      <c r="M1241" s="8" t="s">
        <v>6631</v>
      </c>
      <c r="N1241" t="s">
        <v>630</v>
      </c>
      <c r="O1241" t="s">
        <v>6571</v>
      </c>
      <c r="P1241" s="4">
        <v>1500</v>
      </c>
      <c r="S1241" s="2">
        <v>45735</v>
      </c>
      <c r="U1241">
        <v>1</v>
      </c>
      <c r="V1241" s="4">
        <v>1500</v>
      </c>
      <c r="W1241" t="s">
        <v>65</v>
      </c>
      <c r="X1241">
        <v>107473440001</v>
      </c>
      <c r="Y1241">
        <v>0</v>
      </c>
      <c r="Z1241" s="4">
        <v>1000</v>
      </c>
      <c r="AA1241">
        <v>500</v>
      </c>
      <c r="AB1241">
        <v>0</v>
      </c>
      <c r="AC1241">
        <v>0</v>
      </c>
      <c r="AD1241">
        <v>0</v>
      </c>
      <c r="AG1241">
        <v>0</v>
      </c>
      <c r="AP1241">
        <v>10747344</v>
      </c>
      <c r="AQ1241" t="s">
        <v>487</v>
      </c>
      <c r="AR1241" t="s">
        <v>6656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BC1241" t="s">
        <v>69</v>
      </c>
      <c r="BD1241" t="s">
        <v>4424</v>
      </c>
      <c r="BE1241">
        <v>0</v>
      </c>
      <c r="BG1241" t="s">
        <v>487</v>
      </c>
      <c r="BJ1241" t="s">
        <v>4425</v>
      </c>
    </row>
    <row r="1242" spans="1:62" x14ac:dyDescent="0.35">
      <c r="A1242" t="s">
        <v>4426</v>
      </c>
      <c r="B1242">
        <v>10000</v>
      </c>
      <c r="C1242">
        <v>10000</v>
      </c>
      <c r="D1242" s="2">
        <v>45736</v>
      </c>
      <c r="E1242" t="s">
        <v>61</v>
      </c>
      <c r="F1242" t="s">
        <v>4427</v>
      </c>
      <c r="G1242" t="s">
        <v>4420</v>
      </c>
      <c r="I1242">
        <v>1</v>
      </c>
      <c r="J1242" t="s">
        <v>63</v>
      </c>
      <c r="K1242" s="8">
        <v>88</v>
      </c>
      <c r="L1242" s="8" t="s">
        <v>6610</v>
      </c>
      <c r="M1242" s="8" t="s">
        <v>6631</v>
      </c>
      <c r="N1242" t="s">
        <v>630</v>
      </c>
      <c r="O1242" t="s">
        <v>6571</v>
      </c>
      <c r="P1242" s="4">
        <v>1500</v>
      </c>
      <c r="S1242" s="2">
        <v>45735</v>
      </c>
      <c r="U1242">
        <v>1</v>
      </c>
      <c r="V1242" s="4">
        <v>1500</v>
      </c>
      <c r="W1242" t="s">
        <v>65</v>
      </c>
      <c r="X1242">
        <v>107473450001</v>
      </c>
      <c r="Y1242">
        <v>0</v>
      </c>
      <c r="Z1242" s="4">
        <v>1000</v>
      </c>
      <c r="AA1242">
        <v>500</v>
      </c>
      <c r="AB1242">
        <v>0</v>
      </c>
      <c r="AC1242">
        <v>0</v>
      </c>
      <c r="AD1242">
        <v>0</v>
      </c>
      <c r="AG1242">
        <v>0</v>
      </c>
      <c r="AP1242">
        <v>10747345</v>
      </c>
      <c r="AQ1242" t="s">
        <v>487</v>
      </c>
      <c r="AR1242" t="s">
        <v>6656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BC1242" t="s">
        <v>69</v>
      </c>
      <c r="BD1242" t="s">
        <v>4428</v>
      </c>
      <c r="BE1242">
        <v>0</v>
      </c>
      <c r="BG1242" t="s">
        <v>487</v>
      </c>
      <c r="BJ1242" t="s">
        <v>4425</v>
      </c>
    </row>
    <row r="1243" spans="1:62" x14ac:dyDescent="0.35">
      <c r="A1243" t="s">
        <v>4426</v>
      </c>
      <c r="B1243">
        <v>10000</v>
      </c>
      <c r="C1243">
        <v>20000</v>
      </c>
      <c r="D1243" s="2">
        <v>45736</v>
      </c>
      <c r="E1243" t="s">
        <v>61</v>
      </c>
      <c r="F1243" t="s">
        <v>4427</v>
      </c>
      <c r="G1243" t="s">
        <v>4420</v>
      </c>
      <c r="I1243">
        <v>2</v>
      </c>
      <c r="J1243" t="s">
        <v>63</v>
      </c>
      <c r="K1243" s="8">
        <v>92</v>
      </c>
      <c r="L1243" s="8" t="s">
        <v>6614</v>
      </c>
      <c r="M1243" s="8" t="s">
        <v>6633</v>
      </c>
      <c r="N1243" t="s">
        <v>424</v>
      </c>
      <c r="O1243" t="s">
        <v>6570</v>
      </c>
      <c r="P1243" s="4">
        <v>1200</v>
      </c>
      <c r="S1243" s="2">
        <v>45735</v>
      </c>
      <c r="U1243">
        <v>1</v>
      </c>
      <c r="V1243" s="4">
        <v>1200</v>
      </c>
      <c r="W1243" t="s">
        <v>65</v>
      </c>
      <c r="X1243">
        <v>107473450001</v>
      </c>
      <c r="Y1243">
        <v>0</v>
      </c>
      <c r="Z1243" s="4">
        <v>1000</v>
      </c>
      <c r="AA1243">
        <v>200</v>
      </c>
      <c r="AB1243">
        <v>0</v>
      </c>
      <c r="AC1243">
        <v>0</v>
      </c>
      <c r="AD1243">
        <v>0</v>
      </c>
      <c r="AG1243">
        <v>0</v>
      </c>
      <c r="AP1243">
        <v>10747345</v>
      </c>
      <c r="AQ1243" t="s">
        <v>487</v>
      </c>
      <c r="AR1243" t="s">
        <v>6656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BC1243" t="s">
        <v>69</v>
      </c>
      <c r="BD1243" t="s">
        <v>4428</v>
      </c>
      <c r="BE1243">
        <v>0</v>
      </c>
      <c r="BG1243" t="s">
        <v>487</v>
      </c>
      <c r="BJ1243" t="s">
        <v>4425</v>
      </c>
    </row>
    <row r="1244" spans="1:62" x14ac:dyDescent="0.35">
      <c r="A1244" t="s">
        <v>4429</v>
      </c>
      <c r="B1244">
        <v>10000</v>
      </c>
      <c r="C1244">
        <v>10000</v>
      </c>
      <c r="D1244" s="2">
        <v>45735</v>
      </c>
      <c r="E1244" t="s">
        <v>61</v>
      </c>
      <c r="F1244" t="s">
        <v>4430</v>
      </c>
      <c r="G1244" t="s">
        <v>4431</v>
      </c>
      <c r="I1244">
        <v>1</v>
      </c>
      <c r="J1244" t="s">
        <v>63</v>
      </c>
      <c r="K1244" s="8">
        <v>75</v>
      </c>
      <c r="L1244" s="8" t="s">
        <v>6602</v>
      </c>
      <c r="M1244" s="8" t="s">
        <v>6630</v>
      </c>
      <c r="N1244" t="s">
        <v>459</v>
      </c>
      <c r="O1244" t="s">
        <v>6568</v>
      </c>
      <c r="P1244">
        <v>16</v>
      </c>
      <c r="Q1244">
        <f t="shared" ref="Q1244:Q1245" si="316">(P1244/20)+45</f>
        <v>45.8</v>
      </c>
      <c r="R1244">
        <f t="shared" ref="R1244:R1255" si="317">Q1244/60</f>
        <v>0.76333333333333331</v>
      </c>
      <c r="S1244" s="2">
        <v>45735</v>
      </c>
      <c r="U1244">
        <v>13</v>
      </c>
      <c r="V1244">
        <v>208</v>
      </c>
      <c r="W1244" t="s">
        <v>65</v>
      </c>
      <c r="X1244" t="s">
        <v>3569</v>
      </c>
      <c r="Y1244">
        <v>0</v>
      </c>
      <c r="Z1244">
        <v>200</v>
      </c>
      <c r="AA1244">
        <v>8</v>
      </c>
      <c r="AB1244">
        <v>0</v>
      </c>
      <c r="AC1244">
        <v>0</v>
      </c>
      <c r="AD1244">
        <v>0</v>
      </c>
      <c r="AG1244">
        <v>0</v>
      </c>
      <c r="AP1244" t="s">
        <v>3570</v>
      </c>
      <c r="AQ1244" t="s">
        <v>661</v>
      </c>
      <c r="AR1244" t="s">
        <v>6660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BC1244" t="s">
        <v>69</v>
      </c>
      <c r="BD1244" t="s">
        <v>4432</v>
      </c>
      <c r="BE1244">
        <v>0</v>
      </c>
      <c r="BG1244" t="s">
        <v>661</v>
      </c>
      <c r="BJ1244" t="s">
        <v>4433</v>
      </c>
    </row>
    <row r="1245" spans="1:62" x14ac:dyDescent="0.35">
      <c r="A1245" t="s">
        <v>4434</v>
      </c>
      <c r="B1245">
        <v>10000</v>
      </c>
      <c r="C1245">
        <v>10000</v>
      </c>
      <c r="D1245" s="2">
        <v>45735</v>
      </c>
      <c r="E1245" t="s">
        <v>61</v>
      </c>
      <c r="F1245" t="s">
        <v>4430</v>
      </c>
      <c r="G1245" t="s">
        <v>4431</v>
      </c>
      <c r="I1245">
        <v>1</v>
      </c>
      <c r="J1245" t="s">
        <v>63</v>
      </c>
      <c r="K1245" s="8">
        <v>75</v>
      </c>
      <c r="L1245" s="8" t="s">
        <v>6602</v>
      </c>
      <c r="M1245" s="8" t="s">
        <v>6630</v>
      </c>
      <c r="N1245" t="s">
        <v>459</v>
      </c>
      <c r="O1245" t="s">
        <v>6568</v>
      </c>
      <c r="P1245">
        <v>16</v>
      </c>
      <c r="Q1245">
        <f t="shared" si="316"/>
        <v>45.8</v>
      </c>
      <c r="R1245">
        <f t="shared" si="317"/>
        <v>0.76333333333333331</v>
      </c>
      <c r="S1245" s="2">
        <v>45735</v>
      </c>
      <c r="U1245">
        <v>13</v>
      </c>
      <c r="V1245">
        <v>208</v>
      </c>
      <c r="W1245" t="s">
        <v>65</v>
      </c>
      <c r="X1245" t="s">
        <v>3569</v>
      </c>
      <c r="Y1245">
        <v>0</v>
      </c>
      <c r="Z1245">
        <v>200</v>
      </c>
      <c r="AA1245">
        <v>8</v>
      </c>
      <c r="AB1245">
        <v>0</v>
      </c>
      <c r="AC1245">
        <v>0</v>
      </c>
      <c r="AD1245">
        <v>0</v>
      </c>
      <c r="AG1245">
        <v>0</v>
      </c>
      <c r="AP1245" t="s">
        <v>3570</v>
      </c>
      <c r="AQ1245" t="s">
        <v>661</v>
      </c>
      <c r="AR1245" t="s">
        <v>6660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BC1245" t="s">
        <v>69</v>
      </c>
      <c r="BD1245" t="s">
        <v>4435</v>
      </c>
      <c r="BE1245">
        <v>0</v>
      </c>
      <c r="BG1245" t="s">
        <v>661</v>
      </c>
      <c r="BJ1245" t="s">
        <v>4436</v>
      </c>
    </row>
    <row r="1246" spans="1:62" x14ac:dyDescent="0.35">
      <c r="A1246" t="s">
        <v>4437</v>
      </c>
      <c r="B1246">
        <v>10000</v>
      </c>
      <c r="C1246">
        <v>10000</v>
      </c>
      <c r="D1246" s="2">
        <v>45741</v>
      </c>
      <c r="E1246" t="s">
        <v>61</v>
      </c>
      <c r="F1246" t="s">
        <v>4438</v>
      </c>
      <c r="G1246" t="s">
        <v>4156</v>
      </c>
      <c r="I1246">
        <v>1</v>
      </c>
      <c r="J1246" t="s">
        <v>63</v>
      </c>
      <c r="K1246" s="8">
        <v>79</v>
      </c>
      <c r="L1246" s="8" t="s">
        <v>6608</v>
      </c>
      <c r="M1246" s="8" t="s">
        <v>6631</v>
      </c>
      <c r="N1246" t="s">
        <v>573</v>
      </c>
      <c r="O1246" t="s">
        <v>6547</v>
      </c>
      <c r="P1246" s="4">
        <v>4260</v>
      </c>
      <c r="Q1246">
        <f t="shared" ref="Q1246:Q1252" si="318">(P1246/20)+30</f>
        <v>243</v>
      </c>
      <c r="R1246">
        <f t="shared" si="317"/>
        <v>4.05</v>
      </c>
      <c r="S1246" s="2">
        <v>45735</v>
      </c>
      <c r="U1246">
        <v>54</v>
      </c>
      <c r="V1246" s="4">
        <v>230040</v>
      </c>
      <c r="W1246" t="s">
        <v>65</v>
      </c>
      <c r="X1246" t="s">
        <v>4439</v>
      </c>
      <c r="Y1246">
        <v>0</v>
      </c>
      <c r="Z1246" s="4">
        <v>200000</v>
      </c>
      <c r="AA1246" s="4">
        <v>30040</v>
      </c>
      <c r="AB1246">
        <v>0</v>
      </c>
      <c r="AC1246">
        <v>0</v>
      </c>
      <c r="AD1246">
        <v>0</v>
      </c>
      <c r="AG1246">
        <v>0</v>
      </c>
      <c r="AP1246" t="s">
        <v>4440</v>
      </c>
      <c r="AQ1246" t="s">
        <v>107</v>
      </c>
      <c r="AR1246" t="s">
        <v>6638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BC1246" t="s">
        <v>69</v>
      </c>
      <c r="BD1246" t="s">
        <v>4441</v>
      </c>
      <c r="BE1246">
        <v>0</v>
      </c>
      <c r="BG1246" t="s">
        <v>107</v>
      </c>
      <c r="BJ1246" t="s">
        <v>4442</v>
      </c>
    </row>
    <row r="1247" spans="1:62" x14ac:dyDescent="0.35">
      <c r="A1247" t="s">
        <v>4443</v>
      </c>
      <c r="B1247">
        <v>10000</v>
      </c>
      <c r="C1247">
        <v>10000</v>
      </c>
      <c r="D1247" s="2">
        <v>45741</v>
      </c>
      <c r="E1247" t="s">
        <v>61</v>
      </c>
      <c r="F1247" t="s">
        <v>4444</v>
      </c>
      <c r="G1247" t="s">
        <v>4156</v>
      </c>
      <c r="I1247">
        <v>1</v>
      </c>
      <c r="J1247" t="s">
        <v>63</v>
      </c>
      <c r="K1247" s="8">
        <v>79</v>
      </c>
      <c r="L1247" s="8" t="s">
        <v>6608</v>
      </c>
      <c r="M1247" s="8" t="s">
        <v>6631</v>
      </c>
      <c r="N1247" t="s">
        <v>573</v>
      </c>
      <c r="O1247" t="s">
        <v>6547</v>
      </c>
      <c r="P1247" s="4">
        <v>4260</v>
      </c>
      <c r="Q1247">
        <f t="shared" si="318"/>
        <v>243</v>
      </c>
      <c r="R1247">
        <f t="shared" si="317"/>
        <v>4.05</v>
      </c>
      <c r="S1247" s="2">
        <v>45735</v>
      </c>
      <c r="U1247">
        <v>27</v>
      </c>
      <c r="V1247" s="4">
        <v>115020</v>
      </c>
      <c r="W1247" t="s">
        <v>65</v>
      </c>
      <c r="X1247" t="s">
        <v>4445</v>
      </c>
      <c r="Y1247">
        <v>0</v>
      </c>
      <c r="Z1247" s="4">
        <v>100000</v>
      </c>
      <c r="AA1247" s="4">
        <v>15020</v>
      </c>
      <c r="AB1247">
        <v>0</v>
      </c>
      <c r="AC1247">
        <v>0</v>
      </c>
      <c r="AD1247">
        <v>0</v>
      </c>
      <c r="AG1247">
        <v>0</v>
      </c>
      <c r="AP1247" t="s">
        <v>4446</v>
      </c>
      <c r="AQ1247" t="s">
        <v>107</v>
      </c>
      <c r="AR1247" t="s">
        <v>6638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BC1247" t="s">
        <v>69</v>
      </c>
      <c r="BD1247" t="s">
        <v>4447</v>
      </c>
      <c r="BE1247">
        <v>0</v>
      </c>
      <c r="BG1247" t="s">
        <v>107</v>
      </c>
      <c r="BJ1247" t="s">
        <v>4448</v>
      </c>
    </row>
    <row r="1248" spans="1:62" x14ac:dyDescent="0.35">
      <c r="A1248" t="s">
        <v>4449</v>
      </c>
      <c r="B1248">
        <v>10000</v>
      </c>
      <c r="C1248">
        <v>10000</v>
      </c>
      <c r="D1248" s="2">
        <v>45741</v>
      </c>
      <c r="E1248" t="s">
        <v>61</v>
      </c>
      <c r="F1248" t="s">
        <v>4450</v>
      </c>
      <c r="G1248" t="s">
        <v>4156</v>
      </c>
      <c r="I1248">
        <v>1</v>
      </c>
      <c r="J1248" t="s">
        <v>63</v>
      </c>
      <c r="K1248" s="8">
        <v>79</v>
      </c>
      <c r="L1248" s="8" t="s">
        <v>6608</v>
      </c>
      <c r="M1248" s="8" t="s">
        <v>6631</v>
      </c>
      <c r="N1248" t="s">
        <v>573</v>
      </c>
      <c r="O1248" t="s">
        <v>6547</v>
      </c>
      <c r="P1248" s="4">
        <v>4260</v>
      </c>
      <c r="Q1248">
        <f t="shared" si="318"/>
        <v>243</v>
      </c>
      <c r="R1248">
        <f t="shared" si="317"/>
        <v>4.05</v>
      </c>
      <c r="S1248" s="2">
        <v>45735</v>
      </c>
      <c r="U1248">
        <v>81</v>
      </c>
      <c r="V1248" s="4">
        <v>345060</v>
      </c>
      <c r="W1248" t="s">
        <v>65</v>
      </c>
      <c r="X1248" t="s">
        <v>981</v>
      </c>
      <c r="Y1248">
        <v>0</v>
      </c>
      <c r="Z1248" s="4">
        <v>300000</v>
      </c>
      <c r="AA1248" s="4">
        <v>45060</v>
      </c>
      <c r="AB1248">
        <v>0</v>
      </c>
      <c r="AC1248">
        <v>0</v>
      </c>
      <c r="AD1248">
        <v>0</v>
      </c>
      <c r="AG1248">
        <v>0</v>
      </c>
      <c r="AP1248" t="s">
        <v>982</v>
      </c>
      <c r="AQ1248" t="s">
        <v>107</v>
      </c>
      <c r="AR1248" t="s">
        <v>6638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BC1248" t="s">
        <v>69</v>
      </c>
      <c r="BD1248" t="s">
        <v>4451</v>
      </c>
      <c r="BE1248">
        <v>0</v>
      </c>
      <c r="BG1248" t="s">
        <v>107</v>
      </c>
      <c r="BJ1248" t="s">
        <v>4452</v>
      </c>
    </row>
    <row r="1249" spans="1:62" x14ac:dyDescent="0.35">
      <c r="A1249" t="s">
        <v>4453</v>
      </c>
      <c r="B1249">
        <v>10000</v>
      </c>
      <c r="C1249">
        <v>10000</v>
      </c>
      <c r="D1249" s="2">
        <v>45744</v>
      </c>
      <c r="E1249" t="s">
        <v>61</v>
      </c>
      <c r="F1249" t="s">
        <v>4454</v>
      </c>
      <c r="G1249" t="s">
        <v>4218</v>
      </c>
      <c r="I1249">
        <v>1</v>
      </c>
      <c r="J1249" t="s">
        <v>63</v>
      </c>
      <c r="K1249" s="8">
        <v>79</v>
      </c>
      <c r="L1249" s="8" t="s">
        <v>6608</v>
      </c>
      <c r="M1249" s="8" t="s">
        <v>6631</v>
      </c>
      <c r="N1249" t="s">
        <v>573</v>
      </c>
      <c r="O1249" t="s">
        <v>6547</v>
      </c>
      <c r="P1249" s="4">
        <v>4108</v>
      </c>
      <c r="Q1249">
        <f t="shared" si="318"/>
        <v>235.4</v>
      </c>
      <c r="R1249">
        <f t="shared" si="317"/>
        <v>3.9233333333333333</v>
      </c>
      <c r="S1249" s="2">
        <v>45735</v>
      </c>
      <c r="U1249">
        <v>28</v>
      </c>
      <c r="V1249" s="4">
        <v>115024</v>
      </c>
      <c r="W1249" t="s">
        <v>65</v>
      </c>
      <c r="X1249" t="s">
        <v>4455</v>
      </c>
      <c r="Y1249">
        <v>0</v>
      </c>
      <c r="Z1249" s="4">
        <v>100000</v>
      </c>
      <c r="AA1249" s="4">
        <v>15024</v>
      </c>
      <c r="AB1249">
        <v>0</v>
      </c>
      <c r="AC1249">
        <v>0</v>
      </c>
      <c r="AD1249">
        <v>0</v>
      </c>
      <c r="AG1249">
        <v>0</v>
      </c>
      <c r="AP1249" t="s">
        <v>4456</v>
      </c>
      <c r="AQ1249" t="s">
        <v>107</v>
      </c>
      <c r="AR1249" t="s">
        <v>6638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BC1249" t="s">
        <v>69</v>
      </c>
      <c r="BD1249" t="s">
        <v>4457</v>
      </c>
      <c r="BE1249">
        <v>0</v>
      </c>
      <c r="BG1249" t="s">
        <v>107</v>
      </c>
      <c r="BJ1249" t="s">
        <v>4458</v>
      </c>
    </row>
    <row r="1250" spans="1:62" x14ac:dyDescent="0.35">
      <c r="A1250" t="s">
        <v>4459</v>
      </c>
      <c r="B1250">
        <v>10000</v>
      </c>
      <c r="C1250">
        <v>10000</v>
      </c>
      <c r="D1250" s="2">
        <v>45744</v>
      </c>
      <c r="E1250" t="s">
        <v>61</v>
      </c>
      <c r="F1250" t="s">
        <v>4460</v>
      </c>
      <c r="G1250" t="s">
        <v>4218</v>
      </c>
      <c r="I1250">
        <v>1</v>
      </c>
      <c r="J1250" t="s">
        <v>63</v>
      </c>
      <c r="K1250" s="8">
        <v>79</v>
      </c>
      <c r="L1250" s="8" t="s">
        <v>6608</v>
      </c>
      <c r="M1250" s="8" t="s">
        <v>6631</v>
      </c>
      <c r="N1250" t="s">
        <v>573</v>
      </c>
      <c r="O1250" t="s">
        <v>6547</v>
      </c>
      <c r="P1250" s="4">
        <v>4108</v>
      </c>
      <c r="Q1250">
        <f t="shared" si="318"/>
        <v>235.4</v>
      </c>
      <c r="R1250">
        <f t="shared" si="317"/>
        <v>3.9233333333333333</v>
      </c>
      <c r="S1250" s="2">
        <v>45735</v>
      </c>
      <c r="U1250">
        <v>28</v>
      </c>
      <c r="V1250" s="4">
        <v>115024</v>
      </c>
      <c r="W1250" t="s">
        <v>65</v>
      </c>
      <c r="X1250" t="s">
        <v>1527</v>
      </c>
      <c r="Y1250">
        <v>0</v>
      </c>
      <c r="Z1250" s="4">
        <v>100000</v>
      </c>
      <c r="AA1250" s="4">
        <v>15024</v>
      </c>
      <c r="AB1250">
        <v>0</v>
      </c>
      <c r="AC1250">
        <v>0</v>
      </c>
      <c r="AD1250">
        <v>0</v>
      </c>
      <c r="AG1250">
        <v>0</v>
      </c>
      <c r="AP1250" t="s">
        <v>1528</v>
      </c>
      <c r="AQ1250" t="s">
        <v>107</v>
      </c>
      <c r="AR1250" t="s">
        <v>6638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BC1250" t="s">
        <v>69</v>
      </c>
      <c r="BD1250" t="s">
        <v>4461</v>
      </c>
      <c r="BE1250">
        <v>0</v>
      </c>
      <c r="BG1250" t="s">
        <v>107</v>
      </c>
      <c r="BJ1250" t="s">
        <v>4462</v>
      </c>
    </row>
    <row r="1251" spans="1:62" x14ac:dyDescent="0.35">
      <c r="A1251" t="s">
        <v>4463</v>
      </c>
      <c r="B1251">
        <v>10000</v>
      </c>
      <c r="C1251">
        <v>10000</v>
      </c>
      <c r="D1251" s="2">
        <v>45744</v>
      </c>
      <c r="E1251" t="s">
        <v>61</v>
      </c>
      <c r="F1251" t="s">
        <v>4464</v>
      </c>
      <c r="G1251" t="s">
        <v>4218</v>
      </c>
      <c r="I1251">
        <v>1</v>
      </c>
      <c r="J1251" t="s">
        <v>63</v>
      </c>
      <c r="K1251" s="8">
        <v>79</v>
      </c>
      <c r="L1251" s="8" t="s">
        <v>6608</v>
      </c>
      <c r="M1251" s="8" t="s">
        <v>6631</v>
      </c>
      <c r="N1251" t="s">
        <v>573</v>
      </c>
      <c r="O1251" t="s">
        <v>6547</v>
      </c>
      <c r="P1251" s="4">
        <v>4108</v>
      </c>
      <c r="Q1251">
        <f t="shared" si="318"/>
        <v>235.4</v>
      </c>
      <c r="R1251">
        <f t="shared" si="317"/>
        <v>3.9233333333333333</v>
      </c>
      <c r="S1251" s="2">
        <v>45735</v>
      </c>
      <c r="U1251">
        <v>28</v>
      </c>
      <c r="V1251" s="4">
        <v>115024</v>
      </c>
      <c r="W1251" t="s">
        <v>65</v>
      </c>
      <c r="X1251" t="s">
        <v>1334</v>
      </c>
      <c r="Y1251">
        <v>0</v>
      </c>
      <c r="Z1251" s="4">
        <v>100000</v>
      </c>
      <c r="AA1251" s="4">
        <v>15024</v>
      </c>
      <c r="AB1251">
        <v>0</v>
      </c>
      <c r="AC1251">
        <v>0</v>
      </c>
      <c r="AD1251">
        <v>0</v>
      </c>
      <c r="AG1251">
        <v>0</v>
      </c>
      <c r="AP1251" t="s">
        <v>1335</v>
      </c>
      <c r="AQ1251" t="s">
        <v>107</v>
      </c>
      <c r="AR1251" t="s">
        <v>6638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BC1251" t="s">
        <v>69</v>
      </c>
      <c r="BD1251" t="s">
        <v>4465</v>
      </c>
      <c r="BE1251">
        <v>0</v>
      </c>
      <c r="BG1251" t="s">
        <v>107</v>
      </c>
      <c r="BJ1251" t="s">
        <v>4466</v>
      </c>
    </row>
    <row r="1252" spans="1:62" x14ac:dyDescent="0.35">
      <c r="A1252" t="s">
        <v>4467</v>
      </c>
      <c r="B1252">
        <v>10000</v>
      </c>
      <c r="C1252">
        <v>10000</v>
      </c>
      <c r="D1252" s="2">
        <v>45740</v>
      </c>
      <c r="E1252" t="s">
        <v>61</v>
      </c>
      <c r="F1252" t="s">
        <v>4468</v>
      </c>
      <c r="G1252">
        <v>10620258039</v>
      </c>
      <c r="I1252">
        <v>1</v>
      </c>
      <c r="J1252" t="s">
        <v>63</v>
      </c>
      <c r="K1252" s="8">
        <v>79</v>
      </c>
      <c r="L1252" s="8" t="s">
        <v>6608</v>
      </c>
      <c r="M1252" s="8" t="s">
        <v>6631</v>
      </c>
      <c r="N1252" t="s">
        <v>573</v>
      </c>
      <c r="O1252" t="s">
        <v>6547</v>
      </c>
      <c r="P1252">
        <v>167</v>
      </c>
      <c r="Q1252">
        <f t="shared" si="318"/>
        <v>38.35</v>
      </c>
      <c r="R1252">
        <f t="shared" si="317"/>
        <v>0.63916666666666666</v>
      </c>
      <c r="S1252" s="2">
        <v>45735</v>
      </c>
      <c r="U1252">
        <v>36</v>
      </c>
      <c r="V1252" s="4">
        <v>6012</v>
      </c>
      <c r="W1252" t="s">
        <v>65</v>
      </c>
      <c r="X1252" t="s">
        <v>4469</v>
      </c>
      <c r="Y1252">
        <v>0</v>
      </c>
      <c r="Z1252" s="4">
        <v>3000</v>
      </c>
      <c r="AA1252" s="4">
        <v>3012</v>
      </c>
      <c r="AB1252">
        <v>0</v>
      </c>
      <c r="AC1252">
        <v>0</v>
      </c>
      <c r="AD1252">
        <v>0</v>
      </c>
      <c r="AG1252">
        <v>0</v>
      </c>
      <c r="AP1252" t="s">
        <v>4470</v>
      </c>
      <c r="AQ1252" t="s">
        <v>68</v>
      </c>
      <c r="AR1252" t="s">
        <v>6636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BC1252" t="s">
        <v>69</v>
      </c>
      <c r="BD1252" t="s">
        <v>4471</v>
      </c>
      <c r="BE1252">
        <v>0</v>
      </c>
      <c r="BG1252" t="s">
        <v>68</v>
      </c>
      <c r="BJ1252" t="s">
        <v>4472</v>
      </c>
    </row>
    <row r="1253" spans="1:62" x14ac:dyDescent="0.35">
      <c r="A1253" t="s">
        <v>4473</v>
      </c>
      <c r="B1253">
        <v>10000</v>
      </c>
      <c r="C1253">
        <v>10000</v>
      </c>
      <c r="D1253" s="2">
        <v>45736</v>
      </c>
      <c r="E1253" t="s">
        <v>61</v>
      </c>
      <c r="F1253" t="s">
        <v>4408</v>
      </c>
      <c r="G1253" t="s">
        <v>1457</v>
      </c>
      <c r="I1253">
        <v>1</v>
      </c>
      <c r="J1253" t="s">
        <v>63</v>
      </c>
      <c r="K1253" s="8">
        <v>78</v>
      </c>
      <c r="L1253" s="8" t="s">
        <v>6593</v>
      </c>
      <c r="M1253" s="8" t="s">
        <v>6629</v>
      </c>
      <c r="N1253" t="s">
        <v>188</v>
      </c>
      <c r="O1253" t="s">
        <v>6410</v>
      </c>
      <c r="P1253">
        <v>17</v>
      </c>
      <c r="Q1253">
        <f t="shared" ref="Q1253:Q1255" si="319">(P1253/40)+45</f>
        <v>45.424999999999997</v>
      </c>
      <c r="R1253">
        <f t="shared" si="317"/>
        <v>0.75708333333333333</v>
      </c>
      <c r="S1253" s="2">
        <v>45735</v>
      </c>
      <c r="U1253">
        <v>3</v>
      </c>
      <c r="V1253">
        <v>51</v>
      </c>
      <c r="W1253" t="s">
        <v>65</v>
      </c>
      <c r="X1253" t="s">
        <v>4474</v>
      </c>
      <c r="Y1253">
        <v>0</v>
      </c>
      <c r="Z1253">
        <v>50</v>
      </c>
      <c r="AA1253">
        <v>1</v>
      </c>
      <c r="AB1253">
        <v>0</v>
      </c>
      <c r="AC1253">
        <v>0</v>
      </c>
      <c r="AD1253">
        <v>0</v>
      </c>
      <c r="AG1253">
        <v>0</v>
      </c>
      <c r="AP1253" t="s">
        <v>4475</v>
      </c>
      <c r="AQ1253" t="s">
        <v>206</v>
      </c>
      <c r="AR1253" t="s">
        <v>6645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BC1253" t="s">
        <v>69</v>
      </c>
      <c r="BD1253" t="s">
        <v>4476</v>
      </c>
      <c r="BE1253">
        <v>0</v>
      </c>
      <c r="BG1253" t="s">
        <v>206</v>
      </c>
      <c r="BJ1253" t="s">
        <v>4477</v>
      </c>
    </row>
    <row r="1254" spans="1:62" x14ac:dyDescent="0.35">
      <c r="A1254" t="s">
        <v>4478</v>
      </c>
      <c r="B1254">
        <v>10000</v>
      </c>
      <c r="C1254">
        <v>10000</v>
      </c>
      <c r="D1254" s="2">
        <v>45736</v>
      </c>
      <c r="E1254" t="s">
        <v>61</v>
      </c>
      <c r="F1254" t="s">
        <v>4202</v>
      </c>
      <c r="G1254" t="s">
        <v>418</v>
      </c>
      <c r="I1254">
        <v>1</v>
      </c>
      <c r="J1254" t="s">
        <v>63</v>
      </c>
      <c r="K1254" s="8">
        <v>59</v>
      </c>
      <c r="L1254" s="8" t="s">
        <v>6592</v>
      </c>
      <c r="M1254" s="8" t="s">
        <v>6629</v>
      </c>
      <c r="N1254" t="s">
        <v>745</v>
      </c>
      <c r="O1254" t="s">
        <v>6501</v>
      </c>
      <c r="P1254">
        <v>200</v>
      </c>
      <c r="Q1254">
        <f t="shared" si="319"/>
        <v>50</v>
      </c>
      <c r="R1254">
        <f t="shared" si="317"/>
        <v>0.83333333333333337</v>
      </c>
      <c r="S1254" s="2">
        <v>45735</v>
      </c>
      <c r="U1254">
        <v>10</v>
      </c>
      <c r="V1254" s="4">
        <v>2000</v>
      </c>
      <c r="W1254" t="s">
        <v>65</v>
      </c>
      <c r="X1254">
        <v>112023530001</v>
      </c>
      <c r="Y1254">
        <v>0</v>
      </c>
      <c r="Z1254" s="4">
        <v>2000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>
        <v>11202353</v>
      </c>
      <c r="AQ1254" t="s">
        <v>182</v>
      </c>
      <c r="AR1254" t="s">
        <v>6643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BC1254" t="s">
        <v>69</v>
      </c>
      <c r="BD1254" t="s">
        <v>4479</v>
      </c>
      <c r="BE1254">
        <v>0</v>
      </c>
      <c r="BG1254" t="s">
        <v>182</v>
      </c>
      <c r="BJ1254" t="s">
        <v>4480</v>
      </c>
    </row>
    <row r="1255" spans="1:62" x14ac:dyDescent="0.35">
      <c r="A1255" t="s">
        <v>4481</v>
      </c>
      <c r="B1255">
        <v>10000</v>
      </c>
      <c r="C1255">
        <v>10000</v>
      </c>
      <c r="D1255" s="2">
        <v>45736</v>
      </c>
      <c r="E1255" t="s">
        <v>61</v>
      </c>
      <c r="F1255" t="s">
        <v>4202</v>
      </c>
      <c r="G1255" t="s">
        <v>418</v>
      </c>
      <c r="I1255">
        <v>1</v>
      </c>
      <c r="J1255" t="s">
        <v>63</v>
      </c>
      <c r="K1255" s="8">
        <v>59</v>
      </c>
      <c r="L1255" s="8" t="s">
        <v>6592</v>
      </c>
      <c r="M1255" s="8" t="s">
        <v>6629</v>
      </c>
      <c r="N1255" t="s">
        <v>745</v>
      </c>
      <c r="O1255" t="s">
        <v>6501</v>
      </c>
      <c r="P1255">
        <v>400</v>
      </c>
      <c r="Q1255">
        <f t="shared" si="319"/>
        <v>55</v>
      </c>
      <c r="R1255">
        <f t="shared" si="317"/>
        <v>0.91666666666666663</v>
      </c>
      <c r="S1255" s="2">
        <v>45735</v>
      </c>
      <c r="U1255">
        <v>10</v>
      </c>
      <c r="V1255" s="4">
        <v>4000</v>
      </c>
      <c r="W1255" t="s">
        <v>65</v>
      </c>
      <c r="X1255">
        <v>112023530001</v>
      </c>
      <c r="Y1255">
        <v>0</v>
      </c>
      <c r="Z1255" s="4">
        <v>4000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>
        <v>11202353</v>
      </c>
      <c r="AQ1255" t="s">
        <v>182</v>
      </c>
      <c r="AR1255" t="s">
        <v>6643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BC1255" t="s">
        <v>69</v>
      </c>
      <c r="BD1255" t="s">
        <v>4482</v>
      </c>
      <c r="BE1255">
        <v>0</v>
      </c>
      <c r="BG1255" t="s">
        <v>182</v>
      </c>
      <c r="BJ1255" t="s">
        <v>4483</v>
      </c>
    </row>
    <row r="1256" spans="1:62" x14ac:dyDescent="0.35">
      <c r="A1256" t="s">
        <v>4485</v>
      </c>
      <c r="B1256">
        <v>10000</v>
      </c>
      <c r="C1256">
        <v>10000</v>
      </c>
      <c r="D1256" s="2">
        <v>45737</v>
      </c>
      <c r="E1256" t="s">
        <v>61</v>
      </c>
      <c r="F1256" t="s">
        <v>4486</v>
      </c>
      <c r="G1256" t="s">
        <v>89</v>
      </c>
      <c r="H1256" t="s">
        <v>4487</v>
      </c>
      <c r="I1256">
        <v>1</v>
      </c>
      <c r="J1256" t="s">
        <v>69</v>
      </c>
      <c r="K1256" s="8">
        <v>73</v>
      </c>
      <c r="L1256" s="8" t="s">
        <v>6586</v>
      </c>
      <c r="M1256" s="8" t="s">
        <v>6627</v>
      </c>
      <c r="N1256" t="s">
        <v>90</v>
      </c>
      <c r="O1256" t="s">
        <v>6564</v>
      </c>
      <c r="P1256" s="4">
        <v>18000</v>
      </c>
      <c r="Q1256">
        <f>(P1256/60)+45</f>
        <v>345</v>
      </c>
      <c r="R1256">
        <f>Q1256/60</f>
        <v>5.75</v>
      </c>
      <c r="S1256" s="2">
        <v>45736</v>
      </c>
      <c r="U1256">
        <v>12</v>
      </c>
      <c r="V1256" s="4">
        <v>216000</v>
      </c>
      <c r="W1256" t="s">
        <v>65</v>
      </c>
      <c r="X1256">
        <v>80256230001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G1256">
        <v>0</v>
      </c>
      <c r="AK1256" t="s">
        <v>69</v>
      </c>
      <c r="AL1256">
        <v>0</v>
      </c>
      <c r="AM1256" t="s">
        <v>69</v>
      </c>
      <c r="AP1256">
        <v>8025623</v>
      </c>
      <c r="AQ1256" t="s">
        <v>91</v>
      </c>
      <c r="AR1256" t="s">
        <v>6637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BC1256" t="s">
        <v>69</v>
      </c>
      <c r="BG1256" t="s">
        <v>91</v>
      </c>
      <c r="BJ1256" t="s">
        <v>4488</v>
      </c>
    </row>
    <row r="1257" spans="1:62" x14ac:dyDescent="0.35">
      <c r="A1257" t="s">
        <v>4139</v>
      </c>
      <c r="B1257">
        <v>10000</v>
      </c>
      <c r="C1257">
        <v>20000</v>
      </c>
      <c r="D1257" s="2">
        <v>45762</v>
      </c>
      <c r="E1257" t="s">
        <v>61</v>
      </c>
      <c r="F1257" t="s">
        <v>4140</v>
      </c>
      <c r="G1257" t="s">
        <v>4141</v>
      </c>
      <c r="H1257" t="s">
        <v>4142</v>
      </c>
      <c r="I1257">
        <v>1</v>
      </c>
      <c r="J1257" t="s">
        <v>69</v>
      </c>
      <c r="K1257" s="8">
        <v>79</v>
      </c>
      <c r="L1257" t="s">
        <v>6608</v>
      </c>
      <c r="M1257" s="8" t="s">
        <v>6631</v>
      </c>
      <c r="N1257" t="s">
        <v>2315</v>
      </c>
      <c r="O1257" t="s">
        <v>6540</v>
      </c>
      <c r="P1257" s="4">
        <v>7515</v>
      </c>
      <c r="S1257" s="2">
        <v>45736</v>
      </c>
      <c r="U1257">
        <v>35</v>
      </c>
      <c r="V1257" s="4">
        <v>263025</v>
      </c>
      <c r="W1257" t="s">
        <v>65</v>
      </c>
      <c r="X1257" t="s">
        <v>147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G1257">
        <v>0</v>
      </c>
      <c r="AK1257" t="s">
        <v>69</v>
      </c>
      <c r="AL1257">
        <v>0</v>
      </c>
      <c r="AM1257" t="s">
        <v>69</v>
      </c>
      <c r="AP1257" t="s">
        <v>148</v>
      </c>
      <c r="AQ1257" t="s">
        <v>107</v>
      </c>
      <c r="AR1257" t="s">
        <v>6638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BC1257" t="s">
        <v>69</v>
      </c>
      <c r="BG1257" t="s">
        <v>107</v>
      </c>
      <c r="BJ1257" t="s">
        <v>4143</v>
      </c>
    </row>
    <row r="1258" spans="1:62" x14ac:dyDescent="0.35">
      <c r="A1258" t="s">
        <v>4489</v>
      </c>
      <c r="B1258">
        <v>10000</v>
      </c>
      <c r="C1258">
        <v>10000</v>
      </c>
      <c r="D1258" s="2">
        <v>45754</v>
      </c>
      <c r="E1258" t="s">
        <v>61</v>
      </c>
      <c r="F1258" t="s">
        <v>4490</v>
      </c>
      <c r="G1258">
        <v>10620258046</v>
      </c>
      <c r="H1258" t="s">
        <v>2791</v>
      </c>
      <c r="I1258">
        <v>1</v>
      </c>
      <c r="J1258" t="s">
        <v>69</v>
      </c>
      <c r="K1258" s="8">
        <v>79</v>
      </c>
      <c r="L1258" s="8" t="s">
        <v>6608</v>
      </c>
      <c r="M1258" s="8" t="s">
        <v>6631</v>
      </c>
      <c r="N1258" t="s">
        <v>573</v>
      </c>
      <c r="O1258" t="s">
        <v>6547</v>
      </c>
      <c r="P1258">
        <v>384</v>
      </c>
      <c r="Q1258">
        <f t="shared" ref="Q1258:Q1261" si="320">(P1258/20)+30</f>
        <v>49.2</v>
      </c>
      <c r="R1258">
        <f t="shared" ref="R1258:R1261" si="321">Q1258/60</f>
        <v>0.82000000000000006</v>
      </c>
      <c r="S1258" s="2">
        <v>45736</v>
      </c>
      <c r="U1258">
        <v>308</v>
      </c>
      <c r="V1258" s="4">
        <v>118272</v>
      </c>
      <c r="W1258" t="s">
        <v>65</v>
      </c>
      <c r="X1258" t="s">
        <v>4491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G1258">
        <v>0</v>
      </c>
      <c r="AK1258" t="s">
        <v>69</v>
      </c>
      <c r="AL1258">
        <v>0</v>
      </c>
      <c r="AM1258" t="s">
        <v>69</v>
      </c>
      <c r="AP1258" t="s">
        <v>4492</v>
      </c>
      <c r="AQ1258" t="s">
        <v>107</v>
      </c>
      <c r="AR1258" t="s">
        <v>6638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BC1258" t="s">
        <v>69</v>
      </c>
      <c r="BG1258" t="s">
        <v>107</v>
      </c>
      <c r="BJ1258" t="s">
        <v>4493</v>
      </c>
    </row>
    <row r="1259" spans="1:62" x14ac:dyDescent="0.35">
      <c r="A1259" t="s">
        <v>4494</v>
      </c>
      <c r="B1259">
        <v>10000</v>
      </c>
      <c r="C1259">
        <v>10000</v>
      </c>
      <c r="D1259" s="2">
        <v>45754</v>
      </c>
      <c r="E1259" t="s">
        <v>61</v>
      </c>
      <c r="F1259" t="s">
        <v>4495</v>
      </c>
      <c r="G1259">
        <v>10620258046</v>
      </c>
      <c r="H1259" t="s">
        <v>2791</v>
      </c>
      <c r="I1259">
        <v>1</v>
      </c>
      <c r="J1259" t="s">
        <v>69</v>
      </c>
      <c r="K1259" s="8">
        <v>79</v>
      </c>
      <c r="L1259" s="8" t="s">
        <v>6608</v>
      </c>
      <c r="M1259" s="8" t="s">
        <v>6631</v>
      </c>
      <c r="N1259" t="s">
        <v>573</v>
      </c>
      <c r="O1259" t="s">
        <v>6547</v>
      </c>
      <c r="P1259">
        <v>384</v>
      </c>
      <c r="Q1259">
        <f t="shared" si="320"/>
        <v>49.2</v>
      </c>
      <c r="R1259">
        <f t="shared" si="321"/>
        <v>0.82000000000000006</v>
      </c>
      <c r="S1259" s="2">
        <v>45736</v>
      </c>
      <c r="U1259">
        <v>308</v>
      </c>
      <c r="V1259" s="4">
        <v>118272</v>
      </c>
      <c r="W1259" t="s">
        <v>65</v>
      </c>
      <c r="X1259" t="s">
        <v>4496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G1259">
        <v>0</v>
      </c>
      <c r="AK1259" t="s">
        <v>69</v>
      </c>
      <c r="AL1259">
        <v>0</v>
      </c>
      <c r="AM1259" t="s">
        <v>69</v>
      </c>
      <c r="AP1259" t="s">
        <v>4497</v>
      </c>
      <c r="AQ1259" t="s">
        <v>107</v>
      </c>
      <c r="AR1259" t="s">
        <v>6638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BC1259" t="s">
        <v>69</v>
      </c>
      <c r="BG1259" t="s">
        <v>107</v>
      </c>
      <c r="BJ1259" t="s">
        <v>4498</v>
      </c>
    </row>
    <row r="1260" spans="1:62" x14ac:dyDescent="0.35">
      <c r="A1260" t="s">
        <v>4499</v>
      </c>
      <c r="B1260">
        <v>10000</v>
      </c>
      <c r="C1260">
        <v>10000</v>
      </c>
      <c r="D1260" s="2">
        <v>45754</v>
      </c>
      <c r="E1260" t="s">
        <v>61</v>
      </c>
      <c r="F1260" t="s">
        <v>4500</v>
      </c>
      <c r="G1260">
        <v>10656256096</v>
      </c>
      <c r="H1260" t="s">
        <v>2791</v>
      </c>
      <c r="I1260">
        <v>1</v>
      </c>
      <c r="J1260" t="s">
        <v>69</v>
      </c>
      <c r="K1260" s="8">
        <v>79</v>
      </c>
      <c r="L1260" s="8" t="s">
        <v>6608</v>
      </c>
      <c r="M1260" s="8" t="s">
        <v>6631</v>
      </c>
      <c r="N1260" t="s">
        <v>573</v>
      </c>
      <c r="O1260" t="s">
        <v>6547</v>
      </c>
      <c r="P1260">
        <v>384</v>
      </c>
      <c r="Q1260">
        <f t="shared" si="320"/>
        <v>49.2</v>
      </c>
      <c r="R1260">
        <f t="shared" si="321"/>
        <v>0.82000000000000006</v>
      </c>
      <c r="S1260" s="2">
        <v>45736</v>
      </c>
      <c r="U1260">
        <v>308</v>
      </c>
      <c r="V1260" s="4">
        <v>118272</v>
      </c>
      <c r="W1260" t="s">
        <v>65</v>
      </c>
      <c r="X1260" t="s">
        <v>4501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G1260">
        <v>0</v>
      </c>
      <c r="AK1260" t="s">
        <v>69</v>
      </c>
      <c r="AL1260">
        <v>0</v>
      </c>
      <c r="AM1260" t="s">
        <v>69</v>
      </c>
      <c r="AP1260" t="s">
        <v>4502</v>
      </c>
      <c r="AQ1260" t="s">
        <v>107</v>
      </c>
      <c r="AR1260" t="s">
        <v>6638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BC1260" t="s">
        <v>69</v>
      </c>
      <c r="BG1260" t="s">
        <v>107</v>
      </c>
      <c r="BJ1260" t="s">
        <v>4503</v>
      </c>
    </row>
    <row r="1261" spans="1:62" x14ac:dyDescent="0.35">
      <c r="A1261" t="s">
        <v>4504</v>
      </c>
      <c r="B1261">
        <v>10000</v>
      </c>
      <c r="C1261">
        <v>10000</v>
      </c>
      <c r="D1261" s="2">
        <v>45754</v>
      </c>
      <c r="E1261" t="s">
        <v>61</v>
      </c>
      <c r="F1261" t="s">
        <v>4505</v>
      </c>
      <c r="G1261">
        <v>10620258039</v>
      </c>
      <c r="H1261" t="s">
        <v>4506</v>
      </c>
      <c r="I1261">
        <v>1</v>
      </c>
      <c r="J1261" t="s">
        <v>69</v>
      </c>
      <c r="K1261" s="8">
        <v>79</v>
      </c>
      <c r="L1261" s="8" t="s">
        <v>6608</v>
      </c>
      <c r="M1261" s="8" t="s">
        <v>6631</v>
      </c>
      <c r="N1261" t="s">
        <v>573</v>
      </c>
      <c r="O1261" t="s">
        <v>6547</v>
      </c>
      <c r="P1261">
        <v>879</v>
      </c>
      <c r="Q1261">
        <f t="shared" si="320"/>
        <v>73.95</v>
      </c>
      <c r="R1261">
        <f t="shared" si="321"/>
        <v>1.2325000000000002</v>
      </c>
      <c r="S1261" s="2">
        <v>45736</v>
      </c>
      <c r="U1261">
        <v>264</v>
      </c>
      <c r="V1261" s="4">
        <v>232056</v>
      </c>
      <c r="W1261" t="s">
        <v>65</v>
      </c>
      <c r="X1261" t="s">
        <v>4507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G1261">
        <v>0</v>
      </c>
      <c r="AK1261" t="s">
        <v>69</v>
      </c>
      <c r="AL1261">
        <v>0</v>
      </c>
      <c r="AM1261" t="s">
        <v>69</v>
      </c>
      <c r="AP1261" t="s">
        <v>4508</v>
      </c>
      <c r="AQ1261" t="s">
        <v>107</v>
      </c>
      <c r="AR1261" t="s">
        <v>6638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BC1261" t="s">
        <v>69</v>
      </c>
      <c r="BG1261" t="s">
        <v>107</v>
      </c>
      <c r="BJ1261" t="s">
        <v>4509</v>
      </c>
    </row>
    <row r="1262" spans="1:62" x14ac:dyDescent="0.35">
      <c r="A1262" t="s">
        <v>4154</v>
      </c>
      <c r="B1262">
        <v>10000</v>
      </c>
      <c r="C1262">
        <v>20000</v>
      </c>
      <c r="D1262" s="2">
        <v>45741</v>
      </c>
      <c r="E1262" t="s">
        <v>61</v>
      </c>
      <c r="F1262" t="s">
        <v>4155</v>
      </c>
      <c r="G1262" t="s">
        <v>4156</v>
      </c>
      <c r="H1262" t="s">
        <v>4150</v>
      </c>
      <c r="I1262">
        <v>2</v>
      </c>
      <c r="J1262" t="s">
        <v>69</v>
      </c>
      <c r="K1262" s="8">
        <v>77</v>
      </c>
      <c r="L1262" s="8" t="s">
        <v>6584</v>
      </c>
      <c r="M1262" s="8" t="s">
        <v>6627</v>
      </c>
      <c r="N1262" t="s">
        <v>127</v>
      </c>
      <c r="O1262" t="s">
        <v>6567</v>
      </c>
      <c r="P1262" s="4">
        <v>1250</v>
      </c>
      <c r="Q1262">
        <f>(P1262/60)+45</f>
        <v>65.833333333333329</v>
      </c>
      <c r="R1262">
        <f>Q1262/60</f>
        <v>1.0972222222222221</v>
      </c>
      <c r="S1262" s="2">
        <v>45736</v>
      </c>
      <c r="U1262">
        <v>88</v>
      </c>
      <c r="V1262" s="4">
        <v>110000</v>
      </c>
      <c r="W1262" t="s">
        <v>65</v>
      </c>
      <c r="X1262" t="s">
        <v>4157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G1262">
        <v>0</v>
      </c>
      <c r="AK1262" t="s">
        <v>69</v>
      </c>
      <c r="AL1262">
        <v>0</v>
      </c>
      <c r="AM1262" t="s">
        <v>69</v>
      </c>
      <c r="AP1262" t="s">
        <v>4158</v>
      </c>
      <c r="AQ1262" t="s">
        <v>107</v>
      </c>
      <c r="AR1262" t="s">
        <v>6638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BC1262" t="s">
        <v>69</v>
      </c>
      <c r="BG1262" t="s">
        <v>107</v>
      </c>
      <c r="BJ1262" t="s">
        <v>4159</v>
      </c>
    </row>
    <row r="1263" spans="1:62" x14ac:dyDescent="0.35">
      <c r="A1263" t="s">
        <v>4510</v>
      </c>
      <c r="B1263">
        <v>10000</v>
      </c>
      <c r="C1263">
        <v>10000</v>
      </c>
      <c r="D1263" s="2">
        <v>45736</v>
      </c>
      <c r="E1263" t="s">
        <v>61</v>
      </c>
      <c r="F1263" t="s">
        <v>4511</v>
      </c>
      <c r="G1263" t="s">
        <v>2773</v>
      </c>
      <c r="H1263" t="s">
        <v>1577</v>
      </c>
      <c r="I1263">
        <v>1</v>
      </c>
      <c r="J1263" t="s">
        <v>69</v>
      </c>
      <c r="K1263" s="8">
        <v>82</v>
      </c>
      <c r="L1263" s="8" t="s">
        <v>6598</v>
      </c>
      <c r="M1263" s="8" t="s">
        <v>6630</v>
      </c>
      <c r="N1263" t="s">
        <v>341</v>
      </c>
      <c r="O1263" t="s">
        <v>6346</v>
      </c>
      <c r="P1263" s="4">
        <v>8000</v>
      </c>
      <c r="S1263" s="2">
        <v>45736</v>
      </c>
      <c r="U1263">
        <v>6</v>
      </c>
      <c r="V1263" s="4">
        <v>48000</v>
      </c>
      <c r="W1263" t="s">
        <v>65</v>
      </c>
      <c r="X1263" t="s">
        <v>1583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G1263">
        <v>0</v>
      </c>
      <c r="AK1263" t="s">
        <v>69</v>
      </c>
      <c r="AL1263">
        <v>0</v>
      </c>
      <c r="AM1263" t="s">
        <v>69</v>
      </c>
      <c r="AP1263" t="s">
        <v>1584</v>
      </c>
      <c r="AQ1263" t="s">
        <v>364</v>
      </c>
      <c r="AR1263" t="s">
        <v>6653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BC1263" t="s">
        <v>69</v>
      </c>
      <c r="BG1263" t="s">
        <v>364</v>
      </c>
      <c r="BJ1263" t="s">
        <v>4512</v>
      </c>
    </row>
    <row r="1264" spans="1:62" x14ac:dyDescent="0.35">
      <c r="A1264" t="s">
        <v>4513</v>
      </c>
      <c r="B1264">
        <v>10000</v>
      </c>
      <c r="C1264">
        <v>10000</v>
      </c>
      <c r="D1264" s="2">
        <v>45742</v>
      </c>
      <c r="E1264" t="s">
        <v>61</v>
      </c>
      <c r="F1264" s="3">
        <v>0.46068287037037037</v>
      </c>
      <c r="G1264" t="s">
        <v>4514</v>
      </c>
      <c r="H1264" t="s">
        <v>1577</v>
      </c>
      <c r="I1264">
        <v>1</v>
      </c>
      <c r="J1264" t="s">
        <v>69</v>
      </c>
      <c r="K1264" s="8">
        <v>82</v>
      </c>
      <c r="L1264" s="8" t="s">
        <v>6598</v>
      </c>
      <c r="M1264" s="8" t="s">
        <v>6630</v>
      </c>
      <c r="N1264" t="s">
        <v>341</v>
      </c>
      <c r="O1264" t="s">
        <v>6346</v>
      </c>
      <c r="P1264" s="4">
        <v>8000</v>
      </c>
      <c r="S1264" s="2">
        <v>45736</v>
      </c>
      <c r="U1264">
        <v>6</v>
      </c>
      <c r="V1264" s="4">
        <v>48000</v>
      </c>
      <c r="W1264" t="s">
        <v>65</v>
      </c>
      <c r="X1264" t="s">
        <v>1583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G1264">
        <v>0</v>
      </c>
      <c r="AK1264" t="s">
        <v>69</v>
      </c>
      <c r="AL1264">
        <v>0</v>
      </c>
      <c r="AM1264" t="s">
        <v>69</v>
      </c>
      <c r="AP1264" t="s">
        <v>1584</v>
      </c>
      <c r="AQ1264" t="s">
        <v>364</v>
      </c>
      <c r="AR1264" t="s">
        <v>6653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C1264" t="s">
        <v>69</v>
      </c>
      <c r="BG1264" t="s">
        <v>364</v>
      </c>
      <c r="BJ1264" t="s">
        <v>4515</v>
      </c>
    </row>
    <row r="1265" spans="1:62" x14ac:dyDescent="0.35">
      <c r="A1265" t="s">
        <v>4516</v>
      </c>
      <c r="B1265">
        <v>10000</v>
      </c>
      <c r="C1265">
        <v>10000</v>
      </c>
      <c r="D1265" s="2">
        <v>45737</v>
      </c>
      <c r="E1265" t="s">
        <v>61</v>
      </c>
      <c r="F1265" s="3">
        <v>0.48658564814814814</v>
      </c>
      <c r="G1265" t="s">
        <v>3886</v>
      </c>
      <c r="H1265" t="s">
        <v>4517</v>
      </c>
      <c r="I1265">
        <v>1</v>
      </c>
      <c r="J1265" t="s">
        <v>69</v>
      </c>
      <c r="K1265" s="8">
        <v>94</v>
      </c>
      <c r="L1265" s="8" t="s">
        <v>6599</v>
      </c>
      <c r="M1265" s="8" t="s">
        <v>6629</v>
      </c>
      <c r="N1265" t="s">
        <v>181</v>
      </c>
      <c r="O1265" t="s">
        <v>6544</v>
      </c>
      <c r="P1265" s="4">
        <v>3000</v>
      </c>
      <c r="S1265" s="2">
        <v>45736</v>
      </c>
      <c r="U1265">
        <v>6</v>
      </c>
      <c r="V1265" s="4">
        <v>18000</v>
      </c>
      <c r="W1265" t="s">
        <v>65</v>
      </c>
      <c r="X1265" t="s">
        <v>4518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G1265">
        <v>0</v>
      </c>
      <c r="AK1265" t="s">
        <v>69</v>
      </c>
      <c r="AL1265">
        <v>0</v>
      </c>
      <c r="AM1265" t="s">
        <v>69</v>
      </c>
      <c r="AP1265" t="s">
        <v>4519</v>
      </c>
      <c r="AQ1265" t="s">
        <v>364</v>
      </c>
      <c r="AR1265" t="s">
        <v>6653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BC1265" t="s">
        <v>69</v>
      </c>
      <c r="BG1265" t="s">
        <v>364</v>
      </c>
      <c r="BJ1265" t="s">
        <v>4520</v>
      </c>
    </row>
    <row r="1266" spans="1:62" x14ac:dyDescent="0.35">
      <c r="A1266" t="s">
        <v>4521</v>
      </c>
      <c r="B1266">
        <v>10000</v>
      </c>
      <c r="C1266">
        <v>10000</v>
      </c>
      <c r="D1266" s="2">
        <v>45754</v>
      </c>
      <c r="E1266" t="s">
        <v>61</v>
      </c>
      <c r="F1266" t="s">
        <v>4522</v>
      </c>
      <c r="G1266">
        <v>10620258046</v>
      </c>
      <c r="H1266" t="s">
        <v>2791</v>
      </c>
      <c r="I1266">
        <v>1</v>
      </c>
      <c r="J1266" t="s">
        <v>69</v>
      </c>
      <c r="K1266" s="8">
        <v>79</v>
      </c>
      <c r="L1266" s="8" t="s">
        <v>6608</v>
      </c>
      <c r="M1266" s="8" t="s">
        <v>6631</v>
      </c>
      <c r="N1266" t="s">
        <v>573</v>
      </c>
      <c r="O1266" t="s">
        <v>6547</v>
      </c>
      <c r="P1266">
        <v>384</v>
      </c>
      <c r="Q1266">
        <f>(P1266/20)+30</f>
        <v>49.2</v>
      </c>
      <c r="R1266">
        <f>Q1266/60</f>
        <v>0.82000000000000006</v>
      </c>
      <c r="S1266" s="2">
        <v>45736</v>
      </c>
      <c r="U1266">
        <v>308</v>
      </c>
      <c r="V1266" s="4">
        <v>118272</v>
      </c>
      <c r="W1266" t="s">
        <v>65</v>
      </c>
      <c r="X1266" t="s">
        <v>4523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G1266">
        <v>0</v>
      </c>
      <c r="AK1266" t="s">
        <v>69</v>
      </c>
      <c r="AL1266">
        <v>0</v>
      </c>
      <c r="AM1266" t="s">
        <v>69</v>
      </c>
      <c r="AP1266" t="s">
        <v>4524</v>
      </c>
      <c r="AQ1266" t="s">
        <v>107</v>
      </c>
      <c r="AR1266" t="s">
        <v>6638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BC1266" t="s">
        <v>69</v>
      </c>
      <c r="BG1266" t="s">
        <v>107</v>
      </c>
      <c r="BJ1266" t="s">
        <v>4525</v>
      </c>
    </row>
    <row r="1267" spans="1:62" x14ac:dyDescent="0.35">
      <c r="A1267" t="s">
        <v>4526</v>
      </c>
      <c r="B1267">
        <v>10000</v>
      </c>
      <c r="C1267">
        <v>10000</v>
      </c>
      <c r="D1267" s="2">
        <v>45740</v>
      </c>
      <c r="E1267" t="s">
        <v>61</v>
      </c>
      <c r="F1267" t="s">
        <v>4527</v>
      </c>
      <c r="G1267" t="s">
        <v>3218</v>
      </c>
      <c r="H1267" t="s">
        <v>4528</v>
      </c>
      <c r="I1267">
        <v>1</v>
      </c>
      <c r="J1267" t="s">
        <v>69</v>
      </c>
      <c r="K1267" s="8">
        <v>67</v>
      </c>
      <c r="L1267" s="8" t="s">
        <v>6601</v>
      </c>
      <c r="M1267" s="8" t="s">
        <v>6630</v>
      </c>
      <c r="N1267" t="s">
        <v>380</v>
      </c>
      <c r="O1267" t="s">
        <v>6558</v>
      </c>
      <c r="P1267" s="4">
        <v>155000</v>
      </c>
      <c r="Q1267">
        <f>(P1267/50)+45</f>
        <v>3145</v>
      </c>
      <c r="R1267">
        <f>Q1267/60</f>
        <v>52.416666666666664</v>
      </c>
      <c r="S1267" s="2">
        <v>45736</v>
      </c>
      <c r="U1267">
        <v>1</v>
      </c>
      <c r="V1267" s="4">
        <v>155000</v>
      </c>
      <c r="W1267" t="s">
        <v>65</v>
      </c>
      <c r="X1267" t="s">
        <v>381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G1267">
        <v>0</v>
      </c>
      <c r="AK1267" t="s">
        <v>69</v>
      </c>
      <c r="AL1267">
        <v>0</v>
      </c>
      <c r="AM1267" t="s">
        <v>69</v>
      </c>
      <c r="AP1267" t="s">
        <v>382</v>
      </c>
      <c r="AQ1267" t="s">
        <v>175</v>
      </c>
      <c r="AR1267" t="s">
        <v>6642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BC1267" t="s">
        <v>69</v>
      </c>
      <c r="BG1267" t="s">
        <v>175</v>
      </c>
      <c r="BJ1267" t="s">
        <v>4529</v>
      </c>
    </row>
    <row r="1268" spans="1:62" x14ac:dyDescent="0.35">
      <c r="A1268" t="s">
        <v>4530</v>
      </c>
      <c r="B1268">
        <v>10000</v>
      </c>
      <c r="C1268">
        <v>10000</v>
      </c>
      <c r="D1268" s="2">
        <v>45754</v>
      </c>
      <c r="E1268" t="s">
        <v>61</v>
      </c>
      <c r="F1268" t="s">
        <v>4531</v>
      </c>
      <c r="G1268">
        <v>10656256096</v>
      </c>
      <c r="H1268" t="s">
        <v>2791</v>
      </c>
      <c r="I1268">
        <v>1</v>
      </c>
      <c r="J1268" t="s">
        <v>69</v>
      </c>
      <c r="K1268" s="8">
        <v>79</v>
      </c>
      <c r="L1268" s="8" t="s">
        <v>6608</v>
      </c>
      <c r="M1268" s="8" t="s">
        <v>6631</v>
      </c>
      <c r="N1268" t="s">
        <v>573</v>
      </c>
      <c r="O1268" t="s">
        <v>6547</v>
      </c>
      <c r="P1268">
        <v>228</v>
      </c>
      <c r="Q1268">
        <f t="shared" ref="Q1268:Q1269" si="322">(P1268/20)+30</f>
        <v>41.4</v>
      </c>
      <c r="R1268">
        <f t="shared" ref="R1268:R1269" si="323">Q1268/60</f>
        <v>0.69</v>
      </c>
      <c r="S1268" s="2">
        <v>45736</v>
      </c>
      <c r="U1268">
        <v>352</v>
      </c>
      <c r="V1268" s="4">
        <v>80256</v>
      </c>
      <c r="W1268" t="s">
        <v>65</v>
      </c>
      <c r="X1268" t="s">
        <v>328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G1268">
        <v>0</v>
      </c>
      <c r="AK1268" t="s">
        <v>69</v>
      </c>
      <c r="AL1268">
        <v>0</v>
      </c>
      <c r="AM1268" t="s">
        <v>69</v>
      </c>
      <c r="AP1268" t="s">
        <v>329</v>
      </c>
      <c r="AQ1268" t="s">
        <v>107</v>
      </c>
      <c r="AR1268" t="s">
        <v>6638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BC1268" t="s">
        <v>69</v>
      </c>
      <c r="BG1268" t="s">
        <v>107</v>
      </c>
      <c r="BJ1268" t="s">
        <v>4532</v>
      </c>
    </row>
    <row r="1269" spans="1:62" x14ac:dyDescent="0.35">
      <c r="A1269" t="s">
        <v>4533</v>
      </c>
      <c r="B1269">
        <v>10000</v>
      </c>
      <c r="C1269">
        <v>10000</v>
      </c>
      <c r="D1269" s="2">
        <v>45754</v>
      </c>
      <c r="E1269" t="s">
        <v>95</v>
      </c>
      <c r="F1269" t="s">
        <v>4534</v>
      </c>
      <c r="G1269">
        <v>10656256096</v>
      </c>
      <c r="H1269" t="s">
        <v>4150</v>
      </c>
      <c r="I1269">
        <v>1</v>
      </c>
      <c r="J1269" t="s">
        <v>69</v>
      </c>
      <c r="K1269" s="8">
        <v>79</v>
      </c>
      <c r="L1269" s="8" t="s">
        <v>6608</v>
      </c>
      <c r="M1269" s="8" t="s">
        <v>6631</v>
      </c>
      <c r="N1269" t="s">
        <v>573</v>
      </c>
      <c r="O1269" t="s">
        <v>6547</v>
      </c>
      <c r="P1269">
        <v>398</v>
      </c>
      <c r="Q1269">
        <f t="shared" si="322"/>
        <v>49.9</v>
      </c>
      <c r="R1269">
        <f t="shared" si="323"/>
        <v>0.83166666666666667</v>
      </c>
      <c r="S1269" s="2">
        <v>45736</v>
      </c>
      <c r="U1269">
        <v>297</v>
      </c>
      <c r="V1269" s="4">
        <v>118206</v>
      </c>
      <c r="W1269" t="s">
        <v>65</v>
      </c>
      <c r="X1269" t="s">
        <v>4535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G1269">
        <v>0</v>
      </c>
      <c r="AK1269" t="s">
        <v>69</v>
      </c>
      <c r="AL1269">
        <v>0</v>
      </c>
      <c r="AM1269" t="s">
        <v>69</v>
      </c>
      <c r="AP1269" t="s">
        <v>4536</v>
      </c>
      <c r="AQ1269" t="s">
        <v>107</v>
      </c>
      <c r="AR1269" t="s">
        <v>6638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BC1269" t="s">
        <v>69</v>
      </c>
      <c r="BG1269" t="s">
        <v>107</v>
      </c>
      <c r="BJ1269" t="s">
        <v>4537</v>
      </c>
    </row>
    <row r="1270" spans="1:62" x14ac:dyDescent="0.35">
      <c r="A1270" t="s">
        <v>3714</v>
      </c>
      <c r="B1270">
        <v>10000</v>
      </c>
      <c r="C1270">
        <v>40000</v>
      </c>
      <c r="D1270" s="2">
        <v>45740</v>
      </c>
      <c r="E1270" t="s">
        <v>61</v>
      </c>
      <c r="F1270" t="s">
        <v>3715</v>
      </c>
      <c r="G1270" t="s">
        <v>3716</v>
      </c>
      <c r="I1270">
        <v>3</v>
      </c>
      <c r="J1270" t="s">
        <v>63</v>
      </c>
      <c r="K1270" s="8">
        <v>91</v>
      </c>
      <c r="L1270" s="8" t="s">
        <v>6585</v>
      </c>
      <c r="M1270" s="8" t="s">
        <v>6628</v>
      </c>
      <c r="N1270" t="s">
        <v>104</v>
      </c>
      <c r="O1270" t="s">
        <v>6579</v>
      </c>
      <c r="P1270" s="4">
        <v>100000</v>
      </c>
      <c r="S1270" s="2">
        <v>45736</v>
      </c>
      <c r="U1270">
        <v>9</v>
      </c>
      <c r="V1270" s="4">
        <v>900000</v>
      </c>
      <c r="W1270" t="s">
        <v>65</v>
      </c>
      <c r="X1270" t="s">
        <v>76</v>
      </c>
      <c r="Y1270">
        <v>0</v>
      </c>
      <c r="Z1270" s="4">
        <v>892857</v>
      </c>
      <c r="AA1270" s="4">
        <v>7143</v>
      </c>
      <c r="AB1270">
        <v>0</v>
      </c>
      <c r="AC1270">
        <v>0</v>
      </c>
      <c r="AD1270">
        <v>0</v>
      </c>
      <c r="AG1270">
        <v>0</v>
      </c>
      <c r="AP1270" t="s">
        <v>77</v>
      </c>
      <c r="AQ1270" t="s">
        <v>68</v>
      </c>
      <c r="AR1270" t="s">
        <v>6636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BC1270" t="s">
        <v>69</v>
      </c>
      <c r="BD1270" t="s">
        <v>3717</v>
      </c>
      <c r="BE1270">
        <v>0</v>
      </c>
      <c r="BG1270" t="s">
        <v>68</v>
      </c>
      <c r="BJ1270" t="s">
        <v>3718</v>
      </c>
    </row>
    <row r="1271" spans="1:62" x14ac:dyDescent="0.35">
      <c r="A1271" t="s">
        <v>3714</v>
      </c>
      <c r="B1271">
        <v>10000</v>
      </c>
      <c r="C1271">
        <v>50000</v>
      </c>
      <c r="D1271" s="2">
        <v>45740</v>
      </c>
      <c r="E1271" t="s">
        <v>61</v>
      </c>
      <c r="F1271" t="s">
        <v>3715</v>
      </c>
      <c r="G1271" t="s">
        <v>3716</v>
      </c>
      <c r="I1271">
        <v>3</v>
      </c>
      <c r="J1271" t="s">
        <v>63</v>
      </c>
      <c r="K1271" s="8">
        <v>91</v>
      </c>
      <c r="L1271" s="8" t="s">
        <v>6585</v>
      </c>
      <c r="M1271" s="8" t="s">
        <v>6628</v>
      </c>
      <c r="N1271" t="s">
        <v>104</v>
      </c>
      <c r="O1271" t="s">
        <v>6579</v>
      </c>
      <c r="P1271" s="4">
        <v>12000</v>
      </c>
      <c r="S1271" s="2">
        <v>45736</v>
      </c>
      <c r="U1271">
        <v>9</v>
      </c>
      <c r="V1271" s="4">
        <v>108000</v>
      </c>
      <c r="W1271" t="s">
        <v>65</v>
      </c>
      <c r="X1271" t="s">
        <v>76</v>
      </c>
      <c r="Y1271">
        <v>0</v>
      </c>
      <c r="Z1271" s="4">
        <v>107143</v>
      </c>
      <c r="AA1271">
        <v>857</v>
      </c>
      <c r="AB1271">
        <v>0</v>
      </c>
      <c r="AC1271">
        <v>0</v>
      </c>
      <c r="AD1271">
        <v>0</v>
      </c>
      <c r="AG1271">
        <v>0</v>
      </c>
      <c r="AP1271" t="s">
        <v>77</v>
      </c>
      <c r="AQ1271" t="s">
        <v>68</v>
      </c>
      <c r="AR1271" t="s">
        <v>6636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BC1271" t="s">
        <v>69</v>
      </c>
      <c r="BD1271" t="s">
        <v>3717</v>
      </c>
      <c r="BE1271">
        <v>0</v>
      </c>
      <c r="BG1271" t="s">
        <v>68</v>
      </c>
      <c r="BJ1271" t="s">
        <v>3718</v>
      </c>
    </row>
    <row r="1272" spans="1:62" x14ac:dyDescent="0.35">
      <c r="A1272" t="s">
        <v>4538</v>
      </c>
      <c r="B1272">
        <v>10000</v>
      </c>
      <c r="C1272">
        <v>10000</v>
      </c>
      <c r="D1272" s="2">
        <v>45737</v>
      </c>
      <c r="E1272" t="s">
        <v>61</v>
      </c>
      <c r="F1272" t="s">
        <v>4539</v>
      </c>
      <c r="G1272" t="s">
        <v>4540</v>
      </c>
      <c r="I1272">
        <v>1</v>
      </c>
      <c r="J1272" t="s">
        <v>63</v>
      </c>
      <c r="K1272" s="8">
        <v>73</v>
      </c>
      <c r="L1272" s="8" t="s">
        <v>6586</v>
      </c>
      <c r="M1272" s="8" t="s">
        <v>6627</v>
      </c>
      <c r="N1272" t="s">
        <v>90</v>
      </c>
      <c r="O1272" t="s">
        <v>6564</v>
      </c>
      <c r="P1272" s="4">
        <v>6750</v>
      </c>
      <c r="Q1272">
        <f>(P1272/60)+45</f>
        <v>157.5</v>
      </c>
      <c r="R1272">
        <f>Q1272/60</f>
        <v>2.625</v>
      </c>
      <c r="S1272" s="2">
        <v>45736</v>
      </c>
      <c r="U1272">
        <v>2</v>
      </c>
      <c r="V1272" s="4">
        <v>13500</v>
      </c>
      <c r="W1272" t="s">
        <v>65</v>
      </c>
      <c r="X1272" t="s">
        <v>4541</v>
      </c>
      <c r="Y1272">
        <v>0</v>
      </c>
      <c r="Z1272" s="4">
        <v>13500</v>
      </c>
      <c r="AA1272">
        <v>0</v>
      </c>
      <c r="AB1272">
        <v>0</v>
      </c>
      <c r="AC1272">
        <v>0</v>
      </c>
      <c r="AD1272">
        <v>0</v>
      </c>
      <c r="AG1272">
        <v>0</v>
      </c>
      <c r="AP1272" t="s">
        <v>4542</v>
      </c>
      <c r="AQ1272" t="s">
        <v>562</v>
      </c>
      <c r="AR1272" t="s">
        <v>6670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BC1272" t="s">
        <v>69</v>
      </c>
      <c r="BD1272" t="s">
        <v>4543</v>
      </c>
      <c r="BE1272">
        <v>0</v>
      </c>
      <c r="BG1272" t="s">
        <v>562</v>
      </c>
      <c r="BJ1272" t="s">
        <v>4544</v>
      </c>
    </row>
    <row r="1273" spans="1:62" x14ac:dyDescent="0.35">
      <c r="A1273" t="s">
        <v>4545</v>
      </c>
      <c r="B1273">
        <v>10000</v>
      </c>
      <c r="C1273">
        <v>10000</v>
      </c>
      <c r="D1273" s="2">
        <v>45736</v>
      </c>
      <c r="E1273" t="s">
        <v>61</v>
      </c>
      <c r="F1273" t="s">
        <v>4546</v>
      </c>
      <c r="G1273" t="s">
        <v>4547</v>
      </c>
      <c r="I1273">
        <v>1</v>
      </c>
      <c r="J1273" t="s">
        <v>63</v>
      </c>
      <c r="K1273" s="8">
        <v>112</v>
      </c>
      <c r="L1273" s="8" t="s">
        <v>6616</v>
      </c>
      <c r="M1273" s="8" t="s">
        <v>6630</v>
      </c>
      <c r="N1273" t="s">
        <v>533</v>
      </c>
      <c r="O1273" t="s">
        <v>6572</v>
      </c>
      <c r="P1273">
        <v>754</v>
      </c>
      <c r="Q1273">
        <f>(P1273/20)+45</f>
        <v>82.7</v>
      </c>
      <c r="R1273">
        <f>Q1273/60</f>
        <v>1.3783333333333334</v>
      </c>
      <c r="S1273" s="2">
        <v>45736</v>
      </c>
      <c r="U1273">
        <v>15</v>
      </c>
      <c r="V1273" s="4">
        <v>11310</v>
      </c>
      <c r="W1273" t="s">
        <v>65</v>
      </c>
      <c r="X1273" t="s">
        <v>4548</v>
      </c>
      <c r="Y1273">
        <v>0</v>
      </c>
      <c r="Z1273" s="4">
        <v>11300</v>
      </c>
      <c r="AA1273">
        <v>10</v>
      </c>
      <c r="AB1273">
        <v>0</v>
      </c>
      <c r="AC1273">
        <v>0</v>
      </c>
      <c r="AD1273">
        <v>0</v>
      </c>
      <c r="AG1273">
        <v>0</v>
      </c>
      <c r="AP1273" t="s">
        <v>4549</v>
      </c>
      <c r="AQ1273" t="s">
        <v>321</v>
      </c>
      <c r="AR1273" t="s">
        <v>6652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BC1273" t="s">
        <v>69</v>
      </c>
      <c r="BD1273" t="s">
        <v>4550</v>
      </c>
      <c r="BE1273">
        <v>0</v>
      </c>
      <c r="BG1273" t="s">
        <v>321</v>
      </c>
      <c r="BJ1273" t="s">
        <v>4551</v>
      </c>
    </row>
    <row r="1274" spans="1:62" x14ac:dyDescent="0.35">
      <c r="A1274" t="s">
        <v>4552</v>
      </c>
      <c r="B1274">
        <v>10000</v>
      </c>
      <c r="C1274">
        <v>10000</v>
      </c>
      <c r="D1274" s="2">
        <v>45737</v>
      </c>
      <c r="E1274" t="s">
        <v>61</v>
      </c>
      <c r="F1274" t="s">
        <v>4553</v>
      </c>
      <c r="G1274" t="s">
        <v>2773</v>
      </c>
      <c r="I1274">
        <v>1</v>
      </c>
      <c r="J1274" t="s">
        <v>63</v>
      </c>
      <c r="K1274" s="8">
        <v>94</v>
      </c>
      <c r="L1274" s="8" t="s">
        <v>6599</v>
      </c>
      <c r="M1274" s="8" t="s">
        <v>6629</v>
      </c>
      <c r="N1274" t="s">
        <v>181</v>
      </c>
      <c r="O1274" t="s">
        <v>6544</v>
      </c>
      <c r="P1274" s="4">
        <v>3000</v>
      </c>
      <c r="S1274" s="2">
        <v>45736</v>
      </c>
      <c r="U1274">
        <v>6</v>
      </c>
      <c r="V1274" s="4">
        <v>18000</v>
      </c>
      <c r="W1274" t="s">
        <v>65</v>
      </c>
      <c r="X1274" t="s">
        <v>4518</v>
      </c>
      <c r="Y1274">
        <v>0</v>
      </c>
      <c r="Z1274" s="4">
        <v>18000</v>
      </c>
      <c r="AA1274">
        <v>0</v>
      </c>
      <c r="AB1274">
        <v>0</v>
      </c>
      <c r="AC1274">
        <v>0</v>
      </c>
      <c r="AD1274">
        <v>0</v>
      </c>
      <c r="AG1274">
        <v>0</v>
      </c>
      <c r="AP1274" t="s">
        <v>4519</v>
      </c>
      <c r="AQ1274" t="s">
        <v>364</v>
      </c>
      <c r="AR1274" t="s">
        <v>6653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BC1274" t="s">
        <v>69</v>
      </c>
      <c r="BD1274" t="s">
        <v>4554</v>
      </c>
      <c r="BE1274">
        <v>0</v>
      </c>
      <c r="BG1274" t="s">
        <v>364</v>
      </c>
      <c r="BJ1274" t="s">
        <v>4555</v>
      </c>
    </row>
    <row r="1275" spans="1:62" x14ac:dyDescent="0.35">
      <c r="A1275" t="s">
        <v>4556</v>
      </c>
      <c r="B1275">
        <v>10000</v>
      </c>
      <c r="C1275">
        <v>10000</v>
      </c>
      <c r="D1275" s="2">
        <v>45736</v>
      </c>
      <c r="E1275" t="s">
        <v>61</v>
      </c>
      <c r="F1275" t="s">
        <v>4546</v>
      </c>
      <c r="G1275" t="s">
        <v>4557</v>
      </c>
      <c r="I1275">
        <v>1</v>
      </c>
      <c r="J1275" t="s">
        <v>63</v>
      </c>
      <c r="K1275" s="8">
        <v>112</v>
      </c>
      <c r="L1275" s="8" t="s">
        <v>6616</v>
      </c>
      <c r="M1275" s="8" t="s">
        <v>6630</v>
      </c>
      <c r="N1275" t="s">
        <v>249</v>
      </c>
      <c r="O1275" t="s">
        <v>6500</v>
      </c>
      <c r="P1275" s="4">
        <v>1334</v>
      </c>
      <c r="Q1275">
        <f>(P1275/20)+45</f>
        <v>111.7</v>
      </c>
      <c r="R1275">
        <f>Q1275/60</f>
        <v>1.8616666666666668</v>
      </c>
      <c r="S1275" s="2">
        <v>45736</v>
      </c>
      <c r="U1275">
        <v>15</v>
      </c>
      <c r="V1275" s="4">
        <v>20010</v>
      </c>
      <c r="W1275" t="s">
        <v>65</v>
      </c>
      <c r="X1275" t="s">
        <v>4548</v>
      </c>
      <c r="Y1275">
        <v>0</v>
      </c>
      <c r="Z1275" s="4">
        <v>20000</v>
      </c>
      <c r="AA1275">
        <v>10</v>
      </c>
      <c r="AB1275">
        <v>0</v>
      </c>
      <c r="AC1275">
        <v>0</v>
      </c>
      <c r="AD1275">
        <v>0</v>
      </c>
      <c r="AG1275">
        <v>0</v>
      </c>
      <c r="AP1275" t="s">
        <v>4549</v>
      </c>
      <c r="AQ1275" t="s">
        <v>321</v>
      </c>
      <c r="AR1275" t="s">
        <v>6652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BC1275" t="s">
        <v>69</v>
      </c>
      <c r="BD1275" t="s">
        <v>4558</v>
      </c>
      <c r="BE1275">
        <v>0</v>
      </c>
      <c r="BG1275" t="s">
        <v>321</v>
      </c>
      <c r="BJ1275" t="s">
        <v>4559</v>
      </c>
    </row>
    <row r="1276" spans="1:62" x14ac:dyDescent="0.35">
      <c r="A1276" t="s">
        <v>4560</v>
      </c>
      <c r="B1276">
        <v>10000</v>
      </c>
      <c r="C1276">
        <v>10000</v>
      </c>
      <c r="D1276" s="2">
        <v>45737</v>
      </c>
      <c r="E1276" t="s">
        <v>61</v>
      </c>
      <c r="F1276" t="s">
        <v>4553</v>
      </c>
      <c r="G1276" t="s">
        <v>418</v>
      </c>
      <c r="I1276">
        <v>1</v>
      </c>
      <c r="J1276" t="s">
        <v>63</v>
      </c>
      <c r="K1276" s="8">
        <v>59</v>
      </c>
      <c r="L1276" s="8" t="s">
        <v>6592</v>
      </c>
      <c r="M1276" s="8" t="s">
        <v>6629</v>
      </c>
      <c r="N1276" t="s">
        <v>745</v>
      </c>
      <c r="O1276" t="s">
        <v>6501</v>
      </c>
      <c r="P1276" s="4">
        <v>1000</v>
      </c>
      <c r="Q1276">
        <f t="shared" ref="Q1276:Q1278" si="324">(P1276/40)+45</f>
        <v>70</v>
      </c>
      <c r="R1276">
        <f t="shared" ref="R1276:R1278" si="325">Q1276/60</f>
        <v>1.1666666666666667</v>
      </c>
      <c r="S1276" s="2">
        <v>45736</v>
      </c>
      <c r="U1276">
        <v>6</v>
      </c>
      <c r="V1276" s="4">
        <v>6000</v>
      </c>
      <c r="W1276" t="s">
        <v>65</v>
      </c>
      <c r="X1276" t="s">
        <v>4561</v>
      </c>
      <c r="Y1276">
        <v>0</v>
      </c>
      <c r="Z1276" s="4">
        <v>6000</v>
      </c>
      <c r="AA1276">
        <v>0</v>
      </c>
      <c r="AB1276">
        <v>0</v>
      </c>
      <c r="AC1276">
        <v>0</v>
      </c>
      <c r="AD1276">
        <v>0</v>
      </c>
      <c r="AG1276">
        <v>0</v>
      </c>
      <c r="AP1276" t="s">
        <v>4562</v>
      </c>
      <c r="AQ1276" t="s">
        <v>182</v>
      </c>
      <c r="AR1276" t="s">
        <v>6643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BC1276" t="s">
        <v>69</v>
      </c>
      <c r="BD1276" t="s">
        <v>4563</v>
      </c>
      <c r="BE1276">
        <v>0</v>
      </c>
      <c r="BG1276" t="s">
        <v>182</v>
      </c>
      <c r="BJ1276" t="s">
        <v>4564</v>
      </c>
    </row>
    <row r="1277" spans="1:62" x14ac:dyDescent="0.35">
      <c r="A1277" t="s">
        <v>4560</v>
      </c>
      <c r="B1277">
        <v>20000</v>
      </c>
      <c r="C1277">
        <v>10000</v>
      </c>
      <c r="D1277" s="2">
        <v>45737</v>
      </c>
      <c r="E1277" t="s">
        <v>61</v>
      </c>
      <c r="F1277" t="s">
        <v>4553</v>
      </c>
      <c r="G1277" t="s">
        <v>418</v>
      </c>
      <c r="I1277">
        <v>1</v>
      </c>
      <c r="J1277" t="s">
        <v>63</v>
      </c>
      <c r="K1277" s="8">
        <v>59</v>
      </c>
      <c r="L1277" s="8" t="s">
        <v>6592</v>
      </c>
      <c r="M1277" s="8" t="s">
        <v>6629</v>
      </c>
      <c r="N1277" t="s">
        <v>745</v>
      </c>
      <c r="O1277" t="s">
        <v>6501</v>
      </c>
      <c r="P1277" s="4">
        <v>1000</v>
      </c>
      <c r="Q1277">
        <f t="shared" si="324"/>
        <v>70</v>
      </c>
      <c r="R1277">
        <f t="shared" si="325"/>
        <v>1.1666666666666667</v>
      </c>
      <c r="S1277" s="2">
        <v>45736</v>
      </c>
      <c r="U1277">
        <v>6</v>
      </c>
      <c r="V1277" s="4">
        <v>6000</v>
      </c>
      <c r="W1277" t="s">
        <v>65</v>
      </c>
      <c r="X1277" t="s">
        <v>4561</v>
      </c>
      <c r="Y1277">
        <v>0</v>
      </c>
      <c r="Z1277" s="4">
        <v>6000</v>
      </c>
      <c r="AA1277">
        <v>0</v>
      </c>
      <c r="AB1277">
        <v>0</v>
      </c>
      <c r="AC1277">
        <v>0</v>
      </c>
      <c r="AD1277">
        <v>0</v>
      </c>
      <c r="AG1277">
        <v>0</v>
      </c>
      <c r="AP1277" t="s">
        <v>4562</v>
      </c>
      <c r="AQ1277" t="s">
        <v>182</v>
      </c>
      <c r="AR1277" t="s">
        <v>6643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BC1277" t="s">
        <v>69</v>
      </c>
      <c r="BD1277" t="s">
        <v>4563</v>
      </c>
      <c r="BE1277">
        <v>0</v>
      </c>
      <c r="BG1277" t="s">
        <v>182</v>
      </c>
      <c r="BJ1277" t="s">
        <v>4564</v>
      </c>
    </row>
    <row r="1278" spans="1:62" x14ac:dyDescent="0.35">
      <c r="A1278" t="s">
        <v>4560</v>
      </c>
      <c r="B1278">
        <v>30000</v>
      </c>
      <c r="C1278">
        <v>20000</v>
      </c>
      <c r="D1278" s="2">
        <v>45737</v>
      </c>
      <c r="E1278" t="s">
        <v>61</v>
      </c>
      <c r="F1278" t="s">
        <v>4553</v>
      </c>
      <c r="G1278" t="s">
        <v>418</v>
      </c>
      <c r="I1278">
        <v>1</v>
      </c>
      <c r="J1278" t="s">
        <v>63</v>
      </c>
      <c r="K1278" s="8">
        <v>59</v>
      </c>
      <c r="L1278" s="8" t="s">
        <v>6592</v>
      </c>
      <c r="M1278" s="8" t="s">
        <v>6629</v>
      </c>
      <c r="N1278" t="s">
        <v>745</v>
      </c>
      <c r="O1278" t="s">
        <v>6501</v>
      </c>
      <c r="P1278" s="4">
        <v>1000</v>
      </c>
      <c r="Q1278">
        <f t="shared" si="324"/>
        <v>70</v>
      </c>
      <c r="R1278">
        <f t="shared" si="325"/>
        <v>1.1666666666666667</v>
      </c>
      <c r="S1278" s="2">
        <v>45736</v>
      </c>
      <c r="U1278">
        <v>6</v>
      </c>
      <c r="V1278" s="4">
        <v>6000</v>
      </c>
      <c r="W1278" t="s">
        <v>65</v>
      </c>
      <c r="X1278" t="s">
        <v>4561</v>
      </c>
      <c r="Y1278">
        <v>0</v>
      </c>
      <c r="Z1278" s="4">
        <v>6000</v>
      </c>
      <c r="AA1278">
        <v>0</v>
      </c>
      <c r="AB1278">
        <v>0</v>
      </c>
      <c r="AC1278">
        <v>0</v>
      </c>
      <c r="AD1278">
        <v>0</v>
      </c>
      <c r="AG1278">
        <v>0</v>
      </c>
      <c r="AP1278" t="s">
        <v>4562</v>
      </c>
      <c r="AQ1278" t="s">
        <v>182</v>
      </c>
      <c r="AR1278" t="s">
        <v>6643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BC1278" t="s">
        <v>69</v>
      </c>
      <c r="BD1278" t="s">
        <v>4563</v>
      </c>
      <c r="BE1278">
        <v>0</v>
      </c>
      <c r="BG1278" t="s">
        <v>182</v>
      </c>
      <c r="BJ1278" t="s">
        <v>4564</v>
      </c>
    </row>
    <row r="1279" spans="1:62" x14ac:dyDescent="0.35">
      <c r="A1279" t="s">
        <v>4182</v>
      </c>
      <c r="B1279">
        <v>10000</v>
      </c>
      <c r="C1279">
        <v>20000</v>
      </c>
      <c r="D1279" s="2">
        <v>45741</v>
      </c>
      <c r="E1279" t="s">
        <v>61</v>
      </c>
      <c r="F1279" t="s">
        <v>4183</v>
      </c>
      <c r="G1279" t="s">
        <v>4156</v>
      </c>
      <c r="I1279">
        <v>2</v>
      </c>
      <c r="J1279" t="s">
        <v>63</v>
      </c>
      <c r="K1279" s="8">
        <v>77</v>
      </c>
      <c r="L1279" s="8" t="s">
        <v>6584</v>
      </c>
      <c r="M1279" s="8" t="s">
        <v>6627</v>
      </c>
      <c r="N1279" t="s">
        <v>127</v>
      </c>
      <c r="O1279" t="s">
        <v>6567</v>
      </c>
      <c r="P1279" s="4">
        <v>1250</v>
      </c>
      <c r="Q1279">
        <f>(P1279/60)+45</f>
        <v>65.833333333333329</v>
      </c>
      <c r="R1279">
        <f>Q1279/60</f>
        <v>1.0972222222222221</v>
      </c>
      <c r="S1279" s="2">
        <v>45736</v>
      </c>
      <c r="U1279">
        <v>88</v>
      </c>
      <c r="V1279" s="4">
        <v>110000</v>
      </c>
      <c r="W1279" t="s">
        <v>65</v>
      </c>
      <c r="X1279" t="s">
        <v>4184</v>
      </c>
      <c r="Y1279">
        <v>0</v>
      </c>
      <c r="Z1279" s="4">
        <v>100000</v>
      </c>
      <c r="AA1279" s="4">
        <v>10000</v>
      </c>
      <c r="AB1279">
        <v>0</v>
      </c>
      <c r="AC1279">
        <v>0</v>
      </c>
      <c r="AD1279">
        <v>0</v>
      </c>
      <c r="AG1279">
        <v>0</v>
      </c>
      <c r="AP1279" t="s">
        <v>4185</v>
      </c>
      <c r="AQ1279" t="s">
        <v>107</v>
      </c>
      <c r="AR1279" t="s">
        <v>6638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BC1279" t="s">
        <v>69</v>
      </c>
      <c r="BD1279" t="s">
        <v>4186</v>
      </c>
      <c r="BE1279">
        <v>0</v>
      </c>
      <c r="BG1279" t="s">
        <v>107</v>
      </c>
      <c r="BJ1279" t="s">
        <v>4187</v>
      </c>
    </row>
    <row r="1280" spans="1:62" x14ac:dyDescent="0.35">
      <c r="A1280" t="s">
        <v>570</v>
      </c>
      <c r="B1280">
        <v>10000</v>
      </c>
      <c r="C1280">
        <v>50000</v>
      </c>
      <c r="D1280" s="2">
        <v>45740</v>
      </c>
      <c r="E1280" t="s">
        <v>61</v>
      </c>
      <c r="F1280" t="s">
        <v>2850</v>
      </c>
      <c r="G1280" t="s">
        <v>572</v>
      </c>
      <c r="I1280">
        <v>3</v>
      </c>
      <c r="J1280" t="s">
        <v>63</v>
      </c>
      <c r="K1280" s="8">
        <v>85</v>
      </c>
      <c r="L1280" s="8" t="s">
        <v>6585</v>
      </c>
      <c r="M1280" s="8" t="s">
        <v>6628</v>
      </c>
      <c r="N1280" t="s">
        <v>104</v>
      </c>
      <c r="O1280" t="s">
        <v>6579</v>
      </c>
      <c r="P1280" s="4">
        <v>45455</v>
      </c>
      <c r="S1280" s="2">
        <v>45736</v>
      </c>
      <c r="U1280">
        <v>11</v>
      </c>
      <c r="V1280" s="4">
        <v>500005</v>
      </c>
      <c r="W1280" t="s">
        <v>65</v>
      </c>
      <c r="X1280" t="s">
        <v>574</v>
      </c>
      <c r="Y1280">
        <v>0</v>
      </c>
      <c r="Z1280" s="4">
        <v>500000</v>
      </c>
      <c r="AA1280">
        <v>5</v>
      </c>
      <c r="AB1280">
        <v>0</v>
      </c>
      <c r="AC1280">
        <v>0</v>
      </c>
      <c r="AD1280">
        <v>0</v>
      </c>
      <c r="AG1280">
        <v>0</v>
      </c>
      <c r="AP1280" t="s">
        <v>575</v>
      </c>
      <c r="AQ1280" t="s">
        <v>107</v>
      </c>
      <c r="AR1280" t="s">
        <v>6638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BC1280" t="s">
        <v>69</v>
      </c>
      <c r="BD1280" t="s">
        <v>576</v>
      </c>
      <c r="BE1280">
        <v>0</v>
      </c>
      <c r="BG1280" t="s">
        <v>107</v>
      </c>
      <c r="BJ1280" t="s">
        <v>577</v>
      </c>
    </row>
    <row r="1281" spans="1:62" x14ac:dyDescent="0.35">
      <c r="A1281" t="s">
        <v>4188</v>
      </c>
      <c r="B1281">
        <v>10000</v>
      </c>
      <c r="C1281">
        <v>20000</v>
      </c>
      <c r="D1281" s="2">
        <v>45741</v>
      </c>
      <c r="E1281" t="s">
        <v>61</v>
      </c>
      <c r="F1281" t="s">
        <v>1345</v>
      </c>
      <c r="G1281" t="s">
        <v>4156</v>
      </c>
      <c r="I1281">
        <v>2</v>
      </c>
      <c r="J1281" t="s">
        <v>63</v>
      </c>
      <c r="K1281" s="8">
        <v>77</v>
      </c>
      <c r="L1281" s="8" t="s">
        <v>6584</v>
      </c>
      <c r="M1281" s="8" t="s">
        <v>6627</v>
      </c>
      <c r="N1281" t="s">
        <v>127</v>
      </c>
      <c r="O1281" t="s">
        <v>6567</v>
      </c>
      <c r="P1281" s="4">
        <v>1250</v>
      </c>
      <c r="Q1281">
        <f t="shared" ref="Q1281:Q1282" si="326">(P1281/60)+45</f>
        <v>65.833333333333329</v>
      </c>
      <c r="R1281">
        <f t="shared" ref="R1281:R1284" si="327">Q1281/60</f>
        <v>1.0972222222222221</v>
      </c>
      <c r="S1281" s="2">
        <v>45736</v>
      </c>
      <c r="U1281">
        <v>88</v>
      </c>
      <c r="V1281" s="4">
        <v>110000</v>
      </c>
      <c r="W1281" t="s">
        <v>65</v>
      </c>
      <c r="X1281" t="s">
        <v>4189</v>
      </c>
      <c r="Y1281">
        <v>0</v>
      </c>
      <c r="Z1281" s="4">
        <v>100000</v>
      </c>
      <c r="AA1281" s="4">
        <v>10000</v>
      </c>
      <c r="AB1281">
        <v>0</v>
      </c>
      <c r="AC1281">
        <v>0</v>
      </c>
      <c r="AD1281">
        <v>0</v>
      </c>
      <c r="AG1281">
        <v>0</v>
      </c>
      <c r="AP1281" t="s">
        <v>4190</v>
      </c>
      <c r="AQ1281" t="s">
        <v>107</v>
      </c>
      <c r="AR1281" t="s">
        <v>6638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BC1281" t="s">
        <v>69</v>
      </c>
      <c r="BD1281" t="s">
        <v>4191</v>
      </c>
      <c r="BE1281">
        <v>0</v>
      </c>
      <c r="BG1281" t="s">
        <v>107</v>
      </c>
      <c r="BJ1281" t="s">
        <v>4192</v>
      </c>
    </row>
    <row r="1282" spans="1:62" x14ac:dyDescent="0.35">
      <c r="A1282" t="s">
        <v>4193</v>
      </c>
      <c r="B1282">
        <v>10000</v>
      </c>
      <c r="C1282">
        <v>20000</v>
      </c>
      <c r="D1282" s="2">
        <v>45741</v>
      </c>
      <c r="E1282" t="s">
        <v>61</v>
      </c>
      <c r="F1282" t="s">
        <v>4194</v>
      </c>
      <c r="G1282" t="s">
        <v>4156</v>
      </c>
      <c r="I1282">
        <v>2</v>
      </c>
      <c r="J1282" t="s">
        <v>63</v>
      </c>
      <c r="K1282" s="8">
        <v>77</v>
      </c>
      <c r="L1282" s="8" t="s">
        <v>6584</v>
      </c>
      <c r="M1282" s="8" t="s">
        <v>6627</v>
      </c>
      <c r="N1282" t="s">
        <v>127</v>
      </c>
      <c r="O1282" t="s">
        <v>6567</v>
      </c>
      <c r="P1282" s="4">
        <v>1250</v>
      </c>
      <c r="Q1282">
        <f t="shared" si="326"/>
        <v>65.833333333333329</v>
      </c>
      <c r="R1282">
        <f t="shared" si="327"/>
        <v>1.0972222222222221</v>
      </c>
      <c r="S1282" s="2">
        <v>45736</v>
      </c>
      <c r="U1282">
        <v>88</v>
      </c>
      <c r="V1282" s="4">
        <v>110000</v>
      </c>
      <c r="W1282" t="s">
        <v>65</v>
      </c>
      <c r="X1282" t="s">
        <v>814</v>
      </c>
      <c r="Y1282">
        <v>0</v>
      </c>
      <c r="Z1282" s="4">
        <v>100000</v>
      </c>
      <c r="AA1282" s="4">
        <v>10000</v>
      </c>
      <c r="AB1282">
        <v>0</v>
      </c>
      <c r="AC1282">
        <v>0</v>
      </c>
      <c r="AD1282">
        <v>0</v>
      </c>
      <c r="AG1282">
        <v>0</v>
      </c>
      <c r="AP1282" t="s">
        <v>815</v>
      </c>
      <c r="AQ1282" t="s">
        <v>107</v>
      </c>
      <c r="AR1282" t="s">
        <v>6638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BC1282" t="s">
        <v>69</v>
      </c>
      <c r="BD1282" t="s">
        <v>4195</v>
      </c>
      <c r="BE1282">
        <v>0</v>
      </c>
      <c r="BG1282" t="s">
        <v>107</v>
      </c>
      <c r="BJ1282" t="s">
        <v>4196</v>
      </c>
    </row>
    <row r="1283" spans="1:62" x14ac:dyDescent="0.35">
      <c r="A1283" t="s">
        <v>4565</v>
      </c>
      <c r="B1283">
        <v>10000</v>
      </c>
      <c r="C1283">
        <v>10000</v>
      </c>
      <c r="D1283" s="2">
        <v>45736</v>
      </c>
      <c r="E1283" t="s">
        <v>61</v>
      </c>
      <c r="F1283" t="s">
        <v>4566</v>
      </c>
      <c r="G1283" t="s">
        <v>418</v>
      </c>
      <c r="I1283">
        <v>1</v>
      </c>
      <c r="J1283" t="s">
        <v>63</v>
      </c>
      <c r="K1283" s="8">
        <v>59</v>
      </c>
      <c r="L1283" s="8" t="s">
        <v>6592</v>
      </c>
      <c r="M1283" s="8" t="s">
        <v>6629</v>
      </c>
      <c r="N1283" t="s">
        <v>745</v>
      </c>
      <c r="O1283" t="s">
        <v>6501</v>
      </c>
      <c r="P1283">
        <v>900</v>
      </c>
      <c r="Q1283">
        <f t="shared" ref="Q1283:Q1284" si="328">(P1283/40)+45</f>
        <v>67.5</v>
      </c>
      <c r="R1283">
        <f t="shared" si="327"/>
        <v>1.125</v>
      </c>
      <c r="S1283" s="2">
        <v>45736</v>
      </c>
      <c r="U1283">
        <v>10</v>
      </c>
      <c r="V1283" s="4">
        <v>9000</v>
      </c>
      <c r="W1283" t="s">
        <v>65</v>
      </c>
      <c r="X1283">
        <v>200302680001</v>
      </c>
      <c r="Y1283">
        <v>0</v>
      </c>
      <c r="Z1283" s="4">
        <v>9000</v>
      </c>
      <c r="AA1283">
        <v>0</v>
      </c>
      <c r="AB1283">
        <v>0</v>
      </c>
      <c r="AC1283">
        <v>0</v>
      </c>
      <c r="AD1283">
        <v>0</v>
      </c>
      <c r="AG1283">
        <v>0</v>
      </c>
      <c r="AP1283">
        <v>20030268</v>
      </c>
      <c r="AQ1283" t="s">
        <v>182</v>
      </c>
      <c r="AR1283" t="s">
        <v>6643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BC1283" t="s">
        <v>69</v>
      </c>
      <c r="BD1283" t="s">
        <v>4567</v>
      </c>
      <c r="BE1283">
        <v>0</v>
      </c>
      <c r="BG1283" t="s">
        <v>182</v>
      </c>
      <c r="BJ1283" t="s">
        <v>4568</v>
      </c>
    </row>
    <row r="1284" spans="1:62" x14ac:dyDescent="0.35">
      <c r="A1284" t="s">
        <v>4565</v>
      </c>
      <c r="B1284">
        <v>20000</v>
      </c>
      <c r="C1284">
        <v>10000</v>
      </c>
      <c r="D1284" s="2">
        <v>45736</v>
      </c>
      <c r="E1284" t="s">
        <v>61</v>
      </c>
      <c r="F1284" t="s">
        <v>4566</v>
      </c>
      <c r="G1284" t="s">
        <v>418</v>
      </c>
      <c r="I1284">
        <v>1</v>
      </c>
      <c r="J1284" t="s">
        <v>63</v>
      </c>
      <c r="K1284" s="8">
        <v>59</v>
      </c>
      <c r="L1284" s="8" t="s">
        <v>6592</v>
      </c>
      <c r="M1284" s="8" t="s">
        <v>6629</v>
      </c>
      <c r="N1284" t="s">
        <v>745</v>
      </c>
      <c r="O1284" t="s">
        <v>6501</v>
      </c>
      <c r="P1284">
        <v>900</v>
      </c>
      <c r="Q1284">
        <f t="shared" si="328"/>
        <v>67.5</v>
      </c>
      <c r="R1284">
        <f t="shared" si="327"/>
        <v>1.125</v>
      </c>
      <c r="S1284" s="2">
        <v>45736</v>
      </c>
      <c r="U1284">
        <v>10</v>
      </c>
      <c r="V1284" s="4">
        <v>9000</v>
      </c>
      <c r="W1284" t="s">
        <v>65</v>
      </c>
      <c r="X1284">
        <v>200302680001</v>
      </c>
      <c r="Y1284">
        <v>0</v>
      </c>
      <c r="Z1284" s="4">
        <v>9000</v>
      </c>
      <c r="AA1284">
        <v>0</v>
      </c>
      <c r="AB1284">
        <v>0</v>
      </c>
      <c r="AC1284">
        <v>0</v>
      </c>
      <c r="AD1284">
        <v>0</v>
      </c>
      <c r="AG1284">
        <v>0</v>
      </c>
      <c r="AP1284">
        <v>20030268</v>
      </c>
      <c r="AQ1284" t="s">
        <v>182</v>
      </c>
      <c r="AR1284" t="s">
        <v>6643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BC1284" t="s">
        <v>69</v>
      </c>
      <c r="BD1284" t="s">
        <v>4567</v>
      </c>
      <c r="BE1284">
        <v>0</v>
      </c>
      <c r="BG1284" t="s">
        <v>182</v>
      </c>
      <c r="BJ1284" t="s">
        <v>4568</v>
      </c>
    </row>
    <row r="1285" spans="1:62" x14ac:dyDescent="0.35">
      <c r="A1285" t="s">
        <v>4209</v>
      </c>
      <c r="B1285">
        <v>10000</v>
      </c>
      <c r="C1285">
        <v>20000</v>
      </c>
      <c r="D1285" s="2">
        <v>45736</v>
      </c>
      <c r="E1285" t="s">
        <v>61</v>
      </c>
      <c r="F1285" t="s">
        <v>4210</v>
      </c>
      <c r="G1285" t="s">
        <v>4211</v>
      </c>
      <c r="I1285">
        <v>2</v>
      </c>
      <c r="J1285" t="s">
        <v>63</v>
      </c>
      <c r="K1285" s="8">
        <v>86</v>
      </c>
      <c r="L1285" s="8" t="s">
        <v>6584</v>
      </c>
      <c r="M1285" s="8" t="s">
        <v>6627</v>
      </c>
      <c r="N1285" t="s">
        <v>64</v>
      </c>
      <c r="O1285" t="s">
        <v>6559</v>
      </c>
      <c r="P1285" s="4">
        <v>2700</v>
      </c>
      <c r="Q1285">
        <f t="shared" ref="Q1285:Q1288" si="329">(P1285/60)+45</f>
        <v>90</v>
      </c>
      <c r="R1285">
        <f t="shared" ref="R1285:R1291" si="330">Q1285/60</f>
        <v>1.5</v>
      </c>
      <c r="S1285" s="2">
        <v>45736</v>
      </c>
      <c r="U1285">
        <v>1</v>
      </c>
      <c r="V1285" s="4">
        <v>2700</v>
      </c>
      <c r="W1285" t="s">
        <v>65</v>
      </c>
      <c r="X1285" t="s">
        <v>4212</v>
      </c>
      <c r="Y1285">
        <v>0</v>
      </c>
      <c r="Z1285" s="4">
        <v>1000</v>
      </c>
      <c r="AA1285" s="4">
        <v>1700</v>
      </c>
      <c r="AB1285">
        <v>0</v>
      </c>
      <c r="AC1285">
        <v>0</v>
      </c>
      <c r="AD1285">
        <v>0</v>
      </c>
      <c r="AG1285">
        <v>0</v>
      </c>
      <c r="AP1285" t="s">
        <v>4213</v>
      </c>
      <c r="AQ1285" t="s">
        <v>3168</v>
      </c>
      <c r="AR1285" t="s">
        <v>6716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BC1285" t="s">
        <v>69</v>
      </c>
      <c r="BD1285" t="s">
        <v>4214</v>
      </c>
      <c r="BE1285">
        <v>0</v>
      </c>
      <c r="BG1285" t="s">
        <v>3168</v>
      </c>
      <c r="BJ1285" t="s">
        <v>4215</v>
      </c>
    </row>
    <row r="1286" spans="1:62" x14ac:dyDescent="0.35">
      <c r="A1286" t="s">
        <v>3164</v>
      </c>
      <c r="B1286">
        <v>10000</v>
      </c>
      <c r="C1286">
        <v>50000</v>
      </c>
      <c r="D1286" s="2">
        <v>45736</v>
      </c>
      <c r="E1286" t="s">
        <v>61</v>
      </c>
      <c r="F1286" t="s">
        <v>4216</v>
      </c>
      <c r="G1286">
        <v>860908144578</v>
      </c>
      <c r="I1286">
        <v>2</v>
      </c>
      <c r="J1286" t="s">
        <v>63</v>
      </c>
      <c r="K1286" s="8">
        <v>86</v>
      </c>
      <c r="L1286" s="8" t="s">
        <v>6584</v>
      </c>
      <c r="M1286" s="8" t="s">
        <v>6627</v>
      </c>
      <c r="N1286" t="s">
        <v>64</v>
      </c>
      <c r="O1286" t="s">
        <v>6559</v>
      </c>
      <c r="P1286" s="4">
        <v>3000</v>
      </c>
      <c r="Q1286">
        <f t="shared" si="329"/>
        <v>95</v>
      </c>
      <c r="R1286">
        <f t="shared" si="330"/>
        <v>1.5833333333333333</v>
      </c>
      <c r="S1286" s="2">
        <v>45736</v>
      </c>
      <c r="U1286">
        <v>1</v>
      </c>
      <c r="V1286" s="4">
        <v>3000</v>
      </c>
      <c r="W1286" t="s">
        <v>65</v>
      </c>
      <c r="X1286" t="s">
        <v>3166</v>
      </c>
      <c r="Y1286">
        <v>0</v>
      </c>
      <c r="Z1286" s="4">
        <v>2432</v>
      </c>
      <c r="AA1286">
        <v>568</v>
      </c>
      <c r="AB1286">
        <v>0</v>
      </c>
      <c r="AC1286">
        <v>0</v>
      </c>
      <c r="AD1286">
        <v>0</v>
      </c>
      <c r="AG1286">
        <v>0</v>
      </c>
      <c r="AP1286" t="s">
        <v>3167</v>
      </c>
      <c r="AQ1286" t="s">
        <v>3168</v>
      </c>
      <c r="AR1286" t="s">
        <v>6716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BC1286" t="s">
        <v>69</v>
      </c>
      <c r="BD1286" t="s">
        <v>3169</v>
      </c>
      <c r="BE1286">
        <v>0</v>
      </c>
      <c r="BG1286" t="s">
        <v>3168</v>
      </c>
      <c r="BJ1286" t="s">
        <v>3170</v>
      </c>
    </row>
    <row r="1287" spans="1:62" x14ac:dyDescent="0.35">
      <c r="A1287" t="s">
        <v>4217</v>
      </c>
      <c r="B1287">
        <v>10000</v>
      </c>
      <c r="C1287">
        <v>30000</v>
      </c>
      <c r="D1287" s="2">
        <v>45744</v>
      </c>
      <c r="E1287" t="s">
        <v>61</v>
      </c>
      <c r="F1287" t="s">
        <v>310</v>
      </c>
      <c r="G1287" t="s">
        <v>4218</v>
      </c>
      <c r="I1287">
        <v>2</v>
      </c>
      <c r="J1287" t="s">
        <v>63</v>
      </c>
      <c r="K1287" s="8">
        <v>77</v>
      </c>
      <c r="L1287" s="8" t="s">
        <v>6584</v>
      </c>
      <c r="M1287" s="8" t="s">
        <v>6627</v>
      </c>
      <c r="N1287" t="s">
        <v>127</v>
      </c>
      <c r="O1287" t="s">
        <v>6567</v>
      </c>
      <c r="P1287" s="4">
        <v>1250</v>
      </c>
      <c r="Q1287">
        <f t="shared" si="329"/>
        <v>65.833333333333329</v>
      </c>
      <c r="R1287">
        <f t="shared" si="330"/>
        <v>1.0972222222222221</v>
      </c>
      <c r="S1287" s="2">
        <v>45736</v>
      </c>
      <c r="U1287">
        <v>88</v>
      </c>
      <c r="V1287" s="4">
        <v>110000</v>
      </c>
      <c r="W1287" t="s">
        <v>65</v>
      </c>
      <c r="X1287" t="s">
        <v>1218</v>
      </c>
      <c r="Y1287">
        <v>0</v>
      </c>
      <c r="Z1287" s="4">
        <v>100000</v>
      </c>
      <c r="AA1287" s="4">
        <v>10000</v>
      </c>
      <c r="AB1287">
        <v>0</v>
      </c>
      <c r="AC1287">
        <v>0</v>
      </c>
      <c r="AD1287">
        <v>0</v>
      </c>
      <c r="AG1287">
        <v>0</v>
      </c>
      <c r="AP1287" t="s">
        <v>1219</v>
      </c>
      <c r="AQ1287" t="s">
        <v>107</v>
      </c>
      <c r="AR1287" t="s">
        <v>6638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BC1287" t="s">
        <v>69</v>
      </c>
      <c r="BD1287" t="s">
        <v>4219</v>
      </c>
      <c r="BE1287">
        <v>0</v>
      </c>
      <c r="BG1287" t="s">
        <v>107</v>
      </c>
      <c r="BJ1287" t="s">
        <v>4220</v>
      </c>
    </row>
    <row r="1288" spans="1:62" x14ac:dyDescent="0.35">
      <c r="A1288" t="s">
        <v>4228</v>
      </c>
      <c r="B1288">
        <v>10000</v>
      </c>
      <c r="C1288">
        <v>20000</v>
      </c>
      <c r="D1288" s="2">
        <v>45741</v>
      </c>
      <c r="E1288" t="s">
        <v>61</v>
      </c>
      <c r="F1288" t="s">
        <v>4229</v>
      </c>
      <c r="G1288" t="s">
        <v>4156</v>
      </c>
      <c r="I1288">
        <v>2</v>
      </c>
      <c r="J1288" t="s">
        <v>63</v>
      </c>
      <c r="K1288" s="8">
        <v>77</v>
      </c>
      <c r="L1288" s="8" t="s">
        <v>6584</v>
      </c>
      <c r="M1288" s="8" t="s">
        <v>6627</v>
      </c>
      <c r="N1288" t="s">
        <v>127</v>
      </c>
      <c r="O1288" t="s">
        <v>6567</v>
      </c>
      <c r="P1288" s="4">
        <v>1250</v>
      </c>
      <c r="Q1288">
        <f t="shared" si="329"/>
        <v>65.833333333333329</v>
      </c>
      <c r="R1288">
        <f t="shared" si="330"/>
        <v>1.0972222222222221</v>
      </c>
      <c r="S1288" s="2">
        <v>45736</v>
      </c>
      <c r="U1288">
        <v>88</v>
      </c>
      <c r="V1288" s="4">
        <v>110000</v>
      </c>
      <c r="W1288" t="s">
        <v>65</v>
      </c>
      <c r="X1288" t="s">
        <v>820</v>
      </c>
      <c r="Y1288">
        <v>0</v>
      </c>
      <c r="Z1288" s="4">
        <v>100000</v>
      </c>
      <c r="AA1288" s="4">
        <v>10000</v>
      </c>
      <c r="AB1288">
        <v>0</v>
      </c>
      <c r="AC1288">
        <v>0</v>
      </c>
      <c r="AD1288">
        <v>0</v>
      </c>
      <c r="AG1288">
        <v>0</v>
      </c>
      <c r="AP1288" t="s">
        <v>821</v>
      </c>
      <c r="AQ1288" t="s">
        <v>107</v>
      </c>
      <c r="AR1288" t="s">
        <v>6638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BC1288" t="s">
        <v>69</v>
      </c>
      <c r="BD1288" t="s">
        <v>4230</v>
      </c>
      <c r="BE1288">
        <v>0</v>
      </c>
      <c r="BG1288" t="s">
        <v>107</v>
      </c>
      <c r="BJ1288" t="s">
        <v>4231</v>
      </c>
    </row>
    <row r="1289" spans="1:62" x14ac:dyDescent="0.35">
      <c r="A1289" t="s">
        <v>4569</v>
      </c>
      <c r="B1289">
        <v>10000</v>
      </c>
      <c r="C1289">
        <v>10000</v>
      </c>
      <c r="D1289" s="2">
        <v>45737</v>
      </c>
      <c r="E1289" t="s">
        <v>61</v>
      </c>
      <c r="F1289" t="s">
        <v>4244</v>
      </c>
      <c r="G1289" t="s">
        <v>4245</v>
      </c>
      <c r="I1289">
        <v>1</v>
      </c>
      <c r="J1289" t="s">
        <v>63</v>
      </c>
      <c r="K1289" s="8">
        <v>63</v>
      </c>
      <c r="L1289" s="8" t="s">
        <v>6605</v>
      </c>
      <c r="M1289" s="8" t="s">
        <v>6630</v>
      </c>
      <c r="N1289" t="s">
        <v>519</v>
      </c>
      <c r="O1289" t="s">
        <v>6569</v>
      </c>
      <c r="P1289" s="4">
        <v>10000</v>
      </c>
      <c r="Q1289">
        <f t="shared" ref="Q1289:Q1291" si="331">(P1289/40)+45</f>
        <v>295</v>
      </c>
      <c r="R1289">
        <f t="shared" si="330"/>
        <v>4.916666666666667</v>
      </c>
      <c r="S1289" s="2">
        <v>45736</v>
      </c>
      <c r="U1289">
        <v>60</v>
      </c>
      <c r="V1289" s="4">
        <v>600000</v>
      </c>
      <c r="W1289" t="s">
        <v>65</v>
      </c>
      <c r="X1289" t="s">
        <v>587</v>
      </c>
      <c r="Y1289">
        <v>0</v>
      </c>
      <c r="Z1289" s="4">
        <v>600000</v>
      </c>
      <c r="AA1289">
        <v>0</v>
      </c>
      <c r="AB1289">
        <v>0</v>
      </c>
      <c r="AC1289">
        <v>0</v>
      </c>
      <c r="AD1289">
        <v>0</v>
      </c>
      <c r="AG1289">
        <v>0</v>
      </c>
      <c r="AP1289" t="s">
        <v>588</v>
      </c>
      <c r="AQ1289" t="s">
        <v>175</v>
      </c>
      <c r="AR1289" t="s">
        <v>6642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BC1289" t="s">
        <v>69</v>
      </c>
      <c r="BD1289" t="s">
        <v>4570</v>
      </c>
      <c r="BE1289">
        <v>0</v>
      </c>
      <c r="BG1289" t="s">
        <v>175</v>
      </c>
      <c r="BJ1289" t="s">
        <v>4571</v>
      </c>
    </row>
    <row r="1290" spans="1:62" x14ac:dyDescent="0.35">
      <c r="A1290" t="s">
        <v>4572</v>
      </c>
      <c r="B1290">
        <v>10000</v>
      </c>
      <c r="C1290">
        <v>10000</v>
      </c>
      <c r="D1290" s="2">
        <v>45737</v>
      </c>
      <c r="E1290" t="s">
        <v>61</v>
      </c>
      <c r="F1290" t="s">
        <v>4244</v>
      </c>
      <c r="G1290" t="s">
        <v>4245</v>
      </c>
      <c r="I1290">
        <v>1</v>
      </c>
      <c r="J1290" t="s">
        <v>63</v>
      </c>
      <c r="K1290" s="8">
        <v>63</v>
      </c>
      <c r="L1290" s="8" t="s">
        <v>6605</v>
      </c>
      <c r="M1290" s="8" t="s">
        <v>6630</v>
      </c>
      <c r="N1290" t="s">
        <v>519</v>
      </c>
      <c r="O1290" t="s">
        <v>6569</v>
      </c>
      <c r="P1290" s="4">
        <v>10000</v>
      </c>
      <c r="Q1290">
        <f t="shared" si="331"/>
        <v>295</v>
      </c>
      <c r="R1290">
        <f t="shared" si="330"/>
        <v>4.916666666666667</v>
      </c>
      <c r="S1290" s="2">
        <v>45736</v>
      </c>
      <c r="U1290">
        <v>60</v>
      </c>
      <c r="V1290" s="4">
        <v>600000</v>
      </c>
      <c r="W1290" t="s">
        <v>65</v>
      </c>
      <c r="X1290" t="s">
        <v>587</v>
      </c>
      <c r="Y1290">
        <v>0</v>
      </c>
      <c r="Z1290" s="4">
        <v>600000</v>
      </c>
      <c r="AA1290">
        <v>0</v>
      </c>
      <c r="AB1290">
        <v>0</v>
      </c>
      <c r="AC1290">
        <v>0</v>
      </c>
      <c r="AD1290">
        <v>0</v>
      </c>
      <c r="AG1290">
        <v>0</v>
      </c>
      <c r="AP1290" t="s">
        <v>588</v>
      </c>
      <c r="AQ1290" t="s">
        <v>175</v>
      </c>
      <c r="AR1290" t="s">
        <v>6642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BC1290" t="s">
        <v>69</v>
      </c>
      <c r="BD1290" t="s">
        <v>4573</v>
      </c>
      <c r="BE1290">
        <v>0</v>
      </c>
      <c r="BG1290" t="s">
        <v>175</v>
      </c>
      <c r="BJ1290" t="s">
        <v>4574</v>
      </c>
    </row>
    <row r="1291" spans="1:62" x14ac:dyDescent="0.35">
      <c r="A1291" t="s">
        <v>4575</v>
      </c>
      <c r="B1291">
        <v>10000</v>
      </c>
      <c r="C1291">
        <v>10000</v>
      </c>
      <c r="D1291" s="2">
        <v>45740</v>
      </c>
      <c r="E1291" t="s">
        <v>61</v>
      </c>
      <c r="F1291" t="s">
        <v>4576</v>
      </c>
      <c r="G1291" t="s">
        <v>4245</v>
      </c>
      <c r="I1291">
        <v>1</v>
      </c>
      <c r="J1291" t="s">
        <v>63</v>
      </c>
      <c r="K1291" s="8">
        <v>63</v>
      </c>
      <c r="L1291" s="8" t="s">
        <v>6605</v>
      </c>
      <c r="M1291" s="8" t="s">
        <v>6630</v>
      </c>
      <c r="N1291" t="s">
        <v>519</v>
      </c>
      <c r="O1291" t="s">
        <v>6569</v>
      </c>
      <c r="P1291" s="4">
        <v>10000</v>
      </c>
      <c r="Q1291">
        <f t="shared" si="331"/>
        <v>295</v>
      </c>
      <c r="R1291">
        <f t="shared" si="330"/>
        <v>4.916666666666667</v>
      </c>
      <c r="S1291" s="2">
        <v>45736</v>
      </c>
      <c r="U1291">
        <v>60</v>
      </c>
      <c r="V1291" s="4">
        <v>600000</v>
      </c>
      <c r="W1291" t="s">
        <v>65</v>
      </c>
      <c r="X1291" t="s">
        <v>587</v>
      </c>
      <c r="Y1291">
        <v>0</v>
      </c>
      <c r="Z1291" s="4">
        <v>600000</v>
      </c>
      <c r="AA1291">
        <v>0</v>
      </c>
      <c r="AB1291">
        <v>0</v>
      </c>
      <c r="AC1291">
        <v>0</v>
      </c>
      <c r="AD1291">
        <v>0</v>
      </c>
      <c r="AG1291">
        <v>0</v>
      </c>
      <c r="AP1291" t="s">
        <v>588</v>
      </c>
      <c r="AQ1291" t="s">
        <v>175</v>
      </c>
      <c r="AR1291" t="s">
        <v>6642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BC1291" t="s">
        <v>69</v>
      </c>
      <c r="BD1291" t="s">
        <v>4577</v>
      </c>
      <c r="BE1291">
        <v>0</v>
      </c>
      <c r="BG1291" t="s">
        <v>175</v>
      </c>
      <c r="BJ1291" t="s">
        <v>4578</v>
      </c>
    </row>
    <row r="1292" spans="1:62" x14ac:dyDescent="0.35">
      <c r="A1292" t="s">
        <v>2971</v>
      </c>
      <c r="B1292">
        <v>10000</v>
      </c>
      <c r="C1292">
        <v>20000</v>
      </c>
      <c r="D1292" s="2">
        <v>45736</v>
      </c>
      <c r="E1292" t="s">
        <v>61</v>
      </c>
      <c r="F1292" t="s">
        <v>2972</v>
      </c>
      <c r="G1292" t="s">
        <v>2973</v>
      </c>
      <c r="I1292">
        <v>2</v>
      </c>
      <c r="J1292" t="s">
        <v>63</v>
      </c>
      <c r="K1292" s="8">
        <v>105</v>
      </c>
      <c r="L1292" s="8" t="s">
        <v>6612</v>
      </c>
      <c r="M1292" s="8" t="s">
        <v>6632</v>
      </c>
      <c r="N1292" t="s">
        <v>424</v>
      </c>
      <c r="O1292" t="s">
        <v>6570</v>
      </c>
      <c r="P1292" s="4">
        <v>10500</v>
      </c>
      <c r="S1292" s="2">
        <v>45736</v>
      </c>
      <c r="U1292">
        <v>1</v>
      </c>
      <c r="V1292" s="4">
        <v>10500</v>
      </c>
      <c r="W1292" t="s">
        <v>65</v>
      </c>
      <c r="X1292" t="s">
        <v>2974</v>
      </c>
      <c r="Y1292">
        <v>0</v>
      </c>
      <c r="Z1292" s="4">
        <v>10000</v>
      </c>
      <c r="AA1292">
        <v>500</v>
      </c>
      <c r="AB1292">
        <v>0</v>
      </c>
      <c r="AC1292">
        <v>0</v>
      </c>
      <c r="AD1292">
        <v>0</v>
      </c>
      <c r="AG1292">
        <v>0</v>
      </c>
      <c r="AP1292" t="s">
        <v>2975</v>
      </c>
      <c r="AQ1292" t="s">
        <v>2976</v>
      </c>
      <c r="AR1292" t="s">
        <v>6711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BC1292" t="s">
        <v>69</v>
      </c>
      <c r="BD1292" t="s">
        <v>2977</v>
      </c>
      <c r="BE1292">
        <v>0</v>
      </c>
      <c r="BG1292" t="s">
        <v>2976</v>
      </c>
      <c r="BJ1292" t="s">
        <v>2978</v>
      </c>
    </row>
    <row r="1293" spans="1:62" x14ac:dyDescent="0.35">
      <c r="A1293" t="s">
        <v>4579</v>
      </c>
      <c r="B1293">
        <v>10000</v>
      </c>
      <c r="C1293">
        <v>10000</v>
      </c>
      <c r="D1293" s="2">
        <v>45737</v>
      </c>
      <c r="E1293" t="s">
        <v>61</v>
      </c>
      <c r="F1293" t="s">
        <v>4580</v>
      </c>
      <c r="G1293" t="s">
        <v>3767</v>
      </c>
      <c r="I1293">
        <v>1</v>
      </c>
      <c r="J1293" t="s">
        <v>63</v>
      </c>
      <c r="K1293" s="8">
        <v>46</v>
      </c>
      <c r="L1293" s="8" t="s">
        <v>6587</v>
      </c>
      <c r="M1293" s="8" t="s">
        <v>6629</v>
      </c>
      <c r="N1293" t="s">
        <v>113</v>
      </c>
      <c r="O1293" t="s">
        <v>6499</v>
      </c>
      <c r="P1293" s="4">
        <v>2000</v>
      </c>
      <c r="Q1293">
        <f t="shared" ref="Q1293:Q1294" si="332">(P1293/40)+45</f>
        <v>95</v>
      </c>
      <c r="R1293">
        <f t="shared" ref="R1293:R1294" si="333">Q1293/60</f>
        <v>1.5833333333333333</v>
      </c>
      <c r="S1293" s="2">
        <v>45736</v>
      </c>
      <c r="U1293">
        <v>1</v>
      </c>
      <c r="V1293" s="4">
        <v>2000</v>
      </c>
      <c r="W1293" t="s">
        <v>65</v>
      </c>
      <c r="X1293" t="s">
        <v>4581</v>
      </c>
      <c r="Y1293">
        <v>0</v>
      </c>
      <c r="Z1293" s="4">
        <v>2000</v>
      </c>
      <c r="AA1293">
        <v>0</v>
      </c>
      <c r="AB1293">
        <v>0</v>
      </c>
      <c r="AC1293">
        <v>0</v>
      </c>
      <c r="AD1293">
        <v>0</v>
      </c>
      <c r="AG1293">
        <v>0</v>
      </c>
      <c r="AP1293" t="s">
        <v>4582</v>
      </c>
      <c r="AQ1293" t="s">
        <v>116</v>
      </c>
      <c r="AR1293" t="s">
        <v>6639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BC1293" t="s">
        <v>69</v>
      </c>
      <c r="BD1293" t="s">
        <v>4583</v>
      </c>
      <c r="BE1293">
        <v>0</v>
      </c>
      <c r="BG1293" t="s">
        <v>116</v>
      </c>
      <c r="BJ1293" t="s">
        <v>3004</v>
      </c>
    </row>
    <row r="1294" spans="1:62" x14ac:dyDescent="0.35">
      <c r="A1294" t="s">
        <v>4584</v>
      </c>
      <c r="B1294">
        <v>10000</v>
      </c>
      <c r="C1294">
        <v>10000</v>
      </c>
      <c r="D1294" s="2">
        <v>45736</v>
      </c>
      <c r="E1294" t="s">
        <v>61</v>
      </c>
      <c r="F1294" t="s">
        <v>4296</v>
      </c>
      <c r="G1294" t="s">
        <v>3767</v>
      </c>
      <c r="I1294">
        <v>1</v>
      </c>
      <c r="J1294" t="s">
        <v>63</v>
      </c>
      <c r="K1294" s="8">
        <v>46</v>
      </c>
      <c r="L1294" s="8" t="s">
        <v>6587</v>
      </c>
      <c r="M1294" s="8" t="s">
        <v>6629</v>
      </c>
      <c r="N1294" t="s">
        <v>113</v>
      </c>
      <c r="O1294" t="s">
        <v>6499</v>
      </c>
      <c r="P1294" s="4">
        <v>4000</v>
      </c>
      <c r="Q1294">
        <f t="shared" si="332"/>
        <v>145</v>
      </c>
      <c r="R1294">
        <f t="shared" si="333"/>
        <v>2.4166666666666665</v>
      </c>
      <c r="S1294" s="2">
        <v>45736</v>
      </c>
      <c r="U1294">
        <v>1</v>
      </c>
      <c r="V1294" s="4">
        <v>4000</v>
      </c>
      <c r="W1294" t="s">
        <v>65</v>
      </c>
      <c r="X1294" t="s">
        <v>4254</v>
      </c>
      <c r="Y1294">
        <v>0</v>
      </c>
      <c r="Z1294" s="4">
        <v>4000</v>
      </c>
      <c r="AA1294">
        <v>0</v>
      </c>
      <c r="AB1294">
        <v>0</v>
      </c>
      <c r="AC1294">
        <v>0</v>
      </c>
      <c r="AD1294">
        <v>0</v>
      </c>
      <c r="AG1294">
        <v>0</v>
      </c>
      <c r="AP1294" t="s">
        <v>4255</v>
      </c>
      <c r="AQ1294" t="s">
        <v>116</v>
      </c>
      <c r="AR1294" t="s">
        <v>6639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BC1294" t="s">
        <v>69</v>
      </c>
      <c r="BD1294" t="s">
        <v>4585</v>
      </c>
      <c r="BE1294">
        <v>0</v>
      </c>
      <c r="BG1294" t="s">
        <v>116</v>
      </c>
      <c r="BJ1294" t="s">
        <v>4586</v>
      </c>
    </row>
    <row r="1295" spans="1:62" x14ac:dyDescent="0.35">
      <c r="A1295" t="s">
        <v>4587</v>
      </c>
      <c r="B1295">
        <v>10000</v>
      </c>
      <c r="C1295">
        <v>10000</v>
      </c>
      <c r="D1295" s="2">
        <v>45736</v>
      </c>
      <c r="E1295" t="s">
        <v>61</v>
      </c>
      <c r="F1295" t="s">
        <v>4588</v>
      </c>
      <c r="G1295" t="s">
        <v>3184</v>
      </c>
      <c r="I1295">
        <v>1</v>
      </c>
      <c r="J1295" t="s">
        <v>63</v>
      </c>
      <c r="K1295" s="8">
        <v>61</v>
      </c>
      <c r="L1295" s="8" t="s">
        <v>6594</v>
      </c>
      <c r="M1295" s="8" t="s">
        <v>6629</v>
      </c>
      <c r="N1295" t="s">
        <v>216</v>
      </c>
      <c r="O1295" t="s">
        <v>6394</v>
      </c>
      <c r="P1295">
        <v>150</v>
      </c>
      <c r="Q1295">
        <f>(P1295/50)+45</f>
        <v>48</v>
      </c>
      <c r="R1295">
        <f>Q1295/60</f>
        <v>0.8</v>
      </c>
      <c r="S1295" s="2">
        <v>45736</v>
      </c>
      <c r="U1295">
        <v>1</v>
      </c>
      <c r="V1295">
        <v>150</v>
      </c>
      <c r="W1295" t="s">
        <v>65</v>
      </c>
      <c r="X1295">
        <v>107324240001</v>
      </c>
      <c r="Y1295">
        <v>0</v>
      </c>
      <c r="Z1295">
        <v>150</v>
      </c>
      <c r="AA1295">
        <v>0</v>
      </c>
      <c r="AB1295">
        <v>0</v>
      </c>
      <c r="AC1295">
        <v>0</v>
      </c>
      <c r="AD1295">
        <v>0</v>
      </c>
      <c r="AG1295">
        <v>0</v>
      </c>
      <c r="AP1295">
        <v>10732424</v>
      </c>
      <c r="AQ1295" t="s">
        <v>487</v>
      </c>
      <c r="AR1295" t="s">
        <v>6656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BC1295" t="s">
        <v>69</v>
      </c>
      <c r="BD1295" t="s">
        <v>4589</v>
      </c>
      <c r="BE1295">
        <v>0</v>
      </c>
      <c r="BG1295" t="s">
        <v>487</v>
      </c>
      <c r="BJ1295" t="s">
        <v>4590</v>
      </c>
    </row>
    <row r="1296" spans="1:62" x14ac:dyDescent="0.35">
      <c r="A1296" t="s">
        <v>4591</v>
      </c>
      <c r="B1296">
        <v>10000</v>
      </c>
      <c r="C1296">
        <v>10000</v>
      </c>
      <c r="D1296" s="2">
        <v>45737</v>
      </c>
      <c r="E1296" t="s">
        <v>61</v>
      </c>
      <c r="F1296" t="s">
        <v>4592</v>
      </c>
      <c r="G1296" t="s">
        <v>4284</v>
      </c>
      <c r="I1296">
        <v>1</v>
      </c>
      <c r="J1296" t="s">
        <v>63</v>
      </c>
      <c r="K1296" s="8">
        <v>32</v>
      </c>
      <c r="L1296" s="8" t="s">
        <v>6607</v>
      </c>
      <c r="M1296" s="8" t="s">
        <v>6629</v>
      </c>
      <c r="N1296" t="s">
        <v>553</v>
      </c>
      <c r="O1296" t="s">
        <v>6552</v>
      </c>
      <c r="P1296" s="4">
        <v>5860</v>
      </c>
      <c r="S1296" s="2">
        <v>45736</v>
      </c>
      <c r="U1296">
        <v>1</v>
      </c>
      <c r="V1296" s="4">
        <v>5860</v>
      </c>
      <c r="W1296" t="s">
        <v>65</v>
      </c>
      <c r="X1296" t="s">
        <v>2059</v>
      </c>
      <c r="Y1296">
        <v>0</v>
      </c>
      <c r="Z1296" s="4">
        <v>5360</v>
      </c>
      <c r="AA1296">
        <v>500</v>
      </c>
      <c r="AB1296">
        <v>0</v>
      </c>
      <c r="AC1296">
        <v>0</v>
      </c>
      <c r="AD1296">
        <v>0</v>
      </c>
      <c r="AG1296">
        <v>0</v>
      </c>
      <c r="AP1296" t="s">
        <v>2060</v>
      </c>
      <c r="AQ1296" t="s">
        <v>116</v>
      </c>
      <c r="AR1296" t="s">
        <v>6639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BC1296" t="s">
        <v>69</v>
      </c>
      <c r="BD1296" t="s">
        <v>4593</v>
      </c>
      <c r="BE1296">
        <v>0</v>
      </c>
      <c r="BG1296" t="s">
        <v>116</v>
      </c>
      <c r="BJ1296" t="s">
        <v>3994</v>
      </c>
    </row>
    <row r="1297" spans="1:62" x14ac:dyDescent="0.35">
      <c r="A1297" t="s">
        <v>4594</v>
      </c>
      <c r="B1297">
        <v>10000</v>
      </c>
      <c r="C1297">
        <v>10000</v>
      </c>
      <c r="D1297" s="2">
        <v>45737</v>
      </c>
      <c r="E1297" t="s">
        <v>61</v>
      </c>
      <c r="F1297" t="s">
        <v>4592</v>
      </c>
      <c r="G1297" t="s">
        <v>4284</v>
      </c>
      <c r="I1297">
        <v>1</v>
      </c>
      <c r="J1297" t="s">
        <v>63</v>
      </c>
      <c r="K1297" s="8">
        <v>32</v>
      </c>
      <c r="L1297" s="8" t="s">
        <v>6607</v>
      </c>
      <c r="M1297" s="8" t="s">
        <v>6629</v>
      </c>
      <c r="N1297" t="s">
        <v>553</v>
      </c>
      <c r="O1297" t="s">
        <v>6552</v>
      </c>
      <c r="P1297" s="4">
        <v>5860</v>
      </c>
      <c r="S1297" s="2">
        <v>45736</v>
      </c>
      <c r="U1297">
        <v>1</v>
      </c>
      <c r="V1297" s="4">
        <v>5860</v>
      </c>
      <c r="W1297" t="s">
        <v>65</v>
      </c>
      <c r="X1297" t="s">
        <v>2059</v>
      </c>
      <c r="Y1297">
        <v>0</v>
      </c>
      <c r="Z1297" s="4">
        <v>5360</v>
      </c>
      <c r="AA1297">
        <v>500</v>
      </c>
      <c r="AB1297">
        <v>0</v>
      </c>
      <c r="AC1297">
        <v>0</v>
      </c>
      <c r="AD1297">
        <v>0</v>
      </c>
      <c r="AG1297">
        <v>0</v>
      </c>
      <c r="AP1297" t="s">
        <v>2060</v>
      </c>
      <c r="AQ1297" t="s">
        <v>116</v>
      </c>
      <c r="AR1297" t="s">
        <v>6639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BC1297" t="s">
        <v>69</v>
      </c>
      <c r="BD1297" t="s">
        <v>4595</v>
      </c>
      <c r="BE1297">
        <v>0</v>
      </c>
      <c r="BG1297" t="s">
        <v>116</v>
      </c>
      <c r="BJ1297" t="s">
        <v>3998</v>
      </c>
    </row>
    <row r="1298" spans="1:62" x14ac:dyDescent="0.35">
      <c r="A1298" t="s">
        <v>4596</v>
      </c>
      <c r="B1298">
        <v>10000</v>
      </c>
      <c r="C1298">
        <v>10000</v>
      </c>
      <c r="D1298" s="2">
        <v>45737</v>
      </c>
      <c r="E1298" t="s">
        <v>61</v>
      </c>
      <c r="F1298" t="s">
        <v>4263</v>
      </c>
      <c r="G1298" t="s">
        <v>4009</v>
      </c>
      <c r="I1298">
        <v>1</v>
      </c>
      <c r="J1298" t="s">
        <v>63</v>
      </c>
      <c r="K1298" s="8">
        <v>22</v>
      </c>
      <c r="L1298" s="8" t="s">
        <v>6603</v>
      </c>
      <c r="M1298" s="8" t="s">
        <v>6629</v>
      </c>
      <c r="N1298" t="s">
        <v>466</v>
      </c>
      <c r="O1298" t="s">
        <v>6474</v>
      </c>
      <c r="P1298" s="4">
        <v>7000</v>
      </c>
      <c r="Q1298">
        <f t="shared" ref="Q1298:Q1301" si="334">(P1298/50)+45</f>
        <v>185</v>
      </c>
      <c r="R1298">
        <f t="shared" ref="R1298:R1301" si="335">Q1298/60</f>
        <v>3.0833333333333335</v>
      </c>
      <c r="S1298" s="2">
        <v>45736</v>
      </c>
      <c r="U1298">
        <v>2</v>
      </c>
      <c r="V1298" s="4">
        <v>14000</v>
      </c>
      <c r="W1298" t="s">
        <v>65</v>
      </c>
      <c r="X1298" t="s">
        <v>4597</v>
      </c>
      <c r="Y1298">
        <v>0</v>
      </c>
      <c r="Z1298" s="4">
        <v>14000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4598</v>
      </c>
      <c r="AQ1298" t="s">
        <v>116</v>
      </c>
      <c r="AR1298" t="s">
        <v>6639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BC1298" t="s">
        <v>69</v>
      </c>
      <c r="BD1298" t="s">
        <v>4599</v>
      </c>
      <c r="BE1298">
        <v>0</v>
      </c>
      <c r="BG1298" t="s">
        <v>116</v>
      </c>
      <c r="BJ1298" t="s">
        <v>3073</v>
      </c>
    </row>
    <row r="1299" spans="1:62" x14ac:dyDescent="0.35">
      <c r="A1299" t="s">
        <v>4600</v>
      </c>
      <c r="B1299">
        <v>10000</v>
      </c>
      <c r="C1299">
        <v>10000</v>
      </c>
      <c r="D1299" s="2">
        <v>45736</v>
      </c>
      <c r="E1299" t="s">
        <v>61</v>
      </c>
      <c r="F1299" t="s">
        <v>4292</v>
      </c>
      <c r="G1299" t="s">
        <v>4293</v>
      </c>
      <c r="I1299">
        <v>1</v>
      </c>
      <c r="J1299" t="s">
        <v>63</v>
      </c>
      <c r="K1299" s="8">
        <v>61</v>
      </c>
      <c r="L1299" s="8" t="s">
        <v>6594</v>
      </c>
      <c r="M1299" s="8" t="s">
        <v>6629</v>
      </c>
      <c r="N1299" t="s">
        <v>197</v>
      </c>
      <c r="O1299" t="s">
        <v>6565</v>
      </c>
      <c r="P1299" s="4">
        <v>5667</v>
      </c>
      <c r="Q1299">
        <f t="shared" si="334"/>
        <v>158.34</v>
      </c>
      <c r="R1299">
        <f t="shared" si="335"/>
        <v>2.6390000000000002</v>
      </c>
      <c r="S1299" s="2">
        <v>45736</v>
      </c>
      <c r="U1299">
        <v>6</v>
      </c>
      <c r="V1299" s="4">
        <v>34002</v>
      </c>
      <c r="W1299" t="s">
        <v>65</v>
      </c>
      <c r="X1299" t="s">
        <v>1903</v>
      </c>
      <c r="Y1299">
        <v>0</v>
      </c>
      <c r="Z1299" s="4">
        <v>34000</v>
      </c>
      <c r="AA1299">
        <v>2</v>
      </c>
      <c r="AB1299">
        <v>0</v>
      </c>
      <c r="AC1299">
        <v>0</v>
      </c>
      <c r="AD1299">
        <v>0</v>
      </c>
      <c r="AG1299">
        <v>0</v>
      </c>
      <c r="AP1299" t="s">
        <v>1904</v>
      </c>
      <c r="AQ1299" t="s">
        <v>116</v>
      </c>
      <c r="AR1299" t="s">
        <v>6639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C1299" t="s">
        <v>69</v>
      </c>
      <c r="BD1299" t="s">
        <v>4601</v>
      </c>
      <c r="BE1299">
        <v>0</v>
      </c>
      <c r="BG1299" t="s">
        <v>116</v>
      </c>
      <c r="BJ1299" t="s">
        <v>3323</v>
      </c>
    </row>
    <row r="1300" spans="1:62" x14ac:dyDescent="0.35">
      <c r="A1300" t="s">
        <v>4602</v>
      </c>
      <c r="B1300">
        <v>10000</v>
      </c>
      <c r="C1300">
        <v>10000</v>
      </c>
      <c r="D1300" s="2">
        <v>45737</v>
      </c>
      <c r="E1300" t="s">
        <v>61</v>
      </c>
      <c r="F1300" t="s">
        <v>4580</v>
      </c>
      <c r="G1300" t="s">
        <v>4293</v>
      </c>
      <c r="I1300">
        <v>1</v>
      </c>
      <c r="J1300" t="s">
        <v>63</v>
      </c>
      <c r="K1300" s="8">
        <v>61</v>
      </c>
      <c r="L1300" s="8" t="s">
        <v>6594</v>
      </c>
      <c r="M1300" s="8" t="s">
        <v>6629</v>
      </c>
      <c r="N1300" t="s">
        <v>197</v>
      </c>
      <c r="O1300" t="s">
        <v>6565</v>
      </c>
      <c r="P1300" s="4">
        <v>4334</v>
      </c>
      <c r="Q1300">
        <f t="shared" si="334"/>
        <v>131.68</v>
      </c>
      <c r="R1300">
        <f t="shared" si="335"/>
        <v>2.194666666666667</v>
      </c>
      <c r="S1300" s="2">
        <v>45736</v>
      </c>
      <c r="U1300">
        <v>6</v>
      </c>
      <c r="V1300" s="4">
        <v>26004</v>
      </c>
      <c r="W1300" t="s">
        <v>65</v>
      </c>
      <c r="X1300" t="s">
        <v>2413</v>
      </c>
      <c r="Y1300">
        <v>0</v>
      </c>
      <c r="Z1300" s="4">
        <v>26000</v>
      </c>
      <c r="AA1300">
        <v>4</v>
      </c>
      <c r="AB1300">
        <v>0</v>
      </c>
      <c r="AC1300">
        <v>0</v>
      </c>
      <c r="AD1300">
        <v>0</v>
      </c>
      <c r="AG1300">
        <v>0</v>
      </c>
      <c r="AP1300" t="s">
        <v>2414</v>
      </c>
      <c r="AQ1300" t="s">
        <v>116</v>
      </c>
      <c r="AR1300" t="s">
        <v>6639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BC1300" t="s">
        <v>69</v>
      </c>
      <c r="BD1300" t="s">
        <v>4603</v>
      </c>
      <c r="BE1300">
        <v>0</v>
      </c>
      <c r="BG1300" t="s">
        <v>116</v>
      </c>
      <c r="BJ1300" t="s">
        <v>3532</v>
      </c>
    </row>
    <row r="1301" spans="1:62" x14ac:dyDescent="0.35">
      <c r="A1301" t="s">
        <v>4604</v>
      </c>
      <c r="B1301">
        <v>10000</v>
      </c>
      <c r="C1301">
        <v>10000</v>
      </c>
      <c r="D1301" s="2">
        <v>45736</v>
      </c>
      <c r="E1301" t="s">
        <v>61</v>
      </c>
      <c r="F1301" t="s">
        <v>4296</v>
      </c>
      <c r="G1301" t="s">
        <v>4009</v>
      </c>
      <c r="I1301">
        <v>1</v>
      </c>
      <c r="J1301" t="s">
        <v>63</v>
      </c>
      <c r="K1301" s="8">
        <v>22</v>
      </c>
      <c r="L1301" s="8" t="s">
        <v>6603</v>
      </c>
      <c r="M1301" s="8" t="s">
        <v>6629</v>
      </c>
      <c r="N1301" t="s">
        <v>466</v>
      </c>
      <c r="O1301" t="s">
        <v>6474</v>
      </c>
      <c r="P1301" s="4">
        <v>8500</v>
      </c>
      <c r="Q1301">
        <f t="shared" si="334"/>
        <v>215</v>
      </c>
      <c r="R1301">
        <f t="shared" si="335"/>
        <v>3.5833333333333335</v>
      </c>
      <c r="S1301" s="2">
        <v>45736</v>
      </c>
      <c r="U1301">
        <v>2</v>
      </c>
      <c r="V1301" s="4">
        <v>17000</v>
      </c>
      <c r="W1301" t="s">
        <v>65</v>
      </c>
      <c r="X1301" t="s">
        <v>2902</v>
      </c>
      <c r="Y1301">
        <v>0</v>
      </c>
      <c r="Z1301" s="4">
        <v>17000</v>
      </c>
      <c r="AA1301">
        <v>0</v>
      </c>
      <c r="AB1301">
        <v>0</v>
      </c>
      <c r="AC1301">
        <v>0</v>
      </c>
      <c r="AD1301">
        <v>0</v>
      </c>
      <c r="AG1301">
        <v>0</v>
      </c>
      <c r="AP1301" t="s">
        <v>2903</v>
      </c>
      <c r="AQ1301" t="s">
        <v>116</v>
      </c>
      <c r="AR1301" t="s">
        <v>6639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C1301" t="s">
        <v>69</v>
      </c>
      <c r="BD1301" t="s">
        <v>4605</v>
      </c>
      <c r="BE1301">
        <v>0</v>
      </c>
      <c r="BG1301" t="s">
        <v>116</v>
      </c>
      <c r="BJ1301" t="s">
        <v>3823</v>
      </c>
    </row>
    <row r="1302" spans="1:62" x14ac:dyDescent="0.35">
      <c r="A1302" t="s">
        <v>4305</v>
      </c>
      <c r="B1302">
        <v>10000</v>
      </c>
      <c r="C1302">
        <v>20000</v>
      </c>
      <c r="D1302" s="2">
        <v>45744</v>
      </c>
      <c r="E1302" t="s">
        <v>61</v>
      </c>
      <c r="F1302" t="s">
        <v>4306</v>
      </c>
      <c r="G1302" t="s">
        <v>4218</v>
      </c>
      <c r="I1302">
        <v>2</v>
      </c>
      <c r="J1302" t="s">
        <v>63</v>
      </c>
      <c r="K1302" s="8">
        <v>77</v>
      </c>
      <c r="L1302" s="8" t="s">
        <v>6584</v>
      </c>
      <c r="M1302" s="8" t="s">
        <v>6627</v>
      </c>
      <c r="N1302" t="s">
        <v>127</v>
      </c>
      <c r="O1302" t="s">
        <v>6567</v>
      </c>
      <c r="P1302" s="4">
        <v>1250</v>
      </c>
      <c r="Q1302">
        <f t="shared" ref="Q1302:Q1305" si="336">(P1302/60)+45</f>
        <v>65.833333333333329</v>
      </c>
      <c r="R1302">
        <f t="shared" ref="R1302:R1305" si="337">Q1302/60</f>
        <v>1.0972222222222221</v>
      </c>
      <c r="S1302" s="2">
        <v>45736</v>
      </c>
      <c r="U1302">
        <v>88</v>
      </c>
      <c r="V1302" s="4">
        <v>110000</v>
      </c>
      <c r="W1302" t="s">
        <v>65</v>
      </c>
      <c r="X1302" t="s">
        <v>4307</v>
      </c>
      <c r="Y1302">
        <v>0</v>
      </c>
      <c r="Z1302" s="4">
        <v>100000</v>
      </c>
      <c r="AA1302" s="4">
        <v>10000</v>
      </c>
      <c r="AB1302">
        <v>0</v>
      </c>
      <c r="AC1302">
        <v>0</v>
      </c>
      <c r="AD1302">
        <v>0</v>
      </c>
      <c r="AG1302">
        <v>0</v>
      </c>
      <c r="AP1302" t="s">
        <v>4308</v>
      </c>
      <c r="AQ1302" t="s">
        <v>107</v>
      </c>
      <c r="AR1302" t="s">
        <v>6638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C1302" t="s">
        <v>69</v>
      </c>
      <c r="BD1302" t="s">
        <v>4309</v>
      </c>
      <c r="BE1302">
        <v>0</v>
      </c>
      <c r="BG1302" t="s">
        <v>107</v>
      </c>
      <c r="BJ1302" t="s">
        <v>4310</v>
      </c>
    </row>
    <row r="1303" spans="1:62" x14ac:dyDescent="0.35">
      <c r="A1303" t="s">
        <v>4311</v>
      </c>
      <c r="B1303">
        <v>10000</v>
      </c>
      <c r="C1303">
        <v>20000</v>
      </c>
      <c r="D1303" s="2">
        <v>45744</v>
      </c>
      <c r="E1303" t="s">
        <v>61</v>
      </c>
      <c r="F1303" t="s">
        <v>4312</v>
      </c>
      <c r="G1303" t="s">
        <v>4218</v>
      </c>
      <c r="I1303">
        <v>2</v>
      </c>
      <c r="J1303" t="s">
        <v>63</v>
      </c>
      <c r="K1303" s="8">
        <v>77</v>
      </c>
      <c r="L1303" s="8" t="s">
        <v>6584</v>
      </c>
      <c r="M1303" s="8" t="s">
        <v>6627</v>
      </c>
      <c r="N1303" t="s">
        <v>127</v>
      </c>
      <c r="O1303" t="s">
        <v>6567</v>
      </c>
      <c r="P1303" s="4">
        <v>1250</v>
      </c>
      <c r="Q1303">
        <f t="shared" si="336"/>
        <v>65.833333333333329</v>
      </c>
      <c r="R1303">
        <f t="shared" si="337"/>
        <v>1.0972222222222221</v>
      </c>
      <c r="S1303" s="2">
        <v>45736</v>
      </c>
      <c r="U1303">
        <v>88</v>
      </c>
      <c r="V1303" s="4">
        <v>110000</v>
      </c>
      <c r="W1303" t="s">
        <v>65</v>
      </c>
      <c r="X1303" t="s">
        <v>4313</v>
      </c>
      <c r="Y1303">
        <v>0</v>
      </c>
      <c r="Z1303" s="4">
        <v>100000</v>
      </c>
      <c r="AA1303" s="4">
        <v>10000</v>
      </c>
      <c r="AB1303">
        <v>0</v>
      </c>
      <c r="AC1303">
        <v>0</v>
      </c>
      <c r="AD1303">
        <v>0</v>
      </c>
      <c r="AG1303">
        <v>0</v>
      </c>
      <c r="AP1303" t="s">
        <v>4314</v>
      </c>
      <c r="AQ1303" t="s">
        <v>107</v>
      </c>
      <c r="AR1303" t="s">
        <v>6638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BC1303" t="s">
        <v>69</v>
      </c>
      <c r="BD1303" t="s">
        <v>4315</v>
      </c>
      <c r="BE1303">
        <v>0</v>
      </c>
      <c r="BG1303" t="s">
        <v>107</v>
      </c>
      <c r="BJ1303" t="s">
        <v>4316</v>
      </c>
    </row>
    <row r="1304" spans="1:62" x14ac:dyDescent="0.35">
      <c r="A1304" t="s">
        <v>4317</v>
      </c>
      <c r="B1304">
        <v>10000</v>
      </c>
      <c r="C1304">
        <v>20000</v>
      </c>
      <c r="D1304" s="2">
        <v>45741</v>
      </c>
      <c r="E1304" t="s">
        <v>61</v>
      </c>
      <c r="F1304" t="s">
        <v>4318</v>
      </c>
      <c r="G1304" t="s">
        <v>4156</v>
      </c>
      <c r="I1304">
        <v>2</v>
      </c>
      <c r="J1304" t="s">
        <v>63</v>
      </c>
      <c r="K1304" s="8">
        <v>77</v>
      </c>
      <c r="L1304" s="8" t="s">
        <v>6584</v>
      </c>
      <c r="M1304" s="8" t="s">
        <v>6627</v>
      </c>
      <c r="N1304" t="s">
        <v>127</v>
      </c>
      <c r="O1304" t="s">
        <v>6567</v>
      </c>
      <c r="P1304" s="4">
        <v>1250</v>
      </c>
      <c r="Q1304">
        <f t="shared" si="336"/>
        <v>65.833333333333329</v>
      </c>
      <c r="R1304">
        <f t="shared" si="337"/>
        <v>1.0972222222222221</v>
      </c>
      <c r="S1304" s="2">
        <v>45736</v>
      </c>
      <c r="U1304">
        <v>88</v>
      </c>
      <c r="V1304" s="4">
        <v>110000</v>
      </c>
      <c r="W1304" t="s">
        <v>65</v>
      </c>
      <c r="X1304" t="s">
        <v>574</v>
      </c>
      <c r="Y1304">
        <v>0</v>
      </c>
      <c r="Z1304" s="4">
        <v>100000</v>
      </c>
      <c r="AA1304" s="4">
        <v>10000</v>
      </c>
      <c r="AB1304">
        <v>0</v>
      </c>
      <c r="AC1304">
        <v>0</v>
      </c>
      <c r="AD1304">
        <v>0</v>
      </c>
      <c r="AG1304">
        <v>0</v>
      </c>
      <c r="AP1304" t="s">
        <v>575</v>
      </c>
      <c r="AQ1304" t="s">
        <v>107</v>
      </c>
      <c r="AR1304" t="s">
        <v>6638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BC1304" t="s">
        <v>69</v>
      </c>
      <c r="BD1304" t="s">
        <v>4319</v>
      </c>
      <c r="BE1304">
        <v>0</v>
      </c>
      <c r="BG1304" t="s">
        <v>107</v>
      </c>
      <c r="BJ1304" t="s">
        <v>4320</v>
      </c>
    </row>
    <row r="1305" spans="1:62" x14ac:dyDescent="0.35">
      <c r="A1305" t="s">
        <v>4321</v>
      </c>
      <c r="B1305">
        <v>10000</v>
      </c>
      <c r="C1305">
        <v>20000</v>
      </c>
      <c r="D1305" s="2">
        <v>45744</v>
      </c>
      <c r="E1305" t="s">
        <v>95</v>
      </c>
      <c r="F1305" t="s">
        <v>359</v>
      </c>
      <c r="G1305" t="s">
        <v>4322</v>
      </c>
      <c r="I1305">
        <v>2</v>
      </c>
      <c r="J1305" t="s">
        <v>63</v>
      </c>
      <c r="K1305" s="8">
        <v>77</v>
      </c>
      <c r="L1305" s="8" t="s">
        <v>6584</v>
      </c>
      <c r="M1305" s="8" t="s">
        <v>6627</v>
      </c>
      <c r="N1305" t="s">
        <v>127</v>
      </c>
      <c r="O1305" t="s">
        <v>6567</v>
      </c>
      <c r="P1305" s="4">
        <v>2500</v>
      </c>
      <c r="Q1305">
        <f t="shared" si="336"/>
        <v>86.666666666666657</v>
      </c>
      <c r="R1305">
        <f t="shared" si="337"/>
        <v>1.4444444444444442</v>
      </c>
      <c r="S1305" s="2">
        <v>45736</v>
      </c>
      <c r="U1305">
        <v>88</v>
      </c>
      <c r="V1305" s="4">
        <v>220000</v>
      </c>
      <c r="W1305" t="s">
        <v>65</v>
      </c>
      <c r="X1305" t="s">
        <v>1224</v>
      </c>
      <c r="Y1305">
        <v>0</v>
      </c>
      <c r="Z1305" s="4">
        <v>200000</v>
      </c>
      <c r="AA1305" s="4">
        <v>20000</v>
      </c>
      <c r="AB1305">
        <v>0</v>
      </c>
      <c r="AC1305">
        <v>0</v>
      </c>
      <c r="AD1305">
        <v>0</v>
      </c>
      <c r="AG1305">
        <v>0</v>
      </c>
      <c r="AP1305" t="s">
        <v>1225</v>
      </c>
      <c r="AQ1305" t="s">
        <v>107</v>
      </c>
      <c r="AR1305" t="s">
        <v>6638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BC1305" t="s">
        <v>69</v>
      </c>
      <c r="BD1305" t="s">
        <v>4323</v>
      </c>
      <c r="BE1305">
        <v>0</v>
      </c>
      <c r="BG1305" t="s">
        <v>107</v>
      </c>
      <c r="BJ1305" t="s">
        <v>4324</v>
      </c>
    </row>
    <row r="1306" spans="1:62" x14ac:dyDescent="0.35">
      <c r="A1306" t="s">
        <v>4606</v>
      </c>
      <c r="B1306">
        <v>10000</v>
      </c>
      <c r="C1306">
        <v>10000</v>
      </c>
      <c r="D1306" s="2">
        <v>45741</v>
      </c>
      <c r="E1306" t="s">
        <v>61</v>
      </c>
      <c r="F1306" t="s">
        <v>4607</v>
      </c>
      <c r="G1306" t="s">
        <v>4608</v>
      </c>
      <c r="I1306">
        <v>1</v>
      </c>
      <c r="J1306" t="s">
        <v>63</v>
      </c>
      <c r="K1306" s="8">
        <v>88</v>
      </c>
      <c r="L1306" s="8" t="s">
        <v>6610</v>
      </c>
      <c r="M1306" s="8" t="s">
        <v>6631</v>
      </c>
      <c r="N1306" t="s">
        <v>630</v>
      </c>
      <c r="O1306" t="s">
        <v>6571</v>
      </c>
      <c r="P1306">
        <v>800</v>
      </c>
      <c r="S1306" s="2">
        <v>45736</v>
      </c>
      <c r="U1306">
        <v>1</v>
      </c>
      <c r="V1306">
        <v>800</v>
      </c>
      <c r="W1306" t="s">
        <v>65</v>
      </c>
      <c r="X1306" t="s">
        <v>4609</v>
      </c>
      <c r="Y1306">
        <v>0</v>
      </c>
      <c r="Z1306">
        <v>500</v>
      </c>
      <c r="AA1306">
        <v>300</v>
      </c>
      <c r="AB1306">
        <v>0</v>
      </c>
      <c r="AC1306">
        <v>0</v>
      </c>
      <c r="AD1306">
        <v>0</v>
      </c>
      <c r="AG1306">
        <v>0</v>
      </c>
      <c r="AP1306" t="s">
        <v>4610</v>
      </c>
      <c r="AQ1306" t="s">
        <v>1241</v>
      </c>
      <c r="AR1306" t="s">
        <v>6673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BC1306" t="s">
        <v>69</v>
      </c>
      <c r="BD1306" t="s">
        <v>4611</v>
      </c>
      <c r="BE1306">
        <v>0</v>
      </c>
      <c r="BG1306" t="s">
        <v>1241</v>
      </c>
      <c r="BJ1306" t="s">
        <v>3555</v>
      </c>
    </row>
    <row r="1307" spans="1:62" x14ac:dyDescent="0.35">
      <c r="A1307" t="s">
        <v>4612</v>
      </c>
      <c r="B1307">
        <v>10000</v>
      </c>
      <c r="C1307">
        <v>10000</v>
      </c>
      <c r="D1307" s="2">
        <v>45751</v>
      </c>
      <c r="E1307" t="s">
        <v>61</v>
      </c>
      <c r="F1307" t="s">
        <v>4613</v>
      </c>
      <c r="G1307">
        <v>10620258046</v>
      </c>
      <c r="I1307">
        <v>1</v>
      </c>
      <c r="J1307" t="s">
        <v>63</v>
      </c>
      <c r="K1307" s="8">
        <v>79</v>
      </c>
      <c r="L1307" s="8" t="s">
        <v>6608</v>
      </c>
      <c r="M1307" s="8" t="s">
        <v>6631</v>
      </c>
      <c r="N1307" t="s">
        <v>573</v>
      </c>
      <c r="O1307" t="s">
        <v>6547</v>
      </c>
      <c r="P1307">
        <v>384</v>
      </c>
      <c r="Q1307">
        <f>(P1307/20)+30</f>
        <v>49.2</v>
      </c>
      <c r="R1307">
        <f>Q1307/60</f>
        <v>0.82000000000000006</v>
      </c>
      <c r="S1307" s="2">
        <v>45736</v>
      </c>
      <c r="U1307">
        <v>308</v>
      </c>
      <c r="V1307" s="4">
        <v>118272</v>
      </c>
      <c r="W1307" t="s">
        <v>65</v>
      </c>
      <c r="X1307" t="s">
        <v>4614</v>
      </c>
      <c r="Y1307">
        <v>0</v>
      </c>
      <c r="Z1307" s="4">
        <v>100000</v>
      </c>
      <c r="AA1307" s="4">
        <v>18272</v>
      </c>
      <c r="AB1307">
        <v>0</v>
      </c>
      <c r="AC1307">
        <v>0</v>
      </c>
      <c r="AD1307">
        <v>0</v>
      </c>
      <c r="AG1307">
        <v>0</v>
      </c>
      <c r="AP1307" t="s">
        <v>4615</v>
      </c>
      <c r="AQ1307" t="s">
        <v>107</v>
      </c>
      <c r="AR1307" t="s">
        <v>6638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C1307" t="s">
        <v>69</v>
      </c>
      <c r="BD1307" t="s">
        <v>4616</v>
      </c>
      <c r="BE1307">
        <v>0</v>
      </c>
      <c r="BG1307" t="s">
        <v>107</v>
      </c>
      <c r="BJ1307" t="s">
        <v>4617</v>
      </c>
    </row>
    <row r="1308" spans="1:62" x14ac:dyDescent="0.35">
      <c r="A1308" t="s">
        <v>4333</v>
      </c>
      <c r="B1308">
        <v>10000</v>
      </c>
      <c r="C1308">
        <v>20000</v>
      </c>
      <c r="D1308" s="2">
        <v>45744</v>
      </c>
      <c r="E1308" t="s">
        <v>61</v>
      </c>
      <c r="F1308" t="s">
        <v>3979</v>
      </c>
      <c r="G1308" t="s">
        <v>4218</v>
      </c>
      <c r="I1308">
        <v>2</v>
      </c>
      <c r="J1308" t="s">
        <v>63</v>
      </c>
      <c r="K1308" s="8">
        <v>77</v>
      </c>
      <c r="L1308" s="8" t="s">
        <v>6584</v>
      </c>
      <c r="M1308" s="8" t="s">
        <v>6627</v>
      </c>
      <c r="N1308" t="s">
        <v>127</v>
      </c>
      <c r="O1308" t="s">
        <v>6567</v>
      </c>
      <c r="P1308" s="4">
        <v>1250</v>
      </c>
      <c r="Q1308">
        <f>(P1308/60)+45</f>
        <v>65.833333333333329</v>
      </c>
      <c r="R1308">
        <f>Q1308/60</f>
        <v>1.0972222222222221</v>
      </c>
      <c r="S1308" s="2">
        <v>45736</v>
      </c>
      <c r="U1308">
        <v>88</v>
      </c>
      <c r="V1308" s="4">
        <v>110000</v>
      </c>
      <c r="W1308" t="s">
        <v>65</v>
      </c>
      <c r="X1308" t="s">
        <v>4334</v>
      </c>
      <c r="Y1308">
        <v>0</v>
      </c>
      <c r="Z1308" s="4">
        <v>100000</v>
      </c>
      <c r="AA1308" s="4">
        <v>10000</v>
      </c>
      <c r="AB1308">
        <v>0</v>
      </c>
      <c r="AC1308">
        <v>0</v>
      </c>
      <c r="AD1308">
        <v>0</v>
      </c>
      <c r="AG1308">
        <v>0</v>
      </c>
      <c r="AP1308" t="s">
        <v>4335</v>
      </c>
      <c r="AQ1308" t="s">
        <v>107</v>
      </c>
      <c r="AR1308" t="s">
        <v>6638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BC1308" t="s">
        <v>69</v>
      </c>
      <c r="BD1308" t="s">
        <v>4336</v>
      </c>
      <c r="BE1308">
        <v>0</v>
      </c>
      <c r="BG1308" t="s">
        <v>107</v>
      </c>
      <c r="BJ1308" t="s">
        <v>4337</v>
      </c>
    </row>
    <row r="1309" spans="1:62" x14ac:dyDescent="0.35">
      <c r="A1309" t="s">
        <v>4338</v>
      </c>
      <c r="B1309">
        <v>10000</v>
      </c>
      <c r="C1309">
        <v>20000</v>
      </c>
      <c r="D1309" s="2">
        <v>45736</v>
      </c>
      <c r="E1309" t="s">
        <v>61</v>
      </c>
      <c r="F1309" t="s">
        <v>4339</v>
      </c>
      <c r="G1309" t="s">
        <v>4340</v>
      </c>
      <c r="I1309">
        <v>2</v>
      </c>
      <c r="J1309" t="s">
        <v>63</v>
      </c>
      <c r="K1309" s="8">
        <v>71</v>
      </c>
      <c r="L1309" s="8" t="s">
        <v>6588</v>
      </c>
      <c r="M1309" s="8" t="s">
        <v>6630</v>
      </c>
      <c r="N1309" t="s">
        <v>135</v>
      </c>
      <c r="O1309" t="s">
        <v>6573</v>
      </c>
      <c r="P1309" s="4">
        <v>1000</v>
      </c>
      <c r="S1309" s="2">
        <v>45736</v>
      </c>
      <c r="U1309">
        <v>6</v>
      </c>
      <c r="V1309" s="4">
        <v>6000</v>
      </c>
      <c r="W1309" t="s">
        <v>65</v>
      </c>
      <c r="X1309">
        <v>5000444260001</v>
      </c>
      <c r="Y1309">
        <v>0</v>
      </c>
      <c r="Z1309" s="4">
        <v>6000</v>
      </c>
      <c r="AA1309">
        <v>0</v>
      </c>
      <c r="AB1309">
        <v>0</v>
      </c>
      <c r="AC1309">
        <v>0</v>
      </c>
      <c r="AD1309">
        <v>0</v>
      </c>
      <c r="AG1309">
        <v>0</v>
      </c>
      <c r="AP1309">
        <v>500044426</v>
      </c>
      <c r="AQ1309" t="s">
        <v>91</v>
      </c>
      <c r="AR1309" t="s">
        <v>6637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BC1309" t="s">
        <v>69</v>
      </c>
      <c r="BD1309" t="s">
        <v>4341</v>
      </c>
      <c r="BE1309">
        <v>0</v>
      </c>
      <c r="BG1309" t="s">
        <v>91</v>
      </c>
      <c r="BJ1309" t="s">
        <v>4342</v>
      </c>
    </row>
    <row r="1310" spans="1:62" x14ac:dyDescent="0.35">
      <c r="A1310" t="s">
        <v>4343</v>
      </c>
      <c r="B1310">
        <v>10000</v>
      </c>
      <c r="C1310">
        <v>20000</v>
      </c>
      <c r="D1310" s="2">
        <v>45736</v>
      </c>
      <c r="E1310" t="s">
        <v>61</v>
      </c>
      <c r="F1310" t="s">
        <v>4344</v>
      </c>
      <c r="G1310" t="s">
        <v>4340</v>
      </c>
      <c r="I1310">
        <v>2</v>
      </c>
      <c r="J1310" t="s">
        <v>63</v>
      </c>
      <c r="K1310" s="8">
        <v>71</v>
      </c>
      <c r="L1310" s="8" t="s">
        <v>6588</v>
      </c>
      <c r="M1310" s="8" t="s">
        <v>6630</v>
      </c>
      <c r="N1310" t="s">
        <v>135</v>
      </c>
      <c r="O1310" t="s">
        <v>6573</v>
      </c>
      <c r="P1310">
        <v>834</v>
      </c>
      <c r="S1310" s="2">
        <v>45736</v>
      </c>
      <c r="U1310">
        <v>6</v>
      </c>
      <c r="V1310" s="4">
        <v>5004</v>
      </c>
      <c r="W1310" t="s">
        <v>65</v>
      </c>
      <c r="X1310">
        <v>5000514740001</v>
      </c>
      <c r="Y1310">
        <v>0</v>
      </c>
      <c r="Z1310" s="4">
        <v>5000</v>
      </c>
      <c r="AA1310">
        <v>4</v>
      </c>
      <c r="AB1310">
        <v>0</v>
      </c>
      <c r="AC1310">
        <v>0</v>
      </c>
      <c r="AD1310">
        <v>0</v>
      </c>
      <c r="AG1310">
        <v>0</v>
      </c>
      <c r="AP1310">
        <v>500051474</v>
      </c>
      <c r="AQ1310" t="s">
        <v>91</v>
      </c>
      <c r="AR1310" t="s">
        <v>6637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BC1310" t="s">
        <v>69</v>
      </c>
      <c r="BD1310" t="s">
        <v>4345</v>
      </c>
      <c r="BE1310">
        <v>0</v>
      </c>
      <c r="BG1310" t="s">
        <v>91</v>
      </c>
      <c r="BJ1310" t="s">
        <v>4342</v>
      </c>
    </row>
    <row r="1311" spans="1:62" x14ac:dyDescent="0.35">
      <c r="A1311" t="s">
        <v>4035</v>
      </c>
      <c r="B1311">
        <v>10000</v>
      </c>
      <c r="C1311">
        <v>20000</v>
      </c>
      <c r="D1311" s="2">
        <v>45740</v>
      </c>
      <c r="E1311" t="s">
        <v>61</v>
      </c>
      <c r="F1311" t="s">
        <v>4036</v>
      </c>
      <c r="G1311" t="s">
        <v>4037</v>
      </c>
      <c r="I1311">
        <v>2</v>
      </c>
      <c r="J1311" t="s">
        <v>63</v>
      </c>
      <c r="K1311" s="8">
        <v>60</v>
      </c>
      <c r="L1311" s="8" t="s">
        <v>6590</v>
      </c>
      <c r="M1311" s="8" t="s">
        <v>6630</v>
      </c>
      <c r="N1311" t="s">
        <v>277</v>
      </c>
      <c r="O1311" t="s">
        <v>6554</v>
      </c>
      <c r="P1311" s="4">
        <v>3000</v>
      </c>
      <c r="Q1311">
        <f t="shared" ref="Q1311:Q1312" si="338">(P1311/50)+45</f>
        <v>105</v>
      </c>
      <c r="R1311">
        <f t="shared" ref="R1311:R1312" si="339">Q1311/60</f>
        <v>1.75</v>
      </c>
      <c r="S1311" s="2">
        <v>45736</v>
      </c>
      <c r="U1311">
        <v>2</v>
      </c>
      <c r="V1311" s="4">
        <v>6000</v>
      </c>
      <c r="W1311" t="s">
        <v>65</v>
      </c>
      <c r="X1311" t="s">
        <v>4038</v>
      </c>
      <c r="Y1311">
        <v>0</v>
      </c>
      <c r="Z1311" s="4">
        <v>8000</v>
      </c>
      <c r="AA1311" s="4">
        <v>-2000</v>
      </c>
      <c r="AB1311">
        <v>0</v>
      </c>
      <c r="AC1311">
        <v>0</v>
      </c>
      <c r="AD1311">
        <v>0</v>
      </c>
      <c r="AG1311">
        <v>0</v>
      </c>
      <c r="AP1311" t="s">
        <v>4039</v>
      </c>
      <c r="AQ1311" t="s">
        <v>4040</v>
      </c>
      <c r="AR1311" t="s">
        <v>6731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BC1311" t="s">
        <v>69</v>
      </c>
      <c r="BD1311" t="s">
        <v>4041</v>
      </c>
      <c r="BE1311">
        <v>0</v>
      </c>
      <c r="BG1311" t="s">
        <v>4040</v>
      </c>
      <c r="BJ1311" t="s">
        <v>4042</v>
      </c>
    </row>
    <row r="1312" spans="1:62" x14ac:dyDescent="0.35">
      <c r="A1312" t="s">
        <v>4043</v>
      </c>
      <c r="B1312">
        <v>10000</v>
      </c>
      <c r="C1312">
        <v>20000</v>
      </c>
      <c r="D1312" s="2">
        <v>45740</v>
      </c>
      <c r="E1312" t="s">
        <v>61</v>
      </c>
      <c r="F1312" t="s">
        <v>4044</v>
      </c>
      <c r="G1312" t="s">
        <v>4037</v>
      </c>
      <c r="I1312">
        <v>2</v>
      </c>
      <c r="J1312" t="s">
        <v>63</v>
      </c>
      <c r="K1312" s="8">
        <v>60</v>
      </c>
      <c r="L1312" s="8" t="s">
        <v>6590</v>
      </c>
      <c r="M1312" s="8" t="s">
        <v>6630</v>
      </c>
      <c r="N1312" t="s">
        <v>277</v>
      </c>
      <c r="O1312" t="s">
        <v>6554</v>
      </c>
      <c r="P1312" s="4">
        <v>3000</v>
      </c>
      <c r="Q1312">
        <f t="shared" si="338"/>
        <v>105</v>
      </c>
      <c r="R1312">
        <f t="shared" si="339"/>
        <v>1.75</v>
      </c>
      <c r="S1312" s="2">
        <v>45736</v>
      </c>
      <c r="U1312">
        <v>2</v>
      </c>
      <c r="V1312" s="4">
        <v>6000</v>
      </c>
      <c r="W1312" t="s">
        <v>65</v>
      </c>
      <c r="X1312" t="s">
        <v>4045</v>
      </c>
      <c r="Y1312">
        <v>0</v>
      </c>
      <c r="Z1312" s="4">
        <v>8000</v>
      </c>
      <c r="AA1312" s="4">
        <v>-2000</v>
      </c>
      <c r="AB1312">
        <v>0</v>
      </c>
      <c r="AC1312">
        <v>0</v>
      </c>
      <c r="AD1312">
        <v>0</v>
      </c>
      <c r="AG1312">
        <v>0</v>
      </c>
      <c r="AP1312" t="s">
        <v>4046</v>
      </c>
      <c r="AQ1312" t="s">
        <v>4040</v>
      </c>
      <c r="AR1312" t="s">
        <v>6731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BC1312" t="s">
        <v>69</v>
      </c>
      <c r="BD1312" t="s">
        <v>4047</v>
      </c>
      <c r="BE1312">
        <v>0</v>
      </c>
      <c r="BG1312" t="s">
        <v>4040</v>
      </c>
      <c r="BJ1312" t="s">
        <v>4042</v>
      </c>
    </row>
    <row r="1313" spans="1:62" x14ac:dyDescent="0.35">
      <c r="A1313" t="s">
        <v>4618</v>
      </c>
      <c r="B1313">
        <v>10000</v>
      </c>
      <c r="C1313">
        <v>10000</v>
      </c>
      <c r="D1313" s="2">
        <v>45736</v>
      </c>
      <c r="E1313" t="s">
        <v>61</v>
      </c>
      <c r="F1313" t="s">
        <v>4619</v>
      </c>
      <c r="G1313" t="s">
        <v>418</v>
      </c>
      <c r="I1313">
        <v>1</v>
      </c>
      <c r="J1313" t="s">
        <v>63</v>
      </c>
      <c r="K1313" s="8">
        <v>59</v>
      </c>
      <c r="L1313" s="8" t="s">
        <v>6592</v>
      </c>
      <c r="M1313" s="8" t="s">
        <v>6629</v>
      </c>
      <c r="N1313" t="s">
        <v>745</v>
      </c>
      <c r="O1313" t="s">
        <v>6501</v>
      </c>
      <c r="P1313">
        <v>100</v>
      </c>
      <c r="Q1313">
        <f>(P1313/40)+45</f>
        <v>47.5</v>
      </c>
      <c r="R1313">
        <f>Q1313/60</f>
        <v>0.79166666666666663</v>
      </c>
      <c r="S1313" s="2">
        <v>45736</v>
      </c>
      <c r="U1313">
        <v>10</v>
      </c>
      <c r="V1313" s="4">
        <v>1000</v>
      </c>
      <c r="W1313" t="s">
        <v>65</v>
      </c>
      <c r="X1313">
        <v>112024090001</v>
      </c>
      <c r="Y1313">
        <v>0</v>
      </c>
      <c r="Z1313" s="4">
        <v>1000</v>
      </c>
      <c r="AA1313">
        <v>0</v>
      </c>
      <c r="AB1313">
        <v>0</v>
      </c>
      <c r="AC1313">
        <v>0</v>
      </c>
      <c r="AD1313">
        <v>0</v>
      </c>
      <c r="AG1313">
        <v>0</v>
      </c>
      <c r="AP1313">
        <v>11202409</v>
      </c>
      <c r="AQ1313" t="s">
        <v>182</v>
      </c>
      <c r="AR1313" t="s">
        <v>6643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BC1313" t="s">
        <v>69</v>
      </c>
      <c r="BD1313" t="s">
        <v>4620</v>
      </c>
      <c r="BE1313">
        <v>0</v>
      </c>
      <c r="BG1313" t="s">
        <v>182</v>
      </c>
      <c r="BJ1313" t="s">
        <v>4621</v>
      </c>
    </row>
    <row r="1314" spans="1:62" x14ac:dyDescent="0.35">
      <c r="A1314" t="s">
        <v>4048</v>
      </c>
      <c r="B1314">
        <v>10000</v>
      </c>
      <c r="C1314">
        <v>20000</v>
      </c>
      <c r="D1314" s="2">
        <v>45740</v>
      </c>
      <c r="E1314" t="s">
        <v>61</v>
      </c>
      <c r="F1314" t="s">
        <v>4049</v>
      </c>
      <c r="G1314" t="s">
        <v>4037</v>
      </c>
      <c r="I1314">
        <v>2</v>
      </c>
      <c r="J1314" t="s">
        <v>63</v>
      </c>
      <c r="K1314" s="8">
        <v>60</v>
      </c>
      <c r="L1314" s="8" t="s">
        <v>6590</v>
      </c>
      <c r="M1314" s="8" t="s">
        <v>6630</v>
      </c>
      <c r="N1314" t="s">
        <v>277</v>
      </c>
      <c r="O1314" t="s">
        <v>6554</v>
      </c>
      <c r="P1314" s="4">
        <v>3600</v>
      </c>
      <c r="Q1314">
        <f t="shared" ref="Q1314:Q1315" si="340">(P1314/50)+45</f>
        <v>117</v>
      </c>
      <c r="R1314">
        <f t="shared" ref="R1314:R1315" si="341">Q1314/60</f>
        <v>1.95</v>
      </c>
      <c r="S1314" s="2">
        <v>45736</v>
      </c>
      <c r="U1314">
        <v>1</v>
      </c>
      <c r="V1314" s="4">
        <v>3600</v>
      </c>
      <c r="W1314" t="s">
        <v>65</v>
      </c>
      <c r="X1314" t="s">
        <v>4050</v>
      </c>
      <c r="Y1314">
        <v>0</v>
      </c>
      <c r="Z1314" s="4">
        <v>2000</v>
      </c>
      <c r="AA1314" s="4">
        <v>1600</v>
      </c>
      <c r="AB1314">
        <v>0</v>
      </c>
      <c r="AC1314">
        <v>0</v>
      </c>
      <c r="AD1314">
        <v>0</v>
      </c>
      <c r="AG1314">
        <v>0</v>
      </c>
      <c r="AP1314" t="s">
        <v>4051</v>
      </c>
      <c r="AQ1314" t="s">
        <v>4052</v>
      </c>
      <c r="AR1314" t="s">
        <v>6732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BC1314" t="s">
        <v>69</v>
      </c>
      <c r="BD1314" t="s">
        <v>4053</v>
      </c>
      <c r="BE1314">
        <v>0</v>
      </c>
      <c r="BG1314" t="s">
        <v>4052</v>
      </c>
      <c r="BJ1314" t="s">
        <v>4054</v>
      </c>
    </row>
    <row r="1315" spans="1:62" x14ac:dyDescent="0.35">
      <c r="A1315" t="s">
        <v>4055</v>
      </c>
      <c r="B1315">
        <v>10000</v>
      </c>
      <c r="C1315">
        <v>20000</v>
      </c>
      <c r="D1315" s="2">
        <v>45740</v>
      </c>
      <c r="E1315" t="s">
        <v>61</v>
      </c>
      <c r="F1315" t="s">
        <v>4056</v>
      </c>
      <c r="G1315" t="s">
        <v>4037</v>
      </c>
      <c r="I1315">
        <v>2</v>
      </c>
      <c r="J1315" t="s">
        <v>63</v>
      </c>
      <c r="K1315" s="8">
        <v>60</v>
      </c>
      <c r="L1315" s="8" t="s">
        <v>6590</v>
      </c>
      <c r="M1315" s="8" t="s">
        <v>6630</v>
      </c>
      <c r="N1315" t="s">
        <v>277</v>
      </c>
      <c r="O1315" t="s">
        <v>6554</v>
      </c>
      <c r="P1315" s="4">
        <v>3500</v>
      </c>
      <c r="Q1315">
        <f t="shared" si="340"/>
        <v>115</v>
      </c>
      <c r="R1315">
        <f t="shared" si="341"/>
        <v>1.9166666666666667</v>
      </c>
      <c r="S1315" s="2">
        <v>45736</v>
      </c>
      <c r="U1315">
        <v>1</v>
      </c>
      <c r="V1315" s="4">
        <v>3500</v>
      </c>
      <c r="W1315" t="s">
        <v>65</v>
      </c>
      <c r="X1315" t="s">
        <v>4057</v>
      </c>
      <c r="Y1315">
        <v>0</v>
      </c>
      <c r="Z1315" s="4">
        <v>2000</v>
      </c>
      <c r="AA1315" s="4">
        <v>1500</v>
      </c>
      <c r="AB1315">
        <v>0</v>
      </c>
      <c r="AC1315">
        <v>0</v>
      </c>
      <c r="AD1315">
        <v>0</v>
      </c>
      <c r="AG1315">
        <v>0</v>
      </c>
      <c r="AP1315" t="s">
        <v>4058</v>
      </c>
      <c r="AQ1315" t="s">
        <v>4052</v>
      </c>
      <c r="AR1315" t="s">
        <v>6732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BC1315" t="s">
        <v>69</v>
      </c>
      <c r="BD1315" t="s">
        <v>4059</v>
      </c>
      <c r="BE1315">
        <v>0</v>
      </c>
      <c r="BG1315" t="s">
        <v>4052</v>
      </c>
      <c r="BJ1315" t="s">
        <v>4054</v>
      </c>
    </row>
    <row r="1316" spans="1:62" x14ac:dyDescent="0.35">
      <c r="A1316" t="s">
        <v>4346</v>
      </c>
      <c r="B1316">
        <v>10000</v>
      </c>
      <c r="C1316">
        <v>20000</v>
      </c>
      <c r="D1316" s="2">
        <v>45744</v>
      </c>
      <c r="E1316" t="s">
        <v>61</v>
      </c>
      <c r="F1316" t="s">
        <v>4347</v>
      </c>
      <c r="G1316" t="s">
        <v>4218</v>
      </c>
      <c r="I1316">
        <v>2</v>
      </c>
      <c r="J1316" t="s">
        <v>63</v>
      </c>
      <c r="K1316" s="8">
        <v>77</v>
      </c>
      <c r="L1316" s="8" t="s">
        <v>6584</v>
      </c>
      <c r="M1316" s="8" t="s">
        <v>6627</v>
      </c>
      <c r="N1316" t="s">
        <v>127</v>
      </c>
      <c r="O1316" t="s">
        <v>6567</v>
      </c>
      <c r="P1316" s="4">
        <v>1250</v>
      </c>
      <c r="Q1316">
        <f t="shared" ref="Q1316:Q1317" si="342">(P1316/60)+45</f>
        <v>65.833333333333329</v>
      </c>
      <c r="R1316">
        <f t="shared" ref="R1316:R1317" si="343">Q1316/60</f>
        <v>1.0972222222222221</v>
      </c>
      <c r="S1316" s="2">
        <v>45736</v>
      </c>
      <c r="U1316">
        <v>88</v>
      </c>
      <c r="V1316" s="4">
        <v>110000</v>
      </c>
      <c r="W1316" t="s">
        <v>65</v>
      </c>
      <c r="X1316" t="s">
        <v>1218</v>
      </c>
      <c r="Y1316">
        <v>0</v>
      </c>
      <c r="Z1316" s="4">
        <v>100000</v>
      </c>
      <c r="AA1316" s="4">
        <v>10000</v>
      </c>
      <c r="AB1316">
        <v>0</v>
      </c>
      <c r="AC1316">
        <v>0</v>
      </c>
      <c r="AD1316">
        <v>0</v>
      </c>
      <c r="AG1316">
        <v>0</v>
      </c>
      <c r="AP1316" t="s">
        <v>1219</v>
      </c>
      <c r="AQ1316" t="s">
        <v>107</v>
      </c>
      <c r="AR1316" t="s">
        <v>6638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BC1316" t="s">
        <v>69</v>
      </c>
      <c r="BD1316" t="s">
        <v>4348</v>
      </c>
      <c r="BE1316">
        <v>0</v>
      </c>
      <c r="BG1316" t="s">
        <v>107</v>
      </c>
      <c r="BJ1316" t="s">
        <v>4349</v>
      </c>
    </row>
    <row r="1317" spans="1:62" x14ac:dyDescent="0.35">
      <c r="A1317" t="s">
        <v>4350</v>
      </c>
      <c r="B1317">
        <v>10000</v>
      </c>
      <c r="C1317">
        <v>20000</v>
      </c>
      <c r="D1317" s="2">
        <v>45744</v>
      </c>
      <c r="E1317" t="s">
        <v>61</v>
      </c>
      <c r="F1317" t="s">
        <v>4351</v>
      </c>
      <c r="G1317" t="s">
        <v>4218</v>
      </c>
      <c r="I1317">
        <v>2</v>
      </c>
      <c r="J1317" t="s">
        <v>63</v>
      </c>
      <c r="K1317" s="8">
        <v>77</v>
      </c>
      <c r="L1317" s="8" t="s">
        <v>6584</v>
      </c>
      <c r="M1317" s="8" t="s">
        <v>6627</v>
      </c>
      <c r="N1317" t="s">
        <v>127</v>
      </c>
      <c r="O1317" t="s">
        <v>6567</v>
      </c>
      <c r="P1317" s="4">
        <v>1250</v>
      </c>
      <c r="Q1317">
        <f t="shared" si="342"/>
        <v>65.833333333333329</v>
      </c>
      <c r="R1317">
        <f t="shared" si="343"/>
        <v>1.0972222222222221</v>
      </c>
      <c r="S1317" s="2">
        <v>45736</v>
      </c>
      <c r="U1317">
        <v>88</v>
      </c>
      <c r="V1317" s="4">
        <v>110000</v>
      </c>
      <c r="W1317" t="s">
        <v>65</v>
      </c>
      <c r="X1317" t="s">
        <v>1657</v>
      </c>
      <c r="Y1317">
        <v>0</v>
      </c>
      <c r="Z1317" s="4">
        <v>100000</v>
      </c>
      <c r="AA1317" s="4">
        <v>10000</v>
      </c>
      <c r="AB1317">
        <v>0</v>
      </c>
      <c r="AC1317">
        <v>0</v>
      </c>
      <c r="AD1317">
        <v>0</v>
      </c>
      <c r="AG1317">
        <v>0</v>
      </c>
      <c r="AP1317" t="s">
        <v>1658</v>
      </c>
      <c r="AQ1317" t="s">
        <v>107</v>
      </c>
      <c r="AR1317" t="s">
        <v>6638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BC1317" t="s">
        <v>69</v>
      </c>
      <c r="BD1317" t="s">
        <v>4352</v>
      </c>
      <c r="BE1317">
        <v>0</v>
      </c>
      <c r="BG1317" t="s">
        <v>107</v>
      </c>
      <c r="BJ1317" t="s">
        <v>4353</v>
      </c>
    </row>
    <row r="1318" spans="1:62" x14ac:dyDescent="0.35">
      <c r="A1318" t="s">
        <v>4622</v>
      </c>
      <c r="B1318">
        <v>10000</v>
      </c>
      <c r="C1318">
        <v>10000</v>
      </c>
      <c r="D1318" s="2">
        <v>45736</v>
      </c>
      <c r="E1318" t="s">
        <v>61</v>
      </c>
      <c r="F1318" t="s">
        <v>4588</v>
      </c>
      <c r="G1318" t="s">
        <v>4206</v>
      </c>
      <c r="I1318">
        <v>1</v>
      </c>
      <c r="J1318" t="s">
        <v>63</v>
      </c>
      <c r="K1318" s="8">
        <v>31</v>
      </c>
      <c r="L1318" s="8" t="s">
        <v>6595</v>
      </c>
      <c r="M1318" s="8" t="s">
        <v>6629</v>
      </c>
      <c r="N1318" t="s">
        <v>1311</v>
      </c>
      <c r="O1318" t="s">
        <v>6491</v>
      </c>
      <c r="P1318">
        <v>278</v>
      </c>
      <c r="Q1318">
        <f>(P1318/40)+45</f>
        <v>51.95</v>
      </c>
      <c r="R1318">
        <f>Q1318/60</f>
        <v>0.86583333333333334</v>
      </c>
      <c r="S1318" s="2">
        <v>45736</v>
      </c>
      <c r="U1318">
        <v>18</v>
      </c>
      <c r="V1318" s="4">
        <v>5004</v>
      </c>
      <c r="W1318" t="s">
        <v>65</v>
      </c>
      <c r="X1318">
        <v>200899990001</v>
      </c>
      <c r="Y1318">
        <v>0</v>
      </c>
      <c r="Z1318" s="4">
        <v>5000</v>
      </c>
      <c r="AA1318">
        <v>4</v>
      </c>
      <c r="AB1318">
        <v>0</v>
      </c>
      <c r="AC1318">
        <v>0</v>
      </c>
      <c r="AD1318">
        <v>0</v>
      </c>
      <c r="AG1318">
        <v>0</v>
      </c>
      <c r="AP1318" t="s">
        <v>4623</v>
      </c>
      <c r="AQ1318" t="s">
        <v>2825</v>
      </c>
      <c r="AR1318" t="s">
        <v>6708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BC1318" t="s">
        <v>69</v>
      </c>
      <c r="BD1318" t="s">
        <v>4624</v>
      </c>
      <c r="BE1318">
        <v>0</v>
      </c>
      <c r="BG1318" t="s">
        <v>2825</v>
      </c>
      <c r="BJ1318" t="s">
        <v>4625</v>
      </c>
    </row>
    <row r="1319" spans="1:62" x14ac:dyDescent="0.35">
      <c r="A1319" t="s">
        <v>4364</v>
      </c>
      <c r="B1319">
        <v>10000</v>
      </c>
      <c r="C1319">
        <v>20000</v>
      </c>
      <c r="D1319" s="2">
        <v>45736</v>
      </c>
      <c r="E1319" t="s">
        <v>61</v>
      </c>
      <c r="F1319" t="s">
        <v>4365</v>
      </c>
      <c r="G1319" t="s">
        <v>4340</v>
      </c>
      <c r="I1319">
        <v>2</v>
      </c>
      <c r="J1319" t="s">
        <v>63</v>
      </c>
      <c r="K1319" s="8">
        <v>71</v>
      </c>
      <c r="L1319" s="8" t="s">
        <v>6588</v>
      </c>
      <c r="M1319" s="8" t="s">
        <v>6630</v>
      </c>
      <c r="N1319" t="s">
        <v>135</v>
      </c>
      <c r="O1319" t="s">
        <v>6573</v>
      </c>
      <c r="P1319" s="4">
        <v>1167</v>
      </c>
      <c r="S1319" s="2">
        <v>45736</v>
      </c>
      <c r="U1319">
        <v>6</v>
      </c>
      <c r="V1319" s="4">
        <v>7002</v>
      </c>
      <c r="W1319" t="s">
        <v>65</v>
      </c>
      <c r="X1319">
        <v>5000514990001</v>
      </c>
      <c r="Y1319">
        <v>0</v>
      </c>
      <c r="Z1319" s="4">
        <v>7000</v>
      </c>
      <c r="AA1319">
        <v>2</v>
      </c>
      <c r="AB1319">
        <v>0</v>
      </c>
      <c r="AC1319">
        <v>0</v>
      </c>
      <c r="AD1319">
        <v>0</v>
      </c>
      <c r="AG1319">
        <v>0</v>
      </c>
      <c r="AP1319">
        <v>500051499</v>
      </c>
      <c r="AQ1319" t="s">
        <v>91</v>
      </c>
      <c r="AR1319" t="s">
        <v>6637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BC1319" t="s">
        <v>69</v>
      </c>
      <c r="BD1319" t="s">
        <v>4366</v>
      </c>
      <c r="BE1319">
        <v>0</v>
      </c>
      <c r="BG1319" t="s">
        <v>91</v>
      </c>
      <c r="BJ1319" t="s">
        <v>4367</v>
      </c>
    </row>
    <row r="1320" spans="1:62" x14ac:dyDescent="0.35">
      <c r="A1320" t="s">
        <v>4368</v>
      </c>
      <c r="B1320">
        <v>10000</v>
      </c>
      <c r="C1320">
        <v>20000</v>
      </c>
      <c r="D1320" s="2">
        <v>45736</v>
      </c>
      <c r="E1320" t="s">
        <v>61</v>
      </c>
      <c r="F1320" t="s">
        <v>4369</v>
      </c>
      <c r="G1320" t="s">
        <v>4340</v>
      </c>
      <c r="I1320">
        <v>2</v>
      </c>
      <c r="J1320" t="s">
        <v>63</v>
      </c>
      <c r="K1320" s="8">
        <v>71</v>
      </c>
      <c r="L1320" s="8" t="s">
        <v>6597</v>
      </c>
      <c r="M1320" s="8" t="s">
        <v>6630</v>
      </c>
      <c r="N1320" t="s">
        <v>135</v>
      </c>
      <c r="O1320" t="s">
        <v>6573</v>
      </c>
      <c r="P1320" s="4">
        <v>1000</v>
      </c>
      <c r="S1320" s="2">
        <v>45736</v>
      </c>
      <c r="U1320">
        <v>6</v>
      </c>
      <c r="V1320" s="4">
        <v>6000</v>
      </c>
      <c r="W1320" t="s">
        <v>65</v>
      </c>
      <c r="X1320">
        <v>5000634590001</v>
      </c>
      <c r="Y1320">
        <v>0</v>
      </c>
      <c r="Z1320" s="4">
        <v>6000</v>
      </c>
      <c r="AA1320">
        <v>0</v>
      </c>
      <c r="AB1320">
        <v>0</v>
      </c>
      <c r="AC1320">
        <v>0</v>
      </c>
      <c r="AD1320">
        <v>0</v>
      </c>
      <c r="AG1320">
        <v>0</v>
      </c>
      <c r="AP1320">
        <v>500063459</v>
      </c>
      <c r="AQ1320" t="s">
        <v>91</v>
      </c>
      <c r="AR1320" t="s">
        <v>6637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BC1320" t="s">
        <v>69</v>
      </c>
      <c r="BD1320" t="s">
        <v>4370</v>
      </c>
      <c r="BE1320">
        <v>0</v>
      </c>
      <c r="BG1320" t="s">
        <v>91</v>
      </c>
      <c r="BJ1320" t="s">
        <v>4367</v>
      </c>
    </row>
    <row r="1321" spans="1:62" x14ac:dyDescent="0.35">
      <c r="A1321" t="s">
        <v>4371</v>
      </c>
      <c r="B1321">
        <v>10000</v>
      </c>
      <c r="C1321">
        <v>20000</v>
      </c>
      <c r="D1321" s="2">
        <v>45736</v>
      </c>
      <c r="E1321" t="s">
        <v>61</v>
      </c>
      <c r="F1321" t="s">
        <v>4372</v>
      </c>
      <c r="G1321" t="s">
        <v>4340</v>
      </c>
      <c r="I1321">
        <v>2</v>
      </c>
      <c r="J1321" t="s">
        <v>63</v>
      </c>
      <c r="K1321" s="8">
        <v>71</v>
      </c>
      <c r="L1321" s="8" t="s">
        <v>6588</v>
      </c>
      <c r="M1321" s="8" t="s">
        <v>6630</v>
      </c>
      <c r="N1321" t="s">
        <v>135</v>
      </c>
      <c r="O1321" t="s">
        <v>6573</v>
      </c>
      <c r="P1321" s="4">
        <v>1167</v>
      </c>
      <c r="S1321" s="2">
        <v>45736</v>
      </c>
      <c r="U1321">
        <v>6</v>
      </c>
      <c r="V1321" s="4">
        <v>7002</v>
      </c>
      <c r="W1321" t="s">
        <v>65</v>
      </c>
      <c r="X1321">
        <v>5000635410001</v>
      </c>
      <c r="Y1321">
        <v>0</v>
      </c>
      <c r="Z1321" s="4">
        <v>7000</v>
      </c>
      <c r="AA1321">
        <v>2</v>
      </c>
      <c r="AB1321">
        <v>0</v>
      </c>
      <c r="AC1321">
        <v>0</v>
      </c>
      <c r="AD1321">
        <v>0</v>
      </c>
      <c r="AG1321">
        <v>0</v>
      </c>
      <c r="AP1321">
        <v>500063541</v>
      </c>
      <c r="AQ1321" t="s">
        <v>91</v>
      </c>
      <c r="AR1321" t="s">
        <v>6637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BC1321" t="s">
        <v>69</v>
      </c>
      <c r="BD1321" t="s">
        <v>4373</v>
      </c>
      <c r="BE1321">
        <v>0</v>
      </c>
      <c r="BG1321" t="s">
        <v>91</v>
      </c>
      <c r="BJ1321" t="s">
        <v>4367</v>
      </c>
    </row>
    <row r="1322" spans="1:62" x14ac:dyDescent="0.35">
      <c r="A1322" t="s">
        <v>4626</v>
      </c>
      <c r="B1322">
        <v>10000</v>
      </c>
      <c r="C1322">
        <v>10000</v>
      </c>
      <c r="D1322" s="2">
        <v>45736</v>
      </c>
      <c r="E1322" t="s">
        <v>61</v>
      </c>
      <c r="F1322" t="s">
        <v>4566</v>
      </c>
      <c r="G1322" t="s">
        <v>387</v>
      </c>
      <c r="I1322">
        <v>1</v>
      </c>
      <c r="J1322" t="s">
        <v>63</v>
      </c>
      <c r="K1322" s="8">
        <v>78</v>
      </c>
      <c r="L1322" s="8" t="s">
        <v>6593</v>
      </c>
      <c r="M1322" s="8" t="s">
        <v>6629</v>
      </c>
      <c r="N1322" t="s">
        <v>188</v>
      </c>
      <c r="O1322" t="s">
        <v>6410</v>
      </c>
      <c r="P1322">
        <v>500</v>
      </c>
      <c r="Q1322">
        <f t="shared" ref="Q1322:Q1323" si="344">(P1322/40)+45</f>
        <v>57.5</v>
      </c>
      <c r="R1322">
        <f t="shared" ref="R1322:R1323" si="345">Q1322/60</f>
        <v>0.95833333333333337</v>
      </c>
      <c r="S1322" s="2">
        <v>45736</v>
      </c>
      <c r="U1322">
        <v>2</v>
      </c>
      <c r="V1322" s="4">
        <v>1000</v>
      </c>
      <c r="W1322" t="s">
        <v>65</v>
      </c>
      <c r="X1322" t="s">
        <v>1304</v>
      </c>
      <c r="Y1322">
        <v>0</v>
      </c>
      <c r="Z1322" s="4">
        <v>1000</v>
      </c>
      <c r="AA1322">
        <v>0</v>
      </c>
      <c r="AB1322">
        <v>0</v>
      </c>
      <c r="AC1322">
        <v>0</v>
      </c>
      <c r="AD1322">
        <v>0</v>
      </c>
      <c r="AG1322">
        <v>0</v>
      </c>
      <c r="AP1322" t="s">
        <v>1305</v>
      </c>
      <c r="AQ1322" t="s">
        <v>206</v>
      </c>
      <c r="AR1322" t="s">
        <v>6645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BC1322" t="s">
        <v>69</v>
      </c>
      <c r="BD1322" t="s">
        <v>4627</v>
      </c>
      <c r="BE1322">
        <v>0</v>
      </c>
      <c r="BG1322" t="s">
        <v>206</v>
      </c>
      <c r="BJ1322" t="s">
        <v>4628</v>
      </c>
    </row>
    <row r="1323" spans="1:62" x14ac:dyDescent="0.35">
      <c r="A1323" t="s">
        <v>4629</v>
      </c>
      <c r="B1323">
        <v>10000</v>
      </c>
      <c r="C1323">
        <v>10000</v>
      </c>
      <c r="D1323" s="2">
        <v>45736</v>
      </c>
      <c r="E1323" t="s">
        <v>61</v>
      </c>
      <c r="F1323" t="s">
        <v>4296</v>
      </c>
      <c r="G1323" t="s">
        <v>3767</v>
      </c>
      <c r="I1323">
        <v>1</v>
      </c>
      <c r="J1323" t="s">
        <v>63</v>
      </c>
      <c r="K1323" s="8">
        <v>46</v>
      </c>
      <c r="L1323" s="8" t="s">
        <v>6587</v>
      </c>
      <c r="M1323" s="8" t="s">
        <v>6629</v>
      </c>
      <c r="N1323" t="s">
        <v>113</v>
      </c>
      <c r="O1323" t="s">
        <v>6499</v>
      </c>
      <c r="P1323" s="4">
        <v>1000</v>
      </c>
      <c r="Q1323">
        <f t="shared" si="344"/>
        <v>70</v>
      </c>
      <c r="R1323">
        <f t="shared" si="345"/>
        <v>1.1666666666666667</v>
      </c>
      <c r="S1323" s="2">
        <v>45736</v>
      </c>
      <c r="U1323">
        <v>1</v>
      </c>
      <c r="V1323" s="4">
        <v>1000</v>
      </c>
      <c r="W1323" t="s">
        <v>65</v>
      </c>
      <c r="X1323" t="s">
        <v>4254</v>
      </c>
      <c r="Y1323">
        <v>0</v>
      </c>
      <c r="Z1323" s="4">
        <v>1000</v>
      </c>
      <c r="AA1323">
        <v>0</v>
      </c>
      <c r="AB1323">
        <v>0</v>
      </c>
      <c r="AC1323">
        <v>0</v>
      </c>
      <c r="AD1323">
        <v>0</v>
      </c>
      <c r="AG1323">
        <v>0</v>
      </c>
      <c r="AP1323" t="s">
        <v>4255</v>
      </c>
      <c r="AQ1323" t="s">
        <v>116</v>
      </c>
      <c r="AR1323" t="s">
        <v>6639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BC1323" t="s">
        <v>69</v>
      </c>
      <c r="BD1323" t="s">
        <v>4630</v>
      </c>
      <c r="BE1323">
        <v>0</v>
      </c>
      <c r="BG1323" t="s">
        <v>116</v>
      </c>
      <c r="BJ1323" t="s">
        <v>4631</v>
      </c>
    </row>
    <row r="1324" spans="1:62" x14ac:dyDescent="0.35">
      <c r="A1324" t="s">
        <v>4380</v>
      </c>
      <c r="B1324">
        <v>10000</v>
      </c>
      <c r="C1324">
        <v>20000</v>
      </c>
      <c r="D1324" s="2">
        <v>45737</v>
      </c>
      <c r="E1324" t="s">
        <v>61</v>
      </c>
      <c r="F1324" t="s">
        <v>4381</v>
      </c>
      <c r="G1324" t="s">
        <v>4340</v>
      </c>
      <c r="I1324">
        <v>2</v>
      </c>
      <c r="J1324" t="s">
        <v>63</v>
      </c>
      <c r="K1324" s="8">
        <v>71</v>
      </c>
      <c r="L1324" s="8" t="s">
        <v>6588</v>
      </c>
      <c r="M1324" s="8" t="s">
        <v>6630</v>
      </c>
      <c r="N1324" t="s">
        <v>135</v>
      </c>
      <c r="O1324" t="s">
        <v>6573</v>
      </c>
      <c r="P1324">
        <v>834</v>
      </c>
      <c r="S1324" s="2">
        <v>45736</v>
      </c>
      <c r="U1324">
        <v>6</v>
      </c>
      <c r="V1324" s="4">
        <v>5004</v>
      </c>
      <c r="W1324" t="s">
        <v>65</v>
      </c>
      <c r="X1324">
        <v>5000478070001</v>
      </c>
      <c r="Y1324">
        <v>0</v>
      </c>
      <c r="Z1324" s="4">
        <v>2500</v>
      </c>
      <c r="AA1324" s="4">
        <v>2504</v>
      </c>
      <c r="AB1324">
        <v>0</v>
      </c>
      <c r="AC1324">
        <v>0</v>
      </c>
      <c r="AD1324">
        <v>0</v>
      </c>
      <c r="AG1324">
        <v>0</v>
      </c>
      <c r="AP1324">
        <v>500047807</v>
      </c>
      <c r="AQ1324" t="s">
        <v>91</v>
      </c>
      <c r="AR1324" t="s">
        <v>6637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BC1324" t="s">
        <v>69</v>
      </c>
      <c r="BD1324" t="s">
        <v>4382</v>
      </c>
      <c r="BE1324">
        <v>0</v>
      </c>
      <c r="BG1324" t="s">
        <v>91</v>
      </c>
      <c r="BJ1324" t="s">
        <v>4383</v>
      </c>
    </row>
    <row r="1325" spans="1:62" x14ac:dyDescent="0.35">
      <c r="A1325" t="s">
        <v>4384</v>
      </c>
      <c r="B1325">
        <v>10000</v>
      </c>
      <c r="C1325">
        <v>20000</v>
      </c>
      <c r="D1325" s="2">
        <v>45737</v>
      </c>
      <c r="E1325" t="s">
        <v>61</v>
      </c>
      <c r="F1325" t="s">
        <v>4385</v>
      </c>
      <c r="G1325" t="s">
        <v>4340</v>
      </c>
      <c r="I1325">
        <v>2</v>
      </c>
      <c r="J1325" t="s">
        <v>63</v>
      </c>
      <c r="K1325" s="8">
        <v>71</v>
      </c>
      <c r="L1325" s="8" t="s">
        <v>6588</v>
      </c>
      <c r="M1325" s="8" t="s">
        <v>6630</v>
      </c>
      <c r="N1325" t="s">
        <v>135</v>
      </c>
      <c r="O1325" t="s">
        <v>6573</v>
      </c>
      <c r="P1325">
        <v>834</v>
      </c>
      <c r="S1325" s="2">
        <v>45736</v>
      </c>
      <c r="U1325">
        <v>6</v>
      </c>
      <c r="V1325" s="4">
        <v>5004</v>
      </c>
      <c r="W1325" t="s">
        <v>65</v>
      </c>
      <c r="X1325">
        <v>5000478080001</v>
      </c>
      <c r="Y1325">
        <v>0</v>
      </c>
      <c r="Z1325" s="4">
        <v>2500</v>
      </c>
      <c r="AA1325" s="4">
        <v>2504</v>
      </c>
      <c r="AB1325">
        <v>0</v>
      </c>
      <c r="AC1325">
        <v>0</v>
      </c>
      <c r="AD1325">
        <v>0</v>
      </c>
      <c r="AG1325">
        <v>0</v>
      </c>
      <c r="AP1325">
        <v>500047808</v>
      </c>
      <c r="AQ1325" t="s">
        <v>91</v>
      </c>
      <c r="AR1325" t="s">
        <v>6637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BC1325" t="s">
        <v>69</v>
      </c>
      <c r="BD1325" t="s">
        <v>4386</v>
      </c>
      <c r="BE1325">
        <v>0</v>
      </c>
      <c r="BG1325" t="s">
        <v>91</v>
      </c>
      <c r="BJ1325" t="s">
        <v>4383</v>
      </c>
    </row>
    <row r="1326" spans="1:62" x14ac:dyDescent="0.35">
      <c r="A1326" t="s">
        <v>4387</v>
      </c>
      <c r="B1326">
        <v>10000</v>
      </c>
      <c r="C1326">
        <v>20000</v>
      </c>
      <c r="D1326" s="2">
        <v>45737</v>
      </c>
      <c r="E1326" t="s">
        <v>61</v>
      </c>
      <c r="F1326" t="s">
        <v>4388</v>
      </c>
      <c r="G1326" t="s">
        <v>4340</v>
      </c>
      <c r="I1326">
        <v>2</v>
      </c>
      <c r="J1326" t="s">
        <v>63</v>
      </c>
      <c r="K1326" s="8">
        <v>71</v>
      </c>
      <c r="L1326" s="8" t="s">
        <v>6588</v>
      </c>
      <c r="M1326" s="8" t="s">
        <v>6630</v>
      </c>
      <c r="N1326" t="s">
        <v>135</v>
      </c>
      <c r="O1326" t="s">
        <v>6573</v>
      </c>
      <c r="P1326">
        <v>834</v>
      </c>
      <c r="S1326" s="2">
        <v>45736</v>
      </c>
      <c r="U1326">
        <v>6</v>
      </c>
      <c r="V1326" s="4">
        <v>5004</v>
      </c>
      <c r="W1326" t="s">
        <v>65</v>
      </c>
      <c r="X1326">
        <v>5000479220001</v>
      </c>
      <c r="Y1326">
        <v>0</v>
      </c>
      <c r="Z1326" s="4">
        <v>2500</v>
      </c>
      <c r="AA1326" s="4">
        <v>2504</v>
      </c>
      <c r="AB1326">
        <v>0</v>
      </c>
      <c r="AC1326">
        <v>0</v>
      </c>
      <c r="AD1326">
        <v>0</v>
      </c>
      <c r="AG1326">
        <v>0</v>
      </c>
      <c r="AP1326">
        <v>500047922</v>
      </c>
      <c r="AQ1326" t="s">
        <v>91</v>
      </c>
      <c r="AR1326" t="s">
        <v>6637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BC1326" t="s">
        <v>69</v>
      </c>
      <c r="BD1326" t="s">
        <v>4389</v>
      </c>
      <c r="BE1326">
        <v>0</v>
      </c>
      <c r="BG1326" t="s">
        <v>91</v>
      </c>
      <c r="BJ1326" t="s">
        <v>4383</v>
      </c>
    </row>
    <row r="1327" spans="1:62" x14ac:dyDescent="0.35">
      <c r="A1327" t="s">
        <v>4390</v>
      </c>
      <c r="B1327">
        <v>10000</v>
      </c>
      <c r="C1327">
        <v>20000</v>
      </c>
      <c r="D1327" s="2">
        <v>45737</v>
      </c>
      <c r="E1327" t="s">
        <v>61</v>
      </c>
      <c r="F1327" t="s">
        <v>4391</v>
      </c>
      <c r="G1327" t="s">
        <v>4340</v>
      </c>
      <c r="I1327">
        <v>2</v>
      </c>
      <c r="J1327" t="s">
        <v>63</v>
      </c>
      <c r="K1327" s="8">
        <v>71</v>
      </c>
      <c r="L1327" s="8" t="s">
        <v>6588</v>
      </c>
      <c r="M1327" s="8" t="s">
        <v>6630</v>
      </c>
      <c r="N1327" t="s">
        <v>135</v>
      </c>
      <c r="O1327" t="s">
        <v>6573</v>
      </c>
      <c r="P1327">
        <v>834</v>
      </c>
      <c r="S1327" s="2">
        <v>45736</v>
      </c>
      <c r="U1327">
        <v>6</v>
      </c>
      <c r="V1327" s="4">
        <v>5004</v>
      </c>
      <c r="W1327" t="s">
        <v>65</v>
      </c>
      <c r="X1327">
        <v>5000580790001</v>
      </c>
      <c r="Y1327">
        <v>0</v>
      </c>
      <c r="Z1327" s="4">
        <v>2500</v>
      </c>
      <c r="AA1327" s="4">
        <v>2504</v>
      </c>
      <c r="AB1327">
        <v>0</v>
      </c>
      <c r="AC1327">
        <v>0</v>
      </c>
      <c r="AD1327">
        <v>0</v>
      </c>
      <c r="AG1327">
        <v>0</v>
      </c>
      <c r="AP1327">
        <v>500058079</v>
      </c>
      <c r="AQ1327" t="s">
        <v>91</v>
      </c>
      <c r="AR1327" t="s">
        <v>6637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BC1327" t="s">
        <v>69</v>
      </c>
      <c r="BD1327" t="s">
        <v>4392</v>
      </c>
      <c r="BE1327">
        <v>0</v>
      </c>
      <c r="BG1327" t="s">
        <v>91</v>
      </c>
      <c r="BJ1327" t="s">
        <v>4383</v>
      </c>
    </row>
    <row r="1328" spans="1:62" x14ac:dyDescent="0.35">
      <c r="A1328" t="s">
        <v>4632</v>
      </c>
      <c r="B1328">
        <v>10000</v>
      </c>
      <c r="C1328">
        <v>10000</v>
      </c>
      <c r="D1328" s="2">
        <v>45740</v>
      </c>
      <c r="E1328" t="s">
        <v>61</v>
      </c>
      <c r="F1328" t="s">
        <v>4633</v>
      </c>
      <c r="G1328" t="s">
        <v>4340</v>
      </c>
      <c r="I1328">
        <v>1</v>
      </c>
      <c r="J1328" t="s">
        <v>63</v>
      </c>
      <c r="K1328" s="8">
        <v>72</v>
      </c>
      <c r="L1328" s="8" t="s">
        <v>6606</v>
      </c>
      <c r="M1328" s="8" t="s">
        <v>6631</v>
      </c>
      <c r="N1328" t="s">
        <v>163</v>
      </c>
      <c r="O1328" t="s">
        <v>6548</v>
      </c>
      <c r="P1328" s="4">
        <v>3500</v>
      </c>
      <c r="S1328" s="2">
        <v>45736</v>
      </c>
      <c r="U1328">
        <v>4</v>
      </c>
      <c r="V1328" s="4">
        <v>14000</v>
      </c>
      <c r="W1328" t="s">
        <v>65</v>
      </c>
      <c r="X1328">
        <v>5000532080001</v>
      </c>
      <c r="Y1328">
        <v>0</v>
      </c>
      <c r="Z1328" s="4">
        <v>11200</v>
      </c>
      <c r="AA1328" s="4">
        <v>2800</v>
      </c>
      <c r="AB1328">
        <v>0</v>
      </c>
      <c r="AC1328">
        <v>0</v>
      </c>
      <c r="AD1328">
        <v>0</v>
      </c>
      <c r="AG1328">
        <v>0</v>
      </c>
      <c r="AP1328">
        <v>500053208</v>
      </c>
      <c r="AQ1328" t="s">
        <v>91</v>
      </c>
      <c r="AR1328" t="s">
        <v>6637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BC1328" t="s">
        <v>69</v>
      </c>
      <c r="BD1328" t="s">
        <v>4634</v>
      </c>
      <c r="BE1328">
        <v>0</v>
      </c>
      <c r="BG1328" t="s">
        <v>91</v>
      </c>
      <c r="BJ1328" t="s">
        <v>4635</v>
      </c>
    </row>
    <row r="1329" spans="1:62" x14ac:dyDescent="0.35">
      <c r="A1329" t="s">
        <v>4636</v>
      </c>
      <c r="B1329">
        <v>10000</v>
      </c>
      <c r="C1329">
        <v>10000</v>
      </c>
      <c r="D1329" s="2">
        <v>45737</v>
      </c>
      <c r="E1329" t="s">
        <v>61</v>
      </c>
      <c r="F1329" t="s">
        <v>4637</v>
      </c>
      <c r="G1329" t="s">
        <v>4340</v>
      </c>
      <c r="I1329">
        <v>1</v>
      </c>
      <c r="J1329" t="s">
        <v>63</v>
      </c>
      <c r="K1329" s="8">
        <v>72</v>
      </c>
      <c r="L1329" s="8" t="s">
        <v>6606</v>
      </c>
      <c r="M1329" s="8" t="s">
        <v>6631</v>
      </c>
      <c r="N1329" t="s">
        <v>163</v>
      </c>
      <c r="O1329" t="s">
        <v>6548</v>
      </c>
      <c r="P1329" s="4">
        <v>6001</v>
      </c>
      <c r="S1329" s="2">
        <v>45736</v>
      </c>
      <c r="U1329">
        <v>6</v>
      </c>
      <c r="V1329" s="4">
        <v>36004</v>
      </c>
      <c r="W1329" t="s">
        <v>65</v>
      </c>
      <c r="X1329">
        <v>5000538100001</v>
      </c>
      <c r="Y1329">
        <v>0</v>
      </c>
      <c r="Z1329" s="4">
        <v>28000</v>
      </c>
      <c r="AA1329" s="4">
        <v>8004</v>
      </c>
      <c r="AB1329">
        <v>0</v>
      </c>
      <c r="AC1329">
        <v>0</v>
      </c>
      <c r="AD1329">
        <v>0</v>
      </c>
      <c r="AG1329">
        <v>0</v>
      </c>
      <c r="AP1329">
        <v>500053810</v>
      </c>
      <c r="AQ1329" t="s">
        <v>91</v>
      </c>
      <c r="AR1329" t="s">
        <v>6637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BC1329" t="s">
        <v>69</v>
      </c>
      <c r="BD1329" t="s">
        <v>4638</v>
      </c>
      <c r="BE1329">
        <v>0</v>
      </c>
      <c r="BG1329" t="s">
        <v>91</v>
      </c>
      <c r="BJ1329" t="s">
        <v>4635</v>
      </c>
    </row>
    <row r="1330" spans="1:62" x14ac:dyDescent="0.35">
      <c r="A1330" t="s">
        <v>4636</v>
      </c>
      <c r="B1330">
        <v>20000</v>
      </c>
      <c r="C1330">
        <v>10000</v>
      </c>
      <c r="D1330" s="2">
        <v>45737</v>
      </c>
      <c r="E1330" t="s">
        <v>61</v>
      </c>
      <c r="F1330" t="s">
        <v>4637</v>
      </c>
      <c r="G1330" t="s">
        <v>4340</v>
      </c>
      <c r="I1330">
        <v>1</v>
      </c>
      <c r="J1330" t="s">
        <v>63</v>
      </c>
      <c r="K1330" s="8">
        <v>72</v>
      </c>
      <c r="L1330" s="8" t="s">
        <v>6606</v>
      </c>
      <c r="M1330" s="8" t="s">
        <v>6631</v>
      </c>
      <c r="N1330" t="s">
        <v>163</v>
      </c>
      <c r="O1330" t="s">
        <v>6548</v>
      </c>
      <c r="P1330" s="4">
        <v>2333</v>
      </c>
      <c r="S1330" s="2">
        <v>45736</v>
      </c>
      <c r="U1330">
        <v>6</v>
      </c>
      <c r="V1330" s="4">
        <v>14000</v>
      </c>
      <c r="W1330" t="s">
        <v>65</v>
      </c>
      <c r="X1330">
        <v>5000538100001</v>
      </c>
      <c r="Y1330">
        <v>0</v>
      </c>
      <c r="Z1330" s="4">
        <v>14000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>
        <v>500053810</v>
      </c>
      <c r="AQ1330" t="s">
        <v>91</v>
      </c>
      <c r="AR1330" t="s">
        <v>6637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BC1330" t="s">
        <v>69</v>
      </c>
      <c r="BD1330" t="s">
        <v>4638</v>
      </c>
      <c r="BE1330">
        <v>0</v>
      </c>
      <c r="BG1330" t="s">
        <v>91</v>
      </c>
      <c r="BJ1330" t="s">
        <v>4635</v>
      </c>
    </row>
    <row r="1331" spans="1:62" x14ac:dyDescent="0.35">
      <c r="A1331" t="s">
        <v>4639</v>
      </c>
      <c r="B1331">
        <v>10000</v>
      </c>
      <c r="C1331">
        <v>10000</v>
      </c>
      <c r="D1331" s="2">
        <v>45740</v>
      </c>
      <c r="E1331" t="s">
        <v>61</v>
      </c>
      <c r="F1331" t="s">
        <v>4640</v>
      </c>
      <c r="G1331" t="s">
        <v>4340</v>
      </c>
      <c r="I1331">
        <v>1</v>
      </c>
      <c r="J1331" t="s">
        <v>63</v>
      </c>
      <c r="K1331" s="8">
        <v>72</v>
      </c>
      <c r="L1331" s="8" t="s">
        <v>6606</v>
      </c>
      <c r="M1331" s="8" t="s">
        <v>6631</v>
      </c>
      <c r="N1331" t="s">
        <v>163</v>
      </c>
      <c r="O1331" t="s">
        <v>6548</v>
      </c>
      <c r="P1331" s="4">
        <v>5833</v>
      </c>
      <c r="S1331" s="2">
        <v>45736</v>
      </c>
      <c r="U1331">
        <v>6</v>
      </c>
      <c r="V1331" s="4">
        <v>35000</v>
      </c>
      <c r="W1331" t="s">
        <v>65</v>
      </c>
      <c r="X1331">
        <v>5000538120001</v>
      </c>
      <c r="Y1331">
        <v>0</v>
      </c>
      <c r="Z1331" s="4">
        <v>28000</v>
      </c>
      <c r="AA1331" s="4">
        <v>7000</v>
      </c>
      <c r="AB1331">
        <v>0</v>
      </c>
      <c r="AC1331">
        <v>0</v>
      </c>
      <c r="AD1331">
        <v>0</v>
      </c>
      <c r="AG1331">
        <v>0</v>
      </c>
      <c r="AP1331">
        <v>500053812</v>
      </c>
      <c r="AQ1331" t="s">
        <v>91</v>
      </c>
      <c r="AR1331" t="s">
        <v>6637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BC1331" t="s">
        <v>69</v>
      </c>
      <c r="BD1331" t="s">
        <v>4641</v>
      </c>
      <c r="BE1331">
        <v>0</v>
      </c>
      <c r="BG1331" t="s">
        <v>91</v>
      </c>
      <c r="BJ1331" t="s">
        <v>4635</v>
      </c>
    </row>
    <row r="1332" spans="1:62" x14ac:dyDescent="0.35">
      <c r="A1332" t="s">
        <v>4639</v>
      </c>
      <c r="B1332">
        <v>20000</v>
      </c>
      <c r="C1332">
        <v>10000</v>
      </c>
      <c r="D1332" s="2">
        <v>45740</v>
      </c>
      <c r="E1332" t="s">
        <v>61</v>
      </c>
      <c r="F1332" t="s">
        <v>4640</v>
      </c>
      <c r="G1332" t="s">
        <v>4340</v>
      </c>
      <c r="I1332">
        <v>1</v>
      </c>
      <c r="J1332" t="s">
        <v>63</v>
      </c>
      <c r="K1332" s="8">
        <v>72</v>
      </c>
      <c r="L1332" s="8" t="s">
        <v>6606</v>
      </c>
      <c r="M1332" s="8" t="s">
        <v>6631</v>
      </c>
      <c r="N1332" t="s">
        <v>163</v>
      </c>
      <c r="O1332" t="s">
        <v>6548</v>
      </c>
      <c r="P1332" s="4">
        <v>4667</v>
      </c>
      <c r="S1332" s="2">
        <v>45736</v>
      </c>
      <c r="U1332">
        <v>6</v>
      </c>
      <c r="V1332" s="4">
        <v>28000</v>
      </c>
      <c r="W1332" t="s">
        <v>65</v>
      </c>
      <c r="X1332">
        <v>5000538120001</v>
      </c>
      <c r="Y1332">
        <v>0</v>
      </c>
      <c r="Z1332" s="4">
        <v>28000</v>
      </c>
      <c r="AA1332">
        <v>0</v>
      </c>
      <c r="AB1332">
        <v>0</v>
      </c>
      <c r="AC1332">
        <v>0</v>
      </c>
      <c r="AD1332">
        <v>0</v>
      </c>
      <c r="AG1332">
        <v>0</v>
      </c>
      <c r="AP1332">
        <v>500053812</v>
      </c>
      <c r="AQ1332" t="s">
        <v>91</v>
      </c>
      <c r="AR1332" t="s">
        <v>6637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BC1332" t="s">
        <v>69</v>
      </c>
      <c r="BD1332" t="s">
        <v>4641</v>
      </c>
      <c r="BE1332">
        <v>0</v>
      </c>
      <c r="BG1332" t="s">
        <v>91</v>
      </c>
      <c r="BJ1332" t="s">
        <v>4635</v>
      </c>
    </row>
    <row r="1333" spans="1:62" x14ac:dyDescent="0.35">
      <c r="A1333" t="s">
        <v>4413</v>
      </c>
      <c r="B1333">
        <v>10000</v>
      </c>
      <c r="C1333">
        <v>20000</v>
      </c>
      <c r="D1333" s="2">
        <v>45737</v>
      </c>
      <c r="E1333" t="s">
        <v>61</v>
      </c>
      <c r="F1333" t="s">
        <v>4414</v>
      </c>
      <c r="G1333" t="s">
        <v>4415</v>
      </c>
      <c r="I1333">
        <v>2</v>
      </c>
      <c r="J1333" t="s">
        <v>63</v>
      </c>
      <c r="K1333" s="8">
        <v>100</v>
      </c>
      <c r="L1333" s="8" t="s">
        <v>6613</v>
      </c>
      <c r="M1333" s="8" t="s">
        <v>6633</v>
      </c>
      <c r="N1333" t="s">
        <v>424</v>
      </c>
      <c r="O1333" t="s">
        <v>6570</v>
      </c>
      <c r="P1333">
        <v>20</v>
      </c>
      <c r="S1333" s="2">
        <v>45736</v>
      </c>
      <c r="U1333">
        <v>1</v>
      </c>
      <c r="V1333">
        <v>20</v>
      </c>
      <c r="W1333" t="s">
        <v>65</v>
      </c>
      <c r="X1333">
        <v>107473440001</v>
      </c>
      <c r="Y1333">
        <v>0</v>
      </c>
      <c r="Z1333">
        <v>20</v>
      </c>
      <c r="AA1333">
        <v>0</v>
      </c>
      <c r="AB1333">
        <v>0</v>
      </c>
      <c r="AC1333">
        <v>0</v>
      </c>
      <c r="AD1333">
        <v>0</v>
      </c>
      <c r="AG1333">
        <v>0</v>
      </c>
      <c r="AP1333">
        <v>10747344</v>
      </c>
      <c r="AQ1333" t="s">
        <v>487</v>
      </c>
      <c r="AR1333" t="s">
        <v>6656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BC1333" t="s">
        <v>69</v>
      </c>
      <c r="BD1333" t="s">
        <v>4416</v>
      </c>
      <c r="BE1333">
        <v>0</v>
      </c>
      <c r="BG1333" t="s">
        <v>487</v>
      </c>
      <c r="BJ1333" t="s">
        <v>4417</v>
      </c>
    </row>
    <row r="1334" spans="1:62" x14ac:dyDescent="0.35">
      <c r="A1334" t="s">
        <v>4423</v>
      </c>
      <c r="B1334">
        <v>10000</v>
      </c>
      <c r="C1334">
        <v>20000</v>
      </c>
      <c r="D1334" s="2">
        <v>45737</v>
      </c>
      <c r="E1334" t="s">
        <v>61</v>
      </c>
      <c r="F1334" t="s">
        <v>4414</v>
      </c>
      <c r="G1334" t="s">
        <v>4415</v>
      </c>
      <c r="I1334">
        <v>2</v>
      </c>
      <c r="J1334" t="s">
        <v>63</v>
      </c>
      <c r="K1334" s="8">
        <v>100</v>
      </c>
      <c r="L1334" s="8" t="s">
        <v>6613</v>
      </c>
      <c r="M1334" s="8" t="s">
        <v>6633</v>
      </c>
      <c r="N1334" t="s">
        <v>424</v>
      </c>
      <c r="O1334" t="s">
        <v>6570</v>
      </c>
      <c r="P1334" s="4">
        <v>1200</v>
      </c>
      <c r="S1334" s="2">
        <v>45736</v>
      </c>
      <c r="U1334">
        <v>1</v>
      </c>
      <c r="V1334" s="4">
        <v>1200</v>
      </c>
      <c r="W1334" t="s">
        <v>65</v>
      </c>
      <c r="X1334">
        <v>107473440001</v>
      </c>
      <c r="Y1334">
        <v>0</v>
      </c>
      <c r="Z1334" s="4">
        <v>1000</v>
      </c>
      <c r="AA1334">
        <v>200</v>
      </c>
      <c r="AB1334">
        <v>0</v>
      </c>
      <c r="AC1334">
        <v>0</v>
      </c>
      <c r="AD1334">
        <v>0</v>
      </c>
      <c r="AG1334">
        <v>0</v>
      </c>
      <c r="AP1334">
        <v>10747344</v>
      </c>
      <c r="AQ1334" t="s">
        <v>487</v>
      </c>
      <c r="AR1334" t="s">
        <v>6656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BC1334" t="s">
        <v>69</v>
      </c>
      <c r="BD1334" t="s">
        <v>4424</v>
      </c>
      <c r="BE1334">
        <v>0</v>
      </c>
      <c r="BG1334" t="s">
        <v>487</v>
      </c>
      <c r="BJ1334" t="s">
        <v>4425</v>
      </c>
    </row>
    <row r="1335" spans="1:62" x14ac:dyDescent="0.35">
      <c r="A1335" t="s">
        <v>4437</v>
      </c>
      <c r="B1335">
        <v>10000</v>
      </c>
      <c r="C1335">
        <v>20000</v>
      </c>
      <c r="D1335" s="2">
        <v>45741</v>
      </c>
      <c r="E1335" t="s">
        <v>61</v>
      </c>
      <c r="F1335" t="s">
        <v>4438</v>
      </c>
      <c r="G1335" t="s">
        <v>4156</v>
      </c>
      <c r="I1335">
        <v>2</v>
      </c>
      <c r="J1335" t="s">
        <v>63</v>
      </c>
      <c r="K1335" s="8">
        <v>77</v>
      </c>
      <c r="L1335" s="8" t="s">
        <v>6584</v>
      </c>
      <c r="M1335" s="8" t="s">
        <v>6627</v>
      </c>
      <c r="N1335" t="s">
        <v>127</v>
      </c>
      <c r="O1335" t="s">
        <v>6567</v>
      </c>
      <c r="P1335" s="4">
        <v>2500</v>
      </c>
      <c r="Q1335">
        <f t="shared" ref="Q1335:Q1340" si="346">(P1335/60)+45</f>
        <v>86.666666666666657</v>
      </c>
      <c r="R1335">
        <f t="shared" ref="R1335:R1340" si="347">Q1335/60</f>
        <v>1.4444444444444442</v>
      </c>
      <c r="S1335" s="2">
        <v>45736</v>
      </c>
      <c r="U1335">
        <v>88</v>
      </c>
      <c r="V1335" s="4">
        <v>220000</v>
      </c>
      <c r="W1335" t="s">
        <v>65</v>
      </c>
      <c r="X1335" t="s">
        <v>4439</v>
      </c>
      <c r="Y1335">
        <v>0</v>
      </c>
      <c r="Z1335" s="4">
        <v>200000</v>
      </c>
      <c r="AA1335" s="4">
        <v>20000</v>
      </c>
      <c r="AB1335">
        <v>0</v>
      </c>
      <c r="AC1335">
        <v>0</v>
      </c>
      <c r="AD1335">
        <v>0</v>
      </c>
      <c r="AG1335">
        <v>0</v>
      </c>
      <c r="AP1335" t="s">
        <v>4440</v>
      </c>
      <c r="AQ1335" t="s">
        <v>107</v>
      </c>
      <c r="AR1335" t="s">
        <v>6638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BC1335" t="s">
        <v>69</v>
      </c>
      <c r="BD1335" t="s">
        <v>4441</v>
      </c>
      <c r="BE1335">
        <v>0</v>
      </c>
      <c r="BG1335" t="s">
        <v>107</v>
      </c>
      <c r="BJ1335" t="s">
        <v>4442</v>
      </c>
    </row>
    <row r="1336" spans="1:62" x14ac:dyDescent="0.35">
      <c r="A1336" t="s">
        <v>4443</v>
      </c>
      <c r="B1336">
        <v>10000</v>
      </c>
      <c r="C1336">
        <v>20000</v>
      </c>
      <c r="D1336" s="2">
        <v>45741</v>
      </c>
      <c r="E1336" t="s">
        <v>61</v>
      </c>
      <c r="F1336" t="s">
        <v>4444</v>
      </c>
      <c r="G1336" t="s">
        <v>4156</v>
      </c>
      <c r="I1336">
        <v>2</v>
      </c>
      <c r="J1336" t="s">
        <v>63</v>
      </c>
      <c r="K1336" s="8">
        <v>77</v>
      </c>
      <c r="L1336" s="8" t="s">
        <v>6584</v>
      </c>
      <c r="M1336" s="8" t="s">
        <v>6627</v>
      </c>
      <c r="N1336" t="s">
        <v>127</v>
      </c>
      <c r="O1336" t="s">
        <v>6567</v>
      </c>
      <c r="P1336" s="4">
        <v>1250</v>
      </c>
      <c r="Q1336">
        <f t="shared" si="346"/>
        <v>65.833333333333329</v>
      </c>
      <c r="R1336">
        <f t="shared" si="347"/>
        <v>1.0972222222222221</v>
      </c>
      <c r="S1336" s="2">
        <v>45736</v>
      </c>
      <c r="U1336">
        <v>88</v>
      </c>
      <c r="V1336" s="4">
        <v>110000</v>
      </c>
      <c r="W1336" t="s">
        <v>65</v>
      </c>
      <c r="X1336" t="s">
        <v>4445</v>
      </c>
      <c r="Y1336">
        <v>0</v>
      </c>
      <c r="Z1336" s="4">
        <v>100000</v>
      </c>
      <c r="AA1336" s="4">
        <v>10000</v>
      </c>
      <c r="AB1336">
        <v>0</v>
      </c>
      <c r="AC1336">
        <v>0</v>
      </c>
      <c r="AD1336">
        <v>0</v>
      </c>
      <c r="AG1336">
        <v>0</v>
      </c>
      <c r="AP1336" t="s">
        <v>4446</v>
      </c>
      <c r="AQ1336" t="s">
        <v>107</v>
      </c>
      <c r="AR1336" t="s">
        <v>6638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BC1336" t="s">
        <v>69</v>
      </c>
      <c r="BD1336" t="s">
        <v>4447</v>
      </c>
      <c r="BE1336">
        <v>0</v>
      </c>
      <c r="BG1336" t="s">
        <v>107</v>
      </c>
      <c r="BJ1336" t="s">
        <v>4448</v>
      </c>
    </row>
    <row r="1337" spans="1:62" x14ac:dyDescent="0.35">
      <c r="A1337" t="s">
        <v>4449</v>
      </c>
      <c r="B1337">
        <v>10000</v>
      </c>
      <c r="C1337">
        <v>20000</v>
      </c>
      <c r="D1337" s="2">
        <v>45741</v>
      </c>
      <c r="E1337" t="s">
        <v>61</v>
      </c>
      <c r="F1337" t="s">
        <v>4450</v>
      </c>
      <c r="G1337" t="s">
        <v>4156</v>
      </c>
      <c r="I1337">
        <v>2</v>
      </c>
      <c r="J1337" t="s">
        <v>63</v>
      </c>
      <c r="K1337" s="8">
        <v>77</v>
      </c>
      <c r="L1337" s="8" t="s">
        <v>6584</v>
      </c>
      <c r="M1337" s="8" t="s">
        <v>6627</v>
      </c>
      <c r="N1337" t="s">
        <v>127</v>
      </c>
      <c r="O1337" t="s">
        <v>6567</v>
      </c>
      <c r="P1337" s="4">
        <v>3785</v>
      </c>
      <c r="Q1337">
        <f t="shared" si="346"/>
        <v>108.08333333333334</v>
      </c>
      <c r="R1337">
        <f t="shared" si="347"/>
        <v>1.8013888888888892</v>
      </c>
      <c r="S1337" s="2">
        <v>45736</v>
      </c>
      <c r="U1337">
        <v>88</v>
      </c>
      <c r="V1337" s="4">
        <v>333080</v>
      </c>
      <c r="W1337" t="s">
        <v>65</v>
      </c>
      <c r="X1337" t="s">
        <v>981</v>
      </c>
      <c r="Y1337">
        <v>0</v>
      </c>
      <c r="Z1337" s="4">
        <v>300000</v>
      </c>
      <c r="AA1337" s="4">
        <v>33080</v>
      </c>
      <c r="AB1337">
        <v>0</v>
      </c>
      <c r="AC1337">
        <v>0</v>
      </c>
      <c r="AD1337">
        <v>0</v>
      </c>
      <c r="AG1337">
        <v>0</v>
      </c>
      <c r="AP1337" t="s">
        <v>982</v>
      </c>
      <c r="AQ1337" t="s">
        <v>107</v>
      </c>
      <c r="AR1337" t="s">
        <v>6638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BC1337" t="s">
        <v>69</v>
      </c>
      <c r="BD1337" t="s">
        <v>4451</v>
      </c>
      <c r="BE1337">
        <v>0</v>
      </c>
      <c r="BG1337" t="s">
        <v>107</v>
      </c>
      <c r="BJ1337" t="s">
        <v>4452</v>
      </c>
    </row>
    <row r="1338" spans="1:62" x14ac:dyDescent="0.35">
      <c r="A1338" t="s">
        <v>4453</v>
      </c>
      <c r="B1338">
        <v>10000</v>
      </c>
      <c r="C1338">
        <v>20000</v>
      </c>
      <c r="D1338" s="2">
        <v>45744</v>
      </c>
      <c r="E1338" t="s">
        <v>61</v>
      </c>
      <c r="F1338" t="s">
        <v>4454</v>
      </c>
      <c r="G1338" t="s">
        <v>4218</v>
      </c>
      <c r="I1338">
        <v>2</v>
      </c>
      <c r="J1338" t="s">
        <v>63</v>
      </c>
      <c r="K1338" s="8">
        <v>77</v>
      </c>
      <c r="L1338" s="8" t="s">
        <v>6584</v>
      </c>
      <c r="M1338" s="8" t="s">
        <v>6627</v>
      </c>
      <c r="N1338" t="s">
        <v>127</v>
      </c>
      <c r="O1338" t="s">
        <v>6567</v>
      </c>
      <c r="P1338" s="4">
        <v>1250</v>
      </c>
      <c r="Q1338">
        <f t="shared" si="346"/>
        <v>65.833333333333329</v>
      </c>
      <c r="R1338">
        <f t="shared" si="347"/>
        <v>1.0972222222222221</v>
      </c>
      <c r="S1338" s="2">
        <v>45736</v>
      </c>
      <c r="U1338">
        <v>88</v>
      </c>
      <c r="V1338" s="4">
        <v>110000</v>
      </c>
      <c r="W1338" t="s">
        <v>65</v>
      </c>
      <c r="X1338" t="s">
        <v>4455</v>
      </c>
      <c r="Y1338">
        <v>0</v>
      </c>
      <c r="Z1338" s="4">
        <v>100000</v>
      </c>
      <c r="AA1338" s="4">
        <v>10000</v>
      </c>
      <c r="AB1338">
        <v>0</v>
      </c>
      <c r="AC1338">
        <v>0</v>
      </c>
      <c r="AD1338">
        <v>0</v>
      </c>
      <c r="AG1338">
        <v>0</v>
      </c>
      <c r="AP1338" t="s">
        <v>4456</v>
      </c>
      <c r="AQ1338" t="s">
        <v>107</v>
      </c>
      <c r="AR1338" t="s">
        <v>6638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BC1338" t="s">
        <v>69</v>
      </c>
      <c r="BD1338" t="s">
        <v>4457</v>
      </c>
      <c r="BE1338">
        <v>0</v>
      </c>
      <c r="BG1338" t="s">
        <v>107</v>
      </c>
      <c r="BJ1338" t="s">
        <v>4458</v>
      </c>
    </row>
    <row r="1339" spans="1:62" x14ac:dyDescent="0.35">
      <c r="A1339" t="s">
        <v>4459</v>
      </c>
      <c r="B1339">
        <v>10000</v>
      </c>
      <c r="C1339">
        <v>20000</v>
      </c>
      <c r="D1339" s="2">
        <v>45744</v>
      </c>
      <c r="E1339" t="s">
        <v>61</v>
      </c>
      <c r="F1339" t="s">
        <v>4460</v>
      </c>
      <c r="G1339" t="s">
        <v>4218</v>
      </c>
      <c r="I1339">
        <v>2</v>
      </c>
      <c r="J1339" t="s">
        <v>63</v>
      </c>
      <c r="K1339" s="8">
        <v>77</v>
      </c>
      <c r="L1339" s="8" t="s">
        <v>6584</v>
      </c>
      <c r="M1339" s="8" t="s">
        <v>6627</v>
      </c>
      <c r="N1339" t="s">
        <v>127</v>
      </c>
      <c r="O1339" t="s">
        <v>6567</v>
      </c>
      <c r="P1339" s="4">
        <v>1250</v>
      </c>
      <c r="Q1339">
        <f t="shared" si="346"/>
        <v>65.833333333333329</v>
      </c>
      <c r="R1339">
        <f t="shared" si="347"/>
        <v>1.0972222222222221</v>
      </c>
      <c r="S1339" s="2">
        <v>45736</v>
      </c>
      <c r="U1339">
        <v>88</v>
      </c>
      <c r="V1339" s="4">
        <v>110000</v>
      </c>
      <c r="W1339" t="s">
        <v>65</v>
      </c>
      <c r="X1339" t="s">
        <v>1527</v>
      </c>
      <c r="Y1339">
        <v>0</v>
      </c>
      <c r="Z1339" s="4">
        <v>100000</v>
      </c>
      <c r="AA1339" s="4">
        <v>10000</v>
      </c>
      <c r="AB1339">
        <v>0</v>
      </c>
      <c r="AC1339">
        <v>0</v>
      </c>
      <c r="AD1339">
        <v>0</v>
      </c>
      <c r="AG1339">
        <v>0</v>
      </c>
      <c r="AP1339" t="s">
        <v>1528</v>
      </c>
      <c r="AQ1339" t="s">
        <v>107</v>
      </c>
      <c r="AR1339" t="s">
        <v>6638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BC1339" t="s">
        <v>69</v>
      </c>
      <c r="BD1339" t="s">
        <v>4461</v>
      </c>
      <c r="BE1339">
        <v>0</v>
      </c>
      <c r="BG1339" t="s">
        <v>107</v>
      </c>
      <c r="BJ1339" t="s">
        <v>4462</v>
      </c>
    </row>
    <row r="1340" spans="1:62" x14ac:dyDescent="0.35">
      <c r="A1340" t="s">
        <v>4463</v>
      </c>
      <c r="B1340">
        <v>10000</v>
      </c>
      <c r="C1340">
        <v>20000</v>
      </c>
      <c r="D1340" s="2">
        <v>45744</v>
      </c>
      <c r="E1340" t="s">
        <v>61</v>
      </c>
      <c r="F1340" t="s">
        <v>4464</v>
      </c>
      <c r="G1340" t="s">
        <v>4218</v>
      </c>
      <c r="I1340">
        <v>2</v>
      </c>
      <c r="J1340" t="s">
        <v>63</v>
      </c>
      <c r="K1340" s="8">
        <v>77</v>
      </c>
      <c r="L1340" s="8" t="s">
        <v>6584</v>
      </c>
      <c r="M1340" s="8" t="s">
        <v>6627</v>
      </c>
      <c r="N1340" t="s">
        <v>127</v>
      </c>
      <c r="O1340" t="s">
        <v>6567</v>
      </c>
      <c r="P1340" s="4">
        <v>1250</v>
      </c>
      <c r="Q1340">
        <f t="shared" si="346"/>
        <v>65.833333333333329</v>
      </c>
      <c r="R1340">
        <f t="shared" si="347"/>
        <v>1.0972222222222221</v>
      </c>
      <c r="S1340" s="2">
        <v>45736</v>
      </c>
      <c r="U1340">
        <v>88</v>
      </c>
      <c r="V1340" s="4">
        <v>110000</v>
      </c>
      <c r="W1340" t="s">
        <v>65</v>
      </c>
      <c r="X1340" t="s">
        <v>1334</v>
      </c>
      <c r="Y1340">
        <v>0</v>
      </c>
      <c r="Z1340" s="4">
        <v>100000</v>
      </c>
      <c r="AA1340" s="4">
        <v>10000</v>
      </c>
      <c r="AB1340">
        <v>0</v>
      </c>
      <c r="AC1340">
        <v>0</v>
      </c>
      <c r="AD1340">
        <v>0</v>
      </c>
      <c r="AG1340">
        <v>0</v>
      </c>
      <c r="AP1340" t="s">
        <v>1335</v>
      </c>
      <c r="AQ1340" t="s">
        <v>107</v>
      </c>
      <c r="AR1340" t="s">
        <v>6638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C1340" t="s">
        <v>69</v>
      </c>
      <c r="BD1340" t="s">
        <v>4465</v>
      </c>
      <c r="BE1340">
        <v>0</v>
      </c>
      <c r="BG1340" t="s">
        <v>107</v>
      </c>
      <c r="BJ1340" t="s">
        <v>4466</v>
      </c>
    </row>
    <row r="1341" spans="1:62" x14ac:dyDescent="0.35">
      <c r="A1341" t="s">
        <v>4642</v>
      </c>
      <c r="B1341">
        <v>10000</v>
      </c>
      <c r="C1341">
        <v>10000</v>
      </c>
      <c r="D1341" s="2">
        <v>45737</v>
      </c>
      <c r="E1341" t="s">
        <v>61</v>
      </c>
      <c r="F1341" t="s">
        <v>4643</v>
      </c>
      <c r="G1341">
        <v>310180293</v>
      </c>
      <c r="I1341">
        <v>1</v>
      </c>
      <c r="J1341" t="s">
        <v>63</v>
      </c>
      <c r="K1341" s="8">
        <v>88</v>
      </c>
      <c r="L1341" s="8" t="s">
        <v>6610</v>
      </c>
      <c r="M1341" s="8" t="s">
        <v>6631</v>
      </c>
      <c r="N1341" t="s">
        <v>630</v>
      </c>
      <c r="O1341" t="s">
        <v>6571</v>
      </c>
      <c r="P1341">
        <v>150</v>
      </c>
      <c r="S1341" s="2">
        <v>45736</v>
      </c>
      <c r="U1341">
        <v>1</v>
      </c>
      <c r="V1341">
        <v>150</v>
      </c>
      <c r="W1341" t="s">
        <v>65</v>
      </c>
      <c r="X1341" t="s">
        <v>4644</v>
      </c>
      <c r="Y1341">
        <v>0</v>
      </c>
      <c r="Z1341">
        <v>50</v>
      </c>
      <c r="AA1341">
        <v>100</v>
      </c>
      <c r="AB1341">
        <v>0</v>
      </c>
      <c r="AC1341">
        <v>0</v>
      </c>
      <c r="AD1341">
        <v>0</v>
      </c>
      <c r="AG1341">
        <v>0</v>
      </c>
      <c r="AP1341" t="s">
        <v>4645</v>
      </c>
      <c r="AQ1341" t="s">
        <v>3041</v>
      </c>
      <c r="AR1341" t="s">
        <v>6712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BC1341" t="s">
        <v>69</v>
      </c>
      <c r="BD1341" t="s">
        <v>4646</v>
      </c>
      <c r="BE1341">
        <v>0</v>
      </c>
      <c r="BG1341" t="s">
        <v>3041</v>
      </c>
      <c r="BJ1341" t="s">
        <v>4647</v>
      </c>
    </row>
    <row r="1342" spans="1:62" x14ac:dyDescent="0.35">
      <c r="A1342" t="s">
        <v>4648</v>
      </c>
      <c r="B1342">
        <v>10000</v>
      </c>
      <c r="C1342">
        <v>10000</v>
      </c>
      <c r="D1342" s="2">
        <v>45748</v>
      </c>
      <c r="E1342" t="s">
        <v>61</v>
      </c>
      <c r="F1342" t="s">
        <v>4649</v>
      </c>
      <c r="G1342">
        <v>12190705005</v>
      </c>
      <c r="I1342">
        <v>1</v>
      </c>
      <c r="J1342" t="s">
        <v>63</v>
      </c>
      <c r="K1342" s="8">
        <v>68</v>
      </c>
      <c r="L1342" s="8" t="s">
        <v>6605</v>
      </c>
      <c r="M1342" s="8" t="s">
        <v>6630</v>
      </c>
      <c r="N1342" t="s">
        <v>4650</v>
      </c>
      <c r="O1342" t="s">
        <v>6566</v>
      </c>
      <c r="P1342" s="4">
        <v>50000</v>
      </c>
      <c r="Q1342">
        <f t="shared" ref="Q1342:Q1353" si="348">(P1342/40)+45</f>
        <v>1295</v>
      </c>
      <c r="R1342">
        <f t="shared" ref="R1342:R1353" si="349">Q1342/60</f>
        <v>21.583333333333332</v>
      </c>
      <c r="S1342" s="2">
        <v>45736</v>
      </c>
      <c r="U1342">
        <v>2</v>
      </c>
      <c r="V1342" s="4">
        <v>100000</v>
      </c>
      <c r="W1342" t="s">
        <v>65</v>
      </c>
      <c r="X1342" t="s">
        <v>803</v>
      </c>
      <c r="Y1342">
        <v>0</v>
      </c>
      <c r="Z1342" s="4">
        <v>100000</v>
      </c>
      <c r="AA1342">
        <v>0</v>
      </c>
      <c r="AB1342">
        <v>0</v>
      </c>
      <c r="AC1342">
        <v>0</v>
      </c>
      <c r="AD1342">
        <v>0</v>
      </c>
      <c r="AG1342">
        <v>0</v>
      </c>
      <c r="AP1342" t="s">
        <v>804</v>
      </c>
      <c r="AQ1342" t="s">
        <v>157</v>
      </c>
      <c r="AR1342" t="s">
        <v>6640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BC1342" t="s">
        <v>69</v>
      </c>
      <c r="BD1342" t="s">
        <v>4651</v>
      </c>
      <c r="BE1342">
        <v>0</v>
      </c>
      <c r="BG1342" t="s">
        <v>157</v>
      </c>
      <c r="BJ1342" t="s">
        <v>4652</v>
      </c>
    </row>
    <row r="1343" spans="1:62" x14ac:dyDescent="0.35">
      <c r="A1343" t="s">
        <v>4653</v>
      </c>
      <c r="B1343">
        <v>10000</v>
      </c>
      <c r="C1343">
        <v>10000</v>
      </c>
      <c r="D1343" s="2">
        <v>45736</v>
      </c>
      <c r="E1343" t="s">
        <v>61</v>
      </c>
      <c r="F1343" t="s">
        <v>4619</v>
      </c>
      <c r="G1343" t="s">
        <v>1457</v>
      </c>
      <c r="I1343">
        <v>1</v>
      </c>
      <c r="J1343" t="s">
        <v>63</v>
      </c>
      <c r="K1343" s="8">
        <v>65</v>
      </c>
      <c r="L1343" s="8" t="s">
        <v>6596</v>
      </c>
      <c r="M1343" s="8" t="s">
        <v>6630</v>
      </c>
      <c r="N1343" t="s">
        <v>268</v>
      </c>
      <c r="O1343" t="s">
        <v>6543</v>
      </c>
      <c r="P1343">
        <v>750</v>
      </c>
      <c r="Q1343">
        <f t="shared" si="348"/>
        <v>63.75</v>
      </c>
      <c r="R1343">
        <f t="shared" si="349"/>
        <v>1.0625</v>
      </c>
      <c r="S1343" s="2">
        <v>45736</v>
      </c>
      <c r="U1343">
        <v>4</v>
      </c>
      <c r="V1343" s="4">
        <v>3000</v>
      </c>
      <c r="W1343" t="s">
        <v>65</v>
      </c>
      <c r="X1343" t="s">
        <v>4654</v>
      </c>
      <c r="Y1343">
        <v>0</v>
      </c>
      <c r="Z1343" s="4">
        <v>3000</v>
      </c>
      <c r="AA1343">
        <v>0</v>
      </c>
      <c r="AB1343">
        <v>0</v>
      </c>
      <c r="AC1343">
        <v>0</v>
      </c>
      <c r="AD1343">
        <v>0</v>
      </c>
      <c r="AG1343">
        <v>0</v>
      </c>
      <c r="AP1343" t="s">
        <v>4655</v>
      </c>
      <c r="AQ1343" t="s">
        <v>508</v>
      </c>
      <c r="AR1343" t="s">
        <v>6657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BC1343" t="s">
        <v>69</v>
      </c>
      <c r="BD1343" t="s">
        <v>4656</v>
      </c>
      <c r="BE1343">
        <v>0</v>
      </c>
      <c r="BG1343" t="s">
        <v>508</v>
      </c>
      <c r="BJ1343" t="s">
        <v>4657</v>
      </c>
    </row>
    <row r="1344" spans="1:62" x14ac:dyDescent="0.35">
      <c r="A1344" t="s">
        <v>4658</v>
      </c>
      <c r="B1344">
        <v>10000</v>
      </c>
      <c r="C1344">
        <v>10000</v>
      </c>
      <c r="D1344" s="2">
        <v>45736</v>
      </c>
      <c r="E1344" t="s">
        <v>61</v>
      </c>
      <c r="F1344" t="s">
        <v>4659</v>
      </c>
      <c r="G1344" t="s">
        <v>1032</v>
      </c>
      <c r="I1344">
        <v>1</v>
      </c>
      <c r="J1344" t="s">
        <v>63</v>
      </c>
      <c r="K1344" s="8">
        <v>65</v>
      </c>
      <c r="L1344" s="8" t="s">
        <v>6596</v>
      </c>
      <c r="M1344" s="8" t="s">
        <v>6630</v>
      </c>
      <c r="N1344" t="s">
        <v>268</v>
      </c>
      <c r="O1344" t="s">
        <v>6543</v>
      </c>
      <c r="P1344" s="4">
        <v>1000</v>
      </c>
      <c r="Q1344">
        <f t="shared" si="348"/>
        <v>70</v>
      </c>
      <c r="R1344">
        <f t="shared" si="349"/>
        <v>1.1666666666666667</v>
      </c>
      <c r="S1344" s="2">
        <v>45736</v>
      </c>
      <c r="U1344">
        <v>9</v>
      </c>
      <c r="V1344" s="4">
        <v>9000</v>
      </c>
      <c r="W1344" t="s">
        <v>65</v>
      </c>
      <c r="X1344" t="s">
        <v>1463</v>
      </c>
      <c r="Y1344">
        <v>0</v>
      </c>
      <c r="Z1344" s="4">
        <v>9000</v>
      </c>
      <c r="AA1344">
        <v>0</v>
      </c>
      <c r="AB1344">
        <v>0</v>
      </c>
      <c r="AC1344">
        <v>0</v>
      </c>
      <c r="AD1344">
        <v>0</v>
      </c>
      <c r="AG1344">
        <v>0</v>
      </c>
      <c r="AP1344" t="s">
        <v>1464</v>
      </c>
      <c r="AQ1344" t="s">
        <v>508</v>
      </c>
      <c r="AR1344" t="s">
        <v>6657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BC1344" t="s">
        <v>69</v>
      </c>
      <c r="BD1344" t="s">
        <v>4660</v>
      </c>
      <c r="BE1344">
        <v>0</v>
      </c>
      <c r="BG1344" t="s">
        <v>508</v>
      </c>
      <c r="BJ1344" t="s">
        <v>4657</v>
      </c>
    </row>
    <row r="1345" spans="1:62" x14ac:dyDescent="0.35">
      <c r="A1345" t="s">
        <v>4661</v>
      </c>
      <c r="B1345">
        <v>10000</v>
      </c>
      <c r="C1345">
        <v>10000</v>
      </c>
      <c r="D1345" s="2">
        <v>45736</v>
      </c>
      <c r="E1345" t="s">
        <v>61</v>
      </c>
      <c r="F1345" s="3">
        <v>0.46954861111111112</v>
      </c>
      <c r="G1345" t="s">
        <v>2986</v>
      </c>
      <c r="I1345">
        <v>1</v>
      </c>
      <c r="J1345" t="s">
        <v>63</v>
      </c>
      <c r="K1345" s="8">
        <v>65</v>
      </c>
      <c r="L1345" s="8" t="s">
        <v>6596</v>
      </c>
      <c r="M1345" s="8" t="s">
        <v>6630</v>
      </c>
      <c r="N1345" t="s">
        <v>268</v>
      </c>
      <c r="O1345" t="s">
        <v>6543</v>
      </c>
      <c r="P1345" s="4">
        <v>1000</v>
      </c>
      <c r="Q1345">
        <f t="shared" si="348"/>
        <v>70</v>
      </c>
      <c r="R1345">
        <f t="shared" si="349"/>
        <v>1.1666666666666667</v>
      </c>
      <c r="S1345" s="2">
        <v>45736</v>
      </c>
      <c r="U1345">
        <v>2</v>
      </c>
      <c r="V1345" s="4">
        <v>2000</v>
      </c>
      <c r="W1345" t="s">
        <v>65</v>
      </c>
      <c r="X1345" t="s">
        <v>4662</v>
      </c>
      <c r="Y1345">
        <v>0</v>
      </c>
      <c r="Z1345" s="4">
        <v>2000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 t="s">
        <v>4663</v>
      </c>
      <c r="AQ1345" t="s">
        <v>508</v>
      </c>
      <c r="AR1345" t="s">
        <v>6657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BC1345" t="s">
        <v>69</v>
      </c>
      <c r="BD1345" t="s">
        <v>4664</v>
      </c>
      <c r="BE1345">
        <v>0</v>
      </c>
      <c r="BG1345" t="s">
        <v>508</v>
      </c>
      <c r="BJ1345" t="s">
        <v>4657</v>
      </c>
    </row>
    <row r="1346" spans="1:62" x14ac:dyDescent="0.35">
      <c r="A1346" t="s">
        <v>4665</v>
      </c>
      <c r="B1346">
        <v>10000</v>
      </c>
      <c r="C1346">
        <v>10000</v>
      </c>
      <c r="D1346" s="2">
        <v>45736</v>
      </c>
      <c r="E1346" t="s">
        <v>61</v>
      </c>
      <c r="F1346" t="s">
        <v>4619</v>
      </c>
      <c r="G1346" t="s">
        <v>1457</v>
      </c>
      <c r="I1346">
        <v>1</v>
      </c>
      <c r="J1346" t="s">
        <v>63</v>
      </c>
      <c r="K1346" s="8">
        <v>65</v>
      </c>
      <c r="L1346" s="8" t="s">
        <v>6596</v>
      </c>
      <c r="M1346" s="8" t="s">
        <v>6630</v>
      </c>
      <c r="N1346" t="s">
        <v>268</v>
      </c>
      <c r="O1346" t="s">
        <v>6543</v>
      </c>
      <c r="P1346">
        <v>500</v>
      </c>
      <c r="Q1346">
        <f t="shared" si="348"/>
        <v>57.5</v>
      </c>
      <c r="R1346">
        <f t="shared" si="349"/>
        <v>0.95833333333333337</v>
      </c>
      <c r="S1346" s="2">
        <v>45736</v>
      </c>
      <c r="U1346">
        <v>4</v>
      </c>
      <c r="V1346" s="4">
        <v>2000</v>
      </c>
      <c r="W1346" t="s">
        <v>65</v>
      </c>
      <c r="X1346" t="s">
        <v>4654</v>
      </c>
      <c r="Y1346">
        <v>0</v>
      </c>
      <c r="Z1346" s="4">
        <v>2000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 t="s">
        <v>4655</v>
      </c>
      <c r="AQ1346" t="s">
        <v>508</v>
      </c>
      <c r="AR1346" t="s">
        <v>6657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BC1346" t="s">
        <v>69</v>
      </c>
      <c r="BD1346" t="s">
        <v>4666</v>
      </c>
      <c r="BE1346">
        <v>0</v>
      </c>
      <c r="BG1346" t="s">
        <v>508</v>
      </c>
      <c r="BJ1346" t="s">
        <v>4667</v>
      </c>
    </row>
    <row r="1347" spans="1:62" x14ac:dyDescent="0.35">
      <c r="A1347" t="s">
        <v>4668</v>
      </c>
      <c r="B1347">
        <v>10000</v>
      </c>
      <c r="C1347">
        <v>10000</v>
      </c>
      <c r="D1347" s="2">
        <v>45736</v>
      </c>
      <c r="E1347" t="s">
        <v>61</v>
      </c>
      <c r="F1347" t="s">
        <v>4659</v>
      </c>
      <c r="G1347" t="s">
        <v>1032</v>
      </c>
      <c r="I1347">
        <v>1</v>
      </c>
      <c r="J1347" t="s">
        <v>63</v>
      </c>
      <c r="K1347" s="8">
        <v>65</v>
      </c>
      <c r="L1347" s="8" t="s">
        <v>6596</v>
      </c>
      <c r="M1347" s="8" t="s">
        <v>6630</v>
      </c>
      <c r="N1347" t="s">
        <v>268</v>
      </c>
      <c r="O1347" t="s">
        <v>6543</v>
      </c>
      <c r="P1347">
        <v>667</v>
      </c>
      <c r="Q1347">
        <f t="shared" si="348"/>
        <v>61.674999999999997</v>
      </c>
      <c r="R1347">
        <f t="shared" si="349"/>
        <v>1.0279166666666666</v>
      </c>
      <c r="S1347" s="2">
        <v>45736</v>
      </c>
      <c r="U1347">
        <v>9</v>
      </c>
      <c r="V1347" s="4">
        <v>6003</v>
      </c>
      <c r="W1347" t="s">
        <v>65</v>
      </c>
      <c r="X1347" t="s">
        <v>1463</v>
      </c>
      <c r="Y1347">
        <v>0</v>
      </c>
      <c r="Z1347" s="4">
        <v>6000</v>
      </c>
      <c r="AA1347">
        <v>3</v>
      </c>
      <c r="AB1347">
        <v>0</v>
      </c>
      <c r="AC1347">
        <v>0</v>
      </c>
      <c r="AD1347">
        <v>0</v>
      </c>
      <c r="AG1347">
        <v>0</v>
      </c>
      <c r="AP1347" t="s">
        <v>1464</v>
      </c>
      <c r="AQ1347" t="s">
        <v>508</v>
      </c>
      <c r="AR1347" t="s">
        <v>6657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BC1347" t="s">
        <v>69</v>
      </c>
      <c r="BD1347" t="s">
        <v>4669</v>
      </c>
      <c r="BE1347">
        <v>0</v>
      </c>
      <c r="BG1347" t="s">
        <v>508</v>
      </c>
      <c r="BJ1347" t="s">
        <v>4667</v>
      </c>
    </row>
    <row r="1348" spans="1:62" x14ac:dyDescent="0.35">
      <c r="A1348" t="s">
        <v>4670</v>
      </c>
      <c r="B1348">
        <v>10000</v>
      </c>
      <c r="C1348">
        <v>10000</v>
      </c>
      <c r="D1348" s="2">
        <v>45736</v>
      </c>
      <c r="E1348" t="s">
        <v>61</v>
      </c>
      <c r="F1348" s="3">
        <v>0.46954861111111112</v>
      </c>
      <c r="G1348" t="s">
        <v>2986</v>
      </c>
      <c r="I1348">
        <v>1</v>
      </c>
      <c r="J1348" t="s">
        <v>63</v>
      </c>
      <c r="K1348" s="8">
        <v>65</v>
      </c>
      <c r="L1348" s="8" t="s">
        <v>6596</v>
      </c>
      <c r="M1348" s="8" t="s">
        <v>6630</v>
      </c>
      <c r="N1348" t="s">
        <v>268</v>
      </c>
      <c r="O1348" t="s">
        <v>6543</v>
      </c>
      <c r="P1348" s="4">
        <v>1000</v>
      </c>
      <c r="Q1348">
        <f t="shared" si="348"/>
        <v>70</v>
      </c>
      <c r="R1348">
        <f t="shared" si="349"/>
        <v>1.1666666666666667</v>
      </c>
      <c r="S1348" s="2">
        <v>45736</v>
      </c>
      <c r="U1348">
        <v>2</v>
      </c>
      <c r="V1348" s="4">
        <v>2000</v>
      </c>
      <c r="W1348" t="s">
        <v>65</v>
      </c>
      <c r="X1348" t="s">
        <v>4662</v>
      </c>
      <c r="Y1348">
        <v>0</v>
      </c>
      <c r="Z1348" s="4">
        <v>2000</v>
      </c>
      <c r="AA1348">
        <v>0</v>
      </c>
      <c r="AB1348">
        <v>0</v>
      </c>
      <c r="AC1348">
        <v>0</v>
      </c>
      <c r="AD1348">
        <v>0</v>
      </c>
      <c r="AG1348">
        <v>0</v>
      </c>
      <c r="AP1348" t="s">
        <v>4663</v>
      </c>
      <c r="AQ1348" t="s">
        <v>508</v>
      </c>
      <c r="AR1348" t="s">
        <v>6657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BC1348" t="s">
        <v>69</v>
      </c>
      <c r="BD1348" t="s">
        <v>4671</v>
      </c>
      <c r="BE1348">
        <v>0</v>
      </c>
      <c r="BG1348" t="s">
        <v>508</v>
      </c>
      <c r="BJ1348" t="s">
        <v>4667</v>
      </c>
    </row>
    <row r="1349" spans="1:62" x14ac:dyDescent="0.35">
      <c r="A1349" t="s">
        <v>4672</v>
      </c>
      <c r="B1349">
        <v>10000</v>
      </c>
      <c r="C1349">
        <v>10000</v>
      </c>
      <c r="D1349" s="2">
        <v>45736</v>
      </c>
      <c r="E1349" t="s">
        <v>61</v>
      </c>
      <c r="F1349" s="3">
        <v>0.42677083333333332</v>
      </c>
      <c r="G1349" t="s">
        <v>418</v>
      </c>
      <c r="I1349">
        <v>1</v>
      </c>
      <c r="J1349" t="s">
        <v>63</v>
      </c>
      <c r="K1349" s="8">
        <v>59</v>
      </c>
      <c r="L1349" s="8" t="s">
        <v>6592</v>
      </c>
      <c r="M1349" s="8" t="s">
        <v>6629</v>
      </c>
      <c r="N1349" t="s">
        <v>745</v>
      </c>
      <c r="O1349" t="s">
        <v>6501</v>
      </c>
      <c r="P1349">
        <v>200</v>
      </c>
      <c r="Q1349">
        <f t="shared" si="348"/>
        <v>50</v>
      </c>
      <c r="R1349">
        <f t="shared" si="349"/>
        <v>0.83333333333333337</v>
      </c>
      <c r="S1349" s="2">
        <v>45736</v>
      </c>
      <c r="U1349">
        <v>10</v>
      </c>
      <c r="V1349" s="4">
        <v>2000</v>
      </c>
      <c r="W1349" t="s">
        <v>65</v>
      </c>
      <c r="X1349">
        <v>112023610001</v>
      </c>
      <c r="Y1349">
        <v>0</v>
      </c>
      <c r="Z1349" s="4">
        <v>2000</v>
      </c>
      <c r="AA1349">
        <v>0</v>
      </c>
      <c r="AB1349">
        <v>0</v>
      </c>
      <c r="AC1349">
        <v>0</v>
      </c>
      <c r="AD1349">
        <v>0</v>
      </c>
      <c r="AG1349">
        <v>0</v>
      </c>
      <c r="AP1349">
        <v>11202361</v>
      </c>
      <c r="AQ1349" t="s">
        <v>182</v>
      </c>
      <c r="AR1349" t="s">
        <v>6643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BC1349" t="s">
        <v>69</v>
      </c>
      <c r="BD1349" t="s">
        <v>4673</v>
      </c>
      <c r="BE1349">
        <v>0</v>
      </c>
      <c r="BG1349" t="s">
        <v>182</v>
      </c>
      <c r="BJ1349" t="s">
        <v>4674</v>
      </c>
    </row>
    <row r="1350" spans="1:62" x14ac:dyDescent="0.35">
      <c r="A1350" t="s">
        <v>4675</v>
      </c>
      <c r="B1350">
        <v>10000</v>
      </c>
      <c r="C1350">
        <v>10000</v>
      </c>
      <c r="D1350" s="2">
        <v>45736</v>
      </c>
      <c r="E1350" t="s">
        <v>61</v>
      </c>
      <c r="F1350" s="3">
        <v>0.42677083333333332</v>
      </c>
      <c r="G1350" t="s">
        <v>418</v>
      </c>
      <c r="I1350">
        <v>1</v>
      </c>
      <c r="J1350" t="s">
        <v>63</v>
      </c>
      <c r="K1350" s="8">
        <v>59</v>
      </c>
      <c r="L1350" s="8" t="s">
        <v>6592</v>
      </c>
      <c r="M1350" s="8" t="s">
        <v>6629</v>
      </c>
      <c r="N1350" t="s">
        <v>745</v>
      </c>
      <c r="O1350" t="s">
        <v>6501</v>
      </c>
      <c r="P1350">
        <v>200</v>
      </c>
      <c r="Q1350">
        <f t="shared" si="348"/>
        <v>50</v>
      </c>
      <c r="R1350">
        <f t="shared" si="349"/>
        <v>0.83333333333333337</v>
      </c>
      <c r="S1350" s="2">
        <v>45736</v>
      </c>
      <c r="U1350">
        <v>10</v>
      </c>
      <c r="V1350" s="4">
        <v>2000</v>
      </c>
      <c r="W1350" t="s">
        <v>65</v>
      </c>
      <c r="X1350">
        <v>112023610001</v>
      </c>
      <c r="Y1350">
        <v>0</v>
      </c>
      <c r="Z1350" s="4">
        <v>2000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>
        <v>11202361</v>
      </c>
      <c r="AQ1350" t="s">
        <v>182</v>
      </c>
      <c r="AR1350" t="s">
        <v>6643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BC1350" t="s">
        <v>69</v>
      </c>
      <c r="BD1350" t="s">
        <v>4676</v>
      </c>
      <c r="BE1350">
        <v>0</v>
      </c>
      <c r="BG1350" t="s">
        <v>182</v>
      </c>
      <c r="BJ1350" t="s">
        <v>4677</v>
      </c>
    </row>
    <row r="1351" spans="1:62" x14ac:dyDescent="0.35">
      <c r="A1351" t="s">
        <v>4678</v>
      </c>
      <c r="B1351">
        <v>10000</v>
      </c>
      <c r="C1351">
        <v>10000</v>
      </c>
      <c r="D1351" s="2">
        <v>45736</v>
      </c>
      <c r="E1351" t="s">
        <v>61</v>
      </c>
      <c r="F1351" s="3">
        <v>0.48013888888888889</v>
      </c>
      <c r="G1351" t="s">
        <v>418</v>
      </c>
      <c r="I1351">
        <v>1</v>
      </c>
      <c r="J1351" t="s">
        <v>63</v>
      </c>
      <c r="K1351" s="8">
        <v>59</v>
      </c>
      <c r="L1351" s="8" t="s">
        <v>6592</v>
      </c>
      <c r="M1351" s="8" t="s">
        <v>6629</v>
      </c>
      <c r="N1351" t="s">
        <v>745</v>
      </c>
      <c r="O1351" t="s">
        <v>6501</v>
      </c>
      <c r="P1351">
        <v>200</v>
      </c>
      <c r="Q1351">
        <f t="shared" si="348"/>
        <v>50</v>
      </c>
      <c r="R1351">
        <f t="shared" si="349"/>
        <v>0.83333333333333337</v>
      </c>
      <c r="S1351" s="2">
        <v>45736</v>
      </c>
      <c r="U1351">
        <v>10</v>
      </c>
      <c r="V1351" s="4">
        <v>2000</v>
      </c>
      <c r="W1351" t="s">
        <v>65</v>
      </c>
      <c r="X1351">
        <v>112024760001</v>
      </c>
      <c r="Y1351">
        <v>0</v>
      </c>
      <c r="Z1351" s="4">
        <v>2000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>
        <v>11202476</v>
      </c>
      <c r="AQ1351" t="s">
        <v>182</v>
      </c>
      <c r="AR1351" t="s">
        <v>6643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BC1351" t="s">
        <v>69</v>
      </c>
      <c r="BD1351" t="s">
        <v>4679</v>
      </c>
      <c r="BE1351">
        <v>0</v>
      </c>
      <c r="BG1351" t="s">
        <v>182</v>
      </c>
      <c r="BJ1351" t="s">
        <v>4680</v>
      </c>
    </row>
    <row r="1352" spans="1:62" x14ac:dyDescent="0.35">
      <c r="A1352" t="s">
        <v>4681</v>
      </c>
      <c r="B1352">
        <v>10000</v>
      </c>
      <c r="C1352">
        <v>10000</v>
      </c>
      <c r="D1352" s="2">
        <v>45736</v>
      </c>
      <c r="E1352" t="s">
        <v>61</v>
      </c>
      <c r="F1352" s="3">
        <v>0.48013888888888889</v>
      </c>
      <c r="G1352" t="s">
        <v>418</v>
      </c>
      <c r="I1352">
        <v>1</v>
      </c>
      <c r="J1352" t="s">
        <v>63</v>
      </c>
      <c r="K1352" s="8">
        <v>59</v>
      </c>
      <c r="L1352" s="8" t="s">
        <v>6592</v>
      </c>
      <c r="M1352" s="8" t="s">
        <v>6629</v>
      </c>
      <c r="N1352" t="s">
        <v>745</v>
      </c>
      <c r="O1352" t="s">
        <v>6501</v>
      </c>
      <c r="P1352">
        <v>200</v>
      </c>
      <c r="Q1352">
        <f t="shared" si="348"/>
        <v>50</v>
      </c>
      <c r="R1352">
        <f t="shared" si="349"/>
        <v>0.83333333333333337</v>
      </c>
      <c r="S1352" s="2">
        <v>45736</v>
      </c>
      <c r="U1352">
        <v>10</v>
      </c>
      <c r="V1352" s="4">
        <v>2000</v>
      </c>
      <c r="W1352" t="s">
        <v>65</v>
      </c>
      <c r="X1352">
        <v>112024760001</v>
      </c>
      <c r="Y1352">
        <v>0</v>
      </c>
      <c r="Z1352" s="4">
        <v>2000</v>
      </c>
      <c r="AA1352">
        <v>0</v>
      </c>
      <c r="AB1352">
        <v>0</v>
      </c>
      <c r="AC1352">
        <v>0</v>
      </c>
      <c r="AD1352">
        <v>0</v>
      </c>
      <c r="AG1352">
        <v>0</v>
      </c>
      <c r="AP1352">
        <v>11202476</v>
      </c>
      <c r="AQ1352" t="s">
        <v>182</v>
      </c>
      <c r="AR1352" t="s">
        <v>6643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BC1352" t="s">
        <v>69</v>
      </c>
      <c r="BD1352" t="s">
        <v>4682</v>
      </c>
      <c r="BE1352">
        <v>0</v>
      </c>
      <c r="BG1352" t="s">
        <v>182</v>
      </c>
      <c r="BJ1352" t="s">
        <v>4683</v>
      </c>
    </row>
    <row r="1353" spans="1:62" x14ac:dyDescent="0.35">
      <c r="A1353" t="s">
        <v>4684</v>
      </c>
      <c r="B1353">
        <v>10000</v>
      </c>
      <c r="C1353">
        <v>10000</v>
      </c>
      <c r="D1353" s="2">
        <v>45736</v>
      </c>
      <c r="E1353" t="s">
        <v>61</v>
      </c>
      <c r="F1353" t="s">
        <v>4685</v>
      </c>
      <c r="G1353" t="s">
        <v>418</v>
      </c>
      <c r="I1353">
        <v>1</v>
      </c>
      <c r="J1353" t="s">
        <v>63</v>
      </c>
      <c r="K1353" s="8">
        <v>59</v>
      </c>
      <c r="L1353" s="8" t="s">
        <v>6592</v>
      </c>
      <c r="M1353" s="8" t="s">
        <v>6629</v>
      </c>
      <c r="N1353" t="s">
        <v>745</v>
      </c>
      <c r="O1353" t="s">
        <v>6501</v>
      </c>
      <c r="P1353">
        <v>200</v>
      </c>
      <c r="Q1353">
        <f t="shared" si="348"/>
        <v>50</v>
      </c>
      <c r="R1353">
        <f t="shared" si="349"/>
        <v>0.83333333333333337</v>
      </c>
      <c r="S1353" s="2">
        <v>45736</v>
      </c>
      <c r="U1353">
        <v>10</v>
      </c>
      <c r="V1353" s="4">
        <v>2000</v>
      </c>
      <c r="W1353" t="s">
        <v>65</v>
      </c>
      <c r="X1353">
        <v>112026870001</v>
      </c>
      <c r="Y1353">
        <v>0</v>
      </c>
      <c r="Z1353" s="4">
        <v>2000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>
        <v>11202687</v>
      </c>
      <c r="AQ1353" t="s">
        <v>182</v>
      </c>
      <c r="AR1353" t="s">
        <v>6643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BC1353" t="s">
        <v>69</v>
      </c>
      <c r="BD1353" t="s">
        <v>4686</v>
      </c>
      <c r="BE1353">
        <v>0</v>
      </c>
      <c r="BG1353" t="s">
        <v>182</v>
      </c>
      <c r="BJ1353" t="s">
        <v>4687</v>
      </c>
    </row>
    <row r="1354" spans="1:62" x14ac:dyDescent="0.35">
      <c r="A1354" t="s">
        <v>4688</v>
      </c>
      <c r="B1354">
        <v>10000</v>
      </c>
      <c r="C1354">
        <v>10000</v>
      </c>
      <c r="D1354" s="2">
        <v>45736</v>
      </c>
      <c r="E1354" t="s">
        <v>61</v>
      </c>
      <c r="F1354" t="s">
        <v>2972</v>
      </c>
      <c r="G1354" t="s">
        <v>4689</v>
      </c>
      <c r="I1354">
        <v>1</v>
      </c>
      <c r="J1354" t="s">
        <v>63</v>
      </c>
      <c r="K1354" s="8">
        <v>112</v>
      </c>
      <c r="L1354" s="8" t="s">
        <v>6616</v>
      </c>
      <c r="M1354" s="8" t="s">
        <v>6630</v>
      </c>
      <c r="N1354" t="s">
        <v>597</v>
      </c>
      <c r="O1354" t="s">
        <v>6556</v>
      </c>
      <c r="P1354">
        <v>30</v>
      </c>
      <c r="Q1354">
        <f t="shared" ref="Q1354:Q1357" si="350">(P1354/20)+45</f>
        <v>46.5</v>
      </c>
      <c r="R1354">
        <f t="shared" ref="R1354:R1362" si="351">Q1354/60</f>
        <v>0.77500000000000002</v>
      </c>
      <c r="S1354" s="2">
        <v>45736</v>
      </c>
      <c r="U1354">
        <v>4</v>
      </c>
      <c r="V1354">
        <v>120</v>
      </c>
      <c r="W1354" t="s">
        <v>65</v>
      </c>
      <c r="X1354" t="s">
        <v>4690</v>
      </c>
      <c r="Y1354">
        <v>0</v>
      </c>
      <c r="Z1354">
        <v>120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 t="s">
        <v>4691</v>
      </c>
      <c r="AQ1354" t="s">
        <v>321</v>
      </c>
      <c r="AR1354" t="s">
        <v>6652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BC1354" t="s">
        <v>69</v>
      </c>
      <c r="BD1354" t="s">
        <v>4692</v>
      </c>
      <c r="BE1354">
        <v>0</v>
      </c>
      <c r="BG1354" t="s">
        <v>321</v>
      </c>
      <c r="BJ1354" t="s">
        <v>4693</v>
      </c>
    </row>
    <row r="1355" spans="1:62" x14ac:dyDescent="0.35">
      <c r="A1355" t="s">
        <v>4694</v>
      </c>
      <c r="B1355">
        <v>10000</v>
      </c>
      <c r="C1355">
        <v>10000</v>
      </c>
      <c r="D1355" s="2">
        <v>45736</v>
      </c>
      <c r="E1355" t="s">
        <v>61</v>
      </c>
      <c r="F1355" t="s">
        <v>4695</v>
      </c>
      <c r="G1355" t="s">
        <v>4696</v>
      </c>
      <c r="I1355">
        <v>1</v>
      </c>
      <c r="J1355" t="s">
        <v>63</v>
      </c>
      <c r="K1355" s="8">
        <v>112</v>
      </c>
      <c r="L1355" s="8" t="s">
        <v>6616</v>
      </c>
      <c r="M1355" s="8" t="s">
        <v>6630</v>
      </c>
      <c r="N1355" t="s">
        <v>597</v>
      </c>
      <c r="O1355" t="s">
        <v>6556</v>
      </c>
      <c r="P1355">
        <v>4</v>
      </c>
      <c r="Q1355">
        <f t="shared" si="350"/>
        <v>45.2</v>
      </c>
      <c r="R1355">
        <f t="shared" si="351"/>
        <v>0.75333333333333341</v>
      </c>
      <c r="S1355" s="2">
        <v>45736</v>
      </c>
      <c r="U1355">
        <v>15</v>
      </c>
      <c r="V1355">
        <v>60</v>
      </c>
      <c r="W1355" t="s">
        <v>65</v>
      </c>
      <c r="X1355" t="s">
        <v>4548</v>
      </c>
      <c r="Y1355">
        <v>0</v>
      </c>
      <c r="Z1355">
        <v>60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4549</v>
      </c>
      <c r="AQ1355" t="s">
        <v>321</v>
      </c>
      <c r="AR1355" t="s">
        <v>6652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BC1355" t="s">
        <v>69</v>
      </c>
      <c r="BD1355" t="s">
        <v>4697</v>
      </c>
      <c r="BE1355">
        <v>0</v>
      </c>
      <c r="BG1355" t="s">
        <v>321</v>
      </c>
      <c r="BJ1355" t="s">
        <v>4693</v>
      </c>
    </row>
    <row r="1356" spans="1:62" x14ac:dyDescent="0.35">
      <c r="A1356" t="s">
        <v>4698</v>
      </c>
      <c r="B1356">
        <v>10000</v>
      </c>
      <c r="C1356">
        <v>10000</v>
      </c>
      <c r="D1356" s="2">
        <v>45736</v>
      </c>
      <c r="E1356" t="s">
        <v>61</v>
      </c>
      <c r="F1356" t="s">
        <v>4699</v>
      </c>
      <c r="G1356" t="s">
        <v>4700</v>
      </c>
      <c r="I1356">
        <v>1</v>
      </c>
      <c r="J1356" t="s">
        <v>63</v>
      </c>
      <c r="K1356" s="8">
        <v>112</v>
      </c>
      <c r="L1356" s="8" t="s">
        <v>6616</v>
      </c>
      <c r="M1356" s="8" t="s">
        <v>6630</v>
      </c>
      <c r="N1356" t="s">
        <v>597</v>
      </c>
      <c r="O1356" t="s">
        <v>6556</v>
      </c>
      <c r="P1356">
        <v>3</v>
      </c>
      <c r="Q1356">
        <f t="shared" si="350"/>
        <v>45.15</v>
      </c>
      <c r="R1356">
        <f t="shared" si="351"/>
        <v>0.75249999999999995</v>
      </c>
      <c r="S1356" s="2">
        <v>45736</v>
      </c>
      <c r="U1356">
        <v>20</v>
      </c>
      <c r="V1356">
        <v>60</v>
      </c>
      <c r="W1356" t="s">
        <v>65</v>
      </c>
      <c r="X1356" t="s">
        <v>4132</v>
      </c>
      <c r="Y1356">
        <v>0</v>
      </c>
      <c r="Z1356">
        <v>50</v>
      </c>
      <c r="AA1356">
        <v>10</v>
      </c>
      <c r="AB1356">
        <v>0</v>
      </c>
      <c r="AC1356">
        <v>0</v>
      </c>
      <c r="AD1356">
        <v>0</v>
      </c>
      <c r="AG1356">
        <v>0</v>
      </c>
      <c r="AP1356" t="s">
        <v>4133</v>
      </c>
      <c r="AQ1356" t="s">
        <v>321</v>
      </c>
      <c r="AR1356" t="s">
        <v>6652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BC1356" t="s">
        <v>69</v>
      </c>
      <c r="BD1356" t="s">
        <v>4701</v>
      </c>
      <c r="BE1356">
        <v>0</v>
      </c>
      <c r="BG1356" t="s">
        <v>321</v>
      </c>
      <c r="BJ1356" t="s">
        <v>4693</v>
      </c>
    </row>
    <row r="1357" spans="1:62" x14ac:dyDescent="0.35">
      <c r="A1357" t="s">
        <v>4702</v>
      </c>
      <c r="B1357">
        <v>10000</v>
      </c>
      <c r="C1357">
        <v>10000</v>
      </c>
      <c r="D1357" s="2">
        <v>45736</v>
      </c>
      <c r="E1357" t="s">
        <v>61</v>
      </c>
      <c r="F1357" t="s">
        <v>4703</v>
      </c>
      <c r="G1357" t="s">
        <v>4704</v>
      </c>
      <c r="I1357">
        <v>1</v>
      </c>
      <c r="J1357" t="s">
        <v>63</v>
      </c>
      <c r="K1357" s="8">
        <v>112</v>
      </c>
      <c r="L1357" s="8" t="s">
        <v>6616</v>
      </c>
      <c r="M1357" s="8" t="s">
        <v>6630</v>
      </c>
      <c r="N1357" t="s">
        <v>597</v>
      </c>
      <c r="O1357" t="s">
        <v>6556</v>
      </c>
      <c r="P1357">
        <v>3</v>
      </c>
      <c r="Q1357">
        <f t="shared" si="350"/>
        <v>45.15</v>
      </c>
      <c r="R1357">
        <f t="shared" si="351"/>
        <v>0.75249999999999995</v>
      </c>
      <c r="S1357" s="2">
        <v>45736</v>
      </c>
      <c r="U1357">
        <v>20</v>
      </c>
      <c r="V1357">
        <v>60</v>
      </c>
      <c r="W1357" t="s">
        <v>65</v>
      </c>
      <c r="X1357" t="s">
        <v>3909</v>
      </c>
      <c r="Y1357">
        <v>0</v>
      </c>
      <c r="Z1357">
        <v>50</v>
      </c>
      <c r="AA1357">
        <v>10</v>
      </c>
      <c r="AB1357">
        <v>0</v>
      </c>
      <c r="AC1357">
        <v>0</v>
      </c>
      <c r="AD1357">
        <v>0</v>
      </c>
      <c r="AG1357">
        <v>0</v>
      </c>
      <c r="AP1357" t="s">
        <v>3910</v>
      </c>
      <c r="AQ1357" t="s">
        <v>321</v>
      </c>
      <c r="AR1357" t="s">
        <v>6652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BC1357" t="s">
        <v>69</v>
      </c>
      <c r="BD1357" t="s">
        <v>4705</v>
      </c>
      <c r="BE1357">
        <v>0</v>
      </c>
      <c r="BG1357" t="s">
        <v>321</v>
      </c>
      <c r="BJ1357" t="s">
        <v>4693</v>
      </c>
    </row>
    <row r="1358" spans="1:62" x14ac:dyDescent="0.35">
      <c r="A1358" t="s">
        <v>4706</v>
      </c>
      <c r="B1358">
        <v>10000</v>
      </c>
      <c r="C1358">
        <v>10000</v>
      </c>
      <c r="D1358" s="2">
        <v>45740</v>
      </c>
      <c r="E1358" t="s">
        <v>61</v>
      </c>
      <c r="F1358" t="s">
        <v>4707</v>
      </c>
      <c r="G1358" t="s">
        <v>240</v>
      </c>
      <c r="I1358">
        <v>1</v>
      </c>
      <c r="J1358" t="s">
        <v>63</v>
      </c>
      <c r="K1358" s="8">
        <v>79</v>
      </c>
      <c r="L1358" s="8" t="s">
        <v>6608</v>
      </c>
      <c r="M1358" s="8" t="s">
        <v>6631</v>
      </c>
      <c r="N1358" t="s">
        <v>573</v>
      </c>
      <c r="O1358" t="s">
        <v>6547</v>
      </c>
      <c r="P1358">
        <v>375</v>
      </c>
      <c r="Q1358">
        <f t="shared" ref="Q1358:Q1362" si="352">(P1358/20)+30</f>
        <v>48.75</v>
      </c>
      <c r="R1358">
        <f t="shared" si="351"/>
        <v>0.8125</v>
      </c>
      <c r="S1358" s="2">
        <v>45736</v>
      </c>
      <c r="U1358">
        <v>12</v>
      </c>
      <c r="V1358" s="4">
        <v>4500</v>
      </c>
      <c r="W1358" t="s">
        <v>65</v>
      </c>
      <c r="X1358" t="s">
        <v>241</v>
      </c>
      <c r="Y1358">
        <v>0</v>
      </c>
      <c r="Z1358" s="4">
        <v>3000</v>
      </c>
      <c r="AA1358" s="4">
        <v>1500</v>
      </c>
      <c r="AB1358">
        <v>0</v>
      </c>
      <c r="AC1358">
        <v>0</v>
      </c>
      <c r="AD1358">
        <v>0</v>
      </c>
      <c r="AG1358">
        <v>0</v>
      </c>
      <c r="AP1358" t="s">
        <v>242</v>
      </c>
      <c r="AQ1358" t="s">
        <v>243</v>
      </c>
      <c r="AR1358" t="s">
        <v>6646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BC1358" t="s">
        <v>69</v>
      </c>
      <c r="BD1358" t="s">
        <v>4708</v>
      </c>
      <c r="BE1358">
        <v>0</v>
      </c>
      <c r="BG1358" t="s">
        <v>243</v>
      </c>
      <c r="BJ1358" t="s">
        <v>4709</v>
      </c>
    </row>
    <row r="1359" spans="1:62" x14ac:dyDescent="0.35">
      <c r="A1359" t="s">
        <v>4711</v>
      </c>
      <c r="B1359">
        <v>10000</v>
      </c>
      <c r="C1359">
        <v>10000</v>
      </c>
      <c r="D1359" s="2">
        <v>45744</v>
      </c>
      <c r="E1359" t="s">
        <v>95</v>
      </c>
      <c r="F1359" t="s">
        <v>4712</v>
      </c>
      <c r="G1359" t="s">
        <v>4713</v>
      </c>
      <c r="H1359" t="s">
        <v>4714</v>
      </c>
      <c r="I1359">
        <v>1</v>
      </c>
      <c r="J1359" t="s">
        <v>69</v>
      </c>
      <c r="K1359" s="8">
        <v>79</v>
      </c>
      <c r="L1359" s="8" t="s">
        <v>6608</v>
      </c>
      <c r="M1359" s="8" t="s">
        <v>6631</v>
      </c>
      <c r="N1359" t="s">
        <v>573</v>
      </c>
      <c r="O1359" t="s">
        <v>6547</v>
      </c>
      <c r="P1359">
        <v>84</v>
      </c>
      <c r="Q1359">
        <f t="shared" si="352"/>
        <v>34.200000000000003</v>
      </c>
      <c r="R1359">
        <f t="shared" si="351"/>
        <v>0.57000000000000006</v>
      </c>
      <c r="S1359" s="2">
        <v>45737</v>
      </c>
      <c r="U1359">
        <v>60</v>
      </c>
      <c r="V1359" s="4">
        <v>5040</v>
      </c>
      <c r="W1359" t="s">
        <v>65</v>
      </c>
      <c r="X1359" t="s">
        <v>4715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G1359">
        <v>0</v>
      </c>
      <c r="AK1359" t="s">
        <v>69</v>
      </c>
      <c r="AL1359">
        <v>0</v>
      </c>
      <c r="AM1359" t="s">
        <v>69</v>
      </c>
      <c r="AP1359" t="s">
        <v>4716</v>
      </c>
      <c r="AQ1359" t="s">
        <v>1253</v>
      </c>
      <c r="AR1359" t="s">
        <v>6636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BC1359" t="s">
        <v>69</v>
      </c>
      <c r="BG1359" t="s">
        <v>1253</v>
      </c>
      <c r="BJ1359" t="s">
        <v>4717</v>
      </c>
    </row>
    <row r="1360" spans="1:62" x14ac:dyDescent="0.35">
      <c r="A1360" t="s">
        <v>4718</v>
      </c>
      <c r="B1360">
        <v>10000</v>
      </c>
      <c r="C1360">
        <v>10000</v>
      </c>
      <c r="D1360" s="2">
        <v>45744</v>
      </c>
      <c r="E1360" t="s">
        <v>61</v>
      </c>
      <c r="F1360" t="s">
        <v>4719</v>
      </c>
      <c r="G1360" t="s">
        <v>4713</v>
      </c>
      <c r="H1360" t="s">
        <v>4720</v>
      </c>
      <c r="I1360">
        <v>1</v>
      </c>
      <c r="J1360" t="s">
        <v>69</v>
      </c>
      <c r="K1360" s="8">
        <v>79</v>
      </c>
      <c r="L1360" s="8" t="s">
        <v>6608</v>
      </c>
      <c r="M1360" s="8" t="s">
        <v>6631</v>
      </c>
      <c r="N1360" t="s">
        <v>573</v>
      </c>
      <c r="O1360" t="s">
        <v>6547</v>
      </c>
      <c r="P1360">
        <v>62</v>
      </c>
      <c r="Q1360">
        <f t="shared" si="352"/>
        <v>33.1</v>
      </c>
      <c r="R1360">
        <f t="shared" si="351"/>
        <v>0.55166666666666664</v>
      </c>
      <c r="S1360" s="2">
        <v>45737</v>
      </c>
      <c r="U1360">
        <v>65</v>
      </c>
      <c r="V1360" s="4">
        <v>4030</v>
      </c>
      <c r="W1360" t="s">
        <v>65</v>
      </c>
      <c r="X1360" t="s">
        <v>4721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G1360">
        <v>0</v>
      </c>
      <c r="AK1360" t="s">
        <v>69</v>
      </c>
      <c r="AL1360">
        <v>0</v>
      </c>
      <c r="AM1360" t="s">
        <v>69</v>
      </c>
      <c r="AP1360" t="s">
        <v>4722</v>
      </c>
      <c r="AQ1360" t="s">
        <v>68</v>
      </c>
      <c r="AR1360" t="s">
        <v>6636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BC1360" t="s">
        <v>69</v>
      </c>
      <c r="BG1360" t="s">
        <v>68</v>
      </c>
      <c r="BJ1360" t="s">
        <v>4723</v>
      </c>
    </row>
    <row r="1361" spans="1:62" x14ac:dyDescent="0.35">
      <c r="A1361" t="s">
        <v>4724</v>
      </c>
      <c r="B1361">
        <v>10000</v>
      </c>
      <c r="C1361">
        <v>10000</v>
      </c>
      <c r="D1361" s="2">
        <v>45744</v>
      </c>
      <c r="E1361" t="s">
        <v>95</v>
      </c>
      <c r="F1361" t="s">
        <v>4712</v>
      </c>
      <c r="G1361" t="s">
        <v>4713</v>
      </c>
      <c r="H1361" t="s">
        <v>4714</v>
      </c>
      <c r="I1361">
        <v>1</v>
      </c>
      <c r="J1361" t="s">
        <v>69</v>
      </c>
      <c r="K1361" s="8">
        <v>79</v>
      </c>
      <c r="L1361" s="8" t="s">
        <v>6608</v>
      </c>
      <c r="M1361" s="8" t="s">
        <v>6631</v>
      </c>
      <c r="N1361" t="s">
        <v>573</v>
      </c>
      <c r="O1361" t="s">
        <v>6547</v>
      </c>
      <c r="P1361">
        <v>50</v>
      </c>
      <c r="Q1361">
        <f t="shared" si="352"/>
        <v>32.5</v>
      </c>
      <c r="R1361">
        <f t="shared" si="351"/>
        <v>0.54166666666666663</v>
      </c>
      <c r="S1361" s="2">
        <v>45737</v>
      </c>
      <c r="U1361">
        <v>60</v>
      </c>
      <c r="V1361" s="4">
        <v>3000</v>
      </c>
      <c r="W1361" t="s">
        <v>65</v>
      </c>
      <c r="X1361" t="s">
        <v>933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G1361">
        <v>0</v>
      </c>
      <c r="AK1361" t="s">
        <v>69</v>
      </c>
      <c r="AL1361">
        <v>0</v>
      </c>
      <c r="AM1361" t="s">
        <v>69</v>
      </c>
      <c r="AP1361" t="s">
        <v>934</v>
      </c>
      <c r="AQ1361" t="s">
        <v>68</v>
      </c>
      <c r="AR1361" t="s">
        <v>6636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BC1361" t="s">
        <v>69</v>
      </c>
      <c r="BG1361" t="s">
        <v>68</v>
      </c>
      <c r="BJ1361" t="s">
        <v>4725</v>
      </c>
    </row>
    <row r="1362" spans="1:62" x14ac:dyDescent="0.35">
      <c r="A1362" t="s">
        <v>4726</v>
      </c>
      <c r="B1362">
        <v>10000</v>
      </c>
      <c r="C1362">
        <v>10000</v>
      </c>
      <c r="D1362" s="2">
        <v>45744</v>
      </c>
      <c r="E1362" t="s">
        <v>61</v>
      </c>
      <c r="F1362" t="s">
        <v>4727</v>
      </c>
      <c r="G1362" t="s">
        <v>4713</v>
      </c>
      <c r="H1362" t="s">
        <v>4720</v>
      </c>
      <c r="I1362">
        <v>1</v>
      </c>
      <c r="J1362" t="s">
        <v>69</v>
      </c>
      <c r="K1362" s="8">
        <v>79</v>
      </c>
      <c r="L1362" s="8" t="s">
        <v>6608</v>
      </c>
      <c r="M1362" s="8" t="s">
        <v>6631</v>
      </c>
      <c r="N1362" t="s">
        <v>573</v>
      </c>
      <c r="O1362" t="s">
        <v>6547</v>
      </c>
      <c r="P1362">
        <v>200</v>
      </c>
      <c r="Q1362">
        <f t="shared" si="352"/>
        <v>40</v>
      </c>
      <c r="R1362">
        <f t="shared" si="351"/>
        <v>0.66666666666666663</v>
      </c>
      <c r="S1362" s="2">
        <v>45737</v>
      </c>
      <c r="U1362">
        <v>65</v>
      </c>
      <c r="V1362" s="4">
        <v>13000</v>
      </c>
      <c r="W1362" t="s">
        <v>65</v>
      </c>
      <c r="X1362" t="s">
        <v>4728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G1362">
        <v>0</v>
      </c>
      <c r="AK1362" t="s">
        <v>69</v>
      </c>
      <c r="AL1362">
        <v>0</v>
      </c>
      <c r="AM1362" t="s">
        <v>69</v>
      </c>
      <c r="AP1362" t="s">
        <v>4729</v>
      </c>
      <c r="AQ1362" t="s">
        <v>68</v>
      </c>
      <c r="AR1362" t="s">
        <v>6636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C1362" t="s">
        <v>69</v>
      </c>
      <c r="BG1362" t="s">
        <v>68</v>
      </c>
      <c r="BJ1362" t="s">
        <v>4730</v>
      </c>
    </row>
    <row r="1363" spans="1:62" x14ac:dyDescent="0.35">
      <c r="A1363" t="s">
        <v>2782</v>
      </c>
      <c r="B1363">
        <v>10000</v>
      </c>
      <c r="C1363">
        <v>40000</v>
      </c>
      <c r="D1363" s="2">
        <v>45754</v>
      </c>
      <c r="E1363" t="s">
        <v>61</v>
      </c>
      <c r="F1363" t="s">
        <v>4731</v>
      </c>
      <c r="G1363" t="s">
        <v>2427</v>
      </c>
      <c r="H1363" t="s">
        <v>2784</v>
      </c>
      <c r="I1363">
        <v>2</v>
      </c>
      <c r="J1363" t="s">
        <v>69</v>
      </c>
      <c r="K1363" s="8">
        <v>77</v>
      </c>
      <c r="L1363" s="8" t="s">
        <v>6584</v>
      </c>
      <c r="M1363" s="8" t="s">
        <v>6627</v>
      </c>
      <c r="N1363" t="s">
        <v>127</v>
      </c>
      <c r="O1363" t="s">
        <v>6567</v>
      </c>
      <c r="P1363" s="4">
        <v>32500</v>
      </c>
      <c r="Q1363">
        <f>(P1363/60)+45</f>
        <v>586.66666666666663</v>
      </c>
      <c r="R1363">
        <f>Q1363/60</f>
        <v>9.7777777777777768</v>
      </c>
      <c r="S1363" s="2">
        <v>45737</v>
      </c>
      <c r="U1363">
        <v>6</v>
      </c>
      <c r="V1363" s="4">
        <v>195000</v>
      </c>
      <c r="W1363" t="s">
        <v>65</v>
      </c>
      <c r="X1363" t="s">
        <v>2785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G1363">
        <v>0</v>
      </c>
      <c r="AK1363" t="s">
        <v>69</v>
      </c>
      <c r="AL1363">
        <v>0</v>
      </c>
      <c r="AM1363" t="s">
        <v>69</v>
      </c>
      <c r="AP1363" t="s">
        <v>2786</v>
      </c>
      <c r="AQ1363" t="s">
        <v>107</v>
      </c>
      <c r="AR1363" t="s">
        <v>6638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BC1363" t="s">
        <v>69</v>
      </c>
      <c r="BG1363" t="s">
        <v>107</v>
      </c>
      <c r="BJ1363" t="s">
        <v>2787</v>
      </c>
    </row>
    <row r="1364" spans="1:62" x14ac:dyDescent="0.35">
      <c r="A1364" t="s">
        <v>4485</v>
      </c>
      <c r="B1364">
        <v>10000</v>
      </c>
      <c r="C1364">
        <v>20000</v>
      </c>
      <c r="D1364" s="2">
        <v>45737</v>
      </c>
      <c r="E1364" t="s">
        <v>61</v>
      </c>
      <c r="F1364" t="s">
        <v>4486</v>
      </c>
      <c r="G1364" t="s">
        <v>89</v>
      </c>
      <c r="H1364" t="s">
        <v>4487</v>
      </c>
      <c r="I1364">
        <v>1</v>
      </c>
      <c r="J1364" t="s">
        <v>69</v>
      </c>
      <c r="K1364" s="8">
        <v>73</v>
      </c>
      <c r="L1364" t="s">
        <v>6586</v>
      </c>
      <c r="M1364" s="8" t="s">
        <v>6627</v>
      </c>
      <c r="N1364" t="s">
        <v>98</v>
      </c>
      <c r="O1364" t="s">
        <v>6549</v>
      </c>
      <c r="P1364" s="4">
        <v>42000</v>
      </c>
      <c r="S1364" s="2">
        <v>45737</v>
      </c>
      <c r="U1364">
        <v>12</v>
      </c>
      <c r="V1364" s="4">
        <v>504000</v>
      </c>
      <c r="W1364" t="s">
        <v>65</v>
      </c>
      <c r="X1364">
        <v>80256230001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G1364">
        <v>0</v>
      </c>
      <c r="AK1364" t="s">
        <v>69</v>
      </c>
      <c r="AL1364">
        <v>0</v>
      </c>
      <c r="AM1364" t="s">
        <v>69</v>
      </c>
      <c r="AP1364">
        <v>8025623</v>
      </c>
      <c r="AQ1364" t="s">
        <v>91</v>
      </c>
      <c r="AR1364" t="s">
        <v>6637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C1364" t="s">
        <v>69</v>
      </c>
      <c r="BG1364" t="s">
        <v>91</v>
      </c>
      <c r="BJ1364" t="s">
        <v>4488</v>
      </c>
    </row>
    <row r="1365" spans="1:62" x14ac:dyDescent="0.35">
      <c r="A1365" t="s">
        <v>4526</v>
      </c>
      <c r="B1365">
        <v>10000</v>
      </c>
      <c r="C1365">
        <v>20000</v>
      </c>
      <c r="D1365" s="2">
        <v>45740</v>
      </c>
      <c r="E1365" t="s">
        <v>61</v>
      </c>
      <c r="F1365" t="s">
        <v>4527</v>
      </c>
      <c r="G1365" t="s">
        <v>3218</v>
      </c>
      <c r="H1365" t="s">
        <v>4528</v>
      </c>
      <c r="I1365">
        <v>1</v>
      </c>
      <c r="J1365" t="s">
        <v>69</v>
      </c>
      <c r="K1365" s="8">
        <v>66</v>
      </c>
      <c r="L1365" s="8" t="s">
        <v>6600</v>
      </c>
      <c r="M1365" s="8" t="s">
        <v>6630</v>
      </c>
      <c r="N1365" t="s">
        <v>800</v>
      </c>
      <c r="O1365" t="s">
        <v>6562</v>
      </c>
      <c r="P1365" s="4">
        <v>45000</v>
      </c>
      <c r="Q1365">
        <f>(P1365/50)+45</f>
        <v>945</v>
      </c>
      <c r="R1365">
        <f>Q1365/60</f>
        <v>15.75</v>
      </c>
      <c r="S1365" s="2">
        <v>45737</v>
      </c>
      <c r="U1365">
        <v>1</v>
      </c>
      <c r="V1365" s="4">
        <v>45000</v>
      </c>
      <c r="W1365" t="s">
        <v>65</v>
      </c>
      <c r="X1365" t="s">
        <v>381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G1365">
        <v>0</v>
      </c>
      <c r="AK1365" t="s">
        <v>69</v>
      </c>
      <c r="AL1365">
        <v>0</v>
      </c>
      <c r="AM1365" t="s">
        <v>69</v>
      </c>
      <c r="AP1365" t="s">
        <v>382</v>
      </c>
      <c r="AQ1365" t="s">
        <v>175</v>
      </c>
      <c r="AR1365" t="s">
        <v>6642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BC1365" t="s">
        <v>69</v>
      </c>
      <c r="BG1365" t="s">
        <v>175</v>
      </c>
      <c r="BJ1365" t="s">
        <v>4529</v>
      </c>
    </row>
    <row r="1366" spans="1:62" x14ac:dyDescent="0.35">
      <c r="A1366" t="s">
        <v>4732</v>
      </c>
      <c r="B1366">
        <v>10000</v>
      </c>
      <c r="C1366">
        <v>10000</v>
      </c>
      <c r="D1366" s="2">
        <v>45737</v>
      </c>
      <c r="E1366" t="s">
        <v>61</v>
      </c>
      <c r="F1366" t="s">
        <v>4733</v>
      </c>
      <c r="G1366" t="s">
        <v>4734</v>
      </c>
      <c r="I1366">
        <v>1</v>
      </c>
      <c r="J1366" t="s">
        <v>63</v>
      </c>
      <c r="K1366" s="8">
        <v>112</v>
      </c>
      <c r="L1366" s="8" t="s">
        <v>6616</v>
      </c>
      <c r="M1366" s="8" t="s">
        <v>6630</v>
      </c>
      <c r="N1366" t="s">
        <v>597</v>
      </c>
      <c r="O1366" t="s">
        <v>6556</v>
      </c>
      <c r="P1366" s="4">
        <v>2728</v>
      </c>
      <c r="Q1366">
        <f t="shared" ref="Q1366:Q1367" si="353">(P1366/20)+45</f>
        <v>181.4</v>
      </c>
      <c r="R1366">
        <f t="shared" ref="R1366:R1367" si="354">Q1366/60</f>
        <v>3.0233333333333334</v>
      </c>
      <c r="S1366" s="2">
        <v>45737</v>
      </c>
      <c r="U1366">
        <v>11</v>
      </c>
      <c r="V1366" s="4">
        <v>30008</v>
      </c>
      <c r="W1366" t="s">
        <v>65</v>
      </c>
      <c r="X1366" t="s">
        <v>4735</v>
      </c>
      <c r="Y1366">
        <v>0</v>
      </c>
      <c r="Z1366" s="4">
        <v>30000</v>
      </c>
      <c r="AA1366">
        <v>8</v>
      </c>
      <c r="AB1366">
        <v>0</v>
      </c>
      <c r="AC1366">
        <v>0</v>
      </c>
      <c r="AD1366">
        <v>0</v>
      </c>
      <c r="AG1366">
        <v>0</v>
      </c>
      <c r="AP1366" t="s">
        <v>4736</v>
      </c>
      <c r="AQ1366" t="s">
        <v>321</v>
      </c>
      <c r="AR1366" t="s">
        <v>6652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BC1366" t="s">
        <v>69</v>
      </c>
      <c r="BD1366" t="s">
        <v>4737</v>
      </c>
      <c r="BE1366">
        <v>0</v>
      </c>
      <c r="BG1366" t="s">
        <v>321</v>
      </c>
      <c r="BJ1366" t="s">
        <v>4551</v>
      </c>
    </row>
    <row r="1367" spans="1:62" x14ac:dyDescent="0.35">
      <c r="A1367" t="s">
        <v>4738</v>
      </c>
      <c r="B1367">
        <v>10000</v>
      </c>
      <c r="C1367">
        <v>10000</v>
      </c>
      <c r="D1367" s="2">
        <v>45737</v>
      </c>
      <c r="E1367" t="s">
        <v>61</v>
      </c>
      <c r="F1367" t="s">
        <v>4733</v>
      </c>
      <c r="G1367" t="s">
        <v>4734</v>
      </c>
      <c r="I1367">
        <v>1</v>
      </c>
      <c r="J1367" t="s">
        <v>63</v>
      </c>
      <c r="K1367" s="8">
        <v>112</v>
      </c>
      <c r="L1367" s="8" t="s">
        <v>6616</v>
      </c>
      <c r="M1367" s="8" t="s">
        <v>6630</v>
      </c>
      <c r="N1367" t="s">
        <v>597</v>
      </c>
      <c r="O1367" t="s">
        <v>6556</v>
      </c>
      <c r="P1367" s="4">
        <v>2417</v>
      </c>
      <c r="Q1367">
        <f t="shared" si="353"/>
        <v>165.85</v>
      </c>
      <c r="R1367">
        <f t="shared" si="354"/>
        <v>2.7641666666666667</v>
      </c>
      <c r="S1367" s="2">
        <v>45737</v>
      </c>
      <c r="U1367">
        <v>12</v>
      </c>
      <c r="V1367" s="4">
        <v>29004</v>
      </c>
      <c r="W1367" t="s">
        <v>65</v>
      </c>
      <c r="X1367" t="s">
        <v>4735</v>
      </c>
      <c r="Y1367">
        <v>0</v>
      </c>
      <c r="Z1367" s="4">
        <v>29000</v>
      </c>
      <c r="AA1367">
        <v>4</v>
      </c>
      <c r="AB1367">
        <v>0</v>
      </c>
      <c r="AC1367">
        <v>0</v>
      </c>
      <c r="AD1367">
        <v>0</v>
      </c>
      <c r="AG1367">
        <v>0</v>
      </c>
      <c r="AP1367" t="s">
        <v>4736</v>
      </c>
      <c r="AQ1367" t="s">
        <v>321</v>
      </c>
      <c r="AR1367" t="s">
        <v>6652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BC1367" t="s">
        <v>69</v>
      </c>
      <c r="BD1367" t="s">
        <v>4739</v>
      </c>
      <c r="BE1367">
        <v>0</v>
      </c>
      <c r="BG1367" t="s">
        <v>321</v>
      </c>
      <c r="BJ1367" t="s">
        <v>4740</v>
      </c>
    </row>
    <row r="1368" spans="1:62" x14ac:dyDescent="0.35">
      <c r="A1368" t="s">
        <v>4741</v>
      </c>
      <c r="B1368">
        <v>10000</v>
      </c>
      <c r="C1368">
        <v>20000</v>
      </c>
      <c r="D1368" s="2">
        <v>45740</v>
      </c>
      <c r="E1368" t="s">
        <v>61</v>
      </c>
      <c r="F1368" t="s">
        <v>1786</v>
      </c>
      <c r="G1368" t="s">
        <v>4742</v>
      </c>
      <c r="I1368">
        <v>1</v>
      </c>
      <c r="J1368" t="s">
        <v>63</v>
      </c>
      <c r="K1368" s="8">
        <v>61</v>
      </c>
      <c r="L1368" s="8" t="s">
        <v>6594</v>
      </c>
      <c r="M1368" s="8" t="s">
        <v>6629</v>
      </c>
      <c r="N1368" t="s">
        <v>216</v>
      </c>
      <c r="O1368" t="s">
        <v>6394</v>
      </c>
      <c r="P1368" s="4">
        <v>4000</v>
      </c>
      <c r="Q1368">
        <f>(P1368/50)+45</f>
        <v>125</v>
      </c>
      <c r="R1368">
        <f>Q1368/60</f>
        <v>2.0833333333333335</v>
      </c>
      <c r="S1368" s="2">
        <v>45737</v>
      </c>
      <c r="U1368">
        <v>1</v>
      </c>
      <c r="V1368" s="4">
        <v>4000</v>
      </c>
      <c r="W1368" t="s">
        <v>65</v>
      </c>
      <c r="X1368" t="s">
        <v>4743</v>
      </c>
      <c r="Y1368">
        <v>0</v>
      </c>
      <c r="Z1368" s="4">
        <v>4000</v>
      </c>
      <c r="AA1368">
        <v>0</v>
      </c>
      <c r="AB1368">
        <v>0</v>
      </c>
      <c r="AC1368">
        <v>0</v>
      </c>
      <c r="AD1368">
        <v>0</v>
      </c>
      <c r="AG1368">
        <v>0</v>
      </c>
      <c r="AP1368" t="s">
        <v>4744</v>
      </c>
      <c r="AQ1368" t="s">
        <v>206</v>
      </c>
      <c r="AR1368" t="s">
        <v>6645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BC1368" t="s">
        <v>69</v>
      </c>
      <c r="BD1368" t="s">
        <v>4745</v>
      </c>
      <c r="BE1368">
        <v>0</v>
      </c>
      <c r="BG1368" t="s">
        <v>206</v>
      </c>
      <c r="BJ1368" t="s">
        <v>4746</v>
      </c>
    </row>
    <row r="1369" spans="1:62" x14ac:dyDescent="0.35">
      <c r="A1369" t="s">
        <v>4747</v>
      </c>
      <c r="B1369">
        <v>10000</v>
      </c>
      <c r="C1369">
        <v>10000</v>
      </c>
      <c r="D1369" s="2">
        <v>45737</v>
      </c>
      <c r="E1369" t="s">
        <v>61</v>
      </c>
      <c r="F1369" t="s">
        <v>4748</v>
      </c>
      <c r="G1369" t="s">
        <v>4749</v>
      </c>
      <c r="I1369">
        <v>1</v>
      </c>
      <c r="J1369" t="s">
        <v>63</v>
      </c>
      <c r="K1369" s="8">
        <v>65</v>
      </c>
      <c r="L1369" s="8" t="s">
        <v>6596</v>
      </c>
      <c r="M1369" s="8" t="s">
        <v>6630</v>
      </c>
      <c r="N1369" t="s">
        <v>268</v>
      </c>
      <c r="O1369" t="s">
        <v>6543</v>
      </c>
      <c r="P1369" s="4">
        <v>9000</v>
      </c>
      <c r="Q1369">
        <f>(P1369/40)+45</f>
        <v>270</v>
      </c>
      <c r="R1369">
        <f>Q1369/60</f>
        <v>4.5</v>
      </c>
      <c r="S1369" s="2">
        <v>45737</v>
      </c>
      <c r="U1369">
        <v>6</v>
      </c>
      <c r="V1369" s="4">
        <v>54000</v>
      </c>
      <c r="W1369" t="s">
        <v>65</v>
      </c>
      <c r="X1369" t="s">
        <v>4750</v>
      </c>
      <c r="Y1369">
        <v>0</v>
      </c>
      <c r="Z1369" s="4">
        <v>54000</v>
      </c>
      <c r="AA1369">
        <v>0</v>
      </c>
      <c r="AB1369">
        <v>0</v>
      </c>
      <c r="AC1369">
        <v>0</v>
      </c>
      <c r="AD1369">
        <v>0</v>
      </c>
      <c r="AG1369">
        <v>0</v>
      </c>
      <c r="AP1369" t="s">
        <v>4751</v>
      </c>
      <c r="AQ1369" t="s">
        <v>271</v>
      </c>
      <c r="AR1369" t="s">
        <v>6648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BC1369" t="s">
        <v>69</v>
      </c>
      <c r="BD1369" t="s">
        <v>4752</v>
      </c>
      <c r="BE1369">
        <v>0</v>
      </c>
      <c r="BG1369" t="s">
        <v>271</v>
      </c>
      <c r="BJ1369" t="s">
        <v>4753</v>
      </c>
    </row>
    <row r="1370" spans="1:62" x14ac:dyDescent="0.35">
      <c r="A1370" t="s">
        <v>4754</v>
      </c>
      <c r="B1370">
        <v>10000</v>
      </c>
      <c r="C1370">
        <v>20000</v>
      </c>
      <c r="D1370" s="2">
        <v>45737</v>
      </c>
      <c r="E1370" t="s">
        <v>61</v>
      </c>
      <c r="F1370" t="s">
        <v>4733</v>
      </c>
      <c r="G1370" t="s">
        <v>4734</v>
      </c>
      <c r="I1370">
        <v>1</v>
      </c>
      <c r="J1370" t="s">
        <v>63</v>
      </c>
      <c r="K1370" s="8">
        <v>112</v>
      </c>
      <c r="L1370" s="8" t="s">
        <v>6616</v>
      </c>
      <c r="M1370" s="8" t="s">
        <v>6630</v>
      </c>
      <c r="N1370" t="s">
        <v>597</v>
      </c>
      <c r="O1370" t="s">
        <v>6556</v>
      </c>
      <c r="P1370" s="4">
        <v>2250</v>
      </c>
      <c r="Q1370">
        <f>(P1370/20)+45</f>
        <v>157.5</v>
      </c>
      <c r="R1370">
        <f>Q1370/60</f>
        <v>2.625</v>
      </c>
      <c r="S1370" s="2">
        <v>45737</v>
      </c>
      <c r="U1370">
        <v>12</v>
      </c>
      <c r="V1370" s="4">
        <v>27000</v>
      </c>
      <c r="W1370" t="s">
        <v>65</v>
      </c>
      <c r="X1370" t="s">
        <v>4735</v>
      </c>
      <c r="Y1370">
        <v>0</v>
      </c>
      <c r="Z1370" s="4">
        <v>27000</v>
      </c>
      <c r="AA1370">
        <v>0</v>
      </c>
      <c r="AB1370">
        <v>0</v>
      </c>
      <c r="AC1370">
        <v>0</v>
      </c>
      <c r="AD1370">
        <v>0</v>
      </c>
      <c r="AG1370">
        <v>0</v>
      </c>
      <c r="AP1370" t="s">
        <v>4736</v>
      </c>
      <c r="AQ1370" t="s">
        <v>321</v>
      </c>
      <c r="AR1370" t="s">
        <v>6652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BC1370" t="s">
        <v>69</v>
      </c>
      <c r="BD1370" t="s">
        <v>4755</v>
      </c>
      <c r="BE1370">
        <v>0</v>
      </c>
      <c r="BG1370" t="s">
        <v>321</v>
      </c>
      <c r="BJ1370" t="s">
        <v>4559</v>
      </c>
    </row>
    <row r="1371" spans="1:62" x14ac:dyDescent="0.35">
      <c r="A1371" t="s">
        <v>4756</v>
      </c>
      <c r="B1371">
        <v>10000</v>
      </c>
      <c r="C1371">
        <v>10000</v>
      </c>
      <c r="D1371" s="2">
        <v>45737</v>
      </c>
      <c r="E1371" t="s">
        <v>61</v>
      </c>
      <c r="F1371" t="s">
        <v>4757</v>
      </c>
      <c r="G1371" t="s">
        <v>3886</v>
      </c>
      <c r="I1371">
        <v>1</v>
      </c>
      <c r="J1371" t="s">
        <v>63</v>
      </c>
      <c r="K1371" s="8">
        <v>94</v>
      </c>
      <c r="L1371" s="8" t="s">
        <v>6599</v>
      </c>
      <c r="M1371" s="8" t="s">
        <v>6629</v>
      </c>
      <c r="N1371" t="s">
        <v>181</v>
      </c>
      <c r="O1371" t="s">
        <v>6544</v>
      </c>
      <c r="P1371" s="4">
        <v>6000</v>
      </c>
      <c r="S1371" s="2">
        <v>45737</v>
      </c>
      <c r="U1371">
        <v>6</v>
      </c>
      <c r="V1371" s="4">
        <v>36000</v>
      </c>
      <c r="W1371" t="s">
        <v>65</v>
      </c>
      <c r="X1371" t="s">
        <v>4758</v>
      </c>
      <c r="Y1371">
        <v>0</v>
      </c>
      <c r="Z1371" s="4">
        <v>36000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 t="s">
        <v>4759</v>
      </c>
      <c r="AQ1371" t="s">
        <v>364</v>
      </c>
      <c r="AR1371" t="s">
        <v>6653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BC1371" t="s">
        <v>69</v>
      </c>
      <c r="BD1371" t="s">
        <v>4760</v>
      </c>
      <c r="BE1371">
        <v>0</v>
      </c>
      <c r="BG1371" t="s">
        <v>364</v>
      </c>
      <c r="BJ1371" t="s">
        <v>4761</v>
      </c>
    </row>
    <row r="1372" spans="1:62" x14ac:dyDescent="0.35">
      <c r="A1372" t="s">
        <v>4762</v>
      </c>
      <c r="B1372">
        <v>10000</v>
      </c>
      <c r="C1372">
        <v>10000</v>
      </c>
      <c r="D1372" s="2">
        <v>45737</v>
      </c>
      <c r="E1372" t="s">
        <v>61</v>
      </c>
      <c r="F1372" s="3">
        <v>0.53940972222222228</v>
      </c>
      <c r="G1372" t="s">
        <v>418</v>
      </c>
      <c r="I1372">
        <v>1</v>
      </c>
      <c r="J1372" t="s">
        <v>63</v>
      </c>
      <c r="K1372" s="8">
        <v>59</v>
      </c>
      <c r="L1372" s="8" t="s">
        <v>6592</v>
      </c>
      <c r="M1372" s="8" t="s">
        <v>6629</v>
      </c>
      <c r="N1372" t="s">
        <v>745</v>
      </c>
      <c r="O1372" t="s">
        <v>6501</v>
      </c>
      <c r="P1372" s="4">
        <v>1500</v>
      </c>
      <c r="Q1372">
        <f t="shared" ref="Q1372:Q1376" si="355">(P1372/40)+45</f>
        <v>82.5</v>
      </c>
      <c r="R1372">
        <f t="shared" ref="R1372:R1376" si="356">Q1372/60</f>
        <v>1.375</v>
      </c>
      <c r="S1372" s="2">
        <v>45737</v>
      </c>
      <c r="U1372">
        <v>6</v>
      </c>
      <c r="V1372" s="4">
        <v>9000</v>
      </c>
      <c r="W1372" t="s">
        <v>65</v>
      </c>
      <c r="X1372" t="s">
        <v>4763</v>
      </c>
      <c r="Y1372">
        <v>0</v>
      </c>
      <c r="Z1372" s="4">
        <v>9000</v>
      </c>
      <c r="AA1372">
        <v>0</v>
      </c>
      <c r="AB1372">
        <v>0</v>
      </c>
      <c r="AC1372">
        <v>0</v>
      </c>
      <c r="AD1372">
        <v>0</v>
      </c>
      <c r="AG1372">
        <v>0</v>
      </c>
      <c r="AP1372" t="s">
        <v>4764</v>
      </c>
      <c r="AQ1372" t="s">
        <v>182</v>
      </c>
      <c r="AR1372" t="s">
        <v>6643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BC1372" t="s">
        <v>69</v>
      </c>
      <c r="BD1372" t="s">
        <v>4765</v>
      </c>
      <c r="BE1372">
        <v>0</v>
      </c>
      <c r="BG1372" t="s">
        <v>182</v>
      </c>
      <c r="BJ1372" t="s">
        <v>4766</v>
      </c>
    </row>
    <row r="1373" spans="1:62" x14ac:dyDescent="0.35">
      <c r="A1373" t="s">
        <v>4762</v>
      </c>
      <c r="B1373">
        <v>20000</v>
      </c>
      <c r="C1373">
        <v>10000</v>
      </c>
      <c r="D1373" s="2">
        <v>45737</v>
      </c>
      <c r="E1373" t="s">
        <v>61</v>
      </c>
      <c r="F1373" s="3">
        <v>0.53940972222222228</v>
      </c>
      <c r="G1373" t="s">
        <v>418</v>
      </c>
      <c r="I1373">
        <v>1</v>
      </c>
      <c r="J1373" t="s">
        <v>63</v>
      </c>
      <c r="K1373" s="8">
        <v>59</v>
      </c>
      <c r="L1373" s="8" t="s">
        <v>6592</v>
      </c>
      <c r="M1373" s="8" t="s">
        <v>6629</v>
      </c>
      <c r="N1373" t="s">
        <v>745</v>
      </c>
      <c r="O1373" t="s">
        <v>6501</v>
      </c>
      <c r="P1373" s="4">
        <v>1500</v>
      </c>
      <c r="Q1373">
        <f t="shared" si="355"/>
        <v>82.5</v>
      </c>
      <c r="R1373">
        <f t="shared" si="356"/>
        <v>1.375</v>
      </c>
      <c r="S1373" s="2">
        <v>45737</v>
      </c>
      <c r="U1373">
        <v>6</v>
      </c>
      <c r="V1373" s="4">
        <v>9000</v>
      </c>
      <c r="W1373" t="s">
        <v>65</v>
      </c>
      <c r="X1373" t="s">
        <v>4763</v>
      </c>
      <c r="Y1373">
        <v>0</v>
      </c>
      <c r="Z1373" s="4">
        <v>9000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 t="s">
        <v>4764</v>
      </c>
      <c r="AQ1373" t="s">
        <v>182</v>
      </c>
      <c r="AR1373" t="s">
        <v>6643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BC1373" t="s">
        <v>69</v>
      </c>
      <c r="BD1373" t="s">
        <v>4765</v>
      </c>
      <c r="BE1373">
        <v>0</v>
      </c>
      <c r="BG1373" t="s">
        <v>182</v>
      </c>
      <c r="BJ1373" t="s">
        <v>4766</v>
      </c>
    </row>
    <row r="1374" spans="1:62" x14ac:dyDescent="0.35">
      <c r="A1374" t="s">
        <v>4762</v>
      </c>
      <c r="B1374">
        <v>30000</v>
      </c>
      <c r="C1374">
        <v>10000</v>
      </c>
      <c r="D1374" s="2">
        <v>45737</v>
      </c>
      <c r="E1374" t="s">
        <v>61</v>
      </c>
      <c r="F1374" s="3">
        <v>0.53940972222222228</v>
      </c>
      <c r="G1374" t="s">
        <v>418</v>
      </c>
      <c r="I1374">
        <v>1</v>
      </c>
      <c r="J1374" t="s">
        <v>63</v>
      </c>
      <c r="K1374" s="8">
        <v>59</v>
      </c>
      <c r="L1374" s="8" t="s">
        <v>6592</v>
      </c>
      <c r="M1374" s="8" t="s">
        <v>6629</v>
      </c>
      <c r="N1374" t="s">
        <v>745</v>
      </c>
      <c r="O1374" t="s">
        <v>6501</v>
      </c>
      <c r="P1374" s="4">
        <v>1500</v>
      </c>
      <c r="Q1374">
        <f t="shared" si="355"/>
        <v>82.5</v>
      </c>
      <c r="R1374">
        <f t="shared" si="356"/>
        <v>1.375</v>
      </c>
      <c r="S1374" s="2">
        <v>45737</v>
      </c>
      <c r="U1374">
        <v>6</v>
      </c>
      <c r="V1374" s="4">
        <v>9000</v>
      </c>
      <c r="W1374" t="s">
        <v>65</v>
      </c>
      <c r="X1374" t="s">
        <v>4763</v>
      </c>
      <c r="Y1374">
        <v>0</v>
      </c>
      <c r="Z1374" s="4">
        <v>9000</v>
      </c>
      <c r="AA1374">
        <v>0</v>
      </c>
      <c r="AB1374">
        <v>0</v>
      </c>
      <c r="AC1374">
        <v>0</v>
      </c>
      <c r="AD1374">
        <v>0</v>
      </c>
      <c r="AG1374">
        <v>0</v>
      </c>
      <c r="AP1374" t="s">
        <v>4764</v>
      </c>
      <c r="AQ1374" t="s">
        <v>182</v>
      </c>
      <c r="AR1374" t="s">
        <v>6643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BC1374" t="s">
        <v>69</v>
      </c>
      <c r="BD1374" t="s">
        <v>4765</v>
      </c>
      <c r="BE1374">
        <v>0</v>
      </c>
      <c r="BG1374" t="s">
        <v>182</v>
      </c>
      <c r="BJ1374" t="s">
        <v>4766</v>
      </c>
    </row>
    <row r="1375" spans="1:62" x14ac:dyDescent="0.35">
      <c r="A1375" t="s">
        <v>4767</v>
      </c>
      <c r="B1375">
        <v>10000</v>
      </c>
      <c r="C1375">
        <v>10000</v>
      </c>
      <c r="D1375" s="2">
        <v>45737</v>
      </c>
      <c r="E1375" t="s">
        <v>61</v>
      </c>
      <c r="F1375" t="s">
        <v>4768</v>
      </c>
      <c r="G1375" t="s">
        <v>418</v>
      </c>
      <c r="I1375">
        <v>1</v>
      </c>
      <c r="J1375" t="s">
        <v>63</v>
      </c>
      <c r="K1375" s="8">
        <v>59</v>
      </c>
      <c r="L1375" s="8" t="s">
        <v>6592</v>
      </c>
      <c r="M1375" s="8" t="s">
        <v>6629</v>
      </c>
      <c r="N1375" t="s">
        <v>745</v>
      </c>
      <c r="O1375" t="s">
        <v>6501</v>
      </c>
      <c r="P1375">
        <v>500</v>
      </c>
      <c r="Q1375">
        <f t="shared" si="355"/>
        <v>57.5</v>
      </c>
      <c r="R1375">
        <f t="shared" si="356"/>
        <v>0.95833333333333337</v>
      </c>
      <c r="S1375" s="2">
        <v>45737</v>
      </c>
      <c r="U1375">
        <v>6</v>
      </c>
      <c r="V1375" s="4">
        <v>3000</v>
      </c>
      <c r="W1375" t="s">
        <v>65</v>
      </c>
      <c r="X1375" t="s">
        <v>4769</v>
      </c>
      <c r="Y1375">
        <v>0</v>
      </c>
      <c r="Z1375" s="4">
        <v>3000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 t="s">
        <v>4770</v>
      </c>
      <c r="AQ1375" t="s">
        <v>182</v>
      </c>
      <c r="AR1375" t="s">
        <v>6643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BC1375" t="s">
        <v>69</v>
      </c>
      <c r="BD1375" t="s">
        <v>4771</v>
      </c>
      <c r="BE1375">
        <v>0</v>
      </c>
      <c r="BG1375" t="s">
        <v>182</v>
      </c>
      <c r="BJ1375" t="s">
        <v>4772</v>
      </c>
    </row>
    <row r="1376" spans="1:62" x14ac:dyDescent="0.35">
      <c r="A1376" t="s">
        <v>4767</v>
      </c>
      <c r="B1376">
        <v>20000</v>
      </c>
      <c r="C1376">
        <v>10000</v>
      </c>
      <c r="D1376" s="2">
        <v>45737</v>
      </c>
      <c r="E1376" t="s">
        <v>61</v>
      </c>
      <c r="F1376" t="s">
        <v>4768</v>
      </c>
      <c r="G1376" t="s">
        <v>418</v>
      </c>
      <c r="I1376">
        <v>1</v>
      </c>
      <c r="J1376" t="s">
        <v>63</v>
      </c>
      <c r="K1376" s="8">
        <v>59</v>
      </c>
      <c r="L1376" s="8" t="s">
        <v>6592</v>
      </c>
      <c r="M1376" s="8" t="s">
        <v>6629</v>
      </c>
      <c r="N1376" t="s">
        <v>745</v>
      </c>
      <c r="O1376" t="s">
        <v>6501</v>
      </c>
      <c r="P1376">
        <v>500</v>
      </c>
      <c r="Q1376">
        <f t="shared" si="355"/>
        <v>57.5</v>
      </c>
      <c r="R1376">
        <f t="shared" si="356"/>
        <v>0.95833333333333337</v>
      </c>
      <c r="S1376" s="2">
        <v>45737</v>
      </c>
      <c r="U1376">
        <v>6</v>
      </c>
      <c r="V1376" s="4">
        <v>3000</v>
      </c>
      <c r="W1376" t="s">
        <v>65</v>
      </c>
      <c r="X1376" t="s">
        <v>4769</v>
      </c>
      <c r="Y1376">
        <v>0</v>
      </c>
      <c r="Z1376" s="4">
        <v>3000</v>
      </c>
      <c r="AA1376">
        <v>0</v>
      </c>
      <c r="AB1376">
        <v>0</v>
      </c>
      <c r="AC1376">
        <v>0</v>
      </c>
      <c r="AD1376">
        <v>0</v>
      </c>
      <c r="AG1376">
        <v>0</v>
      </c>
      <c r="AP1376" t="s">
        <v>4770</v>
      </c>
      <c r="AQ1376" t="s">
        <v>182</v>
      </c>
      <c r="AR1376" t="s">
        <v>6643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BC1376" t="s">
        <v>69</v>
      </c>
      <c r="BD1376" t="s">
        <v>4771</v>
      </c>
      <c r="BE1376">
        <v>0</v>
      </c>
      <c r="BG1376" t="s">
        <v>182</v>
      </c>
      <c r="BJ1376" t="s">
        <v>4772</v>
      </c>
    </row>
    <row r="1377" spans="1:62" x14ac:dyDescent="0.35">
      <c r="A1377" t="s">
        <v>622</v>
      </c>
      <c r="B1377">
        <v>10000</v>
      </c>
      <c r="C1377">
        <v>30000</v>
      </c>
      <c r="D1377" s="2">
        <v>45740</v>
      </c>
      <c r="E1377" t="s">
        <v>61</v>
      </c>
      <c r="F1377" t="s">
        <v>2326</v>
      </c>
      <c r="G1377">
        <v>10639931001</v>
      </c>
      <c r="I1377">
        <v>2</v>
      </c>
      <c r="J1377" t="s">
        <v>63</v>
      </c>
      <c r="K1377" s="8">
        <v>85</v>
      </c>
      <c r="L1377" s="8" t="s">
        <v>6585</v>
      </c>
      <c r="M1377" s="8" t="s">
        <v>6628</v>
      </c>
      <c r="N1377" t="s">
        <v>104</v>
      </c>
      <c r="O1377" t="s">
        <v>6579</v>
      </c>
      <c r="P1377" s="4">
        <v>5818</v>
      </c>
      <c r="S1377" s="2">
        <v>45737</v>
      </c>
      <c r="U1377">
        <v>11</v>
      </c>
      <c r="V1377" s="4">
        <v>63998</v>
      </c>
      <c r="W1377" t="s">
        <v>65</v>
      </c>
      <c r="X1377" t="s">
        <v>623</v>
      </c>
      <c r="Y1377">
        <v>0</v>
      </c>
      <c r="Z1377" s="4">
        <v>24615</v>
      </c>
      <c r="AA1377" s="4">
        <v>39383</v>
      </c>
      <c r="AB1377">
        <v>0</v>
      </c>
      <c r="AC1377">
        <v>0</v>
      </c>
      <c r="AD1377">
        <v>0</v>
      </c>
      <c r="AG1377">
        <v>0</v>
      </c>
      <c r="AP1377" t="s">
        <v>624</v>
      </c>
      <c r="AQ1377" t="s">
        <v>107</v>
      </c>
      <c r="AR1377" t="s">
        <v>6638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BC1377" t="s">
        <v>69</v>
      </c>
      <c r="BD1377" t="s">
        <v>625</v>
      </c>
      <c r="BE1377">
        <v>0</v>
      </c>
      <c r="BG1377" t="s">
        <v>107</v>
      </c>
      <c r="BJ1377" t="s">
        <v>626</v>
      </c>
    </row>
    <row r="1378" spans="1:62" x14ac:dyDescent="0.35">
      <c r="A1378" t="s">
        <v>1056</v>
      </c>
      <c r="B1378">
        <v>10000</v>
      </c>
      <c r="C1378">
        <v>30000</v>
      </c>
      <c r="D1378" s="2">
        <v>45740</v>
      </c>
      <c r="E1378" t="s">
        <v>61</v>
      </c>
      <c r="F1378" t="s">
        <v>2086</v>
      </c>
      <c r="G1378">
        <v>10639931050</v>
      </c>
      <c r="I1378">
        <v>3</v>
      </c>
      <c r="J1378" t="s">
        <v>63</v>
      </c>
      <c r="K1378" s="8">
        <v>85</v>
      </c>
      <c r="L1378" s="8" t="s">
        <v>6585</v>
      </c>
      <c r="M1378" s="8" t="s">
        <v>6628</v>
      </c>
      <c r="N1378" t="s">
        <v>104</v>
      </c>
      <c r="O1378" t="s">
        <v>6579</v>
      </c>
      <c r="P1378" s="4">
        <v>4000</v>
      </c>
      <c r="S1378" s="2">
        <v>45737</v>
      </c>
      <c r="U1378">
        <v>11</v>
      </c>
      <c r="V1378" s="4">
        <v>44000</v>
      </c>
      <c r="W1378" t="s">
        <v>65</v>
      </c>
      <c r="X1378" t="s">
        <v>1057</v>
      </c>
      <c r="Y1378">
        <v>0</v>
      </c>
      <c r="Z1378" s="4">
        <v>30000</v>
      </c>
      <c r="AA1378" s="4">
        <v>14000</v>
      </c>
      <c r="AB1378">
        <v>0</v>
      </c>
      <c r="AC1378">
        <v>0</v>
      </c>
      <c r="AD1378">
        <v>0</v>
      </c>
      <c r="AG1378">
        <v>0</v>
      </c>
      <c r="AP1378" t="s">
        <v>1058</v>
      </c>
      <c r="AQ1378" t="s">
        <v>107</v>
      </c>
      <c r="AR1378" t="s">
        <v>6638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BC1378" t="s">
        <v>69</v>
      </c>
      <c r="BD1378" t="s">
        <v>1059</v>
      </c>
      <c r="BE1378">
        <v>0</v>
      </c>
      <c r="BG1378" t="s">
        <v>107</v>
      </c>
      <c r="BJ1378" t="s">
        <v>626</v>
      </c>
    </row>
    <row r="1379" spans="1:62" x14ac:dyDescent="0.35">
      <c r="A1379" t="s">
        <v>4773</v>
      </c>
      <c r="B1379">
        <v>10000</v>
      </c>
      <c r="C1379">
        <v>10000</v>
      </c>
      <c r="D1379" s="2">
        <v>45737</v>
      </c>
      <c r="E1379" t="s">
        <v>61</v>
      </c>
      <c r="F1379" t="s">
        <v>4774</v>
      </c>
      <c r="G1379" t="s">
        <v>418</v>
      </c>
      <c r="I1379">
        <v>1</v>
      </c>
      <c r="J1379" t="s">
        <v>63</v>
      </c>
      <c r="K1379" s="8">
        <v>59</v>
      </c>
      <c r="L1379" s="8" t="s">
        <v>6592</v>
      </c>
      <c r="M1379" s="8" t="s">
        <v>6629</v>
      </c>
      <c r="N1379" t="s">
        <v>745</v>
      </c>
      <c r="O1379" t="s">
        <v>6501</v>
      </c>
      <c r="P1379" s="4">
        <v>1000</v>
      </c>
      <c r="Q1379">
        <f t="shared" ref="Q1379:Q1381" si="357">(P1379/40)+45</f>
        <v>70</v>
      </c>
      <c r="R1379">
        <f t="shared" ref="R1379:R1381" si="358">Q1379/60</f>
        <v>1.1666666666666667</v>
      </c>
      <c r="S1379" s="2">
        <v>45737</v>
      </c>
      <c r="U1379">
        <v>6</v>
      </c>
      <c r="V1379" s="4">
        <v>6000</v>
      </c>
      <c r="W1379" t="s">
        <v>65</v>
      </c>
      <c r="X1379" t="s">
        <v>4775</v>
      </c>
      <c r="Y1379">
        <v>0</v>
      </c>
      <c r="Z1379" s="4">
        <v>6000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4776</v>
      </c>
      <c r="AQ1379" t="s">
        <v>182</v>
      </c>
      <c r="AR1379" t="s">
        <v>6643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BC1379" t="s">
        <v>69</v>
      </c>
      <c r="BD1379" t="s">
        <v>4777</v>
      </c>
      <c r="BE1379">
        <v>0</v>
      </c>
      <c r="BG1379" t="s">
        <v>182</v>
      </c>
      <c r="BJ1379" t="s">
        <v>4778</v>
      </c>
    </row>
    <row r="1380" spans="1:62" x14ac:dyDescent="0.35">
      <c r="A1380" t="s">
        <v>4773</v>
      </c>
      <c r="B1380">
        <v>20000</v>
      </c>
      <c r="C1380">
        <v>10000</v>
      </c>
      <c r="D1380" s="2">
        <v>45737</v>
      </c>
      <c r="E1380" t="s">
        <v>61</v>
      </c>
      <c r="F1380" t="s">
        <v>4774</v>
      </c>
      <c r="G1380" t="s">
        <v>418</v>
      </c>
      <c r="I1380">
        <v>1</v>
      </c>
      <c r="J1380" t="s">
        <v>63</v>
      </c>
      <c r="K1380" s="8">
        <v>59</v>
      </c>
      <c r="L1380" s="8" t="s">
        <v>6592</v>
      </c>
      <c r="M1380" s="8" t="s">
        <v>6629</v>
      </c>
      <c r="N1380" t="s">
        <v>745</v>
      </c>
      <c r="O1380" t="s">
        <v>6501</v>
      </c>
      <c r="P1380" s="4">
        <v>1000</v>
      </c>
      <c r="Q1380">
        <f t="shared" si="357"/>
        <v>70</v>
      </c>
      <c r="R1380">
        <f t="shared" si="358"/>
        <v>1.1666666666666667</v>
      </c>
      <c r="S1380" s="2">
        <v>45737</v>
      </c>
      <c r="U1380">
        <v>6</v>
      </c>
      <c r="V1380" s="4">
        <v>6000</v>
      </c>
      <c r="W1380" t="s">
        <v>65</v>
      </c>
      <c r="X1380" t="s">
        <v>4775</v>
      </c>
      <c r="Y1380">
        <v>0</v>
      </c>
      <c r="Z1380" s="4">
        <v>6000</v>
      </c>
      <c r="AA1380">
        <v>0</v>
      </c>
      <c r="AB1380">
        <v>0</v>
      </c>
      <c r="AC1380">
        <v>0</v>
      </c>
      <c r="AD1380">
        <v>0</v>
      </c>
      <c r="AG1380">
        <v>0</v>
      </c>
      <c r="AP1380" t="s">
        <v>4776</v>
      </c>
      <c r="AQ1380" t="s">
        <v>182</v>
      </c>
      <c r="AR1380" t="s">
        <v>6643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BC1380" t="s">
        <v>69</v>
      </c>
      <c r="BD1380" t="s">
        <v>4777</v>
      </c>
      <c r="BE1380">
        <v>0</v>
      </c>
      <c r="BG1380" t="s">
        <v>182</v>
      </c>
      <c r="BJ1380" t="s">
        <v>4778</v>
      </c>
    </row>
    <row r="1381" spans="1:62" x14ac:dyDescent="0.35">
      <c r="A1381" t="s">
        <v>4773</v>
      </c>
      <c r="B1381">
        <v>30000</v>
      </c>
      <c r="C1381">
        <v>10000</v>
      </c>
      <c r="D1381" s="2">
        <v>45737</v>
      </c>
      <c r="E1381" t="s">
        <v>61</v>
      </c>
      <c r="F1381" t="s">
        <v>4774</v>
      </c>
      <c r="G1381" t="s">
        <v>418</v>
      </c>
      <c r="I1381">
        <v>1</v>
      </c>
      <c r="J1381" t="s">
        <v>63</v>
      </c>
      <c r="K1381" s="8">
        <v>59</v>
      </c>
      <c r="L1381" s="8" t="s">
        <v>6592</v>
      </c>
      <c r="M1381" s="8" t="s">
        <v>6629</v>
      </c>
      <c r="N1381" t="s">
        <v>745</v>
      </c>
      <c r="O1381" t="s">
        <v>6501</v>
      </c>
      <c r="P1381" s="4">
        <v>1000</v>
      </c>
      <c r="Q1381">
        <f t="shared" si="357"/>
        <v>70</v>
      </c>
      <c r="R1381">
        <f t="shared" si="358"/>
        <v>1.1666666666666667</v>
      </c>
      <c r="S1381" s="2">
        <v>45737</v>
      </c>
      <c r="U1381">
        <v>6</v>
      </c>
      <c r="V1381" s="4">
        <v>6000</v>
      </c>
      <c r="W1381" t="s">
        <v>65</v>
      </c>
      <c r="X1381" t="s">
        <v>4775</v>
      </c>
      <c r="Y1381">
        <v>0</v>
      </c>
      <c r="Z1381" s="4">
        <v>6000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4776</v>
      </c>
      <c r="AQ1381" t="s">
        <v>182</v>
      </c>
      <c r="AR1381" t="s">
        <v>6643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BC1381" t="s">
        <v>69</v>
      </c>
      <c r="BD1381" t="s">
        <v>4777</v>
      </c>
      <c r="BE1381">
        <v>0</v>
      </c>
      <c r="BG1381" t="s">
        <v>182</v>
      </c>
      <c r="BJ1381" t="s">
        <v>4778</v>
      </c>
    </row>
    <row r="1382" spans="1:62" x14ac:dyDescent="0.35">
      <c r="A1382" t="s">
        <v>4779</v>
      </c>
      <c r="B1382">
        <v>10000</v>
      </c>
      <c r="C1382">
        <v>30000</v>
      </c>
      <c r="D1382" s="2">
        <v>45742</v>
      </c>
      <c r="E1382" t="s">
        <v>61</v>
      </c>
      <c r="F1382" t="s">
        <v>4780</v>
      </c>
      <c r="G1382" t="s">
        <v>4781</v>
      </c>
      <c r="I1382">
        <v>1</v>
      </c>
      <c r="J1382" t="s">
        <v>63</v>
      </c>
      <c r="K1382" s="8">
        <v>79</v>
      </c>
      <c r="L1382" s="8" t="s">
        <v>6608</v>
      </c>
      <c r="M1382" s="8" t="s">
        <v>6631</v>
      </c>
      <c r="N1382" t="s">
        <v>573</v>
      </c>
      <c r="O1382" t="s">
        <v>6547</v>
      </c>
      <c r="P1382" s="4">
        <v>1095</v>
      </c>
      <c r="Q1382">
        <f>(P1382/20)+30</f>
        <v>84.75</v>
      </c>
      <c r="R1382">
        <f>Q1382/60</f>
        <v>1.4125000000000001</v>
      </c>
      <c r="S1382" s="2">
        <v>45737</v>
      </c>
      <c r="U1382">
        <v>21</v>
      </c>
      <c r="V1382" s="4">
        <v>22995</v>
      </c>
      <c r="W1382" t="s">
        <v>65</v>
      </c>
      <c r="X1382" t="s">
        <v>334</v>
      </c>
      <c r="Y1382">
        <v>0</v>
      </c>
      <c r="Z1382" s="4">
        <v>20000</v>
      </c>
      <c r="AA1382" s="4">
        <v>2995</v>
      </c>
      <c r="AB1382">
        <v>0</v>
      </c>
      <c r="AC1382">
        <v>0</v>
      </c>
      <c r="AD1382">
        <v>0</v>
      </c>
      <c r="AG1382">
        <v>0</v>
      </c>
      <c r="AP1382" t="s">
        <v>335</v>
      </c>
      <c r="AQ1382" t="s">
        <v>107</v>
      </c>
      <c r="AR1382" t="s">
        <v>6638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BC1382" t="s">
        <v>69</v>
      </c>
      <c r="BD1382" t="s">
        <v>4782</v>
      </c>
      <c r="BE1382">
        <v>0</v>
      </c>
      <c r="BG1382" t="s">
        <v>107</v>
      </c>
      <c r="BJ1382" t="s">
        <v>4783</v>
      </c>
    </row>
    <row r="1383" spans="1:62" x14ac:dyDescent="0.35">
      <c r="A1383" t="s">
        <v>4784</v>
      </c>
      <c r="B1383">
        <v>10000</v>
      </c>
      <c r="C1383">
        <v>10000</v>
      </c>
      <c r="D1383" s="2">
        <v>45740</v>
      </c>
      <c r="E1383" t="s">
        <v>61</v>
      </c>
      <c r="F1383" t="s">
        <v>4785</v>
      </c>
      <c r="G1383" t="s">
        <v>1435</v>
      </c>
      <c r="I1383">
        <v>1</v>
      </c>
      <c r="J1383" t="s">
        <v>63</v>
      </c>
      <c r="K1383" s="8">
        <v>29</v>
      </c>
      <c r="L1383" s="8" t="s">
        <v>6595</v>
      </c>
      <c r="M1383" s="8" t="s">
        <v>6629</v>
      </c>
      <c r="N1383" t="s">
        <v>249</v>
      </c>
      <c r="O1383" t="s">
        <v>6500</v>
      </c>
      <c r="P1383" s="4">
        <v>24000</v>
      </c>
      <c r="Q1383">
        <f t="shared" ref="Q1383:Q1385" si="359">(P1383/40)+45</f>
        <v>645</v>
      </c>
      <c r="R1383">
        <f t="shared" ref="R1383:R1385" si="360">Q1383/60</f>
        <v>10.75</v>
      </c>
      <c r="S1383" s="2">
        <v>45737</v>
      </c>
      <c r="U1383">
        <v>2</v>
      </c>
      <c r="V1383" s="4">
        <v>48000</v>
      </c>
      <c r="W1383" t="s">
        <v>65</v>
      </c>
      <c r="X1383" t="s">
        <v>250</v>
      </c>
      <c r="Y1383">
        <v>0</v>
      </c>
      <c r="Z1383" s="4">
        <v>48000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251</v>
      </c>
      <c r="AQ1383" t="s">
        <v>175</v>
      </c>
      <c r="AR1383" t="s">
        <v>6642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BC1383" t="s">
        <v>69</v>
      </c>
      <c r="BD1383" t="s">
        <v>4786</v>
      </c>
      <c r="BE1383">
        <v>0</v>
      </c>
      <c r="BG1383" t="s">
        <v>175</v>
      </c>
      <c r="BJ1383" t="s">
        <v>4787</v>
      </c>
    </row>
    <row r="1384" spans="1:62" x14ac:dyDescent="0.35">
      <c r="A1384" t="s">
        <v>4788</v>
      </c>
      <c r="B1384">
        <v>10000</v>
      </c>
      <c r="C1384">
        <v>10000</v>
      </c>
      <c r="D1384" s="2">
        <v>45740</v>
      </c>
      <c r="E1384" t="s">
        <v>61</v>
      </c>
      <c r="F1384" t="s">
        <v>4576</v>
      </c>
      <c r="G1384" t="s">
        <v>4245</v>
      </c>
      <c r="I1384">
        <v>1</v>
      </c>
      <c r="J1384" t="s">
        <v>63</v>
      </c>
      <c r="K1384" s="8">
        <v>63</v>
      </c>
      <c r="L1384" s="8" t="s">
        <v>6605</v>
      </c>
      <c r="M1384" s="8" t="s">
        <v>6630</v>
      </c>
      <c r="N1384" t="s">
        <v>519</v>
      </c>
      <c r="O1384" t="s">
        <v>6569</v>
      </c>
      <c r="P1384" s="4">
        <v>10000</v>
      </c>
      <c r="Q1384">
        <f t="shared" si="359"/>
        <v>295</v>
      </c>
      <c r="R1384">
        <f t="shared" si="360"/>
        <v>4.916666666666667</v>
      </c>
      <c r="S1384" s="2">
        <v>45737</v>
      </c>
      <c r="U1384">
        <v>60</v>
      </c>
      <c r="V1384" s="4">
        <v>600000</v>
      </c>
      <c r="W1384" t="s">
        <v>65</v>
      </c>
      <c r="X1384" t="s">
        <v>587</v>
      </c>
      <c r="Y1384">
        <v>0</v>
      </c>
      <c r="Z1384" s="4">
        <v>600000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588</v>
      </c>
      <c r="AQ1384" t="s">
        <v>175</v>
      </c>
      <c r="AR1384" t="s">
        <v>6642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BC1384" t="s">
        <v>69</v>
      </c>
      <c r="BD1384" t="s">
        <v>4789</v>
      </c>
      <c r="BE1384">
        <v>0</v>
      </c>
      <c r="BG1384" t="s">
        <v>175</v>
      </c>
      <c r="BJ1384" t="s">
        <v>4790</v>
      </c>
    </row>
    <row r="1385" spans="1:62" x14ac:dyDescent="0.35">
      <c r="A1385" t="s">
        <v>4791</v>
      </c>
      <c r="B1385">
        <v>10000</v>
      </c>
      <c r="C1385">
        <v>10000</v>
      </c>
      <c r="D1385" s="2">
        <v>45740</v>
      </c>
      <c r="E1385" t="s">
        <v>61</v>
      </c>
      <c r="F1385" t="s">
        <v>4576</v>
      </c>
      <c r="G1385" t="s">
        <v>4245</v>
      </c>
      <c r="I1385">
        <v>1</v>
      </c>
      <c r="J1385" t="s">
        <v>63</v>
      </c>
      <c r="K1385" s="8">
        <v>63</v>
      </c>
      <c r="L1385" s="8" t="s">
        <v>6605</v>
      </c>
      <c r="M1385" s="8" t="s">
        <v>6630</v>
      </c>
      <c r="N1385" t="s">
        <v>519</v>
      </c>
      <c r="O1385" t="s">
        <v>6569</v>
      </c>
      <c r="P1385" s="4">
        <v>10000</v>
      </c>
      <c r="Q1385">
        <f t="shared" si="359"/>
        <v>295</v>
      </c>
      <c r="R1385">
        <f t="shared" si="360"/>
        <v>4.916666666666667</v>
      </c>
      <c r="S1385" s="2">
        <v>45737</v>
      </c>
      <c r="U1385">
        <v>60</v>
      </c>
      <c r="V1385" s="4">
        <v>600000</v>
      </c>
      <c r="W1385" t="s">
        <v>65</v>
      </c>
      <c r="X1385" t="s">
        <v>587</v>
      </c>
      <c r="Y1385">
        <v>0</v>
      </c>
      <c r="Z1385" s="4">
        <v>600000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 t="s">
        <v>588</v>
      </c>
      <c r="AQ1385" t="s">
        <v>175</v>
      </c>
      <c r="AR1385" t="s">
        <v>6642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BC1385" t="s">
        <v>69</v>
      </c>
      <c r="BD1385" t="s">
        <v>4792</v>
      </c>
      <c r="BE1385">
        <v>0</v>
      </c>
      <c r="BG1385" t="s">
        <v>175</v>
      </c>
      <c r="BJ1385" t="s">
        <v>4793</v>
      </c>
    </row>
    <row r="1386" spans="1:62" x14ac:dyDescent="0.35">
      <c r="A1386" t="s">
        <v>2503</v>
      </c>
      <c r="B1386">
        <v>10000</v>
      </c>
      <c r="C1386">
        <v>60000</v>
      </c>
      <c r="D1386" s="2">
        <v>45740</v>
      </c>
      <c r="E1386" t="s">
        <v>61</v>
      </c>
      <c r="F1386" t="s">
        <v>2969</v>
      </c>
      <c r="G1386">
        <v>10639931036</v>
      </c>
      <c r="I1386">
        <v>3</v>
      </c>
      <c r="J1386" t="s">
        <v>63</v>
      </c>
      <c r="K1386" s="8">
        <v>85</v>
      </c>
      <c r="L1386" s="8" t="s">
        <v>6585</v>
      </c>
      <c r="M1386" s="8" t="s">
        <v>6628</v>
      </c>
      <c r="N1386" t="s">
        <v>104</v>
      </c>
      <c r="O1386" t="s">
        <v>6579</v>
      </c>
      <c r="P1386" s="4">
        <v>6364</v>
      </c>
      <c r="S1386" s="2">
        <v>45737</v>
      </c>
      <c r="U1386">
        <v>11</v>
      </c>
      <c r="V1386" s="4">
        <v>70004</v>
      </c>
      <c r="W1386" t="s">
        <v>65</v>
      </c>
      <c r="X1386" t="s">
        <v>2504</v>
      </c>
      <c r="Y1386">
        <v>0</v>
      </c>
      <c r="Z1386" s="4">
        <v>70000</v>
      </c>
      <c r="AA1386">
        <v>4</v>
      </c>
      <c r="AB1386">
        <v>0</v>
      </c>
      <c r="AC1386">
        <v>0</v>
      </c>
      <c r="AD1386">
        <v>0</v>
      </c>
      <c r="AG1386">
        <v>0</v>
      </c>
      <c r="AP1386" t="s">
        <v>2505</v>
      </c>
      <c r="AQ1386" t="s">
        <v>107</v>
      </c>
      <c r="AR1386" t="s">
        <v>6638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BC1386" t="s">
        <v>69</v>
      </c>
      <c r="BD1386" t="s">
        <v>2506</v>
      </c>
      <c r="BE1386">
        <v>0</v>
      </c>
      <c r="BG1386" t="s">
        <v>107</v>
      </c>
      <c r="BJ1386" t="s">
        <v>2507</v>
      </c>
    </row>
    <row r="1387" spans="1:62" x14ac:dyDescent="0.35">
      <c r="A1387" t="s">
        <v>2508</v>
      </c>
      <c r="B1387">
        <v>10000</v>
      </c>
      <c r="C1387">
        <v>50000</v>
      </c>
      <c r="D1387" s="2">
        <v>45740</v>
      </c>
      <c r="E1387" t="s">
        <v>61</v>
      </c>
      <c r="F1387" t="s">
        <v>2970</v>
      </c>
      <c r="G1387">
        <v>10639931036</v>
      </c>
      <c r="I1387">
        <v>3</v>
      </c>
      <c r="J1387" t="s">
        <v>63</v>
      </c>
      <c r="K1387" s="8">
        <v>85</v>
      </c>
      <c r="L1387" s="8" t="s">
        <v>6585</v>
      </c>
      <c r="M1387" s="8" t="s">
        <v>6628</v>
      </c>
      <c r="N1387" t="s">
        <v>104</v>
      </c>
      <c r="O1387" t="s">
        <v>6579</v>
      </c>
      <c r="P1387" s="4">
        <v>6727</v>
      </c>
      <c r="S1387" s="2">
        <v>45737</v>
      </c>
      <c r="U1387">
        <v>11</v>
      </c>
      <c r="V1387" s="4">
        <v>73997</v>
      </c>
      <c r="W1387" t="s">
        <v>65</v>
      </c>
      <c r="X1387" t="s">
        <v>2509</v>
      </c>
      <c r="Y1387">
        <v>0</v>
      </c>
      <c r="Z1387" s="4">
        <v>50000</v>
      </c>
      <c r="AA1387" s="4">
        <v>23997</v>
      </c>
      <c r="AB1387">
        <v>0</v>
      </c>
      <c r="AC1387">
        <v>0</v>
      </c>
      <c r="AD1387">
        <v>0</v>
      </c>
      <c r="AG1387">
        <v>0</v>
      </c>
      <c r="AP1387" t="s">
        <v>2510</v>
      </c>
      <c r="AQ1387" t="s">
        <v>107</v>
      </c>
      <c r="AR1387" t="s">
        <v>6638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BC1387" t="s">
        <v>69</v>
      </c>
      <c r="BD1387" t="s">
        <v>2511</v>
      </c>
      <c r="BE1387">
        <v>0</v>
      </c>
      <c r="BG1387" t="s">
        <v>107</v>
      </c>
      <c r="BJ1387" t="s">
        <v>2507</v>
      </c>
    </row>
    <row r="1388" spans="1:62" x14ac:dyDescent="0.35">
      <c r="A1388" t="s">
        <v>4794</v>
      </c>
      <c r="B1388">
        <v>10000</v>
      </c>
      <c r="C1388">
        <v>10000</v>
      </c>
      <c r="D1388" s="2">
        <v>45737</v>
      </c>
      <c r="E1388" t="s">
        <v>61</v>
      </c>
      <c r="F1388" t="s">
        <v>4795</v>
      </c>
      <c r="G1388" t="s">
        <v>2217</v>
      </c>
      <c r="I1388">
        <v>1</v>
      </c>
      <c r="J1388" t="s">
        <v>63</v>
      </c>
      <c r="K1388" s="8">
        <v>78</v>
      </c>
      <c r="L1388" s="8" t="s">
        <v>6593</v>
      </c>
      <c r="M1388" s="8" t="s">
        <v>6629</v>
      </c>
      <c r="N1388" t="s">
        <v>188</v>
      </c>
      <c r="O1388" t="s">
        <v>6410</v>
      </c>
      <c r="P1388" s="4">
        <v>4000</v>
      </c>
      <c r="Q1388">
        <f t="shared" ref="Q1388:Q1390" si="361">(P1388/40)+45</f>
        <v>145</v>
      </c>
      <c r="R1388">
        <f t="shared" ref="R1388:R1390" si="362">Q1388/60</f>
        <v>2.4166666666666665</v>
      </c>
      <c r="S1388" s="2">
        <v>45737</v>
      </c>
      <c r="U1388">
        <v>1</v>
      </c>
      <c r="V1388" s="4">
        <v>4000</v>
      </c>
      <c r="W1388" t="s">
        <v>65</v>
      </c>
      <c r="X1388" t="s">
        <v>4796</v>
      </c>
      <c r="Y1388">
        <v>0</v>
      </c>
      <c r="Z1388" s="4">
        <v>4000</v>
      </c>
      <c r="AA1388">
        <v>0</v>
      </c>
      <c r="AB1388">
        <v>0</v>
      </c>
      <c r="AC1388">
        <v>0</v>
      </c>
      <c r="AD1388">
        <v>0</v>
      </c>
      <c r="AG1388">
        <v>0</v>
      </c>
      <c r="AP1388" t="s">
        <v>4797</v>
      </c>
      <c r="AQ1388" t="s">
        <v>4798</v>
      </c>
      <c r="AR1388" t="s">
        <v>6734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BC1388" t="s">
        <v>69</v>
      </c>
      <c r="BD1388" t="s">
        <v>4799</v>
      </c>
      <c r="BE1388">
        <v>0</v>
      </c>
      <c r="BG1388" t="s">
        <v>4798</v>
      </c>
      <c r="BJ1388" t="s">
        <v>4800</v>
      </c>
    </row>
    <row r="1389" spans="1:62" x14ac:dyDescent="0.35">
      <c r="A1389" t="s">
        <v>4801</v>
      </c>
      <c r="B1389">
        <v>10000</v>
      </c>
      <c r="C1389">
        <v>10000</v>
      </c>
      <c r="D1389" s="2">
        <v>45737</v>
      </c>
      <c r="E1389" t="s">
        <v>61</v>
      </c>
      <c r="F1389" t="s">
        <v>4802</v>
      </c>
      <c r="G1389" t="s">
        <v>3980</v>
      </c>
      <c r="I1389">
        <v>1</v>
      </c>
      <c r="J1389" t="s">
        <v>63</v>
      </c>
      <c r="K1389" s="8">
        <v>46</v>
      </c>
      <c r="L1389" s="8" t="s">
        <v>6587</v>
      </c>
      <c r="M1389" s="8" t="s">
        <v>6629</v>
      </c>
      <c r="N1389" t="s">
        <v>113</v>
      </c>
      <c r="O1389" t="s">
        <v>6499</v>
      </c>
      <c r="P1389" s="4">
        <v>1000</v>
      </c>
      <c r="Q1389">
        <f t="shared" si="361"/>
        <v>70</v>
      </c>
      <c r="R1389">
        <f t="shared" si="362"/>
        <v>1.1666666666666667</v>
      </c>
      <c r="S1389" s="2">
        <v>45737</v>
      </c>
      <c r="U1389">
        <v>1</v>
      </c>
      <c r="V1389" s="4">
        <v>1000</v>
      </c>
      <c r="W1389" t="s">
        <v>65</v>
      </c>
      <c r="X1389" t="s">
        <v>4803</v>
      </c>
      <c r="Y1389">
        <v>0</v>
      </c>
      <c r="Z1389" s="4">
        <v>1000</v>
      </c>
      <c r="AA1389">
        <v>0</v>
      </c>
      <c r="AB1389">
        <v>0</v>
      </c>
      <c r="AC1389">
        <v>0</v>
      </c>
      <c r="AD1389">
        <v>0</v>
      </c>
      <c r="AG1389">
        <v>0</v>
      </c>
      <c r="AP1389" t="s">
        <v>4804</v>
      </c>
      <c r="AQ1389" t="s">
        <v>116</v>
      </c>
      <c r="AR1389" t="s">
        <v>6639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BC1389" t="s">
        <v>69</v>
      </c>
      <c r="BD1389" t="s">
        <v>4805</v>
      </c>
      <c r="BE1389">
        <v>0</v>
      </c>
      <c r="BG1389" t="s">
        <v>116</v>
      </c>
      <c r="BJ1389" t="s">
        <v>4806</v>
      </c>
    </row>
    <row r="1390" spans="1:62" x14ac:dyDescent="0.35">
      <c r="A1390" t="s">
        <v>4807</v>
      </c>
      <c r="B1390">
        <v>10000</v>
      </c>
      <c r="C1390">
        <v>10000</v>
      </c>
      <c r="D1390" s="2">
        <v>45740</v>
      </c>
      <c r="E1390" t="s">
        <v>61</v>
      </c>
      <c r="F1390" t="s">
        <v>4808</v>
      </c>
      <c r="G1390" t="s">
        <v>4809</v>
      </c>
      <c r="I1390">
        <v>1</v>
      </c>
      <c r="J1390" t="s">
        <v>63</v>
      </c>
      <c r="K1390" s="8">
        <v>78</v>
      </c>
      <c r="L1390" s="8" t="s">
        <v>6593</v>
      </c>
      <c r="M1390" s="8" t="s">
        <v>6629</v>
      </c>
      <c r="N1390" t="s">
        <v>188</v>
      </c>
      <c r="O1390" t="s">
        <v>6410</v>
      </c>
      <c r="P1390" s="4">
        <v>20000</v>
      </c>
      <c r="Q1390">
        <f t="shared" si="361"/>
        <v>545</v>
      </c>
      <c r="R1390">
        <f t="shared" si="362"/>
        <v>9.0833333333333339</v>
      </c>
      <c r="S1390" s="2">
        <v>45737</v>
      </c>
      <c r="U1390">
        <v>1</v>
      </c>
      <c r="V1390" s="4">
        <v>20000</v>
      </c>
      <c r="W1390" t="s">
        <v>65</v>
      </c>
      <c r="X1390" t="s">
        <v>4810</v>
      </c>
      <c r="Y1390">
        <v>0</v>
      </c>
      <c r="Z1390" s="4">
        <v>20000</v>
      </c>
      <c r="AA1390">
        <v>0</v>
      </c>
      <c r="AB1390">
        <v>0</v>
      </c>
      <c r="AC1390">
        <v>0</v>
      </c>
      <c r="AD1390">
        <v>0</v>
      </c>
      <c r="AG1390">
        <v>0</v>
      </c>
      <c r="AP1390" t="s">
        <v>4811</v>
      </c>
      <c r="AQ1390" t="s">
        <v>4812</v>
      </c>
      <c r="AR1390" t="s">
        <v>6735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BC1390" t="s">
        <v>69</v>
      </c>
      <c r="BD1390" t="s">
        <v>4813</v>
      </c>
      <c r="BE1390">
        <v>0</v>
      </c>
      <c r="BG1390" t="s">
        <v>4812</v>
      </c>
      <c r="BJ1390" t="s">
        <v>4814</v>
      </c>
    </row>
    <row r="1391" spans="1:62" x14ac:dyDescent="0.35">
      <c r="A1391" t="s">
        <v>3290</v>
      </c>
      <c r="B1391">
        <v>10000</v>
      </c>
      <c r="C1391">
        <v>20000</v>
      </c>
      <c r="D1391" s="2">
        <v>45737</v>
      </c>
      <c r="E1391" t="s">
        <v>61</v>
      </c>
      <c r="F1391" t="s">
        <v>3291</v>
      </c>
      <c r="G1391" t="s">
        <v>3292</v>
      </c>
      <c r="I1391">
        <v>2</v>
      </c>
      <c r="J1391" t="s">
        <v>63</v>
      </c>
      <c r="K1391" s="8">
        <v>61</v>
      </c>
      <c r="L1391" s="8" t="s">
        <v>6594</v>
      </c>
      <c r="M1391" s="8" t="s">
        <v>6629</v>
      </c>
      <c r="N1391" t="s">
        <v>216</v>
      </c>
      <c r="O1391" t="s">
        <v>6394</v>
      </c>
      <c r="P1391" s="4">
        <v>1512</v>
      </c>
      <c r="Q1391">
        <f>(P1391/50)+45</f>
        <v>75.239999999999995</v>
      </c>
      <c r="R1391">
        <f>Q1391/60</f>
        <v>1.254</v>
      </c>
      <c r="S1391" s="2">
        <v>45737</v>
      </c>
      <c r="U1391">
        <v>2</v>
      </c>
      <c r="V1391" s="4">
        <v>3024</v>
      </c>
      <c r="W1391" t="s">
        <v>65</v>
      </c>
      <c r="X1391" t="s">
        <v>3293</v>
      </c>
      <c r="Y1391">
        <v>0</v>
      </c>
      <c r="Z1391" s="4">
        <v>3024</v>
      </c>
      <c r="AA1391">
        <v>0</v>
      </c>
      <c r="AB1391">
        <v>0</v>
      </c>
      <c r="AC1391">
        <v>0</v>
      </c>
      <c r="AD1391">
        <v>0</v>
      </c>
      <c r="AG1391">
        <v>0</v>
      </c>
      <c r="AP1391" t="s">
        <v>3294</v>
      </c>
      <c r="AQ1391" t="s">
        <v>3295</v>
      </c>
      <c r="AR1391" t="s">
        <v>6719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BC1391" t="s">
        <v>69</v>
      </c>
      <c r="BD1391" t="s">
        <v>3296</v>
      </c>
      <c r="BE1391">
        <v>0</v>
      </c>
      <c r="BG1391" t="s">
        <v>3295</v>
      </c>
      <c r="BJ1391" t="s">
        <v>3297</v>
      </c>
    </row>
    <row r="1392" spans="1:62" x14ac:dyDescent="0.35">
      <c r="A1392" t="s">
        <v>4815</v>
      </c>
      <c r="B1392">
        <v>10000</v>
      </c>
      <c r="C1392">
        <v>10000</v>
      </c>
      <c r="D1392" s="2">
        <v>45737</v>
      </c>
      <c r="E1392" t="s">
        <v>61</v>
      </c>
      <c r="F1392" t="s">
        <v>4816</v>
      </c>
      <c r="G1392" t="s">
        <v>3980</v>
      </c>
      <c r="I1392">
        <v>1</v>
      </c>
      <c r="J1392" t="s">
        <v>63</v>
      </c>
      <c r="K1392" s="8">
        <v>46</v>
      </c>
      <c r="L1392" s="8" t="s">
        <v>6587</v>
      </c>
      <c r="M1392" s="8" t="s">
        <v>6629</v>
      </c>
      <c r="N1392" t="s">
        <v>113</v>
      </c>
      <c r="O1392" t="s">
        <v>6499</v>
      </c>
      <c r="P1392" s="4">
        <v>6000</v>
      </c>
      <c r="Q1392">
        <f>(P1392/40)+45</f>
        <v>195</v>
      </c>
      <c r="R1392">
        <f>Q1392/60</f>
        <v>3.25</v>
      </c>
      <c r="S1392" s="2">
        <v>45737</v>
      </c>
      <c r="U1392">
        <v>1</v>
      </c>
      <c r="V1392" s="4">
        <v>6000</v>
      </c>
      <c r="W1392" t="s">
        <v>65</v>
      </c>
      <c r="X1392" t="s">
        <v>4817</v>
      </c>
      <c r="Y1392">
        <v>0</v>
      </c>
      <c r="Z1392" s="4">
        <v>6000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 t="s">
        <v>4818</v>
      </c>
      <c r="AQ1392" t="s">
        <v>751</v>
      </c>
      <c r="AR1392" t="s">
        <v>6639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BC1392" t="s">
        <v>69</v>
      </c>
      <c r="BD1392" t="s">
        <v>4819</v>
      </c>
      <c r="BE1392">
        <v>0</v>
      </c>
      <c r="BG1392" t="s">
        <v>751</v>
      </c>
      <c r="BJ1392" t="s">
        <v>4820</v>
      </c>
    </row>
    <row r="1393" spans="1:62" x14ac:dyDescent="0.35">
      <c r="A1393" t="s">
        <v>4821</v>
      </c>
      <c r="B1393">
        <v>10000</v>
      </c>
      <c r="C1393">
        <v>10000</v>
      </c>
      <c r="D1393" s="2">
        <v>45737</v>
      </c>
      <c r="E1393" t="s">
        <v>61</v>
      </c>
      <c r="F1393" t="s">
        <v>4802</v>
      </c>
      <c r="G1393" t="s">
        <v>4284</v>
      </c>
      <c r="I1393">
        <v>1</v>
      </c>
      <c r="J1393" t="s">
        <v>63</v>
      </c>
      <c r="K1393" s="8">
        <v>32</v>
      </c>
      <c r="L1393" s="8" t="s">
        <v>6607</v>
      </c>
      <c r="M1393" s="8" t="s">
        <v>6629</v>
      </c>
      <c r="N1393" t="s">
        <v>553</v>
      </c>
      <c r="O1393" t="s">
        <v>6552</v>
      </c>
      <c r="P1393" s="4">
        <v>5860</v>
      </c>
      <c r="S1393" s="2">
        <v>45737</v>
      </c>
      <c r="U1393">
        <v>1</v>
      </c>
      <c r="V1393" s="4">
        <v>5860</v>
      </c>
      <c r="W1393" t="s">
        <v>65</v>
      </c>
      <c r="X1393" t="s">
        <v>2199</v>
      </c>
      <c r="Y1393">
        <v>0</v>
      </c>
      <c r="Z1393" s="4">
        <v>5360</v>
      </c>
      <c r="AA1393">
        <v>500</v>
      </c>
      <c r="AB1393">
        <v>0</v>
      </c>
      <c r="AC1393">
        <v>0</v>
      </c>
      <c r="AD1393">
        <v>0</v>
      </c>
      <c r="AG1393">
        <v>0</v>
      </c>
      <c r="AP1393" t="s">
        <v>2200</v>
      </c>
      <c r="AQ1393" t="s">
        <v>116</v>
      </c>
      <c r="AR1393" t="s">
        <v>6639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BC1393" t="s">
        <v>69</v>
      </c>
      <c r="BD1393" t="s">
        <v>4822</v>
      </c>
      <c r="BE1393">
        <v>0</v>
      </c>
      <c r="BG1393" t="s">
        <v>116</v>
      </c>
      <c r="BJ1393" t="s">
        <v>3994</v>
      </c>
    </row>
    <row r="1394" spans="1:62" x14ac:dyDescent="0.35">
      <c r="A1394" t="s">
        <v>4823</v>
      </c>
      <c r="B1394">
        <v>10000</v>
      </c>
      <c r="C1394">
        <v>10000</v>
      </c>
      <c r="D1394" s="2">
        <v>45737</v>
      </c>
      <c r="E1394" t="s">
        <v>61</v>
      </c>
      <c r="F1394" t="s">
        <v>4757</v>
      </c>
      <c r="G1394" t="s">
        <v>4284</v>
      </c>
      <c r="I1394">
        <v>1</v>
      </c>
      <c r="J1394" t="s">
        <v>63</v>
      </c>
      <c r="K1394" s="8">
        <v>32</v>
      </c>
      <c r="L1394" s="8" t="s">
        <v>6607</v>
      </c>
      <c r="M1394" s="8" t="s">
        <v>6629</v>
      </c>
      <c r="N1394" t="s">
        <v>553</v>
      </c>
      <c r="O1394" t="s">
        <v>6552</v>
      </c>
      <c r="P1394" s="4">
        <v>5860</v>
      </c>
      <c r="S1394" s="2">
        <v>45737</v>
      </c>
      <c r="U1394">
        <v>1</v>
      </c>
      <c r="V1394" s="4">
        <v>5860</v>
      </c>
      <c r="W1394" t="s">
        <v>65</v>
      </c>
      <c r="X1394" t="s">
        <v>2199</v>
      </c>
      <c r="Y1394">
        <v>0</v>
      </c>
      <c r="Z1394" s="4">
        <v>5360</v>
      </c>
      <c r="AA1394">
        <v>500</v>
      </c>
      <c r="AB1394">
        <v>0</v>
      </c>
      <c r="AC1394">
        <v>0</v>
      </c>
      <c r="AD1394">
        <v>0</v>
      </c>
      <c r="AG1394">
        <v>0</v>
      </c>
      <c r="AP1394" t="s">
        <v>2200</v>
      </c>
      <c r="AQ1394" t="s">
        <v>116</v>
      </c>
      <c r="AR1394" t="s">
        <v>6639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BC1394" t="s">
        <v>69</v>
      </c>
      <c r="BD1394" t="s">
        <v>4824</v>
      </c>
      <c r="BE1394">
        <v>0</v>
      </c>
      <c r="BG1394" t="s">
        <v>116</v>
      </c>
      <c r="BJ1394" t="s">
        <v>3998</v>
      </c>
    </row>
    <row r="1395" spans="1:62" x14ac:dyDescent="0.35">
      <c r="A1395" t="s">
        <v>4825</v>
      </c>
      <c r="B1395">
        <v>10000</v>
      </c>
      <c r="C1395">
        <v>10000</v>
      </c>
      <c r="D1395" s="2">
        <v>45740</v>
      </c>
      <c r="E1395" t="s">
        <v>61</v>
      </c>
      <c r="F1395" t="s">
        <v>4826</v>
      </c>
      <c r="G1395" t="s">
        <v>4827</v>
      </c>
      <c r="I1395">
        <v>1</v>
      </c>
      <c r="J1395" t="s">
        <v>63</v>
      </c>
      <c r="K1395" s="8">
        <v>12</v>
      </c>
      <c r="L1395" s="8" t="s">
        <v>6604</v>
      </c>
      <c r="M1395" s="8" t="s">
        <v>6629</v>
      </c>
      <c r="N1395" t="s">
        <v>478</v>
      </c>
      <c r="O1395" t="s">
        <v>6434</v>
      </c>
      <c r="P1395" s="4">
        <v>21000</v>
      </c>
      <c r="Q1395">
        <f t="shared" ref="Q1395:Q1397" si="363">(P1395/50)+45</f>
        <v>465</v>
      </c>
      <c r="R1395">
        <f t="shared" ref="R1395:R1397" si="364">Q1395/60</f>
        <v>7.75</v>
      </c>
      <c r="S1395" s="2">
        <v>45737</v>
      </c>
      <c r="U1395">
        <v>1</v>
      </c>
      <c r="V1395" s="4">
        <v>21000</v>
      </c>
      <c r="W1395" t="s">
        <v>65</v>
      </c>
      <c r="X1395" t="s">
        <v>2114</v>
      </c>
      <c r="Y1395">
        <v>0</v>
      </c>
      <c r="Z1395" s="4">
        <v>21000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2115</v>
      </c>
      <c r="AQ1395" t="s">
        <v>116</v>
      </c>
      <c r="AR1395" t="s">
        <v>6639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BC1395" t="s">
        <v>69</v>
      </c>
      <c r="BD1395" t="s">
        <v>4828</v>
      </c>
      <c r="BE1395">
        <v>0</v>
      </c>
      <c r="BG1395" t="s">
        <v>116</v>
      </c>
      <c r="BJ1395" t="s">
        <v>3813</v>
      </c>
    </row>
    <row r="1396" spans="1:62" x14ac:dyDescent="0.35">
      <c r="A1396" t="s">
        <v>4829</v>
      </c>
      <c r="B1396">
        <v>10000</v>
      </c>
      <c r="C1396">
        <v>10000</v>
      </c>
      <c r="D1396" s="2">
        <v>45737</v>
      </c>
      <c r="E1396" t="s">
        <v>61</v>
      </c>
      <c r="F1396" t="s">
        <v>4830</v>
      </c>
      <c r="G1396" t="s">
        <v>4293</v>
      </c>
      <c r="I1396">
        <v>1</v>
      </c>
      <c r="J1396" t="s">
        <v>63</v>
      </c>
      <c r="K1396" s="8">
        <v>61</v>
      </c>
      <c r="L1396" s="8" t="s">
        <v>6594</v>
      </c>
      <c r="M1396" s="8" t="s">
        <v>6629</v>
      </c>
      <c r="N1396" t="s">
        <v>197</v>
      </c>
      <c r="O1396" t="s">
        <v>6565</v>
      </c>
      <c r="P1396" s="4">
        <v>1000</v>
      </c>
      <c r="Q1396">
        <f t="shared" si="363"/>
        <v>65</v>
      </c>
      <c r="R1396">
        <f t="shared" si="364"/>
        <v>1.0833333333333333</v>
      </c>
      <c r="S1396" s="2">
        <v>45737</v>
      </c>
      <c r="U1396">
        <v>6</v>
      </c>
      <c r="V1396" s="4">
        <v>6000</v>
      </c>
      <c r="W1396" t="s">
        <v>65</v>
      </c>
      <c r="X1396" t="s">
        <v>4831</v>
      </c>
      <c r="Y1396">
        <v>0</v>
      </c>
      <c r="Z1396" s="4">
        <v>6000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4832</v>
      </c>
      <c r="AQ1396" t="s">
        <v>116</v>
      </c>
      <c r="AR1396" t="s">
        <v>6639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BC1396" t="s">
        <v>69</v>
      </c>
      <c r="BD1396" t="s">
        <v>4833</v>
      </c>
      <c r="BE1396">
        <v>0</v>
      </c>
      <c r="BG1396" t="s">
        <v>116</v>
      </c>
      <c r="BJ1396" t="s">
        <v>3320</v>
      </c>
    </row>
    <row r="1397" spans="1:62" x14ac:dyDescent="0.35">
      <c r="A1397" t="s">
        <v>4834</v>
      </c>
      <c r="B1397">
        <v>10000</v>
      </c>
      <c r="C1397">
        <v>10000</v>
      </c>
      <c r="D1397" s="2">
        <v>45737</v>
      </c>
      <c r="E1397" t="s">
        <v>61</v>
      </c>
      <c r="F1397" s="3">
        <v>0.53940972222222228</v>
      </c>
      <c r="G1397" t="s">
        <v>4293</v>
      </c>
      <c r="I1397">
        <v>1</v>
      </c>
      <c r="J1397" t="s">
        <v>63</v>
      </c>
      <c r="K1397" s="8">
        <v>61</v>
      </c>
      <c r="L1397" s="8" t="s">
        <v>6594</v>
      </c>
      <c r="M1397" s="8" t="s">
        <v>6629</v>
      </c>
      <c r="N1397" t="s">
        <v>197</v>
      </c>
      <c r="O1397" t="s">
        <v>6565</v>
      </c>
      <c r="P1397" s="4">
        <v>2334</v>
      </c>
      <c r="Q1397">
        <f t="shared" si="363"/>
        <v>91.68</v>
      </c>
      <c r="R1397">
        <f t="shared" si="364"/>
        <v>1.528</v>
      </c>
      <c r="S1397" s="2">
        <v>45737</v>
      </c>
      <c r="U1397">
        <v>6</v>
      </c>
      <c r="V1397" s="4">
        <v>14004</v>
      </c>
      <c r="W1397" t="s">
        <v>65</v>
      </c>
      <c r="X1397" t="s">
        <v>4835</v>
      </c>
      <c r="Y1397">
        <v>0</v>
      </c>
      <c r="Z1397" s="4">
        <v>14000</v>
      </c>
      <c r="AA1397">
        <v>4</v>
      </c>
      <c r="AB1397">
        <v>0</v>
      </c>
      <c r="AC1397">
        <v>0</v>
      </c>
      <c r="AD1397">
        <v>0</v>
      </c>
      <c r="AG1397">
        <v>0</v>
      </c>
      <c r="AP1397" t="s">
        <v>4836</v>
      </c>
      <c r="AQ1397" t="s">
        <v>116</v>
      </c>
      <c r="AR1397" t="s">
        <v>6639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BC1397" t="s">
        <v>69</v>
      </c>
      <c r="BD1397" t="s">
        <v>4837</v>
      </c>
      <c r="BE1397">
        <v>0</v>
      </c>
      <c r="BG1397" t="s">
        <v>116</v>
      </c>
      <c r="BJ1397" t="s">
        <v>3323</v>
      </c>
    </row>
    <row r="1398" spans="1:62" x14ac:dyDescent="0.35">
      <c r="A1398" t="s">
        <v>4606</v>
      </c>
      <c r="B1398">
        <v>10000</v>
      </c>
      <c r="C1398">
        <v>20000</v>
      </c>
      <c r="D1398" s="2">
        <v>45741</v>
      </c>
      <c r="E1398" t="s">
        <v>61</v>
      </c>
      <c r="F1398" t="s">
        <v>4607</v>
      </c>
      <c r="G1398" t="s">
        <v>4608</v>
      </c>
      <c r="I1398">
        <v>2</v>
      </c>
      <c r="J1398" t="s">
        <v>63</v>
      </c>
      <c r="K1398" s="8">
        <v>100</v>
      </c>
      <c r="L1398" s="8" t="s">
        <v>6613</v>
      </c>
      <c r="M1398" s="8" t="s">
        <v>6633</v>
      </c>
      <c r="N1398" t="s">
        <v>424</v>
      </c>
      <c r="O1398" t="s">
        <v>6570</v>
      </c>
      <c r="P1398">
        <v>600</v>
      </c>
      <c r="S1398" s="2">
        <v>45737</v>
      </c>
      <c r="U1398">
        <v>1</v>
      </c>
      <c r="V1398">
        <v>600</v>
      </c>
      <c r="W1398" t="s">
        <v>65</v>
      </c>
      <c r="X1398" t="s">
        <v>4609</v>
      </c>
      <c r="Y1398">
        <v>0</v>
      </c>
      <c r="Z1398">
        <v>500</v>
      </c>
      <c r="AA1398">
        <v>100</v>
      </c>
      <c r="AB1398">
        <v>0</v>
      </c>
      <c r="AC1398">
        <v>0</v>
      </c>
      <c r="AD1398">
        <v>0</v>
      </c>
      <c r="AG1398">
        <v>0</v>
      </c>
      <c r="AP1398" t="s">
        <v>4610</v>
      </c>
      <c r="AQ1398" t="s">
        <v>1241</v>
      </c>
      <c r="AR1398" t="s">
        <v>6673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BC1398" t="s">
        <v>69</v>
      </c>
      <c r="BD1398" t="s">
        <v>4611</v>
      </c>
      <c r="BE1398">
        <v>0</v>
      </c>
      <c r="BG1398" t="s">
        <v>1241</v>
      </c>
      <c r="BJ1398" t="s">
        <v>3555</v>
      </c>
    </row>
    <row r="1399" spans="1:62" x14ac:dyDescent="0.35">
      <c r="A1399" t="s">
        <v>4838</v>
      </c>
      <c r="B1399">
        <v>10000</v>
      </c>
      <c r="C1399">
        <v>10000</v>
      </c>
      <c r="D1399" s="2">
        <v>45737</v>
      </c>
      <c r="E1399" t="s">
        <v>61</v>
      </c>
      <c r="F1399" s="3">
        <v>0.48658564814814814</v>
      </c>
      <c r="G1399" t="s">
        <v>3886</v>
      </c>
      <c r="I1399">
        <v>1</v>
      </c>
      <c r="J1399" t="s">
        <v>63</v>
      </c>
      <c r="K1399" s="8">
        <v>94</v>
      </c>
      <c r="L1399" s="8" t="s">
        <v>6599</v>
      </c>
      <c r="M1399" s="8" t="s">
        <v>6629</v>
      </c>
      <c r="N1399" t="s">
        <v>181</v>
      </c>
      <c r="O1399" t="s">
        <v>6544</v>
      </c>
      <c r="P1399">
        <v>334</v>
      </c>
      <c r="S1399" s="2">
        <v>45737</v>
      </c>
      <c r="U1399">
        <v>6</v>
      </c>
      <c r="V1399" s="4">
        <v>2004</v>
      </c>
      <c r="W1399" t="s">
        <v>65</v>
      </c>
      <c r="X1399" t="s">
        <v>4518</v>
      </c>
      <c r="Y1399">
        <v>0</v>
      </c>
      <c r="Z1399" s="4">
        <v>2000</v>
      </c>
      <c r="AA1399">
        <v>4</v>
      </c>
      <c r="AB1399">
        <v>0</v>
      </c>
      <c r="AC1399">
        <v>0</v>
      </c>
      <c r="AD1399">
        <v>0</v>
      </c>
      <c r="AG1399">
        <v>0</v>
      </c>
      <c r="AP1399" t="s">
        <v>4519</v>
      </c>
      <c r="AQ1399" t="s">
        <v>3615</v>
      </c>
      <c r="AR1399" t="s">
        <v>6724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BC1399" t="s">
        <v>69</v>
      </c>
      <c r="BD1399" t="s">
        <v>4839</v>
      </c>
      <c r="BE1399">
        <v>0</v>
      </c>
      <c r="BG1399" t="s">
        <v>3615</v>
      </c>
      <c r="BJ1399" t="s">
        <v>3617</v>
      </c>
    </row>
    <row r="1400" spans="1:62" x14ac:dyDescent="0.35">
      <c r="A1400" t="s">
        <v>4840</v>
      </c>
      <c r="B1400">
        <v>10000</v>
      </c>
      <c r="C1400">
        <v>10000</v>
      </c>
      <c r="D1400" s="2">
        <v>45737</v>
      </c>
      <c r="E1400" t="s">
        <v>61</v>
      </c>
      <c r="F1400" t="s">
        <v>4757</v>
      </c>
      <c r="G1400" t="s">
        <v>3886</v>
      </c>
      <c r="I1400">
        <v>1</v>
      </c>
      <c r="J1400" t="s">
        <v>63</v>
      </c>
      <c r="K1400" s="8">
        <v>94</v>
      </c>
      <c r="L1400" s="8" t="s">
        <v>6599</v>
      </c>
      <c r="M1400" s="8" t="s">
        <v>6629</v>
      </c>
      <c r="N1400" t="s">
        <v>181</v>
      </c>
      <c r="O1400" t="s">
        <v>6544</v>
      </c>
      <c r="P1400">
        <v>167</v>
      </c>
      <c r="S1400" s="2">
        <v>45737</v>
      </c>
      <c r="U1400">
        <v>6</v>
      </c>
      <c r="V1400" s="4">
        <v>1002</v>
      </c>
      <c r="W1400" t="s">
        <v>65</v>
      </c>
      <c r="X1400" t="s">
        <v>4758</v>
      </c>
      <c r="Y1400">
        <v>0</v>
      </c>
      <c r="Z1400" s="4">
        <v>1000</v>
      </c>
      <c r="AA1400">
        <v>2</v>
      </c>
      <c r="AB1400">
        <v>0</v>
      </c>
      <c r="AC1400">
        <v>0</v>
      </c>
      <c r="AD1400">
        <v>0</v>
      </c>
      <c r="AG1400">
        <v>0</v>
      </c>
      <c r="AP1400" t="s">
        <v>4759</v>
      </c>
      <c r="AQ1400" t="s">
        <v>3615</v>
      </c>
      <c r="AR1400" t="s">
        <v>6724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BC1400" t="s">
        <v>69</v>
      </c>
      <c r="BD1400" t="s">
        <v>4841</v>
      </c>
      <c r="BE1400">
        <v>0</v>
      </c>
      <c r="BG1400" t="s">
        <v>3615</v>
      </c>
      <c r="BJ1400" t="s">
        <v>3617</v>
      </c>
    </row>
    <row r="1401" spans="1:62" x14ac:dyDescent="0.35">
      <c r="A1401" t="s">
        <v>4358</v>
      </c>
      <c r="B1401">
        <v>10000</v>
      </c>
      <c r="C1401">
        <v>20000</v>
      </c>
      <c r="D1401" s="2">
        <v>45737</v>
      </c>
      <c r="E1401" t="s">
        <v>61</v>
      </c>
      <c r="F1401" t="s">
        <v>4359</v>
      </c>
      <c r="G1401">
        <v>59469</v>
      </c>
      <c r="I1401">
        <v>2</v>
      </c>
      <c r="J1401" t="s">
        <v>63</v>
      </c>
      <c r="K1401" s="8">
        <v>96</v>
      </c>
      <c r="L1401" s="8" t="s">
        <v>6585</v>
      </c>
      <c r="M1401" s="8" t="s">
        <v>6628</v>
      </c>
      <c r="N1401" t="s">
        <v>75</v>
      </c>
      <c r="O1401" t="s">
        <v>6581</v>
      </c>
      <c r="P1401" s="4">
        <v>15750</v>
      </c>
      <c r="S1401" s="2">
        <v>45737</v>
      </c>
      <c r="U1401">
        <v>6</v>
      </c>
      <c r="V1401" s="4">
        <v>94500</v>
      </c>
      <c r="W1401" t="s">
        <v>65</v>
      </c>
      <c r="X1401" t="s">
        <v>4360</v>
      </c>
      <c r="Y1401">
        <v>0</v>
      </c>
      <c r="Z1401" s="4">
        <v>94500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4361</v>
      </c>
      <c r="AQ1401" t="s">
        <v>321</v>
      </c>
      <c r="AR1401" t="s">
        <v>6652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BC1401" t="s">
        <v>69</v>
      </c>
      <c r="BD1401" t="s">
        <v>4362</v>
      </c>
      <c r="BE1401">
        <v>0</v>
      </c>
      <c r="BG1401" t="s">
        <v>321</v>
      </c>
      <c r="BJ1401" t="s">
        <v>4363</v>
      </c>
    </row>
    <row r="1402" spans="1:62" x14ac:dyDescent="0.35">
      <c r="A1402" t="s">
        <v>4842</v>
      </c>
      <c r="B1402">
        <v>10000</v>
      </c>
      <c r="C1402">
        <v>20000</v>
      </c>
      <c r="D1402" s="2">
        <v>45749</v>
      </c>
      <c r="E1402" t="s">
        <v>61</v>
      </c>
      <c r="F1402" t="s">
        <v>4843</v>
      </c>
      <c r="G1402" t="s">
        <v>3952</v>
      </c>
      <c r="I1402">
        <v>1</v>
      </c>
      <c r="J1402" t="s">
        <v>63</v>
      </c>
      <c r="K1402" s="8">
        <v>63</v>
      </c>
      <c r="L1402" s="8" t="s">
        <v>6605</v>
      </c>
      <c r="M1402" s="8" t="s">
        <v>6630</v>
      </c>
      <c r="N1402" t="s">
        <v>519</v>
      </c>
      <c r="O1402" t="s">
        <v>6569</v>
      </c>
      <c r="P1402" s="4">
        <v>23334</v>
      </c>
      <c r="Q1402">
        <f>(P1402/40)+45</f>
        <v>628.35</v>
      </c>
      <c r="R1402">
        <f>Q1402/60</f>
        <v>10.4725</v>
      </c>
      <c r="S1402" s="2">
        <v>45737</v>
      </c>
      <c r="U1402">
        <v>90</v>
      </c>
      <c r="V1402" s="4">
        <v>2100060</v>
      </c>
      <c r="W1402" t="s">
        <v>65</v>
      </c>
      <c r="X1402" t="s">
        <v>3953</v>
      </c>
      <c r="Y1402">
        <v>0</v>
      </c>
      <c r="Z1402" s="4">
        <v>2100000</v>
      </c>
      <c r="AA1402">
        <v>60</v>
      </c>
      <c r="AB1402">
        <v>0</v>
      </c>
      <c r="AC1402">
        <v>0</v>
      </c>
      <c r="AD1402">
        <v>0</v>
      </c>
      <c r="AG1402">
        <v>0</v>
      </c>
      <c r="AP1402" t="s">
        <v>3954</v>
      </c>
      <c r="AQ1402" t="s">
        <v>1672</v>
      </c>
      <c r="AR1402" t="s">
        <v>6681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BC1402" t="s">
        <v>69</v>
      </c>
      <c r="BD1402" t="s">
        <v>4844</v>
      </c>
      <c r="BE1402">
        <v>0</v>
      </c>
      <c r="BG1402" t="s">
        <v>1672</v>
      </c>
      <c r="BJ1402" t="s">
        <v>4845</v>
      </c>
    </row>
    <row r="1403" spans="1:62" x14ac:dyDescent="0.35">
      <c r="A1403" t="s">
        <v>4846</v>
      </c>
      <c r="B1403">
        <v>10000</v>
      </c>
      <c r="C1403">
        <v>10000</v>
      </c>
      <c r="D1403" s="2">
        <v>45740</v>
      </c>
      <c r="E1403" t="s">
        <v>61</v>
      </c>
      <c r="F1403" t="s">
        <v>4847</v>
      </c>
      <c r="G1403" t="s">
        <v>3880</v>
      </c>
      <c r="I1403">
        <v>1</v>
      </c>
      <c r="J1403" t="s">
        <v>63</v>
      </c>
      <c r="K1403" s="8">
        <v>86</v>
      </c>
      <c r="L1403" s="8" t="s">
        <v>6584</v>
      </c>
      <c r="M1403" s="8" t="s">
        <v>6627</v>
      </c>
      <c r="N1403" t="s">
        <v>64</v>
      </c>
      <c r="O1403" t="s">
        <v>6559</v>
      </c>
      <c r="P1403" s="4">
        <v>41760</v>
      </c>
      <c r="Q1403">
        <f>(P1403/60)+45</f>
        <v>741</v>
      </c>
      <c r="R1403">
        <f>Q1403/60</f>
        <v>12.35</v>
      </c>
      <c r="S1403" s="2">
        <v>45737</v>
      </c>
      <c r="U1403">
        <v>54</v>
      </c>
      <c r="V1403" s="4">
        <v>2255040</v>
      </c>
      <c r="W1403" t="s">
        <v>65</v>
      </c>
      <c r="X1403">
        <v>86083950001</v>
      </c>
      <c r="Y1403">
        <v>0</v>
      </c>
      <c r="Z1403" s="4">
        <v>2260000</v>
      </c>
      <c r="AA1403" s="4">
        <v>-4960</v>
      </c>
      <c r="AB1403">
        <v>0</v>
      </c>
      <c r="AC1403">
        <v>0</v>
      </c>
      <c r="AD1403">
        <v>0</v>
      </c>
      <c r="AG1403">
        <v>0</v>
      </c>
      <c r="AP1403">
        <v>8608395</v>
      </c>
      <c r="AQ1403" t="s">
        <v>91</v>
      </c>
      <c r="AR1403" t="s">
        <v>6637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BC1403" t="s">
        <v>69</v>
      </c>
      <c r="BD1403" t="s">
        <v>4848</v>
      </c>
      <c r="BE1403">
        <v>0</v>
      </c>
      <c r="BG1403" t="s">
        <v>91</v>
      </c>
      <c r="BJ1403" t="s">
        <v>4849</v>
      </c>
    </row>
    <row r="1404" spans="1:62" x14ac:dyDescent="0.35">
      <c r="A1404" t="s">
        <v>4850</v>
      </c>
      <c r="B1404">
        <v>10000</v>
      </c>
      <c r="C1404">
        <v>10000</v>
      </c>
      <c r="D1404" s="2">
        <v>45740</v>
      </c>
      <c r="E1404" t="s">
        <v>61</v>
      </c>
      <c r="F1404" t="s">
        <v>4851</v>
      </c>
      <c r="G1404" t="s">
        <v>4009</v>
      </c>
      <c r="I1404">
        <v>1</v>
      </c>
      <c r="J1404" t="s">
        <v>63</v>
      </c>
      <c r="K1404" s="8">
        <v>22</v>
      </c>
      <c r="L1404" s="8" t="s">
        <v>6603</v>
      </c>
      <c r="M1404" s="8" t="s">
        <v>6629</v>
      </c>
      <c r="N1404" t="s">
        <v>466</v>
      </c>
      <c r="O1404" t="s">
        <v>6474</v>
      </c>
      <c r="P1404" s="4">
        <v>16000</v>
      </c>
      <c r="Q1404">
        <f t="shared" ref="Q1404:Q1405" si="365">(P1404/50)+45</f>
        <v>365</v>
      </c>
      <c r="R1404">
        <f t="shared" ref="R1404:R1405" si="366">Q1404/60</f>
        <v>6.083333333333333</v>
      </c>
      <c r="S1404" s="2">
        <v>45737</v>
      </c>
      <c r="U1404">
        <v>1</v>
      </c>
      <c r="V1404" s="4">
        <v>16000</v>
      </c>
      <c r="W1404" t="s">
        <v>65</v>
      </c>
      <c r="X1404" t="s">
        <v>4852</v>
      </c>
      <c r="Y1404">
        <v>0</v>
      </c>
      <c r="Z1404" s="4">
        <v>16000</v>
      </c>
      <c r="AA1404">
        <v>0</v>
      </c>
      <c r="AB1404">
        <v>0</v>
      </c>
      <c r="AC1404">
        <v>0</v>
      </c>
      <c r="AD1404">
        <v>0</v>
      </c>
      <c r="AG1404">
        <v>0</v>
      </c>
      <c r="AP1404" t="s">
        <v>4853</v>
      </c>
      <c r="AQ1404" t="s">
        <v>116</v>
      </c>
      <c r="AR1404" t="s">
        <v>6639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BC1404" t="s">
        <v>69</v>
      </c>
      <c r="BD1404" t="s">
        <v>4854</v>
      </c>
      <c r="BE1404">
        <v>0</v>
      </c>
      <c r="BG1404" t="s">
        <v>116</v>
      </c>
      <c r="BJ1404" t="s">
        <v>4631</v>
      </c>
    </row>
    <row r="1405" spans="1:62" x14ac:dyDescent="0.35">
      <c r="A1405" t="s">
        <v>4855</v>
      </c>
      <c r="B1405">
        <v>10000</v>
      </c>
      <c r="C1405">
        <v>10000</v>
      </c>
      <c r="D1405" s="2">
        <v>45737</v>
      </c>
      <c r="E1405" t="s">
        <v>61</v>
      </c>
      <c r="F1405" t="s">
        <v>4774</v>
      </c>
      <c r="G1405" t="s">
        <v>4009</v>
      </c>
      <c r="I1405">
        <v>1</v>
      </c>
      <c r="J1405" t="s">
        <v>63</v>
      </c>
      <c r="K1405" s="8">
        <v>22</v>
      </c>
      <c r="L1405" s="8" t="s">
        <v>6603</v>
      </c>
      <c r="M1405" s="8" t="s">
        <v>6629</v>
      </c>
      <c r="N1405" t="s">
        <v>466</v>
      </c>
      <c r="O1405" t="s">
        <v>6474</v>
      </c>
      <c r="P1405" s="4">
        <v>8000</v>
      </c>
      <c r="Q1405">
        <f t="shared" si="365"/>
        <v>205</v>
      </c>
      <c r="R1405">
        <f t="shared" si="366"/>
        <v>3.4166666666666665</v>
      </c>
      <c r="S1405" s="2">
        <v>45737</v>
      </c>
      <c r="U1405">
        <v>1</v>
      </c>
      <c r="V1405" s="4">
        <v>8000</v>
      </c>
      <c r="W1405" t="s">
        <v>65</v>
      </c>
      <c r="X1405" t="s">
        <v>4856</v>
      </c>
      <c r="Y1405">
        <v>0</v>
      </c>
      <c r="Z1405" s="4">
        <v>8000</v>
      </c>
      <c r="AA1405">
        <v>0</v>
      </c>
      <c r="AB1405">
        <v>0</v>
      </c>
      <c r="AC1405">
        <v>0</v>
      </c>
      <c r="AD1405">
        <v>0</v>
      </c>
      <c r="AG1405">
        <v>0</v>
      </c>
      <c r="AP1405" t="s">
        <v>4857</v>
      </c>
      <c r="AQ1405" t="s">
        <v>116</v>
      </c>
      <c r="AR1405" t="s">
        <v>6639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BC1405" t="s">
        <v>69</v>
      </c>
      <c r="BD1405" t="s">
        <v>4858</v>
      </c>
      <c r="BE1405">
        <v>0</v>
      </c>
      <c r="BG1405" t="s">
        <v>116</v>
      </c>
      <c r="BJ1405" t="s">
        <v>4631</v>
      </c>
    </row>
    <row r="1406" spans="1:62" x14ac:dyDescent="0.35">
      <c r="A1406" t="s">
        <v>4859</v>
      </c>
      <c r="B1406">
        <v>10000</v>
      </c>
      <c r="C1406">
        <v>10000</v>
      </c>
      <c r="D1406" s="2">
        <v>45740</v>
      </c>
      <c r="E1406" t="s">
        <v>61</v>
      </c>
      <c r="F1406" t="s">
        <v>4860</v>
      </c>
      <c r="G1406" t="s">
        <v>4284</v>
      </c>
      <c r="I1406">
        <v>1</v>
      </c>
      <c r="J1406" t="s">
        <v>63</v>
      </c>
      <c r="K1406" s="8">
        <v>32</v>
      </c>
      <c r="L1406" s="8" t="s">
        <v>6607</v>
      </c>
      <c r="M1406" s="8" t="s">
        <v>6629</v>
      </c>
      <c r="N1406" t="s">
        <v>553</v>
      </c>
      <c r="O1406" t="s">
        <v>6552</v>
      </c>
      <c r="P1406" s="4">
        <v>5860</v>
      </c>
      <c r="S1406" s="2">
        <v>45737</v>
      </c>
      <c r="U1406">
        <v>1</v>
      </c>
      <c r="V1406" s="4">
        <v>5860</v>
      </c>
      <c r="W1406" t="s">
        <v>65</v>
      </c>
      <c r="X1406" t="s">
        <v>2199</v>
      </c>
      <c r="Y1406">
        <v>0</v>
      </c>
      <c r="Z1406" s="4">
        <v>5360</v>
      </c>
      <c r="AA1406">
        <v>500</v>
      </c>
      <c r="AB1406">
        <v>0</v>
      </c>
      <c r="AC1406">
        <v>0</v>
      </c>
      <c r="AD1406">
        <v>0</v>
      </c>
      <c r="AG1406">
        <v>0</v>
      </c>
      <c r="AP1406" t="s">
        <v>2200</v>
      </c>
      <c r="AQ1406" t="s">
        <v>116</v>
      </c>
      <c r="AR1406" t="s">
        <v>6639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BC1406" t="s">
        <v>69</v>
      </c>
      <c r="BD1406" t="s">
        <v>4861</v>
      </c>
      <c r="BE1406">
        <v>0</v>
      </c>
      <c r="BG1406" t="s">
        <v>116</v>
      </c>
      <c r="BJ1406" t="s">
        <v>4862</v>
      </c>
    </row>
    <row r="1407" spans="1:62" x14ac:dyDescent="0.35">
      <c r="A1407" t="s">
        <v>4393</v>
      </c>
      <c r="B1407">
        <v>10000</v>
      </c>
      <c r="C1407">
        <v>20000</v>
      </c>
      <c r="D1407" s="2">
        <v>45737</v>
      </c>
      <c r="E1407" t="s">
        <v>61</v>
      </c>
      <c r="F1407" t="s">
        <v>4394</v>
      </c>
      <c r="G1407" t="s">
        <v>4340</v>
      </c>
      <c r="I1407">
        <v>2</v>
      </c>
      <c r="J1407" t="s">
        <v>63</v>
      </c>
      <c r="K1407" s="8">
        <v>71</v>
      </c>
      <c r="L1407" s="8" t="s">
        <v>6588</v>
      </c>
      <c r="M1407" s="8" t="s">
        <v>6630</v>
      </c>
      <c r="N1407" t="s">
        <v>135</v>
      </c>
      <c r="O1407" t="s">
        <v>6573</v>
      </c>
      <c r="P1407" s="4">
        <v>2500</v>
      </c>
      <c r="S1407" s="2">
        <v>45737</v>
      </c>
      <c r="U1407">
        <v>6</v>
      </c>
      <c r="V1407" s="4">
        <v>15000</v>
      </c>
      <c r="W1407" t="s">
        <v>65</v>
      </c>
      <c r="X1407">
        <v>5000582270001</v>
      </c>
      <c r="Y1407">
        <v>0</v>
      </c>
      <c r="Z1407" s="4">
        <v>7500</v>
      </c>
      <c r="AA1407" s="4">
        <v>7500</v>
      </c>
      <c r="AB1407">
        <v>0</v>
      </c>
      <c r="AC1407">
        <v>0</v>
      </c>
      <c r="AD1407">
        <v>0</v>
      </c>
      <c r="AG1407">
        <v>0</v>
      </c>
      <c r="AP1407">
        <v>500058227</v>
      </c>
      <c r="AQ1407" t="s">
        <v>91</v>
      </c>
      <c r="AR1407" t="s">
        <v>6637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BC1407" t="s">
        <v>69</v>
      </c>
      <c r="BD1407" t="s">
        <v>4395</v>
      </c>
      <c r="BE1407">
        <v>0</v>
      </c>
      <c r="BG1407" t="s">
        <v>91</v>
      </c>
      <c r="BJ1407" t="s">
        <v>4383</v>
      </c>
    </row>
    <row r="1408" spans="1:62" x14ac:dyDescent="0.35">
      <c r="A1408" t="s">
        <v>4396</v>
      </c>
      <c r="B1408">
        <v>10000</v>
      </c>
      <c r="C1408">
        <v>20000</v>
      </c>
      <c r="D1408" s="2">
        <v>45737</v>
      </c>
      <c r="E1408" t="s">
        <v>61</v>
      </c>
      <c r="F1408" t="s">
        <v>4397</v>
      </c>
      <c r="G1408" t="s">
        <v>4340</v>
      </c>
      <c r="I1408">
        <v>2</v>
      </c>
      <c r="J1408" t="s">
        <v>63</v>
      </c>
      <c r="K1408" s="8">
        <v>71</v>
      </c>
      <c r="L1408" s="8" t="s">
        <v>6588</v>
      </c>
      <c r="M1408" s="8" t="s">
        <v>6630</v>
      </c>
      <c r="N1408" t="s">
        <v>135</v>
      </c>
      <c r="O1408" t="s">
        <v>6573</v>
      </c>
      <c r="P1408">
        <v>834</v>
      </c>
      <c r="S1408" s="2">
        <v>45737</v>
      </c>
      <c r="U1408">
        <v>6</v>
      </c>
      <c r="V1408" s="4">
        <v>5004</v>
      </c>
      <c r="W1408" t="s">
        <v>65</v>
      </c>
      <c r="X1408">
        <v>5000582280001</v>
      </c>
      <c r="Y1408">
        <v>0</v>
      </c>
      <c r="Z1408" s="4">
        <v>2500</v>
      </c>
      <c r="AA1408" s="4">
        <v>2504</v>
      </c>
      <c r="AB1408">
        <v>0</v>
      </c>
      <c r="AC1408">
        <v>0</v>
      </c>
      <c r="AD1408">
        <v>0</v>
      </c>
      <c r="AG1408">
        <v>0</v>
      </c>
      <c r="AP1408">
        <v>500058228</v>
      </c>
      <c r="AQ1408" t="s">
        <v>91</v>
      </c>
      <c r="AR1408" t="s">
        <v>6637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BC1408" t="s">
        <v>69</v>
      </c>
      <c r="BD1408" t="s">
        <v>4398</v>
      </c>
      <c r="BE1408">
        <v>0</v>
      </c>
      <c r="BG1408" t="s">
        <v>91</v>
      </c>
      <c r="BJ1408" t="s">
        <v>4383</v>
      </c>
    </row>
    <row r="1409" spans="1:62" x14ac:dyDescent="0.35">
      <c r="A1409" t="s">
        <v>4399</v>
      </c>
      <c r="B1409">
        <v>10000</v>
      </c>
      <c r="C1409">
        <v>20000</v>
      </c>
      <c r="D1409" s="2">
        <v>45737</v>
      </c>
      <c r="E1409" t="s">
        <v>61</v>
      </c>
      <c r="F1409" t="s">
        <v>4400</v>
      </c>
      <c r="G1409" t="s">
        <v>4340</v>
      </c>
      <c r="I1409">
        <v>2</v>
      </c>
      <c r="J1409" t="s">
        <v>63</v>
      </c>
      <c r="K1409" s="8">
        <v>71</v>
      </c>
      <c r="L1409" s="8" t="s">
        <v>6588</v>
      </c>
      <c r="M1409" s="8" t="s">
        <v>6630</v>
      </c>
      <c r="N1409" t="s">
        <v>135</v>
      </c>
      <c r="O1409" t="s">
        <v>6573</v>
      </c>
      <c r="P1409" s="4">
        <v>2334</v>
      </c>
      <c r="S1409" s="2">
        <v>45737</v>
      </c>
      <c r="U1409">
        <v>6</v>
      </c>
      <c r="V1409" s="4">
        <v>14004</v>
      </c>
      <c r="W1409" t="s">
        <v>65</v>
      </c>
      <c r="X1409">
        <v>5000584100001</v>
      </c>
      <c r="Y1409">
        <v>0</v>
      </c>
      <c r="Z1409" s="4">
        <v>7000</v>
      </c>
      <c r="AA1409" s="4">
        <v>7004</v>
      </c>
      <c r="AB1409">
        <v>0</v>
      </c>
      <c r="AC1409">
        <v>0</v>
      </c>
      <c r="AD1409">
        <v>0</v>
      </c>
      <c r="AG1409">
        <v>0</v>
      </c>
      <c r="AP1409">
        <v>500058410</v>
      </c>
      <c r="AQ1409" t="s">
        <v>91</v>
      </c>
      <c r="AR1409" t="s">
        <v>6637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BC1409" t="s">
        <v>69</v>
      </c>
      <c r="BD1409" t="s">
        <v>4401</v>
      </c>
      <c r="BE1409">
        <v>0</v>
      </c>
      <c r="BG1409" t="s">
        <v>91</v>
      </c>
      <c r="BJ1409" t="s">
        <v>4383</v>
      </c>
    </row>
    <row r="1410" spans="1:62" x14ac:dyDescent="0.35">
      <c r="A1410" t="s">
        <v>4636</v>
      </c>
      <c r="B1410">
        <v>10000</v>
      </c>
      <c r="C1410">
        <v>20000</v>
      </c>
      <c r="D1410" s="2">
        <v>45737</v>
      </c>
      <c r="E1410" t="s">
        <v>61</v>
      </c>
      <c r="F1410" t="s">
        <v>4637</v>
      </c>
      <c r="G1410" t="s">
        <v>4340</v>
      </c>
      <c r="I1410">
        <v>2</v>
      </c>
      <c r="J1410" t="s">
        <v>63</v>
      </c>
      <c r="K1410" s="8">
        <v>71</v>
      </c>
      <c r="L1410" s="8" t="s">
        <v>6588</v>
      </c>
      <c r="M1410" s="8" t="s">
        <v>6630</v>
      </c>
      <c r="N1410" t="s">
        <v>135</v>
      </c>
      <c r="O1410" t="s">
        <v>6573</v>
      </c>
      <c r="P1410" s="4">
        <v>7000</v>
      </c>
      <c r="S1410" s="2">
        <v>45737</v>
      </c>
      <c r="U1410">
        <v>6</v>
      </c>
      <c r="V1410" s="4">
        <v>42000</v>
      </c>
      <c r="W1410" t="s">
        <v>65</v>
      </c>
      <c r="X1410">
        <v>5000538100001</v>
      </c>
      <c r="Y1410">
        <v>0</v>
      </c>
      <c r="Z1410" s="4">
        <v>28000</v>
      </c>
      <c r="AA1410" s="4">
        <v>14000</v>
      </c>
      <c r="AB1410">
        <v>0</v>
      </c>
      <c r="AC1410">
        <v>0</v>
      </c>
      <c r="AD1410">
        <v>0</v>
      </c>
      <c r="AG1410">
        <v>0</v>
      </c>
      <c r="AP1410">
        <v>500053810</v>
      </c>
      <c r="AQ1410" t="s">
        <v>91</v>
      </c>
      <c r="AR1410" t="s">
        <v>6637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BC1410" t="s">
        <v>69</v>
      </c>
      <c r="BD1410" t="s">
        <v>4638</v>
      </c>
      <c r="BE1410">
        <v>0</v>
      </c>
      <c r="BG1410" t="s">
        <v>91</v>
      </c>
      <c r="BJ1410" t="s">
        <v>4635</v>
      </c>
    </row>
    <row r="1411" spans="1:62" x14ac:dyDescent="0.35">
      <c r="A1411" t="s">
        <v>4863</v>
      </c>
      <c r="B1411">
        <v>10000</v>
      </c>
      <c r="C1411">
        <v>10000</v>
      </c>
      <c r="D1411" s="2">
        <v>45742</v>
      </c>
      <c r="E1411" t="s">
        <v>61</v>
      </c>
      <c r="F1411" t="s">
        <v>4864</v>
      </c>
      <c r="G1411" t="s">
        <v>4865</v>
      </c>
      <c r="I1411">
        <v>1</v>
      </c>
      <c r="J1411" t="s">
        <v>63</v>
      </c>
      <c r="K1411" s="8">
        <v>88</v>
      </c>
      <c r="L1411" s="8" t="s">
        <v>6610</v>
      </c>
      <c r="M1411" s="8" t="s">
        <v>6631</v>
      </c>
      <c r="N1411" t="s">
        <v>630</v>
      </c>
      <c r="O1411" t="s">
        <v>6571</v>
      </c>
      <c r="P1411" s="4">
        <v>1800</v>
      </c>
      <c r="S1411" s="2">
        <v>45737</v>
      </c>
      <c r="U1411">
        <v>3</v>
      </c>
      <c r="V1411" s="4">
        <v>5400</v>
      </c>
      <c r="W1411" t="s">
        <v>65</v>
      </c>
      <c r="X1411" t="s">
        <v>4866</v>
      </c>
      <c r="Y1411">
        <v>0</v>
      </c>
      <c r="Z1411" s="4">
        <v>5000</v>
      </c>
      <c r="AA1411">
        <v>400</v>
      </c>
      <c r="AB1411">
        <v>0</v>
      </c>
      <c r="AC1411">
        <v>0</v>
      </c>
      <c r="AD1411">
        <v>0</v>
      </c>
      <c r="AG1411">
        <v>0</v>
      </c>
      <c r="AP1411" t="s">
        <v>4867</v>
      </c>
      <c r="AQ1411" t="s">
        <v>4868</v>
      </c>
      <c r="AR1411" t="s">
        <v>6736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BC1411" t="s">
        <v>69</v>
      </c>
      <c r="BD1411" t="s">
        <v>4869</v>
      </c>
      <c r="BE1411">
        <v>0</v>
      </c>
      <c r="BG1411" t="s">
        <v>4868</v>
      </c>
      <c r="BJ1411" t="s">
        <v>4870</v>
      </c>
    </row>
    <row r="1412" spans="1:62" x14ac:dyDescent="0.35">
      <c r="A1412" t="s">
        <v>4863</v>
      </c>
      <c r="B1412">
        <v>10000</v>
      </c>
      <c r="C1412">
        <v>20000</v>
      </c>
      <c r="D1412" s="2">
        <v>45742</v>
      </c>
      <c r="E1412" t="s">
        <v>61</v>
      </c>
      <c r="F1412" t="s">
        <v>4864</v>
      </c>
      <c r="G1412" t="s">
        <v>4865</v>
      </c>
      <c r="I1412">
        <v>2</v>
      </c>
      <c r="J1412" t="s">
        <v>63</v>
      </c>
      <c r="K1412" s="8">
        <v>92</v>
      </c>
      <c r="L1412" s="8" t="s">
        <v>6614</v>
      </c>
      <c r="M1412" s="8" t="s">
        <v>6633</v>
      </c>
      <c r="N1412" t="s">
        <v>424</v>
      </c>
      <c r="O1412" t="s">
        <v>6570</v>
      </c>
      <c r="P1412" s="4">
        <v>1800</v>
      </c>
      <c r="S1412" s="2">
        <v>45737</v>
      </c>
      <c r="U1412">
        <v>3</v>
      </c>
      <c r="V1412" s="4">
        <v>5400</v>
      </c>
      <c r="W1412" t="s">
        <v>65</v>
      </c>
      <c r="X1412" t="s">
        <v>4866</v>
      </c>
      <c r="Y1412">
        <v>0</v>
      </c>
      <c r="Z1412" s="4">
        <v>5000</v>
      </c>
      <c r="AA1412">
        <v>400</v>
      </c>
      <c r="AB1412">
        <v>0</v>
      </c>
      <c r="AC1412">
        <v>0</v>
      </c>
      <c r="AD1412">
        <v>0</v>
      </c>
      <c r="AG1412">
        <v>0</v>
      </c>
      <c r="AP1412" t="s">
        <v>4867</v>
      </c>
      <c r="AQ1412" t="s">
        <v>4868</v>
      </c>
      <c r="AR1412" t="s">
        <v>6736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BC1412" t="s">
        <v>69</v>
      </c>
      <c r="BD1412" t="s">
        <v>4869</v>
      </c>
      <c r="BE1412">
        <v>0</v>
      </c>
      <c r="BG1412" t="s">
        <v>4868</v>
      </c>
      <c r="BJ1412" t="s">
        <v>4870</v>
      </c>
    </row>
    <row r="1413" spans="1:62" x14ac:dyDescent="0.35">
      <c r="A1413" t="s">
        <v>4871</v>
      </c>
      <c r="B1413">
        <v>10000</v>
      </c>
      <c r="C1413">
        <v>10000</v>
      </c>
      <c r="D1413" s="2">
        <v>45742</v>
      </c>
      <c r="E1413" t="s">
        <v>61</v>
      </c>
      <c r="F1413" t="s">
        <v>1180</v>
      </c>
      <c r="G1413" t="s">
        <v>4865</v>
      </c>
      <c r="I1413">
        <v>1</v>
      </c>
      <c r="J1413" t="s">
        <v>63</v>
      </c>
      <c r="K1413" s="8">
        <v>88</v>
      </c>
      <c r="L1413" s="8" t="s">
        <v>6610</v>
      </c>
      <c r="M1413" s="8" t="s">
        <v>6631</v>
      </c>
      <c r="N1413" t="s">
        <v>630</v>
      </c>
      <c r="O1413" t="s">
        <v>6571</v>
      </c>
      <c r="P1413" s="4">
        <v>1800</v>
      </c>
      <c r="S1413" s="2">
        <v>45737</v>
      </c>
      <c r="U1413">
        <v>3</v>
      </c>
      <c r="V1413" s="4">
        <v>5400</v>
      </c>
      <c r="W1413" t="s">
        <v>65</v>
      </c>
      <c r="X1413" t="s">
        <v>4872</v>
      </c>
      <c r="Y1413">
        <v>0</v>
      </c>
      <c r="Z1413" s="4">
        <v>5000</v>
      </c>
      <c r="AA1413">
        <v>400</v>
      </c>
      <c r="AB1413">
        <v>0</v>
      </c>
      <c r="AC1413">
        <v>0</v>
      </c>
      <c r="AD1413">
        <v>0</v>
      </c>
      <c r="AG1413">
        <v>0</v>
      </c>
      <c r="AP1413" t="s">
        <v>4873</v>
      </c>
      <c r="AQ1413" t="s">
        <v>4868</v>
      </c>
      <c r="AR1413" t="s">
        <v>6736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BC1413" t="s">
        <v>69</v>
      </c>
      <c r="BD1413" t="s">
        <v>4874</v>
      </c>
      <c r="BE1413">
        <v>0</v>
      </c>
      <c r="BG1413" t="s">
        <v>4868</v>
      </c>
      <c r="BJ1413" t="s">
        <v>4870</v>
      </c>
    </row>
    <row r="1414" spans="1:62" x14ac:dyDescent="0.35">
      <c r="A1414" t="s">
        <v>4875</v>
      </c>
      <c r="B1414">
        <v>10000</v>
      </c>
      <c r="C1414">
        <v>10000</v>
      </c>
      <c r="D1414" s="2">
        <v>45742</v>
      </c>
      <c r="E1414" t="s">
        <v>61</v>
      </c>
      <c r="F1414" t="s">
        <v>4876</v>
      </c>
      <c r="G1414" t="s">
        <v>4865</v>
      </c>
      <c r="I1414">
        <v>1</v>
      </c>
      <c r="J1414" t="s">
        <v>63</v>
      </c>
      <c r="K1414" s="8">
        <v>88</v>
      </c>
      <c r="L1414" s="8" t="s">
        <v>6610</v>
      </c>
      <c r="M1414" s="8" t="s">
        <v>6631</v>
      </c>
      <c r="N1414" t="s">
        <v>630</v>
      </c>
      <c r="O1414" t="s">
        <v>6571</v>
      </c>
      <c r="P1414" s="4">
        <v>1800</v>
      </c>
      <c r="S1414" s="2">
        <v>45737</v>
      </c>
      <c r="U1414">
        <v>3</v>
      </c>
      <c r="V1414" s="4">
        <v>5400</v>
      </c>
      <c r="W1414" t="s">
        <v>65</v>
      </c>
      <c r="X1414" t="s">
        <v>4877</v>
      </c>
      <c r="Y1414">
        <v>0</v>
      </c>
      <c r="Z1414" s="4">
        <v>5000</v>
      </c>
      <c r="AA1414">
        <v>400</v>
      </c>
      <c r="AB1414">
        <v>0</v>
      </c>
      <c r="AC1414">
        <v>0</v>
      </c>
      <c r="AD1414">
        <v>0</v>
      </c>
      <c r="AG1414">
        <v>0</v>
      </c>
      <c r="AP1414" t="s">
        <v>4878</v>
      </c>
      <c r="AQ1414" t="s">
        <v>4868</v>
      </c>
      <c r="AR1414" t="s">
        <v>6736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BC1414" t="s">
        <v>69</v>
      </c>
      <c r="BD1414" t="s">
        <v>4879</v>
      </c>
      <c r="BE1414">
        <v>0</v>
      </c>
      <c r="BG1414" t="s">
        <v>4868</v>
      </c>
      <c r="BJ1414" t="s">
        <v>4870</v>
      </c>
    </row>
    <row r="1415" spans="1:62" x14ac:dyDescent="0.35">
      <c r="A1415" t="s">
        <v>4880</v>
      </c>
      <c r="B1415">
        <v>10000</v>
      </c>
      <c r="C1415">
        <v>10000</v>
      </c>
      <c r="D1415" s="2">
        <v>45742</v>
      </c>
      <c r="E1415" t="s">
        <v>61</v>
      </c>
      <c r="F1415" t="s">
        <v>1363</v>
      </c>
      <c r="G1415" t="s">
        <v>4865</v>
      </c>
      <c r="I1415">
        <v>1</v>
      </c>
      <c r="J1415" t="s">
        <v>63</v>
      </c>
      <c r="K1415" s="8">
        <v>88</v>
      </c>
      <c r="L1415" s="8" t="s">
        <v>6610</v>
      </c>
      <c r="M1415" s="8" t="s">
        <v>6631</v>
      </c>
      <c r="N1415" t="s">
        <v>630</v>
      </c>
      <c r="O1415" t="s">
        <v>6571</v>
      </c>
      <c r="P1415" s="4">
        <v>1800</v>
      </c>
      <c r="S1415" s="2">
        <v>45737</v>
      </c>
      <c r="U1415">
        <v>3</v>
      </c>
      <c r="V1415" s="4">
        <v>5400</v>
      </c>
      <c r="W1415" t="s">
        <v>65</v>
      </c>
      <c r="X1415" t="s">
        <v>4881</v>
      </c>
      <c r="Y1415">
        <v>0</v>
      </c>
      <c r="Z1415" s="4">
        <v>5000</v>
      </c>
      <c r="AA1415">
        <v>400</v>
      </c>
      <c r="AB1415">
        <v>0</v>
      </c>
      <c r="AC1415">
        <v>0</v>
      </c>
      <c r="AD1415">
        <v>0</v>
      </c>
      <c r="AG1415">
        <v>0</v>
      </c>
      <c r="AP1415" t="s">
        <v>4882</v>
      </c>
      <c r="AQ1415" t="s">
        <v>4868</v>
      </c>
      <c r="AR1415" t="s">
        <v>6736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BC1415" t="s">
        <v>69</v>
      </c>
      <c r="BD1415" t="s">
        <v>4883</v>
      </c>
      <c r="BE1415">
        <v>0</v>
      </c>
      <c r="BG1415" t="s">
        <v>4868</v>
      </c>
      <c r="BJ1415" t="s">
        <v>4870</v>
      </c>
    </row>
    <row r="1416" spans="1:62" x14ac:dyDescent="0.35">
      <c r="A1416" t="s">
        <v>4884</v>
      </c>
      <c r="B1416">
        <v>10000</v>
      </c>
      <c r="C1416">
        <v>10000</v>
      </c>
      <c r="D1416" s="2">
        <v>45742</v>
      </c>
      <c r="E1416" t="s">
        <v>61</v>
      </c>
      <c r="F1416" t="s">
        <v>1345</v>
      </c>
      <c r="G1416" t="s">
        <v>4865</v>
      </c>
      <c r="I1416">
        <v>1</v>
      </c>
      <c r="J1416" t="s">
        <v>63</v>
      </c>
      <c r="K1416" s="8">
        <v>88</v>
      </c>
      <c r="L1416" s="8" t="s">
        <v>6610</v>
      </c>
      <c r="M1416" s="8" t="s">
        <v>6631</v>
      </c>
      <c r="N1416" t="s">
        <v>630</v>
      </c>
      <c r="O1416" t="s">
        <v>6571</v>
      </c>
      <c r="P1416" s="4">
        <v>1800</v>
      </c>
      <c r="S1416" s="2">
        <v>45737</v>
      </c>
      <c r="U1416">
        <v>3</v>
      </c>
      <c r="V1416" s="4">
        <v>5400</v>
      </c>
      <c r="W1416" t="s">
        <v>65</v>
      </c>
      <c r="X1416" t="s">
        <v>4885</v>
      </c>
      <c r="Y1416">
        <v>0</v>
      </c>
      <c r="Z1416" s="4">
        <v>5000</v>
      </c>
      <c r="AA1416">
        <v>400</v>
      </c>
      <c r="AB1416">
        <v>0</v>
      </c>
      <c r="AC1416">
        <v>0</v>
      </c>
      <c r="AD1416">
        <v>0</v>
      </c>
      <c r="AG1416">
        <v>0</v>
      </c>
      <c r="AP1416" t="s">
        <v>4886</v>
      </c>
      <c r="AQ1416" t="s">
        <v>4868</v>
      </c>
      <c r="AR1416" t="s">
        <v>6736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BC1416" t="s">
        <v>69</v>
      </c>
      <c r="BD1416" t="s">
        <v>4887</v>
      </c>
      <c r="BE1416">
        <v>0</v>
      </c>
      <c r="BG1416" t="s">
        <v>4868</v>
      </c>
      <c r="BJ1416" t="s">
        <v>4870</v>
      </c>
    </row>
    <row r="1417" spans="1:62" x14ac:dyDescent="0.35">
      <c r="A1417" t="s">
        <v>4467</v>
      </c>
      <c r="B1417">
        <v>10000</v>
      </c>
      <c r="C1417">
        <v>20000</v>
      </c>
      <c r="D1417" s="2">
        <v>45740</v>
      </c>
      <c r="E1417" t="s">
        <v>61</v>
      </c>
      <c r="F1417" t="s">
        <v>4468</v>
      </c>
      <c r="G1417">
        <v>10620258039</v>
      </c>
      <c r="I1417">
        <v>2</v>
      </c>
      <c r="J1417" t="s">
        <v>63</v>
      </c>
      <c r="K1417" s="8">
        <v>77</v>
      </c>
      <c r="L1417" s="8" t="s">
        <v>6584</v>
      </c>
      <c r="M1417" s="8" t="s">
        <v>6627</v>
      </c>
      <c r="N1417" t="s">
        <v>127</v>
      </c>
      <c r="O1417" t="s">
        <v>6567</v>
      </c>
      <c r="P1417">
        <v>367</v>
      </c>
      <c r="Q1417">
        <f>(P1417/60)+45</f>
        <v>51.116666666666667</v>
      </c>
      <c r="R1417">
        <f>Q1417/60</f>
        <v>0.8519444444444445</v>
      </c>
      <c r="S1417" s="2">
        <v>45737</v>
      </c>
      <c r="U1417">
        <v>15</v>
      </c>
      <c r="V1417" s="4">
        <v>5505</v>
      </c>
      <c r="W1417" t="s">
        <v>65</v>
      </c>
      <c r="X1417" t="s">
        <v>4469</v>
      </c>
      <c r="Y1417">
        <v>0</v>
      </c>
      <c r="Z1417" s="4">
        <v>3000</v>
      </c>
      <c r="AA1417" s="4">
        <v>2505</v>
      </c>
      <c r="AB1417">
        <v>0</v>
      </c>
      <c r="AC1417">
        <v>0</v>
      </c>
      <c r="AD1417">
        <v>0</v>
      </c>
      <c r="AG1417">
        <v>0</v>
      </c>
      <c r="AP1417" t="s">
        <v>4470</v>
      </c>
      <c r="AQ1417" t="s">
        <v>68</v>
      </c>
      <c r="AR1417" t="s">
        <v>6636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BC1417" t="s">
        <v>69</v>
      </c>
      <c r="BD1417" t="s">
        <v>4471</v>
      </c>
      <c r="BE1417">
        <v>0</v>
      </c>
      <c r="BG1417" t="s">
        <v>68</v>
      </c>
      <c r="BJ1417" t="s">
        <v>4472</v>
      </c>
    </row>
    <row r="1418" spans="1:62" x14ac:dyDescent="0.35">
      <c r="A1418" t="s">
        <v>4642</v>
      </c>
      <c r="B1418">
        <v>10000</v>
      </c>
      <c r="C1418">
        <v>20000</v>
      </c>
      <c r="D1418" s="2">
        <v>45737</v>
      </c>
      <c r="E1418" t="s">
        <v>61</v>
      </c>
      <c r="F1418" t="s">
        <v>4643</v>
      </c>
      <c r="G1418">
        <v>310180293</v>
      </c>
      <c r="I1418">
        <v>2</v>
      </c>
      <c r="J1418" t="s">
        <v>63</v>
      </c>
      <c r="K1418" s="8">
        <v>92</v>
      </c>
      <c r="L1418" s="8" t="s">
        <v>6614</v>
      </c>
      <c r="M1418" s="8" t="s">
        <v>6633</v>
      </c>
      <c r="N1418" t="s">
        <v>424</v>
      </c>
      <c r="O1418" t="s">
        <v>6570</v>
      </c>
      <c r="P1418">
        <v>10</v>
      </c>
      <c r="S1418" s="2">
        <v>45737</v>
      </c>
      <c r="U1418">
        <v>1</v>
      </c>
      <c r="V1418">
        <v>10</v>
      </c>
      <c r="W1418" t="s">
        <v>65</v>
      </c>
      <c r="X1418" t="s">
        <v>4644</v>
      </c>
      <c r="Y1418">
        <v>0</v>
      </c>
      <c r="Z1418">
        <v>50</v>
      </c>
      <c r="AA1418">
        <v>-40</v>
      </c>
      <c r="AB1418">
        <v>0</v>
      </c>
      <c r="AC1418">
        <v>0</v>
      </c>
      <c r="AD1418">
        <v>0</v>
      </c>
      <c r="AG1418">
        <v>0</v>
      </c>
      <c r="AP1418" t="s">
        <v>4645</v>
      </c>
      <c r="AQ1418" t="s">
        <v>3041</v>
      </c>
      <c r="AR1418" t="s">
        <v>6712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BC1418" t="s">
        <v>69</v>
      </c>
      <c r="BD1418" t="s">
        <v>4646</v>
      </c>
      <c r="BE1418">
        <v>0</v>
      </c>
      <c r="BG1418" t="s">
        <v>3041</v>
      </c>
      <c r="BJ1418" t="s">
        <v>4647</v>
      </c>
    </row>
    <row r="1419" spans="1:62" x14ac:dyDescent="0.35">
      <c r="A1419" t="s">
        <v>4888</v>
      </c>
      <c r="B1419">
        <v>10000</v>
      </c>
      <c r="C1419">
        <v>10000</v>
      </c>
      <c r="D1419" s="2">
        <v>45741</v>
      </c>
      <c r="E1419" t="s">
        <v>61</v>
      </c>
      <c r="F1419" t="s">
        <v>4889</v>
      </c>
      <c r="G1419" t="s">
        <v>4890</v>
      </c>
      <c r="I1419">
        <v>1</v>
      </c>
      <c r="J1419" t="s">
        <v>63</v>
      </c>
      <c r="K1419" s="8">
        <v>78</v>
      </c>
      <c r="L1419" s="8" t="s">
        <v>6593</v>
      </c>
      <c r="M1419" s="8" t="s">
        <v>6629</v>
      </c>
      <c r="N1419" t="s">
        <v>188</v>
      </c>
      <c r="O1419" t="s">
        <v>6410</v>
      </c>
      <c r="P1419" s="4">
        <v>1500</v>
      </c>
      <c r="Q1419">
        <f t="shared" ref="Q1419:Q1422" si="367">(P1419/40)+45</f>
        <v>82.5</v>
      </c>
      <c r="R1419">
        <f t="shared" ref="R1419:R1422" si="368">Q1419/60</f>
        <v>1.375</v>
      </c>
      <c r="S1419" s="2">
        <v>45737</v>
      </c>
      <c r="U1419">
        <v>16</v>
      </c>
      <c r="V1419" s="4">
        <v>24000</v>
      </c>
      <c r="W1419" t="s">
        <v>65</v>
      </c>
      <c r="X1419" t="s">
        <v>4891</v>
      </c>
      <c r="Y1419">
        <v>0</v>
      </c>
      <c r="Z1419" s="4">
        <v>20000</v>
      </c>
      <c r="AA1419" s="4">
        <v>4000</v>
      </c>
      <c r="AB1419">
        <v>0</v>
      </c>
      <c r="AC1419">
        <v>0</v>
      </c>
      <c r="AD1419">
        <v>0</v>
      </c>
      <c r="AG1419">
        <v>0</v>
      </c>
      <c r="AP1419" t="s">
        <v>4892</v>
      </c>
      <c r="AQ1419" t="s">
        <v>157</v>
      </c>
      <c r="AR1419" t="s">
        <v>6640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BC1419" t="s">
        <v>69</v>
      </c>
      <c r="BD1419" t="s">
        <v>4893</v>
      </c>
      <c r="BE1419">
        <v>0</v>
      </c>
      <c r="BG1419" t="s">
        <v>157</v>
      </c>
      <c r="BJ1419" t="s">
        <v>4894</v>
      </c>
    </row>
    <row r="1420" spans="1:62" x14ac:dyDescent="0.35">
      <c r="A1420" t="s">
        <v>4895</v>
      </c>
      <c r="B1420">
        <v>10000</v>
      </c>
      <c r="C1420">
        <v>10000</v>
      </c>
      <c r="D1420" s="2">
        <v>45740</v>
      </c>
      <c r="E1420" t="s">
        <v>61</v>
      </c>
      <c r="F1420" t="s">
        <v>4896</v>
      </c>
      <c r="G1420" t="s">
        <v>4897</v>
      </c>
      <c r="I1420">
        <v>1</v>
      </c>
      <c r="J1420" t="s">
        <v>63</v>
      </c>
      <c r="K1420" s="8">
        <v>78</v>
      </c>
      <c r="L1420" s="8" t="s">
        <v>6593</v>
      </c>
      <c r="M1420" s="8" t="s">
        <v>6629</v>
      </c>
      <c r="N1420" t="s">
        <v>188</v>
      </c>
      <c r="O1420" t="s">
        <v>6410</v>
      </c>
      <c r="P1420" s="4">
        <v>2750</v>
      </c>
      <c r="Q1420">
        <f t="shared" si="367"/>
        <v>113.75</v>
      </c>
      <c r="R1420">
        <f t="shared" si="368"/>
        <v>1.8958333333333333</v>
      </c>
      <c r="S1420" s="2">
        <v>45737</v>
      </c>
      <c r="U1420">
        <v>16</v>
      </c>
      <c r="V1420" s="4">
        <v>44000</v>
      </c>
      <c r="W1420" t="s">
        <v>65</v>
      </c>
      <c r="X1420" t="s">
        <v>2865</v>
      </c>
      <c r="Y1420">
        <v>0</v>
      </c>
      <c r="Z1420" s="4">
        <v>40000</v>
      </c>
      <c r="AA1420" s="4">
        <v>4000</v>
      </c>
      <c r="AB1420">
        <v>0</v>
      </c>
      <c r="AC1420">
        <v>0</v>
      </c>
      <c r="AD1420">
        <v>0</v>
      </c>
      <c r="AG1420">
        <v>0</v>
      </c>
      <c r="AP1420" t="s">
        <v>2866</v>
      </c>
      <c r="AQ1420" t="s">
        <v>157</v>
      </c>
      <c r="AR1420" t="s">
        <v>6640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BC1420" t="s">
        <v>69</v>
      </c>
      <c r="BD1420" t="s">
        <v>4898</v>
      </c>
      <c r="BE1420">
        <v>0</v>
      </c>
      <c r="BG1420" t="s">
        <v>157</v>
      </c>
      <c r="BJ1420" t="s">
        <v>4899</v>
      </c>
    </row>
    <row r="1421" spans="1:62" x14ac:dyDescent="0.35">
      <c r="A1421" t="s">
        <v>4900</v>
      </c>
      <c r="B1421">
        <v>10000</v>
      </c>
      <c r="C1421">
        <v>10000</v>
      </c>
      <c r="D1421" s="2">
        <v>45740</v>
      </c>
      <c r="E1421" t="s">
        <v>61</v>
      </c>
      <c r="F1421" t="s">
        <v>4901</v>
      </c>
      <c r="G1421" t="s">
        <v>2289</v>
      </c>
      <c r="I1421">
        <v>1</v>
      </c>
      <c r="J1421" t="s">
        <v>63</v>
      </c>
      <c r="K1421" s="8">
        <v>78</v>
      </c>
      <c r="L1421" s="8" t="s">
        <v>6593</v>
      </c>
      <c r="M1421" s="8" t="s">
        <v>6629</v>
      </c>
      <c r="N1421" t="s">
        <v>188</v>
      </c>
      <c r="O1421" t="s">
        <v>6410</v>
      </c>
      <c r="P1421" s="4">
        <v>2750</v>
      </c>
      <c r="Q1421">
        <f t="shared" si="367"/>
        <v>113.75</v>
      </c>
      <c r="R1421">
        <f t="shared" si="368"/>
        <v>1.8958333333333333</v>
      </c>
      <c r="S1421" s="2">
        <v>45737</v>
      </c>
      <c r="U1421">
        <v>16</v>
      </c>
      <c r="V1421" s="4">
        <v>44000</v>
      </c>
      <c r="W1421" t="s">
        <v>65</v>
      </c>
      <c r="X1421" t="s">
        <v>2290</v>
      </c>
      <c r="Y1421">
        <v>0</v>
      </c>
      <c r="Z1421" s="4">
        <v>40000</v>
      </c>
      <c r="AA1421" s="4">
        <v>4000</v>
      </c>
      <c r="AB1421">
        <v>0</v>
      </c>
      <c r="AC1421">
        <v>0</v>
      </c>
      <c r="AD1421">
        <v>0</v>
      </c>
      <c r="AG1421">
        <v>0</v>
      </c>
      <c r="AP1421" t="s">
        <v>2291</v>
      </c>
      <c r="AQ1421" t="s">
        <v>157</v>
      </c>
      <c r="AR1421" t="s">
        <v>6640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BC1421" t="s">
        <v>69</v>
      </c>
      <c r="BD1421" t="s">
        <v>4902</v>
      </c>
      <c r="BE1421">
        <v>0</v>
      </c>
      <c r="BG1421" t="s">
        <v>157</v>
      </c>
      <c r="BJ1421" t="s">
        <v>4903</v>
      </c>
    </row>
    <row r="1422" spans="1:62" x14ac:dyDescent="0.35">
      <c r="A1422" t="s">
        <v>4904</v>
      </c>
      <c r="B1422">
        <v>10000</v>
      </c>
      <c r="C1422">
        <v>10000</v>
      </c>
      <c r="D1422" s="2">
        <v>45741</v>
      </c>
      <c r="E1422" t="s">
        <v>61</v>
      </c>
      <c r="F1422" t="s">
        <v>2457</v>
      </c>
      <c r="G1422" t="s">
        <v>2289</v>
      </c>
      <c r="I1422">
        <v>1</v>
      </c>
      <c r="J1422" t="s">
        <v>63</v>
      </c>
      <c r="K1422" s="8">
        <v>78</v>
      </c>
      <c r="L1422" s="8" t="s">
        <v>6593</v>
      </c>
      <c r="M1422" s="8" t="s">
        <v>6629</v>
      </c>
      <c r="N1422" t="s">
        <v>188</v>
      </c>
      <c r="O1422" t="s">
        <v>6410</v>
      </c>
      <c r="P1422" s="4">
        <v>2750</v>
      </c>
      <c r="Q1422">
        <f t="shared" si="367"/>
        <v>113.75</v>
      </c>
      <c r="R1422">
        <f t="shared" si="368"/>
        <v>1.8958333333333333</v>
      </c>
      <c r="S1422" s="2">
        <v>45737</v>
      </c>
      <c r="U1422">
        <v>16</v>
      </c>
      <c r="V1422" s="4">
        <v>44000</v>
      </c>
      <c r="W1422" t="s">
        <v>65</v>
      </c>
      <c r="X1422" t="s">
        <v>2290</v>
      </c>
      <c r="Y1422">
        <v>0</v>
      </c>
      <c r="Z1422" s="4">
        <v>40000</v>
      </c>
      <c r="AA1422" s="4">
        <v>4000</v>
      </c>
      <c r="AB1422">
        <v>0</v>
      </c>
      <c r="AC1422">
        <v>0</v>
      </c>
      <c r="AD1422">
        <v>0</v>
      </c>
      <c r="AG1422">
        <v>0</v>
      </c>
      <c r="AP1422" t="s">
        <v>2291</v>
      </c>
      <c r="AQ1422" t="s">
        <v>157</v>
      </c>
      <c r="AR1422" t="s">
        <v>6640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BC1422" t="s">
        <v>69</v>
      </c>
      <c r="BD1422" t="s">
        <v>4905</v>
      </c>
      <c r="BE1422">
        <v>0</v>
      </c>
      <c r="BG1422" t="s">
        <v>157</v>
      </c>
      <c r="BJ1422" t="s">
        <v>4906</v>
      </c>
    </row>
    <row r="1423" spans="1:62" x14ac:dyDescent="0.35">
      <c r="A1423" t="s">
        <v>4907</v>
      </c>
      <c r="B1423">
        <v>10000</v>
      </c>
      <c r="C1423">
        <v>10000</v>
      </c>
      <c r="D1423" s="2">
        <v>45742</v>
      </c>
      <c r="E1423" t="s">
        <v>61</v>
      </c>
      <c r="F1423" s="3">
        <v>0.42465277777777777</v>
      </c>
      <c r="G1423">
        <v>860909190840</v>
      </c>
      <c r="I1423">
        <v>1</v>
      </c>
      <c r="J1423" t="s">
        <v>63</v>
      </c>
      <c r="K1423" s="8">
        <v>79</v>
      </c>
      <c r="L1423" s="8" t="s">
        <v>6608</v>
      </c>
      <c r="M1423" s="8" t="s">
        <v>6631</v>
      </c>
      <c r="N1423" t="s">
        <v>573</v>
      </c>
      <c r="O1423" t="s">
        <v>6547</v>
      </c>
      <c r="P1423">
        <v>71</v>
      </c>
      <c r="Q1423">
        <f>(P1423/20)+30</f>
        <v>33.549999999999997</v>
      </c>
      <c r="R1423">
        <f>Q1423/60</f>
        <v>0.55916666666666659</v>
      </c>
      <c r="S1423" s="2">
        <v>45737</v>
      </c>
      <c r="U1423">
        <v>64</v>
      </c>
      <c r="V1423" s="4">
        <v>4544</v>
      </c>
      <c r="W1423" t="s">
        <v>65</v>
      </c>
      <c r="X1423">
        <v>200641280001</v>
      </c>
      <c r="Y1423">
        <v>0</v>
      </c>
      <c r="Z1423" s="4">
        <v>6000</v>
      </c>
      <c r="AA1423" s="4">
        <v>-1456</v>
      </c>
      <c r="AB1423">
        <v>0</v>
      </c>
      <c r="AC1423">
        <v>0</v>
      </c>
      <c r="AD1423">
        <v>0</v>
      </c>
      <c r="AG1423">
        <v>0</v>
      </c>
      <c r="AP1423">
        <v>20064128</v>
      </c>
      <c r="AQ1423" t="s">
        <v>182</v>
      </c>
      <c r="AR1423" t="s">
        <v>6643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BC1423" t="s">
        <v>69</v>
      </c>
      <c r="BD1423" t="s">
        <v>4908</v>
      </c>
      <c r="BE1423">
        <v>0</v>
      </c>
      <c r="BG1423" t="s">
        <v>182</v>
      </c>
      <c r="BJ1423" t="s">
        <v>4909</v>
      </c>
    </row>
    <row r="1424" spans="1:62" x14ac:dyDescent="0.35">
      <c r="A1424" t="s">
        <v>4910</v>
      </c>
      <c r="B1424">
        <v>10000</v>
      </c>
      <c r="C1424">
        <v>10000</v>
      </c>
      <c r="D1424" s="2">
        <v>45737</v>
      </c>
      <c r="E1424" t="s">
        <v>61</v>
      </c>
      <c r="F1424" t="s">
        <v>4768</v>
      </c>
      <c r="G1424" t="s">
        <v>4911</v>
      </c>
      <c r="I1424">
        <v>1</v>
      </c>
      <c r="J1424" t="s">
        <v>63</v>
      </c>
      <c r="K1424" s="8">
        <v>65</v>
      </c>
      <c r="L1424" s="8" t="s">
        <v>6596</v>
      </c>
      <c r="M1424" s="8" t="s">
        <v>6630</v>
      </c>
      <c r="N1424" t="s">
        <v>268</v>
      </c>
      <c r="O1424" t="s">
        <v>6543</v>
      </c>
      <c r="P1424">
        <v>560</v>
      </c>
      <c r="Q1424">
        <f t="shared" ref="Q1424:Q1425" si="369">(P1424/40)+45</f>
        <v>59</v>
      </c>
      <c r="R1424">
        <f t="shared" ref="R1424:R1425" si="370">Q1424/60</f>
        <v>0.98333333333333328</v>
      </c>
      <c r="S1424" s="2">
        <v>45737</v>
      </c>
      <c r="U1424">
        <v>44</v>
      </c>
      <c r="V1424" s="4">
        <v>24640</v>
      </c>
      <c r="W1424" t="s">
        <v>65</v>
      </c>
      <c r="X1424">
        <v>111699440001</v>
      </c>
      <c r="Y1424">
        <v>0</v>
      </c>
      <c r="Z1424" s="4">
        <v>24640</v>
      </c>
      <c r="AA1424">
        <v>0</v>
      </c>
      <c r="AB1424">
        <v>0</v>
      </c>
      <c r="AC1424">
        <v>0</v>
      </c>
      <c r="AD1424">
        <v>0</v>
      </c>
      <c r="AG1424">
        <v>0</v>
      </c>
      <c r="AP1424">
        <v>11169944</v>
      </c>
      <c r="AQ1424" t="s">
        <v>182</v>
      </c>
      <c r="AR1424" t="s">
        <v>6643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BC1424" t="s">
        <v>69</v>
      </c>
      <c r="BD1424" t="s">
        <v>4912</v>
      </c>
      <c r="BE1424">
        <v>0</v>
      </c>
      <c r="BG1424" t="s">
        <v>182</v>
      </c>
      <c r="BJ1424" t="s">
        <v>4913</v>
      </c>
    </row>
    <row r="1425" spans="1:62" x14ac:dyDescent="0.35">
      <c r="A1425" t="s">
        <v>4910</v>
      </c>
      <c r="B1425">
        <v>20000</v>
      </c>
      <c r="C1425">
        <v>10000</v>
      </c>
      <c r="D1425" s="2">
        <v>45737</v>
      </c>
      <c r="E1425" t="s">
        <v>61</v>
      </c>
      <c r="F1425" t="s">
        <v>4768</v>
      </c>
      <c r="G1425" t="s">
        <v>4911</v>
      </c>
      <c r="I1425">
        <v>1</v>
      </c>
      <c r="J1425" t="s">
        <v>63</v>
      </c>
      <c r="K1425" s="8">
        <v>65</v>
      </c>
      <c r="L1425" s="8" t="s">
        <v>6596</v>
      </c>
      <c r="M1425" s="8" t="s">
        <v>6630</v>
      </c>
      <c r="N1425" t="s">
        <v>268</v>
      </c>
      <c r="O1425" t="s">
        <v>6543</v>
      </c>
      <c r="P1425">
        <v>560</v>
      </c>
      <c r="Q1425">
        <f t="shared" si="369"/>
        <v>59</v>
      </c>
      <c r="R1425">
        <f t="shared" si="370"/>
        <v>0.98333333333333328</v>
      </c>
      <c r="S1425" s="2">
        <v>45737</v>
      </c>
      <c r="U1425">
        <v>44</v>
      </c>
      <c r="V1425" s="4">
        <v>24640</v>
      </c>
      <c r="W1425" t="s">
        <v>65</v>
      </c>
      <c r="X1425">
        <v>111699440001</v>
      </c>
      <c r="Y1425">
        <v>0</v>
      </c>
      <c r="Z1425" s="4">
        <v>24640</v>
      </c>
      <c r="AA1425">
        <v>0</v>
      </c>
      <c r="AB1425">
        <v>0</v>
      </c>
      <c r="AC1425">
        <v>0</v>
      </c>
      <c r="AD1425">
        <v>0</v>
      </c>
      <c r="AG1425">
        <v>0</v>
      </c>
      <c r="AP1425">
        <v>11169944</v>
      </c>
      <c r="AQ1425" t="s">
        <v>182</v>
      </c>
      <c r="AR1425" t="s">
        <v>6643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BC1425" t="s">
        <v>69</v>
      </c>
      <c r="BD1425" t="s">
        <v>4912</v>
      </c>
      <c r="BE1425">
        <v>0</v>
      </c>
      <c r="BG1425" t="s">
        <v>182</v>
      </c>
      <c r="BJ1425" t="s">
        <v>4913</v>
      </c>
    </row>
    <row r="1426" spans="1:62" x14ac:dyDescent="0.35">
      <c r="A1426" t="s">
        <v>4914</v>
      </c>
      <c r="B1426">
        <v>10000</v>
      </c>
      <c r="C1426">
        <v>10000</v>
      </c>
      <c r="D1426" s="2">
        <v>45737</v>
      </c>
      <c r="E1426" t="s">
        <v>61</v>
      </c>
      <c r="F1426" t="s">
        <v>4733</v>
      </c>
      <c r="G1426" t="s">
        <v>4734</v>
      </c>
      <c r="I1426">
        <v>1</v>
      </c>
      <c r="J1426" t="s">
        <v>63</v>
      </c>
      <c r="K1426" s="8">
        <v>112</v>
      </c>
      <c r="L1426" s="8" t="s">
        <v>6616</v>
      </c>
      <c r="M1426" s="8" t="s">
        <v>6630</v>
      </c>
      <c r="N1426" t="s">
        <v>533</v>
      </c>
      <c r="O1426" t="s">
        <v>6572</v>
      </c>
      <c r="P1426">
        <v>13</v>
      </c>
      <c r="Q1426">
        <f>(P1426/20)+45</f>
        <v>45.65</v>
      </c>
      <c r="R1426">
        <f>Q1426/60</f>
        <v>0.76083333333333336</v>
      </c>
      <c r="S1426" s="2">
        <v>45737</v>
      </c>
      <c r="U1426">
        <v>12</v>
      </c>
      <c r="V1426">
        <v>156</v>
      </c>
      <c r="W1426" t="s">
        <v>65</v>
      </c>
      <c r="X1426" t="s">
        <v>4735</v>
      </c>
      <c r="Y1426">
        <v>0</v>
      </c>
      <c r="Z1426">
        <v>150</v>
      </c>
      <c r="AA1426">
        <v>6</v>
      </c>
      <c r="AB1426">
        <v>0</v>
      </c>
      <c r="AC1426">
        <v>0</v>
      </c>
      <c r="AD1426">
        <v>0</v>
      </c>
      <c r="AG1426">
        <v>0</v>
      </c>
      <c r="AP1426" t="s">
        <v>4736</v>
      </c>
      <c r="AQ1426" t="s">
        <v>321</v>
      </c>
      <c r="AR1426" t="s">
        <v>6652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BC1426" t="s">
        <v>69</v>
      </c>
      <c r="BD1426" t="s">
        <v>4915</v>
      </c>
      <c r="BE1426">
        <v>0</v>
      </c>
      <c r="BG1426" t="s">
        <v>321</v>
      </c>
      <c r="BJ1426" t="s">
        <v>4693</v>
      </c>
    </row>
    <row r="1427" spans="1:62" x14ac:dyDescent="0.35">
      <c r="A1427" t="s">
        <v>4916</v>
      </c>
      <c r="B1427">
        <v>10000</v>
      </c>
      <c r="C1427">
        <v>10000</v>
      </c>
      <c r="D1427" s="2">
        <v>45742</v>
      </c>
      <c r="E1427" t="s">
        <v>61</v>
      </c>
      <c r="F1427" t="s">
        <v>4917</v>
      </c>
      <c r="G1427" t="s">
        <v>4918</v>
      </c>
      <c r="I1427">
        <v>1</v>
      </c>
      <c r="J1427" t="s">
        <v>63</v>
      </c>
      <c r="K1427" s="8">
        <v>73</v>
      </c>
      <c r="L1427" s="8" t="s">
        <v>6586</v>
      </c>
      <c r="M1427" s="8" t="s">
        <v>6627</v>
      </c>
      <c r="N1427" t="s">
        <v>90</v>
      </c>
      <c r="O1427" t="s">
        <v>6564</v>
      </c>
      <c r="P1427" s="4">
        <v>87084</v>
      </c>
      <c r="Q1427">
        <f>(P1427/60)+45</f>
        <v>1496.4</v>
      </c>
      <c r="R1427">
        <f>Q1427/60</f>
        <v>24.94</v>
      </c>
      <c r="S1427" s="2">
        <v>45737</v>
      </c>
      <c r="U1427">
        <v>12</v>
      </c>
      <c r="V1427" s="4">
        <v>1045008</v>
      </c>
      <c r="W1427" t="s">
        <v>65</v>
      </c>
      <c r="X1427" t="s">
        <v>1410</v>
      </c>
      <c r="Y1427">
        <v>0</v>
      </c>
      <c r="Z1427" s="4">
        <v>1036286</v>
      </c>
      <c r="AA1427" s="4">
        <v>8722</v>
      </c>
      <c r="AB1427">
        <v>0</v>
      </c>
      <c r="AC1427">
        <v>0</v>
      </c>
      <c r="AD1427">
        <v>0</v>
      </c>
      <c r="AG1427">
        <v>0</v>
      </c>
      <c r="AP1427" t="s">
        <v>1411</v>
      </c>
      <c r="AQ1427" t="s">
        <v>321</v>
      </c>
      <c r="AR1427" t="s">
        <v>6652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BC1427" t="s">
        <v>69</v>
      </c>
      <c r="BD1427" t="s">
        <v>4919</v>
      </c>
      <c r="BE1427">
        <v>0</v>
      </c>
      <c r="BG1427" t="s">
        <v>321</v>
      </c>
      <c r="BJ1427" t="s">
        <v>4920</v>
      </c>
    </row>
    <row r="1428" spans="1:62" x14ac:dyDescent="0.35">
      <c r="A1428" t="s">
        <v>4916</v>
      </c>
      <c r="B1428">
        <v>10000</v>
      </c>
      <c r="C1428">
        <v>20000</v>
      </c>
      <c r="D1428" s="2">
        <v>45742</v>
      </c>
      <c r="E1428" t="s">
        <v>61</v>
      </c>
      <c r="F1428" t="s">
        <v>4917</v>
      </c>
      <c r="G1428" t="s">
        <v>4918</v>
      </c>
      <c r="I1428">
        <v>1</v>
      </c>
      <c r="J1428" t="s">
        <v>63</v>
      </c>
      <c r="K1428" s="8">
        <v>73</v>
      </c>
      <c r="L1428" t="s">
        <v>6586</v>
      </c>
      <c r="M1428" s="8" t="s">
        <v>6627</v>
      </c>
      <c r="N1428" t="s">
        <v>98</v>
      </c>
      <c r="O1428" t="s">
        <v>6549</v>
      </c>
      <c r="P1428" s="4">
        <v>62918</v>
      </c>
      <c r="S1428" s="2">
        <v>45737</v>
      </c>
      <c r="U1428">
        <v>12</v>
      </c>
      <c r="V1428" s="4">
        <v>755016</v>
      </c>
      <c r="W1428" t="s">
        <v>65</v>
      </c>
      <c r="X1428" t="s">
        <v>1410</v>
      </c>
      <c r="Y1428">
        <v>0</v>
      </c>
      <c r="Z1428" s="4">
        <v>748714</v>
      </c>
      <c r="AA1428" s="4">
        <v>6302</v>
      </c>
      <c r="AB1428">
        <v>0</v>
      </c>
      <c r="AC1428">
        <v>0</v>
      </c>
      <c r="AD1428">
        <v>0</v>
      </c>
      <c r="AG1428">
        <v>0</v>
      </c>
      <c r="AP1428" t="s">
        <v>1411</v>
      </c>
      <c r="AQ1428" t="s">
        <v>321</v>
      </c>
      <c r="AR1428" t="s">
        <v>6652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BC1428" t="s">
        <v>69</v>
      </c>
      <c r="BD1428" t="s">
        <v>4919</v>
      </c>
      <c r="BE1428">
        <v>0</v>
      </c>
      <c r="BG1428" t="s">
        <v>321</v>
      </c>
      <c r="BJ1428" t="s">
        <v>4920</v>
      </c>
    </row>
    <row r="1429" spans="1:62" x14ac:dyDescent="0.35">
      <c r="A1429" t="s">
        <v>4921</v>
      </c>
      <c r="B1429">
        <v>10000</v>
      </c>
      <c r="C1429">
        <v>10000</v>
      </c>
      <c r="D1429" s="2">
        <v>45740</v>
      </c>
      <c r="E1429" t="s">
        <v>61</v>
      </c>
      <c r="F1429" t="s">
        <v>4922</v>
      </c>
      <c r="G1429" t="s">
        <v>418</v>
      </c>
      <c r="I1429">
        <v>1</v>
      </c>
      <c r="J1429" t="s">
        <v>63</v>
      </c>
      <c r="K1429" s="8">
        <v>59</v>
      </c>
      <c r="L1429" s="8" t="s">
        <v>6592</v>
      </c>
      <c r="M1429" s="8" t="s">
        <v>6629</v>
      </c>
      <c r="N1429" t="s">
        <v>745</v>
      </c>
      <c r="O1429" t="s">
        <v>6501</v>
      </c>
      <c r="P1429" s="4">
        <v>1000</v>
      </c>
      <c r="Q1429">
        <f t="shared" ref="Q1429:Q1433" si="371">(P1429/40)+45</f>
        <v>70</v>
      </c>
      <c r="R1429">
        <f t="shared" ref="R1429:R1433" si="372">Q1429/60</f>
        <v>1.1666666666666667</v>
      </c>
      <c r="S1429" s="2">
        <v>45737</v>
      </c>
      <c r="U1429">
        <v>6</v>
      </c>
      <c r="V1429" s="4">
        <v>6000</v>
      </c>
      <c r="W1429" t="s">
        <v>65</v>
      </c>
      <c r="X1429" t="s">
        <v>2254</v>
      </c>
      <c r="Y1429">
        <v>0</v>
      </c>
      <c r="Z1429" s="4">
        <v>6000</v>
      </c>
      <c r="AA1429">
        <v>0</v>
      </c>
      <c r="AB1429">
        <v>0</v>
      </c>
      <c r="AC1429">
        <v>0</v>
      </c>
      <c r="AD1429">
        <v>0</v>
      </c>
      <c r="AG1429">
        <v>0</v>
      </c>
      <c r="AP1429" t="s">
        <v>2295</v>
      </c>
      <c r="AQ1429" t="s">
        <v>182</v>
      </c>
      <c r="AR1429" t="s">
        <v>6643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BC1429" t="s">
        <v>69</v>
      </c>
      <c r="BD1429" t="s">
        <v>4923</v>
      </c>
      <c r="BE1429">
        <v>0</v>
      </c>
      <c r="BG1429" t="s">
        <v>182</v>
      </c>
      <c r="BJ1429" t="s">
        <v>4924</v>
      </c>
    </row>
    <row r="1430" spans="1:62" x14ac:dyDescent="0.35">
      <c r="A1430" t="s">
        <v>4925</v>
      </c>
      <c r="B1430">
        <v>10000</v>
      </c>
      <c r="C1430">
        <v>10000</v>
      </c>
      <c r="D1430" s="2">
        <v>45740</v>
      </c>
      <c r="E1430" t="s">
        <v>61</v>
      </c>
      <c r="F1430" t="s">
        <v>4922</v>
      </c>
      <c r="G1430" t="s">
        <v>418</v>
      </c>
      <c r="I1430">
        <v>1</v>
      </c>
      <c r="J1430" t="s">
        <v>63</v>
      </c>
      <c r="K1430" s="8">
        <v>59</v>
      </c>
      <c r="L1430" s="8" t="s">
        <v>6592</v>
      </c>
      <c r="M1430" s="8" t="s">
        <v>6629</v>
      </c>
      <c r="N1430" t="s">
        <v>745</v>
      </c>
      <c r="O1430" t="s">
        <v>6501</v>
      </c>
      <c r="P1430" s="4">
        <v>1000</v>
      </c>
      <c r="Q1430">
        <f t="shared" si="371"/>
        <v>70</v>
      </c>
      <c r="R1430">
        <f t="shared" si="372"/>
        <v>1.1666666666666667</v>
      </c>
      <c r="S1430" s="2">
        <v>45737</v>
      </c>
      <c r="U1430">
        <v>6</v>
      </c>
      <c r="V1430" s="4">
        <v>6000</v>
      </c>
      <c r="W1430" t="s">
        <v>65</v>
      </c>
      <c r="X1430" t="s">
        <v>2254</v>
      </c>
      <c r="Y1430">
        <v>0</v>
      </c>
      <c r="Z1430" s="4">
        <v>6000</v>
      </c>
      <c r="AA1430">
        <v>0</v>
      </c>
      <c r="AB1430">
        <v>0</v>
      </c>
      <c r="AC1430">
        <v>0</v>
      </c>
      <c r="AD1430">
        <v>0</v>
      </c>
      <c r="AG1430">
        <v>0</v>
      </c>
      <c r="AP1430" t="s">
        <v>2295</v>
      </c>
      <c r="AQ1430" t="s">
        <v>182</v>
      </c>
      <c r="AR1430" t="s">
        <v>6643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BC1430" t="s">
        <v>69</v>
      </c>
      <c r="BD1430" t="s">
        <v>4926</v>
      </c>
      <c r="BE1430">
        <v>0</v>
      </c>
      <c r="BG1430" t="s">
        <v>182</v>
      </c>
      <c r="BJ1430" t="s">
        <v>4927</v>
      </c>
    </row>
    <row r="1431" spans="1:62" x14ac:dyDescent="0.35">
      <c r="A1431" t="s">
        <v>4928</v>
      </c>
      <c r="B1431">
        <v>10000</v>
      </c>
      <c r="C1431">
        <v>10000</v>
      </c>
      <c r="D1431" s="2">
        <v>45737</v>
      </c>
      <c r="E1431" t="s">
        <v>61</v>
      </c>
      <c r="F1431" t="s">
        <v>4768</v>
      </c>
      <c r="G1431" t="s">
        <v>4911</v>
      </c>
      <c r="I1431">
        <v>1</v>
      </c>
      <c r="J1431" t="s">
        <v>63</v>
      </c>
      <c r="K1431" s="8">
        <v>65</v>
      </c>
      <c r="L1431" s="8" t="s">
        <v>6596</v>
      </c>
      <c r="M1431" s="8" t="s">
        <v>6630</v>
      </c>
      <c r="N1431" t="s">
        <v>268</v>
      </c>
      <c r="O1431" t="s">
        <v>6543</v>
      </c>
      <c r="P1431">
        <v>560</v>
      </c>
      <c r="Q1431">
        <f t="shared" si="371"/>
        <v>59</v>
      </c>
      <c r="R1431">
        <f t="shared" si="372"/>
        <v>0.98333333333333328</v>
      </c>
      <c r="S1431" s="2">
        <v>45737</v>
      </c>
      <c r="U1431">
        <v>44</v>
      </c>
      <c r="V1431" s="4">
        <v>24640</v>
      </c>
      <c r="W1431" t="s">
        <v>65</v>
      </c>
      <c r="X1431">
        <v>111699440001</v>
      </c>
      <c r="Y1431">
        <v>0</v>
      </c>
      <c r="Z1431" s="4">
        <v>24640</v>
      </c>
      <c r="AA1431">
        <v>0</v>
      </c>
      <c r="AB1431">
        <v>0</v>
      </c>
      <c r="AC1431">
        <v>0</v>
      </c>
      <c r="AD1431">
        <v>0</v>
      </c>
      <c r="AG1431">
        <v>0</v>
      </c>
      <c r="AP1431">
        <v>11169944</v>
      </c>
      <c r="AQ1431" t="s">
        <v>182</v>
      </c>
      <c r="AR1431" t="s">
        <v>6643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BC1431" t="s">
        <v>69</v>
      </c>
      <c r="BD1431" t="s">
        <v>4929</v>
      </c>
      <c r="BE1431">
        <v>0</v>
      </c>
      <c r="BG1431" t="s">
        <v>182</v>
      </c>
      <c r="BJ1431" t="s">
        <v>4930</v>
      </c>
    </row>
    <row r="1432" spans="1:62" x14ac:dyDescent="0.35">
      <c r="A1432" t="s">
        <v>4928</v>
      </c>
      <c r="B1432">
        <v>20000</v>
      </c>
      <c r="C1432">
        <v>10000</v>
      </c>
      <c r="D1432" s="2">
        <v>45737</v>
      </c>
      <c r="E1432" t="s">
        <v>61</v>
      </c>
      <c r="F1432" t="s">
        <v>4768</v>
      </c>
      <c r="G1432" t="s">
        <v>4911</v>
      </c>
      <c r="I1432">
        <v>1</v>
      </c>
      <c r="J1432" t="s">
        <v>63</v>
      </c>
      <c r="K1432" s="8">
        <v>65</v>
      </c>
      <c r="L1432" s="8" t="s">
        <v>6596</v>
      </c>
      <c r="M1432" s="8" t="s">
        <v>6630</v>
      </c>
      <c r="N1432" t="s">
        <v>268</v>
      </c>
      <c r="O1432" t="s">
        <v>6543</v>
      </c>
      <c r="P1432">
        <v>560</v>
      </c>
      <c r="Q1432">
        <f t="shared" si="371"/>
        <v>59</v>
      </c>
      <c r="R1432">
        <f t="shared" si="372"/>
        <v>0.98333333333333328</v>
      </c>
      <c r="S1432" s="2">
        <v>45737</v>
      </c>
      <c r="U1432">
        <v>44</v>
      </c>
      <c r="V1432" s="4">
        <v>24640</v>
      </c>
      <c r="W1432" t="s">
        <v>65</v>
      </c>
      <c r="X1432">
        <v>111699440001</v>
      </c>
      <c r="Y1432">
        <v>0</v>
      </c>
      <c r="Z1432" s="4">
        <v>24640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>
        <v>11169944</v>
      </c>
      <c r="AQ1432" t="s">
        <v>182</v>
      </c>
      <c r="AR1432" t="s">
        <v>6643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BC1432" t="s">
        <v>69</v>
      </c>
      <c r="BD1432" t="s">
        <v>4929</v>
      </c>
      <c r="BE1432">
        <v>0</v>
      </c>
      <c r="BG1432" t="s">
        <v>182</v>
      </c>
      <c r="BJ1432" t="s">
        <v>4930</v>
      </c>
    </row>
    <row r="1433" spans="1:62" x14ac:dyDescent="0.35">
      <c r="A1433" t="s">
        <v>4931</v>
      </c>
      <c r="B1433">
        <v>10000</v>
      </c>
      <c r="C1433">
        <v>10000</v>
      </c>
      <c r="D1433" s="2">
        <v>45737</v>
      </c>
      <c r="E1433" t="s">
        <v>61</v>
      </c>
      <c r="F1433" t="s">
        <v>4774</v>
      </c>
      <c r="G1433" t="s">
        <v>418</v>
      </c>
      <c r="I1433">
        <v>1</v>
      </c>
      <c r="J1433" t="s">
        <v>63</v>
      </c>
      <c r="K1433" s="8">
        <v>59</v>
      </c>
      <c r="L1433" s="8" t="s">
        <v>6592</v>
      </c>
      <c r="M1433" s="8" t="s">
        <v>6629</v>
      </c>
      <c r="N1433" t="s">
        <v>745</v>
      </c>
      <c r="O1433" t="s">
        <v>6501</v>
      </c>
      <c r="P1433" s="4">
        <v>1000</v>
      </c>
      <c r="Q1433">
        <f t="shared" si="371"/>
        <v>70</v>
      </c>
      <c r="R1433">
        <f t="shared" si="372"/>
        <v>1.1666666666666667</v>
      </c>
      <c r="S1433" s="2">
        <v>45737</v>
      </c>
      <c r="U1433">
        <v>6</v>
      </c>
      <c r="V1433" s="4">
        <v>6000</v>
      </c>
      <c r="W1433" t="s">
        <v>65</v>
      </c>
      <c r="X1433" t="s">
        <v>4775</v>
      </c>
      <c r="Y1433">
        <v>0</v>
      </c>
      <c r="Z1433" s="4">
        <v>6000</v>
      </c>
      <c r="AA1433">
        <v>0</v>
      </c>
      <c r="AB1433">
        <v>0</v>
      </c>
      <c r="AC1433">
        <v>0</v>
      </c>
      <c r="AD1433">
        <v>0</v>
      </c>
      <c r="AG1433">
        <v>0</v>
      </c>
      <c r="AP1433" t="s">
        <v>4776</v>
      </c>
      <c r="AQ1433" t="s">
        <v>182</v>
      </c>
      <c r="AR1433" t="s">
        <v>6643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BC1433" t="s">
        <v>69</v>
      </c>
      <c r="BD1433" t="s">
        <v>4932</v>
      </c>
      <c r="BE1433">
        <v>0</v>
      </c>
      <c r="BG1433" t="s">
        <v>182</v>
      </c>
      <c r="BJ1433" t="s">
        <v>4933</v>
      </c>
    </row>
    <row r="1434" spans="1:62" x14ac:dyDescent="0.35">
      <c r="A1434" t="s">
        <v>4935</v>
      </c>
      <c r="B1434">
        <v>10000</v>
      </c>
      <c r="C1434">
        <v>10000</v>
      </c>
      <c r="D1434" s="2">
        <v>45740</v>
      </c>
      <c r="E1434" t="s">
        <v>61</v>
      </c>
      <c r="F1434" t="s">
        <v>4785</v>
      </c>
      <c r="G1434" t="s">
        <v>1576</v>
      </c>
      <c r="H1434" t="s">
        <v>4517</v>
      </c>
      <c r="I1434">
        <v>1</v>
      </c>
      <c r="J1434" t="s">
        <v>69</v>
      </c>
      <c r="K1434" s="8">
        <v>94</v>
      </c>
      <c r="L1434" s="8" t="s">
        <v>6599</v>
      </c>
      <c r="M1434" s="8" t="s">
        <v>6629</v>
      </c>
      <c r="N1434" t="s">
        <v>361</v>
      </c>
      <c r="O1434" t="s">
        <v>6485</v>
      </c>
      <c r="P1434" s="4">
        <v>6000</v>
      </c>
      <c r="S1434" s="2">
        <v>45738</v>
      </c>
      <c r="U1434">
        <v>6</v>
      </c>
      <c r="V1434" s="4">
        <v>36000</v>
      </c>
      <c r="W1434" t="s">
        <v>65</v>
      </c>
      <c r="X1434" t="s">
        <v>4758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G1434">
        <v>0</v>
      </c>
      <c r="AK1434" t="s">
        <v>69</v>
      </c>
      <c r="AL1434">
        <v>0</v>
      </c>
      <c r="AM1434" t="s">
        <v>69</v>
      </c>
      <c r="AP1434" t="s">
        <v>4759</v>
      </c>
      <c r="AQ1434" t="s">
        <v>364</v>
      </c>
      <c r="AR1434" t="s">
        <v>6653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BC1434" t="s">
        <v>69</v>
      </c>
      <c r="BG1434" t="s">
        <v>364</v>
      </c>
      <c r="BJ1434" t="s">
        <v>4936</v>
      </c>
    </row>
    <row r="1435" spans="1:62" x14ac:dyDescent="0.35">
      <c r="A1435" t="s">
        <v>4937</v>
      </c>
      <c r="B1435">
        <v>10000</v>
      </c>
      <c r="C1435">
        <v>10000</v>
      </c>
      <c r="D1435" s="2">
        <v>45741</v>
      </c>
      <c r="E1435" t="s">
        <v>95</v>
      </c>
      <c r="F1435" t="s">
        <v>4938</v>
      </c>
      <c r="G1435" t="s">
        <v>4939</v>
      </c>
      <c r="H1435" t="s">
        <v>4940</v>
      </c>
      <c r="I1435">
        <v>1</v>
      </c>
      <c r="J1435" t="s">
        <v>69</v>
      </c>
      <c r="K1435" s="8">
        <v>32</v>
      </c>
      <c r="L1435" s="8" t="s">
        <v>6607</v>
      </c>
      <c r="M1435" s="8" t="s">
        <v>6629</v>
      </c>
      <c r="N1435" t="s">
        <v>553</v>
      </c>
      <c r="O1435" t="s">
        <v>6552</v>
      </c>
      <c r="P1435" s="4">
        <v>5860</v>
      </c>
      <c r="S1435" s="2">
        <v>45738</v>
      </c>
      <c r="U1435">
        <v>1</v>
      </c>
      <c r="V1435" s="4">
        <v>5860</v>
      </c>
      <c r="W1435" t="s">
        <v>65</v>
      </c>
      <c r="X1435" t="s">
        <v>2199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G1435">
        <v>0</v>
      </c>
      <c r="AK1435" t="s">
        <v>69</v>
      </c>
      <c r="AL1435">
        <v>0</v>
      </c>
      <c r="AM1435" t="s">
        <v>69</v>
      </c>
      <c r="AP1435" t="s">
        <v>2200</v>
      </c>
      <c r="AQ1435" t="s">
        <v>116</v>
      </c>
      <c r="AR1435" t="s">
        <v>6639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BC1435" t="s">
        <v>69</v>
      </c>
      <c r="BG1435" t="s">
        <v>116</v>
      </c>
      <c r="BJ1435" t="s">
        <v>4941</v>
      </c>
    </row>
    <row r="1436" spans="1:62" x14ac:dyDescent="0.35">
      <c r="A1436" t="s">
        <v>4942</v>
      </c>
      <c r="B1436">
        <v>10000</v>
      </c>
      <c r="C1436">
        <v>10000</v>
      </c>
      <c r="D1436" s="2">
        <v>45741</v>
      </c>
      <c r="E1436" t="s">
        <v>61</v>
      </c>
      <c r="F1436" t="s">
        <v>4943</v>
      </c>
      <c r="G1436" t="s">
        <v>4944</v>
      </c>
      <c r="I1436">
        <v>1</v>
      </c>
      <c r="J1436" t="s">
        <v>63</v>
      </c>
      <c r="K1436" s="8">
        <v>60</v>
      </c>
      <c r="L1436" s="8" t="s">
        <v>6590</v>
      </c>
      <c r="M1436" s="8" t="s">
        <v>6630</v>
      </c>
      <c r="N1436" t="s">
        <v>277</v>
      </c>
      <c r="O1436" t="s">
        <v>6554</v>
      </c>
      <c r="P1436" s="4">
        <v>20000</v>
      </c>
      <c r="Q1436">
        <f>(P1436/50)+45</f>
        <v>445</v>
      </c>
      <c r="R1436">
        <f>Q1436/60</f>
        <v>7.416666666666667</v>
      </c>
      <c r="S1436" s="2">
        <v>45738</v>
      </c>
      <c r="U1436">
        <v>3</v>
      </c>
      <c r="V1436" s="4">
        <v>60000</v>
      </c>
      <c r="W1436" t="s">
        <v>65</v>
      </c>
      <c r="X1436" t="s">
        <v>4945</v>
      </c>
      <c r="Y1436">
        <v>0</v>
      </c>
      <c r="Z1436" s="4">
        <v>60000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 t="s">
        <v>4946</v>
      </c>
      <c r="AQ1436" t="s">
        <v>1424</v>
      </c>
      <c r="AR1436" t="s">
        <v>6678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BC1436" t="s">
        <v>69</v>
      </c>
      <c r="BD1436" t="s">
        <v>4947</v>
      </c>
      <c r="BE1436">
        <v>0</v>
      </c>
      <c r="BG1436" t="s">
        <v>1424</v>
      </c>
      <c r="BJ1436" t="s">
        <v>4948</v>
      </c>
    </row>
    <row r="1437" spans="1:62" x14ac:dyDescent="0.35">
      <c r="A1437" t="s">
        <v>4949</v>
      </c>
      <c r="B1437">
        <v>10000</v>
      </c>
      <c r="C1437">
        <v>30000</v>
      </c>
      <c r="D1437" s="2">
        <v>45713</v>
      </c>
      <c r="E1437" t="s">
        <v>61</v>
      </c>
      <c r="F1437" t="s">
        <v>3538</v>
      </c>
      <c r="G1437">
        <v>10639931095</v>
      </c>
      <c r="I1437">
        <v>3</v>
      </c>
      <c r="J1437" t="s">
        <v>63</v>
      </c>
      <c r="K1437" s="8">
        <v>85</v>
      </c>
      <c r="L1437" s="8" t="s">
        <v>6585</v>
      </c>
      <c r="M1437" s="8" t="s">
        <v>6628</v>
      </c>
      <c r="N1437" t="s">
        <v>327</v>
      </c>
      <c r="O1437" t="s">
        <v>6580</v>
      </c>
      <c r="P1437" s="4">
        <v>2546</v>
      </c>
      <c r="S1437" s="2">
        <v>45738</v>
      </c>
      <c r="U1437">
        <v>11</v>
      </c>
      <c r="V1437" s="4">
        <v>28006</v>
      </c>
      <c r="W1437" t="s">
        <v>65</v>
      </c>
      <c r="X1437" t="s">
        <v>4950</v>
      </c>
      <c r="Y1437">
        <v>0</v>
      </c>
      <c r="Z1437" s="4">
        <v>30000</v>
      </c>
      <c r="AA1437" s="4">
        <v>-1994</v>
      </c>
      <c r="AB1437">
        <v>0</v>
      </c>
      <c r="AC1437">
        <v>0</v>
      </c>
      <c r="AD1437">
        <v>0</v>
      </c>
      <c r="AG1437">
        <v>0</v>
      </c>
      <c r="AP1437" t="s">
        <v>4951</v>
      </c>
      <c r="AQ1437" t="s">
        <v>107</v>
      </c>
      <c r="AR1437" t="s">
        <v>6638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BC1437" t="s">
        <v>69</v>
      </c>
      <c r="BD1437" t="s">
        <v>4952</v>
      </c>
      <c r="BE1437">
        <v>0</v>
      </c>
      <c r="BG1437" t="s">
        <v>107</v>
      </c>
      <c r="BJ1437" t="s">
        <v>376</v>
      </c>
    </row>
    <row r="1438" spans="1:62" x14ac:dyDescent="0.35">
      <c r="A1438" t="s">
        <v>4953</v>
      </c>
      <c r="B1438">
        <v>10000</v>
      </c>
      <c r="C1438">
        <v>10000</v>
      </c>
      <c r="D1438" s="2">
        <v>45740</v>
      </c>
      <c r="E1438" t="s">
        <v>61</v>
      </c>
      <c r="F1438" t="s">
        <v>1374</v>
      </c>
      <c r="G1438" t="s">
        <v>4340</v>
      </c>
      <c r="I1438">
        <v>1</v>
      </c>
      <c r="J1438" t="s">
        <v>63</v>
      </c>
      <c r="K1438" s="8">
        <v>72</v>
      </c>
      <c r="L1438" s="8" t="s">
        <v>6606</v>
      </c>
      <c r="M1438" s="8" t="s">
        <v>6631</v>
      </c>
      <c r="N1438" t="s">
        <v>528</v>
      </c>
      <c r="O1438" t="s">
        <v>6542</v>
      </c>
      <c r="P1438" s="4">
        <v>3375</v>
      </c>
      <c r="S1438" s="2">
        <v>45738</v>
      </c>
      <c r="U1438">
        <v>4</v>
      </c>
      <c r="V1438" s="4">
        <v>13500</v>
      </c>
      <c r="W1438" t="s">
        <v>65</v>
      </c>
      <c r="X1438">
        <v>86084000001</v>
      </c>
      <c r="Y1438">
        <v>0</v>
      </c>
      <c r="Z1438" s="4">
        <v>12000</v>
      </c>
      <c r="AA1438" s="4">
        <v>1500</v>
      </c>
      <c r="AB1438">
        <v>0</v>
      </c>
      <c r="AC1438">
        <v>0</v>
      </c>
      <c r="AD1438">
        <v>0</v>
      </c>
      <c r="AG1438">
        <v>0</v>
      </c>
      <c r="AP1438">
        <v>8608400</v>
      </c>
      <c r="AQ1438" t="s">
        <v>91</v>
      </c>
      <c r="AR1438" t="s">
        <v>6637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BC1438" t="s">
        <v>69</v>
      </c>
      <c r="BD1438" t="s">
        <v>4954</v>
      </c>
      <c r="BE1438">
        <v>0</v>
      </c>
      <c r="BG1438" t="s">
        <v>91</v>
      </c>
      <c r="BJ1438" t="s">
        <v>4955</v>
      </c>
    </row>
    <row r="1439" spans="1:62" x14ac:dyDescent="0.35">
      <c r="A1439" t="s">
        <v>4953</v>
      </c>
      <c r="B1439">
        <v>10000</v>
      </c>
      <c r="C1439">
        <v>20000</v>
      </c>
      <c r="D1439" s="2">
        <v>45740</v>
      </c>
      <c r="E1439" t="s">
        <v>61</v>
      </c>
      <c r="F1439" t="s">
        <v>1374</v>
      </c>
      <c r="G1439" t="s">
        <v>4340</v>
      </c>
      <c r="I1439">
        <v>2</v>
      </c>
      <c r="J1439" t="s">
        <v>63</v>
      </c>
      <c r="K1439" s="8">
        <v>71</v>
      </c>
      <c r="L1439" s="8" t="s">
        <v>6588</v>
      </c>
      <c r="M1439" s="8" t="s">
        <v>6630</v>
      </c>
      <c r="N1439" t="s">
        <v>135</v>
      </c>
      <c r="O1439" t="s">
        <v>6573</v>
      </c>
      <c r="P1439" s="4">
        <v>2000</v>
      </c>
      <c r="S1439" s="2">
        <v>45738</v>
      </c>
      <c r="U1439">
        <v>6</v>
      </c>
      <c r="V1439" s="4">
        <v>12000</v>
      </c>
      <c r="W1439" t="s">
        <v>65</v>
      </c>
      <c r="X1439">
        <v>86084000001</v>
      </c>
      <c r="Y1439">
        <v>0</v>
      </c>
      <c r="Z1439" s="4">
        <v>12000</v>
      </c>
      <c r="AA1439">
        <v>0</v>
      </c>
      <c r="AB1439">
        <v>0</v>
      </c>
      <c r="AC1439">
        <v>0</v>
      </c>
      <c r="AD1439">
        <v>0</v>
      </c>
      <c r="AG1439">
        <v>0</v>
      </c>
      <c r="AP1439">
        <v>8608400</v>
      </c>
      <c r="AQ1439" t="s">
        <v>91</v>
      </c>
      <c r="AR1439" t="s">
        <v>6637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BC1439" t="s">
        <v>69</v>
      </c>
      <c r="BD1439" t="s">
        <v>4954</v>
      </c>
      <c r="BE1439">
        <v>0</v>
      </c>
      <c r="BG1439" t="s">
        <v>91</v>
      </c>
      <c r="BJ1439" t="s">
        <v>4955</v>
      </c>
    </row>
    <row r="1440" spans="1:62" x14ac:dyDescent="0.35">
      <c r="A1440" t="s">
        <v>4956</v>
      </c>
      <c r="B1440">
        <v>10000</v>
      </c>
      <c r="C1440">
        <v>10000</v>
      </c>
      <c r="D1440" s="2">
        <v>45740</v>
      </c>
      <c r="E1440" t="s">
        <v>61</v>
      </c>
      <c r="F1440" t="s">
        <v>4957</v>
      </c>
      <c r="G1440" t="s">
        <v>4958</v>
      </c>
      <c r="I1440">
        <v>1</v>
      </c>
      <c r="J1440" t="s">
        <v>63</v>
      </c>
      <c r="K1440" s="8">
        <v>112</v>
      </c>
      <c r="L1440" s="8" t="s">
        <v>6616</v>
      </c>
      <c r="M1440" s="8" t="s">
        <v>6630</v>
      </c>
      <c r="N1440" t="s">
        <v>533</v>
      </c>
      <c r="O1440" t="s">
        <v>6572</v>
      </c>
      <c r="P1440" s="4">
        <v>4546</v>
      </c>
      <c r="Q1440">
        <f>(P1440/20)+45</f>
        <v>272.3</v>
      </c>
      <c r="R1440">
        <f>Q1440/60</f>
        <v>4.5383333333333331</v>
      </c>
      <c r="S1440" s="2">
        <v>45738</v>
      </c>
      <c r="U1440">
        <v>11</v>
      </c>
      <c r="V1440" s="4">
        <v>50006</v>
      </c>
      <c r="W1440" t="s">
        <v>65</v>
      </c>
      <c r="X1440" t="s">
        <v>4959</v>
      </c>
      <c r="Y1440">
        <v>0</v>
      </c>
      <c r="Z1440" s="4">
        <v>50000</v>
      </c>
      <c r="AA1440">
        <v>6</v>
      </c>
      <c r="AB1440">
        <v>0</v>
      </c>
      <c r="AC1440">
        <v>0</v>
      </c>
      <c r="AD1440">
        <v>0</v>
      </c>
      <c r="AG1440">
        <v>0</v>
      </c>
      <c r="AP1440" t="s">
        <v>4960</v>
      </c>
      <c r="AQ1440" t="s">
        <v>321</v>
      </c>
      <c r="AR1440" t="s">
        <v>6652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BC1440" t="s">
        <v>69</v>
      </c>
      <c r="BD1440" t="s">
        <v>4961</v>
      </c>
      <c r="BE1440">
        <v>0</v>
      </c>
      <c r="BG1440" t="s">
        <v>321</v>
      </c>
      <c r="BJ1440" t="s">
        <v>4559</v>
      </c>
    </row>
    <row r="1441" spans="1:62" x14ac:dyDescent="0.35">
      <c r="A1441" t="s">
        <v>4962</v>
      </c>
      <c r="B1441">
        <v>10000</v>
      </c>
      <c r="C1441">
        <v>10000</v>
      </c>
      <c r="D1441" s="2">
        <v>45741</v>
      </c>
      <c r="E1441" t="s">
        <v>61</v>
      </c>
      <c r="F1441" t="s">
        <v>4963</v>
      </c>
      <c r="G1441" t="s">
        <v>4340</v>
      </c>
      <c r="I1441">
        <v>1</v>
      </c>
      <c r="J1441" t="s">
        <v>63</v>
      </c>
      <c r="K1441" s="8">
        <v>72</v>
      </c>
      <c r="L1441" s="8" t="s">
        <v>6606</v>
      </c>
      <c r="M1441" s="8" t="s">
        <v>6631</v>
      </c>
      <c r="N1441" t="s">
        <v>528</v>
      </c>
      <c r="O1441" t="s">
        <v>6542</v>
      </c>
      <c r="P1441" s="4">
        <v>22500</v>
      </c>
      <c r="S1441" s="2">
        <v>45738</v>
      </c>
      <c r="U1441">
        <v>4</v>
      </c>
      <c r="V1441" s="4">
        <v>90000</v>
      </c>
      <c r="W1441" t="s">
        <v>65</v>
      </c>
      <c r="X1441">
        <v>83624420001</v>
      </c>
      <c r="Y1441">
        <v>0</v>
      </c>
      <c r="Z1441" s="4">
        <v>80000</v>
      </c>
      <c r="AA1441" s="4">
        <v>10000</v>
      </c>
      <c r="AB1441">
        <v>0</v>
      </c>
      <c r="AC1441">
        <v>0</v>
      </c>
      <c r="AD1441">
        <v>0</v>
      </c>
      <c r="AG1441">
        <v>0</v>
      </c>
      <c r="AP1441">
        <v>8362442</v>
      </c>
      <c r="AQ1441" t="s">
        <v>91</v>
      </c>
      <c r="AR1441" t="s">
        <v>6637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BC1441" t="s">
        <v>69</v>
      </c>
      <c r="BD1441" t="s">
        <v>4964</v>
      </c>
      <c r="BE1441">
        <v>0</v>
      </c>
      <c r="BG1441" t="s">
        <v>91</v>
      </c>
      <c r="BJ1441" t="s">
        <v>893</v>
      </c>
    </row>
    <row r="1442" spans="1:62" x14ac:dyDescent="0.35">
      <c r="A1442" t="s">
        <v>4965</v>
      </c>
      <c r="B1442">
        <v>10000</v>
      </c>
      <c r="C1442">
        <v>10000</v>
      </c>
      <c r="D1442" s="2">
        <v>45741</v>
      </c>
      <c r="E1442" t="s">
        <v>61</v>
      </c>
      <c r="F1442" t="s">
        <v>4966</v>
      </c>
      <c r="G1442" t="s">
        <v>4340</v>
      </c>
      <c r="I1442">
        <v>1</v>
      </c>
      <c r="J1442" t="s">
        <v>63</v>
      </c>
      <c r="K1442" s="8">
        <v>72</v>
      </c>
      <c r="L1442" s="8" t="s">
        <v>6606</v>
      </c>
      <c r="M1442" s="8" t="s">
        <v>6631</v>
      </c>
      <c r="N1442" t="s">
        <v>528</v>
      </c>
      <c r="O1442" t="s">
        <v>6542</v>
      </c>
      <c r="P1442" s="4">
        <v>16000</v>
      </c>
      <c r="S1442" s="2">
        <v>45738</v>
      </c>
      <c r="U1442">
        <v>5</v>
      </c>
      <c r="V1442" s="4">
        <v>80000</v>
      </c>
      <c r="W1442" t="s">
        <v>65</v>
      </c>
      <c r="X1442">
        <v>83634470001</v>
      </c>
      <c r="Y1442">
        <v>0</v>
      </c>
      <c r="Z1442" s="4">
        <v>70000</v>
      </c>
      <c r="AA1442" s="4">
        <v>10000</v>
      </c>
      <c r="AB1442">
        <v>0</v>
      </c>
      <c r="AC1442">
        <v>0</v>
      </c>
      <c r="AD1442">
        <v>0</v>
      </c>
      <c r="AG1442">
        <v>0</v>
      </c>
      <c r="AP1442">
        <v>8363447</v>
      </c>
      <c r="AQ1442" t="s">
        <v>91</v>
      </c>
      <c r="AR1442" t="s">
        <v>6637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BC1442" t="s">
        <v>69</v>
      </c>
      <c r="BD1442" t="s">
        <v>4967</v>
      </c>
      <c r="BE1442">
        <v>0</v>
      </c>
      <c r="BG1442" t="s">
        <v>91</v>
      </c>
      <c r="BJ1442" t="s">
        <v>893</v>
      </c>
    </row>
    <row r="1443" spans="1:62" x14ac:dyDescent="0.35">
      <c r="A1443" t="s">
        <v>4968</v>
      </c>
      <c r="B1443">
        <v>10000</v>
      </c>
      <c r="C1443">
        <v>10000</v>
      </c>
      <c r="D1443" s="2">
        <v>45741</v>
      </c>
      <c r="E1443" t="s">
        <v>61</v>
      </c>
      <c r="F1443" t="s">
        <v>4969</v>
      </c>
      <c r="G1443" t="s">
        <v>4340</v>
      </c>
      <c r="I1443">
        <v>1</v>
      </c>
      <c r="J1443" t="s">
        <v>63</v>
      </c>
      <c r="K1443" s="8">
        <v>72</v>
      </c>
      <c r="L1443" s="8" t="s">
        <v>6606</v>
      </c>
      <c r="M1443" s="8" t="s">
        <v>6631</v>
      </c>
      <c r="N1443" t="s">
        <v>528</v>
      </c>
      <c r="O1443" t="s">
        <v>6542</v>
      </c>
      <c r="P1443" s="4">
        <v>2800</v>
      </c>
      <c r="S1443" s="2">
        <v>45738</v>
      </c>
      <c r="U1443">
        <v>5</v>
      </c>
      <c r="V1443" s="4">
        <v>14000</v>
      </c>
      <c r="W1443" t="s">
        <v>65</v>
      </c>
      <c r="X1443">
        <v>83634500001</v>
      </c>
      <c r="Y1443">
        <v>0</v>
      </c>
      <c r="Z1443" s="4">
        <v>10000</v>
      </c>
      <c r="AA1443" s="4">
        <v>4000</v>
      </c>
      <c r="AB1443">
        <v>0</v>
      </c>
      <c r="AC1443">
        <v>0</v>
      </c>
      <c r="AD1443">
        <v>0</v>
      </c>
      <c r="AG1443">
        <v>0</v>
      </c>
      <c r="AP1443">
        <v>8363450</v>
      </c>
      <c r="AQ1443" t="s">
        <v>91</v>
      </c>
      <c r="AR1443" t="s">
        <v>6637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BC1443" t="s">
        <v>69</v>
      </c>
      <c r="BD1443" t="s">
        <v>4970</v>
      </c>
      <c r="BE1443">
        <v>0</v>
      </c>
      <c r="BG1443" t="s">
        <v>91</v>
      </c>
      <c r="BJ1443" t="s">
        <v>893</v>
      </c>
    </row>
    <row r="1444" spans="1:62" x14ac:dyDescent="0.35">
      <c r="A1444" t="s">
        <v>4971</v>
      </c>
      <c r="B1444">
        <v>10000</v>
      </c>
      <c r="C1444">
        <v>10000</v>
      </c>
      <c r="D1444" s="2">
        <v>45741</v>
      </c>
      <c r="E1444" t="s">
        <v>61</v>
      </c>
      <c r="F1444" t="s">
        <v>4972</v>
      </c>
      <c r="G1444" t="s">
        <v>4340</v>
      </c>
      <c r="I1444">
        <v>1</v>
      </c>
      <c r="J1444" t="s">
        <v>63</v>
      </c>
      <c r="K1444" s="8">
        <v>72</v>
      </c>
      <c r="L1444" s="8" t="s">
        <v>6606</v>
      </c>
      <c r="M1444" s="8" t="s">
        <v>6631</v>
      </c>
      <c r="N1444" t="s">
        <v>528</v>
      </c>
      <c r="O1444" t="s">
        <v>6542</v>
      </c>
      <c r="P1444" s="4">
        <v>2800</v>
      </c>
      <c r="S1444" s="2">
        <v>45738</v>
      </c>
      <c r="U1444">
        <v>5</v>
      </c>
      <c r="V1444" s="4">
        <v>14000</v>
      </c>
      <c r="W1444" t="s">
        <v>65</v>
      </c>
      <c r="X1444">
        <v>83635750001</v>
      </c>
      <c r="Y1444">
        <v>0</v>
      </c>
      <c r="Z1444" s="4">
        <v>10000</v>
      </c>
      <c r="AA1444" s="4">
        <v>4000</v>
      </c>
      <c r="AB1444">
        <v>0</v>
      </c>
      <c r="AC1444">
        <v>0</v>
      </c>
      <c r="AD1444">
        <v>0</v>
      </c>
      <c r="AG1444">
        <v>0</v>
      </c>
      <c r="AP1444">
        <v>8363575</v>
      </c>
      <c r="AQ1444" t="s">
        <v>91</v>
      </c>
      <c r="AR1444" t="s">
        <v>6637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BC1444" t="s">
        <v>69</v>
      </c>
      <c r="BD1444" t="s">
        <v>4973</v>
      </c>
      <c r="BE1444">
        <v>0</v>
      </c>
      <c r="BG1444" t="s">
        <v>91</v>
      </c>
      <c r="BJ1444" t="s">
        <v>893</v>
      </c>
    </row>
    <row r="1445" spans="1:62" x14ac:dyDescent="0.35">
      <c r="A1445" t="s">
        <v>4974</v>
      </c>
      <c r="B1445">
        <v>10000</v>
      </c>
      <c r="C1445">
        <v>10000</v>
      </c>
      <c r="D1445" s="2">
        <v>45741</v>
      </c>
      <c r="E1445" t="s">
        <v>61</v>
      </c>
      <c r="F1445" t="s">
        <v>4975</v>
      </c>
      <c r="G1445" t="s">
        <v>4340</v>
      </c>
      <c r="I1445">
        <v>1</v>
      </c>
      <c r="J1445" t="s">
        <v>63</v>
      </c>
      <c r="K1445" s="8">
        <v>72</v>
      </c>
      <c r="L1445" s="8" t="s">
        <v>6606</v>
      </c>
      <c r="M1445" s="8" t="s">
        <v>6631</v>
      </c>
      <c r="N1445" t="s">
        <v>528</v>
      </c>
      <c r="O1445" t="s">
        <v>6542</v>
      </c>
      <c r="P1445" s="4">
        <v>2800</v>
      </c>
      <c r="S1445" s="2">
        <v>45738</v>
      </c>
      <c r="U1445">
        <v>5</v>
      </c>
      <c r="V1445" s="4">
        <v>14000</v>
      </c>
      <c r="W1445" t="s">
        <v>65</v>
      </c>
      <c r="X1445">
        <v>83635760001</v>
      </c>
      <c r="Y1445">
        <v>0</v>
      </c>
      <c r="Z1445" s="4">
        <v>10000</v>
      </c>
      <c r="AA1445" s="4">
        <v>4000</v>
      </c>
      <c r="AB1445">
        <v>0</v>
      </c>
      <c r="AC1445">
        <v>0</v>
      </c>
      <c r="AD1445">
        <v>0</v>
      </c>
      <c r="AG1445">
        <v>0</v>
      </c>
      <c r="AP1445">
        <v>8363576</v>
      </c>
      <c r="AQ1445" t="s">
        <v>91</v>
      </c>
      <c r="AR1445" t="s">
        <v>6637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BC1445" t="s">
        <v>69</v>
      </c>
      <c r="BD1445" t="s">
        <v>4976</v>
      </c>
      <c r="BE1445">
        <v>0</v>
      </c>
      <c r="BG1445" t="s">
        <v>91</v>
      </c>
      <c r="BJ1445" t="s">
        <v>893</v>
      </c>
    </row>
    <row r="1446" spans="1:62" x14ac:dyDescent="0.35">
      <c r="A1446" t="s">
        <v>2851</v>
      </c>
      <c r="B1446">
        <v>10000</v>
      </c>
      <c r="C1446">
        <v>40000</v>
      </c>
      <c r="D1446" s="2">
        <v>45740</v>
      </c>
      <c r="E1446" t="s">
        <v>61</v>
      </c>
      <c r="F1446" s="3">
        <v>0.48317129629629629</v>
      </c>
      <c r="G1446" t="s">
        <v>2852</v>
      </c>
      <c r="I1446">
        <v>3</v>
      </c>
      <c r="J1446" t="s">
        <v>63</v>
      </c>
      <c r="K1446" s="8">
        <v>85</v>
      </c>
      <c r="L1446" s="8" t="s">
        <v>6585</v>
      </c>
      <c r="M1446" s="8" t="s">
        <v>6628</v>
      </c>
      <c r="N1446" t="s">
        <v>327</v>
      </c>
      <c r="O1446" t="s">
        <v>6580</v>
      </c>
      <c r="P1446" s="4">
        <v>27273</v>
      </c>
      <c r="S1446" s="2">
        <v>45738</v>
      </c>
      <c r="U1446">
        <v>11</v>
      </c>
      <c r="V1446" s="4">
        <v>300003</v>
      </c>
      <c r="W1446" t="s">
        <v>65</v>
      </c>
      <c r="X1446" t="s">
        <v>2853</v>
      </c>
      <c r="Y1446">
        <v>0</v>
      </c>
      <c r="Z1446" s="4">
        <v>300000</v>
      </c>
      <c r="AA1446">
        <v>3</v>
      </c>
      <c r="AB1446">
        <v>0</v>
      </c>
      <c r="AC1446">
        <v>0</v>
      </c>
      <c r="AD1446">
        <v>0</v>
      </c>
      <c r="AG1446">
        <v>0</v>
      </c>
      <c r="AP1446" t="s">
        <v>2854</v>
      </c>
      <c r="AQ1446" t="s">
        <v>107</v>
      </c>
      <c r="AR1446" t="s">
        <v>6638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BC1446" t="s">
        <v>69</v>
      </c>
      <c r="BD1446" t="s">
        <v>2855</v>
      </c>
      <c r="BE1446">
        <v>0</v>
      </c>
      <c r="BG1446" t="s">
        <v>107</v>
      </c>
      <c r="BJ1446" t="s">
        <v>2856</v>
      </c>
    </row>
    <row r="1447" spans="1:62" x14ac:dyDescent="0.35">
      <c r="A1447" t="s">
        <v>1444</v>
      </c>
      <c r="B1447">
        <v>10000</v>
      </c>
      <c r="C1447">
        <v>30000</v>
      </c>
      <c r="D1447" s="2">
        <v>45740</v>
      </c>
      <c r="E1447" t="s">
        <v>61</v>
      </c>
      <c r="F1447" t="s">
        <v>1445</v>
      </c>
      <c r="G1447">
        <v>10620258034</v>
      </c>
      <c r="I1447">
        <v>3</v>
      </c>
      <c r="J1447" t="s">
        <v>63</v>
      </c>
      <c r="K1447" s="8">
        <v>85</v>
      </c>
      <c r="L1447" s="8" t="s">
        <v>6585</v>
      </c>
      <c r="M1447" s="8" t="s">
        <v>6628</v>
      </c>
      <c r="N1447" t="s">
        <v>327</v>
      </c>
      <c r="O1447" t="s">
        <v>6580</v>
      </c>
      <c r="P1447" s="4">
        <v>5000</v>
      </c>
      <c r="S1447" s="2">
        <v>45738</v>
      </c>
      <c r="U1447">
        <v>11</v>
      </c>
      <c r="V1447" s="4">
        <v>55000</v>
      </c>
      <c r="W1447" t="s">
        <v>65</v>
      </c>
      <c r="X1447" t="s">
        <v>1446</v>
      </c>
      <c r="Y1447">
        <v>0</v>
      </c>
      <c r="Z1447" s="4">
        <v>50000</v>
      </c>
      <c r="AA1447" s="4">
        <v>5000</v>
      </c>
      <c r="AB1447">
        <v>0</v>
      </c>
      <c r="AC1447">
        <v>0</v>
      </c>
      <c r="AD1447">
        <v>0</v>
      </c>
      <c r="AG1447">
        <v>0</v>
      </c>
      <c r="AP1447" t="s">
        <v>1447</v>
      </c>
      <c r="AQ1447" t="s">
        <v>107</v>
      </c>
      <c r="AR1447" t="s">
        <v>6638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BC1447" t="s">
        <v>69</v>
      </c>
      <c r="BD1447" t="s">
        <v>1448</v>
      </c>
      <c r="BE1447">
        <v>0</v>
      </c>
      <c r="BG1447" t="s">
        <v>107</v>
      </c>
      <c r="BJ1447" t="s">
        <v>1449</v>
      </c>
    </row>
    <row r="1448" spans="1:62" x14ac:dyDescent="0.35">
      <c r="A1448" t="s">
        <v>1450</v>
      </c>
      <c r="B1448">
        <v>10000</v>
      </c>
      <c r="C1448">
        <v>40000</v>
      </c>
      <c r="D1448" s="2">
        <v>45740</v>
      </c>
      <c r="E1448" t="s">
        <v>61</v>
      </c>
      <c r="F1448" t="s">
        <v>1451</v>
      </c>
      <c r="G1448">
        <v>10639931051</v>
      </c>
      <c r="I1448">
        <v>3</v>
      </c>
      <c r="J1448" t="s">
        <v>63</v>
      </c>
      <c r="K1448" s="8">
        <v>85</v>
      </c>
      <c r="L1448" s="8" t="s">
        <v>6585</v>
      </c>
      <c r="M1448" s="8" t="s">
        <v>6628</v>
      </c>
      <c r="N1448" t="s">
        <v>327</v>
      </c>
      <c r="O1448" t="s">
        <v>6580</v>
      </c>
      <c r="P1448" s="4">
        <v>13637</v>
      </c>
      <c r="S1448" s="2">
        <v>45738</v>
      </c>
      <c r="U1448">
        <v>11</v>
      </c>
      <c r="V1448" s="4">
        <v>150007</v>
      </c>
      <c r="W1448" t="s">
        <v>65</v>
      </c>
      <c r="X1448" t="s">
        <v>1452</v>
      </c>
      <c r="Y1448">
        <v>0</v>
      </c>
      <c r="Z1448" s="4">
        <v>150000</v>
      </c>
      <c r="AA1448">
        <v>7</v>
      </c>
      <c r="AB1448">
        <v>0</v>
      </c>
      <c r="AC1448">
        <v>0</v>
      </c>
      <c r="AD1448">
        <v>0</v>
      </c>
      <c r="AG1448">
        <v>0</v>
      </c>
      <c r="AP1448" t="s">
        <v>1453</v>
      </c>
      <c r="AQ1448" t="s">
        <v>107</v>
      </c>
      <c r="AR1448" t="s">
        <v>6638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BC1448" t="s">
        <v>69</v>
      </c>
      <c r="BD1448" t="s">
        <v>1454</v>
      </c>
      <c r="BE1448">
        <v>0</v>
      </c>
      <c r="BG1448" t="s">
        <v>107</v>
      </c>
      <c r="BJ1448" t="s">
        <v>1449</v>
      </c>
    </row>
    <row r="1449" spans="1:62" x14ac:dyDescent="0.35">
      <c r="A1449" t="s">
        <v>4977</v>
      </c>
      <c r="B1449">
        <v>10000</v>
      </c>
      <c r="C1449">
        <v>10000</v>
      </c>
      <c r="D1449" s="2">
        <v>45740</v>
      </c>
      <c r="E1449" t="s">
        <v>61</v>
      </c>
      <c r="F1449" t="s">
        <v>4978</v>
      </c>
      <c r="G1449" t="s">
        <v>418</v>
      </c>
      <c r="I1449">
        <v>1</v>
      </c>
      <c r="J1449" t="s">
        <v>63</v>
      </c>
      <c r="K1449" s="8">
        <v>59</v>
      </c>
      <c r="L1449" s="8" t="s">
        <v>6592</v>
      </c>
      <c r="M1449" s="8" t="s">
        <v>6629</v>
      </c>
      <c r="N1449" t="s">
        <v>3524</v>
      </c>
      <c r="O1449" t="s">
        <v>6496</v>
      </c>
      <c r="P1449" s="4">
        <v>1000</v>
      </c>
      <c r="Q1449">
        <f t="shared" ref="Q1449:Q1453" si="373">(P1449/40)+45</f>
        <v>70</v>
      </c>
      <c r="R1449">
        <f t="shared" ref="R1449:R1453" si="374">Q1449/60</f>
        <v>1.1666666666666667</v>
      </c>
      <c r="S1449" s="2">
        <v>45738</v>
      </c>
      <c r="U1449">
        <v>6</v>
      </c>
      <c r="V1449" s="4">
        <v>6000</v>
      </c>
      <c r="W1449" t="s">
        <v>65</v>
      </c>
      <c r="X1449" t="s">
        <v>4979</v>
      </c>
      <c r="Y1449">
        <v>0</v>
      </c>
      <c r="Z1449" s="4">
        <v>6000</v>
      </c>
      <c r="AA1449">
        <v>0</v>
      </c>
      <c r="AB1449">
        <v>0</v>
      </c>
      <c r="AC1449">
        <v>0</v>
      </c>
      <c r="AD1449">
        <v>0</v>
      </c>
      <c r="AG1449">
        <v>0</v>
      </c>
      <c r="AP1449" t="s">
        <v>4980</v>
      </c>
      <c r="AQ1449" t="s">
        <v>182</v>
      </c>
      <c r="AR1449" t="s">
        <v>6643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BC1449" t="s">
        <v>69</v>
      </c>
      <c r="BD1449" t="s">
        <v>4981</v>
      </c>
      <c r="BE1449">
        <v>0</v>
      </c>
      <c r="BG1449" t="s">
        <v>182</v>
      </c>
      <c r="BJ1449" t="s">
        <v>4982</v>
      </c>
    </row>
    <row r="1450" spans="1:62" x14ac:dyDescent="0.35">
      <c r="A1450" t="s">
        <v>4977</v>
      </c>
      <c r="B1450">
        <v>20000</v>
      </c>
      <c r="C1450">
        <v>10000</v>
      </c>
      <c r="D1450" s="2">
        <v>45740</v>
      </c>
      <c r="E1450" t="s">
        <v>61</v>
      </c>
      <c r="F1450" t="s">
        <v>4978</v>
      </c>
      <c r="G1450" t="s">
        <v>418</v>
      </c>
      <c r="I1450">
        <v>1</v>
      </c>
      <c r="J1450" t="s">
        <v>63</v>
      </c>
      <c r="K1450" s="8">
        <v>59</v>
      </c>
      <c r="L1450" s="8" t="s">
        <v>6592</v>
      </c>
      <c r="M1450" s="8" t="s">
        <v>6629</v>
      </c>
      <c r="N1450" t="s">
        <v>3524</v>
      </c>
      <c r="O1450" t="s">
        <v>6496</v>
      </c>
      <c r="P1450" s="4">
        <v>1000</v>
      </c>
      <c r="Q1450">
        <f t="shared" si="373"/>
        <v>70</v>
      </c>
      <c r="R1450">
        <f t="shared" si="374"/>
        <v>1.1666666666666667</v>
      </c>
      <c r="S1450" s="2">
        <v>45738</v>
      </c>
      <c r="U1450">
        <v>6</v>
      </c>
      <c r="V1450" s="4">
        <v>6000</v>
      </c>
      <c r="W1450" t="s">
        <v>65</v>
      </c>
      <c r="X1450" t="s">
        <v>4979</v>
      </c>
      <c r="Y1450">
        <v>0</v>
      </c>
      <c r="Z1450" s="4">
        <v>6000</v>
      </c>
      <c r="AA1450">
        <v>0</v>
      </c>
      <c r="AB1450">
        <v>0</v>
      </c>
      <c r="AC1450">
        <v>0</v>
      </c>
      <c r="AD1450">
        <v>0</v>
      </c>
      <c r="AG1450">
        <v>0</v>
      </c>
      <c r="AP1450" t="s">
        <v>4980</v>
      </c>
      <c r="AQ1450" t="s">
        <v>182</v>
      </c>
      <c r="AR1450" t="s">
        <v>6643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BC1450" t="s">
        <v>69</v>
      </c>
      <c r="BD1450" t="s">
        <v>4981</v>
      </c>
      <c r="BE1450">
        <v>0</v>
      </c>
      <c r="BG1450" t="s">
        <v>182</v>
      </c>
      <c r="BJ1450" t="s">
        <v>4982</v>
      </c>
    </row>
    <row r="1451" spans="1:62" x14ac:dyDescent="0.35">
      <c r="A1451" t="s">
        <v>4983</v>
      </c>
      <c r="B1451">
        <v>10000</v>
      </c>
      <c r="C1451">
        <v>10000</v>
      </c>
      <c r="D1451" s="2">
        <v>45740</v>
      </c>
      <c r="E1451" t="s">
        <v>61</v>
      </c>
      <c r="F1451" t="s">
        <v>4984</v>
      </c>
      <c r="G1451" t="s">
        <v>418</v>
      </c>
      <c r="I1451">
        <v>1</v>
      </c>
      <c r="J1451" t="s">
        <v>63</v>
      </c>
      <c r="K1451" s="8">
        <v>59</v>
      </c>
      <c r="L1451" s="8" t="s">
        <v>6592</v>
      </c>
      <c r="M1451" s="8" t="s">
        <v>6629</v>
      </c>
      <c r="N1451" t="s">
        <v>3524</v>
      </c>
      <c r="O1451" t="s">
        <v>6496</v>
      </c>
      <c r="P1451">
        <v>500</v>
      </c>
      <c r="Q1451">
        <f t="shared" si="373"/>
        <v>57.5</v>
      </c>
      <c r="R1451">
        <f t="shared" si="374"/>
        <v>0.95833333333333337</v>
      </c>
      <c r="S1451" s="2">
        <v>45738</v>
      </c>
      <c r="U1451">
        <v>6</v>
      </c>
      <c r="V1451" s="4">
        <v>3000</v>
      </c>
      <c r="W1451" t="s">
        <v>65</v>
      </c>
      <c r="X1451" t="s">
        <v>4985</v>
      </c>
      <c r="Y1451">
        <v>0</v>
      </c>
      <c r="Z1451" s="4">
        <v>3000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 t="s">
        <v>4986</v>
      </c>
      <c r="AQ1451" t="s">
        <v>182</v>
      </c>
      <c r="AR1451" t="s">
        <v>6643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BC1451" t="s">
        <v>69</v>
      </c>
      <c r="BD1451" t="s">
        <v>4987</v>
      </c>
      <c r="BE1451">
        <v>0</v>
      </c>
      <c r="BG1451" t="s">
        <v>182</v>
      </c>
      <c r="BJ1451" t="s">
        <v>4988</v>
      </c>
    </row>
    <row r="1452" spans="1:62" x14ac:dyDescent="0.35">
      <c r="A1452" t="s">
        <v>4989</v>
      </c>
      <c r="B1452">
        <v>10000</v>
      </c>
      <c r="C1452">
        <v>10000</v>
      </c>
      <c r="D1452" s="2">
        <v>45740</v>
      </c>
      <c r="E1452" t="s">
        <v>61</v>
      </c>
      <c r="F1452" t="s">
        <v>4984</v>
      </c>
      <c r="G1452" t="s">
        <v>418</v>
      </c>
      <c r="I1452">
        <v>1</v>
      </c>
      <c r="J1452" t="s">
        <v>63</v>
      </c>
      <c r="K1452" s="8">
        <v>59</v>
      </c>
      <c r="L1452" s="8" t="s">
        <v>6592</v>
      </c>
      <c r="M1452" s="8" t="s">
        <v>6629</v>
      </c>
      <c r="N1452" t="s">
        <v>3524</v>
      </c>
      <c r="O1452" t="s">
        <v>6496</v>
      </c>
      <c r="P1452" s="4">
        <v>1000</v>
      </c>
      <c r="Q1452">
        <f t="shared" si="373"/>
        <v>70</v>
      </c>
      <c r="R1452">
        <f t="shared" si="374"/>
        <v>1.1666666666666667</v>
      </c>
      <c r="S1452" s="2">
        <v>45738</v>
      </c>
      <c r="U1452">
        <v>6</v>
      </c>
      <c r="V1452" s="4">
        <v>6000</v>
      </c>
      <c r="W1452" t="s">
        <v>65</v>
      </c>
      <c r="X1452" t="s">
        <v>4985</v>
      </c>
      <c r="Y1452">
        <v>0</v>
      </c>
      <c r="Z1452" s="4">
        <v>6000</v>
      </c>
      <c r="AA1452">
        <v>0</v>
      </c>
      <c r="AB1452">
        <v>0</v>
      </c>
      <c r="AC1452">
        <v>0</v>
      </c>
      <c r="AD1452">
        <v>0</v>
      </c>
      <c r="AG1452">
        <v>0</v>
      </c>
      <c r="AP1452" t="s">
        <v>4986</v>
      </c>
      <c r="AQ1452" t="s">
        <v>182</v>
      </c>
      <c r="AR1452" t="s">
        <v>6643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BC1452" t="s">
        <v>69</v>
      </c>
      <c r="BD1452" t="s">
        <v>4990</v>
      </c>
      <c r="BE1452">
        <v>0</v>
      </c>
      <c r="BG1452" t="s">
        <v>182</v>
      </c>
      <c r="BJ1452" t="s">
        <v>4991</v>
      </c>
    </row>
    <row r="1453" spans="1:62" x14ac:dyDescent="0.35">
      <c r="A1453" t="s">
        <v>4989</v>
      </c>
      <c r="B1453">
        <v>20000</v>
      </c>
      <c r="C1453">
        <v>10000</v>
      </c>
      <c r="D1453" s="2">
        <v>45740</v>
      </c>
      <c r="E1453" t="s">
        <v>61</v>
      </c>
      <c r="F1453" t="s">
        <v>4984</v>
      </c>
      <c r="G1453" t="s">
        <v>418</v>
      </c>
      <c r="I1453">
        <v>1</v>
      </c>
      <c r="J1453" t="s">
        <v>63</v>
      </c>
      <c r="K1453" s="8">
        <v>59</v>
      </c>
      <c r="L1453" s="8" t="s">
        <v>6592</v>
      </c>
      <c r="M1453" s="8" t="s">
        <v>6629</v>
      </c>
      <c r="N1453" t="s">
        <v>3524</v>
      </c>
      <c r="O1453" t="s">
        <v>6496</v>
      </c>
      <c r="P1453" s="4">
        <v>1000</v>
      </c>
      <c r="Q1453">
        <f t="shared" si="373"/>
        <v>70</v>
      </c>
      <c r="R1453">
        <f t="shared" si="374"/>
        <v>1.1666666666666667</v>
      </c>
      <c r="S1453" s="2">
        <v>45738</v>
      </c>
      <c r="U1453">
        <v>6</v>
      </c>
      <c r="V1453" s="4">
        <v>6000</v>
      </c>
      <c r="W1453" t="s">
        <v>65</v>
      </c>
      <c r="X1453" t="s">
        <v>4985</v>
      </c>
      <c r="Y1453">
        <v>0</v>
      </c>
      <c r="Z1453" s="4">
        <v>6000</v>
      </c>
      <c r="AA1453">
        <v>0</v>
      </c>
      <c r="AB1453">
        <v>0</v>
      </c>
      <c r="AC1453">
        <v>0</v>
      </c>
      <c r="AD1453">
        <v>0</v>
      </c>
      <c r="AG1453">
        <v>0</v>
      </c>
      <c r="AP1453" t="s">
        <v>4986</v>
      </c>
      <c r="AQ1453" t="s">
        <v>182</v>
      </c>
      <c r="AR1453" t="s">
        <v>6643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BC1453" t="s">
        <v>69</v>
      </c>
      <c r="BD1453" t="s">
        <v>4990</v>
      </c>
      <c r="BE1453">
        <v>0</v>
      </c>
      <c r="BG1453" t="s">
        <v>182</v>
      </c>
      <c r="BJ1453" t="s">
        <v>4991</v>
      </c>
    </row>
    <row r="1454" spans="1:62" x14ac:dyDescent="0.35">
      <c r="A1454" t="s">
        <v>4992</v>
      </c>
      <c r="B1454">
        <v>10000</v>
      </c>
      <c r="C1454">
        <v>10000</v>
      </c>
      <c r="D1454" s="2">
        <v>45740</v>
      </c>
      <c r="E1454" t="s">
        <v>61</v>
      </c>
      <c r="F1454" t="s">
        <v>4851</v>
      </c>
      <c r="G1454" t="s">
        <v>4993</v>
      </c>
      <c r="I1454">
        <v>1</v>
      </c>
      <c r="J1454" t="s">
        <v>63</v>
      </c>
      <c r="K1454" s="8">
        <v>61</v>
      </c>
      <c r="L1454" s="8" t="s">
        <v>6594</v>
      </c>
      <c r="M1454" s="8" t="s">
        <v>6629</v>
      </c>
      <c r="N1454" t="s">
        <v>216</v>
      </c>
      <c r="O1454" t="s">
        <v>6394</v>
      </c>
      <c r="P1454">
        <v>100</v>
      </c>
      <c r="Q1454">
        <f t="shared" ref="Q1454:Q1455" si="375">(P1454/50)+45</f>
        <v>47</v>
      </c>
      <c r="R1454">
        <f t="shared" ref="R1454:R1458" si="376">Q1454/60</f>
        <v>0.78333333333333333</v>
      </c>
      <c r="S1454" s="2">
        <v>45738</v>
      </c>
      <c r="U1454">
        <v>2</v>
      </c>
      <c r="V1454">
        <v>200</v>
      </c>
      <c r="W1454" t="s">
        <v>65</v>
      </c>
      <c r="X1454" t="s">
        <v>4994</v>
      </c>
      <c r="Y1454">
        <v>0</v>
      </c>
      <c r="Z1454">
        <v>200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4995</v>
      </c>
      <c r="AQ1454" t="s">
        <v>4996</v>
      </c>
      <c r="AR1454" t="s">
        <v>6737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BC1454" t="s">
        <v>69</v>
      </c>
      <c r="BD1454" t="s">
        <v>4997</v>
      </c>
      <c r="BE1454">
        <v>0</v>
      </c>
      <c r="BG1454" t="s">
        <v>4996</v>
      </c>
      <c r="BJ1454" t="s">
        <v>4998</v>
      </c>
    </row>
    <row r="1455" spans="1:62" x14ac:dyDescent="0.35">
      <c r="A1455" t="s">
        <v>4999</v>
      </c>
      <c r="B1455">
        <v>10000</v>
      </c>
      <c r="C1455">
        <v>10000</v>
      </c>
      <c r="D1455" s="2">
        <v>45740</v>
      </c>
      <c r="E1455" t="s">
        <v>61</v>
      </c>
      <c r="F1455" t="s">
        <v>4826</v>
      </c>
      <c r="G1455" t="s">
        <v>4993</v>
      </c>
      <c r="I1455">
        <v>1</v>
      </c>
      <c r="J1455" t="s">
        <v>63</v>
      </c>
      <c r="K1455" s="8">
        <v>61</v>
      </c>
      <c r="L1455" s="8" t="s">
        <v>6594</v>
      </c>
      <c r="M1455" s="8" t="s">
        <v>6629</v>
      </c>
      <c r="N1455" t="s">
        <v>216</v>
      </c>
      <c r="O1455" t="s">
        <v>6394</v>
      </c>
      <c r="P1455">
        <v>500</v>
      </c>
      <c r="Q1455">
        <f t="shared" si="375"/>
        <v>55</v>
      </c>
      <c r="R1455">
        <f t="shared" si="376"/>
        <v>0.91666666666666663</v>
      </c>
      <c r="S1455" s="2">
        <v>45738</v>
      </c>
      <c r="U1455">
        <v>2</v>
      </c>
      <c r="V1455" s="4">
        <v>1000</v>
      </c>
      <c r="W1455" t="s">
        <v>65</v>
      </c>
      <c r="X1455" t="s">
        <v>5000</v>
      </c>
      <c r="Y1455">
        <v>0</v>
      </c>
      <c r="Z1455" s="4">
        <v>1000</v>
      </c>
      <c r="AA1455">
        <v>0</v>
      </c>
      <c r="AB1455">
        <v>0</v>
      </c>
      <c r="AC1455">
        <v>0</v>
      </c>
      <c r="AD1455">
        <v>0</v>
      </c>
      <c r="AG1455">
        <v>0</v>
      </c>
      <c r="AP1455" t="s">
        <v>5001</v>
      </c>
      <c r="AQ1455" t="s">
        <v>4996</v>
      </c>
      <c r="AR1455" t="s">
        <v>6737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BC1455" t="s">
        <v>69</v>
      </c>
      <c r="BD1455" t="s">
        <v>5002</v>
      </c>
      <c r="BE1455">
        <v>0</v>
      </c>
      <c r="BG1455" t="s">
        <v>4996</v>
      </c>
      <c r="BJ1455" t="s">
        <v>4998</v>
      </c>
    </row>
    <row r="1456" spans="1:62" x14ac:dyDescent="0.35">
      <c r="A1456" t="s">
        <v>5003</v>
      </c>
      <c r="B1456">
        <v>10000</v>
      </c>
      <c r="C1456">
        <v>10000</v>
      </c>
      <c r="D1456" s="2">
        <v>45741</v>
      </c>
      <c r="E1456" t="s">
        <v>61</v>
      </c>
      <c r="F1456" t="s">
        <v>5004</v>
      </c>
      <c r="G1456" t="s">
        <v>1435</v>
      </c>
      <c r="I1456">
        <v>1</v>
      </c>
      <c r="J1456" t="s">
        <v>63</v>
      </c>
      <c r="K1456" s="8">
        <v>29</v>
      </c>
      <c r="L1456" s="8" t="s">
        <v>6595</v>
      </c>
      <c r="M1456" s="8" t="s">
        <v>6629</v>
      </c>
      <c r="N1456" t="s">
        <v>249</v>
      </c>
      <c r="O1456" t="s">
        <v>6500</v>
      </c>
      <c r="P1456" s="4">
        <v>24000</v>
      </c>
      <c r="Q1456">
        <f t="shared" ref="Q1456:Q1458" si="377">(P1456/40)+45</f>
        <v>645</v>
      </c>
      <c r="R1456">
        <f t="shared" si="376"/>
        <v>10.75</v>
      </c>
      <c r="S1456" s="2">
        <v>45738</v>
      </c>
      <c r="U1456">
        <v>2</v>
      </c>
      <c r="V1456" s="4">
        <v>48000</v>
      </c>
      <c r="W1456" t="s">
        <v>65</v>
      </c>
      <c r="X1456" t="s">
        <v>250</v>
      </c>
      <c r="Y1456">
        <v>0</v>
      </c>
      <c r="Z1456" s="4">
        <v>48000</v>
      </c>
      <c r="AA1456">
        <v>0</v>
      </c>
      <c r="AB1456">
        <v>0</v>
      </c>
      <c r="AC1456">
        <v>0</v>
      </c>
      <c r="AD1456">
        <v>0</v>
      </c>
      <c r="AG1456">
        <v>0</v>
      </c>
      <c r="AP1456" t="s">
        <v>251</v>
      </c>
      <c r="AQ1456" t="s">
        <v>175</v>
      </c>
      <c r="AR1456" t="s">
        <v>6642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BC1456" t="s">
        <v>69</v>
      </c>
      <c r="BD1456" t="s">
        <v>5005</v>
      </c>
      <c r="BE1456">
        <v>0</v>
      </c>
      <c r="BG1456" t="s">
        <v>175</v>
      </c>
      <c r="BJ1456" t="s">
        <v>5006</v>
      </c>
    </row>
    <row r="1457" spans="1:62" x14ac:dyDescent="0.35">
      <c r="A1457" t="s">
        <v>5007</v>
      </c>
      <c r="B1457">
        <v>10000</v>
      </c>
      <c r="C1457">
        <v>10000</v>
      </c>
      <c r="D1457" s="2">
        <v>45740</v>
      </c>
      <c r="E1457" t="s">
        <v>61</v>
      </c>
      <c r="F1457" s="3">
        <v>0.48357638888888888</v>
      </c>
      <c r="G1457" t="s">
        <v>5008</v>
      </c>
      <c r="I1457">
        <v>1</v>
      </c>
      <c r="J1457" t="s">
        <v>63</v>
      </c>
      <c r="K1457" s="8">
        <v>78</v>
      </c>
      <c r="L1457" s="8" t="s">
        <v>6593</v>
      </c>
      <c r="M1457" s="8" t="s">
        <v>6629</v>
      </c>
      <c r="N1457" t="s">
        <v>188</v>
      </c>
      <c r="O1457" t="s">
        <v>6410</v>
      </c>
      <c r="P1457" s="4">
        <v>6000</v>
      </c>
      <c r="Q1457">
        <f t="shared" si="377"/>
        <v>195</v>
      </c>
      <c r="R1457">
        <f t="shared" si="376"/>
        <v>3.25</v>
      </c>
      <c r="S1457" s="2">
        <v>45738</v>
      </c>
      <c r="U1457">
        <v>1</v>
      </c>
      <c r="V1457" s="4">
        <v>6000</v>
      </c>
      <c r="W1457" t="s">
        <v>65</v>
      </c>
      <c r="X1457" t="s">
        <v>2837</v>
      </c>
      <c r="Y1457">
        <v>0</v>
      </c>
      <c r="Z1457" s="4">
        <v>6000</v>
      </c>
      <c r="AA1457">
        <v>0</v>
      </c>
      <c r="AB1457">
        <v>0</v>
      </c>
      <c r="AC1457">
        <v>0</v>
      </c>
      <c r="AD1457">
        <v>0</v>
      </c>
      <c r="AG1457">
        <v>0</v>
      </c>
      <c r="AP1457" t="s">
        <v>2838</v>
      </c>
      <c r="AQ1457" t="s">
        <v>427</v>
      </c>
      <c r="AR1457" t="s">
        <v>6709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BC1457" t="s">
        <v>69</v>
      </c>
      <c r="BD1457" t="s">
        <v>5009</v>
      </c>
      <c r="BE1457">
        <v>0</v>
      </c>
      <c r="BG1457" t="s">
        <v>427</v>
      </c>
      <c r="BJ1457" t="s">
        <v>5010</v>
      </c>
    </row>
    <row r="1458" spans="1:62" x14ac:dyDescent="0.35">
      <c r="A1458" t="s">
        <v>5011</v>
      </c>
      <c r="B1458">
        <v>10000</v>
      </c>
      <c r="C1458">
        <v>10000</v>
      </c>
      <c r="D1458" s="2">
        <v>45740</v>
      </c>
      <c r="E1458" t="s">
        <v>61</v>
      </c>
      <c r="F1458" t="s">
        <v>4851</v>
      </c>
      <c r="G1458" t="s">
        <v>5012</v>
      </c>
      <c r="I1458">
        <v>1</v>
      </c>
      <c r="J1458" t="s">
        <v>63</v>
      </c>
      <c r="K1458" s="8">
        <v>46</v>
      </c>
      <c r="L1458" s="8" t="s">
        <v>6587</v>
      </c>
      <c r="M1458" s="8" t="s">
        <v>6629</v>
      </c>
      <c r="N1458" t="s">
        <v>113</v>
      </c>
      <c r="O1458" t="s">
        <v>6499</v>
      </c>
      <c r="P1458" s="4">
        <v>12000</v>
      </c>
      <c r="Q1458">
        <f t="shared" si="377"/>
        <v>345</v>
      </c>
      <c r="R1458">
        <f t="shared" si="376"/>
        <v>5.75</v>
      </c>
      <c r="S1458" s="2">
        <v>45738</v>
      </c>
      <c r="U1458">
        <v>1</v>
      </c>
      <c r="V1458" s="4">
        <v>12000</v>
      </c>
      <c r="W1458" t="s">
        <v>65</v>
      </c>
      <c r="X1458" t="s">
        <v>5013</v>
      </c>
      <c r="Y1458">
        <v>0</v>
      </c>
      <c r="Z1458" s="4">
        <v>12000</v>
      </c>
      <c r="AA1458">
        <v>0</v>
      </c>
      <c r="AB1458">
        <v>0</v>
      </c>
      <c r="AC1458">
        <v>0</v>
      </c>
      <c r="AD1458">
        <v>0</v>
      </c>
      <c r="AG1458">
        <v>0</v>
      </c>
      <c r="AP1458" t="s">
        <v>5014</v>
      </c>
      <c r="AQ1458" t="s">
        <v>116</v>
      </c>
      <c r="AR1458" t="s">
        <v>6639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BC1458" t="s">
        <v>69</v>
      </c>
      <c r="BD1458" t="s">
        <v>5015</v>
      </c>
      <c r="BE1458">
        <v>0</v>
      </c>
      <c r="BG1458" t="s">
        <v>116</v>
      </c>
      <c r="BJ1458" t="s">
        <v>3004</v>
      </c>
    </row>
    <row r="1459" spans="1:62" x14ac:dyDescent="0.35">
      <c r="A1459" t="s">
        <v>5016</v>
      </c>
      <c r="B1459">
        <v>10000</v>
      </c>
      <c r="C1459">
        <v>10000</v>
      </c>
      <c r="D1459" s="2">
        <v>45740</v>
      </c>
      <c r="E1459" t="s">
        <v>61</v>
      </c>
      <c r="F1459" s="3">
        <v>0.4840740740740741</v>
      </c>
      <c r="G1459" t="s">
        <v>5017</v>
      </c>
      <c r="I1459">
        <v>1</v>
      </c>
      <c r="J1459" t="s">
        <v>63</v>
      </c>
      <c r="K1459" s="8">
        <v>22</v>
      </c>
      <c r="L1459" s="8" t="s">
        <v>6603</v>
      </c>
      <c r="M1459" s="8" t="s">
        <v>6629</v>
      </c>
      <c r="N1459" t="s">
        <v>466</v>
      </c>
      <c r="O1459" t="s">
        <v>6474</v>
      </c>
      <c r="P1459" s="4">
        <v>4000</v>
      </c>
      <c r="Q1459">
        <f t="shared" ref="Q1459:Q1463" si="378">(P1459/50)+45</f>
        <v>125</v>
      </c>
      <c r="R1459">
        <f t="shared" ref="R1459:R1463" si="379">Q1459/60</f>
        <v>2.0833333333333335</v>
      </c>
      <c r="S1459" s="2">
        <v>45738</v>
      </c>
      <c r="U1459">
        <v>1</v>
      </c>
      <c r="V1459" s="4">
        <v>4000</v>
      </c>
      <c r="W1459" t="s">
        <v>65</v>
      </c>
      <c r="X1459" t="s">
        <v>3768</v>
      </c>
      <c r="Y1459">
        <v>0</v>
      </c>
      <c r="Z1459" s="4">
        <v>4000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3769</v>
      </c>
      <c r="AQ1459" t="s">
        <v>116</v>
      </c>
      <c r="AR1459" t="s">
        <v>6639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BC1459" t="s">
        <v>69</v>
      </c>
      <c r="BD1459" t="s">
        <v>5018</v>
      </c>
      <c r="BE1459">
        <v>0</v>
      </c>
      <c r="BG1459" t="s">
        <v>116</v>
      </c>
      <c r="BJ1459" t="s">
        <v>4586</v>
      </c>
    </row>
    <row r="1460" spans="1:62" x14ac:dyDescent="0.35">
      <c r="A1460" t="s">
        <v>5019</v>
      </c>
      <c r="B1460">
        <v>10000</v>
      </c>
      <c r="C1460">
        <v>10000</v>
      </c>
      <c r="D1460" s="2">
        <v>45741</v>
      </c>
      <c r="E1460" t="s">
        <v>95</v>
      </c>
      <c r="F1460" t="s">
        <v>5020</v>
      </c>
      <c r="G1460" t="s">
        <v>4827</v>
      </c>
      <c r="I1460">
        <v>1</v>
      </c>
      <c r="J1460" t="s">
        <v>63</v>
      </c>
      <c r="K1460" s="8">
        <v>12</v>
      </c>
      <c r="L1460" s="8" t="s">
        <v>6604</v>
      </c>
      <c r="M1460" s="8" t="s">
        <v>6629</v>
      </c>
      <c r="N1460" t="s">
        <v>478</v>
      </c>
      <c r="O1460" t="s">
        <v>6434</v>
      </c>
      <c r="P1460" s="4">
        <v>21000</v>
      </c>
      <c r="Q1460">
        <f t="shared" si="378"/>
        <v>465</v>
      </c>
      <c r="R1460">
        <f t="shared" si="379"/>
        <v>7.75</v>
      </c>
      <c r="S1460" s="2">
        <v>45738</v>
      </c>
      <c r="U1460">
        <v>1</v>
      </c>
      <c r="V1460" s="4">
        <v>21000</v>
      </c>
      <c r="W1460" t="s">
        <v>65</v>
      </c>
      <c r="X1460" t="s">
        <v>2408</v>
      </c>
      <c r="Y1460">
        <v>0</v>
      </c>
      <c r="Z1460" s="4">
        <v>21000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2409</v>
      </c>
      <c r="AQ1460" t="s">
        <v>116</v>
      </c>
      <c r="AR1460" t="s">
        <v>6639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BC1460" t="s">
        <v>69</v>
      </c>
      <c r="BD1460" t="s">
        <v>5021</v>
      </c>
      <c r="BE1460">
        <v>0</v>
      </c>
      <c r="BG1460" t="s">
        <v>116</v>
      </c>
      <c r="BJ1460" t="s">
        <v>3813</v>
      </c>
    </row>
    <row r="1461" spans="1:62" x14ac:dyDescent="0.35">
      <c r="A1461" t="s">
        <v>5022</v>
      </c>
      <c r="B1461">
        <v>10000</v>
      </c>
      <c r="C1461">
        <v>10000</v>
      </c>
      <c r="D1461" s="2">
        <v>45740</v>
      </c>
      <c r="E1461" t="s">
        <v>61</v>
      </c>
      <c r="F1461" t="s">
        <v>1786</v>
      </c>
      <c r="G1461" t="s">
        <v>2123</v>
      </c>
      <c r="I1461">
        <v>1</v>
      </c>
      <c r="J1461" t="s">
        <v>63</v>
      </c>
      <c r="K1461" s="8">
        <v>61</v>
      </c>
      <c r="L1461" s="8" t="s">
        <v>6594</v>
      </c>
      <c r="M1461" s="8" t="s">
        <v>6629</v>
      </c>
      <c r="N1461" t="s">
        <v>197</v>
      </c>
      <c r="O1461" t="s">
        <v>6565</v>
      </c>
      <c r="P1461" s="4">
        <v>1500</v>
      </c>
      <c r="Q1461">
        <f t="shared" si="378"/>
        <v>75</v>
      </c>
      <c r="R1461">
        <f t="shared" si="379"/>
        <v>1.25</v>
      </c>
      <c r="S1461" s="2">
        <v>45738</v>
      </c>
      <c r="U1461">
        <v>4</v>
      </c>
      <c r="V1461" s="4">
        <v>6000</v>
      </c>
      <c r="W1461" t="s">
        <v>65</v>
      </c>
      <c r="X1461" t="s">
        <v>5023</v>
      </c>
      <c r="Y1461">
        <v>0</v>
      </c>
      <c r="Z1461" s="4">
        <v>6000</v>
      </c>
      <c r="AA1461">
        <v>0</v>
      </c>
      <c r="AB1461">
        <v>0</v>
      </c>
      <c r="AC1461">
        <v>0</v>
      </c>
      <c r="AD1461">
        <v>0</v>
      </c>
      <c r="AG1461">
        <v>0</v>
      </c>
      <c r="AP1461" t="s">
        <v>5024</v>
      </c>
      <c r="AQ1461" t="s">
        <v>116</v>
      </c>
      <c r="AR1461" t="s">
        <v>6639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BC1461" t="s">
        <v>69</v>
      </c>
      <c r="BD1461" t="s">
        <v>5025</v>
      </c>
      <c r="BE1461">
        <v>0</v>
      </c>
      <c r="BG1461" t="s">
        <v>116</v>
      </c>
      <c r="BJ1461" t="s">
        <v>3320</v>
      </c>
    </row>
    <row r="1462" spans="1:62" x14ac:dyDescent="0.35">
      <c r="A1462" t="s">
        <v>5026</v>
      </c>
      <c r="B1462">
        <v>10000</v>
      </c>
      <c r="C1462">
        <v>10000</v>
      </c>
      <c r="D1462" s="2">
        <v>45740</v>
      </c>
      <c r="E1462" t="s">
        <v>61</v>
      </c>
      <c r="F1462" t="s">
        <v>4826</v>
      </c>
      <c r="G1462" t="s">
        <v>4293</v>
      </c>
      <c r="I1462">
        <v>1</v>
      </c>
      <c r="J1462" t="s">
        <v>63</v>
      </c>
      <c r="K1462" s="8">
        <v>61</v>
      </c>
      <c r="L1462" s="8" t="s">
        <v>6594</v>
      </c>
      <c r="M1462" s="8" t="s">
        <v>6629</v>
      </c>
      <c r="N1462" t="s">
        <v>197</v>
      </c>
      <c r="O1462" t="s">
        <v>6565</v>
      </c>
      <c r="P1462" s="4">
        <v>1500</v>
      </c>
      <c r="Q1462">
        <f t="shared" si="378"/>
        <v>75</v>
      </c>
      <c r="R1462">
        <f t="shared" si="379"/>
        <v>1.25</v>
      </c>
      <c r="S1462" s="2">
        <v>45738</v>
      </c>
      <c r="U1462">
        <v>4</v>
      </c>
      <c r="V1462" s="4">
        <v>6000</v>
      </c>
      <c r="W1462" t="s">
        <v>65</v>
      </c>
      <c r="X1462" t="s">
        <v>5027</v>
      </c>
      <c r="Y1462">
        <v>0</v>
      </c>
      <c r="Z1462" s="4">
        <v>6000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5028</v>
      </c>
      <c r="AQ1462" t="s">
        <v>116</v>
      </c>
      <c r="AR1462" t="s">
        <v>6639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BC1462" t="s">
        <v>69</v>
      </c>
      <c r="BD1462" t="s">
        <v>5029</v>
      </c>
      <c r="BE1462">
        <v>0</v>
      </c>
      <c r="BG1462" t="s">
        <v>116</v>
      </c>
      <c r="BJ1462" t="s">
        <v>3320</v>
      </c>
    </row>
    <row r="1463" spans="1:62" x14ac:dyDescent="0.35">
      <c r="A1463" t="s">
        <v>5030</v>
      </c>
      <c r="B1463">
        <v>10000</v>
      </c>
      <c r="C1463">
        <v>10000</v>
      </c>
      <c r="D1463" s="2">
        <v>45740</v>
      </c>
      <c r="E1463" t="s">
        <v>61</v>
      </c>
      <c r="F1463" t="s">
        <v>1786</v>
      </c>
      <c r="G1463" t="s">
        <v>4293</v>
      </c>
      <c r="I1463">
        <v>1</v>
      </c>
      <c r="J1463" t="s">
        <v>63</v>
      </c>
      <c r="K1463" s="8">
        <v>61</v>
      </c>
      <c r="L1463" s="8" t="s">
        <v>6594</v>
      </c>
      <c r="M1463" s="8" t="s">
        <v>6629</v>
      </c>
      <c r="N1463" t="s">
        <v>197</v>
      </c>
      <c r="O1463" t="s">
        <v>6565</v>
      </c>
      <c r="P1463" s="4">
        <v>1500</v>
      </c>
      <c r="Q1463">
        <f t="shared" si="378"/>
        <v>75</v>
      </c>
      <c r="R1463">
        <f t="shared" si="379"/>
        <v>1.25</v>
      </c>
      <c r="S1463" s="2">
        <v>45738</v>
      </c>
      <c r="U1463">
        <v>4</v>
      </c>
      <c r="V1463" s="4">
        <v>6000</v>
      </c>
      <c r="W1463" t="s">
        <v>65</v>
      </c>
      <c r="X1463" t="s">
        <v>5031</v>
      </c>
      <c r="Y1463">
        <v>0</v>
      </c>
      <c r="Z1463" s="4">
        <v>6000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5032</v>
      </c>
      <c r="AQ1463" t="s">
        <v>116</v>
      </c>
      <c r="AR1463" t="s">
        <v>6639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BC1463" t="s">
        <v>69</v>
      </c>
      <c r="BD1463" t="s">
        <v>5033</v>
      </c>
      <c r="BE1463">
        <v>0</v>
      </c>
      <c r="BG1463" t="s">
        <v>116</v>
      </c>
      <c r="BJ1463" t="s">
        <v>3320</v>
      </c>
    </row>
    <row r="1464" spans="1:62" x14ac:dyDescent="0.35">
      <c r="A1464" t="s">
        <v>5034</v>
      </c>
      <c r="B1464">
        <v>10000</v>
      </c>
      <c r="C1464">
        <v>10000</v>
      </c>
      <c r="D1464" s="2">
        <v>45740</v>
      </c>
      <c r="E1464" t="s">
        <v>61</v>
      </c>
      <c r="F1464" t="s">
        <v>5035</v>
      </c>
      <c r="G1464" t="s">
        <v>4340</v>
      </c>
      <c r="I1464">
        <v>1</v>
      </c>
      <c r="J1464" t="s">
        <v>63</v>
      </c>
      <c r="K1464" s="8">
        <v>72</v>
      </c>
      <c r="L1464" s="8" t="s">
        <v>6606</v>
      </c>
      <c r="M1464" s="8" t="s">
        <v>6631</v>
      </c>
      <c r="N1464" t="s">
        <v>528</v>
      </c>
      <c r="O1464" t="s">
        <v>6542</v>
      </c>
      <c r="P1464" s="4">
        <v>1875</v>
      </c>
      <c r="S1464" s="2">
        <v>45738</v>
      </c>
      <c r="U1464">
        <v>4</v>
      </c>
      <c r="V1464" s="4">
        <v>7500</v>
      </c>
      <c r="W1464" t="s">
        <v>65</v>
      </c>
      <c r="X1464">
        <v>86084000001</v>
      </c>
      <c r="Y1464">
        <v>0</v>
      </c>
      <c r="Z1464" s="4">
        <v>6000</v>
      </c>
      <c r="AA1464" s="4">
        <v>1500</v>
      </c>
      <c r="AB1464">
        <v>0</v>
      </c>
      <c r="AC1464">
        <v>0</v>
      </c>
      <c r="AD1464">
        <v>0</v>
      </c>
      <c r="AG1464">
        <v>0</v>
      </c>
      <c r="AP1464">
        <v>8608400</v>
      </c>
      <c r="AQ1464" t="s">
        <v>91</v>
      </c>
      <c r="AR1464" t="s">
        <v>6637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BC1464" t="s">
        <v>69</v>
      </c>
      <c r="BD1464" t="s">
        <v>5036</v>
      </c>
      <c r="BE1464">
        <v>0</v>
      </c>
      <c r="BG1464" t="s">
        <v>91</v>
      </c>
      <c r="BJ1464" t="s">
        <v>5037</v>
      </c>
    </row>
    <row r="1465" spans="1:62" x14ac:dyDescent="0.35">
      <c r="A1465" t="s">
        <v>5034</v>
      </c>
      <c r="B1465">
        <v>10000</v>
      </c>
      <c r="C1465">
        <v>20000</v>
      </c>
      <c r="D1465" s="2">
        <v>45740</v>
      </c>
      <c r="E1465" t="s">
        <v>61</v>
      </c>
      <c r="F1465" t="s">
        <v>5035</v>
      </c>
      <c r="G1465" t="s">
        <v>4340</v>
      </c>
      <c r="I1465">
        <v>2</v>
      </c>
      <c r="J1465" t="s">
        <v>63</v>
      </c>
      <c r="K1465" s="8">
        <v>71</v>
      </c>
      <c r="L1465" s="8" t="s">
        <v>6588</v>
      </c>
      <c r="M1465" s="8" t="s">
        <v>6630</v>
      </c>
      <c r="N1465" t="s">
        <v>135</v>
      </c>
      <c r="O1465" t="s">
        <v>6573</v>
      </c>
      <c r="P1465" s="4">
        <v>1000</v>
      </c>
      <c r="S1465" s="2">
        <v>45738</v>
      </c>
      <c r="U1465">
        <v>6</v>
      </c>
      <c r="V1465" s="4">
        <v>6000</v>
      </c>
      <c r="W1465" t="s">
        <v>65</v>
      </c>
      <c r="X1465">
        <v>86084000001</v>
      </c>
      <c r="Y1465">
        <v>0</v>
      </c>
      <c r="Z1465" s="4">
        <v>6000</v>
      </c>
      <c r="AA1465">
        <v>0</v>
      </c>
      <c r="AB1465">
        <v>0</v>
      </c>
      <c r="AC1465">
        <v>0</v>
      </c>
      <c r="AD1465">
        <v>0</v>
      </c>
      <c r="AG1465">
        <v>0</v>
      </c>
      <c r="AP1465">
        <v>8608400</v>
      </c>
      <c r="AQ1465" t="s">
        <v>91</v>
      </c>
      <c r="AR1465" t="s">
        <v>6637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BC1465" t="s">
        <v>69</v>
      </c>
      <c r="BD1465" t="s">
        <v>5036</v>
      </c>
      <c r="BE1465">
        <v>0</v>
      </c>
      <c r="BG1465" t="s">
        <v>91</v>
      </c>
      <c r="BJ1465" t="s">
        <v>5037</v>
      </c>
    </row>
    <row r="1466" spans="1:62" x14ac:dyDescent="0.35">
      <c r="A1466" t="s">
        <v>5038</v>
      </c>
      <c r="B1466">
        <v>10000</v>
      </c>
      <c r="C1466">
        <v>10000</v>
      </c>
      <c r="D1466" s="2">
        <v>45740</v>
      </c>
      <c r="E1466" t="s">
        <v>61</v>
      </c>
      <c r="F1466" t="s">
        <v>5039</v>
      </c>
      <c r="G1466" t="s">
        <v>4340</v>
      </c>
      <c r="I1466">
        <v>1</v>
      </c>
      <c r="J1466" t="s">
        <v>63</v>
      </c>
      <c r="K1466" s="8">
        <v>72</v>
      </c>
      <c r="L1466" s="8" t="s">
        <v>6606</v>
      </c>
      <c r="M1466" s="8" t="s">
        <v>6631</v>
      </c>
      <c r="N1466" t="s">
        <v>528</v>
      </c>
      <c r="O1466" t="s">
        <v>6542</v>
      </c>
      <c r="P1466" s="4">
        <v>2750</v>
      </c>
      <c r="S1466" s="2">
        <v>45738</v>
      </c>
      <c r="U1466">
        <v>4</v>
      </c>
      <c r="V1466" s="4">
        <v>11000</v>
      </c>
      <c r="W1466" t="s">
        <v>65</v>
      </c>
      <c r="X1466">
        <v>86084010001</v>
      </c>
      <c r="Y1466">
        <v>0</v>
      </c>
      <c r="Z1466" s="4">
        <v>9000</v>
      </c>
      <c r="AA1466" s="4">
        <v>2000</v>
      </c>
      <c r="AB1466">
        <v>0</v>
      </c>
      <c r="AC1466">
        <v>0</v>
      </c>
      <c r="AD1466">
        <v>0</v>
      </c>
      <c r="AG1466">
        <v>0</v>
      </c>
      <c r="AP1466">
        <v>8608401</v>
      </c>
      <c r="AQ1466" t="s">
        <v>91</v>
      </c>
      <c r="AR1466" t="s">
        <v>6637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BC1466" t="s">
        <v>69</v>
      </c>
      <c r="BD1466" t="s">
        <v>5040</v>
      </c>
      <c r="BE1466">
        <v>0</v>
      </c>
      <c r="BG1466" t="s">
        <v>91</v>
      </c>
      <c r="BJ1466" t="s">
        <v>5037</v>
      </c>
    </row>
    <row r="1467" spans="1:62" x14ac:dyDescent="0.35">
      <c r="A1467" t="s">
        <v>5038</v>
      </c>
      <c r="B1467">
        <v>10000</v>
      </c>
      <c r="C1467">
        <v>20000</v>
      </c>
      <c r="D1467" s="2">
        <v>45740</v>
      </c>
      <c r="E1467" t="s">
        <v>61</v>
      </c>
      <c r="F1467" t="s">
        <v>5039</v>
      </c>
      <c r="G1467" t="s">
        <v>4340</v>
      </c>
      <c r="I1467">
        <v>2</v>
      </c>
      <c r="J1467" t="s">
        <v>63</v>
      </c>
      <c r="K1467" s="8">
        <v>71</v>
      </c>
      <c r="L1467" s="8" t="s">
        <v>6588</v>
      </c>
      <c r="M1467" s="8" t="s">
        <v>6630</v>
      </c>
      <c r="N1467" t="s">
        <v>135</v>
      </c>
      <c r="O1467" t="s">
        <v>6573</v>
      </c>
      <c r="P1467" s="4">
        <v>1500</v>
      </c>
      <c r="S1467" s="2">
        <v>45738</v>
      </c>
      <c r="U1467">
        <v>6</v>
      </c>
      <c r="V1467" s="4">
        <v>9000</v>
      </c>
      <c r="W1467" t="s">
        <v>65</v>
      </c>
      <c r="X1467">
        <v>86084010001</v>
      </c>
      <c r="Y1467">
        <v>0</v>
      </c>
      <c r="Z1467" s="4">
        <v>9000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>
        <v>8608401</v>
      </c>
      <c r="AQ1467" t="s">
        <v>91</v>
      </c>
      <c r="AR1467" t="s">
        <v>6637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BC1467" t="s">
        <v>69</v>
      </c>
      <c r="BD1467" t="s">
        <v>5040</v>
      </c>
      <c r="BE1467">
        <v>0</v>
      </c>
      <c r="BG1467" t="s">
        <v>91</v>
      </c>
      <c r="BJ1467" t="s">
        <v>5037</v>
      </c>
    </row>
    <row r="1468" spans="1:62" x14ac:dyDescent="0.35">
      <c r="A1468" t="s">
        <v>5041</v>
      </c>
      <c r="B1468">
        <v>10000</v>
      </c>
      <c r="C1468">
        <v>10000</v>
      </c>
      <c r="D1468" s="2">
        <v>45740</v>
      </c>
      <c r="E1468" t="s">
        <v>61</v>
      </c>
      <c r="F1468" t="s">
        <v>4860</v>
      </c>
      <c r="G1468" t="s">
        <v>4939</v>
      </c>
      <c r="I1468">
        <v>1</v>
      </c>
      <c r="J1468" t="s">
        <v>63</v>
      </c>
      <c r="K1468" s="8">
        <v>32</v>
      </c>
      <c r="L1468" s="8" t="s">
        <v>6607</v>
      </c>
      <c r="M1468" s="8" t="s">
        <v>6629</v>
      </c>
      <c r="N1468" t="s">
        <v>553</v>
      </c>
      <c r="O1468" t="s">
        <v>6552</v>
      </c>
      <c r="P1468" s="4">
        <v>5860</v>
      </c>
      <c r="S1468" s="2">
        <v>45738</v>
      </c>
      <c r="U1468">
        <v>1</v>
      </c>
      <c r="V1468" s="4">
        <v>5860</v>
      </c>
      <c r="W1468" t="s">
        <v>65</v>
      </c>
      <c r="X1468" t="s">
        <v>2199</v>
      </c>
      <c r="Y1468">
        <v>0</v>
      </c>
      <c r="Z1468" s="4">
        <v>5360</v>
      </c>
      <c r="AA1468">
        <v>500</v>
      </c>
      <c r="AB1468">
        <v>0</v>
      </c>
      <c r="AC1468">
        <v>0</v>
      </c>
      <c r="AD1468">
        <v>0</v>
      </c>
      <c r="AG1468">
        <v>0</v>
      </c>
      <c r="AP1468" t="s">
        <v>2200</v>
      </c>
      <c r="AQ1468" t="s">
        <v>116</v>
      </c>
      <c r="AR1468" t="s">
        <v>6639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BC1468" t="s">
        <v>69</v>
      </c>
      <c r="BD1468" t="s">
        <v>5042</v>
      </c>
      <c r="BE1468">
        <v>0</v>
      </c>
      <c r="BG1468" t="s">
        <v>116</v>
      </c>
      <c r="BJ1468" t="s">
        <v>5043</v>
      </c>
    </row>
    <row r="1469" spans="1:62" x14ac:dyDescent="0.35">
      <c r="A1469" t="s">
        <v>5044</v>
      </c>
      <c r="B1469">
        <v>10000</v>
      </c>
      <c r="C1469">
        <v>10000</v>
      </c>
      <c r="D1469" s="2">
        <v>45740</v>
      </c>
      <c r="E1469" t="s">
        <v>61</v>
      </c>
      <c r="F1469" t="s">
        <v>5045</v>
      </c>
      <c r="G1469" t="s">
        <v>4340</v>
      </c>
      <c r="I1469">
        <v>1</v>
      </c>
      <c r="J1469" t="s">
        <v>63</v>
      </c>
      <c r="K1469" s="8">
        <v>72</v>
      </c>
      <c r="L1469" s="8" t="s">
        <v>6606</v>
      </c>
      <c r="M1469" s="8" t="s">
        <v>6631</v>
      </c>
      <c r="N1469" t="s">
        <v>528</v>
      </c>
      <c r="O1469" t="s">
        <v>6542</v>
      </c>
      <c r="P1469" s="4">
        <v>3550</v>
      </c>
      <c r="S1469" s="2">
        <v>45738</v>
      </c>
      <c r="U1469">
        <v>4</v>
      </c>
      <c r="V1469" s="4">
        <v>14200</v>
      </c>
      <c r="W1469" t="s">
        <v>65</v>
      </c>
      <c r="X1469">
        <v>5000532060001</v>
      </c>
      <c r="Y1469">
        <v>0</v>
      </c>
      <c r="Z1469" s="4">
        <v>11200</v>
      </c>
      <c r="AA1469" s="4">
        <v>3000</v>
      </c>
      <c r="AB1469">
        <v>0</v>
      </c>
      <c r="AC1469">
        <v>0</v>
      </c>
      <c r="AD1469">
        <v>0</v>
      </c>
      <c r="AG1469">
        <v>0</v>
      </c>
      <c r="AP1469">
        <v>500053206</v>
      </c>
      <c r="AQ1469" t="s">
        <v>91</v>
      </c>
      <c r="AR1469" t="s">
        <v>6637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BC1469" t="s">
        <v>69</v>
      </c>
      <c r="BD1469" t="s">
        <v>5046</v>
      </c>
      <c r="BE1469">
        <v>0</v>
      </c>
      <c r="BG1469" t="s">
        <v>91</v>
      </c>
      <c r="BJ1469" t="s">
        <v>4635</v>
      </c>
    </row>
    <row r="1470" spans="1:62" x14ac:dyDescent="0.35">
      <c r="A1470" t="s">
        <v>5044</v>
      </c>
      <c r="B1470">
        <v>10000</v>
      </c>
      <c r="C1470">
        <v>20000</v>
      </c>
      <c r="D1470" s="2">
        <v>45740</v>
      </c>
      <c r="E1470" t="s">
        <v>61</v>
      </c>
      <c r="F1470" t="s">
        <v>5045</v>
      </c>
      <c r="G1470" t="s">
        <v>4340</v>
      </c>
      <c r="I1470">
        <v>2</v>
      </c>
      <c r="J1470" t="s">
        <v>63</v>
      </c>
      <c r="K1470" s="8">
        <v>71</v>
      </c>
      <c r="L1470" s="8" t="s">
        <v>6588</v>
      </c>
      <c r="M1470" s="8" t="s">
        <v>6630</v>
      </c>
      <c r="N1470" t="s">
        <v>135</v>
      </c>
      <c r="O1470" t="s">
        <v>6573</v>
      </c>
      <c r="P1470" s="4">
        <v>1867</v>
      </c>
      <c r="S1470" s="2">
        <v>45738</v>
      </c>
      <c r="U1470">
        <v>6</v>
      </c>
      <c r="V1470" s="4">
        <v>11202</v>
      </c>
      <c r="W1470" t="s">
        <v>65</v>
      </c>
      <c r="X1470">
        <v>5000532060001</v>
      </c>
      <c r="Y1470">
        <v>0</v>
      </c>
      <c r="Z1470" s="4">
        <v>11200</v>
      </c>
      <c r="AA1470">
        <v>2</v>
      </c>
      <c r="AB1470">
        <v>0</v>
      </c>
      <c r="AC1470">
        <v>0</v>
      </c>
      <c r="AD1470">
        <v>0</v>
      </c>
      <c r="AG1470">
        <v>0</v>
      </c>
      <c r="AP1470">
        <v>500053206</v>
      </c>
      <c r="AQ1470" t="s">
        <v>91</v>
      </c>
      <c r="AR1470" t="s">
        <v>6637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BC1470" t="s">
        <v>69</v>
      </c>
      <c r="BD1470" t="s">
        <v>5046</v>
      </c>
      <c r="BE1470">
        <v>0</v>
      </c>
      <c r="BG1470" t="s">
        <v>91</v>
      </c>
      <c r="BJ1470" t="s">
        <v>4635</v>
      </c>
    </row>
    <row r="1471" spans="1:62" x14ac:dyDescent="0.35">
      <c r="A1471" t="s">
        <v>4639</v>
      </c>
      <c r="B1471">
        <v>10000</v>
      </c>
      <c r="C1471">
        <v>20000</v>
      </c>
      <c r="D1471" s="2">
        <v>45740</v>
      </c>
      <c r="E1471" t="s">
        <v>61</v>
      </c>
      <c r="F1471" t="s">
        <v>4640</v>
      </c>
      <c r="G1471" t="s">
        <v>4340</v>
      </c>
      <c r="I1471">
        <v>2</v>
      </c>
      <c r="J1471" t="s">
        <v>63</v>
      </c>
      <c r="K1471" s="8">
        <v>71</v>
      </c>
      <c r="L1471" s="8" t="s">
        <v>6588</v>
      </c>
      <c r="M1471" s="8" t="s">
        <v>6630</v>
      </c>
      <c r="N1471" t="s">
        <v>135</v>
      </c>
      <c r="O1471" t="s">
        <v>6573</v>
      </c>
      <c r="P1471" s="4">
        <v>9334</v>
      </c>
      <c r="S1471" s="2">
        <v>45738</v>
      </c>
      <c r="U1471">
        <v>6</v>
      </c>
      <c r="V1471" s="4">
        <v>56004</v>
      </c>
      <c r="W1471" t="s">
        <v>65</v>
      </c>
      <c r="X1471">
        <v>5000538120001</v>
      </c>
      <c r="Y1471">
        <v>0</v>
      </c>
      <c r="Z1471" s="4">
        <v>28000</v>
      </c>
      <c r="AA1471" s="4">
        <v>28004</v>
      </c>
      <c r="AB1471">
        <v>0</v>
      </c>
      <c r="AC1471">
        <v>0</v>
      </c>
      <c r="AD1471">
        <v>0</v>
      </c>
      <c r="AG1471">
        <v>0</v>
      </c>
      <c r="AP1471">
        <v>500053812</v>
      </c>
      <c r="AQ1471" t="s">
        <v>91</v>
      </c>
      <c r="AR1471" t="s">
        <v>6637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BC1471" t="s">
        <v>69</v>
      </c>
      <c r="BD1471" t="s">
        <v>4641</v>
      </c>
      <c r="BE1471">
        <v>0</v>
      </c>
      <c r="BG1471" t="s">
        <v>91</v>
      </c>
      <c r="BJ1471" t="s">
        <v>4635</v>
      </c>
    </row>
    <row r="1472" spans="1:62" x14ac:dyDescent="0.35">
      <c r="A1472" t="s">
        <v>5047</v>
      </c>
      <c r="B1472">
        <v>10000</v>
      </c>
      <c r="C1472">
        <v>10000</v>
      </c>
      <c r="D1472" s="2">
        <v>45740</v>
      </c>
      <c r="E1472" t="s">
        <v>61</v>
      </c>
      <c r="F1472" t="s">
        <v>2407</v>
      </c>
      <c r="G1472">
        <v>164353308</v>
      </c>
      <c r="I1472">
        <v>1</v>
      </c>
      <c r="J1472" t="s">
        <v>63</v>
      </c>
      <c r="K1472" s="8">
        <v>60</v>
      </c>
      <c r="L1472" s="8" t="s">
        <v>6590</v>
      </c>
      <c r="M1472" s="8" t="s">
        <v>6630</v>
      </c>
      <c r="N1472" t="s">
        <v>277</v>
      </c>
      <c r="O1472" t="s">
        <v>6554</v>
      </c>
      <c r="P1472" s="4">
        <v>1667</v>
      </c>
      <c r="Q1472">
        <f>(P1472/50)+45</f>
        <v>78.34</v>
      </c>
      <c r="R1472">
        <f>Q1472/60</f>
        <v>1.3056666666666668</v>
      </c>
      <c r="S1472" s="2">
        <v>45738</v>
      </c>
      <c r="U1472">
        <v>6</v>
      </c>
      <c r="V1472" s="4">
        <v>10002</v>
      </c>
      <c r="W1472" t="s">
        <v>65</v>
      </c>
      <c r="X1472">
        <v>1282880001</v>
      </c>
      <c r="Y1472">
        <v>0</v>
      </c>
      <c r="Z1472" s="4">
        <v>10000</v>
      </c>
      <c r="AA1472">
        <v>2</v>
      </c>
      <c r="AB1472">
        <v>0</v>
      </c>
      <c r="AC1472">
        <v>0</v>
      </c>
      <c r="AD1472">
        <v>0</v>
      </c>
      <c r="AG1472">
        <v>0</v>
      </c>
      <c r="AP1472">
        <v>128288</v>
      </c>
      <c r="AQ1472" t="s">
        <v>5048</v>
      </c>
      <c r="AR1472" t="s">
        <v>6738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BC1472" t="s">
        <v>69</v>
      </c>
      <c r="BD1472" t="s">
        <v>5049</v>
      </c>
      <c r="BE1472">
        <v>0</v>
      </c>
      <c r="BG1472" t="s">
        <v>5048</v>
      </c>
      <c r="BJ1472" t="s">
        <v>5050</v>
      </c>
    </row>
    <row r="1473" spans="1:62" x14ac:dyDescent="0.35">
      <c r="A1473" t="s">
        <v>5051</v>
      </c>
      <c r="B1473">
        <v>10000</v>
      </c>
      <c r="C1473">
        <v>20000</v>
      </c>
      <c r="D1473" s="2">
        <v>45740</v>
      </c>
      <c r="E1473" t="s">
        <v>61</v>
      </c>
      <c r="F1473" t="s">
        <v>5052</v>
      </c>
      <c r="G1473" t="s">
        <v>5053</v>
      </c>
      <c r="I1473">
        <v>1</v>
      </c>
      <c r="J1473" t="s">
        <v>63</v>
      </c>
      <c r="K1473" s="8">
        <v>112</v>
      </c>
      <c r="L1473" s="8" t="s">
        <v>6616</v>
      </c>
      <c r="M1473" s="8" t="s">
        <v>6630</v>
      </c>
      <c r="N1473" t="s">
        <v>533</v>
      </c>
      <c r="O1473" t="s">
        <v>6572</v>
      </c>
      <c r="P1473">
        <v>73</v>
      </c>
      <c r="Q1473">
        <f>(P1473/20)+45</f>
        <v>48.65</v>
      </c>
      <c r="R1473">
        <f>Q1473/60</f>
        <v>0.81083333333333329</v>
      </c>
      <c r="S1473" s="2">
        <v>45738</v>
      </c>
      <c r="U1473">
        <v>11</v>
      </c>
      <c r="V1473">
        <v>803</v>
      </c>
      <c r="W1473" t="s">
        <v>65</v>
      </c>
      <c r="X1473" t="s">
        <v>4959</v>
      </c>
      <c r="Y1473">
        <v>0</v>
      </c>
      <c r="Z1473">
        <v>800</v>
      </c>
      <c r="AA1473">
        <v>3</v>
      </c>
      <c r="AB1473">
        <v>0</v>
      </c>
      <c r="AC1473">
        <v>0</v>
      </c>
      <c r="AD1473">
        <v>0</v>
      </c>
      <c r="AG1473">
        <v>0</v>
      </c>
      <c r="AP1473" t="s">
        <v>4960</v>
      </c>
      <c r="AQ1473" t="s">
        <v>321</v>
      </c>
      <c r="AR1473" t="s">
        <v>6652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BC1473" t="s">
        <v>69</v>
      </c>
      <c r="BD1473" t="s">
        <v>5054</v>
      </c>
      <c r="BE1473">
        <v>0</v>
      </c>
      <c r="BG1473" t="s">
        <v>321</v>
      </c>
      <c r="BJ1473" t="s">
        <v>4693</v>
      </c>
    </row>
    <row r="1474" spans="1:62" x14ac:dyDescent="0.35">
      <c r="A1474" t="s">
        <v>4916</v>
      </c>
      <c r="B1474">
        <v>10000</v>
      </c>
      <c r="C1474">
        <v>30000</v>
      </c>
      <c r="D1474" s="2">
        <v>45742</v>
      </c>
      <c r="E1474" t="s">
        <v>61</v>
      </c>
      <c r="F1474" t="s">
        <v>4917</v>
      </c>
      <c r="G1474" t="s">
        <v>4918</v>
      </c>
      <c r="I1474">
        <v>2</v>
      </c>
      <c r="J1474" t="s">
        <v>63</v>
      </c>
      <c r="K1474" s="8">
        <v>96</v>
      </c>
      <c r="L1474" s="8" t="s">
        <v>6585</v>
      </c>
      <c r="M1474" s="8" t="s">
        <v>6628</v>
      </c>
      <c r="N1474" t="s">
        <v>2144</v>
      </c>
      <c r="O1474" t="s">
        <v>6577</v>
      </c>
      <c r="P1474" s="4">
        <v>152250</v>
      </c>
      <c r="S1474" s="2">
        <v>45738</v>
      </c>
      <c r="U1474">
        <v>6</v>
      </c>
      <c r="V1474" s="4">
        <v>913500</v>
      </c>
      <c r="W1474" t="s">
        <v>65</v>
      </c>
      <c r="X1474" t="s">
        <v>1410</v>
      </c>
      <c r="Y1474">
        <v>0</v>
      </c>
      <c r="Z1474" s="4">
        <v>924375</v>
      </c>
      <c r="AA1474" s="4">
        <v>-10875</v>
      </c>
      <c r="AB1474">
        <v>0</v>
      </c>
      <c r="AC1474">
        <v>0</v>
      </c>
      <c r="AD1474">
        <v>0</v>
      </c>
      <c r="AG1474">
        <v>0</v>
      </c>
      <c r="AP1474" t="s">
        <v>1411</v>
      </c>
      <c r="AQ1474" t="s">
        <v>321</v>
      </c>
      <c r="AR1474" t="s">
        <v>6652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BC1474" t="s">
        <v>69</v>
      </c>
      <c r="BD1474" t="s">
        <v>4919</v>
      </c>
      <c r="BE1474">
        <v>0</v>
      </c>
      <c r="BG1474" t="s">
        <v>321</v>
      </c>
      <c r="BJ1474" t="s">
        <v>4920</v>
      </c>
    </row>
    <row r="1475" spans="1:62" x14ac:dyDescent="0.35">
      <c r="A1475" t="s">
        <v>4916</v>
      </c>
      <c r="B1475">
        <v>10000</v>
      </c>
      <c r="C1475">
        <v>40000</v>
      </c>
      <c r="D1475" s="2">
        <v>45742</v>
      </c>
      <c r="E1475" t="s">
        <v>61</v>
      </c>
      <c r="F1475" t="s">
        <v>4917</v>
      </c>
      <c r="G1475" t="s">
        <v>4918</v>
      </c>
      <c r="I1475">
        <v>2</v>
      </c>
      <c r="J1475" t="s">
        <v>63</v>
      </c>
      <c r="K1475" s="8">
        <v>96</v>
      </c>
      <c r="L1475" s="8" t="s">
        <v>6585</v>
      </c>
      <c r="M1475" s="8" t="s">
        <v>6628</v>
      </c>
      <c r="N1475" t="s">
        <v>104</v>
      </c>
      <c r="O1475" t="s">
        <v>6579</v>
      </c>
      <c r="P1475" s="4">
        <v>63000</v>
      </c>
      <c r="S1475" s="2">
        <v>45738</v>
      </c>
      <c r="U1475">
        <v>6</v>
      </c>
      <c r="V1475" s="4">
        <v>378000</v>
      </c>
      <c r="W1475" t="s">
        <v>65</v>
      </c>
      <c r="X1475" t="s">
        <v>1410</v>
      </c>
      <c r="Y1475">
        <v>0</v>
      </c>
      <c r="Z1475" s="4">
        <v>382500</v>
      </c>
      <c r="AA1475" s="4">
        <v>-4500</v>
      </c>
      <c r="AB1475">
        <v>0</v>
      </c>
      <c r="AC1475">
        <v>0</v>
      </c>
      <c r="AD1475">
        <v>0</v>
      </c>
      <c r="AG1475">
        <v>0</v>
      </c>
      <c r="AP1475" t="s">
        <v>1411</v>
      </c>
      <c r="AQ1475" t="s">
        <v>321</v>
      </c>
      <c r="AR1475" t="s">
        <v>6652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BC1475" t="s">
        <v>69</v>
      </c>
      <c r="BD1475" t="s">
        <v>4919</v>
      </c>
      <c r="BE1475">
        <v>0</v>
      </c>
      <c r="BG1475" t="s">
        <v>321</v>
      </c>
      <c r="BJ1475" t="s">
        <v>4920</v>
      </c>
    </row>
    <row r="1476" spans="1:62" x14ac:dyDescent="0.35">
      <c r="A1476" t="s">
        <v>4925</v>
      </c>
      <c r="B1476">
        <v>10000</v>
      </c>
      <c r="C1476">
        <v>20000</v>
      </c>
      <c r="D1476" s="2">
        <v>45740</v>
      </c>
      <c r="E1476" t="s">
        <v>61</v>
      </c>
      <c r="F1476" t="s">
        <v>4922</v>
      </c>
      <c r="G1476" t="s">
        <v>418</v>
      </c>
      <c r="I1476">
        <v>1</v>
      </c>
      <c r="J1476" t="s">
        <v>63</v>
      </c>
      <c r="K1476" s="8">
        <v>59</v>
      </c>
      <c r="L1476" s="8" t="s">
        <v>6592</v>
      </c>
      <c r="M1476" s="8" t="s">
        <v>6629</v>
      </c>
      <c r="N1476" t="s">
        <v>3524</v>
      </c>
      <c r="O1476" t="s">
        <v>6496</v>
      </c>
      <c r="P1476" s="4">
        <v>1000</v>
      </c>
      <c r="Q1476">
        <f t="shared" ref="Q1476:Q1479" si="380">(P1476/40)+45</f>
        <v>70</v>
      </c>
      <c r="R1476">
        <f t="shared" ref="R1476:R1479" si="381">Q1476/60</f>
        <v>1.1666666666666667</v>
      </c>
      <c r="S1476" s="2">
        <v>45738</v>
      </c>
      <c r="U1476">
        <v>6</v>
      </c>
      <c r="V1476" s="4">
        <v>6000</v>
      </c>
      <c r="W1476" t="s">
        <v>65</v>
      </c>
      <c r="X1476" t="s">
        <v>2254</v>
      </c>
      <c r="Y1476">
        <v>0</v>
      </c>
      <c r="Z1476" s="4">
        <v>6000</v>
      </c>
      <c r="AA1476">
        <v>0</v>
      </c>
      <c r="AB1476">
        <v>0</v>
      </c>
      <c r="AC1476">
        <v>0</v>
      </c>
      <c r="AD1476">
        <v>0</v>
      </c>
      <c r="AG1476">
        <v>0</v>
      </c>
      <c r="AP1476" t="s">
        <v>2295</v>
      </c>
      <c r="AQ1476" t="s">
        <v>182</v>
      </c>
      <c r="AR1476" t="s">
        <v>6643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BC1476" t="s">
        <v>69</v>
      </c>
      <c r="BD1476" t="s">
        <v>4926</v>
      </c>
      <c r="BE1476">
        <v>0</v>
      </c>
      <c r="BG1476" t="s">
        <v>182</v>
      </c>
      <c r="BJ1476" t="s">
        <v>4927</v>
      </c>
    </row>
    <row r="1477" spans="1:62" x14ac:dyDescent="0.35">
      <c r="A1477" t="s">
        <v>4925</v>
      </c>
      <c r="B1477">
        <v>20000</v>
      </c>
      <c r="C1477">
        <v>10000</v>
      </c>
      <c r="D1477" s="2">
        <v>45740</v>
      </c>
      <c r="E1477" t="s">
        <v>61</v>
      </c>
      <c r="F1477" t="s">
        <v>4922</v>
      </c>
      <c r="G1477" t="s">
        <v>418</v>
      </c>
      <c r="I1477">
        <v>1</v>
      </c>
      <c r="J1477" t="s">
        <v>63</v>
      </c>
      <c r="K1477" s="8">
        <v>59</v>
      </c>
      <c r="L1477" s="8" t="s">
        <v>6592</v>
      </c>
      <c r="M1477" s="8" t="s">
        <v>6629</v>
      </c>
      <c r="N1477" t="s">
        <v>3524</v>
      </c>
      <c r="O1477" t="s">
        <v>6496</v>
      </c>
      <c r="P1477" s="4">
        <v>2000</v>
      </c>
      <c r="Q1477">
        <f t="shared" si="380"/>
        <v>95</v>
      </c>
      <c r="R1477">
        <f t="shared" si="381"/>
        <v>1.5833333333333333</v>
      </c>
      <c r="S1477" s="2">
        <v>45738</v>
      </c>
      <c r="U1477">
        <v>6</v>
      </c>
      <c r="V1477" s="4">
        <v>12000</v>
      </c>
      <c r="W1477" t="s">
        <v>65</v>
      </c>
      <c r="X1477" t="s">
        <v>2254</v>
      </c>
      <c r="Y1477">
        <v>0</v>
      </c>
      <c r="Z1477" s="4">
        <v>12000</v>
      </c>
      <c r="AA1477">
        <v>0</v>
      </c>
      <c r="AB1477">
        <v>0</v>
      </c>
      <c r="AC1477">
        <v>0</v>
      </c>
      <c r="AD1477">
        <v>0</v>
      </c>
      <c r="AG1477">
        <v>0</v>
      </c>
      <c r="AP1477" t="s">
        <v>2295</v>
      </c>
      <c r="AQ1477" t="s">
        <v>182</v>
      </c>
      <c r="AR1477" t="s">
        <v>6643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BC1477" t="s">
        <v>69</v>
      </c>
      <c r="BD1477" t="s">
        <v>4926</v>
      </c>
      <c r="BE1477">
        <v>0</v>
      </c>
      <c r="BG1477" t="s">
        <v>182</v>
      </c>
      <c r="BJ1477" t="s">
        <v>4927</v>
      </c>
    </row>
    <row r="1478" spans="1:62" x14ac:dyDescent="0.35">
      <c r="A1478" t="s">
        <v>4925</v>
      </c>
      <c r="B1478">
        <v>30000</v>
      </c>
      <c r="C1478">
        <v>10000</v>
      </c>
      <c r="D1478" s="2">
        <v>45740</v>
      </c>
      <c r="E1478" t="s">
        <v>61</v>
      </c>
      <c r="F1478" t="s">
        <v>4922</v>
      </c>
      <c r="G1478" t="s">
        <v>418</v>
      </c>
      <c r="I1478">
        <v>1</v>
      </c>
      <c r="J1478" t="s">
        <v>63</v>
      </c>
      <c r="K1478" s="8">
        <v>59</v>
      </c>
      <c r="L1478" s="8" t="s">
        <v>6592</v>
      </c>
      <c r="M1478" s="8" t="s">
        <v>6629</v>
      </c>
      <c r="N1478" t="s">
        <v>3524</v>
      </c>
      <c r="O1478" t="s">
        <v>6496</v>
      </c>
      <c r="P1478" s="4">
        <v>2000</v>
      </c>
      <c r="Q1478">
        <f t="shared" si="380"/>
        <v>95</v>
      </c>
      <c r="R1478">
        <f t="shared" si="381"/>
        <v>1.5833333333333333</v>
      </c>
      <c r="S1478" s="2">
        <v>45738</v>
      </c>
      <c r="U1478">
        <v>6</v>
      </c>
      <c r="V1478" s="4">
        <v>12000</v>
      </c>
      <c r="W1478" t="s">
        <v>65</v>
      </c>
      <c r="X1478" t="s">
        <v>2254</v>
      </c>
      <c r="Y1478">
        <v>0</v>
      </c>
      <c r="Z1478" s="4">
        <v>12000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2295</v>
      </c>
      <c r="AQ1478" t="s">
        <v>182</v>
      </c>
      <c r="AR1478" t="s">
        <v>6643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BC1478" t="s">
        <v>69</v>
      </c>
      <c r="BD1478" t="s">
        <v>4926</v>
      </c>
      <c r="BE1478">
        <v>0</v>
      </c>
      <c r="BG1478" t="s">
        <v>182</v>
      </c>
      <c r="BJ1478" t="s">
        <v>4927</v>
      </c>
    </row>
    <row r="1479" spans="1:62" x14ac:dyDescent="0.35">
      <c r="A1479" t="s">
        <v>5055</v>
      </c>
      <c r="B1479">
        <v>10000</v>
      </c>
      <c r="C1479">
        <v>10000</v>
      </c>
      <c r="D1479" s="2">
        <v>45740</v>
      </c>
      <c r="E1479" t="s">
        <v>61</v>
      </c>
      <c r="F1479" t="s">
        <v>4984</v>
      </c>
      <c r="G1479" t="s">
        <v>418</v>
      </c>
      <c r="I1479">
        <v>1</v>
      </c>
      <c r="J1479" t="s">
        <v>63</v>
      </c>
      <c r="K1479" s="8">
        <v>59</v>
      </c>
      <c r="L1479" s="8" t="s">
        <v>6592</v>
      </c>
      <c r="M1479" s="8" t="s">
        <v>6629</v>
      </c>
      <c r="N1479" t="s">
        <v>3524</v>
      </c>
      <c r="O1479" t="s">
        <v>6496</v>
      </c>
      <c r="P1479" s="4">
        <v>1000</v>
      </c>
      <c r="Q1479">
        <f t="shared" si="380"/>
        <v>70</v>
      </c>
      <c r="R1479">
        <f t="shared" si="381"/>
        <v>1.1666666666666667</v>
      </c>
      <c r="S1479" s="2">
        <v>45738</v>
      </c>
      <c r="U1479">
        <v>6</v>
      </c>
      <c r="V1479" s="4">
        <v>6000</v>
      </c>
      <c r="W1479" t="s">
        <v>65</v>
      </c>
      <c r="X1479" t="s">
        <v>4985</v>
      </c>
      <c r="Y1479">
        <v>0</v>
      </c>
      <c r="Z1479" s="4">
        <v>6000</v>
      </c>
      <c r="AA1479">
        <v>0</v>
      </c>
      <c r="AB1479">
        <v>0</v>
      </c>
      <c r="AC1479">
        <v>0</v>
      </c>
      <c r="AD1479">
        <v>0</v>
      </c>
      <c r="AG1479">
        <v>0</v>
      </c>
      <c r="AP1479" t="s">
        <v>4986</v>
      </c>
      <c r="AQ1479" t="s">
        <v>182</v>
      </c>
      <c r="AR1479" t="s">
        <v>6643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BC1479" t="s">
        <v>69</v>
      </c>
      <c r="BD1479" t="s">
        <v>5056</v>
      </c>
      <c r="BE1479">
        <v>0</v>
      </c>
      <c r="BG1479" t="s">
        <v>182</v>
      </c>
      <c r="BJ1479" t="s">
        <v>5057</v>
      </c>
    </row>
    <row r="1480" spans="1:62" x14ac:dyDescent="0.35">
      <c r="A1480" t="s">
        <v>5059</v>
      </c>
      <c r="B1480">
        <v>10000</v>
      </c>
      <c r="C1480">
        <v>50000</v>
      </c>
      <c r="D1480" s="2">
        <v>45750</v>
      </c>
      <c r="E1480" t="s">
        <v>61</v>
      </c>
      <c r="F1480" s="3">
        <v>0.4473611111111111</v>
      </c>
      <c r="G1480" t="s">
        <v>5060</v>
      </c>
      <c r="H1480" t="s">
        <v>5061</v>
      </c>
      <c r="I1480">
        <v>1</v>
      </c>
      <c r="J1480" t="s">
        <v>69</v>
      </c>
      <c r="K1480" s="8">
        <v>79</v>
      </c>
      <c r="L1480" s="8" t="s">
        <v>6608</v>
      </c>
      <c r="M1480" s="8" t="s">
        <v>6631</v>
      </c>
      <c r="N1480" t="s">
        <v>573</v>
      </c>
      <c r="O1480" t="s">
        <v>6547</v>
      </c>
      <c r="P1480" s="4">
        <v>1100</v>
      </c>
      <c r="Q1480">
        <f>(P1480/20)+30</f>
        <v>85</v>
      </c>
      <c r="R1480">
        <f>Q1480/60</f>
        <v>1.4166666666666667</v>
      </c>
      <c r="S1480" s="2">
        <v>45740</v>
      </c>
      <c r="U1480">
        <v>5</v>
      </c>
      <c r="V1480" s="4">
        <v>5500</v>
      </c>
      <c r="W1480" t="s">
        <v>65</v>
      </c>
      <c r="X1480" t="s">
        <v>5062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G1480">
        <v>0</v>
      </c>
      <c r="AK1480" t="s">
        <v>69</v>
      </c>
      <c r="AL1480">
        <v>0</v>
      </c>
      <c r="AM1480" t="s">
        <v>69</v>
      </c>
      <c r="AP1480" t="s">
        <v>5063</v>
      </c>
      <c r="AQ1480" t="s">
        <v>5064</v>
      </c>
      <c r="AR1480" t="s">
        <v>6739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BC1480" t="s">
        <v>69</v>
      </c>
      <c r="BG1480" t="s">
        <v>5064</v>
      </c>
      <c r="BJ1480" t="s">
        <v>5065</v>
      </c>
    </row>
    <row r="1481" spans="1:62" x14ac:dyDescent="0.35">
      <c r="A1481" t="s">
        <v>1570</v>
      </c>
      <c r="B1481">
        <v>10000</v>
      </c>
      <c r="C1481">
        <v>20000</v>
      </c>
      <c r="D1481" s="2">
        <v>45754</v>
      </c>
      <c r="E1481" t="s">
        <v>61</v>
      </c>
      <c r="F1481" t="s">
        <v>1639</v>
      </c>
      <c r="G1481" t="s">
        <v>1571</v>
      </c>
      <c r="H1481" t="s">
        <v>1572</v>
      </c>
      <c r="I1481">
        <v>2</v>
      </c>
      <c r="J1481" t="s">
        <v>69</v>
      </c>
      <c r="K1481" s="8">
        <v>77</v>
      </c>
      <c r="L1481" s="8" t="s">
        <v>6584</v>
      </c>
      <c r="M1481" s="8" t="s">
        <v>6627</v>
      </c>
      <c r="N1481" t="s">
        <v>127</v>
      </c>
      <c r="O1481" t="s">
        <v>6567</v>
      </c>
      <c r="P1481" s="4">
        <v>14862</v>
      </c>
      <c r="Q1481">
        <f>(P1481/60)+45</f>
        <v>292.7</v>
      </c>
      <c r="R1481">
        <f>Q1481/60</f>
        <v>4.878333333333333</v>
      </c>
      <c r="S1481" s="2">
        <v>45740</v>
      </c>
      <c r="U1481">
        <v>36</v>
      </c>
      <c r="V1481" s="4">
        <v>535032</v>
      </c>
      <c r="W1481" t="s">
        <v>65</v>
      </c>
      <c r="X1481" t="s">
        <v>83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G1481">
        <v>0</v>
      </c>
      <c r="AK1481" t="s">
        <v>69</v>
      </c>
      <c r="AL1481">
        <v>0</v>
      </c>
      <c r="AM1481" t="s">
        <v>69</v>
      </c>
      <c r="AP1481" t="s">
        <v>84</v>
      </c>
      <c r="AQ1481" t="s">
        <v>68</v>
      </c>
      <c r="AR1481" t="s">
        <v>6636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BC1481" t="s">
        <v>69</v>
      </c>
      <c r="BG1481" t="s">
        <v>68</v>
      </c>
      <c r="BJ1481" t="s">
        <v>1573</v>
      </c>
    </row>
    <row r="1482" spans="1:62" x14ac:dyDescent="0.35">
      <c r="A1482" t="s">
        <v>2521</v>
      </c>
      <c r="B1482">
        <v>10000</v>
      </c>
      <c r="C1482">
        <v>40000</v>
      </c>
      <c r="D1482" s="2">
        <v>45742</v>
      </c>
      <c r="E1482" t="s">
        <v>61</v>
      </c>
      <c r="F1482" t="s">
        <v>2522</v>
      </c>
      <c r="G1482">
        <v>860909190840</v>
      </c>
      <c r="H1482" t="s">
        <v>2519</v>
      </c>
      <c r="I1482">
        <v>4</v>
      </c>
      <c r="J1482" t="s">
        <v>69</v>
      </c>
      <c r="K1482" s="8">
        <v>60</v>
      </c>
      <c r="L1482" s="8" t="s">
        <v>6590</v>
      </c>
      <c r="M1482" s="8" t="s">
        <v>6630</v>
      </c>
      <c r="N1482" t="s">
        <v>277</v>
      </c>
      <c r="O1482" t="s">
        <v>6554</v>
      </c>
      <c r="P1482" s="4">
        <v>18000</v>
      </c>
      <c r="Q1482">
        <f>(P1482/50)+45</f>
        <v>405</v>
      </c>
      <c r="R1482">
        <f>Q1482/60</f>
        <v>6.75</v>
      </c>
      <c r="S1482" s="2">
        <v>45740</v>
      </c>
      <c r="U1482">
        <v>1</v>
      </c>
      <c r="V1482" s="4">
        <v>18000</v>
      </c>
      <c r="W1482" t="s">
        <v>65</v>
      </c>
      <c r="X1482">
        <v>200717160001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G1482">
        <v>0</v>
      </c>
      <c r="AK1482" t="s">
        <v>69</v>
      </c>
      <c r="AL1482">
        <v>0</v>
      </c>
      <c r="AM1482" t="s">
        <v>69</v>
      </c>
      <c r="AP1482">
        <v>20071716</v>
      </c>
      <c r="AQ1482" t="s">
        <v>182</v>
      </c>
      <c r="AR1482" t="s">
        <v>6643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BC1482" t="s">
        <v>69</v>
      </c>
      <c r="BG1482" t="s">
        <v>182</v>
      </c>
      <c r="BJ1482" t="s">
        <v>2523</v>
      </c>
    </row>
    <row r="1483" spans="1:62" x14ac:dyDescent="0.35">
      <c r="A1483" t="s">
        <v>4148</v>
      </c>
      <c r="B1483">
        <v>10000</v>
      </c>
      <c r="C1483">
        <v>20000</v>
      </c>
      <c r="D1483" s="2">
        <v>45748</v>
      </c>
      <c r="E1483" t="s">
        <v>61</v>
      </c>
      <c r="F1483" t="s">
        <v>4149</v>
      </c>
      <c r="G1483">
        <v>10620258042</v>
      </c>
      <c r="H1483" t="s">
        <v>4150</v>
      </c>
      <c r="I1483">
        <v>2</v>
      </c>
      <c r="J1483" t="s">
        <v>69</v>
      </c>
      <c r="K1483" s="8">
        <v>77</v>
      </c>
      <c r="L1483" s="8" t="s">
        <v>6584</v>
      </c>
      <c r="M1483" s="8" t="s">
        <v>6627</v>
      </c>
      <c r="N1483" t="s">
        <v>127</v>
      </c>
      <c r="O1483" t="s">
        <v>6567</v>
      </c>
      <c r="P1483">
        <v>864</v>
      </c>
      <c r="Q1483">
        <f>(P1483/60)+45</f>
        <v>59.4</v>
      </c>
      <c r="R1483">
        <f>Q1483/60</f>
        <v>0.99</v>
      </c>
      <c r="S1483" s="2">
        <v>45740</v>
      </c>
      <c r="U1483">
        <v>88</v>
      </c>
      <c r="V1483" s="4">
        <v>76032</v>
      </c>
      <c r="W1483" t="s">
        <v>65</v>
      </c>
      <c r="X1483" t="s">
        <v>4151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G1483">
        <v>0</v>
      </c>
      <c r="AK1483" t="s">
        <v>69</v>
      </c>
      <c r="AL1483">
        <v>0</v>
      </c>
      <c r="AM1483" t="s">
        <v>69</v>
      </c>
      <c r="AP1483" t="s">
        <v>4152</v>
      </c>
      <c r="AQ1483" t="s">
        <v>107</v>
      </c>
      <c r="AR1483" t="s">
        <v>6638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BC1483" t="s">
        <v>69</v>
      </c>
      <c r="BG1483" t="s">
        <v>107</v>
      </c>
      <c r="BJ1483" t="s">
        <v>4153</v>
      </c>
    </row>
    <row r="1484" spans="1:62" x14ac:dyDescent="0.35">
      <c r="A1484" t="s">
        <v>4154</v>
      </c>
      <c r="B1484">
        <v>10000</v>
      </c>
      <c r="C1484">
        <v>30000</v>
      </c>
      <c r="D1484" s="2">
        <v>45741</v>
      </c>
      <c r="E1484" t="s">
        <v>61</v>
      </c>
      <c r="F1484" t="s">
        <v>4155</v>
      </c>
      <c r="G1484" t="s">
        <v>4156</v>
      </c>
      <c r="H1484" t="s">
        <v>4150</v>
      </c>
      <c r="I1484">
        <v>3</v>
      </c>
      <c r="J1484" t="s">
        <v>69</v>
      </c>
      <c r="K1484" s="8">
        <v>85</v>
      </c>
      <c r="L1484" s="8" t="s">
        <v>6585</v>
      </c>
      <c r="M1484" s="8" t="s">
        <v>6628</v>
      </c>
      <c r="N1484" t="s">
        <v>327</v>
      </c>
      <c r="O1484" t="s">
        <v>6580</v>
      </c>
      <c r="P1484" s="4">
        <v>10000</v>
      </c>
      <c r="S1484" s="2">
        <v>45740</v>
      </c>
      <c r="U1484">
        <v>11</v>
      </c>
      <c r="V1484" s="4">
        <v>110000</v>
      </c>
      <c r="W1484" t="s">
        <v>65</v>
      </c>
      <c r="X1484" t="s">
        <v>4157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G1484">
        <v>0</v>
      </c>
      <c r="AK1484" t="s">
        <v>69</v>
      </c>
      <c r="AL1484">
        <v>0</v>
      </c>
      <c r="AM1484" t="s">
        <v>69</v>
      </c>
      <c r="AP1484" t="s">
        <v>4158</v>
      </c>
      <c r="AQ1484" t="s">
        <v>107</v>
      </c>
      <c r="AR1484" t="s">
        <v>6638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BC1484" t="s">
        <v>69</v>
      </c>
      <c r="BG1484" t="s">
        <v>107</v>
      </c>
      <c r="BJ1484" t="s">
        <v>4159</v>
      </c>
    </row>
    <row r="1485" spans="1:62" x14ac:dyDescent="0.35">
      <c r="A1485" t="s">
        <v>5066</v>
      </c>
      <c r="B1485">
        <v>10000</v>
      </c>
      <c r="C1485">
        <v>10000</v>
      </c>
      <c r="D1485" s="2">
        <v>45744</v>
      </c>
      <c r="E1485" t="s">
        <v>61</v>
      </c>
      <c r="F1485" t="s">
        <v>5067</v>
      </c>
      <c r="G1485" t="s">
        <v>5068</v>
      </c>
      <c r="H1485" t="s">
        <v>4528</v>
      </c>
      <c r="I1485">
        <v>1</v>
      </c>
      <c r="J1485" t="s">
        <v>69</v>
      </c>
      <c r="K1485" s="8">
        <v>66</v>
      </c>
      <c r="L1485" s="8" t="s">
        <v>6600</v>
      </c>
      <c r="M1485" s="8" t="s">
        <v>6630</v>
      </c>
      <c r="N1485" t="s">
        <v>800</v>
      </c>
      <c r="O1485" t="s">
        <v>6562</v>
      </c>
      <c r="P1485" s="4">
        <v>170000</v>
      </c>
      <c r="Q1485">
        <f t="shared" ref="Q1485:Q1486" si="382">(P1485/50)+45</f>
        <v>3445</v>
      </c>
      <c r="R1485">
        <f t="shared" ref="R1485:R1486" si="383">Q1485/60</f>
        <v>57.416666666666664</v>
      </c>
      <c r="S1485" s="2">
        <v>45740</v>
      </c>
      <c r="U1485">
        <v>1</v>
      </c>
      <c r="V1485" s="4">
        <v>170000</v>
      </c>
      <c r="W1485" t="s">
        <v>65</v>
      </c>
      <c r="X1485" t="s">
        <v>381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G1485">
        <v>0</v>
      </c>
      <c r="AK1485" t="s">
        <v>69</v>
      </c>
      <c r="AL1485">
        <v>0</v>
      </c>
      <c r="AM1485" t="s">
        <v>69</v>
      </c>
      <c r="AP1485" t="s">
        <v>382</v>
      </c>
      <c r="AQ1485" t="s">
        <v>175</v>
      </c>
      <c r="AR1485" t="s">
        <v>6642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BC1485" t="s">
        <v>69</v>
      </c>
      <c r="BG1485" t="s">
        <v>175</v>
      </c>
      <c r="BJ1485" t="s">
        <v>5069</v>
      </c>
    </row>
    <row r="1486" spans="1:62" x14ac:dyDescent="0.35">
      <c r="A1486" t="s">
        <v>5066</v>
      </c>
      <c r="B1486">
        <v>10000</v>
      </c>
      <c r="C1486">
        <v>20000</v>
      </c>
      <c r="D1486" s="2">
        <v>45744</v>
      </c>
      <c r="E1486" t="s">
        <v>61</v>
      </c>
      <c r="F1486" t="s">
        <v>5070</v>
      </c>
      <c r="G1486" t="s">
        <v>5068</v>
      </c>
      <c r="H1486" t="s">
        <v>4528</v>
      </c>
      <c r="I1486">
        <v>1</v>
      </c>
      <c r="J1486" t="s">
        <v>69</v>
      </c>
      <c r="K1486" s="8">
        <v>67</v>
      </c>
      <c r="L1486" s="8" t="s">
        <v>6601</v>
      </c>
      <c r="M1486" s="8" t="s">
        <v>6630</v>
      </c>
      <c r="N1486" t="s">
        <v>380</v>
      </c>
      <c r="O1486" t="s">
        <v>6558</v>
      </c>
      <c r="P1486" s="4">
        <v>110000</v>
      </c>
      <c r="Q1486">
        <f t="shared" si="382"/>
        <v>2245</v>
      </c>
      <c r="R1486">
        <f t="shared" si="383"/>
        <v>37.416666666666664</v>
      </c>
      <c r="S1486" s="2">
        <v>45740</v>
      </c>
      <c r="U1486">
        <v>1</v>
      </c>
      <c r="V1486" s="4">
        <v>110000</v>
      </c>
      <c r="W1486" t="s">
        <v>65</v>
      </c>
      <c r="X1486" t="s">
        <v>381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G1486">
        <v>0</v>
      </c>
      <c r="AK1486" t="s">
        <v>69</v>
      </c>
      <c r="AL1486">
        <v>0</v>
      </c>
      <c r="AM1486" t="s">
        <v>69</v>
      </c>
      <c r="AP1486" t="s">
        <v>382</v>
      </c>
      <c r="AQ1486" t="s">
        <v>175</v>
      </c>
      <c r="AR1486" t="s">
        <v>6642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BC1486" t="s">
        <v>69</v>
      </c>
      <c r="BG1486" t="s">
        <v>175</v>
      </c>
      <c r="BJ1486" t="s">
        <v>5069</v>
      </c>
    </row>
    <row r="1487" spans="1:62" x14ac:dyDescent="0.35">
      <c r="A1487" t="s">
        <v>3901</v>
      </c>
      <c r="B1487">
        <v>10000</v>
      </c>
      <c r="C1487">
        <v>30000</v>
      </c>
      <c r="D1487" s="2">
        <v>45742</v>
      </c>
      <c r="E1487" t="s">
        <v>61</v>
      </c>
      <c r="F1487" t="s">
        <v>3902</v>
      </c>
      <c r="G1487" t="s">
        <v>3903</v>
      </c>
      <c r="I1487">
        <v>3</v>
      </c>
      <c r="J1487" t="s">
        <v>63</v>
      </c>
      <c r="K1487" s="8">
        <v>91</v>
      </c>
      <c r="L1487" s="8" t="s">
        <v>6585</v>
      </c>
      <c r="M1487" s="8" t="s">
        <v>6628</v>
      </c>
      <c r="N1487" t="s">
        <v>104</v>
      </c>
      <c r="O1487" t="s">
        <v>6579</v>
      </c>
      <c r="P1487" s="4">
        <v>112000</v>
      </c>
      <c r="S1487" s="2">
        <v>45740</v>
      </c>
      <c r="U1487">
        <v>9</v>
      </c>
      <c r="V1487" s="4">
        <v>1008000</v>
      </c>
      <c r="W1487" t="s">
        <v>65</v>
      </c>
      <c r="X1487" t="s">
        <v>83</v>
      </c>
      <c r="Y1487">
        <v>0</v>
      </c>
      <c r="Z1487" s="4">
        <v>1000000</v>
      </c>
      <c r="AA1487" s="4">
        <v>8000</v>
      </c>
      <c r="AB1487">
        <v>0</v>
      </c>
      <c r="AC1487">
        <v>0</v>
      </c>
      <c r="AD1487">
        <v>0</v>
      </c>
      <c r="AG1487">
        <v>0</v>
      </c>
      <c r="AP1487" t="s">
        <v>84</v>
      </c>
      <c r="AQ1487" t="s">
        <v>68</v>
      </c>
      <c r="AR1487" t="s">
        <v>6636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BC1487" t="s">
        <v>69</v>
      </c>
      <c r="BD1487" t="s">
        <v>3904</v>
      </c>
      <c r="BE1487">
        <v>0</v>
      </c>
      <c r="BG1487" t="s">
        <v>68</v>
      </c>
      <c r="BJ1487" t="s">
        <v>3905</v>
      </c>
    </row>
    <row r="1488" spans="1:62" x14ac:dyDescent="0.35">
      <c r="A1488" t="s">
        <v>5071</v>
      </c>
      <c r="B1488">
        <v>10000</v>
      </c>
      <c r="C1488">
        <v>20000</v>
      </c>
      <c r="D1488" s="2">
        <v>45748</v>
      </c>
      <c r="E1488" t="s">
        <v>61</v>
      </c>
      <c r="F1488" t="s">
        <v>5072</v>
      </c>
      <c r="G1488" t="s">
        <v>5073</v>
      </c>
      <c r="I1488">
        <v>1</v>
      </c>
      <c r="J1488" t="s">
        <v>63</v>
      </c>
      <c r="K1488" s="8">
        <v>111</v>
      </c>
      <c r="L1488" s="8" t="s">
        <v>6597</v>
      </c>
      <c r="M1488" s="8" t="s">
        <v>6627</v>
      </c>
      <c r="N1488" t="s">
        <v>597</v>
      </c>
      <c r="O1488" t="s">
        <v>6556</v>
      </c>
      <c r="P1488" s="4">
        <v>56250</v>
      </c>
      <c r="Q1488">
        <f>(P1488/60)+45</f>
        <v>982.5</v>
      </c>
      <c r="R1488">
        <f>Q1488/60</f>
        <v>16.375</v>
      </c>
      <c r="S1488" s="2">
        <v>45740</v>
      </c>
      <c r="U1488">
        <v>8</v>
      </c>
      <c r="V1488" s="4">
        <v>450000</v>
      </c>
      <c r="W1488" t="s">
        <v>65</v>
      </c>
      <c r="X1488" t="s">
        <v>3920</v>
      </c>
      <c r="Y1488">
        <v>0</v>
      </c>
      <c r="Z1488" s="4">
        <v>449457</v>
      </c>
      <c r="AA1488">
        <v>543</v>
      </c>
      <c r="AB1488">
        <v>0</v>
      </c>
      <c r="AC1488">
        <v>0</v>
      </c>
      <c r="AD1488">
        <v>0</v>
      </c>
      <c r="AG1488">
        <v>0</v>
      </c>
      <c r="AP1488" t="s">
        <v>3921</v>
      </c>
      <c r="AQ1488" t="s">
        <v>271</v>
      </c>
      <c r="AR1488" t="s">
        <v>6648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BC1488" t="s">
        <v>69</v>
      </c>
      <c r="BD1488" t="s">
        <v>5074</v>
      </c>
      <c r="BE1488">
        <v>0</v>
      </c>
      <c r="BG1488" t="s">
        <v>271</v>
      </c>
      <c r="BJ1488" t="s">
        <v>5075</v>
      </c>
    </row>
    <row r="1489" spans="1:62" x14ac:dyDescent="0.35">
      <c r="A1489" t="s">
        <v>5076</v>
      </c>
      <c r="B1489">
        <v>10000</v>
      </c>
      <c r="C1489">
        <v>10000</v>
      </c>
      <c r="D1489" s="2">
        <v>45740</v>
      </c>
      <c r="E1489" t="s">
        <v>61</v>
      </c>
      <c r="F1489" t="s">
        <v>5077</v>
      </c>
      <c r="G1489" t="s">
        <v>5078</v>
      </c>
      <c r="I1489">
        <v>1</v>
      </c>
      <c r="J1489" t="s">
        <v>63</v>
      </c>
      <c r="K1489" s="8">
        <v>94</v>
      </c>
      <c r="L1489" s="8" t="s">
        <v>6599</v>
      </c>
      <c r="M1489" s="8" t="s">
        <v>6629</v>
      </c>
      <c r="N1489" t="s">
        <v>181</v>
      </c>
      <c r="O1489" t="s">
        <v>6544</v>
      </c>
      <c r="P1489" s="4">
        <v>3000</v>
      </c>
      <c r="S1489" s="2">
        <v>45740</v>
      </c>
      <c r="U1489">
        <v>6</v>
      </c>
      <c r="V1489" s="4">
        <v>18000</v>
      </c>
      <c r="W1489" t="s">
        <v>65</v>
      </c>
      <c r="X1489" t="s">
        <v>5079</v>
      </c>
      <c r="Y1489">
        <v>0</v>
      </c>
      <c r="Z1489" s="4">
        <v>18000</v>
      </c>
      <c r="AA1489">
        <v>0</v>
      </c>
      <c r="AB1489">
        <v>0</v>
      </c>
      <c r="AC1489">
        <v>0</v>
      </c>
      <c r="AD1489">
        <v>0</v>
      </c>
      <c r="AG1489">
        <v>0</v>
      </c>
      <c r="AP1489" t="s">
        <v>5080</v>
      </c>
      <c r="AQ1489" t="s">
        <v>364</v>
      </c>
      <c r="AR1489" t="s">
        <v>6653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BC1489" t="s">
        <v>69</v>
      </c>
      <c r="BD1489" t="s">
        <v>5081</v>
      </c>
      <c r="BE1489">
        <v>0</v>
      </c>
      <c r="BG1489" t="s">
        <v>364</v>
      </c>
      <c r="BJ1489" t="s">
        <v>5082</v>
      </c>
    </row>
    <row r="1490" spans="1:62" x14ac:dyDescent="0.35">
      <c r="A1490" t="s">
        <v>5083</v>
      </c>
      <c r="B1490">
        <v>10000</v>
      </c>
      <c r="C1490">
        <v>10000</v>
      </c>
      <c r="D1490" s="2">
        <v>45741</v>
      </c>
      <c r="E1490" t="s">
        <v>95</v>
      </c>
      <c r="F1490" t="s">
        <v>782</v>
      </c>
      <c r="G1490" t="s">
        <v>5084</v>
      </c>
      <c r="I1490">
        <v>1</v>
      </c>
      <c r="J1490" t="s">
        <v>63</v>
      </c>
      <c r="K1490" s="8">
        <v>78</v>
      </c>
      <c r="L1490" s="8" t="s">
        <v>6593</v>
      </c>
      <c r="M1490" s="8" t="s">
        <v>6629</v>
      </c>
      <c r="N1490" t="s">
        <v>188</v>
      </c>
      <c r="O1490" t="s">
        <v>6410</v>
      </c>
      <c r="P1490" s="4">
        <v>1667</v>
      </c>
      <c r="Q1490">
        <f t="shared" ref="Q1490:Q1491" si="384">(P1490/40)+45</f>
        <v>86.674999999999997</v>
      </c>
      <c r="R1490">
        <f t="shared" ref="R1490:R1491" si="385">Q1490/60</f>
        <v>1.4445833333333333</v>
      </c>
      <c r="S1490" s="2">
        <v>45740</v>
      </c>
      <c r="U1490">
        <v>3</v>
      </c>
      <c r="V1490" s="4">
        <v>5001</v>
      </c>
      <c r="W1490" t="s">
        <v>65</v>
      </c>
      <c r="X1490" t="s">
        <v>5085</v>
      </c>
      <c r="Y1490">
        <v>0</v>
      </c>
      <c r="Z1490" s="4">
        <v>5000</v>
      </c>
      <c r="AA1490">
        <v>1</v>
      </c>
      <c r="AB1490">
        <v>0</v>
      </c>
      <c r="AC1490">
        <v>0</v>
      </c>
      <c r="AD1490">
        <v>0</v>
      </c>
      <c r="AG1490">
        <v>0</v>
      </c>
      <c r="AP1490" t="s">
        <v>5086</v>
      </c>
      <c r="AQ1490" t="s">
        <v>5087</v>
      </c>
      <c r="AR1490" t="s">
        <v>6740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BC1490" t="s">
        <v>69</v>
      </c>
      <c r="BD1490" t="s">
        <v>5088</v>
      </c>
      <c r="BE1490">
        <v>0</v>
      </c>
      <c r="BG1490" t="s">
        <v>5087</v>
      </c>
      <c r="BJ1490" t="s">
        <v>5089</v>
      </c>
    </row>
    <row r="1491" spans="1:62" x14ac:dyDescent="0.35">
      <c r="A1491" t="s">
        <v>5090</v>
      </c>
      <c r="B1491">
        <v>10000</v>
      </c>
      <c r="C1491">
        <v>20000</v>
      </c>
      <c r="D1491" s="2">
        <v>45741</v>
      </c>
      <c r="E1491" t="s">
        <v>95</v>
      </c>
      <c r="F1491" t="s">
        <v>782</v>
      </c>
      <c r="G1491" t="s">
        <v>5084</v>
      </c>
      <c r="I1491">
        <v>1</v>
      </c>
      <c r="J1491" t="s">
        <v>63</v>
      </c>
      <c r="K1491" s="8">
        <v>78</v>
      </c>
      <c r="L1491" s="8" t="s">
        <v>6593</v>
      </c>
      <c r="M1491" s="8" t="s">
        <v>6629</v>
      </c>
      <c r="N1491" t="s">
        <v>188</v>
      </c>
      <c r="O1491" t="s">
        <v>6410</v>
      </c>
      <c r="P1491" s="4">
        <v>1667</v>
      </c>
      <c r="Q1491">
        <f t="shared" si="384"/>
        <v>86.674999999999997</v>
      </c>
      <c r="R1491">
        <f t="shared" si="385"/>
        <v>1.4445833333333333</v>
      </c>
      <c r="S1491" s="2">
        <v>45740</v>
      </c>
      <c r="U1491">
        <v>3</v>
      </c>
      <c r="V1491" s="4">
        <v>5001</v>
      </c>
      <c r="W1491" t="s">
        <v>65</v>
      </c>
      <c r="X1491" t="s">
        <v>5085</v>
      </c>
      <c r="Y1491">
        <v>0</v>
      </c>
      <c r="Z1491" s="4">
        <v>5000</v>
      </c>
      <c r="AA1491">
        <v>1</v>
      </c>
      <c r="AB1491">
        <v>0</v>
      </c>
      <c r="AC1491">
        <v>0</v>
      </c>
      <c r="AD1491">
        <v>0</v>
      </c>
      <c r="AG1491">
        <v>0</v>
      </c>
      <c r="AP1491" t="s">
        <v>5086</v>
      </c>
      <c r="AQ1491" t="s">
        <v>5087</v>
      </c>
      <c r="AR1491" t="s">
        <v>6740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BC1491" t="s">
        <v>69</v>
      </c>
      <c r="BD1491" t="s">
        <v>5091</v>
      </c>
      <c r="BE1491">
        <v>0</v>
      </c>
      <c r="BG1491" t="s">
        <v>5087</v>
      </c>
      <c r="BJ1491" t="s">
        <v>5092</v>
      </c>
    </row>
    <row r="1492" spans="1:62" x14ac:dyDescent="0.35">
      <c r="A1492" t="s">
        <v>5093</v>
      </c>
      <c r="B1492">
        <v>10000</v>
      </c>
      <c r="C1492">
        <v>20000</v>
      </c>
      <c r="D1492" s="2">
        <v>45740</v>
      </c>
      <c r="E1492" t="s">
        <v>61</v>
      </c>
      <c r="F1492" t="s">
        <v>4019</v>
      </c>
      <c r="G1492" t="s">
        <v>5094</v>
      </c>
      <c r="I1492">
        <v>1</v>
      </c>
      <c r="J1492" t="s">
        <v>63</v>
      </c>
      <c r="K1492" s="8">
        <v>112</v>
      </c>
      <c r="L1492" s="8" t="s">
        <v>6616</v>
      </c>
      <c r="M1492" s="8" t="s">
        <v>6630</v>
      </c>
      <c r="N1492" t="s">
        <v>597</v>
      </c>
      <c r="O1492" t="s">
        <v>6556</v>
      </c>
      <c r="P1492" s="4">
        <v>2273</v>
      </c>
      <c r="Q1492">
        <f>(P1492/20)+45</f>
        <v>158.65</v>
      </c>
      <c r="R1492">
        <f>Q1492/60</f>
        <v>2.6441666666666666</v>
      </c>
      <c r="S1492" s="2">
        <v>45740</v>
      </c>
      <c r="U1492">
        <v>11</v>
      </c>
      <c r="V1492" s="4">
        <v>25003</v>
      </c>
      <c r="W1492" t="s">
        <v>65</v>
      </c>
      <c r="X1492" t="s">
        <v>5095</v>
      </c>
      <c r="Y1492">
        <v>0</v>
      </c>
      <c r="Z1492" s="4">
        <v>25000</v>
      </c>
      <c r="AA1492">
        <v>3</v>
      </c>
      <c r="AB1492">
        <v>0</v>
      </c>
      <c r="AC1492">
        <v>0</v>
      </c>
      <c r="AD1492">
        <v>0</v>
      </c>
      <c r="AG1492">
        <v>0</v>
      </c>
      <c r="AP1492" t="s">
        <v>5096</v>
      </c>
      <c r="AQ1492" t="s">
        <v>321</v>
      </c>
      <c r="AR1492" t="s">
        <v>6652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BC1492" t="s">
        <v>69</v>
      </c>
      <c r="BD1492" t="s">
        <v>5097</v>
      </c>
      <c r="BE1492">
        <v>0</v>
      </c>
      <c r="BG1492" t="s">
        <v>321</v>
      </c>
      <c r="BJ1492" t="s">
        <v>4559</v>
      </c>
    </row>
    <row r="1493" spans="1:62" x14ac:dyDescent="0.35">
      <c r="A1493" t="s">
        <v>4962</v>
      </c>
      <c r="B1493">
        <v>10000</v>
      </c>
      <c r="C1493">
        <v>20000</v>
      </c>
      <c r="D1493" s="2">
        <v>45741</v>
      </c>
      <c r="E1493" t="s">
        <v>61</v>
      </c>
      <c r="F1493" t="s">
        <v>4963</v>
      </c>
      <c r="G1493" t="s">
        <v>4340</v>
      </c>
      <c r="I1493">
        <v>2</v>
      </c>
      <c r="J1493" t="s">
        <v>63</v>
      </c>
      <c r="K1493" s="8">
        <v>71</v>
      </c>
      <c r="L1493" s="8" t="s">
        <v>6588</v>
      </c>
      <c r="M1493" s="8" t="s">
        <v>6630</v>
      </c>
      <c r="N1493" t="s">
        <v>135</v>
      </c>
      <c r="O1493" t="s">
        <v>6573</v>
      </c>
      <c r="P1493" s="4">
        <v>8889</v>
      </c>
      <c r="S1493" s="2">
        <v>45740</v>
      </c>
      <c r="U1493">
        <v>9</v>
      </c>
      <c r="V1493" s="4">
        <v>80001</v>
      </c>
      <c r="W1493" t="s">
        <v>65</v>
      </c>
      <c r="X1493">
        <v>83624420001</v>
      </c>
      <c r="Y1493">
        <v>0</v>
      </c>
      <c r="Z1493" s="4">
        <v>80000</v>
      </c>
      <c r="AA1493">
        <v>1</v>
      </c>
      <c r="AB1493">
        <v>0</v>
      </c>
      <c r="AC1493">
        <v>0</v>
      </c>
      <c r="AD1493">
        <v>0</v>
      </c>
      <c r="AG1493">
        <v>0</v>
      </c>
      <c r="AP1493">
        <v>8362442</v>
      </c>
      <c r="AQ1493" t="s">
        <v>91</v>
      </c>
      <c r="AR1493" t="s">
        <v>6637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BC1493" t="s">
        <v>69</v>
      </c>
      <c r="BD1493" t="s">
        <v>4964</v>
      </c>
      <c r="BE1493">
        <v>0</v>
      </c>
      <c r="BG1493" t="s">
        <v>91</v>
      </c>
      <c r="BJ1493" t="s">
        <v>893</v>
      </c>
    </row>
    <row r="1494" spans="1:62" x14ac:dyDescent="0.35">
      <c r="A1494" t="s">
        <v>4965</v>
      </c>
      <c r="B1494">
        <v>10000</v>
      </c>
      <c r="C1494">
        <v>20000</v>
      </c>
      <c r="D1494" s="2">
        <v>45741</v>
      </c>
      <c r="E1494" t="s">
        <v>61</v>
      </c>
      <c r="F1494" t="s">
        <v>4966</v>
      </c>
      <c r="G1494" t="s">
        <v>4340</v>
      </c>
      <c r="I1494">
        <v>2</v>
      </c>
      <c r="J1494" t="s">
        <v>63</v>
      </c>
      <c r="K1494" s="8">
        <v>71</v>
      </c>
      <c r="L1494" s="8" t="s">
        <v>6588</v>
      </c>
      <c r="M1494" s="8" t="s">
        <v>6630</v>
      </c>
      <c r="N1494" t="s">
        <v>135</v>
      </c>
      <c r="O1494" t="s">
        <v>6573</v>
      </c>
      <c r="P1494" s="4">
        <v>7778</v>
      </c>
      <c r="S1494" s="2">
        <v>45740</v>
      </c>
      <c r="U1494">
        <v>8</v>
      </c>
      <c r="V1494" s="4">
        <v>62224</v>
      </c>
      <c r="W1494" t="s">
        <v>65</v>
      </c>
      <c r="X1494">
        <v>83634470001</v>
      </c>
      <c r="Y1494">
        <v>0</v>
      </c>
      <c r="Z1494" s="4">
        <v>70000</v>
      </c>
      <c r="AA1494" s="4">
        <v>-7776</v>
      </c>
      <c r="AB1494">
        <v>0</v>
      </c>
      <c r="AC1494">
        <v>0</v>
      </c>
      <c r="AD1494">
        <v>0</v>
      </c>
      <c r="AG1494">
        <v>0</v>
      </c>
      <c r="AP1494">
        <v>8363447</v>
      </c>
      <c r="AQ1494" t="s">
        <v>91</v>
      </c>
      <c r="AR1494" t="s">
        <v>6637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BC1494" t="s">
        <v>69</v>
      </c>
      <c r="BD1494" t="s">
        <v>4967</v>
      </c>
      <c r="BE1494">
        <v>0</v>
      </c>
      <c r="BG1494" t="s">
        <v>91</v>
      </c>
      <c r="BJ1494" t="s">
        <v>893</v>
      </c>
    </row>
    <row r="1495" spans="1:62" x14ac:dyDescent="0.35">
      <c r="A1495" t="s">
        <v>5098</v>
      </c>
      <c r="B1495">
        <v>10000</v>
      </c>
      <c r="C1495">
        <v>10000</v>
      </c>
      <c r="D1495" s="2">
        <v>45750</v>
      </c>
      <c r="E1495" t="s">
        <v>61</v>
      </c>
      <c r="F1495" t="s">
        <v>5099</v>
      </c>
      <c r="G1495" t="s">
        <v>5100</v>
      </c>
      <c r="I1495">
        <v>1</v>
      </c>
      <c r="J1495" t="s">
        <v>63</v>
      </c>
      <c r="K1495" s="8">
        <v>103</v>
      </c>
      <c r="L1495" s="8" t="s">
        <v>6589</v>
      </c>
      <c r="M1495" s="8" t="s">
        <v>6630</v>
      </c>
      <c r="N1495" t="s">
        <v>733</v>
      </c>
      <c r="O1495" t="s">
        <v>6561</v>
      </c>
      <c r="P1495" s="4">
        <v>90000</v>
      </c>
      <c r="Q1495">
        <f t="shared" ref="Q1495:Q1496" si="386">(P1495/20)+45</f>
        <v>4545</v>
      </c>
      <c r="R1495">
        <f t="shared" ref="R1495:R1496" si="387">Q1495/60</f>
        <v>75.75</v>
      </c>
      <c r="S1495" s="2">
        <v>45740</v>
      </c>
      <c r="U1495">
        <v>8</v>
      </c>
      <c r="V1495" s="4">
        <v>720000</v>
      </c>
      <c r="W1495" t="s">
        <v>65</v>
      </c>
      <c r="X1495" s="12" t="s">
        <v>319</v>
      </c>
      <c r="Y1495">
        <v>0</v>
      </c>
      <c r="Z1495" s="4">
        <v>720000</v>
      </c>
      <c r="AA1495">
        <v>0</v>
      </c>
      <c r="AB1495">
        <v>0</v>
      </c>
      <c r="AC1495">
        <v>0</v>
      </c>
      <c r="AD1495">
        <v>0</v>
      </c>
      <c r="AG1495">
        <v>0</v>
      </c>
      <c r="AP1495" t="s">
        <v>320</v>
      </c>
      <c r="AQ1495" t="s">
        <v>321</v>
      </c>
      <c r="AR1495" t="s">
        <v>6652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BC1495" t="s">
        <v>69</v>
      </c>
      <c r="BD1495" t="s">
        <v>5101</v>
      </c>
      <c r="BE1495">
        <v>0</v>
      </c>
      <c r="BG1495" t="s">
        <v>321</v>
      </c>
      <c r="BJ1495" t="s">
        <v>5102</v>
      </c>
    </row>
    <row r="1496" spans="1:62" x14ac:dyDescent="0.35">
      <c r="A1496" t="s">
        <v>5098</v>
      </c>
      <c r="B1496">
        <v>20000</v>
      </c>
      <c r="C1496">
        <v>10000</v>
      </c>
      <c r="D1496" s="2">
        <v>45750</v>
      </c>
      <c r="E1496" t="s">
        <v>61</v>
      </c>
      <c r="F1496" t="s">
        <v>5099</v>
      </c>
      <c r="G1496" t="s">
        <v>5100</v>
      </c>
      <c r="I1496">
        <v>1</v>
      </c>
      <c r="J1496" t="s">
        <v>63</v>
      </c>
      <c r="K1496" s="8">
        <v>103</v>
      </c>
      <c r="L1496" s="8" t="s">
        <v>6589</v>
      </c>
      <c r="M1496" s="8" t="s">
        <v>6630</v>
      </c>
      <c r="N1496" t="s">
        <v>733</v>
      </c>
      <c r="O1496" t="s">
        <v>6561</v>
      </c>
      <c r="P1496" s="4">
        <v>10625</v>
      </c>
      <c r="Q1496">
        <f t="shared" si="386"/>
        <v>576.25</v>
      </c>
      <c r="R1496">
        <f t="shared" si="387"/>
        <v>9.6041666666666661</v>
      </c>
      <c r="S1496" s="2">
        <v>45740</v>
      </c>
      <c r="U1496">
        <v>8</v>
      </c>
      <c r="V1496" s="4">
        <v>85000</v>
      </c>
      <c r="W1496" t="s">
        <v>65</v>
      </c>
      <c r="X1496" s="12" t="s">
        <v>319</v>
      </c>
      <c r="Y1496">
        <v>0</v>
      </c>
      <c r="Z1496" s="4">
        <v>85000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320</v>
      </c>
      <c r="AQ1496" t="s">
        <v>321</v>
      </c>
      <c r="AR1496" t="s">
        <v>6652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BC1496" t="s">
        <v>69</v>
      </c>
      <c r="BD1496" t="s">
        <v>5101</v>
      </c>
      <c r="BE1496">
        <v>0</v>
      </c>
      <c r="BG1496" t="s">
        <v>321</v>
      </c>
      <c r="BJ1496" t="s">
        <v>5102</v>
      </c>
    </row>
    <row r="1497" spans="1:62" x14ac:dyDescent="0.35">
      <c r="A1497" t="s">
        <v>5098</v>
      </c>
      <c r="B1497">
        <v>20000</v>
      </c>
      <c r="C1497">
        <v>20000</v>
      </c>
      <c r="D1497" s="2">
        <v>45750</v>
      </c>
      <c r="E1497" t="s">
        <v>61</v>
      </c>
      <c r="F1497" t="s">
        <v>5099</v>
      </c>
      <c r="G1497" t="s">
        <v>5100</v>
      </c>
      <c r="I1497">
        <v>1</v>
      </c>
      <c r="J1497" t="s">
        <v>63</v>
      </c>
      <c r="K1497" s="8">
        <v>103</v>
      </c>
      <c r="L1497" s="8" t="s">
        <v>6589</v>
      </c>
      <c r="M1497" s="8" t="s">
        <v>6630</v>
      </c>
      <c r="N1497" t="s">
        <v>318</v>
      </c>
      <c r="O1497" t="s">
        <v>6557</v>
      </c>
      <c r="P1497" s="4">
        <v>79375</v>
      </c>
      <c r="S1497" s="2">
        <v>45740</v>
      </c>
      <c r="U1497">
        <v>8</v>
      </c>
      <c r="V1497" s="4">
        <v>635000</v>
      </c>
      <c r="W1497" t="s">
        <v>65</v>
      </c>
      <c r="X1497" t="s">
        <v>319</v>
      </c>
      <c r="Y1497">
        <v>0</v>
      </c>
      <c r="Z1497" s="4">
        <v>635000</v>
      </c>
      <c r="AA1497">
        <v>0</v>
      </c>
      <c r="AB1497">
        <v>0</v>
      </c>
      <c r="AC1497">
        <v>0</v>
      </c>
      <c r="AD1497">
        <v>0</v>
      </c>
      <c r="AG1497">
        <v>0</v>
      </c>
      <c r="AP1497" t="s">
        <v>320</v>
      </c>
      <c r="AQ1497" t="s">
        <v>321</v>
      </c>
      <c r="AR1497" t="s">
        <v>6652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BC1497" t="s">
        <v>69</v>
      </c>
      <c r="BD1497" t="s">
        <v>5101</v>
      </c>
      <c r="BE1497">
        <v>0</v>
      </c>
      <c r="BG1497" t="s">
        <v>321</v>
      </c>
      <c r="BJ1497" t="s">
        <v>5102</v>
      </c>
    </row>
    <row r="1498" spans="1:62" x14ac:dyDescent="0.35">
      <c r="A1498" t="s">
        <v>4182</v>
      </c>
      <c r="B1498">
        <v>10000</v>
      </c>
      <c r="C1498">
        <v>30000</v>
      </c>
      <c r="D1498" s="2">
        <v>45741</v>
      </c>
      <c r="E1498" t="s">
        <v>61</v>
      </c>
      <c r="F1498" t="s">
        <v>4183</v>
      </c>
      <c r="G1498" t="s">
        <v>4156</v>
      </c>
      <c r="I1498">
        <v>3</v>
      </c>
      <c r="J1498" t="s">
        <v>63</v>
      </c>
      <c r="K1498" s="8">
        <v>85</v>
      </c>
      <c r="L1498" s="8" t="s">
        <v>6585</v>
      </c>
      <c r="M1498" s="8" t="s">
        <v>6628</v>
      </c>
      <c r="N1498" t="s">
        <v>327</v>
      </c>
      <c r="O1498" t="s">
        <v>6580</v>
      </c>
      <c r="P1498" s="4">
        <v>10000</v>
      </c>
      <c r="S1498" s="2">
        <v>45740</v>
      </c>
      <c r="U1498">
        <v>11</v>
      </c>
      <c r="V1498" s="4">
        <v>110000</v>
      </c>
      <c r="W1498" t="s">
        <v>65</v>
      </c>
      <c r="X1498" t="s">
        <v>4184</v>
      </c>
      <c r="Y1498">
        <v>0</v>
      </c>
      <c r="Z1498" s="4">
        <v>100000</v>
      </c>
      <c r="AA1498" s="4">
        <v>10000</v>
      </c>
      <c r="AB1498">
        <v>0</v>
      </c>
      <c r="AC1498">
        <v>0</v>
      </c>
      <c r="AD1498">
        <v>0</v>
      </c>
      <c r="AG1498">
        <v>0</v>
      </c>
      <c r="AP1498" t="s">
        <v>4185</v>
      </c>
      <c r="AQ1498" t="s">
        <v>107</v>
      </c>
      <c r="AR1498" t="s">
        <v>6638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BC1498" t="s">
        <v>69</v>
      </c>
      <c r="BD1498" t="s">
        <v>4186</v>
      </c>
      <c r="BE1498">
        <v>0</v>
      </c>
      <c r="BG1498" t="s">
        <v>107</v>
      </c>
      <c r="BJ1498" t="s">
        <v>4187</v>
      </c>
    </row>
    <row r="1499" spans="1:62" x14ac:dyDescent="0.35">
      <c r="A1499" t="s">
        <v>4188</v>
      </c>
      <c r="B1499">
        <v>10000</v>
      </c>
      <c r="C1499">
        <v>30000</v>
      </c>
      <c r="D1499" s="2">
        <v>45741</v>
      </c>
      <c r="E1499" t="s">
        <v>61</v>
      </c>
      <c r="F1499" t="s">
        <v>1345</v>
      </c>
      <c r="G1499" t="s">
        <v>4156</v>
      </c>
      <c r="I1499">
        <v>3</v>
      </c>
      <c r="J1499" t="s">
        <v>63</v>
      </c>
      <c r="K1499" s="8">
        <v>85</v>
      </c>
      <c r="L1499" s="8" t="s">
        <v>6585</v>
      </c>
      <c r="M1499" s="8" t="s">
        <v>6628</v>
      </c>
      <c r="N1499" t="s">
        <v>327</v>
      </c>
      <c r="O1499" t="s">
        <v>6580</v>
      </c>
      <c r="P1499" s="4">
        <v>10000</v>
      </c>
      <c r="S1499" s="2">
        <v>45740</v>
      </c>
      <c r="U1499">
        <v>11</v>
      </c>
      <c r="V1499" s="4">
        <v>110000</v>
      </c>
      <c r="W1499" t="s">
        <v>65</v>
      </c>
      <c r="X1499" t="s">
        <v>4189</v>
      </c>
      <c r="Y1499">
        <v>0</v>
      </c>
      <c r="Z1499" s="4">
        <v>100000</v>
      </c>
      <c r="AA1499" s="4">
        <v>10000</v>
      </c>
      <c r="AB1499">
        <v>0</v>
      </c>
      <c r="AC1499">
        <v>0</v>
      </c>
      <c r="AD1499">
        <v>0</v>
      </c>
      <c r="AG1499">
        <v>0</v>
      </c>
      <c r="AP1499" t="s">
        <v>4190</v>
      </c>
      <c r="AQ1499" t="s">
        <v>107</v>
      </c>
      <c r="AR1499" t="s">
        <v>6638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BC1499" t="s">
        <v>69</v>
      </c>
      <c r="BD1499" t="s">
        <v>4191</v>
      </c>
      <c r="BE1499">
        <v>0</v>
      </c>
      <c r="BG1499" t="s">
        <v>107</v>
      </c>
      <c r="BJ1499" t="s">
        <v>4192</v>
      </c>
    </row>
    <row r="1500" spans="1:62" x14ac:dyDescent="0.35">
      <c r="A1500" t="s">
        <v>4193</v>
      </c>
      <c r="B1500">
        <v>10000</v>
      </c>
      <c r="C1500">
        <v>30000</v>
      </c>
      <c r="D1500" s="2">
        <v>45741</v>
      </c>
      <c r="E1500" t="s">
        <v>61</v>
      </c>
      <c r="F1500" t="s">
        <v>4194</v>
      </c>
      <c r="G1500" t="s">
        <v>4156</v>
      </c>
      <c r="I1500">
        <v>3</v>
      </c>
      <c r="J1500" t="s">
        <v>63</v>
      </c>
      <c r="K1500" s="8">
        <v>85</v>
      </c>
      <c r="L1500" s="8" t="s">
        <v>6585</v>
      </c>
      <c r="M1500" s="8" t="s">
        <v>6628</v>
      </c>
      <c r="N1500" t="s">
        <v>327</v>
      </c>
      <c r="O1500" t="s">
        <v>6580</v>
      </c>
      <c r="P1500" s="4">
        <v>10000</v>
      </c>
      <c r="S1500" s="2">
        <v>45740</v>
      </c>
      <c r="U1500">
        <v>11</v>
      </c>
      <c r="V1500" s="4">
        <v>110000</v>
      </c>
      <c r="W1500" t="s">
        <v>65</v>
      </c>
      <c r="X1500" t="s">
        <v>814</v>
      </c>
      <c r="Y1500">
        <v>0</v>
      </c>
      <c r="Z1500" s="4">
        <v>100000</v>
      </c>
      <c r="AA1500" s="4">
        <v>10000</v>
      </c>
      <c r="AB1500">
        <v>0</v>
      </c>
      <c r="AC1500">
        <v>0</v>
      </c>
      <c r="AD1500">
        <v>0</v>
      </c>
      <c r="AG1500">
        <v>0</v>
      </c>
      <c r="AP1500" t="s">
        <v>815</v>
      </c>
      <c r="AQ1500" t="s">
        <v>107</v>
      </c>
      <c r="AR1500" t="s">
        <v>6638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BC1500" t="s">
        <v>69</v>
      </c>
      <c r="BD1500" t="s">
        <v>4195</v>
      </c>
      <c r="BE1500">
        <v>0</v>
      </c>
      <c r="BG1500" t="s">
        <v>107</v>
      </c>
      <c r="BJ1500" t="s">
        <v>4196</v>
      </c>
    </row>
    <row r="1501" spans="1:62" x14ac:dyDescent="0.35">
      <c r="A1501" t="s">
        <v>5103</v>
      </c>
      <c r="B1501">
        <v>10000</v>
      </c>
      <c r="C1501">
        <v>10000</v>
      </c>
      <c r="D1501" s="2">
        <v>45741</v>
      </c>
      <c r="E1501" t="s">
        <v>95</v>
      </c>
      <c r="F1501" t="s">
        <v>5104</v>
      </c>
      <c r="G1501" t="s">
        <v>5105</v>
      </c>
      <c r="I1501">
        <v>1</v>
      </c>
      <c r="J1501" t="s">
        <v>63</v>
      </c>
      <c r="K1501" s="8">
        <v>59</v>
      </c>
      <c r="L1501" s="8" t="s">
        <v>6592</v>
      </c>
      <c r="M1501" s="8" t="s">
        <v>6629</v>
      </c>
      <c r="N1501" t="s">
        <v>745</v>
      </c>
      <c r="O1501" t="s">
        <v>6501</v>
      </c>
      <c r="P1501">
        <v>373</v>
      </c>
      <c r="Q1501">
        <f t="shared" ref="Q1501:Q1502" si="388">(P1501/40)+45</f>
        <v>54.325000000000003</v>
      </c>
      <c r="R1501">
        <f t="shared" ref="R1501:R1502" si="389">Q1501/60</f>
        <v>0.90541666666666676</v>
      </c>
      <c r="S1501" s="2">
        <v>45740</v>
      </c>
      <c r="U1501">
        <v>4</v>
      </c>
      <c r="V1501" s="4">
        <v>1492</v>
      </c>
      <c r="W1501" t="s">
        <v>65</v>
      </c>
      <c r="X1501">
        <v>112966360001</v>
      </c>
      <c r="Y1501">
        <v>0</v>
      </c>
      <c r="Z1501" s="4">
        <v>1490</v>
      </c>
      <c r="AA1501">
        <v>2</v>
      </c>
      <c r="AB1501">
        <v>0</v>
      </c>
      <c r="AC1501">
        <v>0</v>
      </c>
      <c r="AD1501">
        <v>0</v>
      </c>
      <c r="AG1501">
        <v>0</v>
      </c>
      <c r="AP1501">
        <v>11296636</v>
      </c>
      <c r="AQ1501" t="s">
        <v>182</v>
      </c>
      <c r="AR1501" t="s">
        <v>6643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BC1501" t="s">
        <v>69</v>
      </c>
      <c r="BD1501" t="s">
        <v>5106</v>
      </c>
      <c r="BE1501">
        <v>0</v>
      </c>
      <c r="BG1501" t="s">
        <v>182</v>
      </c>
      <c r="BJ1501" t="s">
        <v>5107</v>
      </c>
    </row>
    <row r="1502" spans="1:62" x14ac:dyDescent="0.35">
      <c r="A1502" t="s">
        <v>5108</v>
      </c>
      <c r="B1502">
        <v>10000</v>
      </c>
      <c r="C1502">
        <v>10000</v>
      </c>
      <c r="D1502" s="2">
        <v>45741</v>
      </c>
      <c r="E1502" t="s">
        <v>95</v>
      </c>
      <c r="F1502" t="s">
        <v>5104</v>
      </c>
      <c r="G1502" t="s">
        <v>5105</v>
      </c>
      <c r="I1502">
        <v>1</v>
      </c>
      <c r="J1502" t="s">
        <v>63</v>
      </c>
      <c r="K1502" s="8">
        <v>59</v>
      </c>
      <c r="L1502" s="8" t="s">
        <v>6592</v>
      </c>
      <c r="M1502" s="8" t="s">
        <v>6629</v>
      </c>
      <c r="N1502" t="s">
        <v>745</v>
      </c>
      <c r="O1502" t="s">
        <v>6501</v>
      </c>
      <c r="P1502">
        <v>373</v>
      </c>
      <c r="Q1502">
        <f t="shared" si="388"/>
        <v>54.325000000000003</v>
      </c>
      <c r="R1502">
        <f t="shared" si="389"/>
        <v>0.90541666666666676</v>
      </c>
      <c r="S1502" s="2">
        <v>45740</v>
      </c>
      <c r="U1502">
        <v>4</v>
      </c>
      <c r="V1502" s="4">
        <v>1492</v>
      </c>
      <c r="W1502" t="s">
        <v>65</v>
      </c>
      <c r="X1502">
        <v>112966360001</v>
      </c>
      <c r="Y1502">
        <v>0</v>
      </c>
      <c r="Z1502" s="4">
        <v>1490</v>
      </c>
      <c r="AA1502">
        <v>2</v>
      </c>
      <c r="AB1502">
        <v>0</v>
      </c>
      <c r="AC1502">
        <v>0</v>
      </c>
      <c r="AD1502">
        <v>0</v>
      </c>
      <c r="AG1502">
        <v>0</v>
      </c>
      <c r="AP1502">
        <v>11296636</v>
      </c>
      <c r="AQ1502" t="s">
        <v>182</v>
      </c>
      <c r="AR1502" t="s">
        <v>6643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BC1502" t="s">
        <v>69</v>
      </c>
      <c r="BD1502" t="s">
        <v>5109</v>
      </c>
      <c r="BE1502">
        <v>0</v>
      </c>
      <c r="BG1502" t="s">
        <v>182</v>
      </c>
      <c r="BJ1502" t="s">
        <v>5110</v>
      </c>
    </row>
    <row r="1503" spans="1:62" x14ac:dyDescent="0.35">
      <c r="A1503" t="s">
        <v>5111</v>
      </c>
      <c r="B1503">
        <v>10000</v>
      </c>
      <c r="C1503">
        <v>20000</v>
      </c>
      <c r="D1503" s="2">
        <v>45741</v>
      </c>
      <c r="E1503" t="s">
        <v>61</v>
      </c>
      <c r="F1503" s="3">
        <v>0.47559027777777779</v>
      </c>
      <c r="G1503" t="s">
        <v>5112</v>
      </c>
      <c r="I1503">
        <v>1</v>
      </c>
      <c r="J1503" t="s">
        <v>63</v>
      </c>
      <c r="K1503" s="8">
        <v>94</v>
      </c>
      <c r="L1503" s="8" t="s">
        <v>6599</v>
      </c>
      <c r="M1503" s="8" t="s">
        <v>6629</v>
      </c>
      <c r="N1503" t="s">
        <v>181</v>
      </c>
      <c r="O1503" t="s">
        <v>6544</v>
      </c>
      <c r="P1503" s="4">
        <v>9000</v>
      </c>
      <c r="S1503" s="2">
        <v>45740</v>
      </c>
      <c r="U1503">
        <v>4</v>
      </c>
      <c r="V1503" s="4">
        <v>36000</v>
      </c>
      <c r="W1503" t="s">
        <v>65</v>
      </c>
      <c r="X1503" t="s">
        <v>5113</v>
      </c>
      <c r="Y1503">
        <v>0</v>
      </c>
      <c r="Z1503" s="4">
        <v>36000</v>
      </c>
      <c r="AA1503">
        <v>0</v>
      </c>
      <c r="AB1503">
        <v>0</v>
      </c>
      <c r="AC1503">
        <v>0</v>
      </c>
      <c r="AD1503">
        <v>0</v>
      </c>
      <c r="AG1503">
        <v>0</v>
      </c>
      <c r="AP1503" t="s">
        <v>5114</v>
      </c>
      <c r="AQ1503" t="s">
        <v>364</v>
      </c>
      <c r="AR1503" t="s">
        <v>6653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BC1503" t="s">
        <v>69</v>
      </c>
      <c r="BD1503" t="s">
        <v>5115</v>
      </c>
      <c r="BE1503">
        <v>0</v>
      </c>
      <c r="BG1503" t="s">
        <v>364</v>
      </c>
      <c r="BJ1503" t="s">
        <v>5116</v>
      </c>
    </row>
    <row r="1504" spans="1:62" x14ac:dyDescent="0.35">
      <c r="A1504" t="s">
        <v>4779</v>
      </c>
      <c r="B1504">
        <v>10000</v>
      </c>
      <c r="C1504">
        <v>40000</v>
      </c>
      <c r="D1504" s="2">
        <v>45742</v>
      </c>
      <c r="E1504" t="s">
        <v>61</v>
      </c>
      <c r="F1504" t="s">
        <v>4780</v>
      </c>
      <c r="G1504" t="s">
        <v>4781</v>
      </c>
      <c r="I1504">
        <v>2</v>
      </c>
      <c r="J1504" t="s">
        <v>63</v>
      </c>
      <c r="K1504" s="8">
        <v>77</v>
      </c>
      <c r="L1504" s="8" t="s">
        <v>6584</v>
      </c>
      <c r="M1504" s="8" t="s">
        <v>6627</v>
      </c>
      <c r="N1504" t="s">
        <v>127</v>
      </c>
      <c r="O1504" t="s">
        <v>6567</v>
      </c>
      <c r="P1504" s="4">
        <v>3667</v>
      </c>
      <c r="Q1504">
        <f>(P1504/60)+45</f>
        <v>106.11666666666667</v>
      </c>
      <c r="R1504">
        <f>Q1504/60</f>
        <v>1.7686111111111111</v>
      </c>
      <c r="S1504" s="2">
        <v>45740</v>
      </c>
      <c r="U1504">
        <v>6</v>
      </c>
      <c r="V1504" s="4">
        <v>22002</v>
      </c>
      <c r="W1504" t="s">
        <v>65</v>
      </c>
      <c r="X1504" t="s">
        <v>334</v>
      </c>
      <c r="Y1504">
        <v>0</v>
      </c>
      <c r="Z1504" s="4">
        <v>20000</v>
      </c>
      <c r="AA1504" s="4">
        <v>2002</v>
      </c>
      <c r="AB1504">
        <v>0</v>
      </c>
      <c r="AC1504">
        <v>0</v>
      </c>
      <c r="AD1504">
        <v>0</v>
      </c>
      <c r="AG1504">
        <v>0</v>
      </c>
      <c r="AP1504" t="s">
        <v>335</v>
      </c>
      <c r="AQ1504" t="s">
        <v>107</v>
      </c>
      <c r="AR1504" t="s">
        <v>6638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BC1504" t="s">
        <v>69</v>
      </c>
      <c r="BD1504" t="s">
        <v>4782</v>
      </c>
      <c r="BE1504">
        <v>0</v>
      </c>
      <c r="BG1504" t="s">
        <v>107</v>
      </c>
      <c r="BJ1504" t="s">
        <v>4783</v>
      </c>
    </row>
    <row r="1505" spans="1:62" x14ac:dyDescent="0.35">
      <c r="A1505" t="s">
        <v>4228</v>
      </c>
      <c r="B1505">
        <v>10000</v>
      </c>
      <c r="C1505">
        <v>30000</v>
      </c>
      <c r="D1505" s="2">
        <v>45741</v>
      </c>
      <c r="E1505" t="s">
        <v>61</v>
      </c>
      <c r="F1505" t="s">
        <v>4229</v>
      </c>
      <c r="G1505" t="s">
        <v>4156</v>
      </c>
      <c r="I1505">
        <v>3</v>
      </c>
      <c r="J1505" t="s">
        <v>63</v>
      </c>
      <c r="K1505" s="8">
        <v>85</v>
      </c>
      <c r="L1505" s="8" t="s">
        <v>6585</v>
      </c>
      <c r="M1505" s="8" t="s">
        <v>6628</v>
      </c>
      <c r="N1505" t="s">
        <v>327</v>
      </c>
      <c r="O1505" t="s">
        <v>6580</v>
      </c>
      <c r="P1505" s="4">
        <v>10000</v>
      </c>
      <c r="S1505" s="2">
        <v>45740</v>
      </c>
      <c r="U1505">
        <v>11</v>
      </c>
      <c r="V1505" s="4">
        <v>110000</v>
      </c>
      <c r="W1505" t="s">
        <v>65</v>
      </c>
      <c r="X1505" t="s">
        <v>820</v>
      </c>
      <c r="Y1505">
        <v>0</v>
      </c>
      <c r="Z1505" s="4">
        <v>100000</v>
      </c>
      <c r="AA1505" s="4">
        <v>10000</v>
      </c>
      <c r="AB1505">
        <v>0</v>
      </c>
      <c r="AC1505">
        <v>0</v>
      </c>
      <c r="AD1505">
        <v>0</v>
      </c>
      <c r="AG1505">
        <v>0</v>
      </c>
      <c r="AP1505" t="s">
        <v>821</v>
      </c>
      <c r="AQ1505" t="s">
        <v>107</v>
      </c>
      <c r="AR1505" t="s">
        <v>6638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BC1505" t="s">
        <v>69</v>
      </c>
      <c r="BD1505" t="s">
        <v>4230</v>
      </c>
      <c r="BE1505">
        <v>0</v>
      </c>
      <c r="BG1505" t="s">
        <v>107</v>
      </c>
      <c r="BJ1505" t="s">
        <v>4231</v>
      </c>
    </row>
    <row r="1506" spans="1:62" x14ac:dyDescent="0.35">
      <c r="A1506" t="s">
        <v>5117</v>
      </c>
      <c r="B1506">
        <v>10000</v>
      </c>
      <c r="C1506">
        <v>10000</v>
      </c>
      <c r="D1506" s="2">
        <v>45742</v>
      </c>
      <c r="E1506" t="s">
        <v>61</v>
      </c>
      <c r="F1506" t="s">
        <v>5118</v>
      </c>
      <c r="G1506" t="s">
        <v>5119</v>
      </c>
      <c r="I1506">
        <v>1</v>
      </c>
      <c r="J1506" t="s">
        <v>63</v>
      </c>
      <c r="K1506" s="8">
        <v>90</v>
      </c>
      <c r="L1506" s="8" t="s">
        <v>6589</v>
      </c>
      <c r="M1506" s="8" t="s">
        <v>6630</v>
      </c>
      <c r="N1506" t="s">
        <v>405</v>
      </c>
      <c r="O1506" t="s">
        <v>6555</v>
      </c>
      <c r="P1506" s="4">
        <v>27000</v>
      </c>
      <c r="Q1506">
        <f>(P1506/20)+45</f>
        <v>1395</v>
      </c>
      <c r="R1506">
        <f>Q1506/60</f>
        <v>23.25</v>
      </c>
      <c r="S1506" s="2">
        <v>45740</v>
      </c>
      <c r="U1506">
        <v>2</v>
      </c>
      <c r="V1506" s="4">
        <v>54000</v>
      </c>
      <c r="W1506" t="s">
        <v>65</v>
      </c>
      <c r="X1506" t="s">
        <v>155</v>
      </c>
      <c r="Y1506">
        <v>0</v>
      </c>
      <c r="Z1506" s="4">
        <v>54000</v>
      </c>
      <c r="AA1506">
        <v>0</v>
      </c>
      <c r="AB1506">
        <v>0</v>
      </c>
      <c r="AC1506">
        <v>0</v>
      </c>
      <c r="AD1506">
        <v>0</v>
      </c>
      <c r="AG1506">
        <v>0</v>
      </c>
      <c r="AP1506" t="s">
        <v>156</v>
      </c>
      <c r="AQ1506" t="s">
        <v>175</v>
      </c>
      <c r="AR1506" t="s">
        <v>6642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BC1506" t="s">
        <v>69</v>
      </c>
      <c r="BD1506" t="s">
        <v>5120</v>
      </c>
      <c r="BE1506">
        <v>0</v>
      </c>
      <c r="BG1506" t="s">
        <v>175</v>
      </c>
      <c r="BJ1506" t="s">
        <v>5121</v>
      </c>
    </row>
    <row r="1507" spans="1:62" x14ac:dyDescent="0.35">
      <c r="A1507" t="s">
        <v>5117</v>
      </c>
      <c r="B1507">
        <v>10000</v>
      </c>
      <c r="C1507">
        <v>20000</v>
      </c>
      <c r="D1507" s="2">
        <v>45742</v>
      </c>
      <c r="E1507" t="s">
        <v>61</v>
      </c>
      <c r="F1507" t="s">
        <v>5118</v>
      </c>
      <c r="G1507" t="s">
        <v>5119</v>
      </c>
      <c r="I1507">
        <v>1</v>
      </c>
      <c r="J1507" t="s">
        <v>63</v>
      </c>
      <c r="K1507" s="8">
        <v>90</v>
      </c>
      <c r="L1507" t="s">
        <v>6589</v>
      </c>
      <c r="M1507" s="8" t="s">
        <v>6630</v>
      </c>
      <c r="N1507" t="s">
        <v>154</v>
      </c>
      <c r="O1507" t="s">
        <v>6575</v>
      </c>
      <c r="P1507" s="4">
        <v>27000</v>
      </c>
      <c r="S1507" s="2">
        <v>45740</v>
      </c>
      <c r="U1507">
        <v>2</v>
      </c>
      <c r="V1507" s="4">
        <v>54000</v>
      </c>
      <c r="W1507" t="s">
        <v>65</v>
      </c>
      <c r="X1507" t="s">
        <v>155</v>
      </c>
      <c r="Y1507">
        <v>0</v>
      </c>
      <c r="Z1507" s="4">
        <v>54000</v>
      </c>
      <c r="AA1507">
        <v>0</v>
      </c>
      <c r="AB1507">
        <v>0</v>
      </c>
      <c r="AC1507">
        <v>0</v>
      </c>
      <c r="AD1507">
        <v>0</v>
      </c>
      <c r="AG1507">
        <v>0</v>
      </c>
      <c r="AP1507" t="s">
        <v>156</v>
      </c>
      <c r="AQ1507" t="s">
        <v>175</v>
      </c>
      <c r="AR1507" t="s">
        <v>6642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BC1507" t="s">
        <v>69</v>
      </c>
      <c r="BD1507" t="s">
        <v>5120</v>
      </c>
      <c r="BE1507">
        <v>0</v>
      </c>
      <c r="BG1507" t="s">
        <v>175</v>
      </c>
      <c r="BJ1507" t="s">
        <v>5121</v>
      </c>
    </row>
    <row r="1508" spans="1:62" x14ac:dyDescent="0.35">
      <c r="A1508" t="s">
        <v>5122</v>
      </c>
      <c r="B1508">
        <v>10000</v>
      </c>
      <c r="C1508">
        <v>10000</v>
      </c>
      <c r="D1508" s="2">
        <v>45741</v>
      </c>
      <c r="E1508" t="s">
        <v>95</v>
      </c>
      <c r="F1508" t="s">
        <v>5020</v>
      </c>
      <c r="G1508" t="s">
        <v>348</v>
      </c>
      <c r="I1508">
        <v>1</v>
      </c>
      <c r="J1508" t="s">
        <v>63</v>
      </c>
      <c r="K1508" s="8">
        <v>46</v>
      </c>
      <c r="L1508" s="8" t="s">
        <v>6587</v>
      </c>
      <c r="M1508" s="8" t="s">
        <v>6629</v>
      </c>
      <c r="N1508" t="s">
        <v>113</v>
      </c>
      <c r="O1508" t="s">
        <v>6499</v>
      </c>
      <c r="P1508" s="4">
        <v>3000</v>
      </c>
      <c r="Q1508">
        <f t="shared" ref="Q1508:Q1509" si="390">(P1508/40)+45</f>
        <v>120</v>
      </c>
      <c r="R1508">
        <f t="shared" ref="R1508:R1509" si="391">Q1508/60</f>
        <v>2</v>
      </c>
      <c r="S1508" s="2">
        <v>45740</v>
      </c>
      <c r="U1508">
        <v>1</v>
      </c>
      <c r="V1508" s="4">
        <v>3000</v>
      </c>
      <c r="W1508" t="s">
        <v>65</v>
      </c>
      <c r="X1508" t="s">
        <v>121</v>
      </c>
      <c r="Y1508">
        <v>0</v>
      </c>
      <c r="Z1508" s="4">
        <v>3000</v>
      </c>
      <c r="AA1508">
        <v>0</v>
      </c>
      <c r="AB1508">
        <v>0</v>
      </c>
      <c r="AC1508">
        <v>0</v>
      </c>
      <c r="AD1508">
        <v>0</v>
      </c>
      <c r="AG1508">
        <v>0</v>
      </c>
      <c r="AP1508" t="s">
        <v>122</v>
      </c>
      <c r="AQ1508" t="s">
        <v>116</v>
      </c>
      <c r="AR1508" t="s">
        <v>6639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BC1508" t="s">
        <v>69</v>
      </c>
      <c r="BD1508" t="s">
        <v>5123</v>
      </c>
      <c r="BE1508">
        <v>0</v>
      </c>
      <c r="BG1508" t="s">
        <v>116</v>
      </c>
      <c r="BJ1508" t="s">
        <v>3506</v>
      </c>
    </row>
    <row r="1509" spans="1:62" x14ac:dyDescent="0.35">
      <c r="A1509" t="s">
        <v>5124</v>
      </c>
      <c r="B1509">
        <v>10000</v>
      </c>
      <c r="C1509">
        <v>20000</v>
      </c>
      <c r="D1509" s="2">
        <v>45741</v>
      </c>
      <c r="E1509" t="s">
        <v>61</v>
      </c>
      <c r="F1509" t="s">
        <v>5125</v>
      </c>
      <c r="G1509" t="s">
        <v>348</v>
      </c>
      <c r="I1509">
        <v>1</v>
      </c>
      <c r="J1509" t="s">
        <v>63</v>
      </c>
      <c r="K1509" s="8">
        <v>46</v>
      </c>
      <c r="L1509" s="8" t="s">
        <v>6587</v>
      </c>
      <c r="M1509" s="8" t="s">
        <v>6629</v>
      </c>
      <c r="N1509" t="s">
        <v>113</v>
      </c>
      <c r="O1509" t="s">
        <v>6499</v>
      </c>
      <c r="P1509" s="4">
        <v>1000</v>
      </c>
      <c r="Q1509">
        <f t="shared" si="390"/>
        <v>70</v>
      </c>
      <c r="R1509">
        <f t="shared" si="391"/>
        <v>1.1666666666666667</v>
      </c>
      <c r="S1509" s="2">
        <v>45740</v>
      </c>
      <c r="U1509">
        <v>1</v>
      </c>
      <c r="V1509" s="4">
        <v>1000</v>
      </c>
      <c r="W1509" t="s">
        <v>65</v>
      </c>
      <c r="X1509" t="s">
        <v>5126</v>
      </c>
      <c r="Y1509">
        <v>0</v>
      </c>
      <c r="Z1509" s="4">
        <v>1000</v>
      </c>
      <c r="AA1509">
        <v>0</v>
      </c>
      <c r="AB1509">
        <v>0</v>
      </c>
      <c r="AC1509">
        <v>0</v>
      </c>
      <c r="AD1509">
        <v>0</v>
      </c>
      <c r="AG1509">
        <v>0</v>
      </c>
      <c r="AP1509" t="s">
        <v>5127</v>
      </c>
      <c r="AQ1509" t="s">
        <v>116</v>
      </c>
      <c r="AR1509" t="s">
        <v>6639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BC1509" t="s">
        <v>69</v>
      </c>
      <c r="BD1509" t="s">
        <v>5128</v>
      </c>
      <c r="BE1509">
        <v>0</v>
      </c>
      <c r="BG1509" t="s">
        <v>116</v>
      </c>
      <c r="BJ1509" t="s">
        <v>3509</v>
      </c>
    </row>
    <row r="1510" spans="1:62" x14ac:dyDescent="0.35">
      <c r="A1510" t="s">
        <v>5129</v>
      </c>
      <c r="B1510">
        <v>10000</v>
      </c>
      <c r="C1510">
        <v>10000</v>
      </c>
      <c r="D1510" s="2">
        <v>45742</v>
      </c>
      <c r="E1510" t="s">
        <v>61</v>
      </c>
      <c r="F1510" t="s">
        <v>5130</v>
      </c>
      <c r="G1510" t="s">
        <v>4827</v>
      </c>
      <c r="I1510">
        <v>1</v>
      </c>
      <c r="J1510" t="s">
        <v>63</v>
      </c>
      <c r="K1510" s="8">
        <v>12</v>
      </c>
      <c r="L1510" s="8" t="s">
        <v>6604</v>
      </c>
      <c r="M1510" s="8" t="s">
        <v>6629</v>
      </c>
      <c r="N1510" t="s">
        <v>478</v>
      </c>
      <c r="O1510" t="s">
        <v>6434</v>
      </c>
      <c r="P1510" s="4">
        <v>21000</v>
      </c>
      <c r="Q1510">
        <f t="shared" ref="Q1510:Q1514" si="392">(P1510/50)+45</f>
        <v>465</v>
      </c>
      <c r="R1510">
        <f t="shared" ref="R1510:R1514" si="393">Q1510/60</f>
        <v>7.75</v>
      </c>
      <c r="S1510" s="2">
        <v>45740</v>
      </c>
      <c r="U1510">
        <v>1</v>
      </c>
      <c r="V1510" s="4">
        <v>21000</v>
      </c>
      <c r="W1510" t="s">
        <v>65</v>
      </c>
      <c r="X1510" t="s">
        <v>2608</v>
      </c>
      <c r="Y1510">
        <v>0</v>
      </c>
      <c r="Z1510" s="4">
        <v>21000</v>
      </c>
      <c r="AA1510">
        <v>0</v>
      </c>
      <c r="AB1510">
        <v>0</v>
      </c>
      <c r="AC1510">
        <v>0</v>
      </c>
      <c r="AD1510">
        <v>0</v>
      </c>
      <c r="AG1510">
        <v>0</v>
      </c>
      <c r="AP1510" t="s">
        <v>2609</v>
      </c>
      <c r="AQ1510" t="s">
        <v>116</v>
      </c>
      <c r="AR1510" t="s">
        <v>6639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BC1510" t="s">
        <v>69</v>
      </c>
      <c r="BD1510" t="s">
        <v>5131</v>
      </c>
      <c r="BE1510">
        <v>0</v>
      </c>
      <c r="BG1510" t="s">
        <v>116</v>
      </c>
      <c r="BJ1510" t="s">
        <v>3813</v>
      </c>
    </row>
    <row r="1511" spans="1:62" x14ac:dyDescent="0.35">
      <c r="A1511" t="s">
        <v>5132</v>
      </c>
      <c r="B1511">
        <v>10000</v>
      </c>
      <c r="C1511">
        <v>10000</v>
      </c>
      <c r="D1511" s="2">
        <v>45741</v>
      </c>
      <c r="E1511" t="s">
        <v>61</v>
      </c>
      <c r="F1511" s="3">
        <v>0.53589120370370369</v>
      </c>
      <c r="G1511" t="s">
        <v>5133</v>
      </c>
      <c r="I1511">
        <v>1</v>
      </c>
      <c r="J1511" t="s">
        <v>63</v>
      </c>
      <c r="K1511" s="8">
        <v>22</v>
      </c>
      <c r="L1511" s="8" t="s">
        <v>6603</v>
      </c>
      <c r="M1511" s="8" t="s">
        <v>6629</v>
      </c>
      <c r="N1511" t="s">
        <v>466</v>
      </c>
      <c r="O1511" t="s">
        <v>6474</v>
      </c>
      <c r="P1511" s="4">
        <v>15000</v>
      </c>
      <c r="Q1511">
        <f t="shared" si="392"/>
        <v>345</v>
      </c>
      <c r="R1511">
        <f t="shared" si="393"/>
        <v>5.75</v>
      </c>
      <c r="S1511" s="2">
        <v>45740</v>
      </c>
      <c r="U1511">
        <v>1</v>
      </c>
      <c r="V1511" s="4">
        <v>15000</v>
      </c>
      <c r="W1511" t="s">
        <v>65</v>
      </c>
      <c r="X1511" t="s">
        <v>467</v>
      </c>
      <c r="Y1511">
        <v>0</v>
      </c>
      <c r="Z1511" s="4">
        <v>15000</v>
      </c>
      <c r="AA1511">
        <v>0</v>
      </c>
      <c r="AB1511">
        <v>0</v>
      </c>
      <c r="AC1511">
        <v>0</v>
      </c>
      <c r="AD1511">
        <v>0</v>
      </c>
      <c r="AG1511">
        <v>0</v>
      </c>
      <c r="AP1511" t="s">
        <v>468</v>
      </c>
      <c r="AQ1511" t="s">
        <v>116</v>
      </c>
      <c r="AR1511" t="s">
        <v>6639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BC1511" t="s">
        <v>69</v>
      </c>
      <c r="BD1511" t="s">
        <v>5134</v>
      </c>
      <c r="BE1511">
        <v>0</v>
      </c>
      <c r="BG1511" t="s">
        <v>116</v>
      </c>
      <c r="BJ1511" t="s">
        <v>3323</v>
      </c>
    </row>
    <row r="1512" spans="1:62" x14ac:dyDescent="0.35">
      <c r="A1512" t="s">
        <v>5135</v>
      </c>
      <c r="B1512">
        <v>10000</v>
      </c>
      <c r="C1512">
        <v>10000</v>
      </c>
      <c r="D1512" s="2">
        <v>45741</v>
      </c>
      <c r="E1512" t="s">
        <v>61</v>
      </c>
      <c r="F1512" s="3">
        <v>0.47651620370370368</v>
      </c>
      <c r="G1512" t="s">
        <v>5136</v>
      </c>
      <c r="I1512">
        <v>1</v>
      </c>
      <c r="J1512" t="s">
        <v>63</v>
      </c>
      <c r="K1512" s="8">
        <v>61</v>
      </c>
      <c r="L1512" s="8" t="s">
        <v>6594</v>
      </c>
      <c r="M1512" s="8" t="s">
        <v>6629</v>
      </c>
      <c r="N1512" t="s">
        <v>197</v>
      </c>
      <c r="O1512" t="s">
        <v>6565</v>
      </c>
      <c r="P1512" s="4">
        <v>3250</v>
      </c>
      <c r="Q1512">
        <f t="shared" si="392"/>
        <v>110</v>
      </c>
      <c r="R1512">
        <f t="shared" si="393"/>
        <v>1.8333333333333333</v>
      </c>
      <c r="S1512" s="2">
        <v>45740</v>
      </c>
      <c r="U1512">
        <v>4</v>
      </c>
      <c r="V1512" s="4">
        <v>13000</v>
      </c>
      <c r="W1512" t="s">
        <v>65</v>
      </c>
      <c r="X1512" t="s">
        <v>2223</v>
      </c>
      <c r="Y1512">
        <v>0</v>
      </c>
      <c r="Z1512" s="4">
        <v>13000</v>
      </c>
      <c r="AA1512">
        <v>0</v>
      </c>
      <c r="AB1512">
        <v>0</v>
      </c>
      <c r="AC1512">
        <v>0</v>
      </c>
      <c r="AD1512">
        <v>0</v>
      </c>
      <c r="AG1512">
        <v>0</v>
      </c>
      <c r="AP1512" t="s">
        <v>2224</v>
      </c>
      <c r="AQ1512" t="s">
        <v>116</v>
      </c>
      <c r="AR1512" t="s">
        <v>6639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BC1512" t="s">
        <v>69</v>
      </c>
      <c r="BD1512" t="s">
        <v>5137</v>
      </c>
      <c r="BE1512">
        <v>0</v>
      </c>
      <c r="BG1512" t="s">
        <v>116</v>
      </c>
      <c r="BJ1512" t="s">
        <v>3323</v>
      </c>
    </row>
    <row r="1513" spans="1:62" x14ac:dyDescent="0.35">
      <c r="A1513" t="s">
        <v>5138</v>
      </c>
      <c r="B1513">
        <v>10000</v>
      </c>
      <c r="C1513">
        <v>10000</v>
      </c>
      <c r="D1513" s="2">
        <v>45740</v>
      </c>
      <c r="E1513" t="s">
        <v>61</v>
      </c>
      <c r="F1513" t="s">
        <v>5139</v>
      </c>
      <c r="G1513" t="s">
        <v>5140</v>
      </c>
      <c r="I1513">
        <v>1</v>
      </c>
      <c r="J1513" t="s">
        <v>63</v>
      </c>
      <c r="K1513" s="8">
        <v>61</v>
      </c>
      <c r="L1513" s="8" t="s">
        <v>6594</v>
      </c>
      <c r="M1513" s="8" t="s">
        <v>6629</v>
      </c>
      <c r="N1513" t="s">
        <v>197</v>
      </c>
      <c r="O1513" t="s">
        <v>6565</v>
      </c>
      <c r="P1513" s="4">
        <v>5000</v>
      </c>
      <c r="Q1513">
        <f t="shared" si="392"/>
        <v>145</v>
      </c>
      <c r="R1513">
        <f t="shared" si="393"/>
        <v>2.4166666666666665</v>
      </c>
      <c r="S1513" s="2">
        <v>45740</v>
      </c>
      <c r="U1513">
        <v>4</v>
      </c>
      <c r="V1513" s="4">
        <v>20000</v>
      </c>
      <c r="W1513" t="s">
        <v>65</v>
      </c>
      <c r="X1513" t="s">
        <v>2227</v>
      </c>
      <c r="Y1513">
        <v>0</v>
      </c>
      <c r="Z1513" s="4">
        <v>20000</v>
      </c>
      <c r="AA1513">
        <v>0</v>
      </c>
      <c r="AB1513">
        <v>0</v>
      </c>
      <c r="AC1513">
        <v>0</v>
      </c>
      <c r="AD1513">
        <v>0</v>
      </c>
      <c r="AG1513">
        <v>0</v>
      </c>
      <c r="AP1513" t="s">
        <v>2228</v>
      </c>
      <c r="AQ1513" t="s">
        <v>116</v>
      </c>
      <c r="AR1513" t="s">
        <v>6639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BC1513" t="s">
        <v>69</v>
      </c>
      <c r="BD1513" t="s">
        <v>5141</v>
      </c>
      <c r="BE1513">
        <v>0</v>
      </c>
      <c r="BG1513" t="s">
        <v>116</v>
      </c>
      <c r="BJ1513" t="s">
        <v>3532</v>
      </c>
    </row>
    <row r="1514" spans="1:62" x14ac:dyDescent="0.35">
      <c r="A1514" t="s">
        <v>5142</v>
      </c>
      <c r="B1514">
        <v>10000</v>
      </c>
      <c r="C1514">
        <v>10000</v>
      </c>
      <c r="D1514" s="2">
        <v>45741</v>
      </c>
      <c r="E1514" t="s">
        <v>95</v>
      </c>
      <c r="F1514" t="s">
        <v>5020</v>
      </c>
      <c r="G1514" t="s">
        <v>5143</v>
      </c>
      <c r="I1514">
        <v>1</v>
      </c>
      <c r="J1514" t="s">
        <v>63</v>
      </c>
      <c r="K1514" s="8">
        <v>61</v>
      </c>
      <c r="L1514" s="8" t="s">
        <v>6594</v>
      </c>
      <c r="M1514" s="8" t="s">
        <v>6629</v>
      </c>
      <c r="N1514" t="s">
        <v>197</v>
      </c>
      <c r="O1514" t="s">
        <v>6565</v>
      </c>
      <c r="P1514" s="4">
        <v>7000</v>
      </c>
      <c r="Q1514">
        <f t="shared" si="392"/>
        <v>185</v>
      </c>
      <c r="R1514">
        <f t="shared" si="393"/>
        <v>3.0833333333333335</v>
      </c>
      <c r="S1514" s="2">
        <v>45740</v>
      </c>
      <c r="U1514">
        <v>4</v>
      </c>
      <c r="V1514" s="4">
        <v>28000</v>
      </c>
      <c r="W1514" t="s">
        <v>65</v>
      </c>
      <c r="X1514" t="s">
        <v>2118</v>
      </c>
      <c r="Y1514">
        <v>0</v>
      </c>
      <c r="Z1514" s="4">
        <v>28000</v>
      </c>
      <c r="AA1514">
        <v>0</v>
      </c>
      <c r="AB1514">
        <v>0</v>
      </c>
      <c r="AC1514">
        <v>0</v>
      </c>
      <c r="AD1514">
        <v>0</v>
      </c>
      <c r="AG1514">
        <v>0</v>
      </c>
      <c r="AP1514" t="s">
        <v>2119</v>
      </c>
      <c r="AQ1514" t="s">
        <v>116</v>
      </c>
      <c r="AR1514" t="s">
        <v>6639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BC1514" t="s">
        <v>69</v>
      </c>
      <c r="BD1514" t="s">
        <v>5144</v>
      </c>
      <c r="BE1514">
        <v>0</v>
      </c>
      <c r="BG1514" t="s">
        <v>116</v>
      </c>
      <c r="BJ1514" t="s">
        <v>3532</v>
      </c>
    </row>
    <row r="1515" spans="1:62" x14ac:dyDescent="0.35">
      <c r="A1515" t="s">
        <v>3533</v>
      </c>
      <c r="B1515">
        <v>10000</v>
      </c>
      <c r="C1515">
        <v>20000</v>
      </c>
      <c r="D1515" s="2">
        <v>45748</v>
      </c>
      <c r="E1515" t="s">
        <v>61</v>
      </c>
      <c r="F1515" t="s">
        <v>3534</v>
      </c>
      <c r="G1515">
        <v>10639931114</v>
      </c>
      <c r="I1515">
        <v>2</v>
      </c>
      <c r="J1515" t="s">
        <v>63</v>
      </c>
      <c r="K1515" s="8">
        <v>77</v>
      </c>
      <c r="L1515" s="8" t="s">
        <v>6584</v>
      </c>
      <c r="M1515" s="8" t="s">
        <v>6627</v>
      </c>
      <c r="N1515" t="s">
        <v>127</v>
      </c>
      <c r="O1515" t="s">
        <v>6567</v>
      </c>
      <c r="P1515" s="4">
        <v>3576</v>
      </c>
      <c r="Q1515">
        <f>(P1515/60)+45</f>
        <v>104.6</v>
      </c>
      <c r="R1515">
        <f>Q1515/60</f>
        <v>1.7433333333333332</v>
      </c>
      <c r="S1515" s="2">
        <v>45740</v>
      </c>
      <c r="U1515">
        <v>66</v>
      </c>
      <c r="V1515" s="4">
        <v>236016</v>
      </c>
      <c r="W1515" t="s">
        <v>65</v>
      </c>
      <c r="X1515" t="s">
        <v>611</v>
      </c>
      <c r="Y1515">
        <v>0</v>
      </c>
      <c r="Z1515" s="4">
        <v>215000</v>
      </c>
      <c r="AA1515" s="4">
        <v>21016</v>
      </c>
      <c r="AB1515">
        <v>0</v>
      </c>
      <c r="AC1515">
        <v>0</v>
      </c>
      <c r="AD1515">
        <v>0</v>
      </c>
      <c r="AG1515">
        <v>0</v>
      </c>
      <c r="AP1515" t="s">
        <v>612</v>
      </c>
      <c r="AQ1515" t="s">
        <v>107</v>
      </c>
      <c r="AR1515" t="s">
        <v>6638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BC1515" t="s">
        <v>69</v>
      </c>
      <c r="BD1515" t="s">
        <v>3535</v>
      </c>
      <c r="BE1515">
        <v>0</v>
      </c>
      <c r="BG1515" t="s">
        <v>107</v>
      </c>
      <c r="BJ1515" t="s">
        <v>3536</v>
      </c>
    </row>
    <row r="1516" spans="1:62" x14ac:dyDescent="0.35">
      <c r="A1516" t="s">
        <v>4317</v>
      </c>
      <c r="B1516">
        <v>10000</v>
      </c>
      <c r="C1516">
        <v>30000</v>
      </c>
      <c r="D1516" s="2">
        <v>45741</v>
      </c>
      <c r="E1516" t="s">
        <v>61</v>
      </c>
      <c r="F1516" t="s">
        <v>4318</v>
      </c>
      <c r="G1516" t="s">
        <v>4156</v>
      </c>
      <c r="I1516">
        <v>3</v>
      </c>
      <c r="J1516" t="s">
        <v>63</v>
      </c>
      <c r="K1516" s="8">
        <v>85</v>
      </c>
      <c r="L1516" s="8" t="s">
        <v>6585</v>
      </c>
      <c r="M1516" s="8" t="s">
        <v>6628</v>
      </c>
      <c r="N1516" t="s">
        <v>327</v>
      </c>
      <c r="O1516" t="s">
        <v>6580</v>
      </c>
      <c r="P1516" s="4">
        <v>10000</v>
      </c>
      <c r="S1516" s="2">
        <v>45740</v>
      </c>
      <c r="U1516">
        <v>11</v>
      </c>
      <c r="V1516" s="4">
        <v>110000</v>
      </c>
      <c r="W1516" t="s">
        <v>65</v>
      </c>
      <c r="X1516" t="s">
        <v>574</v>
      </c>
      <c r="Y1516">
        <v>0</v>
      </c>
      <c r="Z1516" s="4">
        <v>100000</v>
      </c>
      <c r="AA1516" s="4">
        <v>10000</v>
      </c>
      <c r="AB1516">
        <v>0</v>
      </c>
      <c r="AC1516">
        <v>0</v>
      </c>
      <c r="AD1516">
        <v>0</v>
      </c>
      <c r="AG1516">
        <v>0</v>
      </c>
      <c r="AP1516" t="s">
        <v>575</v>
      </c>
      <c r="AQ1516" t="s">
        <v>107</v>
      </c>
      <c r="AR1516" t="s">
        <v>6638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BC1516" t="s">
        <v>69</v>
      </c>
      <c r="BD1516" t="s">
        <v>4319</v>
      </c>
      <c r="BE1516">
        <v>0</v>
      </c>
      <c r="BG1516" t="s">
        <v>107</v>
      </c>
      <c r="BJ1516" t="s">
        <v>4320</v>
      </c>
    </row>
    <row r="1517" spans="1:62" x14ac:dyDescent="0.35">
      <c r="A1517" t="s">
        <v>3558</v>
      </c>
      <c r="B1517">
        <v>10000</v>
      </c>
      <c r="C1517">
        <v>20000</v>
      </c>
      <c r="D1517" s="2">
        <v>45744</v>
      </c>
      <c r="E1517" t="s">
        <v>61</v>
      </c>
      <c r="F1517" t="s">
        <v>5145</v>
      </c>
      <c r="G1517">
        <v>10639931114</v>
      </c>
      <c r="I1517">
        <v>2</v>
      </c>
      <c r="J1517" t="s">
        <v>63</v>
      </c>
      <c r="K1517" s="8">
        <v>77</v>
      </c>
      <c r="L1517" s="8" t="s">
        <v>6584</v>
      </c>
      <c r="M1517" s="8" t="s">
        <v>6627</v>
      </c>
      <c r="N1517" t="s">
        <v>127</v>
      </c>
      <c r="O1517" t="s">
        <v>6567</v>
      </c>
      <c r="P1517" s="4">
        <v>1364</v>
      </c>
      <c r="Q1517">
        <f>(P1517/60)+45</f>
        <v>67.733333333333334</v>
      </c>
      <c r="R1517">
        <f>Q1517/60</f>
        <v>1.1288888888888888</v>
      </c>
      <c r="S1517" s="2">
        <v>45740</v>
      </c>
      <c r="U1517">
        <v>66</v>
      </c>
      <c r="V1517" s="4">
        <v>90024</v>
      </c>
      <c r="W1517" t="s">
        <v>65</v>
      </c>
      <c r="X1517" t="s">
        <v>3560</v>
      </c>
      <c r="Y1517">
        <v>0</v>
      </c>
      <c r="Z1517" s="4">
        <v>80000</v>
      </c>
      <c r="AA1517" s="4">
        <v>10024</v>
      </c>
      <c r="AB1517">
        <v>0</v>
      </c>
      <c r="AC1517">
        <v>0</v>
      </c>
      <c r="AD1517">
        <v>0</v>
      </c>
      <c r="AG1517">
        <v>0</v>
      </c>
      <c r="AP1517" t="s">
        <v>3561</v>
      </c>
      <c r="AQ1517" t="s">
        <v>107</v>
      </c>
      <c r="AR1517" t="s">
        <v>6638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BC1517" t="s">
        <v>69</v>
      </c>
      <c r="BD1517" t="s">
        <v>3562</v>
      </c>
      <c r="BE1517">
        <v>0</v>
      </c>
      <c r="BG1517" t="s">
        <v>107</v>
      </c>
      <c r="BJ1517" t="s">
        <v>3563</v>
      </c>
    </row>
    <row r="1518" spans="1:62" x14ac:dyDescent="0.35">
      <c r="A1518" t="s">
        <v>5146</v>
      </c>
      <c r="B1518">
        <v>10000</v>
      </c>
      <c r="C1518">
        <v>10000</v>
      </c>
      <c r="D1518" s="2">
        <v>45741</v>
      </c>
      <c r="E1518" t="s">
        <v>61</v>
      </c>
      <c r="F1518" s="3">
        <v>0.44246527777777778</v>
      </c>
      <c r="G1518" t="s">
        <v>5147</v>
      </c>
      <c r="I1518">
        <v>1</v>
      </c>
      <c r="J1518" t="s">
        <v>63</v>
      </c>
      <c r="K1518" s="8">
        <v>61</v>
      </c>
      <c r="L1518" s="8" t="s">
        <v>6594</v>
      </c>
      <c r="M1518" s="8" t="s">
        <v>6629</v>
      </c>
      <c r="N1518" t="s">
        <v>216</v>
      </c>
      <c r="O1518" t="s">
        <v>6394</v>
      </c>
      <c r="P1518" s="4">
        <v>2000</v>
      </c>
      <c r="Q1518">
        <f>(P1518/50)+45</f>
        <v>85</v>
      </c>
      <c r="R1518">
        <f>Q1518/60</f>
        <v>1.4166666666666667</v>
      </c>
      <c r="S1518" s="2">
        <v>45740</v>
      </c>
      <c r="U1518">
        <v>5</v>
      </c>
      <c r="V1518" s="4">
        <v>10000</v>
      </c>
      <c r="W1518" t="s">
        <v>65</v>
      </c>
      <c r="X1518" t="s">
        <v>1422</v>
      </c>
      <c r="Y1518">
        <v>0</v>
      </c>
      <c r="Z1518" s="4">
        <v>10000</v>
      </c>
      <c r="AA1518">
        <v>0</v>
      </c>
      <c r="AB1518">
        <v>0</v>
      </c>
      <c r="AC1518">
        <v>0</v>
      </c>
      <c r="AD1518">
        <v>0</v>
      </c>
      <c r="AG1518">
        <v>0</v>
      </c>
      <c r="AP1518" t="s">
        <v>1423</v>
      </c>
      <c r="AQ1518" t="s">
        <v>1424</v>
      </c>
      <c r="AR1518" t="s">
        <v>6678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BC1518" t="s">
        <v>69</v>
      </c>
      <c r="BD1518" t="s">
        <v>5148</v>
      </c>
      <c r="BE1518">
        <v>0</v>
      </c>
      <c r="BG1518" t="s">
        <v>1424</v>
      </c>
      <c r="BJ1518" t="s">
        <v>5149</v>
      </c>
    </row>
    <row r="1519" spans="1:62" x14ac:dyDescent="0.35">
      <c r="A1519" t="s">
        <v>5150</v>
      </c>
      <c r="B1519">
        <v>10000</v>
      </c>
      <c r="C1519">
        <v>10000</v>
      </c>
      <c r="D1519" s="2">
        <v>45741</v>
      </c>
      <c r="E1519" t="s">
        <v>61</v>
      </c>
      <c r="F1519" t="s">
        <v>5151</v>
      </c>
      <c r="G1519" t="s">
        <v>5105</v>
      </c>
      <c r="I1519">
        <v>1</v>
      </c>
      <c r="J1519" t="s">
        <v>63</v>
      </c>
      <c r="K1519" s="8">
        <v>59</v>
      </c>
      <c r="L1519" s="8" t="s">
        <v>6592</v>
      </c>
      <c r="M1519" s="8" t="s">
        <v>6629</v>
      </c>
      <c r="N1519" t="s">
        <v>745</v>
      </c>
      <c r="O1519" t="s">
        <v>6501</v>
      </c>
      <c r="P1519" s="4">
        <v>2905</v>
      </c>
      <c r="Q1519">
        <f t="shared" ref="Q1519:Q1524" si="394">(P1519/40)+45</f>
        <v>117.625</v>
      </c>
      <c r="R1519">
        <f t="shared" ref="R1519:R1524" si="395">Q1519/60</f>
        <v>1.9604166666666667</v>
      </c>
      <c r="S1519" s="2">
        <v>45740</v>
      </c>
      <c r="U1519">
        <v>2</v>
      </c>
      <c r="V1519" s="4">
        <v>5810</v>
      </c>
      <c r="W1519" t="s">
        <v>65</v>
      </c>
      <c r="X1519">
        <v>112887160001</v>
      </c>
      <c r="Y1519">
        <v>0</v>
      </c>
      <c r="Z1519" s="4">
        <v>5810</v>
      </c>
      <c r="AA1519">
        <v>0</v>
      </c>
      <c r="AB1519">
        <v>0</v>
      </c>
      <c r="AC1519">
        <v>0</v>
      </c>
      <c r="AD1519">
        <v>0</v>
      </c>
      <c r="AG1519">
        <v>0</v>
      </c>
      <c r="AP1519">
        <v>11288716</v>
      </c>
      <c r="AQ1519" t="s">
        <v>182</v>
      </c>
      <c r="AR1519" t="s">
        <v>6643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BC1519" t="s">
        <v>69</v>
      </c>
      <c r="BD1519" t="s">
        <v>5152</v>
      </c>
      <c r="BE1519">
        <v>0</v>
      </c>
      <c r="BG1519" t="s">
        <v>182</v>
      </c>
      <c r="BJ1519" t="s">
        <v>5153</v>
      </c>
    </row>
    <row r="1520" spans="1:62" x14ac:dyDescent="0.35">
      <c r="A1520" t="s">
        <v>5150</v>
      </c>
      <c r="B1520">
        <v>20000</v>
      </c>
      <c r="C1520">
        <v>10000</v>
      </c>
      <c r="D1520" s="2">
        <v>45741</v>
      </c>
      <c r="E1520" t="s">
        <v>61</v>
      </c>
      <c r="F1520" t="s">
        <v>5151</v>
      </c>
      <c r="G1520" t="s">
        <v>5105</v>
      </c>
      <c r="I1520">
        <v>1</v>
      </c>
      <c r="J1520" t="s">
        <v>63</v>
      </c>
      <c r="K1520" s="8">
        <v>59</v>
      </c>
      <c r="L1520" s="8" t="s">
        <v>6592</v>
      </c>
      <c r="M1520" s="8" t="s">
        <v>6629</v>
      </c>
      <c r="N1520" t="s">
        <v>745</v>
      </c>
      <c r="O1520" t="s">
        <v>6501</v>
      </c>
      <c r="P1520" s="4">
        <v>2905</v>
      </c>
      <c r="Q1520">
        <f t="shared" si="394"/>
        <v>117.625</v>
      </c>
      <c r="R1520">
        <f t="shared" si="395"/>
        <v>1.9604166666666667</v>
      </c>
      <c r="S1520" s="2">
        <v>45740</v>
      </c>
      <c r="U1520">
        <v>2</v>
      </c>
      <c r="V1520" s="4">
        <v>5810</v>
      </c>
      <c r="W1520" t="s">
        <v>65</v>
      </c>
      <c r="X1520">
        <v>112887160001</v>
      </c>
      <c r="Y1520">
        <v>0</v>
      </c>
      <c r="Z1520" s="4">
        <v>5810</v>
      </c>
      <c r="AA1520">
        <v>0</v>
      </c>
      <c r="AB1520">
        <v>0</v>
      </c>
      <c r="AC1520">
        <v>0</v>
      </c>
      <c r="AD1520">
        <v>0</v>
      </c>
      <c r="AG1520">
        <v>0</v>
      </c>
      <c r="AP1520">
        <v>11288716</v>
      </c>
      <c r="AQ1520" t="s">
        <v>182</v>
      </c>
      <c r="AR1520" t="s">
        <v>6643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BC1520" t="s">
        <v>69</v>
      </c>
      <c r="BD1520" t="s">
        <v>5152</v>
      </c>
      <c r="BE1520">
        <v>0</v>
      </c>
      <c r="BG1520" t="s">
        <v>182</v>
      </c>
      <c r="BJ1520" t="s">
        <v>5153</v>
      </c>
    </row>
    <row r="1521" spans="1:62" x14ac:dyDescent="0.35">
      <c r="A1521" t="s">
        <v>5150</v>
      </c>
      <c r="B1521">
        <v>30000</v>
      </c>
      <c r="C1521">
        <v>10000</v>
      </c>
      <c r="D1521" s="2">
        <v>45741</v>
      </c>
      <c r="E1521" t="s">
        <v>61</v>
      </c>
      <c r="F1521" t="s">
        <v>5151</v>
      </c>
      <c r="G1521" t="s">
        <v>5105</v>
      </c>
      <c r="I1521">
        <v>1</v>
      </c>
      <c r="J1521" t="s">
        <v>63</v>
      </c>
      <c r="K1521" s="8">
        <v>59</v>
      </c>
      <c r="L1521" s="8" t="s">
        <v>6592</v>
      </c>
      <c r="M1521" s="8" t="s">
        <v>6629</v>
      </c>
      <c r="N1521" t="s">
        <v>745</v>
      </c>
      <c r="O1521" t="s">
        <v>6501</v>
      </c>
      <c r="P1521" s="4">
        <v>2905</v>
      </c>
      <c r="Q1521">
        <f t="shared" si="394"/>
        <v>117.625</v>
      </c>
      <c r="R1521">
        <f t="shared" si="395"/>
        <v>1.9604166666666667</v>
      </c>
      <c r="S1521" s="2">
        <v>45740</v>
      </c>
      <c r="U1521">
        <v>2</v>
      </c>
      <c r="V1521" s="4">
        <v>5810</v>
      </c>
      <c r="W1521" t="s">
        <v>65</v>
      </c>
      <c r="X1521">
        <v>112887160001</v>
      </c>
      <c r="Y1521">
        <v>0</v>
      </c>
      <c r="Z1521" s="4">
        <v>5810</v>
      </c>
      <c r="AA1521">
        <v>0</v>
      </c>
      <c r="AB1521">
        <v>0</v>
      </c>
      <c r="AC1521">
        <v>0</v>
      </c>
      <c r="AD1521">
        <v>0</v>
      </c>
      <c r="AG1521">
        <v>0</v>
      </c>
      <c r="AP1521">
        <v>11288716</v>
      </c>
      <c r="AQ1521" t="s">
        <v>182</v>
      </c>
      <c r="AR1521" t="s">
        <v>6643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BC1521" t="s">
        <v>69</v>
      </c>
      <c r="BD1521" t="s">
        <v>5152</v>
      </c>
      <c r="BE1521">
        <v>0</v>
      </c>
      <c r="BG1521" t="s">
        <v>182</v>
      </c>
      <c r="BJ1521" t="s">
        <v>5153</v>
      </c>
    </row>
    <row r="1522" spans="1:62" x14ac:dyDescent="0.35">
      <c r="A1522" t="s">
        <v>5154</v>
      </c>
      <c r="B1522">
        <v>10000</v>
      </c>
      <c r="C1522">
        <v>10000</v>
      </c>
      <c r="D1522" s="2">
        <v>45740</v>
      </c>
      <c r="E1522" t="s">
        <v>61</v>
      </c>
      <c r="F1522" t="s">
        <v>5155</v>
      </c>
      <c r="G1522" t="s">
        <v>5105</v>
      </c>
      <c r="I1522">
        <v>1</v>
      </c>
      <c r="J1522" t="s">
        <v>63</v>
      </c>
      <c r="K1522" s="8">
        <v>59</v>
      </c>
      <c r="L1522" s="8" t="s">
        <v>6592</v>
      </c>
      <c r="M1522" s="8" t="s">
        <v>6629</v>
      </c>
      <c r="N1522" t="s">
        <v>745</v>
      </c>
      <c r="O1522" t="s">
        <v>6501</v>
      </c>
      <c r="P1522" s="4">
        <v>1549</v>
      </c>
      <c r="Q1522">
        <f t="shared" si="394"/>
        <v>83.724999999999994</v>
      </c>
      <c r="R1522">
        <f t="shared" si="395"/>
        <v>1.3954166666666665</v>
      </c>
      <c r="S1522" s="2">
        <v>45740</v>
      </c>
      <c r="U1522">
        <v>4</v>
      </c>
      <c r="V1522" s="4">
        <v>6196</v>
      </c>
      <c r="W1522" t="s">
        <v>65</v>
      </c>
      <c r="X1522">
        <v>200877560001</v>
      </c>
      <c r="Y1522">
        <v>0</v>
      </c>
      <c r="Z1522" s="4">
        <v>6196</v>
      </c>
      <c r="AA1522">
        <v>0</v>
      </c>
      <c r="AB1522">
        <v>0</v>
      </c>
      <c r="AC1522">
        <v>0</v>
      </c>
      <c r="AD1522">
        <v>0</v>
      </c>
      <c r="AG1522">
        <v>0</v>
      </c>
      <c r="AP1522">
        <v>20087756</v>
      </c>
      <c r="AQ1522" t="s">
        <v>182</v>
      </c>
      <c r="AR1522" t="s">
        <v>6643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BC1522" t="s">
        <v>69</v>
      </c>
      <c r="BD1522" t="s">
        <v>5156</v>
      </c>
      <c r="BE1522">
        <v>0</v>
      </c>
      <c r="BG1522" t="s">
        <v>182</v>
      </c>
      <c r="BJ1522" t="s">
        <v>5157</v>
      </c>
    </row>
    <row r="1523" spans="1:62" x14ac:dyDescent="0.35">
      <c r="A1523" t="s">
        <v>5154</v>
      </c>
      <c r="B1523">
        <v>20000</v>
      </c>
      <c r="C1523">
        <v>10000</v>
      </c>
      <c r="D1523" s="2">
        <v>45740</v>
      </c>
      <c r="E1523" t="s">
        <v>61</v>
      </c>
      <c r="F1523" t="s">
        <v>5155</v>
      </c>
      <c r="G1523" t="s">
        <v>5105</v>
      </c>
      <c r="I1523">
        <v>1</v>
      </c>
      <c r="J1523" t="s">
        <v>63</v>
      </c>
      <c r="K1523" s="8">
        <v>59</v>
      </c>
      <c r="L1523" s="8" t="s">
        <v>6592</v>
      </c>
      <c r="M1523" s="8" t="s">
        <v>6629</v>
      </c>
      <c r="N1523" t="s">
        <v>745</v>
      </c>
      <c r="O1523" t="s">
        <v>6501</v>
      </c>
      <c r="P1523" s="4">
        <v>1549</v>
      </c>
      <c r="Q1523">
        <f t="shared" si="394"/>
        <v>83.724999999999994</v>
      </c>
      <c r="R1523">
        <f t="shared" si="395"/>
        <v>1.3954166666666665</v>
      </c>
      <c r="S1523" s="2">
        <v>45740</v>
      </c>
      <c r="U1523">
        <v>4</v>
      </c>
      <c r="V1523" s="4">
        <v>6196</v>
      </c>
      <c r="W1523" t="s">
        <v>65</v>
      </c>
      <c r="X1523">
        <v>200877560001</v>
      </c>
      <c r="Y1523">
        <v>0</v>
      </c>
      <c r="Z1523" s="4">
        <v>6196</v>
      </c>
      <c r="AA1523">
        <v>0</v>
      </c>
      <c r="AB1523">
        <v>0</v>
      </c>
      <c r="AC1523">
        <v>0</v>
      </c>
      <c r="AD1523">
        <v>0</v>
      </c>
      <c r="AG1523">
        <v>0</v>
      </c>
      <c r="AP1523">
        <v>20087756</v>
      </c>
      <c r="AQ1523" t="s">
        <v>182</v>
      </c>
      <c r="AR1523" t="s">
        <v>6643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BC1523" t="s">
        <v>69</v>
      </c>
      <c r="BD1523" t="s">
        <v>5156</v>
      </c>
      <c r="BE1523">
        <v>0</v>
      </c>
      <c r="BG1523" t="s">
        <v>182</v>
      </c>
      <c r="BJ1523" t="s">
        <v>5157</v>
      </c>
    </row>
    <row r="1524" spans="1:62" x14ac:dyDescent="0.35">
      <c r="A1524" t="s">
        <v>5154</v>
      </c>
      <c r="B1524">
        <v>30000</v>
      </c>
      <c r="C1524">
        <v>10000</v>
      </c>
      <c r="D1524" s="2">
        <v>45740</v>
      </c>
      <c r="E1524" t="s">
        <v>61</v>
      </c>
      <c r="F1524" t="s">
        <v>5155</v>
      </c>
      <c r="G1524" t="s">
        <v>5105</v>
      </c>
      <c r="I1524">
        <v>1</v>
      </c>
      <c r="J1524" t="s">
        <v>63</v>
      </c>
      <c r="K1524" s="8">
        <v>59</v>
      </c>
      <c r="L1524" s="8" t="s">
        <v>6592</v>
      </c>
      <c r="M1524" s="8" t="s">
        <v>6629</v>
      </c>
      <c r="N1524" t="s">
        <v>745</v>
      </c>
      <c r="O1524" t="s">
        <v>6501</v>
      </c>
      <c r="P1524" s="4">
        <v>1549</v>
      </c>
      <c r="Q1524">
        <f t="shared" si="394"/>
        <v>83.724999999999994</v>
      </c>
      <c r="R1524">
        <f t="shared" si="395"/>
        <v>1.3954166666666665</v>
      </c>
      <c r="S1524" s="2">
        <v>45740</v>
      </c>
      <c r="U1524">
        <v>4</v>
      </c>
      <c r="V1524" s="4">
        <v>6196</v>
      </c>
      <c r="W1524" t="s">
        <v>65</v>
      </c>
      <c r="X1524">
        <v>200877560001</v>
      </c>
      <c r="Y1524">
        <v>0</v>
      </c>
      <c r="Z1524" s="4">
        <v>6196</v>
      </c>
      <c r="AA1524">
        <v>0</v>
      </c>
      <c r="AB1524">
        <v>0</v>
      </c>
      <c r="AC1524">
        <v>0</v>
      </c>
      <c r="AD1524">
        <v>0</v>
      </c>
      <c r="AG1524">
        <v>0</v>
      </c>
      <c r="AP1524">
        <v>20087756</v>
      </c>
      <c r="AQ1524" t="s">
        <v>182</v>
      </c>
      <c r="AR1524" t="s">
        <v>6643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BC1524" t="s">
        <v>69</v>
      </c>
      <c r="BD1524" t="s">
        <v>5156</v>
      </c>
      <c r="BE1524">
        <v>0</v>
      </c>
      <c r="BG1524" t="s">
        <v>182</v>
      </c>
      <c r="BJ1524" t="s">
        <v>5157</v>
      </c>
    </row>
    <row r="1525" spans="1:62" x14ac:dyDescent="0.35">
      <c r="A1525" t="s">
        <v>5158</v>
      </c>
      <c r="B1525">
        <v>10000</v>
      </c>
      <c r="C1525">
        <v>10000</v>
      </c>
      <c r="D1525" s="2">
        <v>45740</v>
      </c>
      <c r="E1525" t="s">
        <v>61</v>
      </c>
      <c r="F1525" t="s">
        <v>5077</v>
      </c>
      <c r="G1525" t="s">
        <v>5078</v>
      </c>
      <c r="I1525">
        <v>1</v>
      </c>
      <c r="J1525" t="s">
        <v>63</v>
      </c>
      <c r="K1525" s="8">
        <v>94</v>
      </c>
      <c r="L1525" s="8" t="s">
        <v>6599</v>
      </c>
      <c r="M1525" s="8" t="s">
        <v>6629</v>
      </c>
      <c r="N1525" t="s">
        <v>181</v>
      </c>
      <c r="O1525" t="s">
        <v>6544</v>
      </c>
      <c r="P1525">
        <v>167</v>
      </c>
      <c r="S1525" s="2">
        <v>45740</v>
      </c>
      <c r="U1525">
        <v>6</v>
      </c>
      <c r="V1525" s="4">
        <v>1002</v>
      </c>
      <c r="W1525" t="s">
        <v>65</v>
      </c>
      <c r="X1525" t="s">
        <v>5079</v>
      </c>
      <c r="Y1525">
        <v>0</v>
      </c>
      <c r="Z1525" s="4">
        <v>1000</v>
      </c>
      <c r="AA1525">
        <v>2</v>
      </c>
      <c r="AB1525">
        <v>0</v>
      </c>
      <c r="AC1525">
        <v>0</v>
      </c>
      <c r="AD1525">
        <v>0</v>
      </c>
      <c r="AG1525">
        <v>0</v>
      </c>
      <c r="AP1525" t="s">
        <v>5080</v>
      </c>
      <c r="AQ1525" t="s">
        <v>3615</v>
      </c>
      <c r="AR1525" t="s">
        <v>6724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BC1525" t="s">
        <v>69</v>
      </c>
      <c r="BD1525" t="s">
        <v>5159</v>
      </c>
      <c r="BE1525">
        <v>0</v>
      </c>
      <c r="BG1525" t="s">
        <v>3615</v>
      </c>
      <c r="BJ1525" t="s">
        <v>3617</v>
      </c>
    </row>
    <row r="1526" spans="1:62" x14ac:dyDescent="0.35">
      <c r="A1526" t="s">
        <v>5160</v>
      </c>
      <c r="B1526">
        <v>10000</v>
      </c>
      <c r="C1526">
        <v>10000</v>
      </c>
      <c r="D1526" s="2">
        <v>45741</v>
      </c>
      <c r="E1526" t="s">
        <v>95</v>
      </c>
      <c r="F1526" t="s">
        <v>5161</v>
      </c>
      <c r="G1526" t="s">
        <v>5162</v>
      </c>
      <c r="I1526">
        <v>1</v>
      </c>
      <c r="J1526" t="s">
        <v>63</v>
      </c>
      <c r="K1526" s="8">
        <v>60</v>
      </c>
      <c r="L1526" s="8" t="s">
        <v>6590</v>
      </c>
      <c r="M1526" s="8" t="s">
        <v>6630</v>
      </c>
      <c r="N1526" t="s">
        <v>277</v>
      </c>
      <c r="O1526" t="s">
        <v>6554</v>
      </c>
      <c r="P1526" s="4">
        <v>1000</v>
      </c>
      <c r="Q1526">
        <f t="shared" ref="Q1526:Q1527" si="396">(P1526/50)+45</f>
        <v>65</v>
      </c>
      <c r="R1526">
        <f t="shared" ref="R1526:R1527" si="397">Q1526/60</f>
        <v>1.0833333333333333</v>
      </c>
      <c r="S1526" s="2">
        <v>45740</v>
      </c>
      <c r="U1526">
        <v>1</v>
      </c>
      <c r="V1526" s="4">
        <v>1000</v>
      </c>
      <c r="W1526" t="s">
        <v>65</v>
      </c>
      <c r="X1526" t="s">
        <v>5163</v>
      </c>
      <c r="Y1526">
        <v>0</v>
      </c>
      <c r="Z1526" s="4">
        <v>1000</v>
      </c>
      <c r="AA1526">
        <v>0</v>
      </c>
      <c r="AB1526">
        <v>0</v>
      </c>
      <c r="AC1526">
        <v>0</v>
      </c>
      <c r="AD1526">
        <v>0</v>
      </c>
      <c r="AG1526">
        <v>0</v>
      </c>
      <c r="AP1526" t="s">
        <v>5164</v>
      </c>
      <c r="AQ1526" t="s">
        <v>116</v>
      </c>
      <c r="AR1526" t="s">
        <v>6639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BC1526" t="s">
        <v>69</v>
      </c>
      <c r="BD1526" t="s">
        <v>5165</v>
      </c>
      <c r="BE1526">
        <v>0</v>
      </c>
      <c r="BG1526" t="s">
        <v>116</v>
      </c>
      <c r="BJ1526" t="s">
        <v>5166</v>
      </c>
    </row>
    <row r="1527" spans="1:62" x14ac:dyDescent="0.35">
      <c r="A1527" t="s">
        <v>5167</v>
      </c>
      <c r="B1527">
        <v>10000</v>
      </c>
      <c r="C1527">
        <v>10000</v>
      </c>
      <c r="D1527" s="2">
        <v>45740</v>
      </c>
      <c r="E1527" t="s">
        <v>61</v>
      </c>
      <c r="F1527" s="3">
        <v>0.4840740740740741</v>
      </c>
      <c r="G1527" t="s">
        <v>5017</v>
      </c>
      <c r="I1527">
        <v>1</v>
      </c>
      <c r="J1527" t="s">
        <v>63</v>
      </c>
      <c r="K1527" s="8">
        <v>22</v>
      </c>
      <c r="L1527" s="8" t="s">
        <v>6603</v>
      </c>
      <c r="M1527" s="8" t="s">
        <v>6629</v>
      </c>
      <c r="N1527" t="s">
        <v>466</v>
      </c>
      <c r="O1527" t="s">
        <v>6474</v>
      </c>
      <c r="P1527" s="4">
        <v>3000</v>
      </c>
      <c r="Q1527">
        <f t="shared" si="396"/>
        <v>105</v>
      </c>
      <c r="R1527">
        <f t="shared" si="397"/>
        <v>1.75</v>
      </c>
      <c r="S1527" s="2">
        <v>45740</v>
      </c>
      <c r="U1527">
        <v>1</v>
      </c>
      <c r="V1527" s="4">
        <v>3000</v>
      </c>
      <c r="W1527" t="s">
        <v>65</v>
      </c>
      <c r="X1527" t="s">
        <v>3768</v>
      </c>
      <c r="Y1527">
        <v>0</v>
      </c>
      <c r="Z1527" s="4">
        <v>3000</v>
      </c>
      <c r="AA1527">
        <v>0</v>
      </c>
      <c r="AB1527">
        <v>0</v>
      </c>
      <c r="AC1527">
        <v>0</v>
      </c>
      <c r="AD1527">
        <v>0</v>
      </c>
      <c r="AG1527">
        <v>0</v>
      </c>
      <c r="AP1527" t="s">
        <v>3769</v>
      </c>
      <c r="AQ1527" t="s">
        <v>116</v>
      </c>
      <c r="AR1527" t="s">
        <v>6639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BC1527" t="s">
        <v>69</v>
      </c>
      <c r="BD1527" t="s">
        <v>5168</v>
      </c>
      <c r="BE1527">
        <v>0</v>
      </c>
      <c r="BG1527" t="s">
        <v>116</v>
      </c>
      <c r="BJ1527" t="s">
        <v>4631</v>
      </c>
    </row>
    <row r="1528" spans="1:62" x14ac:dyDescent="0.35">
      <c r="A1528" t="s">
        <v>5169</v>
      </c>
      <c r="B1528">
        <v>10000</v>
      </c>
      <c r="C1528">
        <v>10000</v>
      </c>
      <c r="D1528" s="2">
        <v>45740</v>
      </c>
      <c r="E1528" t="s">
        <v>61</v>
      </c>
      <c r="F1528" t="s">
        <v>5170</v>
      </c>
      <c r="G1528" t="s">
        <v>5012</v>
      </c>
      <c r="I1528">
        <v>1</v>
      </c>
      <c r="J1528" t="s">
        <v>63</v>
      </c>
      <c r="K1528" s="8">
        <v>46</v>
      </c>
      <c r="L1528" s="8" t="s">
        <v>6587</v>
      </c>
      <c r="M1528" s="8" t="s">
        <v>6629</v>
      </c>
      <c r="N1528" t="s">
        <v>113</v>
      </c>
      <c r="O1528" t="s">
        <v>6499</v>
      </c>
      <c r="P1528" s="4">
        <v>3000</v>
      </c>
      <c r="Q1528">
        <f>(P1528/40)+45</f>
        <v>120</v>
      </c>
      <c r="R1528">
        <f>Q1528/60</f>
        <v>2</v>
      </c>
      <c r="S1528" s="2">
        <v>45740</v>
      </c>
      <c r="U1528">
        <v>1</v>
      </c>
      <c r="V1528" s="4">
        <v>3000</v>
      </c>
      <c r="W1528" t="s">
        <v>65</v>
      </c>
      <c r="X1528" t="s">
        <v>5013</v>
      </c>
      <c r="Y1528">
        <v>0</v>
      </c>
      <c r="Z1528" s="4">
        <v>3000</v>
      </c>
      <c r="AA1528">
        <v>0</v>
      </c>
      <c r="AB1528">
        <v>0</v>
      </c>
      <c r="AC1528">
        <v>0</v>
      </c>
      <c r="AD1528">
        <v>0</v>
      </c>
      <c r="AG1528">
        <v>0</v>
      </c>
      <c r="AP1528" t="s">
        <v>5014</v>
      </c>
      <c r="AQ1528" t="s">
        <v>116</v>
      </c>
      <c r="AR1528" t="s">
        <v>6639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BC1528" t="s">
        <v>69</v>
      </c>
      <c r="BD1528" t="s">
        <v>5171</v>
      </c>
      <c r="BE1528">
        <v>0</v>
      </c>
      <c r="BG1528" t="s">
        <v>116</v>
      </c>
      <c r="BJ1528" t="s">
        <v>4631</v>
      </c>
    </row>
    <row r="1529" spans="1:62" x14ac:dyDescent="0.35">
      <c r="A1529" t="s">
        <v>5172</v>
      </c>
      <c r="B1529">
        <v>10000</v>
      </c>
      <c r="C1529">
        <v>10000</v>
      </c>
      <c r="D1529" s="2">
        <v>45740</v>
      </c>
      <c r="E1529" t="s">
        <v>61</v>
      </c>
      <c r="F1529" t="s">
        <v>5139</v>
      </c>
      <c r="G1529" t="s">
        <v>5140</v>
      </c>
      <c r="I1529">
        <v>1</v>
      </c>
      <c r="J1529" t="s">
        <v>63</v>
      </c>
      <c r="K1529" s="8">
        <v>61</v>
      </c>
      <c r="L1529" s="8" t="s">
        <v>6594</v>
      </c>
      <c r="M1529" s="8" t="s">
        <v>6629</v>
      </c>
      <c r="N1529" t="s">
        <v>197</v>
      </c>
      <c r="O1529" t="s">
        <v>6565</v>
      </c>
      <c r="P1529" s="4">
        <v>1250</v>
      </c>
      <c r="Q1529">
        <f>(P1529/50)+45</f>
        <v>70</v>
      </c>
      <c r="R1529">
        <f>Q1529/60</f>
        <v>1.1666666666666667</v>
      </c>
      <c r="S1529" s="2">
        <v>45740</v>
      </c>
      <c r="U1529">
        <v>4</v>
      </c>
      <c r="V1529" s="4">
        <v>5000</v>
      </c>
      <c r="W1529" t="s">
        <v>65</v>
      </c>
      <c r="X1529" t="s">
        <v>2227</v>
      </c>
      <c r="Y1529">
        <v>0</v>
      </c>
      <c r="Z1529" s="4">
        <v>5000</v>
      </c>
      <c r="AA1529">
        <v>0</v>
      </c>
      <c r="AB1529">
        <v>0</v>
      </c>
      <c r="AC1529">
        <v>0</v>
      </c>
      <c r="AD1529">
        <v>0</v>
      </c>
      <c r="AG1529">
        <v>0</v>
      </c>
      <c r="AP1529" t="s">
        <v>2228</v>
      </c>
      <c r="AQ1529" t="s">
        <v>116</v>
      </c>
      <c r="AR1529" t="s">
        <v>6639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BC1529" t="s">
        <v>69</v>
      </c>
      <c r="BD1529" t="s">
        <v>5173</v>
      </c>
      <c r="BE1529">
        <v>0</v>
      </c>
      <c r="BG1529" t="s">
        <v>116</v>
      </c>
      <c r="BJ1529" t="s">
        <v>4631</v>
      </c>
    </row>
    <row r="1530" spans="1:62" x14ac:dyDescent="0.35">
      <c r="A1530" t="s">
        <v>5174</v>
      </c>
      <c r="B1530">
        <v>10000</v>
      </c>
      <c r="C1530">
        <v>10000</v>
      </c>
      <c r="D1530" s="2">
        <v>45741</v>
      </c>
      <c r="E1530" t="s">
        <v>95</v>
      </c>
      <c r="F1530" t="s">
        <v>4938</v>
      </c>
      <c r="G1530" t="s">
        <v>4939</v>
      </c>
      <c r="I1530">
        <v>1</v>
      </c>
      <c r="J1530" t="s">
        <v>63</v>
      </c>
      <c r="K1530" s="8">
        <v>32</v>
      </c>
      <c r="L1530" s="8" t="s">
        <v>6607</v>
      </c>
      <c r="M1530" s="8" t="s">
        <v>6629</v>
      </c>
      <c r="N1530" t="s">
        <v>553</v>
      </c>
      <c r="O1530" t="s">
        <v>6552</v>
      </c>
      <c r="P1530" s="4">
        <v>5860</v>
      </c>
      <c r="S1530" s="2">
        <v>45740</v>
      </c>
      <c r="U1530">
        <v>1</v>
      </c>
      <c r="V1530" s="4">
        <v>5860</v>
      </c>
      <c r="W1530" t="s">
        <v>65</v>
      </c>
      <c r="X1530" t="s">
        <v>2059</v>
      </c>
      <c r="Y1530">
        <v>0</v>
      </c>
      <c r="Z1530" s="4">
        <v>5360</v>
      </c>
      <c r="AA1530">
        <v>500</v>
      </c>
      <c r="AB1530">
        <v>0</v>
      </c>
      <c r="AC1530">
        <v>0</v>
      </c>
      <c r="AD1530">
        <v>0</v>
      </c>
      <c r="AG1530">
        <v>0</v>
      </c>
      <c r="AP1530" t="s">
        <v>2060</v>
      </c>
      <c r="AQ1530" t="s">
        <v>116</v>
      </c>
      <c r="AR1530" t="s">
        <v>6639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BC1530" t="s">
        <v>69</v>
      </c>
      <c r="BD1530" t="s">
        <v>5175</v>
      </c>
      <c r="BE1530">
        <v>0</v>
      </c>
      <c r="BG1530" t="s">
        <v>116</v>
      </c>
      <c r="BJ1530" t="s">
        <v>4862</v>
      </c>
    </row>
    <row r="1531" spans="1:62" x14ac:dyDescent="0.35">
      <c r="A1531" t="s">
        <v>5176</v>
      </c>
      <c r="B1531">
        <v>10000</v>
      </c>
      <c r="C1531">
        <v>10000</v>
      </c>
      <c r="D1531" s="2">
        <v>45741</v>
      </c>
      <c r="E1531" t="s">
        <v>95</v>
      </c>
      <c r="F1531" t="s">
        <v>4938</v>
      </c>
      <c r="G1531" t="s">
        <v>4939</v>
      </c>
      <c r="I1531">
        <v>1</v>
      </c>
      <c r="J1531" t="s">
        <v>63</v>
      </c>
      <c r="K1531" s="8">
        <v>32</v>
      </c>
      <c r="L1531" s="8" t="s">
        <v>6607</v>
      </c>
      <c r="M1531" s="8" t="s">
        <v>6629</v>
      </c>
      <c r="N1531" t="s">
        <v>553</v>
      </c>
      <c r="O1531" t="s">
        <v>6552</v>
      </c>
      <c r="P1531" s="4">
        <v>5860</v>
      </c>
      <c r="S1531" s="2">
        <v>45740</v>
      </c>
      <c r="U1531">
        <v>1</v>
      </c>
      <c r="V1531" s="4">
        <v>5860</v>
      </c>
      <c r="W1531" t="s">
        <v>65</v>
      </c>
      <c r="X1531" t="s">
        <v>2059</v>
      </c>
      <c r="Y1531">
        <v>0</v>
      </c>
      <c r="Z1531" s="4">
        <v>5360</v>
      </c>
      <c r="AA1531">
        <v>500</v>
      </c>
      <c r="AB1531">
        <v>0</v>
      </c>
      <c r="AC1531">
        <v>0</v>
      </c>
      <c r="AD1531">
        <v>0</v>
      </c>
      <c r="AG1531">
        <v>0</v>
      </c>
      <c r="AP1531" t="s">
        <v>2060</v>
      </c>
      <c r="AQ1531" t="s">
        <v>116</v>
      </c>
      <c r="AR1531" t="s">
        <v>6639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BC1531" t="s">
        <v>69</v>
      </c>
      <c r="BD1531" t="s">
        <v>5177</v>
      </c>
      <c r="BE1531">
        <v>0</v>
      </c>
      <c r="BG1531" t="s">
        <v>116</v>
      </c>
      <c r="BJ1531" t="s">
        <v>5043</v>
      </c>
    </row>
    <row r="1532" spans="1:62" x14ac:dyDescent="0.35">
      <c r="A1532" t="s">
        <v>4632</v>
      </c>
      <c r="B1532">
        <v>10000</v>
      </c>
      <c r="C1532">
        <v>20000</v>
      </c>
      <c r="D1532" s="2">
        <v>45740</v>
      </c>
      <c r="E1532" t="s">
        <v>61</v>
      </c>
      <c r="F1532" t="s">
        <v>4633</v>
      </c>
      <c r="G1532" t="s">
        <v>4340</v>
      </c>
      <c r="I1532">
        <v>2</v>
      </c>
      <c r="J1532" t="s">
        <v>63</v>
      </c>
      <c r="K1532" s="8">
        <v>71</v>
      </c>
      <c r="L1532" s="8" t="s">
        <v>6588</v>
      </c>
      <c r="M1532" s="8" t="s">
        <v>6630</v>
      </c>
      <c r="N1532" t="s">
        <v>135</v>
      </c>
      <c r="O1532" t="s">
        <v>6573</v>
      </c>
      <c r="P1532" s="4">
        <v>1867</v>
      </c>
      <c r="S1532" s="2">
        <v>45740</v>
      </c>
      <c r="U1532">
        <v>6</v>
      </c>
      <c r="V1532" s="4">
        <v>11202</v>
      </c>
      <c r="W1532" t="s">
        <v>65</v>
      </c>
      <c r="X1532">
        <v>5000532080001</v>
      </c>
      <c r="Y1532">
        <v>0</v>
      </c>
      <c r="Z1532" s="4">
        <v>11200</v>
      </c>
      <c r="AA1532">
        <v>2</v>
      </c>
      <c r="AB1532">
        <v>0</v>
      </c>
      <c r="AC1532">
        <v>0</v>
      </c>
      <c r="AD1532">
        <v>0</v>
      </c>
      <c r="AG1532">
        <v>0</v>
      </c>
      <c r="AP1532">
        <v>500053208</v>
      </c>
      <c r="AQ1532" t="s">
        <v>91</v>
      </c>
      <c r="AR1532" t="s">
        <v>6637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BC1532" t="s">
        <v>69</v>
      </c>
      <c r="BD1532" t="s">
        <v>4634</v>
      </c>
      <c r="BE1532">
        <v>0</v>
      </c>
      <c r="BG1532" t="s">
        <v>91</v>
      </c>
      <c r="BJ1532" t="s">
        <v>4635</v>
      </c>
    </row>
    <row r="1533" spans="1:62" x14ac:dyDescent="0.35">
      <c r="A1533" t="s">
        <v>5178</v>
      </c>
      <c r="B1533">
        <v>10000</v>
      </c>
      <c r="C1533">
        <v>10000</v>
      </c>
      <c r="D1533" s="2">
        <v>45740</v>
      </c>
      <c r="E1533" t="s">
        <v>61</v>
      </c>
      <c r="F1533" t="s">
        <v>5179</v>
      </c>
      <c r="G1533" t="s">
        <v>3487</v>
      </c>
      <c r="I1533">
        <v>1</v>
      </c>
      <c r="J1533" t="s">
        <v>63</v>
      </c>
      <c r="K1533" s="8">
        <v>31</v>
      </c>
      <c r="L1533" s="8" t="s">
        <v>6595</v>
      </c>
      <c r="M1533" s="8" t="s">
        <v>6629</v>
      </c>
      <c r="N1533" t="s">
        <v>361</v>
      </c>
      <c r="O1533" t="s">
        <v>6485</v>
      </c>
      <c r="P1533">
        <v>500</v>
      </c>
      <c r="Q1533">
        <f t="shared" ref="Q1533:Q1534" si="398">(P1533/40)+45</f>
        <v>57.5</v>
      </c>
      <c r="R1533">
        <f t="shared" ref="R1533:R1534" si="399">Q1533/60</f>
        <v>0.95833333333333337</v>
      </c>
      <c r="S1533" s="2">
        <v>45740</v>
      </c>
      <c r="U1533">
        <v>1</v>
      </c>
      <c r="V1533">
        <v>500</v>
      </c>
      <c r="W1533" t="s">
        <v>65</v>
      </c>
      <c r="X1533" t="s">
        <v>1318</v>
      </c>
      <c r="Y1533">
        <v>0</v>
      </c>
      <c r="Z1533">
        <v>500</v>
      </c>
      <c r="AA1533">
        <v>0</v>
      </c>
      <c r="AB1533">
        <v>0</v>
      </c>
      <c r="AC1533">
        <v>0</v>
      </c>
      <c r="AD1533">
        <v>0</v>
      </c>
      <c r="AG1533">
        <v>0</v>
      </c>
      <c r="AP1533" t="s">
        <v>1319</v>
      </c>
      <c r="AQ1533" t="s">
        <v>1314</v>
      </c>
      <c r="AR1533" t="s">
        <v>6677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BC1533" t="s">
        <v>69</v>
      </c>
      <c r="BD1533" t="s">
        <v>5180</v>
      </c>
      <c r="BE1533">
        <v>0</v>
      </c>
      <c r="BG1533" t="s">
        <v>1314</v>
      </c>
      <c r="BJ1533" t="s">
        <v>5181</v>
      </c>
    </row>
    <row r="1534" spans="1:62" x14ac:dyDescent="0.35">
      <c r="A1534" t="s">
        <v>5182</v>
      </c>
      <c r="B1534">
        <v>10000</v>
      </c>
      <c r="C1534">
        <v>10000</v>
      </c>
      <c r="D1534" s="2">
        <v>45741</v>
      </c>
      <c r="E1534" t="s">
        <v>95</v>
      </c>
      <c r="F1534" t="s">
        <v>5161</v>
      </c>
      <c r="G1534" t="s">
        <v>3487</v>
      </c>
      <c r="I1534">
        <v>1</v>
      </c>
      <c r="J1534" t="s">
        <v>63</v>
      </c>
      <c r="K1534" s="8">
        <v>31</v>
      </c>
      <c r="L1534" s="8" t="s">
        <v>6595</v>
      </c>
      <c r="M1534" s="8" t="s">
        <v>6629</v>
      </c>
      <c r="N1534" t="s">
        <v>361</v>
      </c>
      <c r="O1534" t="s">
        <v>6485</v>
      </c>
      <c r="P1534">
        <v>500</v>
      </c>
      <c r="Q1534">
        <f t="shared" si="398"/>
        <v>57.5</v>
      </c>
      <c r="R1534">
        <f t="shared" si="399"/>
        <v>0.95833333333333337</v>
      </c>
      <c r="S1534" s="2">
        <v>45740</v>
      </c>
      <c r="U1534">
        <v>1</v>
      </c>
      <c r="V1534">
        <v>500</v>
      </c>
      <c r="W1534" t="s">
        <v>65</v>
      </c>
      <c r="X1534" t="s">
        <v>5183</v>
      </c>
      <c r="Y1534">
        <v>0</v>
      </c>
      <c r="Z1534">
        <v>500</v>
      </c>
      <c r="AA1534">
        <v>0</v>
      </c>
      <c r="AB1534">
        <v>0</v>
      </c>
      <c r="AC1534">
        <v>0</v>
      </c>
      <c r="AD1534">
        <v>0</v>
      </c>
      <c r="AG1534">
        <v>0</v>
      </c>
      <c r="AP1534" t="s">
        <v>5184</v>
      </c>
      <c r="AQ1534" t="s">
        <v>1314</v>
      </c>
      <c r="AR1534" t="s">
        <v>6677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BC1534" t="s">
        <v>69</v>
      </c>
      <c r="BD1534" t="s">
        <v>5185</v>
      </c>
      <c r="BE1534">
        <v>0</v>
      </c>
      <c r="BG1534" t="s">
        <v>1314</v>
      </c>
      <c r="BJ1534" t="s">
        <v>5181</v>
      </c>
    </row>
    <row r="1535" spans="1:62" x14ac:dyDescent="0.35">
      <c r="A1535" t="s">
        <v>4871</v>
      </c>
      <c r="B1535">
        <v>10000</v>
      </c>
      <c r="C1535">
        <v>20000</v>
      </c>
      <c r="D1535" s="2">
        <v>45742</v>
      </c>
      <c r="E1535" t="s">
        <v>61</v>
      </c>
      <c r="F1535" t="s">
        <v>1180</v>
      </c>
      <c r="G1535" t="s">
        <v>4865</v>
      </c>
      <c r="I1535">
        <v>2</v>
      </c>
      <c r="J1535" t="s">
        <v>63</v>
      </c>
      <c r="K1535" s="8">
        <v>92</v>
      </c>
      <c r="L1535" s="8" t="s">
        <v>6614</v>
      </c>
      <c r="M1535" s="8" t="s">
        <v>6633</v>
      </c>
      <c r="N1535" t="s">
        <v>424</v>
      </c>
      <c r="O1535" t="s">
        <v>6570</v>
      </c>
      <c r="P1535" s="4">
        <v>1800</v>
      </c>
      <c r="S1535" s="2">
        <v>45740</v>
      </c>
      <c r="U1535">
        <v>3</v>
      </c>
      <c r="V1535" s="4">
        <v>5400</v>
      </c>
      <c r="W1535" t="s">
        <v>65</v>
      </c>
      <c r="X1535" t="s">
        <v>4872</v>
      </c>
      <c r="Y1535">
        <v>0</v>
      </c>
      <c r="Z1535" s="4">
        <v>5000</v>
      </c>
      <c r="AA1535">
        <v>400</v>
      </c>
      <c r="AB1535">
        <v>0</v>
      </c>
      <c r="AC1535">
        <v>0</v>
      </c>
      <c r="AD1535">
        <v>0</v>
      </c>
      <c r="AG1535">
        <v>0</v>
      </c>
      <c r="AP1535" t="s">
        <v>4873</v>
      </c>
      <c r="AQ1535" t="s">
        <v>4868</v>
      </c>
      <c r="AR1535" t="s">
        <v>6736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BC1535" t="s">
        <v>69</v>
      </c>
      <c r="BD1535" t="s">
        <v>4874</v>
      </c>
      <c r="BE1535">
        <v>0</v>
      </c>
      <c r="BG1535" t="s">
        <v>4868</v>
      </c>
      <c r="BJ1535" t="s">
        <v>4870</v>
      </c>
    </row>
    <row r="1536" spans="1:62" x14ac:dyDescent="0.35">
      <c r="A1536" t="s">
        <v>4875</v>
      </c>
      <c r="B1536">
        <v>10000</v>
      </c>
      <c r="C1536">
        <v>20000</v>
      </c>
      <c r="D1536" s="2">
        <v>45742</v>
      </c>
      <c r="E1536" t="s">
        <v>61</v>
      </c>
      <c r="F1536" t="s">
        <v>4876</v>
      </c>
      <c r="G1536" t="s">
        <v>4865</v>
      </c>
      <c r="I1536">
        <v>2</v>
      </c>
      <c r="J1536" t="s">
        <v>63</v>
      </c>
      <c r="K1536" s="8">
        <v>92</v>
      </c>
      <c r="L1536" s="8" t="s">
        <v>6614</v>
      </c>
      <c r="M1536" s="8" t="s">
        <v>6633</v>
      </c>
      <c r="N1536" t="s">
        <v>424</v>
      </c>
      <c r="O1536" t="s">
        <v>6570</v>
      </c>
      <c r="P1536" s="4">
        <v>1800</v>
      </c>
      <c r="S1536" s="2">
        <v>45740</v>
      </c>
      <c r="U1536">
        <v>3</v>
      </c>
      <c r="V1536" s="4">
        <v>5400</v>
      </c>
      <c r="W1536" t="s">
        <v>65</v>
      </c>
      <c r="X1536" t="s">
        <v>4877</v>
      </c>
      <c r="Y1536">
        <v>0</v>
      </c>
      <c r="Z1536" s="4">
        <v>5000</v>
      </c>
      <c r="AA1536">
        <v>400</v>
      </c>
      <c r="AB1536">
        <v>0</v>
      </c>
      <c r="AC1536">
        <v>0</v>
      </c>
      <c r="AD1536">
        <v>0</v>
      </c>
      <c r="AG1536">
        <v>0</v>
      </c>
      <c r="AP1536" t="s">
        <v>4878</v>
      </c>
      <c r="AQ1536" t="s">
        <v>4868</v>
      </c>
      <c r="AR1536" t="s">
        <v>6736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BC1536" t="s">
        <v>69</v>
      </c>
      <c r="BD1536" t="s">
        <v>4879</v>
      </c>
      <c r="BE1536">
        <v>0</v>
      </c>
      <c r="BG1536" t="s">
        <v>4868</v>
      </c>
      <c r="BJ1536" t="s">
        <v>4870</v>
      </c>
    </row>
    <row r="1537" spans="1:62" x14ac:dyDescent="0.35">
      <c r="A1537" t="s">
        <v>4880</v>
      </c>
      <c r="B1537">
        <v>10000</v>
      </c>
      <c r="C1537">
        <v>20000</v>
      </c>
      <c r="D1537" s="2">
        <v>45742</v>
      </c>
      <c r="E1537" t="s">
        <v>61</v>
      </c>
      <c r="F1537" t="s">
        <v>1363</v>
      </c>
      <c r="G1537" t="s">
        <v>4865</v>
      </c>
      <c r="I1537">
        <v>2</v>
      </c>
      <c r="J1537" t="s">
        <v>63</v>
      </c>
      <c r="K1537" s="8">
        <v>92</v>
      </c>
      <c r="L1537" s="8" t="s">
        <v>6614</v>
      </c>
      <c r="M1537" s="8" t="s">
        <v>6633</v>
      </c>
      <c r="N1537" t="s">
        <v>424</v>
      </c>
      <c r="O1537" t="s">
        <v>6570</v>
      </c>
      <c r="P1537" s="4">
        <v>1800</v>
      </c>
      <c r="S1537" s="2">
        <v>45740</v>
      </c>
      <c r="U1537">
        <v>3</v>
      </c>
      <c r="V1537" s="4">
        <v>5400</v>
      </c>
      <c r="W1537" t="s">
        <v>65</v>
      </c>
      <c r="X1537" t="s">
        <v>4881</v>
      </c>
      <c r="Y1537">
        <v>0</v>
      </c>
      <c r="Z1537" s="4">
        <v>5000</v>
      </c>
      <c r="AA1537">
        <v>400</v>
      </c>
      <c r="AB1537">
        <v>0</v>
      </c>
      <c r="AC1537">
        <v>0</v>
      </c>
      <c r="AD1537">
        <v>0</v>
      </c>
      <c r="AG1537">
        <v>0</v>
      </c>
      <c r="AP1537" t="s">
        <v>4882</v>
      </c>
      <c r="AQ1537" t="s">
        <v>4868</v>
      </c>
      <c r="AR1537" t="s">
        <v>6736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BC1537" t="s">
        <v>69</v>
      </c>
      <c r="BD1537" t="s">
        <v>4883</v>
      </c>
      <c r="BE1537">
        <v>0</v>
      </c>
      <c r="BG1537" t="s">
        <v>4868</v>
      </c>
      <c r="BJ1537" t="s">
        <v>4870</v>
      </c>
    </row>
    <row r="1538" spans="1:62" x14ac:dyDescent="0.35">
      <c r="A1538" t="s">
        <v>4884</v>
      </c>
      <c r="B1538">
        <v>10000</v>
      </c>
      <c r="C1538">
        <v>20000</v>
      </c>
      <c r="D1538" s="2">
        <v>45742</v>
      </c>
      <c r="E1538" t="s">
        <v>61</v>
      </c>
      <c r="F1538" t="s">
        <v>1345</v>
      </c>
      <c r="G1538" t="s">
        <v>4865</v>
      </c>
      <c r="I1538">
        <v>2</v>
      </c>
      <c r="J1538" t="s">
        <v>63</v>
      </c>
      <c r="K1538" s="8">
        <v>92</v>
      </c>
      <c r="L1538" s="8" t="s">
        <v>6614</v>
      </c>
      <c r="M1538" s="8" t="s">
        <v>6633</v>
      </c>
      <c r="N1538" t="s">
        <v>424</v>
      </c>
      <c r="O1538" t="s">
        <v>6570</v>
      </c>
      <c r="P1538" s="4">
        <v>1800</v>
      </c>
      <c r="S1538" s="2">
        <v>45740</v>
      </c>
      <c r="U1538">
        <v>3</v>
      </c>
      <c r="V1538" s="4">
        <v>5400</v>
      </c>
      <c r="W1538" t="s">
        <v>65</v>
      </c>
      <c r="X1538" t="s">
        <v>4885</v>
      </c>
      <c r="Y1538">
        <v>0</v>
      </c>
      <c r="Z1538" s="4">
        <v>5000</v>
      </c>
      <c r="AA1538">
        <v>400</v>
      </c>
      <c r="AB1538">
        <v>0</v>
      </c>
      <c r="AC1538">
        <v>0</v>
      </c>
      <c r="AD1538">
        <v>0</v>
      </c>
      <c r="AG1538">
        <v>0</v>
      </c>
      <c r="AP1538" t="s">
        <v>4886</v>
      </c>
      <c r="AQ1538" t="s">
        <v>4868</v>
      </c>
      <c r="AR1538" t="s">
        <v>6736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BC1538" t="s">
        <v>69</v>
      </c>
      <c r="BD1538" t="s">
        <v>4887</v>
      </c>
      <c r="BE1538">
        <v>0</v>
      </c>
      <c r="BG1538" t="s">
        <v>4868</v>
      </c>
      <c r="BJ1538" t="s">
        <v>4870</v>
      </c>
    </row>
    <row r="1539" spans="1:62" x14ac:dyDescent="0.35">
      <c r="A1539" t="s">
        <v>5186</v>
      </c>
      <c r="B1539">
        <v>10000</v>
      </c>
      <c r="C1539">
        <v>10000</v>
      </c>
      <c r="D1539" s="2">
        <v>45742</v>
      </c>
      <c r="E1539" t="s">
        <v>61</v>
      </c>
      <c r="F1539" t="s">
        <v>5187</v>
      </c>
      <c r="G1539" t="s">
        <v>4865</v>
      </c>
      <c r="I1539">
        <v>1</v>
      </c>
      <c r="J1539" t="s">
        <v>63</v>
      </c>
      <c r="K1539" s="8">
        <v>88</v>
      </c>
      <c r="L1539" s="8" t="s">
        <v>6610</v>
      </c>
      <c r="M1539" s="8" t="s">
        <v>6631</v>
      </c>
      <c r="N1539" t="s">
        <v>630</v>
      </c>
      <c r="O1539" t="s">
        <v>6571</v>
      </c>
      <c r="P1539" s="4">
        <v>1800</v>
      </c>
      <c r="S1539" s="2">
        <v>45740</v>
      </c>
      <c r="U1539">
        <v>3</v>
      </c>
      <c r="V1539" s="4">
        <v>5400</v>
      </c>
      <c r="W1539" t="s">
        <v>65</v>
      </c>
      <c r="X1539" t="s">
        <v>5188</v>
      </c>
      <c r="Y1539">
        <v>0</v>
      </c>
      <c r="Z1539" s="4">
        <v>5000</v>
      </c>
      <c r="AA1539">
        <v>400</v>
      </c>
      <c r="AB1539">
        <v>0</v>
      </c>
      <c r="AC1539">
        <v>0</v>
      </c>
      <c r="AD1539">
        <v>0</v>
      </c>
      <c r="AG1539">
        <v>0</v>
      </c>
      <c r="AP1539" t="s">
        <v>5189</v>
      </c>
      <c r="AQ1539" t="s">
        <v>4868</v>
      </c>
      <c r="AR1539" t="s">
        <v>6736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BC1539" t="s">
        <v>69</v>
      </c>
      <c r="BD1539" t="s">
        <v>5190</v>
      </c>
      <c r="BE1539">
        <v>0</v>
      </c>
      <c r="BG1539" t="s">
        <v>4868</v>
      </c>
      <c r="BJ1539" t="s">
        <v>4870</v>
      </c>
    </row>
    <row r="1540" spans="1:62" x14ac:dyDescent="0.35">
      <c r="A1540" t="s">
        <v>4437</v>
      </c>
      <c r="B1540">
        <v>10000</v>
      </c>
      <c r="C1540">
        <v>30000</v>
      </c>
      <c r="D1540" s="2">
        <v>45741</v>
      </c>
      <c r="E1540" t="s">
        <v>61</v>
      </c>
      <c r="F1540" t="s">
        <v>4438</v>
      </c>
      <c r="G1540" t="s">
        <v>4156</v>
      </c>
      <c r="I1540">
        <v>3</v>
      </c>
      <c r="J1540" t="s">
        <v>63</v>
      </c>
      <c r="K1540" s="8">
        <v>85</v>
      </c>
      <c r="L1540" s="8" t="s">
        <v>6585</v>
      </c>
      <c r="M1540" s="8" t="s">
        <v>6628</v>
      </c>
      <c r="N1540" t="s">
        <v>327</v>
      </c>
      <c r="O1540" t="s">
        <v>6580</v>
      </c>
      <c r="P1540" s="4">
        <v>20000</v>
      </c>
      <c r="S1540" s="2">
        <v>45740</v>
      </c>
      <c r="U1540">
        <v>11</v>
      </c>
      <c r="V1540" s="4">
        <v>220000</v>
      </c>
      <c r="W1540" t="s">
        <v>65</v>
      </c>
      <c r="X1540" t="s">
        <v>4439</v>
      </c>
      <c r="Y1540">
        <v>0</v>
      </c>
      <c r="Z1540" s="4">
        <v>200000</v>
      </c>
      <c r="AA1540" s="4">
        <v>20000</v>
      </c>
      <c r="AB1540">
        <v>0</v>
      </c>
      <c r="AC1540">
        <v>0</v>
      </c>
      <c r="AD1540">
        <v>0</v>
      </c>
      <c r="AG1540">
        <v>0</v>
      </c>
      <c r="AP1540" t="s">
        <v>4440</v>
      </c>
      <c r="AQ1540" t="s">
        <v>107</v>
      </c>
      <c r="AR1540" t="s">
        <v>6638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BC1540" t="s">
        <v>69</v>
      </c>
      <c r="BD1540" t="s">
        <v>4441</v>
      </c>
      <c r="BE1540">
        <v>0</v>
      </c>
      <c r="BG1540" t="s">
        <v>107</v>
      </c>
      <c r="BJ1540" t="s">
        <v>4442</v>
      </c>
    </row>
    <row r="1541" spans="1:62" x14ac:dyDescent="0.35">
      <c r="A1541" t="s">
        <v>4443</v>
      </c>
      <c r="B1541">
        <v>10000</v>
      </c>
      <c r="C1541">
        <v>30000</v>
      </c>
      <c r="D1541" s="2">
        <v>45741</v>
      </c>
      <c r="E1541" t="s">
        <v>61</v>
      </c>
      <c r="F1541" t="s">
        <v>4444</v>
      </c>
      <c r="G1541" t="s">
        <v>4156</v>
      </c>
      <c r="I1541">
        <v>3</v>
      </c>
      <c r="J1541" t="s">
        <v>63</v>
      </c>
      <c r="K1541" s="8">
        <v>85</v>
      </c>
      <c r="L1541" s="8" t="s">
        <v>6585</v>
      </c>
      <c r="M1541" s="8" t="s">
        <v>6628</v>
      </c>
      <c r="N1541" t="s">
        <v>327</v>
      </c>
      <c r="O1541" t="s">
        <v>6580</v>
      </c>
      <c r="P1541" s="4">
        <v>10000</v>
      </c>
      <c r="S1541" s="2">
        <v>45740</v>
      </c>
      <c r="U1541">
        <v>11</v>
      </c>
      <c r="V1541" s="4">
        <v>110000</v>
      </c>
      <c r="W1541" t="s">
        <v>65</v>
      </c>
      <c r="X1541" t="s">
        <v>4445</v>
      </c>
      <c r="Y1541">
        <v>0</v>
      </c>
      <c r="Z1541" s="4">
        <v>100000</v>
      </c>
      <c r="AA1541" s="4">
        <v>10000</v>
      </c>
      <c r="AB1541">
        <v>0</v>
      </c>
      <c r="AC1541">
        <v>0</v>
      </c>
      <c r="AD1541">
        <v>0</v>
      </c>
      <c r="AG1541">
        <v>0</v>
      </c>
      <c r="AP1541" t="s">
        <v>4446</v>
      </c>
      <c r="AQ1541" t="s">
        <v>107</v>
      </c>
      <c r="AR1541" t="s">
        <v>6638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BC1541" t="s">
        <v>69</v>
      </c>
      <c r="BD1541" t="s">
        <v>4447</v>
      </c>
      <c r="BE1541">
        <v>0</v>
      </c>
      <c r="BG1541" t="s">
        <v>107</v>
      </c>
      <c r="BJ1541" t="s">
        <v>4448</v>
      </c>
    </row>
    <row r="1542" spans="1:62" x14ac:dyDescent="0.35">
      <c r="A1542" t="s">
        <v>4449</v>
      </c>
      <c r="B1542">
        <v>10000</v>
      </c>
      <c r="C1542">
        <v>30000</v>
      </c>
      <c r="D1542" s="2">
        <v>45741</v>
      </c>
      <c r="E1542" t="s">
        <v>61</v>
      </c>
      <c r="F1542" t="s">
        <v>4450</v>
      </c>
      <c r="G1542" t="s">
        <v>4156</v>
      </c>
      <c r="I1542">
        <v>3</v>
      </c>
      <c r="J1542" t="s">
        <v>63</v>
      </c>
      <c r="K1542" s="8">
        <v>85</v>
      </c>
      <c r="L1542" s="8" t="s">
        <v>6585</v>
      </c>
      <c r="M1542" s="8" t="s">
        <v>6628</v>
      </c>
      <c r="N1542" t="s">
        <v>327</v>
      </c>
      <c r="O1542" t="s">
        <v>6580</v>
      </c>
      <c r="P1542" s="4">
        <v>30000</v>
      </c>
      <c r="S1542" s="2">
        <v>45740</v>
      </c>
      <c r="U1542">
        <v>11</v>
      </c>
      <c r="V1542" s="4">
        <v>330000</v>
      </c>
      <c r="W1542" t="s">
        <v>65</v>
      </c>
      <c r="X1542" t="s">
        <v>981</v>
      </c>
      <c r="Y1542">
        <v>0</v>
      </c>
      <c r="Z1542" s="4">
        <v>300000</v>
      </c>
      <c r="AA1542" s="4">
        <v>30000</v>
      </c>
      <c r="AB1542">
        <v>0</v>
      </c>
      <c r="AC1542">
        <v>0</v>
      </c>
      <c r="AD1542">
        <v>0</v>
      </c>
      <c r="AG1542">
        <v>0</v>
      </c>
      <c r="AP1542" t="s">
        <v>982</v>
      </c>
      <c r="AQ1542" t="s">
        <v>107</v>
      </c>
      <c r="AR1542" t="s">
        <v>6638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BC1542" t="s">
        <v>69</v>
      </c>
      <c r="BD1542" t="s">
        <v>4451</v>
      </c>
      <c r="BE1542">
        <v>0</v>
      </c>
      <c r="BG1542" t="s">
        <v>107</v>
      </c>
      <c r="BJ1542" t="s">
        <v>4452</v>
      </c>
    </row>
    <row r="1543" spans="1:62" x14ac:dyDescent="0.35">
      <c r="A1543" t="s">
        <v>5191</v>
      </c>
      <c r="B1543">
        <v>10000</v>
      </c>
      <c r="C1543">
        <v>10000</v>
      </c>
      <c r="D1543" s="2">
        <v>45741</v>
      </c>
      <c r="E1543" t="s">
        <v>61</v>
      </c>
      <c r="F1543" s="3">
        <v>0.44603009259259258</v>
      </c>
      <c r="G1543">
        <v>1006323</v>
      </c>
      <c r="I1543">
        <v>1</v>
      </c>
      <c r="J1543" t="s">
        <v>63</v>
      </c>
      <c r="K1543" s="8">
        <v>63</v>
      </c>
      <c r="L1543" s="8" t="s">
        <v>6605</v>
      </c>
      <c r="M1543" s="8" t="s">
        <v>6630</v>
      </c>
      <c r="N1543" t="s">
        <v>519</v>
      </c>
      <c r="O1543" t="s">
        <v>6569</v>
      </c>
      <c r="P1543" s="4">
        <v>6667</v>
      </c>
      <c r="Q1543">
        <f t="shared" ref="Q1543:Q1550" si="400">(P1543/40)+45</f>
        <v>211.67500000000001</v>
      </c>
      <c r="R1543">
        <f t="shared" ref="R1543:R1550" si="401">Q1543/60</f>
        <v>3.527916666666667</v>
      </c>
      <c r="S1543" s="2">
        <v>45740</v>
      </c>
      <c r="U1543">
        <v>30</v>
      </c>
      <c r="V1543" s="4">
        <v>200010</v>
      </c>
      <c r="W1543" t="s">
        <v>65</v>
      </c>
      <c r="X1543" t="s">
        <v>2928</v>
      </c>
      <c r="Y1543">
        <v>0</v>
      </c>
      <c r="Z1543" s="4">
        <v>200000</v>
      </c>
      <c r="AA1543">
        <v>10</v>
      </c>
      <c r="AB1543">
        <v>0</v>
      </c>
      <c r="AC1543">
        <v>0</v>
      </c>
      <c r="AD1543">
        <v>0</v>
      </c>
      <c r="AG1543">
        <v>0</v>
      </c>
      <c r="AP1543" t="s">
        <v>2929</v>
      </c>
      <c r="AQ1543" t="s">
        <v>157</v>
      </c>
      <c r="AR1543" t="s">
        <v>6640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BC1543" t="s">
        <v>69</v>
      </c>
      <c r="BD1543" t="s">
        <v>5192</v>
      </c>
      <c r="BE1543">
        <v>0</v>
      </c>
      <c r="BG1543" t="s">
        <v>157</v>
      </c>
      <c r="BJ1543" t="s">
        <v>5193</v>
      </c>
    </row>
    <row r="1544" spans="1:62" x14ac:dyDescent="0.35">
      <c r="A1544" t="s">
        <v>5194</v>
      </c>
      <c r="B1544">
        <v>10000</v>
      </c>
      <c r="C1544">
        <v>10000</v>
      </c>
      <c r="D1544" s="2">
        <v>45741</v>
      </c>
      <c r="E1544" t="s">
        <v>61</v>
      </c>
      <c r="F1544" s="3">
        <v>0.44603009259259258</v>
      </c>
      <c r="G1544">
        <v>1006323</v>
      </c>
      <c r="I1544">
        <v>1</v>
      </c>
      <c r="J1544" t="s">
        <v>63</v>
      </c>
      <c r="K1544" s="8">
        <v>63</v>
      </c>
      <c r="L1544" s="8" t="s">
        <v>6605</v>
      </c>
      <c r="M1544" s="8" t="s">
        <v>6630</v>
      </c>
      <c r="N1544" t="s">
        <v>519</v>
      </c>
      <c r="O1544" t="s">
        <v>6569</v>
      </c>
      <c r="P1544" s="4">
        <v>4000</v>
      </c>
      <c r="Q1544">
        <f t="shared" si="400"/>
        <v>145</v>
      </c>
      <c r="R1544">
        <f t="shared" si="401"/>
        <v>2.4166666666666665</v>
      </c>
      <c r="S1544" s="2">
        <v>45740</v>
      </c>
      <c r="U1544">
        <v>30</v>
      </c>
      <c r="V1544" s="4">
        <v>120000</v>
      </c>
      <c r="W1544" t="s">
        <v>65</v>
      </c>
      <c r="X1544" t="s">
        <v>2928</v>
      </c>
      <c r="Y1544">
        <v>0</v>
      </c>
      <c r="Z1544" s="4">
        <v>120000</v>
      </c>
      <c r="AA1544">
        <v>0</v>
      </c>
      <c r="AB1544">
        <v>0</v>
      </c>
      <c r="AC1544">
        <v>0</v>
      </c>
      <c r="AD1544">
        <v>0</v>
      </c>
      <c r="AG1544">
        <v>0</v>
      </c>
      <c r="AP1544" t="s">
        <v>2929</v>
      </c>
      <c r="AQ1544" t="s">
        <v>157</v>
      </c>
      <c r="AR1544" t="s">
        <v>6640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BC1544" t="s">
        <v>69</v>
      </c>
      <c r="BD1544" t="s">
        <v>5195</v>
      </c>
      <c r="BE1544">
        <v>0</v>
      </c>
      <c r="BG1544" t="s">
        <v>157</v>
      </c>
      <c r="BJ1544" t="s">
        <v>5196</v>
      </c>
    </row>
    <row r="1545" spans="1:62" x14ac:dyDescent="0.35">
      <c r="A1545" t="s">
        <v>5197</v>
      </c>
      <c r="B1545">
        <v>10000</v>
      </c>
      <c r="C1545">
        <v>10000</v>
      </c>
      <c r="D1545" s="2">
        <v>45741</v>
      </c>
      <c r="E1545" t="s">
        <v>61</v>
      </c>
      <c r="F1545" s="3">
        <v>0.4463773148148148</v>
      </c>
      <c r="G1545" t="s">
        <v>518</v>
      </c>
      <c r="I1545">
        <v>1</v>
      </c>
      <c r="J1545" t="s">
        <v>63</v>
      </c>
      <c r="K1545" s="8">
        <v>63</v>
      </c>
      <c r="L1545" s="8" t="s">
        <v>6605</v>
      </c>
      <c r="M1545" s="8" t="s">
        <v>6630</v>
      </c>
      <c r="N1545" t="s">
        <v>519</v>
      </c>
      <c r="O1545" t="s">
        <v>6569</v>
      </c>
      <c r="P1545" s="4">
        <v>2000</v>
      </c>
      <c r="Q1545">
        <f t="shared" si="400"/>
        <v>95</v>
      </c>
      <c r="R1545">
        <f t="shared" si="401"/>
        <v>1.5833333333333333</v>
      </c>
      <c r="S1545" s="2">
        <v>45740</v>
      </c>
      <c r="U1545">
        <v>40</v>
      </c>
      <c r="V1545" s="4">
        <v>80000</v>
      </c>
      <c r="W1545" t="s">
        <v>65</v>
      </c>
      <c r="X1545" t="s">
        <v>5198</v>
      </c>
      <c r="Y1545">
        <v>0</v>
      </c>
      <c r="Z1545" s="4">
        <v>80000</v>
      </c>
      <c r="AA1545">
        <v>0</v>
      </c>
      <c r="AB1545">
        <v>0</v>
      </c>
      <c r="AC1545">
        <v>0</v>
      </c>
      <c r="AD1545">
        <v>0</v>
      </c>
      <c r="AG1545">
        <v>0</v>
      </c>
      <c r="AP1545" t="s">
        <v>5199</v>
      </c>
      <c r="AQ1545" t="s">
        <v>157</v>
      </c>
      <c r="AR1545" t="s">
        <v>6640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BC1545" t="s">
        <v>69</v>
      </c>
      <c r="BD1545" t="s">
        <v>5200</v>
      </c>
      <c r="BE1545">
        <v>0</v>
      </c>
      <c r="BG1545" t="s">
        <v>157</v>
      </c>
      <c r="BJ1545" t="s">
        <v>5201</v>
      </c>
    </row>
    <row r="1546" spans="1:62" x14ac:dyDescent="0.35">
      <c r="A1546" t="s">
        <v>5202</v>
      </c>
      <c r="B1546">
        <v>10000</v>
      </c>
      <c r="C1546">
        <v>10000</v>
      </c>
      <c r="D1546" s="2">
        <v>45741</v>
      </c>
      <c r="E1546" t="s">
        <v>61</v>
      </c>
      <c r="F1546" s="3">
        <v>0.44603009259259258</v>
      </c>
      <c r="G1546" t="s">
        <v>518</v>
      </c>
      <c r="I1546">
        <v>1</v>
      </c>
      <c r="J1546" t="s">
        <v>63</v>
      </c>
      <c r="K1546" s="8">
        <v>63</v>
      </c>
      <c r="L1546" s="8" t="s">
        <v>6605</v>
      </c>
      <c r="M1546" s="8" t="s">
        <v>6630</v>
      </c>
      <c r="N1546" t="s">
        <v>519</v>
      </c>
      <c r="O1546" t="s">
        <v>6569</v>
      </c>
      <c r="P1546" s="4">
        <v>2000</v>
      </c>
      <c r="Q1546">
        <f t="shared" si="400"/>
        <v>95</v>
      </c>
      <c r="R1546">
        <f t="shared" si="401"/>
        <v>1.5833333333333333</v>
      </c>
      <c r="S1546" s="2">
        <v>45740</v>
      </c>
      <c r="U1546">
        <v>40</v>
      </c>
      <c r="V1546" s="4">
        <v>80000</v>
      </c>
      <c r="W1546" t="s">
        <v>65</v>
      </c>
      <c r="X1546" t="s">
        <v>5198</v>
      </c>
      <c r="Y1546">
        <v>0</v>
      </c>
      <c r="Z1546" s="4">
        <v>80000</v>
      </c>
      <c r="AA1546">
        <v>0</v>
      </c>
      <c r="AB1546">
        <v>0</v>
      </c>
      <c r="AC1546">
        <v>0</v>
      </c>
      <c r="AD1546">
        <v>0</v>
      </c>
      <c r="AG1546">
        <v>0</v>
      </c>
      <c r="AP1546" t="s">
        <v>5199</v>
      </c>
      <c r="AQ1546" t="s">
        <v>157</v>
      </c>
      <c r="AR1546" t="s">
        <v>6640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BC1546" t="s">
        <v>69</v>
      </c>
      <c r="BD1546" t="s">
        <v>5203</v>
      </c>
      <c r="BE1546">
        <v>0</v>
      </c>
      <c r="BG1546" t="s">
        <v>157</v>
      </c>
      <c r="BJ1546" t="s">
        <v>5204</v>
      </c>
    </row>
    <row r="1547" spans="1:62" x14ac:dyDescent="0.35">
      <c r="A1547" t="s">
        <v>4888</v>
      </c>
      <c r="B1547">
        <v>10000</v>
      </c>
      <c r="C1547">
        <v>20000</v>
      </c>
      <c r="D1547" s="2">
        <v>45741</v>
      </c>
      <c r="E1547" t="s">
        <v>61</v>
      </c>
      <c r="F1547" t="s">
        <v>4889</v>
      </c>
      <c r="G1547" t="s">
        <v>4890</v>
      </c>
      <c r="I1547">
        <v>2</v>
      </c>
      <c r="J1547" t="s">
        <v>63</v>
      </c>
      <c r="K1547" s="8">
        <v>63</v>
      </c>
      <c r="L1547" s="8" t="s">
        <v>6605</v>
      </c>
      <c r="M1547" s="8" t="s">
        <v>6630</v>
      </c>
      <c r="N1547" t="s">
        <v>519</v>
      </c>
      <c r="O1547" t="s">
        <v>6569</v>
      </c>
      <c r="P1547" s="4">
        <v>1250</v>
      </c>
      <c r="Q1547">
        <f t="shared" si="400"/>
        <v>76.25</v>
      </c>
      <c r="R1547">
        <f t="shared" si="401"/>
        <v>1.2708333333333333</v>
      </c>
      <c r="S1547" s="2">
        <v>45740</v>
      </c>
      <c r="U1547">
        <v>16</v>
      </c>
      <c r="V1547" s="4">
        <v>20000</v>
      </c>
      <c r="W1547" t="s">
        <v>65</v>
      </c>
      <c r="X1547" t="s">
        <v>4891</v>
      </c>
      <c r="Y1547">
        <v>0</v>
      </c>
      <c r="Z1547" s="4">
        <v>20000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 t="s">
        <v>4892</v>
      </c>
      <c r="AQ1547" t="s">
        <v>157</v>
      </c>
      <c r="AR1547" t="s">
        <v>6640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BC1547" t="s">
        <v>69</v>
      </c>
      <c r="BD1547" t="s">
        <v>4893</v>
      </c>
      <c r="BE1547">
        <v>0</v>
      </c>
      <c r="BG1547" t="s">
        <v>157</v>
      </c>
      <c r="BJ1547" t="s">
        <v>4894</v>
      </c>
    </row>
    <row r="1548" spans="1:62" x14ac:dyDescent="0.35">
      <c r="A1548" t="s">
        <v>4895</v>
      </c>
      <c r="B1548">
        <v>10000</v>
      </c>
      <c r="C1548">
        <v>20000</v>
      </c>
      <c r="D1548" s="2">
        <v>45740</v>
      </c>
      <c r="E1548" t="s">
        <v>61</v>
      </c>
      <c r="F1548" t="s">
        <v>4896</v>
      </c>
      <c r="G1548" t="s">
        <v>4897</v>
      </c>
      <c r="I1548">
        <v>2</v>
      </c>
      <c r="J1548" t="s">
        <v>63</v>
      </c>
      <c r="K1548" s="8">
        <v>63</v>
      </c>
      <c r="L1548" s="8" t="s">
        <v>6605</v>
      </c>
      <c r="M1548" s="8" t="s">
        <v>6630</v>
      </c>
      <c r="N1548" t="s">
        <v>519</v>
      </c>
      <c r="O1548" t="s">
        <v>6569</v>
      </c>
      <c r="P1548" s="4">
        <v>2500</v>
      </c>
      <c r="Q1548">
        <f t="shared" si="400"/>
        <v>107.5</v>
      </c>
      <c r="R1548">
        <f t="shared" si="401"/>
        <v>1.7916666666666667</v>
      </c>
      <c r="S1548" s="2">
        <v>45740</v>
      </c>
      <c r="U1548">
        <v>16</v>
      </c>
      <c r="V1548" s="4">
        <v>40000</v>
      </c>
      <c r="W1548" t="s">
        <v>65</v>
      </c>
      <c r="X1548" t="s">
        <v>2865</v>
      </c>
      <c r="Y1548">
        <v>0</v>
      </c>
      <c r="Z1548" s="4">
        <v>40000</v>
      </c>
      <c r="AA1548">
        <v>0</v>
      </c>
      <c r="AB1548">
        <v>0</v>
      </c>
      <c r="AC1548">
        <v>0</v>
      </c>
      <c r="AD1548">
        <v>0</v>
      </c>
      <c r="AG1548">
        <v>0</v>
      </c>
      <c r="AP1548" t="s">
        <v>2866</v>
      </c>
      <c r="AQ1548" t="s">
        <v>157</v>
      </c>
      <c r="AR1548" t="s">
        <v>6640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BC1548" t="s">
        <v>69</v>
      </c>
      <c r="BD1548" t="s">
        <v>4898</v>
      </c>
      <c r="BE1548">
        <v>0</v>
      </c>
      <c r="BG1548" t="s">
        <v>157</v>
      </c>
      <c r="BJ1548" t="s">
        <v>4899</v>
      </c>
    </row>
    <row r="1549" spans="1:62" x14ac:dyDescent="0.35">
      <c r="A1549" t="s">
        <v>4900</v>
      </c>
      <c r="B1549">
        <v>10000</v>
      </c>
      <c r="C1549">
        <v>20000</v>
      </c>
      <c r="D1549" s="2">
        <v>45740</v>
      </c>
      <c r="E1549" t="s">
        <v>61</v>
      </c>
      <c r="F1549" t="s">
        <v>4901</v>
      </c>
      <c r="G1549" t="s">
        <v>2289</v>
      </c>
      <c r="I1549">
        <v>2</v>
      </c>
      <c r="J1549" t="s">
        <v>63</v>
      </c>
      <c r="K1549" s="8">
        <v>63</v>
      </c>
      <c r="L1549" s="8" t="s">
        <v>6605</v>
      </c>
      <c r="M1549" s="8" t="s">
        <v>6630</v>
      </c>
      <c r="N1549" t="s">
        <v>519</v>
      </c>
      <c r="O1549" t="s">
        <v>6569</v>
      </c>
      <c r="P1549" s="4">
        <v>2500</v>
      </c>
      <c r="Q1549">
        <f t="shared" si="400"/>
        <v>107.5</v>
      </c>
      <c r="R1549">
        <f t="shared" si="401"/>
        <v>1.7916666666666667</v>
      </c>
      <c r="S1549" s="2">
        <v>45740</v>
      </c>
      <c r="U1549">
        <v>16</v>
      </c>
      <c r="V1549" s="4">
        <v>40000</v>
      </c>
      <c r="W1549" t="s">
        <v>65</v>
      </c>
      <c r="X1549" t="s">
        <v>2290</v>
      </c>
      <c r="Y1549">
        <v>0</v>
      </c>
      <c r="Z1549" s="4">
        <v>40000</v>
      </c>
      <c r="AA1549">
        <v>0</v>
      </c>
      <c r="AB1549">
        <v>0</v>
      </c>
      <c r="AC1549">
        <v>0</v>
      </c>
      <c r="AD1549">
        <v>0</v>
      </c>
      <c r="AG1549">
        <v>0</v>
      </c>
      <c r="AP1549" t="s">
        <v>2291</v>
      </c>
      <c r="AQ1549" t="s">
        <v>157</v>
      </c>
      <c r="AR1549" t="s">
        <v>6640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BC1549" t="s">
        <v>69</v>
      </c>
      <c r="BD1549" t="s">
        <v>4902</v>
      </c>
      <c r="BE1549">
        <v>0</v>
      </c>
      <c r="BG1549" t="s">
        <v>157</v>
      </c>
      <c r="BJ1549" t="s">
        <v>4903</v>
      </c>
    </row>
    <row r="1550" spans="1:62" x14ac:dyDescent="0.35">
      <c r="A1550" t="s">
        <v>4904</v>
      </c>
      <c r="B1550">
        <v>10000</v>
      </c>
      <c r="C1550">
        <v>20000</v>
      </c>
      <c r="D1550" s="2">
        <v>45741</v>
      </c>
      <c r="E1550" t="s">
        <v>61</v>
      </c>
      <c r="F1550" t="s">
        <v>2457</v>
      </c>
      <c r="G1550" t="s">
        <v>2289</v>
      </c>
      <c r="I1550">
        <v>2</v>
      </c>
      <c r="J1550" t="s">
        <v>63</v>
      </c>
      <c r="K1550" s="8">
        <v>63</v>
      </c>
      <c r="L1550" s="8" t="s">
        <v>6605</v>
      </c>
      <c r="M1550" s="8" t="s">
        <v>6630</v>
      </c>
      <c r="N1550" t="s">
        <v>519</v>
      </c>
      <c r="O1550" t="s">
        <v>6569</v>
      </c>
      <c r="P1550" s="4">
        <v>2500</v>
      </c>
      <c r="Q1550">
        <f t="shared" si="400"/>
        <v>107.5</v>
      </c>
      <c r="R1550">
        <f t="shared" si="401"/>
        <v>1.7916666666666667</v>
      </c>
      <c r="S1550" s="2">
        <v>45740</v>
      </c>
      <c r="U1550">
        <v>16</v>
      </c>
      <c r="V1550" s="4">
        <v>40000</v>
      </c>
      <c r="W1550" t="s">
        <v>65</v>
      </c>
      <c r="X1550" t="s">
        <v>2290</v>
      </c>
      <c r="Y1550">
        <v>0</v>
      </c>
      <c r="Z1550" s="4">
        <v>40000</v>
      </c>
      <c r="AA1550">
        <v>0</v>
      </c>
      <c r="AB1550">
        <v>0</v>
      </c>
      <c r="AC1550">
        <v>0</v>
      </c>
      <c r="AD1550">
        <v>0</v>
      </c>
      <c r="AG1550">
        <v>0</v>
      </c>
      <c r="AP1550" t="s">
        <v>2291</v>
      </c>
      <c r="AQ1550" t="s">
        <v>157</v>
      </c>
      <c r="AR1550" t="s">
        <v>6640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BC1550" t="s">
        <v>69</v>
      </c>
      <c r="BD1550" t="s">
        <v>4905</v>
      </c>
      <c r="BE1550">
        <v>0</v>
      </c>
      <c r="BG1550" t="s">
        <v>157</v>
      </c>
      <c r="BJ1550" t="s">
        <v>4906</v>
      </c>
    </row>
    <row r="1551" spans="1:62" x14ac:dyDescent="0.35">
      <c r="A1551" t="s">
        <v>5205</v>
      </c>
      <c r="B1551">
        <v>10000</v>
      </c>
      <c r="C1551">
        <v>10000</v>
      </c>
      <c r="D1551" s="2">
        <v>45742</v>
      </c>
      <c r="E1551" t="s">
        <v>61</v>
      </c>
      <c r="F1551" t="s">
        <v>5206</v>
      </c>
      <c r="G1551" t="s">
        <v>5207</v>
      </c>
      <c r="I1551">
        <v>1</v>
      </c>
      <c r="J1551" t="s">
        <v>63</v>
      </c>
      <c r="K1551" s="8">
        <v>72</v>
      </c>
      <c r="L1551" s="8" t="s">
        <v>6606</v>
      </c>
      <c r="M1551" s="8" t="s">
        <v>6631</v>
      </c>
      <c r="N1551" t="s">
        <v>163</v>
      </c>
      <c r="O1551" t="s">
        <v>6548</v>
      </c>
      <c r="P1551" s="4">
        <v>5000</v>
      </c>
      <c r="S1551" s="2">
        <v>45740</v>
      </c>
      <c r="U1551">
        <v>8</v>
      </c>
      <c r="V1551" s="4">
        <v>40000</v>
      </c>
      <c r="W1551" t="s">
        <v>65</v>
      </c>
      <c r="X1551" t="s">
        <v>5208</v>
      </c>
      <c r="Y1551">
        <v>0</v>
      </c>
      <c r="Z1551" s="4">
        <v>33000</v>
      </c>
      <c r="AA1551" s="4">
        <v>7000</v>
      </c>
      <c r="AB1551">
        <v>0</v>
      </c>
      <c r="AC1551">
        <v>0</v>
      </c>
      <c r="AD1551">
        <v>0</v>
      </c>
      <c r="AG1551">
        <v>0</v>
      </c>
      <c r="AP1551" t="s">
        <v>5209</v>
      </c>
      <c r="AQ1551" t="s">
        <v>243</v>
      </c>
      <c r="AR1551" t="s">
        <v>6646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BC1551" t="s">
        <v>69</v>
      </c>
      <c r="BD1551" t="s">
        <v>5210</v>
      </c>
      <c r="BE1551">
        <v>0</v>
      </c>
      <c r="BG1551" t="s">
        <v>243</v>
      </c>
      <c r="BJ1551" t="s">
        <v>5211</v>
      </c>
    </row>
    <row r="1552" spans="1:62" x14ac:dyDescent="0.35">
      <c r="A1552" t="s">
        <v>5212</v>
      </c>
      <c r="B1552">
        <v>10000</v>
      </c>
      <c r="C1552">
        <v>10000</v>
      </c>
      <c r="D1552" s="2">
        <v>45741</v>
      </c>
      <c r="E1552" t="s">
        <v>61</v>
      </c>
      <c r="F1552" t="s">
        <v>5213</v>
      </c>
      <c r="G1552" t="s">
        <v>3250</v>
      </c>
      <c r="I1552">
        <v>1</v>
      </c>
      <c r="J1552" t="s">
        <v>63</v>
      </c>
      <c r="K1552" s="8" t="s">
        <v>1744</v>
      </c>
      <c r="L1552" s="8" t="s">
        <v>6615</v>
      </c>
      <c r="M1552" s="8" t="s">
        <v>6631</v>
      </c>
      <c r="N1552" t="s">
        <v>630</v>
      </c>
      <c r="O1552" t="s">
        <v>6571</v>
      </c>
      <c r="P1552" s="4">
        <v>5000</v>
      </c>
      <c r="S1552" s="2">
        <v>45740</v>
      </c>
      <c r="U1552">
        <v>1</v>
      </c>
      <c r="V1552" s="4">
        <v>5000</v>
      </c>
      <c r="W1552" t="s">
        <v>65</v>
      </c>
      <c r="X1552" t="s">
        <v>5214</v>
      </c>
      <c r="Y1552">
        <v>0</v>
      </c>
      <c r="Z1552" s="4">
        <v>5000</v>
      </c>
      <c r="AA1552">
        <v>0</v>
      </c>
      <c r="AB1552">
        <v>0</v>
      </c>
      <c r="AC1552">
        <v>0</v>
      </c>
      <c r="AD1552">
        <v>0</v>
      </c>
      <c r="AG1552">
        <v>0</v>
      </c>
      <c r="AP1552" t="s">
        <v>5215</v>
      </c>
      <c r="AQ1552" t="s">
        <v>508</v>
      </c>
      <c r="AR1552" t="s">
        <v>6657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BC1552" t="s">
        <v>69</v>
      </c>
      <c r="BD1552" t="s">
        <v>5216</v>
      </c>
      <c r="BE1552">
        <v>0</v>
      </c>
      <c r="BG1552" t="s">
        <v>508</v>
      </c>
      <c r="BJ1552" t="s">
        <v>4657</v>
      </c>
    </row>
    <row r="1553" spans="1:62" x14ac:dyDescent="0.35">
      <c r="A1553" t="s">
        <v>5217</v>
      </c>
      <c r="B1553">
        <v>10000</v>
      </c>
      <c r="C1553">
        <v>10000</v>
      </c>
      <c r="D1553" s="2">
        <v>45740</v>
      </c>
      <c r="E1553" t="s">
        <v>61</v>
      </c>
      <c r="F1553" t="s">
        <v>4019</v>
      </c>
      <c r="G1553" t="s">
        <v>5218</v>
      </c>
      <c r="I1553">
        <v>1</v>
      </c>
      <c r="J1553" t="s">
        <v>63</v>
      </c>
      <c r="K1553" s="8">
        <v>112</v>
      </c>
      <c r="L1553" s="8" t="s">
        <v>6616</v>
      </c>
      <c r="M1553" s="8" t="s">
        <v>6630</v>
      </c>
      <c r="N1553" t="s">
        <v>597</v>
      </c>
      <c r="O1553" t="s">
        <v>6556</v>
      </c>
      <c r="P1553">
        <v>73</v>
      </c>
      <c r="Q1553">
        <f t="shared" ref="Q1553:Q1554" si="402">(P1553/20)+45</f>
        <v>48.65</v>
      </c>
      <c r="R1553">
        <f t="shared" ref="R1553:R1554" si="403">Q1553/60</f>
        <v>0.81083333333333329</v>
      </c>
      <c r="S1553" s="2">
        <v>45740</v>
      </c>
      <c r="U1553">
        <v>11</v>
      </c>
      <c r="V1553">
        <v>803</v>
      </c>
      <c r="W1553" t="s">
        <v>65</v>
      </c>
      <c r="X1553" t="s">
        <v>5095</v>
      </c>
      <c r="Y1553">
        <v>0</v>
      </c>
      <c r="Z1553">
        <v>800</v>
      </c>
      <c r="AA1553">
        <v>3</v>
      </c>
      <c r="AB1553">
        <v>0</v>
      </c>
      <c r="AC1553">
        <v>0</v>
      </c>
      <c r="AD1553">
        <v>0</v>
      </c>
      <c r="AG1553">
        <v>0</v>
      </c>
      <c r="AP1553" t="s">
        <v>5096</v>
      </c>
      <c r="AQ1553" t="s">
        <v>321</v>
      </c>
      <c r="AR1553" t="s">
        <v>6652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BC1553" t="s">
        <v>69</v>
      </c>
      <c r="BD1553" t="s">
        <v>5219</v>
      </c>
      <c r="BE1553">
        <v>0</v>
      </c>
      <c r="BG1553" t="s">
        <v>321</v>
      </c>
      <c r="BJ1553" t="s">
        <v>4693</v>
      </c>
    </row>
    <row r="1554" spans="1:62" x14ac:dyDescent="0.35">
      <c r="A1554" t="s">
        <v>5220</v>
      </c>
      <c r="B1554">
        <v>10000</v>
      </c>
      <c r="C1554">
        <v>10000</v>
      </c>
      <c r="D1554" s="2">
        <v>45741</v>
      </c>
      <c r="E1554" t="s">
        <v>61</v>
      </c>
      <c r="F1554" t="s">
        <v>2282</v>
      </c>
      <c r="G1554" t="s">
        <v>5221</v>
      </c>
      <c r="I1554">
        <v>1</v>
      </c>
      <c r="J1554" t="s">
        <v>63</v>
      </c>
      <c r="K1554" s="8">
        <v>112</v>
      </c>
      <c r="L1554" s="8" t="s">
        <v>6616</v>
      </c>
      <c r="M1554" s="8" t="s">
        <v>6630</v>
      </c>
      <c r="N1554" t="s">
        <v>597</v>
      </c>
      <c r="O1554" t="s">
        <v>6556</v>
      </c>
      <c r="P1554">
        <v>12</v>
      </c>
      <c r="Q1554">
        <f t="shared" si="402"/>
        <v>45.6</v>
      </c>
      <c r="R1554">
        <f t="shared" si="403"/>
        <v>0.76</v>
      </c>
      <c r="S1554" s="2">
        <v>45740</v>
      </c>
      <c r="U1554">
        <v>10</v>
      </c>
      <c r="V1554">
        <v>120</v>
      </c>
      <c r="W1554" t="s">
        <v>65</v>
      </c>
      <c r="X1554" t="s">
        <v>5222</v>
      </c>
      <c r="Y1554">
        <v>0</v>
      </c>
      <c r="Z1554">
        <v>120</v>
      </c>
      <c r="AA1554">
        <v>0</v>
      </c>
      <c r="AB1554">
        <v>0</v>
      </c>
      <c r="AC1554">
        <v>0</v>
      </c>
      <c r="AD1554">
        <v>0</v>
      </c>
      <c r="AG1554">
        <v>0</v>
      </c>
      <c r="AP1554" t="s">
        <v>5223</v>
      </c>
      <c r="AQ1554" t="s">
        <v>321</v>
      </c>
      <c r="AR1554" t="s">
        <v>6652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BC1554" t="s">
        <v>69</v>
      </c>
      <c r="BD1554" t="s">
        <v>5224</v>
      </c>
      <c r="BE1554">
        <v>0</v>
      </c>
      <c r="BG1554" t="s">
        <v>321</v>
      </c>
      <c r="BJ1554" t="s">
        <v>4693</v>
      </c>
    </row>
    <row r="1555" spans="1:62" x14ac:dyDescent="0.35">
      <c r="A1555" t="s">
        <v>4706</v>
      </c>
      <c r="B1555">
        <v>10000</v>
      </c>
      <c r="C1555">
        <v>20000</v>
      </c>
      <c r="D1555" s="2">
        <v>45740</v>
      </c>
      <c r="E1555" t="s">
        <v>61</v>
      </c>
      <c r="F1555" t="s">
        <v>4707</v>
      </c>
      <c r="G1555" t="s">
        <v>240</v>
      </c>
      <c r="I1555">
        <v>2</v>
      </c>
      <c r="J1555" t="s">
        <v>63</v>
      </c>
      <c r="K1555" s="8">
        <v>86</v>
      </c>
      <c r="L1555" s="8" t="s">
        <v>6584</v>
      </c>
      <c r="M1555" s="8" t="s">
        <v>6627</v>
      </c>
      <c r="N1555" t="s">
        <v>64</v>
      </c>
      <c r="O1555" t="s">
        <v>6559</v>
      </c>
      <c r="P1555" s="4">
        <v>2000</v>
      </c>
      <c r="Q1555">
        <f>(P1555/60)+45</f>
        <v>78.333333333333343</v>
      </c>
      <c r="R1555">
        <f>Q1555/60</f>
        <v>1.3055555555555558</v>
      </c>
      <c r="S1555" s="2">
        <v>45740</v>
      </c>
      <c r="U1555">
        <v>2</v>
      </c>
      <c r="V1555" s="4">
        <v>4000</v>
      </c>
      <c r="W1555" t="s">
        <v>65</v>
      </c>
      <c r="X1555" t="s">
        <v>241</v>
      </c>
      <c r="Y1555">
        <v>0</v>
      </c>
      <c r="Z1555" s="4">
        <v>3000</v>
      </c>
      <c r="AA1555" s="4">
        <v>1000</v>
      </c>
      <c r="AB1555">
        <v>0</v>
      </c>
      <c r="AC1555">
        <v>0</v>
      </c>
      <c r="AD1555">
        <v>0</v>
      </c>
      <c r="AG1555">
        <v>0</v>
      </c>
      <c r="AP1555" t="s">
        <v>242</v>
      </c>
      <c r="AQ1555" t="s">
        <v>243</v>
      </c>
      <c r="AR1555" t="s">
        <v>6646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BC1555" t="s">
        <v>69</v>
      </c>
      <c r="BD1555" t="s">
        <v>4708</v>
      </c>
      <c r="BE1555">
        <v>0</v>
      </c>
      <c r="BG1555" t="s">
        <v>243</v>
      </c>
      <c r="BJ1555" t="s">
        <v>4709</v>
      </c>
    </row>
    <row r="1556" spans="1:62" x14ac:dyDescent="0.35">
      <c r="A1556" t="s">
        <v>5225</v>
      </c>
      <c r="B1556">
        <v>10000</v>
      </c>
      <c r="C1556">
        <v>10000</v>
      </c>
      <c r="D1556" s="2">
        <v>45740</v>
      </c>
      <c r="E1556" t="s">
        <v>61</v>
      </c>
      <c r="F1556" t="s">
        <v>5226</v>
      </c>
      <c r="G1556" t="s">
        <v>2289</v>
      </c>
      <c r="I1556">
        <v>1</v>
      </c>
      <c r="J1556" t="s">
        <v>63</v>
      </c>
      <c r="K1556" s="8">
        <v>78</v>
      </c>
      <c r="L1556" s="8" t="s">
        <v>6593</v>
      </c>
      <c r="M1556" s="8" t="s">
        <v>6629</v>
      </c>
      <c r="N1556" t="s">
        <v>188</v>
      </c>
      <c r="O1556" t="s">
        <v>6410</v>
      </c>
      <c r="P1556" s="4">
        <v>2750</v>
      </c>
      <c r="Q1556">
        <f t="shared" ref="Q1556:Q1559" si="404">(P1556/40)+45</f>
        <v>113.75</v>
      </c>
      <c r="R1556">
        <f t="shared" ref="R1556:R1559" si="405">Q1556/60</f>
        <v>1.8958333333333333</v>
      </c>
      <c r="S1556" s="2">
        <v>45740</v>
      </c>
      <c r="U1556">
        <v>16</v>
      </c>
      <c r="V1556" s="4">
        <v>44000</v>
      </c>
      <c r="W1556" t="s">
        <v>65</v>
      </c>
      <c r="X1556" t="s">
        <v>1734</v>
      </c>
      <c r="Y1556">
        <v>0</v>
      </c>
      <c r="Z1556" s="4">
        <v>40000</v>
      </c>
      <c r="AA1556" s="4">
        <v>4000</v>
      </c>
      <c r="AB1556">
        <v>0</v>
      </c>
      <c r="AC1556">
        <v>0</v>
      </c>
      <c r="AD1556">
        <v>0</v>
      </c>
      <c r="AG1556">
        <v>0</v>
      </c>
      <c r="AP1556" t="s">
        <v>1735</v>
      </c>
      <c r="AQ1556" t="s">
        <v>175</v>
      </c>
      <c r="AR1556" t="s">
        <v>6642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BC1556" t="s">
        <v>69</v>
      </c>
      <c r="BD1556" t="s">
        <v>5227</v>
      </c>
      <c r="BE1556">
        <v>0</v>
      </c>
      <c r="BG1556" t="s">
        <v>175</v>
      </c>
      <c r="BJ1556" t="s">
        <v>5228</v>
      </c>
    </row>
    <row r="1557" spans="1:62" x14ac:dyDescent="0.35">
      <c r="A1557" t="s">
        <v>5225</v>
      </c>
      <c r="B1557">
        <v>10000</v>
      </c>
      <c r="C1557">
        <v>20000</v>
      </c>
      <c r="D1557" s="2">
        <v>45740</v>
      </c>
      <c r="E1557" t="s">
        <v>61</v>
      </c>
      <c r="F1557" t="s">
        <v>5226</v>
      </c>
      <c r="G1557" t="s">
        <v>2289</v>
      </c>
      <c r="I1557">
        <v>2</v>
      </c>
      <c r="J1557" t="s">
        <v>63</v>
      </c>
      <c r="K1557" s="8">
        <v>63</v>
      </c>
      <c r="L1557" s="8" t="s">
        <v>6605</v>
      </c>
      <c r="M1557" s="8" t="s">
        <v>6630</v>
      </c>
      <c r="N1557" t="s">
        <v>519</v>
      </c>
      <c r="O1557" t="s">
        <v>6569</v>
      </c>
      <c r="P1557" s="4">
        <v>2500</v>
      </c>
      <c r="Q1557">
        <f t="shared" si="404"/>
        <v>107.5</v>
      </c>
      <c r="R1557">
        <f t="shared" si="405"/>
        <v>1.7916666666666667</v>
      </c>
      <c r="S1557" s="2">
        <v>45740</v>
      </c>
      <c r="U1557">
        <v>16</v>
      </c>
      <c r="V1557" s="4">
        <v>40000</v>
      </c>
      <c r="W1557" t="s">
        <v>65</v>
      </c>
      <c r="X1557" t="s">
        <v>1734</v>
      </c>
      <c r="Y1557">
        <v>0</v>
      </c>
      <c r="Z1557" s="4">
        <v>40000</v>
      </c>
      <c r="AA1557">
        <v>0</v>
      </c>
      <c r="AB1557">
        <v>0</v>
      </c>
      <c r="AC1557">
        <v>0</v>
      </c>
      <c r="AD1557">
        <v>0</v>
      </c>
      <c r="AG1557">
        <v>0</v>
      </c>
      <c r="AP1557" t="s">
        <v>1735</v>
      </c>
      <c r="AQ1557" t="s">
        <v>175</v>
      </c>
      <c r="AR1557" t="s">
        <v>6642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BC1557" t="s">
        <v>69</v>
      </c>
      <c r="BD1557" t="s">
        <v>5227</v>
      </c>
      <c r="BE1557">
        <v>0</v>
      </c>
      <c r="BG1557" t="s">
        <v>175</v>
      </c>
      <c r="BJ1557" t="s">
        <v>5228</v>
      </c>
    </row>
    <row r="1558" spans="1:62" x14ac:dyDescent="0.35">
      <c r="A1558" t="s">
        <v>5229</v>
      </c>
      <c r="B1558">
        <v>10000</v>
      </c>
      <c r="C1558">
        <v>10000</v>
      </c>
      <c r="D1558" s="2">
        <v>45740</v>
      </c>
      <c r="E1558" t="s">
        <v>61</v>
      </c>
      <c r="F1558" t="s">
        <v>5230</v>
      </c>
      <c r="G1558" t="s">
        <v>2289</v>
      </c>
      <c r="I1558">
        <v>1</v>
      </c>
      <c r="J1558" t="s">
        <v>63</v>
      </c>
      <c r="K1558" s="8">
        <v>78</v>
      </c>
      <c r="L1558" s="8" t="s">
        <v>6593</v>
      </c>
      <c r="M1558" s="8" t="s">
        <v>6629</v>
      </c>
      <c r="N1558" t="s">
        <v>188</v>
      </c>
      <c r="O1558" t="s">
        <v>6410</v>
      </c>
      <c r="P1558" s="4">
        <v>1500</v>
      </c>
      <c r="Q1558">
        <f t="shared" si="404"/>
        <v>82.5</v>
      </c>
      <c r="R1558">
        <f t="shared" si="405"/>
        <v>1.375</v>
      </c>
      <c r="S1558" s="2">
        <v>45740</v>
      </c>
      <c r="U1558">
        <v>16</v>
      </c>
      <c r="V1558" s="4">
        <v>24000</v>
      </c>
      <c r="W1558" t="s">
        <v>65</v>
      </c>
      <c r="X1558" t="s">
        <v>1864</v>
      </c>
      <c r="Y1558">
        <v>0</v>
      </c>
      <c r="Z1558" s="4">
        <v>20000</v>
      </c>
      <c r="AA1558" s="4">
        <v>4000</v>
      </c>
      <c r="AB1558">
        <v>0</v>
      </c>
      <c r="AC1558">
        <v>0</v>
      </c>
      <c r="AD1558">
        <v>0</v>
      </c>
      <c r="AG1558">
        <v>0</v>
      </c>
      <c r="AP1558" t="s">
        <v>1865</v>
      </c>
      <c r="AQ1558" t="s">
        <v>175</v>
      </c>
      <c r="AR1558" t="s">
        <v>6642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BC1558" t="s">
        <v>69</v>
      </c>
      <c r="BD1558" t="s">
        <v>5231</v>
      </c>
      <c r="BE1558">
        <v>0</v>
      </c>
      <c r="BG1558" t="s">
        <v>175</v>
      </c>
      <c r="BJ1558" t="s">
        <v>5232</v>
      </c>
    </row>
    <row r="1559" spans="1:62" x14ac:dyDescent="0.35">
      <c r="A1559" t="s">
        <v>5229</v>
      </c>
      <c r="B1559">
        <v>10000</v>
      </c>
      <c r="C1559">
        <v>20000</v>
      </c>
      <c r="D1559" s="2">
        <v>45740</v>
      </c>
      <c r="E1559" t="s">
        <v>61</v>
      </c>
      <c r="F1559" t="s">
        <v>5230</v>
      </c>
      <c r="G1559" t="s">
        <v>2289</v>
      </c>
      <c r="I1559">
        <v>2</v>
      </c>
      <c r="J1559" t="s">
        <v>63</v>
      </c>
      <c r="K1559" s="8">
        <v>63</v>
      </c>
      <c r="L1559" s="8" t="s">
        <v>6605</v>
      </c>
      <c r="M1559" s="8" t="s">
        <v>6630</v>
      </c>
      <c r="N1559" t="s">
        <v>519</v>
      </c>
      <c r="O1559" t="s">
        <v>6569</v>
      </c>
      <c r="P1559" s="4">
        <v>1250</v>
      </c>
      <c r="Q1559">
        <f t="shared" si="404"/>
        <v>76.25</v>
      </c>
      <c r="R1559">
        <f t="shared" si="405"/>
        <v>1.2708333333333333</v>
      </c>
      <c r="S1559" s="2">
        <v>45740</v>
      </c>
      <c r="U1559">
        <v>16</v>
      </c>
      <c r="V1559" s="4">
        <v>20000</v>
      </c>
      <c r="W1559" t="s">
        <v>65</v>
      </c>
      <c r="X1559" t="s">
        <v>1864</v>
      </c>
      <c r="Y1559">
        <v>0</v>
      </c>
      <c r="Z1559" s="4">
        <v>20000</v>
      </c>
      <c r="AA1559">
        <v>0</v>
      </c>
      <c r="AB1559">
        <v>0</v>
      </c>
      <c r="AC1559">
        <v>0</v>
      </c>
      <c r="AD1559">
        <v>0</v>
      </c>
      <c r="AG1559">
        <v>0</v>
      </c>
      <c r="AP1559" t="s">
        <v>1865</v>
      </c>
      <c r="AQ1559" t="s">
        <v>175</v>
      </c>
      <c r="AR1559" t="s">
        <v>6642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BC1559" t="s">
        <v>69</v>
      </c>
      <c r="BD1559" t="s">
        <v>5231</v>
      </c>
      <c r="BE1559">
        <v>0</v>
      </c>
      <c r="BG1559" t="s">
        <v>175</v>
      </c>
      <c r="BJ1559" t="s">
        <v>5232</v>
      </c>
    </row>
    <row r="1560" spans="1:62" x14ac:dyDescent="0.35">
      <c r="A1560" t="s">
        <v>5233</v>
      </c>
      <c r="B1560">
        <v>10000</v>
      </c>
      <c r="C1560">
        <v>10000</v>
      </c>
      <c r="D1560" s="2">
        <v>45742</v>
      </c>
      <c r="E1560" t="s">
        <v>61</v>
      </c>
      <c r="F1560" s="3">
        <v>0.42387731481481483</v>
      </c>
      <c r="G1560">
        <v>59470</v>
      </c>
      <c r="I1560">
        <v>1</v>
      </c>
      <c r="J1560" t="s">
        <v>63</v>
      </c>
      <c r="K1560" s="8">
        <v>73</v>
      </c>
      <c r="L1560" t="s">
        <v>6586</v>
      </c>
      <c r="M1560" s="8" t="s">
        <v>6627</v>
      </c>
      <c r="N1560" t="s">
        <v>98</v>
      </c>
      <c r="O1560" t="s">
        <v>6549</v>
      </c>
      <c r="P1560" s="4">
        <v>30667</v>
      </c>
      <c r="S1560" s="2">
        <v>45740</v>
      </c>
      <c r="U1560">
        <v>12</v>
      </c>
      <c r="V1560" s="4">
        <v>368004</v>
      </c>
      <c r="W1560" t="s">
        <v>65</v>
      </c>
      <c r="X1560" t="s">
        <v>999</v>
      </c>
      <c r="Y1560">
        <v>0</v>
      </c>
      <c r="Z1560" s="4">
        <v>365322</v>
      </c>
      <c r="AA1560" s="4">
        <v>2682</v>
      </c>
      <c r="AB1560">
        <v>0</v>
      </c>
      <c r="AC1560">
        <v>0</v>
      </c>
      <c r="AD1560">
        <v>0</v>
      </c>
      <c r="AG1560">
        <v>0</v>
      </c>
      <c r="AP1560" t="s">
        <v>1000</v>
      </c>
      <c r="AQ1560" t="s">
        <v>321</v>
      </c>
      <c r="AR1560" t="s">
        <v>6652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BC1560" t="s">
        <v>69</v>
      </c>
      <c r="BD1560" t="s">
        <v>5234</v>
      </c>
      <c r="BE1560">
        <v>0</v>
      </c>
      <c r="BG1560" t="s">
        <v>321</v>
      </c>
      <c r="BJ1560" t="s">
        <v>5235</v>
      </c>
    </row>
    <row r="1561" spans="1:62" x14ac:dyDescent="0.35">
      <c r="A1561" t="s">
        <v>4916</v>
      </c>
      <c r="B1561">
        <v>10000</v>
      </c>
      <c r="C1561">
        <v>50000</v>
      </c>
      <c r="D1561" s="2">
        <v>45742</v>
      </c>
      <c r="E1561" t="s">
        <v>61</v>
      </c>
      <c r="F1561" t="s">
        <v>4917</v>
      </c>
      <c r="G1561" t="s">
        <v>4918</v>
      </c>
      <c r="I1561">
        <v>2</v>
      </c>
      <c r="J1561" t="s">
        <v>63</v>
      </c>
      <c r="K1561" s="8">
        <v>96</v>
      </c>
      <c r="L1561" s="8" t="s">
        <v>6585</v>
      </c>
      <c r="M1561" s="8" t="s">
        <v>6628</v>
      </c>
      <c r="N1561" t="s">
        <v>2433</v>
      </c>
      <c r="O1561" t="s">
        <v>6576</v>
      </c>
      <c r="P1561" s="4">
        <v>78750</v>
      </c>
      <c r="S1561" s="2">
        <v>45740</v>
      </c>
      <c r="U1561">
        <v>6</v>
      </c>
      <c r="V1561" s="4">
        <v>472500</v>
      </c>
      <c r="W1561" t="s">
        <v>65</v>
      </c>
      <c r="X1561" t="s">
        <v>1410</v>
      </c>
      <c r="Y1561">
        <v>0</v>
      </c>
      <c r="Z1561" s="4">
        <v>478125</v>
      </c>
      <c r="AA1561" s="4">
        <v>-5625</v>
      </c>
      <c r="AB1561">
        <v>0</v>
      </c>
      <c r="AC1561">
        <v>0</v>
      </c>
      <c r="AD1561">
        <v>0</v>
      </c>
      <c r="AG1561">
        <v>0</v>
      </c>
      <c r="AP1561" t="s">
        <v>1411</v>
      </c>
      <c r="AQ1561" t="s">
        <v>321</v>
      </c>
      <c r="AR1561" t="s">
        <v>6652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BC1561" t="s">
        <v>69</v>
      </c>
      <c r="BD1561" t="s">
        <v>4919</v>
      </c>
      <c r="BE1561">
        <v>0</v>
      </c>
      <c r="BG1561" t="s">
        <v>321</v>
      </c>
      <c r="BJ1561" t="s">
        <v>4920</v>
      </c>
    </row>
    <row r="1562" spans="1:62" x14ac:dyDescent="0.35">
      <c r="A1562" t="s">
        <v>5236</v>
      </c>
      <c r="B1562">
        <v>10000</v>
      </c>
      <c r="C1562">
        <v>10000</v>
      </c>
      <c r="D1562" s="2">
        <v>45740</v>
      </c>
      <c r="E1562" t="s">
        <v>61</v>
      </c>
      <c r="F1562" t="s">
        <v>5179</v>
      </c>
      <c r="G1562" t="s">
        <v>3487</v>
      </c>
      <c r="I1562">
        <v>1</v>
      </c>
      <c r="J1562" t="s">
        <v>63</v>
      </c>
      <c r="K1562" s="8">
        <v>31</v>
      </c>
      <c r="L1562" s="8" t="s">
        <v>6595</v>
      </c>
      <c r="M1562" s="8" t="s">
        <v>6629</v>
      </c>
      <c r="N1562" t="s">
        <v>361</v>
      </c>
      <c r="O1562" t="s">
        <v>6485</v>
      </c>
      <c r="P1562" s="4">
        <v>1000</v>
      </c>
      <c r="Q1562">
        <f t="shared" ref="Q1562:Q1569" si="406">(P1562/40)+45</f>
        <v>70</v>
      </c>
      <c r="R1562">
        <f t="shared" ref="R1562:R1569" si="407">Q1562/60</f>
        <v>1.1666666666666667</v>
      </c>
      <c r="S1562" s="2">
        <v>45740</v>
      </c>
      <c r="U1562">
        <v>1</v>
      </c>
      <c r="V1562" s="4">
        <v>1000</v>
      </c>
      <c r="W1562" t="s">
        <v>65</v>
      </c>
      <c r="X1562" t="s">
        <v>1324</v>
      </c>
      <c r="Y1562">
        <v>0</v>
      </c>
      <c r="Z1562" s="4">
        <v>1000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 t="s">
        <v>1325</v>
      </c>
      <c r="AQ1562" t="s">
        <v>1314</v>
      </c>
      <c r="AR1562" t="s">
        <v>6677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BC1562" t="s">
        <v>69</v>
      </c>
      <c r="BD1562" t="s">
        <v>5237</v>
      </c>
      <c r="BE1562">
        <v>0</v>
      </c>
      <c r="BG1562" t="s">
        <v>1314</v>
      </c>
      <c r="BJ1562" t="s">
        <v>5238</v>
      </c>
    </row>
    <row r="1563" spans="1:62" x14ac:dyDescent="0.35">
      <c r="A1563" t="s">
        <v>5239</v>
      </c>
      <c r="B1563">
        <v>10000</v>
      </c>
      <c r="C1563">
        <v>10000</v>
      </c>
      <c r="D1563" s="2">
        <v>45741</v>
      </c>
      <c r="E1563" t="s">
        <v>61</v>
      </c>
      <c r="F1563" t="s">
        <v>5240</v>
      </c>
      <c r="G1563" t="s">
        <v>4206</v>
      </c>
      <c r="I1563">
        <v>1</v>
      </c>
      <c r="J1563" t="s">
        <v>63</v>
      </c>
      <c r="K1563" s="8">
        <v>65</v>
      </c>
      <c r="L1563" s="8" t="s">
        <v>6596</v>
      </c>
      <c r="M1563" s="8" t="s">
        <v>6630</v>
      </c>
      <c r="N1563" t="s">
        <v>268</v>
      </c>
      <c r="O1563" t="s">
        <v>6543</v>
      </c>
      <c r="P1563">
        <v>770</v>
      </c>
      <c r="Q1563">
        <f t="shared" si="406"/>
        <v>64.25</v>
      </c>
      <c r="R1563">
        <f t="shared" si="407"/>
        <v>1.0708333333333333</v>
      </c>
      <c r="S1563" s="2">
        <v>45740</v>
      </c>
      <c r="U1563">
        <v>26</v>
      </c>
      <c r="V1563" s="4">
        <v>20014</v>
      </c>
      <c r="W1563" t="s">
        <v>65</v>
      </c>
      <c r="X1563">
        <v>112023880001</v>
      </c>
      <c r="Y1563">
        <v>0</v>
      </c>
      <c r="Z1563" s="4">
        <v>20000</v>
      </c>
      <c r="AA1563">
        <v>14</v>
      </c>
      <c r="AB1563">
        <v>0</v>
      </c>
      <c r="AC1563">
        <v>0</v>
      </c>
      <c r="AD1563">
        <v>0</v>
      </c>
      <c r="AG1563">
        <v>0</v>
      </c>
      <c r="AP1563">
        <v>11202388</v>
      </c>
      <c r="AQ1563" t="s">
        <v>182</v>
      </c>
      <c r="AR1563" t="s">
        <v>6643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BC1563" t="s">
        <v>69</v>
      </c>
      <c r="BD1563" t="s">
        <v>5241</v>
      </c>
      <c r="BE1563">
        <v>0</v>
      </c>
      <c r="BG1563" t="s">
        <v>182</v>
      </c>
      <c r="BJ1563" t="s">
        <v>5242</v>
      </c>
    </row>
    <row r="1564" spans="1:62" x14ac:dyDescent="0.35">
      <c r="A1564" t="s">
        <v>5239</v>
      </c>
      <c r="B1564">
        <v>20000</v>
      </c>
      <c r="C1564">
        <v>10000</v>
      </c>
      <c r="D1564" s="2">
        <v>45741</v>
      </c>
      <c r="E1564" t="s">
        <v>61</v>
      </c>
      <c r="F1564" t="s">
        <v>5240</v>
      </c>
      <c r="G1564" t="s">
        <v>4206</v>
      </c>
      <c r="I1564">
        <v>1</v>
      </c>
      <c r="J1564" t="s">
        <v>63</v>
      </c>
      <c r="K1564" s="8">
        <v>65</v>
      </c>
      <c r="L1564" s="8" t="s">
        <v>6596</v>
      </c>
      <c r="M1564" s="8" t="s">
        <v>6630</v>
      </c>
      <c r="N1564" t="s">
        <v>268</v>
      </c>
      <c r="O1564" t="s">
        <v>6543</v>
      </c>
      <c r="P1564">
        <v>769</v>
      </c>
      <c r="Q1564">
        <f t="shared" si="406"/>
        <v>64.224999999999994</v>
      </c>
      <c r="R1564">
        <f t="shared" si="407"/>
        <v>1.0704166666666666</v>
      </c>
      <c r="S1564" s="2">
        <v>45740</v>
      </c>
      <c r="U1564">
        <v>26</v>
      </c>
      <c r="V1564" s="4">
        <v>20000</v>
      </c>
      <c r="W1564" t="s">
        <v>65</v>
      </c>
      <c r="X1564">
        <v>112023880001</v>
      </c>
      <c r="Y1564">
        <v>0</v>
      </c>
      <c r="Z1564" s="4">
        <v>20000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>
        <v>11202388</v>
      </c>
      <c r="AQ1564" t="s">
        <v>182</v>
      </c>
      <c r="AR1564" t="s">
        <v>6643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BC1564" t="s">
        <v>69</v>
      </c>
      <c r="BD1564" t="s">
        <v>5241</v>
      </c>
      <c r="BE1564">
        <v>0</v>
      </c>
      <c r="BG1564" t="s">
        <v>182</v>
      </c>
      <c r="BJ1564" t="s">
        <v>5242</v>
      </c>
    </row>
    <row r="1565" spans="1:62" x14ac:dyDescent="0.35">
      <c r="A1565" t="s">
        <v>5243</v>
      </c>
      <c r="B1565">
        <v>10000</v>
      </c>
      <c r="C1565">
        <v>10000</v>
      </c>
      <c r="D1565" s="2">
        <v>45740</v>
      </c>
      <c r="E1565" t="s">
        <v>61</v>
      </c>
      <c r="F1565" t="s">
        <v>5155</v>
      </c>
      <c r="G1565" t="s">
        <v>5105</v>
      </c>
      <c r="I1565">
        <v>1</v>
      </c>
      <c r="J1565" t="s">
        <v>63</v>
      </c>
      <c r="K1565" s="8">
        <v>59</v>
      </c>
      <c r="L1565" s="8" t="s">
        <v>6592</v>
      </c>
      <c r="M1565" s="8" t="s">
        <v>6629</v>
      </c>
      <c r="N1565" t="s">
        <v>745</v>
      </c>
      <c r="O1565" t="s">
        <v>6501</v>
      </c>
      <c r="P1565" s="4">
        <v>1549</v>
      </c>
      <c r="Q1565">
        <f t="shared" si="406"/>
        <v>83.724999999999994</v>
      </c>
      <c r="R1565">
        <f t="shared" si="407"/>
        <v>1.3954166666666665</v>
      </c>
      <c r="S1565" s="2">
        <v>45740</v>
      </c>
      <c r="U1565">
        <v>4</v>
      </c>
      <c r="V1565" s="4">
        <v>6196</v>
      </c>
      <c r="W1565" t="s">
        <v>65</v>
      </c>
      <c r="X1565">
        <v>200877560001</v>
      </c>
      <c r="Y1565">
        <v>0</v>
      </c>
      <c r="Z1565" s="4">
        <v>6196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>
        <v>20087756</v>
      </c>
      <c r="AQ1565" t="s">
        <v>182</v>
      </c>
      <c r="AR1565" t="s">
        <v>6643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BC1565" t="s">
        <v>69</v>
      </c>
      <c r="BD1565" t="s">
        <v>5244</v>
      </c>
      <c r="BE1565">
        <v>0</v>
      </c>
      <c r="BG1565" t="s">
        <v>182</v>
      </c>
      <c r="BJ1565" t="s">
        <v>5245</v>
      </c>
    </row>
    <row r="1566" spans="1:62" x14ac:dyDescent="0.35">
      <c r="A1566" t="s">
        <v>5243</v>
      </c>
      <c r="B1566">
        <v>20000</v>
      </c>
      <c r="C1566">
        <v>10000</v>
      </c>
      <c r="D1566" s="2">
        <v>45740</v>
      </c>
      <c r="E1566" t="s">
        <v>61</v>
      </c>
      <c r="F1566" t="s">
        <v>5155</v>
      </c>
      <c r="G1566" t="s">
        <v>5105</v>
      </c>
      <c r="I1566">
        <v>1</v>
      </c>
      <c r="J1566" t="s">
        <v>63</v>
      </c>
      <c r="K1566" s="8">
        <v>59</v>
      </c>
      <c r="L1566" s="8" t="s">
        <v>6592</v>
      </c>
      <c r="M1566" s="8" t="s">
        <v>6629</v>
      </c>
      <c r="N1566" t="s">
        <v>745</v>
      </c>
      <c r="O1566" t="s">
        <v>6501</v>
      </c>
      <c r="P1566" s="4">
        <v>1549</v>
      </c>
      <c r="Q1566">
        <f t="shared" si="406"/>
        <v>83.724999999999994</v>
      </c>
      <c r="R1566">
        <f t="shared" si="407"/>
        <v>1.3954166666666665</v>
      </c>
      <c r="S1566" s="2">
        <v>45740</v>
      </c>
      <c r="U1566">
        <v>4</v>
      </c>
      <c r="V1566" s="4">
        <v>6196</v>
      </c>
      <c r="W1566" t="s">
        <v>65</v>
      </c>
      <c r="X1566">
        <v>200877560001</v>
      </c>
      <c r="Y1566">
        <v>0</v>
      </c>
      <c r="Z1566" s="4">
        <v>6196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>
        <v>20087756</v>
      </c>
      <c r="AQ1566" t="s">
        <v>182</v>
      </c>
      <c r="AR1566" t="s">
        <v>6643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BC1566" t="s">
        <v>69</v>
      </c>
      <c r="BD1566" t="s">
        <v>5244</v>
      </c>
      <c r="BE1566">
        <v>0</v>
      </c>
      <c r="BG1566" t="s">
        <v>182</v>
      </c>
      <c r="BJ1566" t="s">
        <v>5245</v>
      </c>
    </row>
    <row r="1567" spans="1:62" x14ac:dyDescent="0.35">
      <c r="A1567" t="s">
        <v>5246</v>
      </c>
      <c r="B1567">
        <v>10000</v>
      </c>
      <c r="C1567">
        <v>10000</v>
      </c>
      <c r="D1567" s="2">
        <v>45741</v>
      </c>
      <c r="E1567" t="s">
        <v>61</v>
      </c>
      <c r="F1567" t="s">
        <v>5240</v>
      </c>
      <c r="G1567" t="s">
        <v>5247</v>
      </c>
      <c r="I1567">
        <v>1</v>
      </c>
      <c r="J1567" t="s">
        <v>63</v>
      </c>
      <c r="K1567" s="8">
        <v>65</v>
      </c>
      <c r="L1567" s="8" t="s">
        <v>6596</v>
      </c>
      <c r="M1567" s="8" t="s">
        <v>6630</v>
      </c>
      <c r="N1567" t="s">
        <v>268</v>
      </c>
      <c r="O1567" t="s">
        <v>6543</v>
      </c>
      <c r="P1567" s="4">
        <v>6667</v>
      </c>
      <c r="Q1567">
        <f t="shared" si="406"/>
        <v>211.67500000000001</v>
      </c>
      <c r="R1567">
        <f t="shared" si="407"/>
        <v>3.527916666666667</v>
      </c>
      <c r="S1567" s="2">
        <v>45740</v>
      </c>
      <c r="U1567">
        <v>3</v>
      </c>
      <c r="V1567" s="4">
        <v>20000</v>
      </c>
      <c r="W1567" t="s">
        <v>65</v>
      </c>
      <c r="X1567">
        <v>200183090001</v>
      </c>
      <c r="Y1567">
        <v>0</v>
      </c>
      <c r="Z1567" s="4">
        <v>20000</v>
      </c>
      <c r="AA1567">
        <v>0</v>
      </c>
      <c r="AB1567">
        <v>0</v>
      </c>
      <c r="AC1567">
        <v>0</v>
      </c>
      <c r="AD1567">
        <v>0</v>
      </c>
      <c r="AG1567">
        <v>0</v>
      </c>
      <c r="AP1567">
        <v>20018309</v>
      </c>
      <c r="AQ1567" t="s">
        <v>182</v>
      </c>
      <c r="AR1567" t="s">
        <v>6643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BC1567" t="s">
        <v>69</v>
      </c>
      <c r="BD1567" t="s">
        <v>5248</v>
      </c>
      <c r="BE1567">
        <v>0</v>
      </c>
      <c r="BG1567" t="s">
        <v>182</v>
      </c>
      <c r="BJ1567" t="s">
        <v>5249</v>
      </c>
    </row>
    <row r="1568" spans="1:62" x14ac:dyDescent="0.35">
      <c r="A1568" t="s">
        <v>5246</v>
      </c>
      <c r="B1568">
        <v>20000</v>
      </c>
      <c r="C1568">
        <v>10000</v>
      </c>
      <c r="D1568" s="2">
        <v>45741</v>
      </c>
      <c r="E1568" t="s">
        <v>61</v>
      </c>
      <c r="F1568" t="s">
        <v>5240</v>
      </c>
      <c r="G1568" t="s">
        <v>5247</v>
      </c>
      <c r="I1568">
        <v>1</v>
      </c>
      <c r="J1568" t="s">
        <v>63</v>
      </c>
      <c r="K1568" s="8">
        <v>65</v>
      </c>
      <c r="L1568" s="8" t="s">
        <v>6596</v>
      </c>
      <c r="M1568" s="8" t="s">
        <v>6630</v>
      </c>
      <c r="N1568" t="s">
        <v>268</v>
      </c>
      <c r="O1568" t="s">
        <v>6543</v>
      </c>
      <c r="P1568" s="4">
        <v>6667</v>
      </c>
      <c r="Q1568">
        <f t="shared" si="406"/>
        <v>211.67500000000001</v>
      </c>
      <c r="R1568">
        <f t="shared" si="407"/>
        <v>3.527916666666667</v>
      </c>
      <c r="S1568" s="2">
        <v>45740</v>
      </c>
      <c r="U1568">
        <v>3</v>
      </c>
      <c r="V1568" s="4">
        <v>20000</v>
      </c>
      <c r="W1568" t="s">
        <v>65</v>
      </c>
      <c r="X1568">
        <v>200183090001</v>
      </c>
      <c r="Y1568">
        <v>0</v>
      </c>
      <c r="Z1568" s="4">
        <v>20000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>
        <v>20018309</v>
      </c>
      <c r="AQ1568" t="s">
        <v>182</v>
      </c>
      <c r="AR1568" t="s">
        <v>6643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BC1568" t="s">
        <v>69</v>
      </c>
      <c r="BD1568" t="s">
        <v>5248</v>
      </c>
      <c r="BE1568">
        <v>0</v>
      </c>
      <c r="BG1568" t="s">
        <v>182</v>
      </c>
      <c r="BJ1568" t="s">
        <v>5249</v>
      </c>
    </row>
    <row r="1569" spans="1:62" x14ac:dyDescent="0.35">
      <c r="A1569" t="s">
        <v>5246</v>
      </c>
      <c r="B1569">
        <v>30000</v>
      </c>
      <c r="C1569">
        <v>10000</v>
      </c>
      <c r="D1569" s="2">
        <v>45741</v>
      </c>
      <c r="E1569" t="s">
        <v>61</v>
      </c>
      <c r="F1569" t="s">
        <v>5240</v>
      </c>
      <c r="G1569" t="s">
        <v>5247</v>
      </c>
      <c r="I1569">
        <v>1</v>
      </c>
      <c r="J1569" t="s">
        <v>63</v>
      </c>
      <c r="K1569" s="8">
        <v>65</v>
      </c>
      <c r="L1569" s="8" t="s">
        <v>6596</v>
      </c>
      <c r="M1569" s="8" t="s">
        <v>6630</v>
      </c>
      <c r="N1569" t="s">
        <v>268</v>
      </c>
      <c r="O1569" t="s">
        <v>6543</v>
      </c>
      <c r="P1569" s="4">
        <v>6667</v>
      </c>
      <c r="Q1569">
        <f t="shared" si="406"/>
        <v>211.67500000000001</v>
      </c>
      <c r="R1569">
        <f t="shared" si="407"/>
        <v>3.527916666666667</v>
      </c>
      <c r="S1569" s="2">
        <v>45740</v>
      </c>
      <c r="U1569">
        <v>3</v>
      </c>
      <c r="V1569" s="4">
        <v>20000</v>
      </c>
      <c r="W1569" t="s">
        <v>65</v>
      </c>
      <c r="X1569">
        <v>200183090001</v>
      </c>
      <c r="Y1569">
        <v>0</v>
      </c>
      <c r="Z1569" s="4">
        <v>20000</v>
      </c>
      <c r="AA1569">
        <v>0</v>
      </c>
      <c r="AB1569">
        <v>0</v>
      </c>
      <c r="AC1569">
        <v>0</v>
      </c>
      <c r="AD1569">
        <v>0</v>
      </c>
      <c r="AG1569">
        <v>0</v>
      </c>
      <c r="AP1569">
        <v>20018309</v>
      </c>
      <c r="AQ1569" t="s">
        <v>182</v>
      </c>
      <c r="AR1569" t="s">
        <v>6643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BC1569" t="s">
        <v>69</v>
      </c>
      <c r="BD1569" t="s">
        <v>5248</v>
      </c>
      <c r="BE1569">
        <v>0</v>
      </c>
      <c r="BG1569" t="s">
        <v>182</v>
      </c>
      <c r="BJ1569" t="s">
        <v>5249</v>
      </c>
    </row>
    <row r="1570" spans="1:62" x14ac:dyDescent="0.35">
      <c r="A1570" t="s">
        <v>5250</v>
      </c>
      <c r="B1570">
        <v>10000</v>
      </c>
      <c r="C1570">
        <v>10000</v>
      </c>
      <c r="D1570" s="2">
        <v>45742</v>
      </c>
      <c r="E1570" t="s">
        <v>61</v>
      </c>
      <c r="F1570" t="s">
        <v>5251</v>
      </c>
      <c r="G1570" t="s">
        <v>5207</v>
      </c>
      <c r="I1570">
        <v>1</v>
      </c>
      <c r="J1570" t="s">
        <v>63</v>
      </c>
      <c r="K1570" s="8">
        <v>72</v>
      </c>
      <c r="L1570" s="8" t="s">
        <v>6606</v>
      </c>
      <c r="M1570" s="8" t="s">
        <v>6631</v>
      </c>
      <c r="N1570" t="s">
        <v>163</v>
      </c>
      <c r="O1570" t="s">
        <v>6548</v>
      </c>
      <c r="P1570" s="4">
        <v>5000</v>
      </c>
      <c r="S1570" s="2">
        <v>45740</v>
      </c>
      <c r="U1570">
        <v>8</v>
      </c>
      <c r="V1570" s="4">
        <v>40000</v>
      </c>
      <c r="W1570" t="s">
        <v>65</v>
      </c>
      <c r="X1570" t="s">
        <v>5252</v>
      </c>
      <c r="Y1570">
        <v>0</v>
      </c>
      <c r="Z1570" s="4">
        <v>32800</v>
      </c>
      <c r="AA1570" s="4">
        <v>7200</v>
      </c>
      <c r="AB1570">
        <v>0</v>
      </c>
      <c r="AC1570">
        <v>0</v>
      </c>
      <c r="AD1570">
        <v>0</v>
      </c>
      <c r="AG1570">
        <v>0</v>
      </c>
      <c r="AP1570" t="s">
        <v>5253</v>
      </c>
      <c r="AQ1570" t="s">
        <v>243</v>
      </c>
      <c r="AR1570" t="s">
        <v>6646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BC1570" t="s">
        <v>69</v>
      </c>
      <c r="BD1570" t="s">
        <v>5254</v>
      </c>
      <c r="BE1570">
        <v>0</v>
      </c>
      <c r="BG1570" t="s">
        <v>243</v>
      </c>
      <c r="BJ1570" t="s">
        <v>5255</v>
      </c>
    </row>
    <row r="1571" spans="1:62" x14ac:dyDescent="0.35">
      <c r="A1571" t="s">
        <v>5250</v>
      </c>
      <c r="B1571">
        <v>10000</v>
      </c>
      <c r="C1571">
        <v>20000</v>
      </c>
      <c r="D1571" s="2">
        <v>45742</v>
      </c>
      <c r="E1571" t="s">
        <v>61</v>
      </c>
      <c r="F1571" t="s">
        <v>5251</v>
      </c>
      <c r="G1571" t="s">
        <v>5207</v>
      </c>
      <c r="I1571">
        <v>2</v>
      </c>
      <c r="J1571" t="s">
        <v>63</v>
      </c>
      <c r="K1571" s="8">
        <v>86</v>
      </c>
      <c r="L1571" s="8" t="s">
        <v>6584</v>
      </c>
      <c r="M1571" s="8" t="s">
        <v>6627</v>
      </c>
      <c r="N1571" t="s">
        <v>64</v>
      </c>
      <c r="O1571" t="s">
        <v>6559</v>
      </c>
      <c r="P1571" s="4">
        <v>4750</v>
      </c>
      <c r="Q1571">
        <f>(P1571/60)+45</f>
        <v>124.16666666666667</v>
      </c>
      <c r="R1571">
        <f>Q1571/60</f>
        <v>2.0694444444444446</v>
      </c>
      <c r="S1571" s="2">
        <v>45740</v>
      </c>
      <c r="U1571">
        <v>8</v>
      </c>
      <c r="V1571" s="4">
        <v>38000</v>
      </c>
      <c r="W1571" t="s">
        <v>65</v>
      </c>
      <c r="X1571" t="s">
        <v>5252</v>
      </c>
      <c r="Y1571">
        <v>0</v>
      </c>
      <c r="Z1571" s="4">
        <v>32800</v>
      </c>
      <c r="AA1571" s="4">
        <v>5200</v>
      </c>
      <c r="AB1571">
        <v>0</v>
      </c>
      <c r="AC1571">
        <v>0</v>
      </c>
      <c r="AD1571">
        <v>0</v>
      </c>
      <c r="AG1571">
        <v>0</v>
      </c>
      <c r="AP1571" t="s">
        <v>5253</v>
      </c>
      <c r="AQ1571" t="s">
        <v>243</v>
      </c>
      <c r="AR1571" t="s">
        <v>6646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BC1571" t="s">
        <v>69</v>
      </c>
      <c r="BD1571" t="s">
        <v>5254</v>
      </c>
      <c r="BE1571">
        <v>0</v>
      </c>
      <c r="BG1571" t="s">
        <v>243</v>
      </c>
      <c r="BJ1571" t="s">
        <v>5255</v>
      </c>
    </row>
    <row r="1572" spans="1:62" x14ac:dyDescent="0.35">
      <c r="A1572" t="s">
        <v>5257</v>
      </c>
      <c r="B1572">
        <v>10000</v>
      </c>
      <c r="C1572">
        <v>10000</v>
      </c>
      <c r="D1572" s="2">
        <v>45743</v>
      </c>
      <c r="E1572" t="s">
        <v>61</v>
      </c>
      <c r="F1572" t="s">
        <v>2187</v>
      </c>
      <c r="G1572" t="s">
        <v>89</v>
      </c>
      <c r="H1572" t="s">
        <v>5258</v>
      </c>
      <c r="I1572">
        <v>1</v>
      </c>
      <c r="J1572" t="s">
        <v>69</v>
      </c>
      <c r="K1572" s="8">
        <v>73</v>
      </c>
      <c r="L1572" t="s">
        <v>6586</v>
      </c>
      <c r="M1572" s="8" t="s">
        <v>6627</v>
      </c>
      <c r="N1572" t="s">
        <v>98</v>
      </c>
      <c r="O1572" t="s">
        <v>6549</v>
      </c>
      <c r="P1572" s="4">
        <v>18000</v>
      </c>
      <c r="S1572" s="2">
        <v>45741</v>
      </c>
      <c r="U1572">
        <v>12</v>
      </c>
      <c r="V1572" s="4">
        <v>216000</v>
      </c>
      <c r="W1572" t="s">
        <v>65</v>
      </c>
      <c r="X1572">
        <v>80256220001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G1572">
        <v>0</v>
      </c>
      <c r="AK1572" t="s">
        <v>69</v>
      </c>
      <c r="AL1572">
        <v>0</v>
      </c>
      <c r="AM1572" t="s">
        <v>69</v>
      </c>
      <c r="AP1572">
        <v>8025622</v>
      </c>
      <c r="AQ1572" t="s">
        <v>91</v>
      </c>
      <c r="AR1572" t="s">
        <v>6637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BC1572" t="s">
        <v>69</v>
      </c>
      <c r="BG1572" t="s">
        <v>91</v>
      </c>
      <c r="BJ1572" t="s">
        <v>5259</v>
      </c>
    </row>
    <row r="1573" spans="1:62" x14ac:dyDescent="0.35">
      <c r="A1573" t="s">
        <v>5260</v>
      </c>
      <c r="B1573">
        <v>10000</v>
      </c>
      <c r="C1573">
        <v>20000</v>
      </c>
      <c r="D1573" s="2">
        <v>45741</v>
      </c>
      <c r="E1573" t="s">
        <v>61</v>
      </c>
      <c r="F1573" t="s">
        <v>5261</v>
      </c>
      <c r="G1573" t="s">
        <v>5084</v>
      </c>
      <c r="H1573" t="s">
        <v>5262</v>
      </c>
      <c r="I1573">
        <v>1</v>
      </c>
      <c r="J1573" t="s">
        <v>69</v>
      </c>
      <c r="K1573" s="8">
        <v>78</v>
      </c>
      <c r="L1573" s="8" t="s">
        <v>6593</v>
      </c>
      <c r="M1573" s="8" t="s">
        <v>6629</v>
      </c>
      <c r="N1573" t="s">
        <v>188</v>
      </c>
      <c r="O1573" t="s">
        <v>6410</v>
      </c>
      <c r="P1573" s="4">
        <v>5000</v>
      </c>
      <c r="Q1573">
        <f>(P1573/40)+45</f>
        <v>170</v>
      </c>
      <c r="R1573">
        <f>Q1573/60</f>
        <v>2.8333333333333335</v>
      </c>
      <c r="S1573" s="2">
        <v>45741</v>
      </c>
      <c r="U1573">
        <v>3</v>
      </c>
      <c r="V1573" s="4">
        <v>15000</v>
      </c>
      <c r="W1573" t="s">
        <v>65</v>
      </c>
      <c r="X1573" t="s">
        <v>5263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G1573">
        <v>0</v>
      </c>
      <c r="AK1573" t="s">
        <v>69</v>
      </c>
      <c r="AL1573">
        <v>0</v>
      </c>
      <c r="AM1573" t="s">
        <v>69</v>
      </c>
      <c r="AP1573" t="s">
        <v>5264</v>
      </c>
      <c r="AQ1573" t="s">
        <v>5087</v>
      </c>
      <c r="AR1573" t="s">
        <v>6740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BC1573" t="s">
        <v>69</v>
      </c>
      <c r="BG1573" t="s">
        <v>5087</v>
      </c>
      <c r="BJ1573" t="s">
        <v>5265</v>
      </c>
    </row>
    <row r="1574" spans="1:62" x14ac:dyDescent="0.35">
      <c r="A1574" t="s">
        <v>5266</v>
      </c>
      <c r="B1574">
        <v>10000</v>
      </c>
      <c r="C1574">
        <v>10000</v>
      </c>
      <c r="D1574" s="2">
        <v>45742</v>
      </c>
      <c r="E1574" t="s">
        <v>61</v>
      </c>
      <c r="F1574" t="s">
        <v>5267</v>
      </c>
      <c r="G1574" t="s">
        <v>4939</v>
      </c>
      <c r="H1574" t="s">
        <v>5268</v>
      </c>
      <c r="I1574">
        <v>1</v>
      </c>
      <c r="J1574" t="s">
        <v>69</v>
      </c>
      <c r="K1574" s="8">
        <v>32</v>
      </c>
      <c r="L1574" s="8" t="s">
        <v>6607</v>
      </c>
      <c r="M1574" s="8" t="s">
        <v>6629</v>
      </c>
      <c r="N1574" t="s">
        <v>553</v>
      </c>
      <c r="O1574" t="s">
        <v>6552</v>
      </c>
      <c r="P1574" s="4">
        <v>5860</v>
      </c>
      <c r="S1574" s="2">
        <v>45741</v>
      </c>
      <c r="U1574">
        <v>1</v>
      </c>
      <c r="V1574" s="4">
        <v>5860</v>
      </c>
      <c r="W1574" t="s">
        <v>65</v>
      </c>
      <c r="X1574" t="s">
        <v>2059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G1574">
        <v>0</v>
      </c>
      <c r="AK1574" t="s">
        <v>69</v>
      </c>
      <c r="AL1574">
        <v>0</v>
      </c>
      <c r="AM1574" t="s">
        <v>69</v>
      </c>
      <c r="AP1574" t="s">
        <v>2060</v>
      </c>
      <c r="AQ1574" t="s">
        <v>116</v>
      </c>
      <c r="AR1574" t="s">
        <v>6639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BC1574" t="s">
        <v>69</v>
      </c>
      <c r="BG1574" t="s">
        <v>116</v>
      </c>
      <c r="BJ1574" t="s">
        <v>4941</v>
      </c>
    </row>
    <row r="1575" spans="1:62" x14ac:dyDescent="0.35">
      <c r="A1575" t="s">
        <v>5269</v>
      </c>
      <c r="B1575">
        <v>10000</v>
      </c>
      <c r="C1575">
        <v>10000</v>
      </c>
      <c r="D1575" s="2">
        <v>45742</v>
      </c>
      <c r="E1575" t="s">
        <v>61</v>
      </c>
      <c r="F1575" t="s">
        <v>5270</v>
      </c>
      <c r="G1575" t="s">
        <v>3487</v>
      </c>
      <c r="H1575" t="s">
        <v>5271</v>
      </c>
      <c r="I1575">
        <v>1</v>
      </c>
      <c r="J1575" t="s">
        <v>69</v>
      </c>
      <c r="K1575" s="8">
        <v>31</v>
      </c>
      <c r="L1575" s="8" t="s">
        <v>6595</v>
      </c>
      <c r="M1575" s="8" t="s">
        <v>6629</v>
      </c>
      <c r="N1575" t="s">
        <v>361</v>
      </c>
      <c r="O1575" t="s">
        <v>6485</v>
      </c>
      <c r="P1575">
        <v>500</v>
      </c>
      <c r="Q1575">
        <f t="shared" ref="Q1575:Q1576" si="408">(P1575/40)+45</f>
        <v>57.5</v>
      </c>
      <c r="R1575">
        <f t="shared" ref="R1575:R1576" si="409">Q1575/60</f>
        <v>0.95833333333333337</v>
      </c>
      <c r="S1575" s="2">
        <v>45741</v>
      </c>
      <c r="U1575">
        <v>1</v>
      </c>
      <c r="V1575">
        <v>500</v>
      </c>
      <c r="W1575" t="s">
        <v>65</v>
      </c>
      <c r="X1575" t="s">
        <v>1312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G1575">
        <v>0</v>
      </c>
      <c r="AK1575" t="s">
        <v>69</v>
      </c>
      <c r="AL1575">
        <v>0</v>
      </c>
      <c r="AM1575" t="s">
        <v>69</v>
      </c>
      <c r="AP1575" t="s">
        <v>1313</v>
      </c>
      <c r="AQ1575" t="s">
        <v>1314</v>
      </c>
      <c r="AR1575" t="s">
        <v>6677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BC1575" t="s">
        <v>69</v>
      </c>
      <c r="BG1575" t="s">
        <v>1314</v>
      </c>
      <c r="BJ1575" t="s">
        <v>5181</v>
      </c>
    </row>
    <row r="1576" spans="1:62" x14ac:dyDescent="0.35">
      <c r="A1576" t="s">
        <v>5272</v>
      </c>
      <c r="B1576">
        <v>10000</v>
      </c>
      <c r="C1576">
        <v>10000</v>
      </c>
      <c r="D1576" s="2">
        <v>45742</v>
      </c>
      <c r="E1576" t="s">
        <v>61</v>
      </c>
      <c r="F1576" t="s">
        <v>5270</v>
      </c>
      <c r="G1576" t="s">
        <v>3487</v>
      </c>
      <c r="H1576" t="s">
        <v>5271</v>
      </c>
      <c r="I1576">
        <v>1</v>
      </c>
      <c r="J1576" t="s">
        <v>69</v>
      </c>
      <c r="K1576" s="8">
        <v>31</v>
      </c>
      <c r="L1576" s="8" t="s">
        <v>6595</v>
      </c>
      <c r="M1576" s="8" t="s">
        <v>6629</v>
      </c>
      <c r="N1576" t="s">
        <v>361</v>
      </c>
      <c r="O1576" t="s">
        <v>6485</v>
      </c>
      <c r="P1576" s="4">
        <v>1000</v>
      </c>
      <c r="Q1576">
        <f t="shared" si="408"/>
        <v>70</v>
      </c>
      <c r="R1576">
        <f t="shared" si="409"/>
        <v>1.1666666666666667</v>
      </c>
      <c r="S1576" s="2">
        <v>45741</v>
      </c>
      <c r="U1576">
        <v>1</v>
      </c>
      <c r="V1576" s="4">
        <v>1000</v>
      </c>
      <c r="W1576" t="s">
        <v>65</v>
      </c>
      <c r="X1576" t="s">
        <v>1312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G1576">
        <v>0</v>
      </c>
      <c r="AK1576" t="s">
        <v>69</v>
      </c>
      <c r="AL1576">
        <v>0</v>
      </c>
      <c r="AM1576" t="s">
        <v>69</v>
      </c>
      <c r="AP1576" t="s">
        <v>1313</v>
      </c>
      <c r="AQ1576" t="s">
        <v>1314</v>
      </c>
      <c r="AR1576" t="s">
        <v>6677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BC1576" t="s">
        <v>69</v>
      </c>
      <c r="BG1576" t="s">
        <v>1314</v>
      </c>
      <c r="BJ1576" t="s">
        <v>5238</v>
      </c>
    </row>
    <row r="1577" spans="1:62" x14ac:dyDescent="0.35">
      <c r="A1577" t="s">
        <v>5273</v>
      </c>
      <c r="B1577">
        <v>10000</v>
      </c>
      <c r="C1577">
        <v>10000</v>
      </c>
      <c r="D1577" s="2">
        <v>45751</v>
      </c>
      <c r="E1577" t="s">
        <v>61</v>
      </c>
      <c r="F1577" t="s">
        <v>5274</v>
      </c>
      <c r="G1577" t="s">
        <v>5275</v>
      </c>
      <c r="H1577" t="s">
        <v>5276</v>
      </c>
      <c r="I1577">
        <v>1</v>
      </c>
      <c r="J1577" t="s">
        <v>69</v>
      </c>
      <c r="K1577" s="8">
        <v>79</v>
      </c>
      <c r="L1577" s="8" t="s">
        <v>6608</v>
      </c>
      <c r="M1577" s="8" t="s">
        <v>6631</v>
      </c>
      <c r="N1577" t="s">
        <v>573</v>
      </c>
      <c r="O1577" t="s">
        <v>6547</v>
      </c>
      <c r="P1577">
        <v>217</v>
      </c>
      <c r="Q1577">
        <f>(P1577/20)+30</f>
        <v>40.85</v>
      </c>
      <c r="R1577">
        <f>Q1577/60</f>
        <v>0.6808333333333334</v>
      </c>
      <c r="S1577" s="2">
        <v>45741</v>
      </c>
      <c r="U1577">
        <v>60</v>
      </c>
      <c r="V1577" s="4">
        <v>13020</v>
      </c>
      <c r="W1577" t="s">
        <v>65</v>
      </c>
      <c r="X1577" t="s">
        <v>5277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G1577">
        <v>0</v>
      </c>
      <c r="AK1577" t="s">
        <v>69</v>
      </c>
      <c r="AL1577">
        <v>0</v>
      </c>
      <c r="AM1577" t="s">
        <v>69</v>
      </c>
      <c r="AP1577" t="s">
        <v>5278</v>
      </c>
      <c r="AQ1577" t="s">
        <v>2173</v>
      </c>
      <c r="AR1577" t="s">
        <v>6697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BC1577" t="s">
        <v>69</v>
      </c>
      <c r="BG1577" t="s">
        <v>2173</v>
      </c>
      <c r="BJ1577" t="s">
        <v>5279</v>
      </c>
    </row>
    <row r="1578" spans="1:62" x14ac:dyDescent="0.35">
      <c r="A1578" t="s">
        <v>5280</v>
      </c>
      <c r="B1578">
        <v>10000</v>
      </c>
      <c r="C1578">
        <v>10000</v>
      </c>
      <c r="D1578" s="2">
        <v>45741</v>
      </c>
      <c r="E1578" t="s">
        <v>61</v>
      </c>
      <c r="F1578" s="3">
        <v>0.47651620370370368</v>
      </c>
      <c r="G1578" t="s">
        <v>5084</v>
      </c>
      <c r="I1578">
        <v>1</v>
      </c>
      <c r="J1578" t="s">
        <v>63</v>
      </c>
      <c r="K1578" s="8">
        <v>78</v>
      </c>
      <c r="L1578" s="8" t="s">
        <v>6593</v>
      </c>
      <c r="M1578" s="8" t="s">
        <v>6629</v>
      </c>
      <c r="N1578" t="s">
        <v>188</v>
      </c>
      <c r="O1578" t="s">
        <v>6410</v>
      </c>
      <c r="P1578" s="4">
        <v>3667</v>
      </c>
      <c r="Q1578">
        <f t="shared" ref="Q1578:Q1579" si="410">(P1578/40)+45</f>
        <v>136.67500000000001</v>
      </c>
      <c r="R1578">
        <f t="shared" ref="R1578:R1579" si="411">Q1578/60</f>
        <v>2.277916666666667</v>
      </c>
      <c r="S1578" s="2">
        <v>45741</v>
      </c>
      <c r="U1578">
        <v>3</v>
      </c>
      <c r="V1578" s="4">
        <v>11001</v>
      </c>
      <c r="W1578" t="s">
        <v>65</v>
      </c>
      <c r="X1578" t="s">
        <v>5281</v>
      </c>
      <c r="Y1578">
        <v>0</v>
      </c>
      <c r="Z1578" s="4">
        <v>11000</v>
      </c>
      <c r="AA1578">
        <v>1</v>
      </c>
      <c r="AB1578">
        <v>0</v>
      </c>
      <c r="AC1578">
        <v>0</v>
      </c>
      <c r="AD1578">
        <v>0</v>
      </c>
      <c r="AG1578">
        <v>0</v>
      </c>
      <c r="AP1578" t="s">
        <v>5282</v>
      </c>
      <c r="AQ1578" t="s">
        <v>5087</v>
      </c>
      <c r="AR1578" t="s">
        <v>6740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BC1578" t="s">
        <v>69</v>
      </c>
      <c r="BD1578" t="s">
        <v>5283</v>
      </c>
      <c r="BE1578">
        <v>0</v>
      </c>
      <c r="BG1578" t="s">
        <v>5087</v>
      </c>
      <c r="BJ1578" t="s">
        <v>5284</v>
      </c>
    </row>
    <row r="1579" spans="1:62" x14ac:dyDescent="0.35">
      <c r="A1579" t="s">
        <v>5285</v>
      </c>
      <c r="B1579">
        <v>10000</v>
      </c>
      <c r="C1579">
        <v>20000</v>
      </c>
      <c r="D1579" s="2">
        <v>45741</v>
      </c>
      <c r="E1579" t="s">
        <v>61</v>
      </c>
      <c r="F1579" s="3">
        <v>0.44246527777777778</v>
      </c>
      <c r="G1579" t="s">
        <v>387</v>
      </c>
      <c r="I1579">
        <v>1</v>
      </c>
      <c r="J1579" t="s">
        <v>63</v>
      </c>
      <c r="K1579" s="8">
        <v>59</v>
      </c>
      <c r="L1579" s="8" t="s">
        <v>6592</v>
      </c>
      <c r="M1579" s="8" t="s">
        <v>6629</v>
      </c>
      <c r="N1579" t="s">
        <v>745</v>
      </c>
      <c r="O1579" t="s">
        <v>6501</v>
      </c>
      <c r="P1579" s="4">
        <v>2500</v>
      </c>
      <c r="Q1579">
        <f t="shared" si="410"/>
        <v>107.5</v>
      </c>
      <c r="R1579">
        <f t="shared" si="411"/>
        <v>1.7916666666666667</v>
      </c>
      <c r="S1579" s="2">
        <v>45741</v>
      </c>
      <c r="U1579">
        <v>2</v>
      </c>
      <c r="V1579" s="4">
        <v>5000</v>
      </c>
      <c r="W1579" t="s">
        <v>65</v>
      </c>
      <c r="X1579" t="s">
        <v>5286</v>
      </c>
      <c r="Y1579">
        <v>0</v>
      </c>
      <c r="Z1579" s="4">
        <v>5000</v>
      </c>
      <c r="AA1579">
        <v>0</v>
      </c>
      <c r="AB1579">
        <v>0</v>
      </c>
      <c r="AC1579">
        <v>0</v>
      </c>
      <c r="AD1579">
        <v>0</v>
      </c>
      <c r="AG1579">
        <v>0</v>
      </c>
      <c r="AP1579" t="s">
        <v>5287</v>
      </c>
      <c r="AQ1579" t="s">
        <v>206</v>
      </c>
      <c r="AR1579" t="s">
        <v>6645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BC1579" t="s">
        <v>69</v>
      </c>
      <c r="BD1579" t="s">
        <v>5288</v>
      </c>
      <c r="BE1579">
        <v>0</v>
      </c>
      <c r="BG1579" t="s">
        <v>206</v>
      </c>
      <c r="BJ1579" t="s">
        <v>5289</v>
      </c>
    </row>
    <row r="1580" spans="1:62" x14ac:dyDescent="0.35">
      <c r="A1580" t="s">
        <v>5290</v>
      </c>
      <c r="B1580">
        <v>10000</v>
      </c>
      <c r="C1580">
        <v>10000</v>
      </c>
      <c r="D1580" s="2">
        <v>45742</v>
      </c>
      <c r="E1580" t="s">
        <v>61</v>
      </c>
      <c r="F1580" t="s">
        <v>4464</v>
      </c>
      <c r="G1580" t="s">
        <v>1852</v>
      </c>
      <c r="I1580">
        <v>1</v>
      </c>
      <c r="J1580" t="s">
        <v>63</v>
      </c>
      <c r="K1580" s="8">
        <v>86</v>
      </c>
      <c r="L1580" s="8" t="s">
        <v>6584</v>
      </c>
      <c r="M1580" s="8" t="s">
        <v>6627</v>
      </c>
      <c r="N1580" t="s">
        <v>64</v>
      </c>
      <c r="O1580" t="s">
        <v>6559</v>
      </c>
      <c r="P1580" s="4">
        <v>10500</v>
      </c>
      <c r="Q1580">
        <f>(P1580/60)+45</f>
        <v>220</v>
      </c>
      <c r="R1580">
        <f>Q1580/60</f>
        <v>3.6666666666666665</v>
      </c>
      <c r="S1580" s="2">
        <v>45741</v>
      </c>
      <c r="U1580">
        <v>4</v>
      </c>
      <c r="V1580" s="4">
        <v>42000</v>
      </c>
      <c r="W1580" t="s">
        <v>65</v>
      </c>
      <c r="X1580" t="s">
        <v>5291</v>
      </c>
      <c r="Y1580">
        <v>0</v>
      </c>
      <c r="Z1580" s="4">
        <v>42000</v>
      </c>
      <c r="AA1580">
        <v>0</v>
      </c>
      <c r="AB1580">
        <v>0</v>
      </c>
      <c r="AC1580">
        <v>0</v>
      </c>
      <c r="AD1580">
        <v>0</v>
      </c>
      <c r="AG1580">
        <v>0</v>
      </c>
      <c r="AP1580" t="s">
        <v>5292</v>
      </c>
      <c r="AQ1580" t="s">
        <v>271</v>
      </c>
      <c r="AR1580" t="s">
        <v>6648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BC1580" t="s">
        <v>69</v>
      </c>
      <c r="BD1580" t="s">
        <v>5293</v>
      </c>
      <c r="BE1580">
        <v>0</v>
      </c>
      <c r="BG1580" t="s">
        <v>271</v>
      </c>
      <c r="BJ1580" t="s">
        <v>5294</v>
      </c>
    </row>
    <row r="1581" spans="1:62" x14ac:dyDescent="0.35">
      <c r="A1581" t="s">
        <v>5295</v>
      </c>
      <c r="B1581">
        <v>10000</v>
      </c>
      <c r="C1581">
        <v>10000</v>
      </c>
      <c r="D1581" s="2">
        <v>45743</v>
      </c>
      <c r="E1581" t="s">
        <v>61</v>
      </c>
      <c r="F1581" s="3">
        <v>0.46777777777777779</v>
      </c>
      <c r="G1581" t="s">
        <v>5296</v>
      </c>
      <c r="I1581">
        <v>1</v>
      </c>
      <c r="J1581" t="s">
        <v>63</v>
      </c>
      <c r="K1581" s="8">
        <v>78</v>
      </c>
      <c r="L1581" s="8" t="s">
        <v>6593</v>
      </c>
      <c r="M1581" s="8" t="s">
        <v>6629</v>
      </c>
      <c r="N1581" t="s">
        <v>188</v>
      </c>
      <c r="O1581" t="s">
        <v>6410</v>
      </c>
      <c r="P1581" s="4">
        <v>4000</v>
      </c>
      <c r="Q1581">
        <f>(P1581/40)+45</f>
        <v>145</v>
      </c>
      <c r="R1581">
        <f>Q1581/60</f>
        <v>2.4166666666666665</v>
      </c>
      <c r="S1581" s="2">
        <v>45741</v>
      </c>
      <c r="U1581">
        <v>8</v>
      </c>
      <c r="V1581" s="4">
        <v>32000</v>
      </c>
      <c r="W1581" t="s">
        <v>65</v>
      </c>
      <c r="X1581" t="s">
        <v>5297</v>
      </c>
      <c r="Y1581">
        <v>0</v>
      </c>
      <c r="Z1581" s="4">
        <v>5000</v>
      </c>
      <c r="AA1581" s="4">
        <v>27000</v>
      </c>
      <c r="AB1581">
        <v>0</v>
      </c>
      <c r="AC1581">
        <v>0</v>
      </c>
      <c r="AD1581">
        <v>0</v>
      </c>
      <c r="AG1581">
        <v>0</v>
      </c>
      <c r="AP1581" t="s">
        <v>5298</v>
      </c>
      <c r="AQ1581" t="s">
        <v>206</v>
      </c>
      <c r="AR1581" t="s">
        <v>6645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BC1581" t="s">
        <v>69</v>
      </c>
      <c r="BD1581" t="s">
        <v>5299</v>
      </c>
      <c r="BE1581">
        <v>0</v>
      </c>
      <c r="BG1581" t="s">
        <v>206</v>
      </c>
      <c r="BJ1581" t="s">
        <v>5300</v>
      </c>
    </row>
    <row r="1582" spans="1:62" x14ac:dyDescent="0.35">
      <c r="A1582" t="s">
        <v>5301</v>
      </c>
      <c r="B1582">
        <v>10000</v>
      </c>
      <c r="C1582">
        <v>10000</v>
      </c>
      <c r="D1582" s="2">
        <v>45741</v>
      </c>
      <c r="E1582" t="s">
        <v>61</v>
      </c>
      <c r="F1582" t="s">
        <v>5302</v>
      </c>
      <c r="G1582" t="s">
        <v>4340</v>
      </c>
      <c r="I1582">
        <v>1</v>
      </c>
      <c r="J1582" t="s">
        <v>63</v>
      </c>
      <c r="K1582" s="8">
        <v>72</v>
      </c>
      <c r="L1582" s="8" t="s">
        <v>6606</v>
      </c>
      <c r="M1582" s="8" t="s">
        <v>6631</v>
      </c>
      <c r="N1582" t="s">
        <v>163</v>
      </c>
      <c r="O1582" t="s">
        <v>6548</v>
      </c>
      <c r="P1582" s="4">
        <v>9400</v>
      </c>
      <c r="S1582" s="2">
        <v>45741</v>
      </c>
      <c r="U1582">
        <v>5</v>
      </c>
      <c r="V1582" s="4">
        <v>47000</v>
      </c>
      <c r="W1582" t="s">
        <v>65</v>
      </c>
      <c r="X1582">
        <v>83624430001</v>
      </c>
      <c r="Y1582">
        <v>0</v>
      </c>
      <c r="Z1582" s="4">
        <v>40000</v>
      </c>
      <c r="AA1582" s="4">
        <v>7000</v>
      </c>
      <c r="AB1582">
        <v>0</v>
      </c>
      <c r="AC1582">
        <v>0</v>
      </c>
      <c r="AD1582">
        <v>0</v>
      </c>
      <c r="AG1582">
        <v>0</v>
      </c>
      <c r="AP1582">
        <v>8362443</v>
      </c>
      <c r="AQ1582" t="s">
        <v>91</v>
      </c>
      <c r="AR1582" t="s">
        <v>6637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BC1582" t="s">
        <v>69</v>
      </c>
      <c r="BD1582" t="s">
        <v>5303</v>
      </c>
      <c r="BE1582">
        <v>0</v>
      </c>
      <c r="BG1582" t="s">
        <v>91</v>
      </c>
      <c r="BJ1582" t="s">
        <v>893</v>
      </c>
    </row>
    <row r="1583" spans="1:62" x14ac:dyDescent="0.35">
      <c r="A1583" t="s">
        <v>5301</v>
      </c>
      <c r="B1583">
        <v>10000</v>
      </c>
      <c r="C1583">
        <v>20000</v>
      </c>
      <c r="D1583" s="2">
        <v>45741</v>
      </c>
      <c r="E1583" t="s">
        <v>61</v>
      </c>
      <c r="F1583" t="s">
        <v>5304</v>
      </c>
      <c r="G1583" t="s">
        <v>4340</v>
      </c>
      <c r="I1583">
        <v>2</v>
      </c>
      <c r="J1583" t="s">
        <v>63</v>
      </c>
      <c r="K1583" s="8">
        <v>71</v>
      </c>
      <c r="L1583" s="8" t="s">
        <v>6588</v>
      </c>
      <c r="M1583" s="8" t="s">
        <v>6630</v>
      </c>
      <c r="N1583" t="s">
        <v>135</v>
      </c>
      <c r="O1583" t="s">
        <v>6573</v>
      </c>
      <c r="P1583" s="4">
        <v>4445</v>
      </c>
      <c r="S1583" s="2">
        <v>45741</v>
      </c>
      <c r="U1583">
        <v>9</v>
      </c>
      <c r="V1583" s="4">
        <v>40005</v>
      </c>
      <c r="W1583" t="s">
        <v>65</v>
      </c>
      <c r="X1583">
        <v>83624430001</v>
      </c>
      <c r="Y1583">
        <v>0</v>
      </c>
      <c r="Z1583" s="4">
        <v>40000</v>
      </c>
      <c r="AA1583">
        <v>5</v>
      </c>
      <c r="AB1583">
        <v>0</v>
      </c>
      <c r="AC1583">
        <v>0</v>
      </c>
      <c r="AD1583">
        <v>0</v>
      </c>
      <c r="AG1583">
        <v>0</v>
      </c>
      <c r="AP1583">
        <v>8362443</v>
      </c>
      <c r="AQ1583" t="s">
        <v>91</v>
      </c>
      <c r="AR1583" t="s">
        <v>6637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BC1583" t="s">
        <v>69</v>
      </c>
      <c r="BD1583" t="s">
        <v>5303</v>
      </c>
      <c r="BE1583">
        <v>0</v>
      </c>
      <c r="BG1583" t="s">
        <v>91</v>
      </c>
      <c r="BJ1583" t="s">
        <v>893</v>
      </c>
    </row>
    <row r="1584" spans="1:62" x14ac:dyDescent="0.35">
      <c r="A1584" t="s">
        <v>4968</v>
      </c>
      <c r="B1584">
        <v>10000</v>
      </c>
      <c r="C1584">
        <v>20000</v>
      </c>
      <c r="D1584" s="2">
        <v>45741</v>
      </c>
      <c r="E1584" t="s">
        <v>61</v>
      </c>
      <c r="F1584" t="s">
        <v>4969</v>
      </c>
      <c r="G1584" t="s">
        <v>4340</v>
      </c>
      <c r="I1584">
        <v>2</v>
      </c>
      <c r="J1584" t="s">
        <v>63</v>
      </c>
      <c r="K1584" s="8">
        <v>71</v>
      </c>
      <c r="L1584" s="8" t="s">
        <v>6588</v>
      </c>
      <c r="M1584" s="8" t="s">
        <v>6630</v>
      </c>
      <c r="N1584" t="s">
        <v>135</v>
      </c>
      <c r="O1584" t="s">
        <v>6573</v>
      </c>
      <c r="P1584" s="4">
        <v>1112</v>
      </c>
      <c r="S1584" s="2">
        <v>45741</v>
      </c>
      <c r="U1584">
        <v>9</v>
      </c>
      <c r="V1584" s="4">
        <v>10008</v>
      </c>
      <c r="W1584" t="s">
        <v>65</v>
      </c>
      <c r="X1584">
        <v>83634500001</v>
      </c>
      <c r="Y1584">
        <v>0</v>
      </c>
      <c r="Z1584" s="4">
        <v>10000</v>
      </c>
      <c r="AA1584">
        <v>8</v>
      </c>
      <c r="AB1584">
        <v>0</v>
      </c>
      <c r="AC1584">
        <v>0</v>
      </c>
      <c r="AD1584">
        <v>0</v>
      </c>
      <c r="AG1584">
        <v>0</v>
      </c>
      <c r="AP1584">
        <v>8363450</v>
      </c>
      <c r="AQ1584" t="s">
        <v>91</v>
      </c>
      <c r="AR1584" t="s">
        <v>6637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BC1584" t="s">
        <v>69</v>
      </c>
      <c r="BD1584" t="s">
        <v>4970</v>
      </c>
      <c r="BE1584">
        <v>0</v>
      </c>
      <c r="BG1584" t="s">
        <v>91</v>
      </c>
      <c r="BJ1584" t="s">
        <v>893</v>
      </c>
    </row>
    <row r="1585" spans="1:62" x14ac:dyDescent="0.35">
      <c r="A1585" t="s">
        <v>4971</v>
      </c>
      <c r="B1585">
        <v>10000</v>
      </c>
      <c r="C1585">
        <v>20000</v>
      </c>
      <c r="D1585" s="2">
        <v>45741</v>
      </c>
      <c r="E1585" t="s">
        <v>61</v>
      </c>
      <c r="F1585" t="s">
        <v>4972</v>
      </c>
      <c r="G1585" t="s">
        <v>4340</v>
      </c>
      <c r="I1585">
        <v>2</v>
      </c>
      <c r="J1585" t="s">
        <v>63</v>
      </c>
      <c r="K1585" s="8">
        <v>71</v>
      </c>
      <c r="L1585" s="8" t="s">
        <v>6588</v>
      </c>
      <c r="M1585" s="8" t="s">
        <v>6630</v>
      </c>
      <c r="N1585" t="s">
        <v>135</v>
      </c>
      <c r="O1585" t="s">
        <v>6573</v>
      </c>
      <c r="P1585" s="4">
        <v>1112</v>
      </c>
      <c r="S1585" s="2">
        <v>45741</v>
      </c>
      <c r="U1585">
        <v>9</v>
      </c>
      <c r="V1585" s="4">
        <v>10008</v>
      </c>
      <c r="W1585" t="s">
        <v>65</v>
      </c>
      <c r="X1585">
        <v>83635750001</v>
      </c>
      <c r="Y1585">
        <v>0</v>
      </c>
      <c r="Z1585" s="4">
        <v>10000</v>
      </c>
      <c r="AA1585">
        <v>8</v>
      </c>
      <c r="AB1585">
        <v>0</v>
      </c>
      <c r="AC1585">
        <v>0</v>
      </c>
      <c r="AD1585">
        <v>0</v>
      </c>
      <c r="AG1585">
        <v>0</v>
      </c>
      <c r="AP1585">
        <v>8363575</v>
      </c>
      <c r="AQ1585" t="s">
        <v>91</v>
      </c>
      <c r="AR1585" t="s">
        <v>6637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BC1585" t="s">
        <v>69</v>
      </c>
      <c r="BD1585" t="s">
        <v>4973</v>
      </c>
      <c r="BE1585">
        <v>0</v>
      </c>
      <c r="BG1585" t="s">
        <v>91</v>
      </c>
      <c r="BJ1585" t="s">
        <v>893</v>
      </c>
    </row>
    <row r="1586" spans="1:62" x14ac:dyDescent="0.35">
      <c r="A1586" t="s">
        <v>4974</v>
      </c>
      <c r="B1586">
        <v>10000</v>
      </c>
      <c r="C1586">
        <v>20000</v>
      </c>
      <c r="D1586" s="2">
        <v>45741</v>
      </c>
      <c r="E1586" t="s">
        <v>61</v>
      </c>
      <c r="F1586" t="s">
        <v>4975</v>
      </c>
      <c r="G1586" t="s">
        <v>4340</v>
      </c>
      <c r="I1586">
        <v>2</v>
      </c>
      <c r="J1586" t="s">
        <v>63</v>
      </c>
      <c r="K1586" s="8">
        <v>71</v>
      </c>
      <c r="L1586" s="8" t="s">
        <v>6588</v>
      </c>
      <c r="M1586" s="8" t="s">
        <v>6630</v>
      </c>
      <c r="N1586" t="s">
        <v>135</v>
      </c>
      <c r="O1586" t="s">
        <v>6573</v>
      </c>
      <c r="P1586" s="4">
        <v>1112</v>
      </c>
      <c r="S1586" s="2">
        <v>45741</v>
      </c>
      <c r="U1586">
        <v>9</v>
      </c>
      <c r="V1586" s="4">
        <v>10008</v>
      </c>
      <c r="W1586" t="s">
        <v>65</v>
      </c>
      <c r="X1586">
        <v>83635760001</v>
      </c>
      <c r="Y1586">
        <v>0</v>
      </c>
      <c r="Z1586" s="4">
        <v>10000</v>
      </c>
      <c r="AA1586">
        <v>8</v>
      </c>
      <c r="AB1586">
        <v>0</v>
      </c>
      <c r="AC1586">
        <v>0</v>
      </c>
      <c r="AD1586">
        <v>0</v>
      </c>
      <c r="AG1586">
        <v>0</v>
      </c>
      <c r="AP1586">
        <v>8363576</v>
      </c>
      <c r="AQ1586" t="s">
        <v>91</v>
      </c>
      <c r="AR1586" t="s">
        <v>6637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BC1586" t="s">
        <v>69</v>
      </c>
      <c r="BD1586" t="s">
        <v>4976</v>
      </c>
      <c r="BE1586">
        <v>0</v>
      </c>
      <c r="BG1586" t="s">
        <v>91</v>
      </c>
      <c r="BJ1586" t="s">
        <v>893</v>
      </c>
    </row>
    <row r="1587" spans="1:62" x14ac:dyDescent="0.35">
      <c r="A1587" t="s">
        <v>5305</v>
      </c>
      <c r="B1587">
        <v>10000</v>
      </c>
      <c r="C1587">
        <v>10000</v>
      </c>
      <c r="D1587" s="2">
        <v>45742</v>
      </c>
      <c r="E1587" t="s">
        <v>95</v>
      </c>
      <c r="F1587" t="s">
        <v>5306</v>
      </c>
      <c r="G1587" t="s">
        <v>387</v>
      </c>
      <c r="I1587">
        <v>1</v>
      </c>
      <c r="J1587" t="s">
        <v>63</v>
      </c>
      <c r="K1587" s="8">
        <v>61</v>
      </c>
      <c r="L1587" s="8" t="s">
        <v>6594</v>
      </c>
      <c r="M1587" s="8" t="s">
        <v>6629</v>
      </c>
      <c r="N1587" t="s">
        <v>216</v>
      </c>
      <c r="O1587" t="s">
        <v>6394</v>
      </c>
      <c r="P1587" s="4">
        <v>5000</v>
      </c>
      <c r="Q1587">
        <f>(P1587/50)+45</f>
        <v>145</v>
      </c>
      <c r="R1587">
        <f>Q1587/60</f>
        <v>2.4166666666666665</v>
      </c>
      <c r="S1587" s="2">
        <v>45741</v>
      </c>
      <c r="U1587">
        <v>1</v>
      </c>
      <c r="V1587" s="4">
        <v>5000</v>
      </c>
      <c r="W1587" t="s">
        <v>65</v>
      </c>
      <c r="X1587" t="s">
        <v>5307</v>
      </c>
      <c r="Y1587">
        <v>0</v>
      </c>
      <c r="Z1587" s="4">
        <v>5000</v>
      </c>
      <c r="AA1587">
        <v>0</v>
      </c>
      <c r="AB1587">
        <v>0</v>
      </c>
      <c r="AC1587">
        <v>0</v>
      </c>
      <c r="AD1587">
        <v>0</v>
      </c>
      <c r="AG1587">
        <v>0</v>
      </c>
      <c r="AP1587" t="s">
        <v>5308</v>
      </c>
      <c r="AQ1587" t="s">
        <v>206</v>
      </c>
      <c r="AR1587" t="s">
        <v>6645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BC1587" t="s">
        <v>69</v>
      </c>
      <c r="BD1587" t="s">
        <v>5309</v>
      </c>
      <c r="BE1587">
        <v>0</v>
      </c>
      <c r="BG1587" t="s">
        <v>206</v>
      </c>
      <c r="BJ1587" t="s">
        <v>5310</v>
      </c>
    </row>
    <row r="1588" spans="1:62" x14ac:dyDescent="0.35">
      <c r="A1588" t="s">
        <v>5311</v>
      </c>
      <c r="B1588">
        <v>10000</v>
      </c>
      <c r="C1588">
        <v>20000</v>
      </c>
      <c r="D1588" s="2">
        <v>45742</v>
      </c>
      <c r="E1588" t="s">
        <v>61</v>
      </c>
      <c r="F1588" s="3">
        <v>0.54011574074074076</v>
      </c>
      <c r="G1588" t="s">
        <v>5112</v>
      </c>
      <c r="I1588">
        <v>1</v>
      </c>
      <c r="J1588" t="s">
        <v>63</v>
      </c>
      <c r="K1588" s="8">
        <v>94</v>
      </c>
      <c r="L1588" s="8" t="s">
        <v>6599</v>
      </c>
      <c r="M1588" s="8" t="s">
        <v>6629</v>
      </c>
      <c r="N1588" t="s">
        <v>181</v>
      </c>
      <c r="O1588" t="s">
        <v>6544</v>
      </c>
      <c r="P1588" s="4">
        <v>9000</v>
      </c>
      <c r="S1588" s="2">
        <v>45741</v>
      </c>
      <c r="U1588">
        <v>4</v>
      </c>
      <c r="V1588" s="4">
        <v>36000</v>
      </c>
      <c r="W1588" t="s">
        <v>65</v>
      </c>
      <c r="X1588" t="s">
        <v>2537</v>
      </c>
      <c r="Y1588">
        <v>0</v>
      </c>
      <c r="Z1588" s="4">
        <v>36000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 t="s">
        <v>2538</v>
      </c>
      <c r="AQ1588" t="s">
        <v>364</v>
      </c>
      <c r="AR1588" t="s">
        <v>6653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BC1588" t="s">
        <v>69</v>
      </c>
      <c r="BD1588" t="s">
        <v>5312</v>
      </c>
      <c r="BE1588">
        <v>0</v>
      </c>
      <c r="BG1588" t="s">
        <v>364</v>
      </c>
      <c r="BJ1588" t="s">
        <v>5313</v>
      </c>
    </row>
    <row r="1589" spans="1:62" x14ac:dyDescent="0.35">
      <c r="A1589" t="s">
        <v>5314</v>
      </c>
      <c r="B1589">
        <v>10000</v>
      </c>
      <c r="C1589">
        <v>10000</v>
      </c>
      <c r="D1589" s="2">
        <v>45743</v>
      </c>
      <c r="E1589" t="s">
        <v>61</v>
      </c>
      <c r="F1589" t="s">
        <v>5315</v>
      </c>
      <c r="G1589" t="s">
        <v>5316</v>
      </c>
      <c r="I1589">
        <v>1</v>
      </c>
      <c r="J1589" t="s">
        <v>63</v>
      </c>
      <c r="K1589" s="8">
        <v>29</v>
      </c>
      <c r="L1589" s="8" t="s">
        <v>6595</v>
      </c>
      <c r="M1589" s="8" t="s">
        <v>6629</v>
      </c>
      <c r="N1589" t="s">
        <v>249</v>
      </c>
      <c r="O1589" t="s">
        <v>6500</v>
      </c>
      <c r="P1589" s="4">
        <v>24000</v>
      </c>
      <c r="Q1589">
        <f t="shared" ref="Q1589:Q1591" si="412">(P1589/40)+45</f>
        <v>645</v>
      </c>
      <c r="R1589">
        <f t="shared" ref="R1589:R1591" si="413">Q1589/60</f>
        <v>10.75</v>
      </c>
      <c r="S1589" s="2">
        <v>45741</v>
      </c>
      <c r="U1589">
        <v>2</v>
      </c>
      <c r="V1589" s="4">
        <v>48000</v>
      </c>
      <c r="W1589" t="s">
        <v>65</v>
      </c>
      <c r="X1589" t="s">
        <v>250</v>
      </c>
      <c r="Y1589">
        <v>0</v>
      </c>
      <c r="Z1589" s="4">
        <v>48000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 t="s">
        <v>251</v>
      </c>
      <c r="AQ1589" t="s">
        <v>175</v>
      </c>
      <c r="AR1589" t="s">
        <v>6642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BC1589" t="s">
        <v>69</v>
      </c>
      <c r="BD1589" t="s">
        <v>5317</v>
      </c>
      <c r="BE1589">
        <v>0</v>
      </c>
      <c r="BG1589" t="s">
        <v>175</v>
      </c>
      <c r="BJ1589" t="s">
        <v>5318</v>
      </c>
    </row>
    <row r="1590" spans="1:62" x14ac:dyDescent="0.35">
      <c r="A1590" t="s">
        <v>5319</v>
      </c>
      <c r="B1590">
        <v>10000</v>
      </c>
      <c r="C1590">
        <v>20000</v>
      </c>
      <c r="D1590" s="2">
        <v>45742</v>
      </c>
      <c r="E1590" t="s">
        <v>61</v>
      </c>
      <c r="F1590" t="s">
        <v>5130</v>
      </c>
      <c r="G1590" t="s">
        <v>3767</v>
      </c>
      <c r="I1590">
        <v>1</v>
      </c>
      <c r="J1590" t="s">
        <v>63</v>
      </c>
      <c r="K1590" s="8">
        <v>46</v>
      </c>
      <c r="L1590" s="8" t="s">
        <v>6587</v>
      </c>
      <c r="M1590" s="8" t="s">
        <v>6629</v>
      </c>
      <c r="N1590" t="s">
        <v>113</v>
      </c>
      <c r="O1590" t="s">
        <v>6499</v>
      </c>
      <c r="P1590" s="4">
        <v>3000</v>
      </c>
      <c r="Q1590">
        <f t="shared" si="412"/>
        <v>120</v>
      </c>
      <c r="R1590">
        <f t="shared" si="413"/>
        <v>2</v>
      </c>
      <c r="S1590" s="2">
        <v>45741</v>
      </c>
      <c r="U1590">
        <v>1</v>
      </c>
      <c r="V1590" s="4">
        <v>3000</v>
      </c>
      <c r="W1590" t="s">
        <v>65</v>
      </c>
      <c r="X1590" t="s">
        <v>5320</v>
      </c>
      <c r="Y1590">
        <v>0</v>
      </c>
      <c r="Z1590" s="4">
        <v>3000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 t="s">
        <v>5321</v>
      </c>
      <c r="AQ1590" t="s">
        <v>116</v>
      </c>
      <c r="AR1590" t="s">
        <v>6639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BC1590" t="s">
        <v>69</v>
      </c>
      <c r="BD1590" t="s">
        <v>5322</v>
      </c>
      <c r="BE1590">
        <v>0</v>
      </c>
      <c r="BG1590" t="s">
        <v>116</v>
      </c>
      <c r="BJ1590" t="s">
        <v>4586</v>
      </c>
    </row>
    <row r="1591" spans="1:62" x14ac:dyDescent="0.35">
      <c r="A1591" t="s">
        <v>5323</v>
      </c>
      <c r="B1591">
        <v>10000</v>
      </c>
      <c r="C1591">
        <v>10000</v>
      </c>
      <c r="D1591" s="2">
        <v>45741</v>
      </c>
      <c r="E1591" t="s">
        <v>61</v>
      </c>
      <c r="F1591" t="s">
        <v>5004</v>
      </c>
      <c r="G1591" t="s">
        <v>3767</v>
      </c>
      <c r="I1591">
        <v>1</v>
      </c>
      <c r="J1591" t="s">
        <v>63</v>
      </c>
      <c r="K1591" s="8">
        <v>46</v>
      </c>
      <c r="L1591" s="8" t="s">
        <v>6587</v>
      </c>
      <c r="M1591" s="8" t="s">
        <v>6629</v>
      </c>
      <c r="N1591" t="s">
        <v>113</v>
      </c>
      <c r="O1591" t="s">
        <v>6499</v>
      </c>
      <c r="P1591" s="4">
        <v>1000</v>
      </c>
      <c r="Q1591">
        <f t="shared" si="412"/>
        <v>70</v>
      </c>
      <c r="R1591">
        <f t="shared" si="413"/>
        <v>1.1666666666666667</v>
      </c>
      <c r="S1591" s="2">
        <v>45741</v>
      </c>
      <c r="U1591">
        <v>1</v>
      </c>
      <c r="V1591" s="4">
        <v>1000</v>
      </c>
      <c r="W1591" t="s">
        <v>65</v>
      </c>
      <c r="X1591" t="s">
        <v>5324</v>
      </c>
      <c r="Y1591">
        <v>0</v>
      </c>
      <c r="Z1591" s="4">
        <v>1000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 t="s">
        <v>5325</v>
      </c>
      <c r="AQ1591" t="s">
        <v>116</v>
      </c>
      <c r="AR1591" t="s">
        <v>6639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BC1591" t="s">
        <v>69</v>
      </c>
      <c r="BD1591" t="s">
        <v>5326</v>
      </c>
      <c r="BE1591">
        <v>0</v>
      </c>
      <c r="BG1591" t="s">
        <v>116</v>
      </c>
      <c r="BJ1591" t="s">
        <v>3506</v>
      </c>
    </row>
    <row r="1592" spans="1:62" x14ac:dyDescent="0.35">
      <c r="A1592" t="s">
        <v>5327</v>
      </c>
      <c r="B1592">
        <v>10000</v>
      </c>
      <c r="C1592">
        <v>10000</v>
      </c>
      <c r="D1592" s="2">
        <v>45744</v>
      </c>
      <c r="E1592" t="s">
        <v>95</v>
      </c>
      <c r="F1592" t="s">
        <v>5328</v>
      </c>
      <c r="G1592" t="s">
        <v>5329</v>
      </c>
      <c r="I1592">
        <v>1</v>
      </c>
      <c r="J1592" t="s">
        <v>63</v>
      </c>
      <c r="K1592" s="8">
        <v>12</v>
      </c>
      <c r="L1592" s="8" t="s">
        <v>6604</v>
      </c>
      <c r="M1592" s="8" t="s">
        <v>6629</v>
      </c>
      <c r="N1592" t="s">
        <v>478</v>
      </c>
      <c r="O1592" t="s">
        <v>6434</v>
      </c>
      <c r="P1592" s="4">
        <v>45000</v>
      </c>
      <c r="Q1592">
        <f t="shared" ref="Q1592:Q1595" si="414">(P1592/50)+45</f>
        <v>945</v>
      </c>
      <c r="R1592">
        <f t="shared" ref="R1592:R1600" si="415">Q1592/60</f>
        <v>15.75</v>
      </c>
      <c r="S1592" s="2">
        <v>45741</v>
      </c>
      <c r="U1592">
        <v>1</v>
      </c>
      <c r="V1592" s="4">
        <v>45000</v>
      </c>
      <c r="W1592" t="s">
        <v>65</v>
      </c>
      <c r="X1592" t="s">
        <v>2608</v>
      </c>
      <c r="Y1592">
        <v>0</v>
      </c>
      <c r="Z1592" s="4">
        <v>45000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 t="s">
        <v>2609</v>
      </c>
      <c r="AQ1592" t="s">
        <v>116</v>
      </c>
      <c r="AR1592" t="s">
        <v>6639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BC1592" t="s">
        <v>69</v>
      </c>
      <c r="BD1592" t="s">
        <v>5330</v>
      </c>
      <c r="BE1592">
        <v>0</v>
      </c>
      <c r="BG1592" t="s">
        <v>116</v>
      </c>
      <c r="BJ1592" t="s">
        <v>3816</v>
      </c>
    </row>
    <row r="1593" spans="1:62" x14ac:dyDescent="0.35">
      <c r="A1593" t="s">
        <v>5331</v>
      </c>
      <c r="B1593">
        <v>10000</v>
      </c>
      <c r="C1593">
        <v>10000</v>
      </c>
      <c r="D1593" s="2">
        <v>45742</v>
      </c>
      <c r="E1593" t="s">
        <v>61</v>
      </c>
      <c r="F1593" s="3">
        <v>0.46068287037037037</v>
      </c>
      <c r="G1593" t="s">
        <v>5332</v>
      </c>
      <c r="I1593">
        <v>1</v>
      </c>
      <c r="J1593" t="s">
        <v>63</v>
      </c>
      <c r="K1593" s="8">
        <v>22</v>
      </c>
      <c r="L1593" s="8" t="s">
        <v>6603</v>
      </c>
      <c r="M1593" s="8" t="s">
        <v>6629</v>
      </c>
      <c r="N1593" t="s">
        <v>466</v>
      </c>
      <c r="O1593" t="s">
        <v>6474</v>
      </c>
      <c r="P1593" s="4">
        <v>15000</v>
      </c>
      <c r="Q1593">
        <f t="shared" si="414"/>
        <v>345</v>
      </c>
      <c r="R1593">
        <f t="shared" si="415"/>
        <v>5.75</v>
      </c>
      <c r="S1593" s="2">
        <v>45741</v>
      </c>
      <c r="U1593">
        <v>1</v>
      </c>
      <c r="V1593" s="4">
        <v>15000</v>
      </c>
      <c r="W1593" t="s">
        <v>65</v>
      </c>
      <c r="X1593" t="s">
        <v>841</v>
      </c>
      <c r="Y1593">
        <v>0</v>
      </c>
      <c r="Z1593" s="4">
        <v>15000</v>
      </c>
      <c r="AA1593">
        <v>0</v>
      </c>
      <c r="AB1593">
        <v>0</v>
      </c>
      <c r="AC1593">
        <v>0</v>
      </c>
      <c r="AD1593">
        <v>0</v>
      </c>
      <c r="AG1593">
        <v>0</v>
      </c>
      <c r="AP1593" t="s">
        <v>842</v>
      </c>
      <c r="AQ1593" t="s">
        <v>116</v>
      </c>
      <c r="AR1593" t="s">
        <v>6639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BC1593" t="s">
        <v>69</v>
      </c>
      <c r="BD1593" t="s">
        <v>5333</v>
      </c>
      <c r="BE1593">
        <v>0</v>
      </c>
      <c r="BG1593" t="s">
        <v>116</v>
      </c>
      <c r="BJ1593" t="s">
        <v>3816</v>
      </c>
    </row>
    <row r="1594" spans="1:62" x14ac:dyDescent="0.35">
      <c r="A1594" t="s">
        <v>5334</v>
      </c>
      <c r="B1594">
        <v>10000</v>
      </c>
      <c r="C1594">
        <v>10000</v>
      </c>
      <c r="D1594" s="2">
        <v>45742</v>
      </c>
      <c r="E1594" t="s">
        <v>95</v>
      </c>
      <c r="F1594" t="s">
        <v>5306</v>
      </c>
      <c r="G1594" t="s">
        <v>5140</v>
      </c>
      <c r="I1594">
        <v>1</v>
      </c>
      <c r="J1594" t="s">
        <v>63</v>
      </c>
      <c r="K1594" s="8">
        <v>61</v>
      </c>
      <c r="L1594" s="8" t="s">
        <v>6594</v>
      </c>
      <c r="M1594" s="8" t="s">
        <v>6629</v>
      </c>
      <c r="N1594" t="s">
        <v>197</v>
      </c>
      <c r="O1594" t="s">
        <v>6565</v>
      </c>
      <c r="P1594" s="4">
        <v>2000</v>
      </c>
      <c r="Q1594">
        <f t="shared" si="414"/>
        <v>85</v>
      </c>
      <c r="R1594">
        <f t="shared" si="415"/>
        <v>1.4166666666666667</v>
      </c>
      <c r="S1594" s="2">
        <v>45741</v>
      </c>
      <c r="U1594">
        <v>4</v>
      </c>
      <c r="V1594" s="4">
        <v>8000</v>
      </c>
      <c r="W1594" t="s">
        <v>65</v>
      </c>
      <c r="X1594" t="s">
        <v>1711</v>
      </c>
      <c r="Y1594">
        <v>0</v>
      </c>
      <c r="Z1594" s="4">
        <v>8000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 t="s">
        <v>1712</v>
      </c>
      <c r="AQ1594" t="s">
        <v>116</v>
      </c>
      <c r="AR1594" t="s">
        <v>6639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BC1594" t="s">
        <v>69</v>
      </c>
      <c r="BD1594" t="s">
        <v>5335</v>
      </c>
      <c r="BE1594">
        <v>0</v>
      </c>
      <c r="BG1594" t="s">
        <v>116</v>
      </c>
      <c r="BJ1594" t="s">
        <v>3323</v>
      </c>
    </row>
    <row r="1595" spans="1:62" x14ac:dyDescent="0.35">
      <c r="A1595" t="s">
        <v>5336</v>
      </c>
      <c r="B1595">
        <v>10000</v>
      </c>
      <c r="C1595">
        <v>10000</v>
      </c>
      <c r="D1595" s="2">
        <v>45744</v>
      </c>
      <c r="E1595" t="s">
        <v>95</v>
      </c>
      <c r="F1595" t="s">
        <v>2194</v>
      </c>
      <c r="G1595" t="s">
        <v>5337</v>
      </c>
      <c r="I1595">
        <v>1</v>
      </c>
      <c r="J1595" t="s">
        <v>63</v>
      </c>
      <c r="K1595" s="8">
        <v>61</v>
      </c>
      <c r="L1595" s="8" t="s">
        <v>6594</v>
      </c>
      <c r="M1595" s="8" t="s">
        <v>6629</v>
      </c>
      <c r="N1595" t="s">
        <v>216</v>
      </c>
      <c r="O1595" t="s">
        <v>6394</v>
      </c>
      <c r="P1595" s="4">
        <v>15000</v>
      </c>
      <c r="Q1595">
        <f t="shared" si="414"/>
        <v>345</v>
      </c>
      <c r="R1595">
        <f t="shared" si="415"/>
        <v>5.75</v>
      </c>
      <c r="S1595" s="2">
        <v>45741</v>
      </c>
      <c r="U1595">
        <v>1</v>
      </c>
      <c r="V1595" s="4">
        <v>15000</v>
      </c>
      <c r="W1595" t="s">
        <v>65</v>
      </c>
      <c r="X1595" t="s">
        <v>5338</v>
      </c>
      <c r="Y1595">
        <v>0</v>
      </c>
      <c r="Z1595" s="4">
        <v>10000</v>
      </c>
      <c r="AA1595" s="4">
        <v>5000</v>
      </c>
      <c r="AB1595">
        <v>0</v>
      </c>
      <c r="AC1595">
        <v>0</v>
      </c>
      <c r="AD1595">
        <v>0</v>
      </c>
      <c r="AG1595">
        <v>0</v>
      </c>
      <c r="AP1595" t="s">
        <v>5339</v>
      </c>
      <c r="AQ1595" t="s">
        <v>4812</v>
      </c>
      <c r="AR1595" t="s">
        <v>6735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BC1595" t="s">
        <v>69</v>
      </c>
      <c r="BD1595" t="s">
        <v>5340</v>
      </c>
      <c r="BE1595">
        <v>0</v>
      </c>
      <c r="BG1595" t="s">
        <v>4812</v>
      </c>
      <c r="BJ1595" t="s">
        <v>5341</v>
      </c>
    </row>
    <row r="1596" spans="1:62" x14ac:dyDescent="0.35">
      <c r="A1596" t="s">
        <v>5342</v>
      </c>
      <c r="B1596">
        <v>10000</v>
      </c>
      <c r="C1596">
        <v>10000</v>
      </c>
      <c r="D1596" s="2">
        <v>45741</v>
      </c>
      <c r="E1596" t="s">
        <v>61</v>
      </c>
      <c r="F1596" t="s">
        <v>5343</v>
      </c>
      <c r="G1596" t="s">
        <v>418</v>
      </c>
      <c r="I1596">
        <v>1</v>
      </c>
      <c r="J1596" t="s">
        <v>63</v>
      </c>
      <c r="K1596" s="8">
        <v>59</v>
      </c>
      <c r="L1596" s="8" t="s">
        <v>6592</v>
      </c>
      <c r="M1596" s="8" t="s">
        <v>6629</v>
      </c>
      <c r="N1596" t="s">
        <v>745</v>
      </c>
      <c r="O1596" t="s">
        <v>6501</v>
      </c>
      <c r="P1596">
        <v>860</v>
      </c>
      <c r="Q1596">
        <f t="shared" ref="Q1596:Q1600" si="416">(P1596/40)+45</f>
        <v>66.5</v>
      </c>
      <c r="R1596">
        <f t="shared" si="415"/>
        <v>1.1083333333333334</v>
      </c>
      <c r="S1596" s="2">
        <v>45741</v>
      </c>
      <c r="U1596">
        <v>1</v>
      </c>
      <c r="V1596">
        <v>860</v>
      </c>
      <c r="W1596" t="s">
        <v>65</v>
      </c>
      <c r="X1596">
        <v>150034910001</v>
      </c>
      <c r="Y1596">
        <v>0</v>
      </c>
      <c r="Z1596">
        <v>860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>
        <v>15003491</v>
      </c>
      <c r="AQ1596" t="s">
        <v>182</v>
      </c>
      <c r="AR1596" t="s">
        <v>6643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BC1596" t="s">
        <v>69</v>
      </c>
      <c r="BD1596" t="s">
        <v>5344</v>
      </c>
      <c r="BE1596">
        <v>0</v>
      </c>
      <c r="BG1596" t="s">
        <v>182</v>
      </c>
      <c r="BJ1596" t="s">
        <v>5345</v>
      </c>
    </row>
    <row r="1597" spans="1:62" x14ac:dyDescent="0.35">
      <c r="A1597" t="s">
        <v>5342</v>
      </c>
      <c r="B1597">
        <v>20000</v>
      </c>
      <c r="C1597">
        <v>10000</v>
      </c>
      <c r="D1597" s="2">
        <v>45741</v>
      </c>
      <c r="E1597" t="s">
        <v>61</v>
      </c>
      <c r="F1597" t="s">
        <v>5343</v>
      </c>
      <c r="G1597" t="s">
        <v>418</v>
      </c>
      <c r="I1597">
        <v>1</v>
      </c>
      <c r="J1597" t="s">
        <v>63</v>
      </c>
      <c r="K1597" s="8">
        <v>59</v>
      </c>
      <c r="L1597" s="8" t="s">
        <v>6592</v>
      </c>
      <c r="M1597" s="8" t="s">
        <v>6629</v>
      </c>
      <c r="N1597" t="s">
        <v>745</v>
      </c>
      <c r="O1597" t="s">
        <v>6501</v>
      </c>
      <c r="P1597">
        <v>860</v>
      </c>
      <c r="Q1597">
        <f t="shared" si="416"/>
        <v>66.5</v>
      </c>
      <c r="R1597">
        <f t="shared" si="415"/>
        <v>1.1083333333333334</v>
      </c>
      <c r="S1597" s="2">
        <v>45741</v>
      </c>
      <c r="U1597">
        <v>1</v>
      </c>
      <c r="V1597">
        <v>860</v>
      </c>
      <c r="W1597" t="s">
        <v>65</v>
      </c>
      <c r="X1597">
        <v>150034910001</v>
      </c>
      <c r="Y1597">
        <v>0</v>
      </c>
      <c r="Z1597">
        <v>860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>
        <v>15003491</v>
      </c>
      <c r="AQ1597" t="s">
        <v>182</v>
      </c>
      <c r="AR1597" t="s">
        <v>6643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BC1597" t="s">
        <v>69</v>
      </c>
      <c r="BD1597" t="s">
        <v>5344</v>
      </c>
      <c r="BE1597">
        <v>0</v>
      </c>
      <c r="BG1597" t="s">
        <v>182</v>
      </c>
      <c r="BJ1597" t="s">
        <v>5345</v>
      </c>
    </row>
    <row r="1598" spans="1:62" x14ac:dyDescent="0.35">
      <c r="A1598" t="s">
        <v>5346</v>
      </c>
      <c r="B1598">
        <v>10000</v>
      </c>
      <c r="C1598">
        <v>10000</v>
      </c>
      <c r="D1598" s="2">
        <v>45741</v>
      </c>
      <c r="E1598" t="s">
        <v>61</v>
      </c>
      <c r="F1598" t="s">
        <v>5261</v>
      </c>
      <c r="G1598" t="s">
        <v>5105</v>
      </c>
      <c r="I1598">
        <v>1</v>
      </c>
      <c r="J1598" t="s">
        <v>63</v>
      </c>
      <c r="K1598" s="8">
        <v>59</v>
      </c>
      <c r="L1598" s="8" t="s">
        <v>6592</v>
      </c>
      <c r="M1598" s="8" t="s">
        <v>6629</v>
      </c>
      <c r="N1598" t="s">
        <v>745</v>
      </c>
      <c r="O1598" t="s">
        <v>6501</v>
      </c>
      <c r="P1598" s="4">
        <v>1245</v>
      </c>
      <c r="Q1598">
        <f t="shared" si="416"/>
        <v>76.125</v>
      </c>
      <c r="R1598">
        <f t="shared" si="415"/>
        <v>1.26875</v>
      </c>
      <c r="S1598" s="2">
        <v>45741</v>
      </c>
      <c r="U1598">
        <v>2</v>
      </c>
      <c r="V1598" s="4">
        <v>2490</v>
      </c>
      <c r="W1598" t="s">
        <v>65</v>
      </c>
      <c r="X1598">
        <v>112887240001</v>
      </c>
      <c r="Y1598">
        <v>0</v>
      </c>
      <c r="Z1598" s="4">
        <v>2490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>
        <v>11288724</v>
      </c>
      <c r="AQ1598" t="s">
        <v>182</v>
      </c>
      <c r="AR1598" t="s">
        <v>6643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BC1598" t="s">
        <v>69</v>
      </c>
      <c r="BD1598" t="s">
        <v>5347</v>
      </c>
      <c r="BE1598">
        <v>0</v>
      </c>
      <c r="BG1598" t="s">
        <v>182</v>
      </c>
      <c r="BJ1598" t="s">
        <v>5348</v>
      </c>
    </row>
    <row r="1599" spans="1:62" x14ac:dyDescent="0.35">
      <c r="A1599" t="s">
        <v>5346</v>
      </c>
      <c r="B1599">
        <v>20000</v>
      </c>
      <c r="C1599">
        <v>10000</v>
      </c>
      <c r="D1599" s="2">
        <v>45741</v>
      </c>
      <c r="E1599" t="s">
        <v>61</v>
      </c>
      <c r="F1599" t="s">
        <v>5261</v>
      </c>
      <c r="G1599" t="s">
        <v>5105</v>
      </c>
      <c r="I1599">
        <v>1</v>
      </c>
      <c r="J1599" t="s">
        <v>63</v>
      </c>
      <c r="K1599" s="8">
        <v>59</v>
      </c>
      <c r="L1599" s="8" t="s">
        <v>6592</v>
      </c>
      <c r="M1599" s="8" t="s">
        <v>6629</v>
      </c>
      <c r="N1599" t="s">
        <v>745</v>
      </c>
      <c r="O1599" t="s">
        <v>6501</v>
      </c>
      <c r="P1599" s="4">
        <v>1245</v>
      </c>
      <c r="Q1599">
        <f t="shared" si="416"/>
        <v>76.125</v>
      </c>
      <c r="R1599">
        <f t="shared" si="415"/>
        <v>1.26875</v>
      </c>
      <c r="S1599" s="2">
        <v>45741</v>
      </c>
      <c r="U1599">
        <v>2</v>
      </c>
      <c r="V1599" s="4">
        <v>2490</v>
      </c>
      <c r="W1599" t="s">
        <v>65</v>
      </c>
      <c r="X1599">
        <v>112887240001</v>
      </c>
      <c r="Y1599">
        <v>0</v>
      </c>
      <c r="Z1599" s="4">
        <v>2490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>
        <v>11288724</v>
      </c>
      <c r="AQ1599" t="s">
        <v>182</v>
      </c>
      <c r="AR1599" t="s">
        <v>6643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BC1599" t="s">
        <v>69</v>
      </c>
      <c r="BD1599" t="s">
        <v>5347</v>
      </c>
      <c r="BE1599">
        <v>0</v>
      </c>
      <c r="BG1599" t="s">
        <v>182</v>
      </c>
      <c r="BJ1599" t="s">
        <v>5348</v>
      </c>
    </row>
    <row r="1600" spans="1:62" x14ac:dyDescent="0.35">
      <c r="A1600" t="s">
        <v>5346</v>
      </c>
      <c r="B1600">
        <v>30000</v>
      </c>
      <c r="C1600">
        <v>10000</v>
      </c>
      <c r="D1600" s="2">
        <v>45741</v>
      </c>
      <c r="E1600" t="s">
        <v>61</v>
      </c>
      <c r="F1600" t="s">
        <v>5261</v>
      </c>
      <c r="G1600" t="s">
        <v>5105</v>
      </c>
      <c r="I1600">
        <v>1</v>
      </c>
      <c r="J1600" t="s">
        <v>63</v>
      </c>
      <c r="K1600" s="8">
        <v>59</v>
      </c>
      <c r="L1600" s="8" t="s">
        <v>6592</v>
      </c>
      <c r="M1600" s="8" t="s">
        <v>6629</v>
      </c>
      <c r="N1600" t="s">
        <v>745</v>
      </c>
      <c r="O1600" t="s">
        <v>6501</v>
      </c>
      <c r="P1600" s="4">
        <v>1245</v>
      </c>
      <c r="Q1600">
        <f t="shared" si="416"/>
        <v>76.125</v>
      </c>
      <c r="R1600">
        <f t="shared" si="415"/>
        <v>1.26875</v>
      </c>
      <c r="S1600" s="2">
        <v>45741</v>
      </c>
      <c r="U1600">
        <v>2</v>
      </c>
      <c r="V1600" s="4">
        <v>2490</v>
      </c>
      <c r="W1600" t="s">
        <v>65</v>
      </c>
      <c r="X1600">
        <v>112887240001</v>
      </c>
      <c r="Y1600">
        <v>0</v>
      </c>
      <c r="Z1600" s="4">
        <v>2490</v>
      </c>
      <c r="AA1600">
        <v>0</v>
      </c>
      <c r="AB1600">
        <v>0</v>
      </c>
      <c r="AC1600">
        <v>0</v>
      </c>
      <c r="AD1600">
        <v>0</v>
      </c>
      <c r="AG1600">
        <v>0</v>
      </c>
      <c r="AP1600">
        <v>11288724</v>
      </c>
      <c r="AQ1600" t="s">
        <v>182</v>
      </c>
      <c r="AR1600" t="s">
        <v>6643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BC1600" t="s">
        <v>69</v>
      </c>
      <c r="BD1600" t="s">
        <v>5347</v>
      </c>
      <c r="BE1600">
        <v>0</v>
      </c>
      <c r="BG1600" t="s">
        <v>182</v>
      </c>
      <c r="BJ1600" t="s">
        <v>5348</v>
      </c>
    </row>
    <row r="1601" spans="1:62" x14ac:dyDescent="0.35">
      <c r="A1601" t="s">
        <v>5349</v>
      </c>
      <c r="B1601">
        <v>10000</v>
      </c>
      <c r="C1601">
        <v>10000</v>
      </c>
      <c r="D1601" s="2">
        <v>45741</v>
      </c>
      <c r="E1601" t="s">
        <v>61</v>
      </c>
      <c r="F1601" t="s">
        <v>5151</v>
      </c>
      <c r="G1601" t="s">
        <v>5112</v>
      </c>
      <c r="I1601">
        <v>1</v>
      </c>
      <c r="J1601" t="s">
        <v>63</v>
      </c>
      <c r="K1601" s="8">
        <v>94</v>
      </c>
      <c r="L1601" s="8" t="s">
        <v>6599</v>
      </c>
      <c r="M1601" s="8" t="s">
        <v>6629</v>
      </c>
      <c r="N1601" t="s">
        <v>181</v>
      </c>
      <c r="O1601" t="s">
        <v>6544</v>
      </c>
      <c r="P1601" s="4">
        <v>1250</v>
      </c>
      <c r="S1601" s="2">
        <v>45741</v>
      </c>
      <c r="U1601">
        <v>4</v>
      </c>
      <c r="V1601" s="4">
        <v>5000</v>
      </c>
      <c r="W1601" t="s">
        <v>65</v>
      </c>
      <c r="X1601" t="s">
        <v>5113</v>
      </c>
      <c r="Y1601">
        <v>0</v>
      </c>
      <c r="Z1601" s="4">
        <v>5000</v>
      </c>
      <c r="AA1601">
        <v>0</v>
      </c>
      <c r="AB1601">
        <v>0</v>
      </c>
      <c r="AC1601">
        <v>0</v>
      </c>
      <c r="AD1601">
        <v>0</v>
      </c>
      <c r="AG1601">
        <v>0</v>
      </c>
      <c r="AP1601" t="s">
        <v>5114</v>
      </c>
      <c r="AQ1601" t="s">
        <v>3615</v>
      </c>
      <c r="AR1601" t="s">
        <v>6724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BC1601" t="s">
        <v>69</v>
      </c>
      <c r="BD1601" t="s">
        <v>5350</v>
      </c>
      <c r="BE1601">
        <v>0</v>
      </c>
      <c r="BG1601" t="s">
        <v>3615</v>
      </c>
      <c r="BJ1601" t="s">
        <v>3617</v>
      </c>
    </row>
    <row r="1602" spans="1:62" x14ac:dyDescent="0.35">
      <c r="A1602" t="s">
        <v>5351</v>
      </c>
      <c r="B1602">
        <v>10000</v>
      </c>
      <c r="C1602">
        <v>10000</v>
      </c>
      <c r="D1602" s="2">
        <v>45743</v>
      </c>
      <c r="E1602" t="s">
        <v>61</v>
      </c>
      <c r="F1602" t="s">
        <v>1357</v>
      </c>
      <c r="G1602" t="s">
        <v>4340</v>
      </c>
      <c r="I1602">
        <v>1</v>
      </c>
      <c r="J1602" t="s">
        <v>63</v>
      </c>
      <c r="K1602" s="8">
        <v>72</v>
      </c>
      <c r="L1602" s="8" t="s">
        <v>6606</v>
      </c>
      <c r="M1602" s="8" t="s">
        <v>6631</v>
      </c>
      <c r="N1602" t="s">
        <v>163</v>
      </c>
      <c r="O1602" t="s">
        <v>6548</v>
      </c>
      <c r="P1602">
        <v>375</v>
      </c>
      <c r="S1602" s="2">
        <v>45741</v>
      </c>
      <c r="U1602">
        <v>24</v>
      </c>
      <c r="V1602" s="4">
        <v>9000</v>
      </c>
      <c r="W1602" t="s">
        <v>65</v>
      </c>
      <c r="X1602">
        <v>5000422940001</v>
      </c>
      <c r="Y1602">
        <v>0</v>
      </c>
      <c r="Z1602" s="4">
        <v>5000</v>
      </c>
      <c r="AA1602" s="4">
        <v>4000</v>
      </c>
      <c r="AB1602">
        <v>0</v>
      </c>
      <c r="AC1602">
        <v>0</v>
      </c>
      <c r="AD1602">
        <v>0</v>
      </c>
      <c r="AG1602">
        <v>0</v>
      </c>
      <c r="AP1602">
        <v>500042294</v>
      </c>
      <c r="AQ1602" t="s">
        <v>91</v>
      </c>
      <c r="AR1602" t="s">
        <v>6637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BC1602" t="s">
        <v>69</v>
      </c>
      <c r="BD1602" t="s">
        <v>5352</v>
      </c>
      <c r="BE1602">
        <v>0</v>
      </c>
      <c r="BG1602" t="s">
        <v>91</v>
      </c>
      <c r="BJ1602" t="s">
        <v>5353</v>
      </c>
    </row>
    <row r="1603" spans="1:62" x14ac:dyDescent="0.35">
      <c r="A1603" t="s">
        <v>5354</v>
      </c>
      <c r="B1603">
        <v>10000</v>
      </c>
      <c r="C1603">
        <v>10000</v>
      </c>
      <c r="D1603" s="2">
        <v>45743</v>
      </c>
      <c r="E1603" t="s">
        <v>61</v>
      </c>
      <c r="F1603" t="s">
        <v>4727</v>
      </c>
      <c r="G1603" t="s">
        <v>4340</v>
      </c>
      <c r="I1603">
        <v>1</v>
      </c>
      <c r="J1603" t="s">
        <v>63</v>
      </c>
      <c r="K1603" s="8">
        <v>72</v>
      </c>
      <c r="L1603" s="8" t="s">
        <v>6606</v>
      </c>
      <c r="M1603" s="8" t="s">
        <v>6631</v>
      </c>
      <c r="N1603" t="s">
        <v>163</v>
      </c>
      <c r="O1603" t="s">
        <v>6548</v>
      </c>
      <c r="P1603">
        <v>375</v>
      </c>
      <c r="S1603" s="2">
        <v>45741</v>
      </c>
      <c r="U1603">
        <v>24</v>
      </c>
      <c r="V1603" s="4">
        <v>9000</v>
      </c>
      <c r="W1603" t="s">
        <v>65</v>
      </c>
      <c r="X1603">
        <v>5000422950001</v>
      </c>
      <c r="Y1603">
        <v>0</v>
      </c>
      <c r="Z1603" s="4">
        <v>5000</v>
      </c>
      <c r="AA1603" s="4">
        <v>4000</v>
      </c>
      <c r="AB1603">
        <v>0</v>
      </c>
      <c r="AC1603">
        <v>0</v>
      </c>
      <c r="AD1603">
        <v>0</v>
      </c>
      <c r="AG1603">
        <v>0</v>
      </c>
      <c r="AP1603">
        <v>500042295</v>
      </c>
      <c r="AQ1603" t="s">
        <v>91</v>
      </c>
      <c r="AR1603" t="s">
        <v>6637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BC1603" t="s">
        <v>69</v>
      </c>
      <c r="BD1603" t="s">
        <v>5355</v>
      </c>
      <c r="BE1603">
        <v>0</v>
      </c>
      <c r="BG1603" t="s">
        <v>91</v>
      </c>
      <c r="BJ1603" t="s">
        <v>5353</v>
      </c>
    </row>
    <row r="1604" spans="1:62" x14ac:dyDescent="0.35">
      <c r="A1604" t="s">
        <v>5356</v>
      </c>
      <c r="B1604">
        <v>10000</v>
      </c>
      <c r="C1604">
        <v>20000</v>
      </c>
      <c r="D1604" s="2">
        <v>45742</v>
      </c>
      <c r="E1604" t="s">
        <v>61</v>
      </c>
      <c r="F1604" t="s">
        <v>5357</v>
      </c>
      <c r="G1604" t="s">
        <v>3029</v>
      </c>
      <c r="I1604">
        <v>1</v>
      </c>
      <c r="J1604" t="s">
        <v>63</v>
      </c>
      <c r="K1604" s="8">
        <v>86</v>
      </c>
      <c r="L1604" s="8" t="s">
        <v>6584</v>
      </c>
      <c r="M1604" s="8" t="s">
        <v>6627</v>
      </c>
      <c r="N1604" t="s">
        <v>64</v>
      </c>
      <c r="O1604" t="s">
        <v>6559</v>
      </c>
      <c r="P1604" s="4">
        <v>3000</v>
      </c>
      <c r="Q1604">
        <f>(P1604/60)+45</f>
        <v>95</v>
      </c>
      <c r="R1604">
        <f>Q1604/60</f>
        <v>1.5833333333333333</v>
      </c>
      <c r="S1604" s="2">
        <v>45741</v>
      </c>
      <c r="U1604">
        <v>4</v>
      </c>
      <c r="V1604" s="4">
        <v>12000</v>
      </c>
      <c r="W1604" t="s">
        <v>65</v>
      </c>
      <c r="X1604" t="s">
        <v>5358</v>
      </c>
      <c r="Y1604">
        <v>0</v>
      </c>
      <c r="Z1604" s="4">
        <v>12000</v>
      </c>
      <c r="AA1604">
        <v>0</v>
      </c>
      <c r="AB1604">
        <v>0</v>
      </c>
      <c r="AC1604">
        <v>0</v>
      </c>
      <c r="AD1604">
        <v>0</v>
      </c>
      <c r="AG1604">
        <v>0</v>
      </c>
      <c r="AP1604" t="s">
        <v>5359</v>
      </c>
      <c r="AQ1604" t="s">
        <v>271</v>
      </c>
      <c r="AR1604" t="s">
        <v>6648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BC1604" t="s">
        <v>69</v>
      </c>
      <c r="BD1604" t="s">
        <v>5360</v>
      </c>
      <c r="BE1604">
        <v>0</v>
      </c>
      <c r="BG1604" t="s">
        <v>271</v>
      </c>
      <c r="BJ1604" t="s">
        <v>5361</v>
      </c>
    </row>
    <row r="1605" spans="1:62" x14ac:dyDescent="0.35">
      <c r="A1605" t="s">
        <v>5362</v>
      </c>
      <c r="B1605">
        <v>10000</v>
      </c>
      <c r="C1605">
        <v>10000</v>
      </c>
      <c r="D1605" s="2">
        <v>45742</v>
      </c>
      <c r="E1605" t="s">
        <v>61</v>
      </c>
      <c r="F1605" t="s">
        <v>5267</v>
      </c>
      <c r="G1605" t="s">
        <v>5363</v>
      </c>
      <c r="I1605">
        <v>1</v>
      </c>
      <c r="J1605" t="s">
        <v>63</v>
      </c>
      <c r="K1605" s="8">
        <v>32</v>
      </c>
      <c r="L1605" s="8" t="s">
        <v>6607</v>
      </c>
      <c r="M1605" s="8" t="s">
        <v>6629</v>
      </c>
      <c r="N1605" t="s">
        <v>553</v>
      </c>
      <c r="O1605" t="s">
        <v>6552</v>
      </c>
      <c r="P1605" s="4">
        <v>5860</v>
      </c>
      <c r="S1605" s="2">
        <v>45741</v>
      </c>
      <c r="U1605">
        <v>1</v>
      </c>
      <c r="V1605" s="4">
        <v>5860</v>
      </c>
      <c r="W1605" t="s">
        <v>65</v>
      </c>
      <c r="X1605" t="s">
        <v>1774</v>
      </c>
      <c r="Y1605">
        <v>0</v>
      </c>
      <c r="Z1605" s="4">
        <v>5360</v>
      </c>
      <c r="AA1605">
        <v>500</v>
      </c>
      <c r="AB1605">
        <v>0</v>
      </c>
      <c r="AC1605">
        <v>0</v>
      </c>
      <c r="AD1605">
        <v>0</v>
      </c>
      <c r="AG1605">
        <v>0</v>
      </c>
      <c r="AP1605" t="s">
        <v>1775</v>
      </c>
      <c r="AQ1605" t="s">
        <v>116</v>
      </c>
      <c r="AR1605" t="s">
        <v>6639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BC1605" t="s">
        <v>69</v>
      </c>
      <c r="BD1605" t="s">
        <v>5364</v>
      </c>
      <c r="BE1605">
        <v>0</v>
      </c>
      <c r="BG1605" t="s">
        <v>116</v>
      </c>
      <c r="BJ1605" t="s">
        <v>4862</v>
      </c>
    </row>
    <row r="1606" spans="1:62" x14ac:dyDescent="0.35">
      <c r="A1606" t="s">
        <v>5365</v>
      </c>
      <c r="B1606">
        <v>10000</v>
      </c>
      <c r="C1606">
        <v>10000</v>
      </c>
      <c r="D1606" s="2">
        <v>45742</v>
      </c>
      <c r="E1606" t="s">
        <v>61</v>
      </c>
      <c r="F1606" t="s">
        <v>5267</v>
      </c>
      <c r="G1606" t="s">
        <v>5363</v>
      </c>
      <c r="I1606">
        <v>1</v>
      </c>
      <c r="J1606" t="s">
        <v>63</v>
      </c>
      <c r="K1606" s="8">
        <v>32</v>
      </c>
      <c r="L1606" s="8" t="s">
        <v>6607</v>
      </c>
      <c r="M1606" s="8" t="s">
        <v>6629</v>
      </c>
      <c r="N1606" t="s">
        <v>553</v>
      </c>
      <c r="O1606" t="s">
        <v>6552</v>
      </c>
      <c r="P1606" s="4">
        <v>5860</v>
      </c>
      <c r="S1606" s="2">
        <v>45741</v>
      </c>
      <c r="U1606">
        <v>1</v>
      </c>
      <c r="V1606" s="4">
        <v>5860</v>
      </c>
      <c r="W1606" t="s">
        <v>65</v>
      </c>
      <c r="X1606" t="s">
        <v>1774</v>
      </c>
      <c r="Y1606">
        <v>0</v>
      </c>
      <c r="Z1606" s="4">
        <v>5360</v>
      </c>
      <c r="AA1606">
        <v>500</v>
      </c>
      <c r="AB1606">
        <v>0</v>
      </c>
      <c r="AC1606">
        <v>0</v>
      </c>
      <c r="AD1606">
        <v>0</v>
      </c>
      <c r="AG1606">
        <v>0</v>
      </c>
      <c r="AP1606" t="s">
        <v>1775</v>
      </c>
      <c r="AQ1606" t="s">
        <v>116</v>
      </c>
      <c r="AR1606" t="s">
        <v>6639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BC1606" t="s">
        <v>69</v>
      </c>
      <c r="BD1606" t="s">
        <v>5366</v>
      </c>
      <c r="BE1606">
        <v>0</v>
      </c>
      <c r="BG1606" t="s">
        <v>116</v>
      </c>
      <c r="BJ1606" t="s">
        <v>5043</v>
      </c>
    </row>
    <row r="1607" spans="1:62" x14ac:dyDescent="0.35">
      <c r="A1607" t="s">
        <v>5186</v>
      </c>
      <c r="B1607">
        <v>10000</v>
      </c>
      <c r="C1607">
        <v>20000</v>
      </c>
      <c r="D1607" s="2">
        <v>45742</v>
      </c>
      <c r="E1607" t="s">
        <v>61</v>
      </c>
      <c r="F1607" t="s">
        <v>5187</v>
      </c>
      <c r="G1607" t="s">
        <v>4865</v>
      </c>
      <c r="I1607">
        <v>2</v>
      </c>
      <c r="J1607" t="s">
        <v>63</v>
      </c>
      <c r="K1607" s="8">
        <v>92</v>
      </c>
      <c r="L1607" s="8" t="s">
        <v>6614</v>
      </c>
      <c r="M1607" s="8" t="s">
        <v>6633</v>
      </c>
      <c r="N1607" t="s">
        <v>424</v>
      </c>
      <c r="O1607" t="s">
        <v>6570</v>
      </c>
      <c r="P1607" s="4">
        <v>1800</v>
      </c>
      <c r="S1607" s="2">
        <v>45741</v>
      </c>
      <c r="U1607">
        <v>3</v>
      </c>
      <c r="V1607" s="4">
        <v>5400</v>
      </c>
      <c r="W1607" t="s">
        <v>65</v>
      </c>
      <c r="X1607" t="s">
        <v>5188</v>
      </c>
      <c r="Y1607">
        <v>0</v>
      </c>
      <c r="Z1607" s="4">
        <v>5000</v>
      </c>
      <c r="AA1607">
        <v>400</v>
      </c>
      <c r="AB1607">
        <v>0</v>
      </c>
      <c r="AC1607">
        <v>0</v>
      </c>
      <c r="AD1607">
        <v>0</v>
      </c>
      <c r="AG1607">
        <v>0</v>
      </c>
      <c r="AP1607" t="s">
        <v>5189</v>
      </c>
      <c r="AQ1607" t="s">
        <v>4868</v>
      </c>
      <c r="AR1607" t="s">
        <v>6736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BC1607" t="s">
        <v>69</v>
      </c>
      <c r="BD1607" t="s">
        <v>5190</v>
      </c>
      <c r="BE1607">
        <v>0</v>
      </c>
      <c r="BG1607" t="s">
        <v>4868</v>
      </c>
      <c r="BJ1607" t="s">
        <v>4870</v>
      </c>
    </row>
    <row r="1608" spans="1:62" x14ac:dyDescent="0.35">
      <c r="A1608" t="s">
        <v>5367</v>
      </c>
      <c r="B1608">
        <v>10000</v>
      </c>
      <c r="C1608">
        <v>10000</v>
      </c>
      <c r="D1608" s="2">
        <v>45742</v>
      </c>
      <c r="E1608" t="s">
        <v>61</v>
      </c>
      <c r="F1608" t="s">
        <v>5368</v>
      </c>
      <c r="G1608" t="s">
        <v>518</v>
      </c>
      <c r="I1608">
        <v>1</v>
      </c>
      <c r="J1608" t="s">
        <v>63</v>
      </c>
      <c r="K1608" s="8">
        <v>63</v>
      </c>
      <c r="L1608" s="8" t="s">
        <v>6605</v>
      </c>
      <c r="M1608" s="8" t="s">
        <v>6630</v>
      </c>
      <c r="N1608" t="s">
        <v>519</v>
      </c>
      <c r="O1608" t="s">
        <v>6569</v>
      </c>
      <c r="P1608" s="4">
        <v>3000</v>
      </c>
      <c r="Q1608">
        <f t="shared" ref="Q1608:Q1614" si="417">(P1608/40)+45</f>
        <v>120</v>
      </c>
      <c r="R1608">
        <f t="shared" ref="R1608:R1614" si="418">Q1608/60</f>
        <v>2</v>
      </c>
      <c r="S1608" s="2">
        <v>45741</v>
      </c>
      <c r="U1608">
        <v>40</v>
      </c>
      <c r="V1608" s="4">
        <v>120000</v>
      </c>
      <c r="W1608" t="s">
        <v>65</v>
      </c>
      <c r="X1608" t="s">
        <v>2662</v>
      </c>
      <c r="Y1608">
        <v>0</v>
      </c>
      <c r="Z1608" s="4">
        <v>120000</v>
      </c>
      <c r="AA1608">
        <v>0</v>
      </c>
      <c r="AB1608">
        <v>0</v>
      </c>
      <c r="AC1608">
        <v>0</v>
      </c>
      <c r="AD1608">
        <v>0</v>
      </c>
      <c r="AG1608">
        <v>0</v>
      </c>
      <c r="AP1608" t="s">
        <v>2663</v>
      </c>
      <c r="AQ1608" t="s">
        <v>157</v>
      </c>
      <c r="AR1608" t="s">
        <v>6640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BC1608" t="s">
        <v>69</v>
      </c>
      <c r="BD1608" t="s">
        <v>5369</v>
      </c>
      <c r="BE1608">
        <v>0</v>
      </c>
      <c r="BG1608" t="s">
        <v>157</v>
      </c>
      <c r="BJ1608" t="s">
        <v>5370</v>
      </c>
    </row>
    <row r="1609" spans="1:62" x14ac:dyDescent="0.35">
      <c r="A1609" t="s">
        <v>5371</v>
      </c>
      <c r="B1609">
        <v>10000</v>
      </c>
      <c r="C1609">
        <v>10000</v>
      </c>
      <c r="D1609" s="2">
        <v>45742</v>
      </c>
      <c r="E1609" t="s">
        <v>61</v>
      </c>
      <c r="F1609" t="s">
        <v>5368</v>
      </c>
      <c r="G1609" t="s">
        <v>518</v>
      </c>
      <c r="I1609">
        <v>1</v>
      </c>
      <c r="J1609" t="s">
        <v>63</v>
      </c>
      <c r="K1609" s="8">
        <v>63</v>
      </c>
      <c r="L1609" s="8" t="s">
        <v>6605</v>
      </c>
      <c r="M1609" s="8" t="s">
        <v>6630</v>
      </c>
      <c r="N1609" t="s">
        <v>519</v>
      </c>
      <c r="O1609" t="s">
        <v>6569</v>
      </c>
      <c r="P1609" s="4">
        <v>3000</v>
      </c>
      <c r="Q1609">
        <f t="shared" si="417"/>
        <v>120</v>
      </c>
      <c r="R1609">
        <f t="shared" si="418"/>
        <v>2</v>
      </c>
      <c r="S1609" s="2">
        <v>45741</v>
      </c>
      <c r="U1609">
        <v>40</v>
      </c>
      <c r="V1609" s="4">
        <v>120000</v>
      </c>
      <c r="W1609" t="s">
        <v>65</v>
      </c>
      <c r="X1609" t="s">
        <v>2662</v>
      </c>
      <c r="Y1609">
        <v>0</v>
      </c>
      <c r="Z1609" s="4">
        <v>120000</v>
      </c>
      <c r="AA1609">
        <v>0</v>
      </c>
      <c r="AB1609">
        <v>0</v>
      </c>
      <c r="AC1609">
        <v>0</v>
      </c>
      <c r="AD1609">
        <v>0</v>
      </c>
      <c r="AG1609">
        <v>0</v>
      </c>
      <c r="AP1609" t="s">
        <v>2663</v>
      </c>
      <c r="AQ1609" t="s">
        <v>157</v>
      </c>
      <c r="AR1609" t="s">
        <v>6640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BC1609" t="s">
        <v>69</v>
      </c>
      <c r="BD1609" t="s">
        <v>5372</v>
      </c>
      <c r="BE1609">
        <v>0</v>
      </c>
      <c r="BG1609" t="s">
        <v>157</v>
      </c>
      <c r="BJ1609" t="s">
        <v>5373</v>
      </c>
    </row>
    <row r="1610" spans="1:62" x14ac:dyDescent="0.35">
      <c r="A1610" t="s">
        <v>5374</v>
      </c>
      <c r="B1610">
        <v>10000</v>
      </c>
      <c r="C1610">
        <v>10000</v>
      </c>
      <c r="D1610" s="2">
        <v>45743</v>
      </c>
      <c r="E1610" t="s">
        <v>61</v>
      </c>
      <c r="F1610" t="s">
        <v>5375</v>
      </c>
      <c r="G1610" t="s">
        <v>5376</v>
      </c>
      <c r="I1610">
        <v>1</v>
      </c>
      <c r="J1610" t="s">
        <v>63</v>
      </c>
      <c r="K1610" s="8">
        <v>70</v>
      </c>
      <c r="L1610" s="8" t="s">
        <v>6605</v>
      </c>
      <c r="M1610" s="8" t="s">
        <v>6630</v>
      </c>
      <c r="N1610" t="s">
        <v>795</v>
      </c>
      <c r="O1610" t="s">
        <v>6508</v>
      </c>
      <c r="P1610" s="4">
        <v>22500</v>
      </c>
      <c r="Q1610">
        <f t="shared" si="417"/>
        <v>607.5</v>
      </c>
      <c r="R1610">
        <f t="shared" si="418"/>
        <v>10.125</v>
      </c>
      <c r="S1610" s="2">
        <v>45741</v>
      </c>
      <c r="U1610">
        <v>4</v>
      </c>
      <c r="V1610" s="4">
        <v>90000</v>
      </c>
      <c r="W1610" t="s">
        <v>65</v>
      </c>
      <c r="X1610" t="s">
        <v>1259</v>
      </c>
      <c r="Y1610">
        <v>0</v>
      </c>
      <c r="Z1610" s="4">
        <v>90000</v>
      </c>
      <c r="AA1610">
        <v>0</v>
      </c>
      <c r="AB1610">
        <v>0</v>
      </c>
      <c r="AC1610">
        <v>0</v>
      </c>
      <c r="AD1610">
        <v>0</v>
      </c>
      <c r="AG1610">
        <v>0</v>
      </c>
      <c r="AP1610" t="s">
        <v>1260</v>
      </c>
      <c r="AQ1610" t="s">
        <v>157</v>
      </c>
      <c r="AR1610" t="s">
        <v>6640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BC1610" t="s">
        <v>69</v>
      </c>
      <c r="BD1610" t="s">
        <v>5377</v>
      </c>
      <c r="BE1610">
        <v>0</v>
      </c>
      <c r="BG1610" t="s">
        <v>157</v>
      </c>
      <c r="BJ1610" t="s">
        <v>5378</v>
      </c>
    </row>
    <row r="1611" spans="1:62" x14ac:dyDescent="0.35">
      <c r="A1611" t="s">
        <v>5379</v>
      </c>
      <c r="B1611">
        <v>10000</v>
      </c>
      <c r="C1611">
        <v>10000</v>
      </c>
      <c r="D1611" s="2">
        <v>45743</v>
      </c>
      <c r="E1611" t="s">
        <v>61</v>
      </c>
      <c r="F1611" t="s">
        <v>5380</v>
      </c>
      <c r="G1611" t="s">
        <v>4245</v>
      </c>
      <c r="I1611">
        <v>1</v>
      </c>
      <c r="J1611" t="s">
        <v>63</v>
      </c>
      <c r="K1611" s="8">
        <v>63</v>
      </c>
      <c r="L1611" s="8" t="s">
        <v>6605</v>
      </c>
      <c r="M1611" s="8" t="s">
        <v>6630</v>
      </c>
      <c r="N1611" t="s">
        <v>519</v>
      </c>
      <c r="O1611" t="s">
        <v>6569</v>
      </c>
      <c r="P1611" s="4">
        <v>1334</v>
      </c>
      <c r="Q1611">
        <f t="shared" si="417"/>
        <v>78.349999999999994</v>
      </c>
      <c r="R1611">
        <f t="shared" si="418"/>
        <v>1.3058333333333332</v>
      </c>
      <c r="S1611" s="2">
        <v>45741</v>
      </c>
      <c r="U1611">
        <v>30</v>
      </c>
      <c r="V1611" s="4">
        <v>40020</v>
      </c>
      <c r="W1611" t="s">
        <v>65</v>
      </c>
      <c r="X1611" t="s">
        <v>5381</v>
      </c>
      <c r="Y1611">
        <v>0</v>
      </c>
      <c r="Z1611" s="4">
        <v>40000</v>
      </c>
      <c r="AA1611">
        <v>20</v>
      </c>
      <c r="AB1611">
        <v>0</v>
      </c>
      <c r="AC1611">
        <v>0</v>
      </c>
      <c r="AD1611">
        <v>0</v>
      </c>
      <c r="AG1611">
        <v>0</v>
      </c>
      <c r="AP1611" t="s">
        <v>5382</v>
      </c>
      <c r="AQ1611" t="s">
        <v>157</v>
      </c>
      <c r="AR1611" t="s">
        <v>6640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BC1611" t="s">
        <v>69</v>
      </c>
      <c r="BD1611" t="s">
        <v>5383</v>
      </c>
      <c r="BE1611">
        <v>0</v>
      </c>
      <c r="BG1611" t="s">
        <v>157</v>
      </c>
      <c r="BJ1611" t="s">
        <v>5384</v>
      </c>
    </row>
    <row r="1612" spans="1:62" x14ac:dyDescent="0.35">
      <c r="A1612" t="s">
        <v>5385</v>
      </c>
      <c r="B1612">
        <v>10000</v>
      </c>
      <c r="C1612">
        <v>10000</v>
      </c>
      <c r="D1612" s="2">
        <v>45742</v>
      </c>
      <c r="E1612" t="s">
        <v>61</v>
      </c>
      <c r="F1612" t="s">
        <v>5368</v>
      </c>
      <c r="G1612">
        <v>1006323</v>
      </c>
      <c r="I1612">
        <v>1</v>
      </c>
      <c r="J1612" t="s">
        <v>63</v>
      </c>
      <c r="K1612" s="8">
        <v>63</v>
      </c>
      <c r="L1612" s="8" t="s">
        <v>6605</v>
      </c>
      <c r="M1612" s="8" t="s">
        <v>6630</v>
      </c>
      <c r="N1612" t="s">
        <v>519</v>
      </c>
      <c r="O1612" t="s">
        <v>6569</v>
      </c>
      <c r="P1612" s="4">
        <v>5000</v>
      </c>
      <c r="Q1612">
        <f t="shared" si="417"/>
        <v>170</v>
      </c>
      <c r="R1612">
        <f t="shared" si="418"/>
        <v>2.8333333333333335</v>
      </c>
      <c r="S1612" s="2">
        <v>45741</v>
      </c>
      <c r="U1612">
        <v>40</v>
      </c>
      <c r="V1612" s="4">
        <v>200000</v>
      </c>
      <c r="W1612" t="s">
        <v>65</v>
      </c>
      <c r="X1612" t="s">
        <v>2466</v>
      </c>
      <c r="Y1612">
        <v>0</v>
      </c>
      <c r="Z1612" s="4">
        <v>200000</v>
      </c>
      <c r="AA1612">
        <v>0</v>
      </c>
      <c r="AB1612">
        <v>0</v>
      </c>
      <c r="AC1612">
        <v>0</v>
      </c>
      <c r="AD1612">
        <v>0</v>
      </c>
      <c r="AG1612">
        <v>0</v>
      </c>
      <c r="AP1612" t="s">
        <v>2467</v>
      </c>
      <c r="AQ1612" t="s">
        <v>157</v>
      </c>
      <c r="AR1612" t="s">
        <v>6640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BC1612" t="s">
        <v>69</v>
      </c>
      <c r="BD1612" t="s">
        <v>5386</v>
      </c>
      <c r="BE1612">
        <v>0</v>
      </c>
      <c r="BG1612" t="s">
        <v>157</v>
      </c>
      <c r="BJ1612" t="s">
        <v>5387</v>
      </c>
    </row>
    <row r="1613" spans="1:62" x14ac:dyDescent="0.35">
      <c r="A1613" t="s">
        <v>5388</v>
      </c>
      <c r="B1613">
        <v>10000</v>
      </c>
      <c r="C1613">
        <v>10000</v>
      </c>
      <c r="D1613" s="2">
        <v>45743</v>
      </c>
      <c r="E1613" t="s">
        <v>61</v>
      </c>
      <c r="F1613" t="s">
        <v>5380</v>
      </c>
      <c r="G1613" t="s">
        <v>4245</v>
      </c>
      <c r="I1613">
        <v>1</v>
      </c>
      <c r="J1613" t="s">
        <v>63</v>
      </c>
      <c r="K1613" s="8">
        <v>63</v>
      </c>
      <c r="L1613" s="8" t="s">
        <v>6605</v>
      </c>
      <c r="M1613" s="8" t="s">
        <v>6630</v>
      </c>
      <c r="N1613" t="s">
        <v>519</v>
      </c>
      <c r="O1613" t="s">
        <v>6569</v>
      </c>
      <c r="P1613" s="4">
        <v>1334</v>
      </c>
      <c r="Q1613">
        <f t="shared" si="417"/>
        <v>78.349999999999994</v>
      </c>
      <c r="R1613">
        <f t="shared" si="418"/>
        <v>1.3058333333333332</v>
      </c>
      <c r="S1613" s="2">
        <v>45741</v>
      </c>
      <c r="U1613">
        <v>60</v>
      </c>
      <c r="V1613" s="4">
        <v>80040</v>
      </c>
      <c r="W1613" t="s">
        <v>65</v>
      </c>
      <c r="X1613" t="s">
        <v>2642</v>
      </c>
      <c r="Y1613">
        <v>0</v>
      </c>
      <c r="Z1613" s="4">
        <v>80000</v>
      </c>
      <c r="AA1613">
        <v>40</v>
      </c>
      <c r="AB1613">
        <v>0</v>
      </c>
      <c r="AC1613">
        <v>0</v>
      </c>
      <c r="AD1613">
        <v>0</v>
      </c>
      <c r="AG1613">
        <v>0</v>
      </c>
      <c r="AP1613" t="s">
        <v>2643</v>
      </c>
      <c r="AQ1613" t="s">
        <v>157</v>
      </c>
      <c r="AR1613" t="s">
        <v>6640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BC1613" t="s">
        <v>69</v>
      </c>
      <c r="BD1613" t="s">
        <v>5389</v>
      </c>
      <c r="BE1613">
        <v>0</v>
      </c>
      <c r="BG1613" t="s">
        <v>157</v>
      </c>
      <c r="BJ1613" t="s">
        <v>5390</v>
      </c>
    </row>
    <row r="1614" spans="1:62" x14ac:dyDescent="0.35">
      <c r="A1614" t="s">
        <v>5391</v>
      </c>
      <c r="B1614">
        <v>10000</v>
      </c>
      <c r="C1614">
        <v>10000</v>
      </c>
      <c r="D1614" s="2">
        <v>45743</v>
      </c>
      <c r="E1614" t="s">
        <v>61</v>
      </c>
      <c r="F1614" t="s">
        <v>5375</v>
      </c>
      <c r="G1614" t="s">
        <v>4245</v>
      </c>
      <c r="I1614">
        <v>1</v>
      </c>
      <c r="J1614" t="s">
        <v>63</v>
      </c>
      <c r="K1614" s="8">
        <v>63</v>
      </c>
      <c r="L1614" s="8" t="s">
        <v>6605</v>
      </c>
      <c r="M1614" s="8" t="s">
        <v>6630</v>
      </c>
      <c r="N1614" t="s">
        <v>519</v>
      </c>
      <c r="O1614" t="s">
        <v>6569</v>
      </c>
      <c r="P1614" s="4">
        <v>2000</v>
      </c>
      <c r="Q1614">
        <f t="shared" si="417"/>
        <v>95</v>
      </c>
      <c r="R1614">
        <f t="shared" si="418"/>
        <v>1.5833333333333333</v>
      </c>
      <c r="S1614" s="2">
        <v>45741</v>
      </c>
      <c r="U1614">
        <v>40</v>
      </c>
      <c r="V1614" s="4">
        <v>80000</v>
      </c>
      <c r="W1614" t="s">
        <v>65</v>
      </c>
      <c r="X1614" t="s">
        <v>2471</v>
      </c>
      <c r="Y1614">
        <v>0</v>
      </c>
      <c r="Z1614" s="4">
        <v>80000</v>
      </c>
      <c r="AA1614">
        <v>0</v>
      </c>
      <c r="AB1614">
        <v>0</v>
      </c>
      <c r="AC1614">
        <v>0</v>
      </c>
      <c r="AD1614">
        <v>0</v>
      </c>
      <c r="AG1614">
        <v>0</v>
      </c>
      <c r="AP1614" t="s">
        <v>2472</v>
      </c>
      <c r="AQ1614" t="s">
        <v>157</v>
      </c>
      <c r="AR1614" t="s">
        <v>6640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BC1614" t="s">
        <v>69</v>
      </c>
      <c r="BD1614" t="s">
        <v>5392</v>
      </c>
      <c r="BE1614">
        <v>0</v>
      </c>
      <c r="BG1614" t="s">
        <v>157</v>
      </c>
      <c r="BJ1614" t="s">
        <v>5393</v>
      </c>
    </row>
    <row r="1615" spans="1:62" x14ac:dyDescent="0.35">
      <c r="A1615" t="s">
        <v>5394</v>
      </c>
      <c r="B1615">
        <v>10000</v>
      </c>
      <c r="C1615">
        <v>10000</v>
      </c>
      <c r="D1615" s="2">
        <v>45743</v>
      </c>
      <c r="E1615" t="s">
        <v>61</v>
      </c>
      <c r="F1615" t="s">
        <v>5380</v>
      </c>
      <c r="G1615">
        <v>1006323</v>
      </c>
      <c r="I1615">
        <v>1</v>
      </c>
      <c r="J1615" t="s">
        <v>63</v>
      </c>
      <c r="K1615" s="8">
        <v>90</v>
      </c>
      <c r="L1615" t="s">
        <v>6589</v>
      </c>
      <c r="M1615" s="8" t="s">
        <v>6630</v>
      </c>
      <c r="N1615" t="s">
        <v>154</v>
      </c>
      <c r="O1615" t="s">
        <v>6575</v>
      </c>
      <c r="P1615" s="4">
        <v>5264</v>
      </c>
      <c r="S1615" s="2">
        <v>45741</v>
      </c>
      <c r="U1615">
        <v>38</v>
      </c>
      <c r="V1615" s="4">
        <v>200032</v>
      </c>
      <c r="W1615" t="s">
        <v>65</v>
      </c>
      <c r="X1615" t="s">
        <v>2953</v>
      </c>
      <c r="Y1615">
        <v>0</v>
      </c>
      <c r="Z1615" s="4">
        <v>200000</v>
      </c>
      <c r="AA1615">
        <v>32</v>
      </c>
      <c r="AB1615">
        <v>0</v>
      </c>
      <c r="AC1615">
        <v>0</v>
      </c>
      <c r="AD1615">
        <v>0</v>
      </c>
      <c r="AG1615">
        <v>0</v>
      </c>
      <c r="AP1615" t="s">
        <v>2954</v>
      </c>
      <c r="AQ1615" t="s">
        <v>157</v>
      </c>
      <c r="AR1615" t="s">
        <v>6640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BC1615" t="s">
        <v>69</v>
      </c>
      <c r="BD1615" t="s">
        <v>5395</v>
      </c>
      <c r="BE1615">
        <v>0</v>
      </c>
      <c r="BG1615" t="s">
        <v>157</v>
      </c>
      <c r="BJ1615" t="s">
        <v>5396</v>
      </c>
    </row>
    <row r="1616" spans="1:62" x14ac:dyDescent="0.35">
      <c r="A1616" t="s">
        <v>5397</v>
      </c>
      <c r="B1616">
        <v>10000</v>
      </c>
      <c r="C1616">
        <v>10000</v>
      </c>
      <c r="D1616" s="2">
        <v>45743</v>
      </c>
      <c r="E1616" t="s">
        <v>61</v>
      </c>
      <c r="F1616" t="s">
        <v>5398</v>
      </c>
      <c r="G1616">
        <v>8613409</v>
      </c>
      <c r="I1616">
        <v>1</v>
      </c>
      <c r="J1616" t="s">
        <v>63</v>
      </c>
      <c r="K1616" s="8">
        <v>63</v>
      </c>
      <c r="L1616" s="8" t="s">
        <v>6605</v>
      </c>
      <c r="M1616" s="8" t="s">
        <v>6630</v>
      </c>
      <c r="N1616" t="s">
        <v>519</v>
      </c>
      <c r="O1616" t="s">
        <v>6569</v>
      </c>
      <c r="P1616" s="4">
        <v>1334</v>
      </c>
      <c r="Q1616">
        <f>(P1616/40)+45</f>
        <v>78.349999999999994</v>
      </c>
      <c r="R1616">
        <f>Q1616/60</f>
        <v>1.3058333333333332</v>
      </c>
      <c r="S1616" s="2">
        <v>45741</v>
      </c>
      <c r="U1616">
        <v>60</v>
      </c>
      <c r="V1616" s="4">
        <v>80040</v>
      </c>
      <c r="W1616" t="s">
        <v>65</v>
      </c>
      <c r="X1616" t="s">
        <v>2959</v>
      </c>
      <c r="Y1616">
        <v>0</v>
      </c>
      <c r="Z1616" s="4">
        <v>80000</v>
      </c>
      <c r="AA1616">
        <v>40</v>
      </c>
      <c r="AB1616">
        <v>0</v>
      </c>
      <c r="AC1616">
        <v>0</v>
      </c>
      <c r="AD1616">
        <v>0</v>
      </c>
      <c r="AG1616">
        <v>0</v>
      </c>
      <c r="AP1616" t="s">
        <v>2960</v>
      </c>
      <c r="AQ1616" t="s">
        <v>157</v>
      </c>
      <c r="AR1616" t="s">
        <v>6640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BC1616" t="s">
        <v>69</v>
      </c>
      <c r="BD1616" t="s">
        <v>5399</v>
      </c>
      <c r="BE1616">
        <v>0</v>
      </c>
      <c r="BG1616" t="s">
        <v>157</v>
      </c>
      <c r="BJ1616" t="s">
        <v>5400</v>
      </c>
    </row>
    <row r="1617" spans="1:62" x14ac:dyDescent="0.35">
      <c r="A1617" t="s">
        <v>5205</v>
      </c>
      <c r="B1617">
        <v>10000</v>
      </c>
      <c r="C1617">
        <v>20000</v>
      </c>
      <c r="D1617" s="2">
        <v>45742</v>
      </c>
      <c r="E1617" t="s">
        <v>61</v>
      </c>
      <c r="F1617" t="s">
        <v>5206</v>
      </c>
      <c r="G1617" t="s">
        <v>5207</v>
      </c>
      <c r="I1617">
        <v>2</v>
      </c>
      <c r="J1617" t="s">
        <v>63</v>
      </c>
      <c r="K1617" s="8">
        <v>86</v>
      </c>
      <c r="L1617" s="8" t="s">
        <v>6584</v>
      </c>
      <c r="M1617" s="8" t="s">
        <v>6627</v>
      </c>
      <c r="N1617" t="s">
        <v>64</v>
      </c>
      <c r="O1617" t="s">
        <v>6559</v>
      </c>
      <c r="P1617" s="4">
        <v>4750</v>
      </c>
      <c r="Q1617">
        <f>(P1617/60)+45</f>
        <v>124.16666666666667</v>
      </c>
      <c r="R1617">
        <f>Q1617/60</f>
        <v>2.0694444444444446</v>
      </c>
      <c r="S1617" s="2">
        <v>45741</v>
      </c>
      <c r="U1617">
        <v>8</v>
      </c>
      <c r="V1617" s="4">
        <v>38000</v>
      </c>
      <c r="W1617" t="s">
        <v>65</v>
      </c>
      <c r="X1617" t="s">
        <v>5208</v>
      </c>
      <c r="Y1617">
        <v>0</v>
      </c>
      <c r="Z1617" s="4">
        <v>33000</v>
      </c>
      <c r="AA1617" s="4">
        <v>5000</v>
      </c>
      <c r="AB1617">
        <v>0</v>
      </c>
      <c r="AC1617">
        <v>0</v>
      </c>
      <c r="AD1617">
        <v>0</v>
      </c>
      <c r="AG1617">
        <v>0</v>
      </c>
      <c r="AP1617" t="s">
        <v>5209</v>
      </c>
      <c r="AQ1617" t="s">
        <v>243</v>
      </c>
      <c r="AR1617" t="s">
        <v>6646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BC1617" t="s">
        <v>69</v>
      </c>
      <c r="BD1617" t="s">
        <v>5210</v>
      </c>
      <c r="BE1617">
        <v>0</v>
      </c>
      <c r="BG1617" t="s">
        <v>243</v>
      </c>
      <c r="BJ1617" t="s">
        <v>5211</v>
      </c>
    </row>
    <row r="1618" spans="1:62" x14ac:dyDescent="0.35">
      <c r="A1618" t="s">
        <v>5212</v>
      </c>
      <c r="B1618">
        <v>10000</v>
      </c>
      <c r="C1618">
        <v>20000</v>
      </c>
      <c r="D1618" s="2">
        <v>45741</v>
      </c>
      <c r="E1618" t="s">
        <v>61</v>
      </c>
      <c r="F1618" t="s">
        <v>5213</v>
      </c>
      <c r="G1618" t="s">
        <v>3250</v>
      </c>
      <c r="I1618">
        <v>2</v>
      </c>
      <c r="J1618" t="s">
        <v>63</v>
      </c>
      <c r="K1618" s="8">
        <v>100</v>
      </c>
      <c r="L1618" s="8" t="s">
        <v>6613</v>
      </c>
      <c r="M1618" s="8" t="s">
        <v>6633</v>
      </c>
      <c r="N1618" t="s">
        <v>424</v>
      </c>
      <c r="O1618" t="s">
        <v>6570</v>
      </c>
      <c r="P1618" s="4">
        <v>5000</v>
      </c>
      <c r="S1618" s="2">
        <v>45741</v>
      </c>
      <c r="U1618">
        <v>1</v>
      </c>
      <c r="V1618" s="4">
        <v>5000</v>
      </c>
      <c r="W1618" t="s">
        <v>65</v>
      </c>
      <c r="X1618" t="s">
        <v>5214</v>
      </c>
      <c r="Y1618">
        <v>0</v>
      </c>
      <c r="Z1618" s="4">
        <v>5000</v>
      </c>
      <c r="AA1618">
        <v>0</v>
      </c>
      <c r="AB1618">
        <v>0</v>
      </c>
      <c r="AC1618">
        <v>0</v>
      </c>
      <c r="AD1618">
        <v>0</v>
      </c>
      <c r="AG1618">
        <v>0</v>
      </c>
      <c r="AP1618" t="s">
        <v>5215</v>
      </c>
      <c r="AQ1618" t="s">
        <v>508</v>
      </c>
      <c r="AR1618" t="s">
        <v>6657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BC1618" t="s">
        <v>69</v>
      </c>
      <c r="BD1618" t="s">
        <v>5216</v>
      </c>
      <c r="BE1618">
        <v>0</v>
      </c>
      <c r="BG1618" t="s">
        <v>508</v>
      </c>
      <c r="BJ1618" t="s">
        <v>4657</v>
      </c>
    </row>
    <row r="1619" spans="1:62" x14ac:dyDescent="0.35">
      <c r="A1619" t="s">
        <v>5401</v>
      </c>
      <c r="B1619">
        <v>10000</v>
      </c>
      <c r="C1619">
        <v>10000</v>
      </c>
      <c r="D1619" s="2">
        <v>45742</v>
      </c>
      <c r="E1619" t="s">
        <v>61</v>
      </c>
      <c r="F1619" t="s">
        <v>5402</v>
      </c>
      <c r="G1619" t="s">
        <v>5403</v>
      </c>
      <c r="I1619">
        <v>1</v>
      </c>
      <c r="J1619" t="s">
        <v>63</v>
      </c>
      <c r="K1619" s="8">
        <v>60</v>
      </c>
      <c r="L1619" s="8" t="s">
        <v>6590</v>
      </c>
      <c r="M1619" s="8" t="s">
        <v>6630</v>
      </c>
      <c r="N1619" t="s">
        <v>277</v>
      </c>
      <c r="O1619" t="s">
        <v>6554</v>
      </c>
      <c r="P1619">
        <v>160</v>
      </c>
      <c r="Q1619">
        <f>(P1619/50)+45</f>
        <v>48.2</v>
      </c>
      <c r="R1619">
        <f>Q1619/60</f>
        <v>0.80333333333333334</v>
      </c>
      <c r="S1619" s="2">
        <v>45741</v>
      </c>
      <c r="U1619">
        <v>5</v>
      </c>
      <c r="V1619">
        <v>800</v>
      </c>
      <c r="W1619" t="s">
        <v>65</v>
      </c>
      <c r="X1619" t="s">
        <v>5404</v>
      </c>
      <c r="Y1619">
        <v>0</v>
      </c>
      <c r="Z1619">
        <v>800</v>
      </c>
      <c r="AA1619">
        <v>0</v>
      </c>
      <c r="AB1619">
        <v>0</v>
      </c>
      <c r="AC1619">
        <v>0</v>
      </c>
      <c r="AD1619">
        <v>0</v>
      </c>
      <c r="AG1619">
        <v>0</v>
      </c>
      <c r="AP1619" t="s">
        <v>5405</v>
      </c>
      <c r="AQ1619" t="s">
        <v>321</v>
      </c>
      <c r="AR1619" t="s">
        <v>6652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BC1619" t="s">
        <v>69</v>
      </c>
      <c r="BD1619" t="s">
        <v>5406</v>
      </c>
      <c r="BE1619">
        <v>0</v>
      </c>
      <c r="BG1619" t="s">
        <v>321</v>
      </c>
      <c r="BJ1619" t="s">
        <v>4693</v>
      </c>
    </row>
    <row r="1620" spans="1:62" x14ac:dyDescent="0.35">
      <c r="A1620" t="s">
        <v>5407</v>
      </c>
      <c r="B1620">
        <v>10000</v>
      </c>
      <c r="C1620">
        <v>20000</v>
      </c>
      <c r="D1620" s="2">
        <v>45741</v>
      </c>
      <c r="E1620" t="s">
        <v>61</v>
      </c>
      <c r="F1620" t="s">
        <v>5408</v>
      </c>
      <c r="G1620" t="s">
        <v>5409</v>
      </c>
      <c r="I1620">
        <v>1</v>
      </c>
      <c r="J1620" t="s">
        <v>63</v>
      </c>
      <c r="K1620" s="8">
        <v>112</v>
      </c>
      <c r="L1620" s="8" t="s">
        <v>6616</v>
      </c>
      <c r="M1620" s="8" t="s">
        <v>6630</v>
      </c>
      <c r="N1620" t="s">
        <v>533</v>
      </c>
      <c r="O1620" t="s">
        <v>6572</v>
      </c>
      <c r="P1620">
        <v>15</v>
      </c>
      <c r="Q1620">
        <f>(P1620/20)+45</f>
        <v>45.75</v>
      </c>
      <c r="R1620">
        <f>Q1620/60</f>
        <v>0.76249999999999996</v>
      </c>
      <c r="S1620" s="2">
        <v>45741</v>
      </c>
      <c r="U1620">
        <v>10</v>
      </c>
      <c r="V1620">
        <v>150</v>
      </c>
      <c r="W1620" t="s">
        <v>65</v>
      </c>
      <c r="X1620" t="s">
        <v>5410</v>
      </c>
      <c r="Y1620">
        <v>0</v>
      </c>
      <c r="Z1620">
        <v>120</v>
      </c>
      <c r="AA1620">
        <v>30</v>
      </c>
      <c r="AB1620">
        <v>0</v>
      </c>
      <c r="AC1620">
        <v>0</v>
      </c>
      <c r="AD1620">
        <v>0</v>
      </c>
      <c r="AG1620">
        <v>0</v>
      </c>
      <c r="AP1620" t="s">
        <v>5411</v>
      </c>
      <c r="AQ1620" t="s">
        <v>321</v>
      </c>
      <c r="AR1620" t="s">
        <v>6652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BC1620" t="s">
        <v>69</v>
      </c>
      <c r="BD1620" t="s">
        <v>5412</v>
      </c>
      <c r="BE1620">
        <v>0</v>
      </c>
      <c r="BG1620" t="s">
        <v>321</v>
      </c>
      <c r="BJ1620" t="s">
        <v>4693</v>
      </c>
    </row>
    <row r="1621" spans="1:62" x14ac:dyDescent="0.35">
      <c r="A1621" t="s">
        <v>5413</v>
      </c>
      <c r="B1621">
        <v>10000</v>
      </c>
      <c r="C1621">
        <v>10000</v>
      </c>
      <c r="D1621" s="2">
        <v>45742</v>
      </c>
      <c r="E1621" t="s">
        <v>61</v>
      </c>
      <c r="F1621" t="s">
        <v>5414</v>
      </c>
      <c r="G1621" t="s">
        <v>5415</v>
      </c>
      <c r="I1621">
        <v>1</v>
      </c>
      <c r="J1621" t="s">
        <v>63</v>
      </c>
      <c r="K1621" s="8">
        <v>60</v>
      </c>
      <c r="L1621" s="8" t="s">
        <v>6590</v>
      </c>
      <c r="M1621" s="8" t="s">
        <v>6630</v>
      </c>
      <c r="N1621" t="s">
        <v>277</v>
      </c>
      <c r="O1621" t="s">
        <v>6554</v>
      </c>
      <c r="P1621">
        <v>50</v>
      </c>
      <c r="Q1621">
        <f>(P1621/50)+45</f>
        <v>46</v>
      </c>
      <c r="R1621">
        <f>Q1621/60</f>
        <v>0.76666666666666672</v>
      </c>
      <c r="S1621" s="2">
        <v>45741</v>
      </c>
      <c r="U1621">
        <v>5</v>
      </c>
      <c r="V1621">
        <v>250</v>
      </c>
      <c r="W1621" t="s">
        <v>65</v>
      </c>
      <c r="X1621" t="s">
        <v>5416</v>
      </c>
      <c r="Y1621">
        <v>0</v>
      </c>
      <c r="Z1621">
        <v>250</v>
      </c>
      <c r="AA1621">
        <v>0</v>
      </c>
      <c r="AB1621">
        <v>0</v>
      </c>
      <c r="AC1621">
        <v>0</v>
      </c>
      <c r="AD1621">
        <v>0</v>
      </c>
      <c r="AG1621">
        <v>0</v>
      </c>
      <c r="AP1621" t="s">
        <v>5417</v>
      </c>
      <c r="AQ1621" t="s">
        <v>321</v>
      </c>
      <c r="AR1621" t="s">
        <v>6652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BC1621" t="s">
        <v>69</v>
      </c>
      <c r="BD1621" t="s">
        <v>5418</v>
      </c>
      <c r="BE1621">
        <v>0</v>
      </c>
      <c r="BG1621" t="s">
        <v>321</v>
      </c>
      <c r="BJ1621" t="s">
        <v>4693</v>
      </c>
    </row>
    <row r="1622" spans="1:62" x14ac:dyDescent="0.35">
      <c r="A1622" t="s">
        <v>5419</v>
      </c>
      <c r="B1622">
        <v>10000</v>
      </c>
      <c r="C1622">
        <v>10000</v>
      </c>
      <c r="D1622" s="2">
        <v>45741</v>
      </c>
      <c r="E1622" t="s">
        <v>61</v>
      </c>
      <c r="F1622" t="s">
        <v>5261</v>
      </c>
      <c r="G1622" t="s">
        <v>5084</v>
      </c>
      <c r="I1622">
        <v>1</v>
      </c>
      <c r="J1622" t="s">
        <v>63</v>
      </c>
      <c r="K1622" s="8">
        <v>78</v>
      </c>
      <c r="L1622" s="8" t="s">
        <v>6593</v>
      </c>
      <c r="M1622" s="8" t="s">
        <v>6629</v>
      </c>
      <c r="N1622" t="s">
        <v>188</v>
      </c>
      <c r="O1622" t="s">
        <v>6410</v>
      </c>
      <c r="P1622">
        <v>67</v>
      </c>
      <c r="Q1622">
        <f>(P1622/40)+45</f>
        <v>46.674999999999997</v>
      </c>
      <c r="R1622">
        <f>Q1622/60</f>
        <v>0.77791666666666659</v>
      </c>
      <c r="S1622" s="2">
        <v>45741</v>
      </c>
      <c r="U1622">
        <v>3</v>
      </c>
      <c r="V1622">
        <v>201</v>
      </c>
      <c r="W1622" t="s">
        <v>65</v>
      </c>
      <c r="X1622" t="s">
        <v>5420</v>
      </c>
      <c r="Y1622">
        <v>0</v>
      </c>
      <c r="Z1622">
        <v>200</v>
      </c>
      <c r="AA1622">
        <v>1</v>
      </c>
      <c r="AB1622">
        <v>0</v>
      </c>
      <c r="AC1622">
        <v>0</v>
      </c>
      <c r="AD1622">
        <v>0</v>
      </c>
      <c r="AG1622">
        <v>0</v>
      </c>
      <c r="AP1622" t="s">
        <v>5421</v>
      </c>
      <c r="AQ1622" t="s">
        <v>5087</v>
      </c>
      <c r="AR1622" t="s">
        <v>6740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BC1622" t="s">
        <v>69</v>
      </c>
      <c r="BD1622" t="s">
        <v>5422</v>
      </c>
      <c r="BE1622">
        <v>0</v>
      </c>
      <c r="BG1622" t="s">
        <v>5087</v>
      </c>
      <c r="BJ1622" t="s">
        <v>5423</v>
      </c>
    </row>
    <row r="1623" spans="1:62" x14ac:dyDescent="0.35">
      <c r="A1623" t="s">
        <v>5233</v>
      </c>
      <c r="B1623">
        <v>10000</v>
      </c>
      <c r="C1623">
        <v>20000</v>
      </c>
      <c r="D1623" s="2">
        <v>45742</v>
      </c>
      <c r="E1623" t="s">
        <v>61</v>
      </c>
      <c r="F1623" s="3">
        <v>0.42387731481481483</v>
      </c>
      <c r="G1623">
        <v>59470</v>
      </c>
      <c r="I1623">
        <v>1</v>
      </c>
      <c r="J1623" t="s">
        <v>63</v>
      </c>
      <c r="K1623" s="8">
        <v>73</v>
      </c>
      <c r="L1623" s="8" t="s">
        <v>6586</v>
      </c>
      <c r="M1623" s="8" t="s">
        <v>6627</v>
      </c>
      <c r="N1623" t="s">
        <v>90</v>
      </c>
      <c r="O1623" t="s">
        <v>6564</v>
      </c>
      <c r="P1623" s="4">
        <v>15167</v>
      </c>
      <c r="Q1623">
        <f>(P1623/60)+45</f>
        <v>297.7833333333333</v>
      </c>
      <c r="R1623">
        <f>Q1623/60</f>
        <v>4.9630555555555551</v>
      </c>
      <c r="S1623" s="2">
        <v>45741</v>
      </c>
      <c r="U1623">
        <v>12</v>
      </c>
      <c r="V1623" s="4">
        <v>182004</v>
      </c>
      <c r="W1623" t="s">
        <v>65</v>
      </c>
      <c r="X1623" t="s">
        <v>999</v>
      </c>
      <c r="Y1623">
        <v>0</v>
      </c>
      <c r="Z1623" s="4">
        <v>180678</v>
      </c>
      <c r="AA1623" s="4">
        <v>1326</v>
      </c>
      <c r="AB1623">
        <v>0</v>
      </c>
      <c r="AC1623">
        <v>0</v>
      </c>
      <c r="AD1623">
        <v>0</v>
      </c>
      <c r="AG1623">
        <v>0</v>
      </c>
      <c r="AP1623" t="s">
        <v>1000</v>
      </c>
      <c r="AQ1623" t="s">
        <v>321</v>
      </c>
      <c r="AR1623" t="s">
        <v>6652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BC1623" t="s">
        <v>69</v>
      </c>
      <c r="BD1623" t="s">
        <v>5234</v>
      </c>
      <c r="BE1623">
        <v>0</v>
      </c>
      <c r="BG1623" t="s">
        <v>321</v>
      </c>
      <c r="BJ1623" t="s">
        <v>5235</v>
      </c>
    </row>
    <row r="1624" spans="1:62" x14ac:dyDescent="0.35">
      <c r="A1624" t="s">
        <v>5233</v>
      </c>
      <c r="B1624">
        <v>10000</v>
      </c>
      <c r="C1624">
        <v>30000</v>
      </c>
      <c r="D1624" s="2">
        <v>45742</v>
      </c>
      <c r="E1624" t="s">
        <v>61</v>
      </c>
      <c r="F1624" s="3">
        <v>0.42387731481481483</v>
      </c>
      <c r="G1624">
        <v>59470</v>
      </c>
      <c r="I1624">
        <v>2</v>
      </c>
      <c r="J1624" t="s">
        <v>63</v>
      </c>
      <c r="K1624" s="8">
        <v>96</v>
      </c>
      <c r="L1624" s="8" t="s">
        <v>6585</v>
      </c>
      <c r="M1624" s="8" t="s">
        <v>6628</v>
      </c>
      <c r="N1624" t="s">
        <v>2144</v>
      </c>
      <c r="O1624" t="s">
        <v>6577</v>
      </c>
      <c r="P1624" s="4">
        <v>84000</v>
      </c>
      <c r="S1624" s="2">
        <v>45741</v>
      </c>
      <c r="U1624">
        <v>6</v>
      </c>
      <c r="V1624" s="4">
        <v>504000</v>
      </c>
      <c r="W1624" t="s">
        <v>65</v>
      </c>
      <c r="X1624" t="s">
        <v>999</v>
      </c>
      <c r="Y1624">
        <v>0</v>
      </c>
      <c r="Z1624" s="4">
        <v>504000</v>
      </c>
      <c r="AA1624">
        <v>0</v>
      </c>
      <c r="AB1624">
        <v>0</v>
      </c>
      <c r="AC1624">
        <v>0</v>
      </c>
      <c r="AD1624">
        <v>0</v>
      </c>
      <c r="AG1624">
        <v>0</v>
      </c>
      <c r="AP1624" t="s">
        <v>1000</v>
      </c>
      <c r="AQ1624" t="s">
        <v>321</v>
      </c>
      <c r="AR1624" t="s">
        <v>6652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BC1624" t="s">
        <v>69</v>
      </c>
      <c r="BD1624" t="s">
        <v>5234</v>
      </c>
      <c r="BE1624">
        <v>0</v>
      </c>
      <c r="BG1624" t="s">
        <v>321</v>
      </c>
      <c r="BJ1624" t="s">
        <v>5235</v>
      </c>
    </row>
    <row r="1625" spans="1:62" x14ac:dyDescent="0.35">
      <c r="A1625" t="s">
        <v>5424</v>
      </c>
      <c r="B1625">
        <v>10000</v>
      </c>
      <c r="C1625">
        <v>10000</v>
      </c>
      <c r="D1625" s="2">
        <v>45741</v>
      </c>
      <c r="E1625" t="s">
        <v>61</v>
      </c>
      <c r="F1625" s="3">
        <v>0.44246527777777778</v>
      </c>
      <c r="G1625" t="s">
        <v>5247</v>
      </c>
      <c r="I1625">
        <v>1</v>
      </c>
      <c r="J1625" t="s">
        <v>63</v>
      </c>
      <c r="K1625" s="8">
        <v>65</v>
      </c>
      <c r="L1625" s="8" t="s">
        <v>6596</v>
      </c>
      <c r="M1625" s="8" t="s">
        <v>6630</v>
      </c>
      <c r="N1625" t="s">
        <v>268</v>
      </c>
      <c r="O1625" t="s">
        <v>6543</v>
      </c>
      <c r="P1625">
        <v>667</v>
      </c>
      <c r="Q1625">
        <f t="shared" ref="Q1625:Q1626" si="419">(P1625/40)+45</f>
        <v>61.674999999999997</v>
      </c>
      <c r="R1625">
        <f t="shared" ref="R1625:R1626" si="420">Q1625/60</f>
        <v>1.0279166666666666</v>
      </c>
      <c r="S1625" s="2">
        <v>45741</v>
      </c>
      <c r="U1625">
        <v>6</v>
      </c>
      <c r="V1625" s="4">
        <v>4002</v>
      </c>
      <c r="W1625" t="s">
        <v>65</v>
      </c>
      <c r="X1625">
        <v>200467500001</v>
      </c>
      <c r="Y1625">
        <v>0</v>
      </c>
      <c r="Z1625" s="4">
        <v>4000</v>
      </c>
      <c r="AA1625">
        <v>2</v>
      </c>
      <c r="AB1625">
        <v>0</v>
      </c>
      <c r="AC1625">
        <v>0</v>
      </c>
      <c r="AD1625">
        <v>0</v>
      </c>
      <c r="AG1625">
        <v>0</v>
      </c>
      <c r="AP1625">
        <v>20046750</v>
      </c>
      <c r="AQ1625" t="s">
        <v>182</v>
      </c>
      <c r="AR1625" t="s">
        <v>6643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BC1625" t="s">
        <v>69</v>
      </c>
      <c r="BD1625" t="s">
        <v>5425</v>
      </c>
      <c r="BE1625">
        <v>0</v>
      </c>
      <c r="BG1625" t="s">
        <v>182</v>
      </c>
      <c r="BJ1625" t="s">
        <v>5426</v>
      </c>
    </row>
    <row r="1626" spans="1:62" x14ac:dyDescent="0.35">
      <c r="A1626" t="s">
        <v>5427</v>
      </c>
      <c r="B1626">
        <v>10000</v>
      </c>
      <c r="C1626">
        <v>10000</v>
      </c>
      <c r="D1626" s="2">
        <v>45742</v>
      </c>
      <c r="E1626" t="s">
        <v>61</v>
      </c>
      <c r="F1626" t="s">
        <v>5428</v>
      </c>
      <c r="G1626" t="s">
        <v>3292</v>
      </c>
      <c r="I1626">
        <v>1</v>
      </c>
      <c r="J1626" t="s">
        <v>63</v>
      </c>
      <c r="K1626" s="8">
        <v>65</v>
      </c>
      <c r="L1626" s="8" t="s">
        <v>6596</v>
      </c>
      <c r="M1626" s="8" t="s">
        <v>6630</v>
      </c>
      <c r="N1626" t="s">
        <v>268</v>
      </c>
      <c r="O1626" t="s">
        <v>6543</v>
      </c>
      <c r="P1626" s="4">
        <v>6667</v>
      </c>
      <c r="Q1626">
        <f t="shared" si="419"/>
        <v>211.67500000000001</v>
      </c>
      <c r="R1626">
        <f t="shared" si="420"/>
        <v>3.527916666666667</v>
      </c>
      <c r="S1626" s="2">
        <v>45741</v>
      </c>
      <c r="U1626">
        <v>3</v>
      </c>
      <c r="V1626" s="4">
        <v>20001</v>
      </c>
      <c r="W1626" t="s">
        <v>65</v>
      </c>
      <c r="X1626" t="s">
        <v>5429</v>
      </c>
      <c r="Y1626">
        <v>0</v>
      </c>
      <c r="Z1626" s="4">
        <v>20000</v>
      </c>
      <c r="AA1626">
        <v>1</v>
      </c>
      <c r="AB1626">
        <v>0</v>
      </c>
      <c r="AC1626">
        <v>0</v>
      </c>
      <c r="AD1626">
        <v>0</v>
      </c>
      <c r="AG1626">
        <v>0</v>
      </c>
      <c r="AP1626" t="s">
        <v>5430</v>
      </c>
      <c r="AQ1626" t="s">
        <v>427</v>
      </c>
      <c r="AR1626" t="s">
        <v>6709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BC1626" t="s">
        <v>69</v>
      </c>
      <c r="BD1626" t="s">
        <v>5431</v>
      </c>
      <c r="BE1626">
        <v>0</v>
      </c>
      <c r="BG1626" t="s">
        <v>427</v>
      </c>
      <c r="BJ1626" t="s">
        <v>5432</v>
      </c>
    </row>
    <row r="1627" spans="1:62" x14ac:dyDescent="0.35">
      <c r="A1627" t="s">
        <v>5433</v>
      </c>
      <c r="B1627">
        <v>10000</v>
      </c>
      <c r="C1627">
        <v>10000</v>
      </c>
      <c r="D1627" s="2">
        <v>45749</v>
      </c>
      <c r="E1627" t="s">
        <v>61</v>
      </c>
      <c r="F1627" t="s">
        <v>5434</v>
      </c>
      <c r="G1627" t="s">
        <v>4420</v>
      </c>
      <c r="I1627">
        <v>1</v>
      </c>
      <c r="J1627" t="s">
        <v>63</v>
      </c>
      <c r="K1627" s="8">
        <v>88</v>
      </c>
      <c r="L1627" s="8" t="s">
        <v>6610</v>
      </c>
      <c r="M1627" s="8" t="s">
        <v>6631</v>
      </c>
      <c r="N1627" t="s">
        <v>630</v>
      </c>
      <c r="O1627" t="s">
        <v>6571</v>
      </c>
      <c r="P1627">
        <v>800</v>
      </c>
      <c r="S1627" s="2">
        <v>45741</v>
      </c>
      <c r="U1627">
        <v>1</v>
      </c>
      <c r="V1627">
        <v>800</v>
      </c>
      <c r="W1627" t="s">
        <v>65</v>
      </c>
      <c r="X1627">
        <v>107449670001</v>
      </c>
      <c r="Y1627">
        <v>0</v>
      </c>
      <c r="Z1627">
        <v>500</v>
      </c>
      <c r="AA1627">
        <v>300</v>
      </c>
      <c r="AB1627">
        <v>0</v>
      </c>
      <c r="AC1627">
        <v>0</v>
      </c>
      <c r="AD1627">
        <v>0</v>
      </c>
      <c r="AG1627">
        <v>0</v>
      </c>
      <c r="AP1627">
        <v>10744967</v>
      </c>
      <c r="AQ1627" t="s">
        <v>487</v>
      </c>
      <c r="AR1627" t="s">
        <v>6656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BC1627" t="s">
        <v>69</v>
      </c>
      <c r="BD1627" t="s">
        <v>5435</v>
      </c>
      <c r="BE1627">
        <v>0</v>
      </c>
      <c r="BG1627" t="s">
        <v>487</v>
      </c>
      <c r="BJ1627" t="s">
        <v>5436</v>
      </c>
    </row>
    <row r="1628" spans="1:62" x14ac:dyDescent="0.35">
      <c r="A1628" t="s">
        <v>5433</v>
      </c>
      <c r="B1628">
        <v>10000</v>
      </c>
      <c r="C1628">
        <v>20000</v>
      </c>
      <c r="D1628" s="2">
        <v>45749</v>
      </c>
      <c r="E1628" t="s">
        <v>61</v>
      </c>
      <c r="F1628" t="s">
        <v>5434</v>
      </c>
      <c r="G1628" t="s">
        <v>4420</v>
      </c>
      <c r="I1628">
        <v>2</v>
      </c>
      <c r="J1628" t="s">
        <v>63</v>
      </c>
      <c r="K1628" s="8">
        <v>92</v>
      </c>
      <c r="L1628" s="8" t="s">
        <v>6614</v>
      </c>
      <c r="M1628" s="8" t="s">
        <v>6633</v>
      </c>
      <c r="N1628" t="s">
        <v>424</v>
      </c>
      <c r="O1628" t="s">
        <v>6570</v>
      </c>
      <c r="P1628">
        <v>600</v>
      </c>
      <c r="S1628" s="2">
        <v>45741</v>
      </c>
      <c r="U1628">
        <v>1</v>
      </c>
      <c r="V1628">
        <v>600</v>
      </c>
      <c r="W1628" t="s">
        <v>65</v>
      </c>
      <c r="X1628">
        <v>107449670001</v>
      </c>
      <c r="Y1628">
        <v>0</v>
      </c>
      <c r="Z1628">
        <v>500</v>
      </c>
      <c r="AA1628">
        <v>100</v>
      </c>
      <c r="AB1628">
        <v>0</v>
      </c>
      <c r="AC1628">
        <v>0</v>
      </c>
      <c r="AD1628">
        <v>0</v>
      </c>
      <c r="AG1628">
        <v>0</v>
      </c>
      <c r="AP1628">
        <v>10744967</v>
      </c>
      <c r="AQ1628" t="s">
        <v>487</v>
      </c>
      <c r="AR1628" t="s">
        <v>6656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BC1628" t="s">
        <v>69</v>
      </c>
      <c r="BD1628" t="s">
        <v>5435</v>
      </c>
      <c r="BE1628">
        <v>0</v>
      </c>
      <c r="BG1628" t="s">
        <v>487</v>
      </c>
      <c r="BJ1628" t="s">
        <v>5436</v>
      </c>
    </row>
    <row r="1629" spans="1:62" x14ac:dyDescent="0.35">
      <c r="A1629" t="s">
        <v>5437</v>
      </c>
      <c r="B1629">
        <v>10000</v>
      </c>
      <c r="C1629">
        <v>10000</v>
      </c>
      <c r="D1629" s="2">
        <v>45749</v>
      </c>
      <c r="E1629" t="s">
        <v>61</v>
      </c>
      <c r="F1629" t="s">
        <v>5434</v>
      </c>
      <c r="G1629" t="s">
        <v>4420</v>
      </c>
      <c r="I1629">
        <v>1</v>
      </c>
      <c r="J1629" t="s">
        <v>63</v>
      </c>
      <c r="K1629" s="8">
        <v>88</v>
      </c>
      <c r="L1629" s="8" t="s">
        <v>6610</v>
      </c>
      <c r="M1629" s="8" t="s">
        <v>6631</v>
      </c>
      <c r="N1629" t="s">
        <v>630</v>
      </c>
      <c r="O1629" t="s">
        <v>6571</v>
      </c>
      <c r="P1629">
        <v>20</v>
      </c>
      <c r="S1629" s="2">
        <v>45741</v>
      </c>
      <c r="U1629">
        <v>1</v>
      </c>
      <c r="V1629">
        <v>20</v>
      </c>
      <c r="W1629" t="s">
        <v>65</v>
      </c>
      <c r="X1629">
        <v>107449670001</v>
      </c>
      <c r="Y1629">
        <v>0</v>
      </c>
      <c r="Z1629">
        <v>20</v>
      </c>
      <c r="AA1629">
        <v>0</v>
      </c>
      <c r="AB1629">
        <v>0</v>
      </c>
      <c r="AC1629">
        <v>0</v>
      </c>
      <c r="AD1629">
        <v>0</v>
      </c>
      <c r="AG1629">
        <v>0</v>
      </c>
      <c r="AP1629">
        <v>10744967</v>
      </c>
      <c r="AQ1629" t="s">
        <v>487</v>
      </c>
      <c r="AR1629" t="s">
        <v>6656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BC1629" t="s">
        <v>69</v>
      </c>
      <c r="BD1629" t="s">
        <v>5438</v>
      </c>
      <c r="BE1629">
        <v>0</v>
      </c>
      <c r="BG1629" t="s">
        <v>487</v>
      </c>
      <c r="BJ1629" t="s">
        <v>5439</v>
      </c>
    </row>
    <row r="1630" spans="1:62" x14ac:dyDescent="0.35">
      <c r="A1630" t="s">
        <v>5437</v>
      </c>
      <c r="B1630">
        <v>10000</v>
      </c>
      <c r="C1630">
        <v>20000</v>
      </c>
      <c r="D1630" s="2">
        <v>45749</v>
      </c>
      <c r="E1630" t="s">
        <v>61</v>
      </c>
      <c r="F1630" t="s">
        <v>5434</v>
      </c>
      <c r="G1630" t="s">
        <v>4420</v>
      </c>
      <c r="I1630">
        <v>2</v>
      </c>
      <c r="J1630" t="s">
        <v>63</v>
      </c>
      <c r="K1630" s="8">
        <v>92</v>
      </c>
      <c r="L1630" s="8" t="s">
        <v>6614</v>
      </c>
      <c r="M1630" s="8" t="s">
        <v>6633</v>
      </c>
      <c r="N1630" t="s">
        <v>424</v>
      </c>
      <c r="O1630" t="s">
        <v>6570</v>
      </c>
      <c r="P1630">
        <v>20</v>
      </c>
      <c r="S1630" s="2">
        <v>45741</v>
      </c>
      <c r="U1630">
        <v>1</v>
      </c>
      <c r="V1630">
        <v>20</v>
      </c>
      <c r="W1630" t="s">
        <v>65</v>
      </c>
      <c r="X1630">
        <v>107449670001</v>
      </c>
      <c r="Y1630">
        <v>0</v>
      </c>
      <c r="Z1630">
        <v>20</v>
      </c>
      <c r="AA1630">
        <v>0</v>
      </c>
      <c r="AB1630">
        <v>0</v>
      </c>
      <c r="AC1630">
        <v>0</v>
      </c>
      <c r="AD1630">
        <v>0</v>
      </c>
      <c r="AG1630">
        <v>0</v>
      </c>
      <c r="AP1630">
        <v>10744967</v>
      </c>
      <c r="AQ1630" t="s">
        <v>487</v>
      </c>
      <c r="AR1630" t="s">
        <v>6656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BC1630" t="s">
        <v>69</v>
      </c>
      <c r="BD1630" t="s">
        <v>5438</v>
      </c>
      <c r="BE1630">
        <v>0</v>
      </c>
      <c r="BG1630" t="s">
        <v>487</v>
      </c>
      <c r="BJ1630" t="s">
        <v>5439</v>
      </c>
    </row>
    <row r="1631" spans="1:62" x14ac:dyDescent="0.35">
      <c r="A1631" t="s">
        <v>5440</v>
      </c>
      <c r="B1631">
        <v>10000</v>
      </c>
      <c r="C1631">
        <v>10000</v>
      </c>
      <c r="D1631" s="2">
        <v>45741</v>
      </c>
      <c r="E1631" t="s">
        <v>61</v>
      </c>
      <c r="F1631" s="3">
        <v>0.47559027777777779</v>
      </c>
      <c r="G1631">
        <v>40718205</v>
      </c>
      <c r="I1631">
        <v>1</v>
      </c>
      <c r="J1631" t="s">
        <v>63</v>
      </c>
      <c r="K1631" s="8">
        <v>65</v>
      </c>
      <c r="L1631" s="8" t="s">
        <v>6596</v>
      </c>
      <c r="M1631" s="8" t="s">
        <v>6630</v>
      </c>
      <c r="N1631" t="s">
        <v>268</v>
      </c>
      <c r="O1631" t="s">
        <v>6543</v>
      </c>
      <c r="P1631">
        <v>385</v>
      </c>
      <c r="Q1631">
        <f t="shared" ref="Q1631:Q1632" si="421">(P1631/40)+45</f>
        <v>54.625</v>
      </c>
      <c r="R1631">
        <f t="shared" ref="R1631:R1632" si="422">Q1631/60</f>
        <v>0.91041666666666665</v>
      </c>
      <c r="S1631" s="2">
        <v>45741</v>
      </c>
      <c r="U1631">
        <v>26</v>
      </c>
      <c r="V1631" s="4">
        <v>10020</v>
      </c>
      <c r="W1631" t="s">
        <v>65</v>
      </c>
      <c r="X1631" t="s">
        <v>5441</v>
      </c>
      <c r="Y1631">
        <v>0</v>
      </c>
      <c r="Z1631" s="4">
        <v>10000</v>
      </c>
      <c r="AA1631">
        <v>20</v>
      </c>
      <c r="AB1631">
        <v>0</v>
      </c>
      <c r="AC1631">
        <v>0</v>
      </c>
      <c r="AD1631">
        <v>0</v>
      </c>
      <c r="AG1631">
        <v>0</v>
      </c>
      <c r="AP1631" t="s">
        <v>5442</v>
      </c>
      <c r="AQ1631" t="s">
        <v>1424</v>
      </c>
      <c r="AR1631" t="s">
        <v>6678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BC1631" t="s">
        <v>69</v>
      </c>
      <c r="BD1631" t="s">
        <v>5443</v>
      </c>
      <c r="BE1631">
        <v>0</v>
      </c>
      <c r="BG1631" t="s">
        <v>1424</v>
      </c>
      <c r="BJ1631" t="s">
        <v>5444</v>
      </c>
    </row>
    <row r="1632" spans="1:62" x14ac:dyDescent="0.35">
      <c r="A1632" t="s">
        <v>5440</v>
      </c>
      <c r="B1632">
        <v>20000</v>
      </c>
      <c r="C1632">
        <v>10000</v>
      </c>
      <c r="D1632" s="2">
        <v>45741</v>
      </c>
      <c r="E1632" t="s">
        <v>61</v>
      </c>
      <c r="F1632" s="3">
        <v>0.47559027777777779</v>
      </c>
      <c r="G1632">
        <v>40718205</v>
      </c>
      <c r="I1632">
        <v>1</v>
      </c>
      <c r="J1632" t="s">
        <v>63</v>
      </c>
      <c r="K1632" s="8">
        <v>65</v>
      </c>
      <c r="L1632" s="8" t="s">
        <v>6596</v>
      </c>
      <c r="M1632" s="8" t="s">
        <v>6630</v>
      </c>
      <c r="N1632" t="s">
        <v>268</v>
      </c>
      <c r="O1632" t="s">
        <v>6543</v>
      </c>
      <c r="P1632">
        <v>385</v>
      </c>
      <c r="Q1632">
        <f t="shared" si="421"/>
        <v>54.625</v>
      </c>
      <c r="R1632">
        <f t="shared" si="422"/>
        <v>0.91041666666666665</v>
      </c>
      <c r="S1632" s="2">
        <v>45741</v>
      </c>
      <c r="U1632">
        <v>26</v>
      </c>
      <c r="V1632" s="4">
        <v>10000</v>
      </c>
      <c r="W1632" t="s">
        <v>65</v>
      </c>
      <c r="X1632" t="s">
        <v>5441</v>
      </c>
      <c r="Y1632">
        <v>0</v>
      </c>
      <c r="Z1632" s="4">
        <v>10000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 t="s">
        <v>5442</v>
      </c>
      <c r="AQ1632" t="s">
        <v>1424</v>
      </c>
      <c r="AR1632" t="s">
        <v>6678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BC1632" t="s">
        <v>69</v>
      </c>
      <c r="BD1632" t="s">
        <v>5443</v>
      </c>
      <c r="BE1632">
        <v>0</v>
      </c>
      <c r="BG1632" t="s">
        <v>1424</v>
      </c>
      <c r="BJ1632" t="s">
        <v>5444</v>
      </c>
    </row>
    <row r="1633" spans="1:62" x14ac:dyDescent="0.35">
      <c r="A1633" t="s">
        <v>5445</v>
      </c>
      <c r="B1633">
        <v>10000</v>
      </c>
      <c r="C1633">
        <v>10000</v>
      </c>
      <c r="D1633" s="2">
        <v>45749</v>
      </c>
      <c r="E1633" t="s">
        <v>61</v>
      </c>
      <c r="F1633" t="s">
        <v>4036</v>
      </c>
      <c r="G1633" t="s">
        <v>4420</v>
      </c>
      <c r="I1633">
        <v>1</v>
      </c>
      <c r="J1633" t="s">
        <v>63</v>
      </c>
      <c r="K1633" s="8">
        <v>88</v>
      </c>
      <c r="L1633" s="8" t="s">
        <v>6610</v>
      </c>
      <c r="M1633" s="8" t="s">
        <v>6631</v>
      </c>
      <c r="N1633" t="s">
        <v>630</v>
      </c>
      <c r="O1633" t="s">
        <v>6571</v>
      </c>
      <c r="P1633">
        <v>800</v>
      </c>
      <c r="S1633" s="2">
        <v>45741</v>
      </c>
      <c r="U1633">
        <v>1</v>
      </c>
      <c r="V1633">
        <v>800</v>
      </c>
      <c r="W1633" t="s">
        <v>65</v>
      </c>
      <c r="X1633">
        <v>107472350001</v>
      </c>
      <c r="Y1633">
        <v>0</v>
      </c>
      <c r="Z1633">
        <v>500</v>
      </c>
      <c r="AA1633">
        <v>300</v>
      </c>
      <c r="AB1633">
        <v>0</v>
      </c>
      <c r="AC1633">
        <v>0</v>
      </c>
      <c r="AD1633">
        <v>0</v>
      </c>
      <c r="AG1633">
        <v>0</v>
      </c>
      <c r="AP1633">
        <v>10747235</v>
      </c>
      <c r="AQ1633" t="s">
        <v>487</v>
      </c>
      <c r="AR1633" t="s">
        <v>6656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BC1633" t="s">
        <v>69</v>
      </c>
      <c r="BD1633" t="s">
        <v>5446</v>
      </c>
      <c r="BE1633">
        <v>0</v>
      </c>
      <c r="BG1633" t="s">
        <v>487</v>
      </c>
      <c r="BJ1633" t="s">
        <v>5447</v>
      </c>
    </row>
    <row r="1634" spans="1:62" x14ac:dyDescent="0.35">
      <c r="A1634" t="s">
        <v>5448</v>
      </c>
      <c r="B1634">
        <v>10000</v>
      </c>
      <c r="C1634">
        <v>10000</v>
      </c>
      <c r="D1634" s="2">
        <v>45749</v>
      </c>
      <c r="E1634" t="s">
        <v>61</v>
      </c>
      <c r="F1634" t="s">
        <v>4036</v>
      </c>
      <c r="G1634" t="s">
        <v>4420</v>
      </c>
      <c r="I1634">
        <v>1</v>
      </c>
      <c r="J1634" t="s">
        <v>63</v>
      </c>
      <c r="K1634" s="8">
        <v>88</v>
      </c>
      <c r="L1634" s="8" t="s">
        <v>6610</v>
      </c>
      <c r="M1634" s="8" t="s">
        <v>6631</v>
      </c>
      <c r="N1634" t="s">
        <v>630</v>
      </c>
      <c r="O1634" t="s">
        <v>6571</v>
      </c>
      <c r="P1634">
        <v>800</v>
      </c>
      <c r="S1634" s="2">
        <v>45741</v>
      </c>
      <c r="U1634">
        <v>1</v>
      </c>
      <c r="V1634">
        <v>800</v>
      </c>
      <c r="W1634" t="s">
        <v>65</v>
      </c>
      <c r="X1634">
        <v>107472360001</v>
      </c>
      <c r="Y1634">
        <v>0</v>
      </c>
      <c r="Z1634">
        <v>500</v>
      </c>
      <c r="AA1634">
        <v>300</v>
      </c>
      <c r="AB1634">
        <v>0</v>
      </c>
      <c r="AC1634">
        <v>0</v>
      </c>
      <c r="AD1634">
        <v>0</v>
      </c>
      <c r="AG1634">
        <v>0</v>
      </c>
      <c r="AP1634">
        <v>10747236</v>
      </c>
      <c r="AQ1634" t="s">
        <v>487</v>
      </c>
      <c r="AR1634" t="s">
        <v>6656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BC1634" t="s">
        <v>69</v>
      </c>
      <c r="BD1634" t="s">
        <v>5449</v>
      </c>
      <c r="BE1634">
        <v>0</v>
      </c>
      <c r="BG1634" t="s">
        <v>487</v>
      </c>
      <c r="BJ1634" t="s">
        <v>5447</v>
      </c>
    </row>
    <row r="1635" spans="1:62" x14ac:dyDescent="0.35">
      <c r="A1635" t="s">
        <v>5448</v>
      </c>
      <c r="B1635">
        <v>10000</v>
      </c>
      <c r="C1635">
        <v>20000</v>
      </c>
      <c r="D1635" s="2">
        <v>45749</v>
      </c>
      <c r="E1635" t="s">
        <v>61</v>
      </c>
      <c r="F1635" t="s">
        <v>5450</v>
      </c>
      <c r="G1635" t="s">
        <v>4420</v>
      </c>
      <c r="I1635">
        <v>2</v>
      </c>
      <c r="J1635" t="s">
        <v>63</v>
      </c>
      <c r="K1635" s="8">
        <v>92</v>
      </c>
      <c r="L1635" s="8" t="s">
        <v>6614</v>
      </c>
      <c r="M1635" s="8" t="s">
        <v>6633</v>
      </c>
      <c r="N1635" t="s">
        <v>424</v>
      </c>
      <c r="O1635" t="s">
        <v>6570</v>
      </c>
      <c r="P1635">
        <v>600</v>
      </c>
      <c r="S1635" s="2">
        <v>45741</v>
      </c>
      <c r="U1635">
        <v>1</v>
      </c>
      <c r="V1635">
        <v>600</v>
      </c>
      <c r="W1635" t="s">
        <v>65</v>
      </c>
      <c r="X1635">
        <v>107472360001</v>
      </c>
      <c r="Y1635">
        <v>0</v>
      </c>
      <c r="Z1635">
        <v>500</v>
      </c>
      <c r="AA1635">
        <v>100</v>
      </c>
      <c r="AB1635">
        <v>0</v>
      </c>
      <c r="AC1635">
        <v>0</v>
      </c>
      <c r="AD1635">
        <v>0</v>
      </c>
      <c r="AG1635">
        <v>0</v>
      </c>
      <c r="AP1635">
        <v>10747236</v>
      </c>
      <c r="AQ1635" t="s">
        <v>487</v>
      </c>
      <c r="AR1635" t="s">
        <v>6656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BC1635" t="s">
        <v>69</v>
      </c>
      <c r="BD1635" t="s">
        <v>5449</v>
      </c>
      <c r="BE1635">
        <v>0</v>
      </c>
      <c r="BG1635" t="s">
        <v>487</v>
      </c>
      <c r="BJ1635" t="s">
        <v>5447</v>
      </c>
    </row>
    <row r="1636" spans="1:62" x14ac:dyDescent="0.35">
      <c r="A1636" t="s">
        <v>5451</v>
      </c>
      <c r="B1636">
        <v>10000</v>
      </c>
      <c r="C1636">
        <v>10000</v>
      </c>
      <c r="D1636" s="2">
        <v>45749</v>
      </c>
      <c r="E1636" t="s">
        <v>61</v>
      </c>
      <c r="F1636" t="s">
        <v>4036</v>
      </c>
      <c r="G1636" t="s">
        <v>4420</v>
      </c>
      <c r="I1636">
        <v>1</v>
      </c>
      <c r="J1636" t="s">
        <v>63</v>
      </c>
      <c r="K1636" s="8">
        <v>88</v>
      </c>
      <c r="L1636" s="8" t="s">
        <v>6610</v>
      </c>
      <c r="M1636" s="8" t="s">
        <v>6631</v>
      </c>
      <c r="N1636" t="s">
        <v>630</v>
      </c>
      <c r="O1636" t="s">
        <v>6571</v>
      </c>
      <c r="P1636">
        <v>20</v>
      </c>
      <c r="S1636" s="2">
        <v>45741</v>
      </c>
      <c r="U1636">
        <v>1</v>
      </c>
      <c r="V1636">
        <v>20</v>
      </c>
      <c r="W1636" t="s">
        <v>65</v>
      </c>
      <c r="X1636">
        <v>107472350001</v>
      </c>
      <c r="Y1636">
        <v>0</v>
      </c>
      <c r="Z1636">
        <v>20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>
        <v>10747235</v>
      </c>
      <c r="AQ1636" t="s">
        <v>487</v>
      </c>
      <c r="AR1636" t="s">
        <v>6656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BC1636" t="s">
        <v>69</v>
      </c>
      <c r="BD1636" t="s">
        <v>5452</v>
      </c>
      <c r="BE1636">
        <v>0</v>
      </c>
      <c r="BG1636" t="s">
        <v>487</v>
      </c>
      <c r="BJ1636" t="s">
        <v>5453</v>
      </c>
    </row>
    <row r="1637" spans="1:62" x14ac:dyDescent="0.35">
      <c r="A1637" t="s">
        <v>5454</v>
      </c>
      <c r="B1637">
        <v>10000</v>
      </c>
      <c r="C1637">
        <v>10000</v>
      </c>
      <c r="D1637" s="2">
        <v>45749</v>
      </c>
      <c r="E1637" t="s">
        <v>61</v>
      </c>
      <c r="F1637" t="s">
        <v>5450</v>
      </c>
      <c r="G1637" t="s">
        <v>4420</v>
      </c>
      <c r="I1637">
        <v>1</v>
      </c>
      <c r="J1637" t="s">
        <v>63</v>
      </c>
      <c r="K1637" s="8">
        <v>88</v>
      </c>
      <c r="L1637" s="8" t="s">
        <v>6610</v>
      </c>
      <c r="M1637" s="8" t="s">
        <v>6631</v>
      </c>
      <c r="N1637" t="s">
        <v>630</v>
      </c>
      <c r="O1637" t="s">
        <v>6571</v>
      </c>
      <c r="P1637">
        <v>20</v>
      </c>
      <c r="S1637" s="2">
        <v>45741</v>
      </c>
      <c r="U1637">
        <v>1</v>
      </c>
      <c r="V1637">
        <v>20</v>
      </c>
      <c r="W1637" t="s">
        <v>65</v>
      </c>
      <c r="X1637">
        <v>107472360001</v>
      </c>
      <c r="Y1637">
        <v>0</v>
      </c>
      <c r="Z1637">
        <v>20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>
        <v>10747236</v>
      </c>
      <c r="AQ1637" t="s">
        <v>487</v>
      </c>
      <c r="AR1637" t="s">
        <v>6656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BC1637" t="s">
        <v>69</v>
      </c>
      <c r="BD1637" t="s">
        <v>5455</v>
      </c>
      <c r="BE1637">
        <v>0</v>
      </c>
      <c r="BG1637" t="s">
        <v>487</v>
      </c>
      <c r="BJ1637" t="s">
        <v>5453</v>
      </c>
    </row>
    <row r="1638" spans="1:62" x14ac:dyDescent="0.35">
      <c r="A1638" t="s">
        <v>5454</v>
      </c>
      <c r="B1638">
        <v>10000</v>
      </c>
      <c r="C1638">
        <v>20000</v>
      </c>
      <c r="D1638" s="2">
        <v>45749</v>
      </c>
      <c r="E1638" t="s">
        <v>61</v>
      </c>
      <c r="F1638" t="s">
        <v>5450</v>
      </c>
      <c r="G1638" t="s">
        <v>4420</v>
      </c>
      <c r="I1638">
        <v>2</v>
      </c>
      <c r="J1638" t="s">
        <v>63</v>
      </c>
      <c r="K1638" s="8">
        <v>92</v>
      </c>
      <c r="L1638" s="8" t="s">
        <v>6614</v>
      </c>
      <c r="M1638" s="8" t="s">
        <v>6633</v>
      </c>
      <c r="N1638" t="s">
        <v>424</v>
      </c>
      <c r="O1638" t="s">
        <v>6570</v>
      </c>
      <c r="P1638">
        <v>20</v>
      </c>
      <c r="S1638" s="2">
        <v>45741</v>
      </c>
      <c r="U1638">
        <v>1</v>
      </c>
      <c r="V1638">
        <v>20</v>
      </c>
      <c r="W1638" t="s">
        <v>65</v>
      </c>
      <c r="X1638">
        <v>107472360001</v>
      </c>
      <c r="Y1638">
        <v>0</v>
      </c>
      <c r="Z1638">
        <v>20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>
        <v>10747236</v>
      </c>
      <c r="AQ1638" t="s">
        <v>487</v>
      </c>
      <c r="AR1638" t="s">
        <v>6656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BC1638" t="s">
        <v>69</v>
      </c>
      <c r="BD1638" t="s">
        <v>5455</v>
      </c>
      <c r="BE1638">
        <v>0</v>
      </c>
      <c r="BG1638" t="s">
        <v>487</v>
      </c>
      <c r="BJ1638" t="s">
        <v>5453</v>
      </c>
    </row>
    <row r="1639" spans="1:62" x14ac:dyDescent="0.35">
      <c r="A1639" t="s">
        <v>5456</v>
      </c>
      <c r="B1639">
        <v>10000</v>
      </c>
      <c r="C1639">
        <v>10000</v>
      </c>
      <c r="D1639" s="2">
        <v>45741</v>
      </c>
      <c r="E1639" t="s">
        <v>61</v>
      </c>
      <c r="F1639" t="s">
        <v>5457</v>
      </c>
      <c r="G1639" t="s">
        <v>5458</v>
      </c>
      <c r="I1639">
        <v>1</v>
      </c>
      <c r="J1639" t="s">
        <v>63</v>
      </c>
      <c r="K1639" s="8">
        <v>65</v>
      </c>
      <c r="L1639" s="8" t="s">
        <v>6596</v>
      </c>
      <c r="M1639" s="8" t="s">
        <v>6630</v>
      </c>
      <c r="N1639" t="s">
        <v>268</v>
      </c>
      <c r="O1639" t="s">
        <v>6543</v>
      </c>
      <c r="P1639" s="4">
        <v>6667</v>
      </c>
      <c r="Q1639">
        <f>(P1639/40)+45</f>
        <v>211.67500000000001</v>
      </c>
      <c r="R1639">
        <f>Q1639/60</f>
        <v>3.527916666666667</v>
      </c>
      <c r="S1639" s="2">
        <v>45741</v>
      </c>
      <c r="U1639">
        <v>30</v>
      </c>
      <c r="V1639" s="4">
        <v>200010</v>
      </c>
      <c r="W1639" t="s">
        <v>65</v>
      </c>
      <c r="X1639" t="s">
        <v>5459</v>
      </c>
      <c r="Y1639">
        <v>0</v>
      </c>
      <c r="Z1639" s="4">
        <v>200000</v>
      </c>
      <c r="AA1639">
        <v>10</v>
      </c>
      <c r="AB1639">
        <v>0</v>
      </c>
      <c r="AC1639">
        <v>0</v>
      </c>
      <c r="AD1639">
        <v>0</v>
      </c>
      <c r="AG1639">
        <v>0</v>
      </c>
      <c r="AP1639" t="s">
        <v>5460</v>
      </c>
      <c r="AQ1639" t="s">
        <v>5461</v>
      </c>
      <c r="AR1639" t="s">
        <v>6741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BC1639" t="s">
        <v>69</v>
      </c>
      <c r="BD1639" t="s">
        <v>5462</v>
      </c>
      <c r="BE1639">
        <v>0</v>
      </c>
      <c r="BG1639" t="s">
        <v>5461</v>
      </c>
      <c r="BJ1639" t="s">
        <v>5463</v>
      </c>
    </row>
    <row r="1640" spans="1:62" x14ac:dyDescent="0.35">
      <c r="A1640" t="s">
        <v>5464</v>
      </c>
      <c r="B1640">
        <v>10000</v>
      </c>
      <c r="C1640">
        <v>10000</v>
      </c>
      <c r="D1640" s="2">
        <v>45742</v>
      </c>
      <c r="E1640" t="s">
        <v>61</v>
      </c>
      <c r="F1640" t="s">
        <v>5465</v>
      </c>
      <c r="G1640" t="s">
        <v>5466</v>
      </c>
      <c r="I1640">
        <v>1</v>
      </c>
      <c r="J1640" t="s">
        <v>63</v>
      </c>
      <c r="K1640" s="8">
        <v>88</v>
      </c>
      <c r="L1640" s="8" t="s">
        <v>6610</v>
      </c>
      <c r="M1640" s="8" t="s">
        <v>6631</v>
      </c>
      <c r="N1640" t="s">
        <v>630</v>
      </c>
      <c r="O1640" t="s">
        <v>6571</v>
      </c>
      <c r="P1640">
        <v>800</v>
      </c>
      <c r="S1640" s="2">
        <v>45741</v>
      </c>
      <c r="U1640">
        <v>1</v>
      </c>
      <c r="V1640">
        <v>800</v>
      </c>
      <c r="W1640" t="s">
        <v>65</v>
      </c>
      <c r="X1640">
        <v>190073640001</v>
      </c>
      <c r="Y1640">
        <v>0</v>
      </c>
      <c r="Z1640">
        <v>500</v>
      </c>
      <c r="AA1640">
        <v>300</v>
      </c>
      <c r="AB1640">
        <v>0</v>
      </c>
      <c r="AC1640">
        <v>0</v>
      </c>
      <c r="AD1640">
        <v>0</v>
      </c>
      <c r="AG1640">
        <v>0</v>
      </c>
      <c r="AP1640">
        <v>19007364</v>
      </c>
      <c r="AQ1640" t="s">
        <v>487</v>
      </c>
      <c r="AR1640" t="s">
        <v>6656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BC1640" t="s">
        <v>69</v>
      </c>
      <c r="BD1640" t="s">
        <v>5467</v>
      </c>
      <c r="BE1640">
        <v>0</v>
      </c>
      <c r="BG1640" t="s">
        <v>487</v>
      </c>
      <c r="BJ1640" t="s">
        <v>5468</v>
      </c>
    </row>
    <row r="1641" spans="1:62" x14ac:dyDescent="0.35">
      <c r="A1641" t="s">
        <v>5464</v>
      </c>
      <c r="B1641">
        <v>10000</v>
      </c>
      <c r="C1641">
        <v>20000</v>
      </c>
      <c r="D1641" s="2">
        <v>45742</v>
      </c>
      <c r="E1641" t="s">
        <v>61</v>
      </c>
      <c r="F1641" t="s">
        <v>5465</v>
      </c>
      <c r="G1641" t="s">
        <v>5466</v>
      </c>
      <c r="I1641">
        <v>2</v>
      </c>
      <c r="J1641" t="s">
        <v>63</v>
      </c>
      <c r="K1641" s="8">
        <v>100</v>
      </c>
      <c r="L1641" s="8" t="s">
        <v>6613</v>
      </c>
      <c r="M1641" s="8" t="s">
        <v>6633</v>
      </c>
      <c r="N1641" t="s">
        <v>424</v>
      </c>
      <c r="O1641" t="s">
        <v>6570</v>
      </c>
      <c r="P1641">
        <v>600</v>
      </c>
      <c r="S1641" s="2">
        <v>45741</v>
      </c>
      <c r="U1641">
        <v>1</v>
      </c>
      <c r="V1641">
        <v>600</v>
      </c>
      <c r="W1641" t="s">
        <v>65</v>
      </c>
      <c r="X1641">
        <v>190073640001</v>
      </c>
      <c r="Y1641">
        <v>0</v>
      </c>
      <c r="Z1641">
        <v>500</v>
      </c>
      <c r="AA1641">
        <v>100</v>
      </c>
      <c r="AB1641">
        <v>0</v>
      </c>
      <c r="AC1641">
        <v>0</v>
      </c>
      <c r="AD1641">
        <v>0</v>
      </c>
      <c r="AG1641">
        <v>0</v>
      </c>
      <c r="AP1641">
        <v>19007364</v>
      </c>
      <c r="AQ1641" t="s">
        <v>487</v>
      </c>
      <c r="AR1641" t="s">
        <v>6656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BC1641" t="s">
        <v>69</v>
      </c>
      <c r="BD1641" t="s">
        <v>5467</v>
      </c>
      <c r="BE1641">
        <v>0</v>
      </c>
      <c r="BG1641" t="s">
        <v>487</v>
      </c>
      <c r="BJ1641" t="s">
        <v>5468</v>
      </c>
    </row>
    <row r="1642" spans="1:62" x14ac:dyDescent="0.35">
      <c r="A1642" t="s">
        <v>5469</v>
      </c>
      <c r="B1642">
        <v>10000</v>
      </c>
      <c r="C1642">
        <v>10000</v>
      </c>
      <c r="D1642" s="2">
        <v>45742</v>
      </c>
      <c r="E1642" t="s">
        <v>61</v>
      </c>
      <c r="F1642" t="s">
        <v>5470</v>
      </c>
      <c r="G1642" t="s">
        <v>5466</v>
      </c>
      <c r="I1642">
        <v>1</v>
      </c>
      <c r="J1642" t="s">
        <v>63</v>
      </c>
      <c r="K1642" s="8">
        <v>88</v>
      </c>
      <c r="L1642" s="8" t="s">
        <v>6610</v>
      </c>
      <c r="M1642" s="8" t="s">
        <v>6631</v>
      </c>
      <c r="N1642" t="s">
        <v>630</v>
      </c>
      <c r="O1642" t="s">
        <v>6571</v>
      </c>
      <c r="P1642">
        <v>800</v>
      </c>
      <c r="S1642" s="2">
        <v>45741</v>
      </c>
      <c r="U1642">
        <v>1</v>
      </c>
      <c r="V1642">
        <v>800</v>
      </c>
      <c r="W1642" t="s">
        <v>65</v>
      </c>
      <c r="X1642">
        <v>190073660001</v>
      </c>
      <c r="Y1642">
        <v>0</v>
      </c>
      <c r="Z1642">
        <v>500</v>
      </c>
      <c r="AA1642">
        <v>300</v>
      </c>
      <c r="AB1642">
        <v>0</v>
      </c>
      <c r="AC1642">
        <v>0</v>
      </c>
      <c r="AD1642">
        <v>0</v>
      </c>
      <c r="AG1642">
        <v>0</v>
      </c>
      <c r="AP1642">
        <v>19007366</v>
      </c>
      <c r="AQ1642" t="s">
        <v>487</v>
      </c>
      <c r="AR1642" t="s">
        <v>6656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BC1642" t="s">
        <v>69</v>
      </c>
      <c r="BD1642" t="s">
        <v>5471</v>
      </c>
      <c r="BE1642">
        <v>0</v>
      </c>
      <c r="BG1642" t="s">
        <v>487</v>
      </c>
      <c r="BJ1642" t="s">
        <v>5468</v>
      </c>
    </row>
    <row r="1643" spans="1:62" x14ac:dyDescent="0.35">
      <c r="A1643" t="s">
        <v>5469</v>
      </c>
      <c r="B1643">
        <v>10000</v>
      </c>
      <c r="C1643">
        <v>20000</v>
      </c>
      <c r="D1643" s="2">
        <v>45742</v>
      </c>
      <c r="E1643" t="s">
        <v>61</v>
      </c>
      <c r="F1643" t="s">
        <v>5470</v>
      </c>
      <c r="G1643" t="s">
        <v>5466</v>
      </c>
      <c r="I1643">
        <v>2</v>
      </c>
      <c r="J1643" t="s">
        <v>63</v>
      </c>
      <c r="K1643" s="8">
        <v>100</v>
      </c>
      <c r="L1643" s="8" t="s">
        <v>6613</v>
      </c>
      <c r="M1643" s="8" t="s">
        <v>6633</v>
      </c>
      <c r="N1643" t="s">
        <v>424</v>
      </c>
      <c r="O1643" t="s">
        <v>6570</v>
      </c>
      <c r="P1643">
        <v>600</v>
      </c>
      <c r="S1643" s="2">
        <v>45741</v>
      </c>
      <c r="U1643">
        <v>1</v>
      </c>
      <c r="V1643">
        <v>600</v>
      </c>
      <c r="W1643" t="s">
        <v>65</v>
      </c>
      <c r="X1643">
        <v>190073660001</v>
      </c>
      <c r="Y1643">
        <v>0</v>
      </c>
      <c r="Z1643">
        <v>500</v>
      </c>
      <c r="AA1643">
        <v>100</v>
      </c>
      <c r="AB1643">
        <v>0</v>
      </c>
      <c r="AC1643">
        <v>0</v>
      </c>
      <c r="AD1643">
        <v>0</v>
      </c>
      <c r="AG1643">
        <v>0</v>
      </c>
      <c r="AP1643">
        <v>19007366</v>
      </c>
      <c r="AQ1643" t="s">
        <v>487</v>
      </c>
      <c r="AR1643" t="s">
        <v>6656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BC1643" t="s">
        <v>69</v>
      </c>
      <c r="BD1643" t="s">
        <v>5471</v>
      </c>
      <c r="BE1643">
        <v>0</v>
      </c>
      <c r="BG1643" t="s">
        <v>487</v>
      </c>
      <c r="BJ1643" t="s">
        <v>5468</v>
      </c>
    </row>
    <row r="1644" spans="1:62" x14ac:dyDescent="0.35">
      <c r="A1644" t="s">
        <v>5472</v>
      </c>
      <c r="B1644">
        <v>10000</v>
      </c>
      <c r="C1644">
        <v>10000</v>
      </c>
      <c r="D1644" s="2">
        <v>45742</v>
      </c>
      <c r="E1644" t="s">
        <v>61</v>
      </c>
      <c r="F1644" t="s">
        <v>5473</v>
      </c>
      <c r="G1644" t="s">
        <v>5466</v>
      </c>
      <c r="I1644">
        <v>1</v>
      </c>
      <c r="J1644" t="s">
        <v>63</v>
      </c>
      <c r="K1644" s="8">
        <v>88</v>
      </c>
      <c r="L1644" s="8" t="s">
        <v>6610</v>
      </c>
      <c r="M1644" s="8" t="s">
        <v>6631</v>
      </c>
      <c r="N1644" t="s">
        <v>630</v>
      </c>
      <c r="O1644" t="s">
        <v>6571</v>
      </c>
      <c r="P1644">
        <v>20</v>
      </c>
      <c r="S1644" s="2">
        <v>45741</v>
      </c>
      <c r="U1644">
        <v>1</v>
      </c>
      <c r="V1644">
        <v>20</v>
      </c>
      <c r="W1644" t="s">
        <v>65</v>
      </c>
      <c r="X1644">
        <v>190073640001</v>
      </c>
      <c r="Y1644">
        <v>0</v>
      </c>
      <c r="Z1644">
        <v>20</v>
      </c>
      <c r="AA1644">
        <v>0</v>
      </c>
      <c r="AB1644">
        <v>0</v>
      </c>
      <c r="AC1644">
        <v>0</v>
      </c>
      <c r="AD1644">
        <v>0</v>
      </c>
      <c r="AG1644">
        <v>0</v>
      </c>
      <c r="AP1644">
        <v>19007364</v>
      </c>
      <c r="AQ1644" t="s">
        <v>487</v>
      </c>
      <c r="AR1644" t="s">
        <v>6656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BC1644" t="s">
        <v>69</v>
      </c>
      <c r="BD1644" t="s">
        <v>5474</v>
      </c>
      <c r="BE1644">
        <v>0</v>
      </c>
      <c r="BG1644" t="s">
        <v>487</v>
      </c>
      <c r="BJ1644" t="s">
        <v>5475</v>
      </c>
    </row>
    <row r="1645" spans="1:62" x14ac:dyDescent="0.35">
      <c r="A1645" t="s">
        <v>5472</v>
      </c>
      <c r="B1645">
        <v>10000</v>
      </c>
      <c r="C1645">
        <v>20000</v>
      </c>
      <c r="D1645" s="2">
        <v>45742</v>
      </c>
      <c r="E1645" t="s">
        <v>61</v>
      </c>
      <c r="F1645" t="s">
        <v>5473</v>
      </c>
      <c r="G1645" t="s">
        <v>5466</v>
      </c>
      <c r="I1645">
        <v>2</v>
      </c>
      <c r="J1645" t="s">
        <v>63</v>
      </c>
      <c r="K1645" s="8">
        <v>100</v>
      </c>
      <c r="L1645" s="8" t="s">
        <v>6613</v>
      </c>
      <c r="M1645" s="8" t="s">
        <v>6633</v>
      </c>
      <c r="N1645" t="s">
        <v>424</v>
      </c>
      <c r="O1645" t="s">
        <v>6570</v>
      </c>
      <c r="P1645">
        <v>20</v>
      </c>
      <c r="S1645" s="2">
        <v>45741</v>
      </c>
      <c r="U1645">
        <v>1</v>
      </c>
      <c r="V1645">
        <v>20</v>
      </c>
      <c r="W1645" t="s">
        <v>65</v>
      </c>
      <c r="X1645">
        <v>190073640001</v>
      </c>
      <c r="Y1645">
        <v>0</v>
      </c>
      <c r="Z1645">
        <v>20</v>
      </c>
      <c r="AA1645">
        <v>0</v>
      </c>
      <c r="AB1645">
        <v>0</v>
      </c>
      <c r="AC1645">
        <v>0</v>
      </c>
      <c r="AD1645">
        <v>0</v>
      </c>
      <c r="AG1645">
        <v>0</v>
      </c>
      <c r="AP1645">
        <v>19007364</v>
      </c>
      <c r="AQ1645" t="s">
        <v>487</v>
      </c>
      <c r="AR1645" t="s">
        <v>6656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BC1645" t="s">
        <v>69</v>
      </c>
      <c r="BD1645" t="s">
        <v>5474</v>
      </c>
      <c r="BE1645">
        <v>0</v>
      </c>
      <c r="BG1645" t="s">
        <v>487</v>
      </c>
      <c r="BJ1645" t="s">
        <v>5475</v>
      </c>
    </row>
    <row r="1646" spans="1:62" x14ac:dyDescent="0.35">
      <c r="A1646" t="s">
        <v>5476</v>
      </c>
      <c r="B1646">
        <v>10000</v>
      </c>
      <c r="C1646">
        <v>10000</v>
      </c>
      <c r="D1646" s="2">
        <v>45742</v>
      </c>
      <c r="E1646" t="s">
        <v>61</v>
      </c>
      <c r="F1646" t="s">
        <v>5477</v>
      </c>
      <c r="G1646" t="s">
        <v>5466</v>
      </c>
      <c r="I1646">
        <v>1</v>
      </c>
      <c r="J1646" t="s">
        <v>63</v>
      </c>
      <c r="K1646" s="8">
        <v>88</v>
      </c>
      <c r="L1646" s="8" t="s">
        <v>6610</v>
      </c>
      <c r="M1646" s="8" t="s">
        <v>6631</v>
      </c>
      <c r="N1646" t="s">
        <v>630</v>
      </c>
      <c r="O1646" t="s">
        <v>6571</v>
      </c>
      <c r="P1646">
        <v>20</v>
      </c>
      <c r="S1646" s="2">
        <v>45741</v>
      </c>
      <c r="U1646">
        <v>1</v>
      </c>
      <c r="V1646">
        <v>20</v>
      </c>
      <c r="W1646" t="s">
        <v>65</v>
      </c>
      <c r="X1646">
        <v>190073660001</v>
      </c>
      <c r="Y1646">
        <v>0</v>
      </c>
      <c r="Z1646">
        <v>20</v>
      </c>
      <c r="AA1646">
        <v>0</v>
      </c>
      <c r="AB1646">
        <v>0</v>
      </c>
      <c r="AC1646">
        <v>0</v>
      </c>
      <c r="AD1646">
        <v>0</v>
      </c>
      <c r="AG1646">
        <v>0</v>
      </c>
      <c r="AP1646">
        <v>19007366</v>
      </c>
      <c r="AQ1646" t="s">
        <v>487</v>
      </c>
      <c r="AR1646" t="s">
        <v>6656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BC1646" t="s">
        <v>69</v>
      </c>
      <c r="BD1646" t="s">
        <v>5478</v>
      </c>
      <c r="BE1646">
        <v>0</v>
      </c>
      <c r="BG1646" t="s">
        <v>487</v>
      </c>
      <c r="BJ1646" t="s">
        <v>5475</v>
      </c>
    </row>
    <row r="1647" spans="1:62" x14ac:dyDescent="0.35">
      <c r="A1647" t="s">
        <v>5476</v>
      </c>
      <c r="B1647">
        <v>10000</v>
      </c>
      <c r="C1647">
        <v>20000</v>
      </c>
      <c r="D1647" s="2">
        <v>45742</v>
      </c>
      <c r="E1647" t="s">
        <v>61</v>
      </c>
      <c r="F1647" t="s">
        <v>5477</v>
      </c>
      <c r="G1647" t="s">
        <v>5466</v>
      </c>
      <c r="I1647">
        <v>2</v>
      </c>
      <c r="J1647" t="s">
        <v>63</v>
      </c>
      <c r="K1647" s="8">
        <v>100</v>
      </c>
      <c r="L1647" s="8" t="s">
        <v>6613</v>
      </c>
      <c r="M1647" s="8" t="s">
        <v>6633</v>
      </c>
      <c r="N1647" t="s">
        <v>424</v>
      </c>
      <c r="O1647" t="s">
        <v>6570</v>
      </c>
      <c r="P1647">
        <v>20</v>
      </c>
      <c r="S1647" s="2">
        <v>45741</v>
      </c>
      <c r="U1647">
        <v>1</v>
      </c>
      <c r="V1647">
        <v>20</v>
      </c>
      <c r="W1647" t="s">
        <v>65</v>
      </c>
      <c r="X1647">
        <v>190073660001</v>
      </c>
      <c r="Y1647">
        <v>0</v>
      </c>
      <c r="Z1647">
        <v>20</v>
      </c>
      <c r="AA1647">
        <v>0</v>
      </c>
      <c r="AB1647">
        <v>0</v>
      </c>
      <c r="AC1647">
        <v>0</v>
      </c>
      <c r="AD1647">
        <v>0</v>
      </c>
      <c r="AG1647">
        <v>0</v>
      </c>
      <c r="AP1647">
        <v>19007366</v>
      </c>
      <c r="AQ1647" t="s">
        <v>487</v>
      </c>
      <c r="AR1647" t="s">
        <v>6656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BC1647" t="s">
        <v>69</v>
      </c>
      <c r="BD1647" t="s">
        <v>5478</v>
      </c>
      <c r="BE1647">
        <v>0</v>
      </c>
      <c r="BG1647" t="s">
        <v>487</v>
      </c>
      <c r="BJ1647" t="s">
        <v>5475</v>
      </c>
    </row>
    <row r="1648" spans="1:62" x14ac:dyDescent="0.35">
      <c r="A1648" t="s">
        <v>5479</v>
      </c>
      <c r="B1648">
        <v>10000</v>
      </c>
      <c r="C1648">
        <v>10000</v>
      </c>
      <c r="D1648" s="2">
        <v>45742</v>
      </c>
      <c r="E1648" t="s">
        <v>61</v>
      </c>
      <c r="F1648" t="s">
        <v>5480</v>
      </c>
      <c r="G1648" t="s">
        <v>4340</v>
      </c>
      <c r="I1648">
        <v>1</v>
      </c>
      <c r="J1648" t="s">
        <v>63</v>
      </c>
      <c r="K1648" s="8">
        <v>72</v>
      </c>
      <c r="L1648" s="8" t="s">
        <v>6606</v>
      </c>
      <c r="M1648" s="8" t="s">
        <v>6631</v>
      </c>
      <c r="N1648" t="s">
        <v>163</v>
      </c>
      <c r="O1648" t="s">
        <v>6548</v>
      </c>
      <c r="P1648" s="4">
        <v>9000</v>
      </c>
      <c r="S1648" s="2">
        <v>45741</v>
      </c>
      <c r="U1648">
        <v>4</v>
      </c>
      <c r="V1648" s="4">
        <v>36000</v>
      </c>
      <c r="W1648" t="s">
        <v>65</v>
      </c>
      <c r="X1648" t="s">
        <v>5481</v>
      </c>
      <c r="Y1648">
        <v>0</v>
      </c>
      <c r="Z1648" s="4">
        <v>30000</v>
      </c>
      <c r="AA1648" s="4">
        <v>6000</v>
      </c>
      <c r="AB1648">
        <v>0</v>
      </c>
      <c r="AC1648">
        <v>0</v>
      </c>
      <c r="AD1648">
        <v>0</v>
      </c>
      <c r="AG1648">
        <v>0</v>
      </c>
      <c r="AP1648" t="s">
        <v>5482</v>
      </c>
      <c r="AQ1648" t="s">
        <v>91</v>
      </c>
      <c r="AR1648" t="s">
        <v>6637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BC1648" t="s">
        <v>69</v>
      </c>
      <c r="BD1648" t="s">
        <v>5483</v>
      </c>
      <c r="BE1648">
        <v>0</v>
      </c>
      <c r="BG1648" t="s">
        <v>91</v>
      </c>
      <c r="BJ1648" t="s">
        <v>5484</v>
      </c>
    </row>
    <row r="1649" spans="1:62" x14ac:dyDescent="0.35">
      <c r="A1649" t="s">
        <v>5485</v>
      </c>
      <c r="B1649">
        <v>10000</v>
      </c>
      <c r="C1649">
        <v>10000</v>
      </c>
      <c r="D1649" s="2">
        <v>45742</v>
      </c>
      <c r="E1649" t="s">
        <v>61</v>
      </c>
      <c r="F1649" s="3">
        <v>0.46181712962962962</v>
      </c>
      <c r="G1649" t="s">
        <v>4340</v>
      </c>
      <c r="I1649">
        <v>1</v>
      </c>
      <c r="J1649" t="s">
        <v>63</v>
      </c>
      <c r="K1649" s="8">
        <v>72</v>
      </c>
      <c r="L1649" s="8" t="s">
        <v>6606</v>
      </c>
      <c r="M1649" s="8" t="s">
        <v>6631</v>
      </c>
      <c r="N1649" t="s">
        <v>163</v>
      </c>
      <c r="O1649" t="s">
        <v>6548</v>
      </c>
      <c r="P1649" s="4">
        <v>3000</v>
      </c>
      <c r="S1649" s="2">
        <v>45741</v>
      </c>
      <c r="U1649">
        <v>4</v>
      </c>
      <c r="V1649" s="4">
        <v>12000</v>
      </c>
      <c r="W1649" t="s">
        <v>65</v>
      </c>
      <c r="X1649" t="s">
        <v>5486</v>
      </c>
      <c r="Y1649">
        <v>0</v>
      </c>
      <c r="Z1649" s="4">
        <v>10000</v>
      </c>
      <c r="AA1649" s="4">
        <v>2000</v>
      </c>
      <c r="AB1649">
        <v>0</v>
      </c>
      <c r="AC1649">
        <v>0</v>
      </c>
      <c r="AD1649">
        <v>0</v>
      </c>
      <c r="AG1649">
        <v>0</v>
      </c>
      <c r="AP1649" t="s">
        <v>5487</v>
      </c>
      <c r="AQ1649" t="s">
        <v>91</v>
      </c>
      <c r="AR1649" t="s">
        <v>6637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BC1649" t="s">
        <v>69</v>
      </c>
      <c r="BD1649" t="s">
        <v>5488</v>
      </c>
      <c r="BE1649">
        <v>0</v>
      </c>
      <c r="BG1649" t="s">
        <v>91</v>
      </c>
      <c r="BJ1649" t="s">
        <v>5484</v>
      </c>
    </row>
    <row r="1650" spans="1:62" x14ac:dyDescent="0.35">
      <c r="A1650" t="s">
        <v>5485</v>
      </c>
      <c r="B1650">
        <v>10000</v>
      </c>
      <c r="C1650">
        <v>20000</v>
      </c>
      <c r="D1650" s="2">
        <v>45742</v>
      </c>
      <c r="E1650" t="s">
        <v>61</v>
      </c>
      <c r="F1650" s="3">
        <v>0.46181712962962962</v>
      </c>
      <c r="G1650" t="s">
        <v>4340</v>
      </c>
      <c r="I1650">
        <v>2</v>
      </c>
      <c r="J1650" t="s">
        <v>63</v>
      </c>
      <c r="K1650" s="8">
        <v>71</v>
      </c>
      <c r="L1650" s="8" t="s">
        <v>6588</v>
      </c>
      <c r="M1650" s="8" t="s">
        <v>6630</v>
      </c>
      <c r="N1650" t="s">
        <v>135</v>
      </c>
      <c r="O1650" t="s">
        <v>6573</v>
      </c>
      <c r="P1650" s="4">
        <v>2500</v>
      </c>
      <c r="S1650" s="2">
        <v>45741</v>
      </c>
      <c r="U1650">
        <v>4</v>
      </c>
      <c r="V1650" s="4">
        <v>10000</v>
      </c>
      <c r="W1650" t="s">
        <v>65</v>
      </c>
      <c r="X1650" t="s">
        <v>5486</v>
      </c>
      <c r="Y1650">
        <v>0</v>
      </c>
      <c r="Z1650" s="4">
        <v>10000</v>
      </c>
      <c r="AA1650">
        <v>0</v>
      </c>
      <c r="AB1650">
        <v>0</v>
      </c>
      <c r="AC1650">
        <v>0</v>
      </c>
      <c r="AD1650">
        <v>0</v>
      </c>
      <c r="AG1650">
        <v>0</v>
      </c>
      <c r="AP1650" t="s">
        <v>5487</v>
      </c>
      <c r="AQ1650" t="s">
        <v>91</v>
      </c>
      <c r="AR1650" t="s">
        <v>6637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BC1650" t="s">
        <v>69</v>
      </c>
      <c r="BD1650" t="s">
        <v>5488</v>
      </c>
      <c r="BE1650">
        <v>0</v>
      </c>
      <c r="BG1650" t="s">
        <v>91</v>
      </c>
      <c r="BJ1650" t="s">
        <v>5484</v>
      </c>
    </row>
    <row r="1651" spans="1:62" x14ac:dyDescent="0.35">
      <c r="A1651" t="s">
        <v>5489</v>
      </c>
      <c r="B1651">
        <v>10000</v>
      </c>
      <c r="C1651">
        <v>10000</v>
      </c>
      <c r="D1651" s="2">
        <v>45742</v>
      </c>
      <c r="E1651" t="s">
        <v>61</v>
      </c>
      <c r="F1651" s="3">
        <v>0.46135416666666668</v>
      </c>
      <c r="G1651" t="s">
        <v>4340</v>
      </c>
      <c r="I1651">
        <v>1</v>
      </c>
      <c r="J1651" t="s">
        <v>63</v>
      </c>
      <c r="K1651" s="8">
        <v>72</v>
      </c>
      <c r="L1651" s="8" t="s">
        <v>6606</v>
      </c>
      <c r="M1651" s="8" t="s">
        <v>6631</v>
      </c>
      <c r="N1651" t="s">
        <v>163</v>
      </c>
      <c r="O1651" t="s">
        <v>6548</v>
      </c>
      <c r="P1651" s="4">
        <v>3000</v>
      </c>
      <c r="S1651" s="2">
        <v>45741</v>
      </c>
      <c r="U1651">
        <v>4</v>
      </c>
      <c r="V1651" s="4">
        <v>12000</v>
      </c>
      <c r="W1651" t="s">
        <v>65</v>
      </c>
      <c r="X1651" t="s">
        <v>5490</v>
      </c>
      <c r="Y1651">
        <v>0</v>
      </c>
      <c r="Z1651" s="4">
        <v>10000</v>
      </c>
      <c r="AA1651" s="4">
        <v>2000</v>
      </c>
      <c r="AB1651">
        <v>0</v>
      </c>
      <c r="AC1651">
        <v>0</v>
      </c>
      <c r="AD1651">
        <v>0</v>
      </c>
      <c r="AG1651">
        <v>0</v>
      </c>
      <c r="AP1651" t="s">
        <v>5491</v>
      </c>
      <c r="AQ1651" t="s">
        <v>91</v>
      </c>
      <c r="AR1651" t="s">
        <v>6637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BC1651" t="s">
        <v>69</v>
      </c>
      <c r="BD1651" t="s">
        <v>5492</v>
      </c>
      <c r="BE1651">
        <v>0</v>
      </c>
      <c r="BG1651" t="s">
        <v>91</v>
      </c>
      <c r="BJ1651" t="s">
        <v>5484</v>
      </c>
    </row>
    <row r="1652" spans="1:62" x14ac:dyDescent="0.35">
      <c r="A1652" t="s">
        <v>5493</v>
      </c>
      <c r="B1652">
        <v>10000</v>
      </c>
      <c r="C1652">
        <v>10000</v>
      </c>
      <c r="D1652" s="2">
        <v>45742</v>
      </c>
      <c r="E1652" t="s">
        <v>61</v>
      </c>
      <c r="F1652" t="s">
        <v>5494</v>
      </c>
      <c r="G1652" t="s">
        <v>4340</v>
      </c>
      <c r="I1652">
        <v>1</v>
      </c>
      <c r="J1652" t="s">
        <v>63</v>
      </c>
      <c r="K1652" s="8">
        <v>72</v>
      </c>
      <c r="L1652" s="8" t="s">
        <v>6606</v>
      </c>
      <c r="M1652" s="8" t="s">
        <v>6631</v>
      </c>
      <c r="N1652" t="s">
        <v>163</v>
      </c>
      <c r="O1652" t="s">
        <v>6548</v>
      </c>
      <c r="P1652" s="4">
        <v>6000</v>
      </c>
      <c r="S1652" s="2">
        <v>45741</v>
      </c>
      <c r="U1652">
        <v>4</v>
      </c>
      <c r="V1652" s="4">
        <v>24000</v>
      </c>
      <c r="W1652" t="s">
        <v>65</v>
      </c>
      <c r="X1652" t="s">
        <v>5481</v>
      </c>
      <c r="Y1652">
        <v>0</v>
      </c>
      <c r="Z1652" s="4">
        <v>20000</v>
      </c>
      <c r="AA1652" s="4">
        <v>4000</v>
      </c>
      <c r="AB1652">
        <v>0</v>
      </c>
      <c r="AC1652">
        <v>0</v>
      </c>
      <c r="AD1652">
        <v>0</v>
      </c>
      <c r="AG1652">
        <v>0</v>
      </c>
      <c r="AP1652" t="s">
        <v>5482</v>
      </c>
      <c r="AQ1652" t="s">
        <v>91</v>
      </c>
      <c r="AR1652" t="s">
        <v>6637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BC1652" t="s">
        <v>69</v>
      </c>
      <c r="BD1652" t="s">
        <v>5495</v>
      </c>
      <c r="BE1652">
        <v>0</v>
      </c>
      <c r="BG1652" t="s">
        <v>91</v>
      </c>
      <c r="BJ1652" t="s">
        <v>5496</v>
      </c>
    </row>
    <row r="1653" spans="1:62" x14ac:dyDescent="0.35">
      <c r="A1653" t="s">
        <v>5497</v>
      </c>
      <c r="B1653">
        <v>10000</v>
      </c>
      <c r="C1653">
        <v>10000</v>
      </c>
      <c r="D1653" s="2">
        <v>45742</v>
      </c>
      <c r="E1653" t="s">
        <v>61</v>
      </c>
      <c r="F1653" s="3">
        <v>0.46219907407407407</v>
      </c>
      <c r="G1653" t="s">
        <v>4340</v>
      </c>
      <c r="I1653">
        <v>1</v>
      </c>
      <c r="J1653" t="s">
        <v>63</v>
      </c>
      <c r="K1653" s="8">
        <v>72</v>
      </c>
      <c r="L1653" s="8" t="s">
        <v>6606</v>
      </c>
      <c r="M1653" s="8" t="s">
        <v>6631</v>
      </c>
      <c r="N1653" t="s">
        <v>163</v>
      </c>
      <c r="O1653" t="s">
        <v>6548</v>
      </c>
      <c r="P1653" s="4">
        <v>3000</v>
      </c>
      <c r="S1653" s="2">
        <v>45741</v>
      </c>
      <c r="U1653">
        <v>4</v>
      </c>
      <c r="V1653" s="4">
        <v>12000</v>
      </c>
      <c r="W1653" t="s">
        <v>65</v>
      </c>
      <c r="X1653" t="s">
        <v>5486</v>
      </c>
      <c r="Y1653">
        <v>0</v>
      </c>
      <c r="Z1653" s="4">
        <v>10000</v>
      </c>
      <c r="AA1653" s="4">
        <v>2000</v>
      </c>
      <c r="AB1653">
        <v>0</v>
      </c>
      <c r="AC1653">
        <v>0</v>
      </c>
      <c r="AD1653">
        <v>0</v>
      </c>
      <c r="AG1653">
        <v>0</v>
      </c>
      <c r="AP1653" t="s">
        <v>5487</v>
      </c>
      <c r="AQ1653" t="s">
        <v>91</v>
      </c>
      <c r="AR1653" t="s">
        <v>6637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BC1653" t="s">
        <v>69</v>
      </c>
      <c r="BD1653" t="s">
        <v>5498</v>
      </c>
      <c r="BE1653">
        <v>0</v>
      </c>
      <c r="BG1653" t="s">
        <v>91</v>
      </c>
      <c r="BJ1653" t="s">
        <v>5496</v>
      </c>
    </row>
    <row r="1654" spans="1:62" x14ac:dyDescent="0.35">
      <c r="A1654" t="s">
        <v>5497</v>
      </c>
      <c r="B1654">
        <v>10000</v>
      </c>
      <c r="C1654">
        <v>20000</v>
      </c>
      <c r="D1654" s="2">
        <v>45742</v>
      </c>
      <c r="E1654" t="s">
        <v>61</v>
      </c>
      <c r="F1654" s="3">
        <v>0.46219907407407407</v>
      </c>
      <c r="G1654" t="s">
        <v>4340</v>
      </c>
      <c r="I1654">
        <v>2</v>
      </c>
      <c r="J1654" t="s">
        <v>63</v>
      </c>
      <c r="K1654" s="8">
        <v>71</v>
      </c>
      <c r="L1654" s="8" t="s">
        <v>6588</v>
      </c>
      <c r="M1654" s="8" t="s">
        <v>6630</v>
      </c>
      <c r="N1654" t="s">
        <v>135</v>
      </c>
      <c r="O1654" t="s">
        <v>6573</v>
      </c>
      <c r="P1654" s="4">
        <v>2500</v>
      </c>
      <c r="S1654" s="2">
        <v>45741</v>
      </c>
      <c r="U1654">
        <v>4</v>
      </c>
      <c r="V1654" s="4">
        <v>10000</v>
      </c>
      <c r="W1654" t="s">
        <v>65</v>
      </c>
      <c r="X1654" t="s">
        <v>5486</v>
      </c>
      <c r="Y1654">
        <v>0</v>
      </c>
      <c r="Z1654" s="4">
        <v>10000</v>
      </c>
      <c r="AA1654">
        <v>0</v>
      </c>
      <c r="AB1654">
        <v>0</v>
      </c>
      <c r="AC1654">
        <v>0</v>
      </c>
      <c r="AD1654">
        <v>0</v>
      </c>
      <c r="AG1654">
        <v>0</v>
      </c>
      <c r="AP1654" t="s">
        <v>5487</v>
      </c>
      <c r="AQ1654" t="s">
        <v>91</v>
      </c>
      <c r="AR1654" t="s">
        <v>6637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BC1654" t="s">
        <v>69</v>
      </c>
      <c r="BD1654" t="s">
        <v>5498</v>
      </c>
      <c r="BE1654">
        <v>0</v>
      </c>
      <c r="BG1654" t="s">
        <v>91</v>
      </c>
      <c r="BJ1654" t="s">
        <v>5496</v>
      </c>
    </row>
    <row r="1655" spans="1:62" x14ac:dyDescent="0.35">
      <c r="A1655" t="s">
        <v>5499</v>
      </c>
      <c r="B1655">
        <v>10000</v>
      </c>
      <c r="C1655">
        <v>10000</v>
      </c>
      <c r="D1655" s="2">
        <v>45741</v>
      </c>
      <c r="E1655" t="s">
        <v>61</v>
      </c>
      <c r="F1655" t="s">
        <v>5500</v>
      </c>
      <c r="G1655" t="s">
        <v>3767</v>
      </c>
      <c r="I1655">
        <v>1</v>
      </c>
      <c r="J1655" t="s">
        <v>63</v>
      </c>
      <c r="K1655" s="8">
        <v>46</v>
      </c>
      <c r="L1655" s="8" t="s">
        <v>6587</v>
      </c>
      <c r="M1655" s="8" t="s">
        <v>6629</v>
      </c>
      <c r="N1655" t="s">
        <v>113</v>
      </c>
      <c r="O1655" t="s">
        <v>6499</v>
      </c>
      <c r="P1655" s="4">
        <v>1000</v>
      </c>
      <c r="Q1655">
        <f t="shared" ref="Q1655:Q1656" si="423">(P1655/40)+45</f>
        <v>70</v>
      </c>
      <c r="R1655">
        <f t="shared" ref="R1655:R1656" si="424">Q1655/60</f>
        <v>1.1666666666666667</v>
      </c>
      <c r="S1655" s="2">
        <v>45741</v>
      </c>
      <c r="U1655">
        <v>1</v>
      </c>
      <c r="V1655" s="4">
        <v>1000</v>
      </c>
      <c r="W1655" t="s">
        <v>65</v>
      </c>
      <c r="X1655" t="s">
        <v>5501</v>
      </c>
      <c r="Y1655">
        <v>0</v>
      </c>
      <c r="Z1655" s="4">
        <v>1000</v>
      </c>
      <c r="AA1655">
        <v>0</v>
      </c>
      <c r="AB1655">
        <v>0</v>
      </c>
      <c r="AC1655">
        <v>0</v>
      </c>
      <c r="AD1655">
        <v>0</v>
      </c>
      <c r="AG1655">
        <v>0</v>
      </c>
      <c r="AP1655" t="s">
        <v>5502</v>
      </c>
      <c r="AQ1655" t="s">
        <v>116</v>
      </c>
      <c r="AR1655" t="s">
        <v>6639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BC1655" t="s">
        <v>69</v>
      </c>
      <c r="BD1655" t="s">
        <v>5503</v>
      </c>
      <c r="BE1655">
        <v>0</v>
      </c>
      <c r="BG1655" t="s">
        <v>116</v>
      </c>
      <c r="BJ1655" t="s">
        <v>5504</v>
      </c>
    </row>
    <row r="1656" spans="1:62" x14ac:dyDescent="0.35">
      <c r="A1656" t="s">
        <v>5505</v>
      </c>
      <c r="B1656">
        <v>10000</v>
      </c>
      <c r="C1656">
        <v>10000</v>
      </c>
      <c r="D1656" s="2">
        <v>45741</v>
      </c>
      <c r="E1656" t="s">
        <v>61</v>
      </c>
      <c r="F1656" s="3">
        <v>0.53589120370370369</v>
      </c>
      <c r="G1656" t="s">
        <v>1387</v>
      </c>
      <c r="I1656">
        <v>1</v>
      </c>
      <c r="J1656" t="s">
        <v>63</v>
      </c>
      <c r="K1656" s="8">
        <v>65</v>
      </c>
      <c r="L1656" s="8" t="s">
        <v>6596</v>
      </c>
      <c r="M1656" s="8" t="s">
        <v>6630</v>
      </c>
      <c r="N1656" t="s">
        <v>268</v>
      </c>
      <c r="O1656" t="s">
        <v>6543</v>
      </c>
      <c r="P1656" s="4">
        <v>1000</v>
      </c>
      <c r="Q1656">
        <f t="shared" si="423"/>
        <v>70</v>
      </c>
      <c r="R1656">
        <f t="shared" si="424"/>
        <v>1.1666666666666667</v>
      </c>
      <c r="S1656" s="2">
        <v>45741</v>
      </c>
      <c r="U1656">
        <v>10</v>
      </c>
      <c r="V1656" s="4">
        <v>10000</v>
      </c>
      <c r="W1656" t="s">
        <v>65</v>
      </c>
      <c r="X1656" t="s">
        <v>5506</v>
      </c>
      <c r="Y1656">
        <v>0</v>
      </c>
      <c r="Z1656" s="4">
        <v>10000</v>
      </c>
      <c r="AA1656">
        <v>0</v>
      </c>
      <c r="AB1656">
        <v>0</v>
      </c>
      <c r="AC1656">
        <v>0</v>
      </c>
      <c r="AD1656">
        <v>0</v>
      </c>
      <c r="AG1656">
        <v>0</v>
      </c>
      <c r="AP1656" t="s">
        <v>5507</v>
      </c>
      <c r="AQ1656" t="s">
        <v>206</v>
      </c>
      <c r="AR1656" t="s">
        <v>6645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BC1656" t="s">
        <v>69</v>
      </c>
      <c r="BD1656" t="s">
        <v>5508</v>
      </c>
      <c r="BE1656">
        <v>0</v>
      </c>
      <c r="BG1656" t="s">
        <v>206</v>
      </c>
      <c r="BJ1656" t="s">
        <v>5509</v>
      </c>
    </row>
    <row r="1657" spans="1:62" x14ac:dyDescent="0.35">
      <c r="A1657" t="s">
        <v>5510</v>
      </c>
      <c r="B1657">
        <v>10000</v>
      </c>
      <c r="C1657">
        <v>10000</v>
      </c>
      <c r="D1657" s="2">
        <v>45748</v>
      </c>
      <c r="E1657" t="s">
        <v>61</v>
      </c>
      <c r="F1657" t="s">
        <v>5511</v>
      </c>
      <c r="G1657" t="s">
        <v>5512</v>
      </c>
      <c r="I1657">
        <v>1</v>
      </c>
      <c r="J1657" t="s">
        <v>63</v>
      </c>
      <c r="K1657" s="8">
        <v>79</v>
      </c>
      <c r="L1657" s="8" t="s">
        <v>6608</v>
      </c>
      <c r="M1657" s="8" t="s">
        <v>6631</v>
      </c>
      <c r="N1657" t="s">
        <v>573</v>
      </c>
      <c r="O1657" t="s">
        <v>6547</v>
      </c>
      <c r="P1657">
        <v>100</v>
      </c>
      <c r="Q1657">
        <f t="shared" ref="Q1657:Q1658" si="425">(P1657/20)+30</f>
        <v>35</v>
      </c>
      <c r="R1657">
        <f t="shared" ref="R1657:R1658" si="426">Q1657/60</f>
        <v>0.58333333333333337</v>
      </c>
      <c r="S1657" s="2">
        <v>45741</v>
      </c>
      <c r="U1657">
        <v>8</v>
      </c>
      <c r="V1657">
        <v>800</v>
      </c>
      <c r="W1657" t="s">
        <v>65</v>
      </c>
      <c r="X1657" t="s">
        <v>5513</v>
      </c>
      <c r="Y1657">
        <v>0</v>
      </c>
      <c r="Z1657">
        <v>250</v>
      </c>
      <c r="AA1657">
        <v>550</v>
      </c>
      <c r="AB1657">
        <v>0</v>
      </c>
      <c r="AC1657">
        <v>0</v>
      </c>
      <c r="AD1657">
        <v>0</v>
      </c>
      <c r="AG1657">
        <v>0</v>
      </c>
      <c r="AP1657" t="s">
        <v>5514</v>
      </c>
      <c r="AQ1657" t="s">
        <v>5515</v>
      </c>
      <c r="AR1657" t="s">
        <v>6647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BC1657" t="s">
        <v>69</v>
      </c>
      <c r="BD1657" t="s">
        <v>5516</v>
      </c>
      <c r="BE1657">
        <v>0</v>
      </c>
      <c r="BG1657" t="s">
        <v>5515</v>
      </c>
      <c r="BJ1657" t="s">
        <v>5517</v>
      </c>
    </row>
    <row r="1658" spans="1:62" x14ac:dyDescent="0.35">
      <c r="A1658" t="s">
        <v>5518</v>
      </c>
      <c r="B1658">
        <v>10000</v>
      </c>
      <c r="C1658">
        <v>10000</v>
      </c>
      <c r="D1658" s="2">
        <v>45741</v>
      </c>
      <c r="E1658" t="s">
        <v>61</v>
      </c>
      <c r="F1658" t="s">
        <v>5519</v>
      </c>
      <c r="G1658" t="s">
        <v>5512</v>
      </c>
      <c r="I1658">
        <v>1</v>
      </c>
      <c r="J1658" t="s">
        <v>63</v>
      </c>
      <c r="K1658" s="8">
        <v>79</v>
      </c>
      <c r="L1658" s="8" t="s">
        <v>6608</v>
      </c>
      <c r="M1658" s="8" t="s">
        <v>6631</v>
      </c>
      <c r="N1658" t="s">
        <v>573</v>
      </c>
      <c r="O1658" t="s">
        <v>6547</v>
      </c>
      <c r="P1658">
        <v>200</v>
      </c>
      <c r="Q1658">
        <f t="shared" si="425"/>
        <v>40</v>
      </c>
      <c r="R1658">
        <f t="shared" si="426"/>
        <v>0.66666666666666663</v>
      </c>
      <c r="S1658" s="2">
        <v>45741</v>
      </c>
      <c r="U1658">
        <v>4</v>
      </c>
      <c r="V1658">
        <v>800</v>
      </c>
      <c r="W1658" t="s">
        <v>65</v>
      </c>
      <c r="X1658" t="s">
        <v>5520</v>
      </c>
      <c r="Y1658">
        <v>0</v>
      </c>
      <c r="Z1658">
        <v>250</v>
      </c>
      <c r="AA1658">
        <v>550</v>
      </c>
      <c r="AB1658">
        <v>0</v>
      </c>
      <c r="AC1658">
        <v>0</v>
      </c>
      <c r="AD1658">
        <v>0</v>
      </c>
      <c r="AG1658">
        <v>0</v>
      </c>
      <c r="AP1658" t="s">
        <v>5521</v>
      </c>
      <c r="AQ1658" t="s">
        <v>5515</v>
      </c>
      <c r="AR1658" t="s">
        <v>6647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BC1658" t="s">
        <v>69</v>
      </c>
      <c r="BD1658" t="s">
        <v>5522</v>
      </c>
      <c r="BE1658">
        <v>0</v>
      </c>
      <c r="BG1658" t="s">
        <v>5515</v>
      </c>
      <c r="BJ1658" t="s">
        <v>5517</v>
      </c>
    </row>
    <row r="1659" spans="1:62" x14ac:dyDescent="0.35">
      <c r="A1659" t="s">
        <v>5518</v>
      </c>
      <c r="B1659">
        <v>10000</v>
      </c>
      <c r="C1659">
        <v>20000</v>
      </c>
      <c r="D1659" s="2">
        <v>45741</v>
      </c>
      <c r="E1659" t="s">
        <v>61</v>
      </c>
      <c r="F1659" t="s">
        <v>5519</v>
      </c>
      <c r="G1659" t="s">
        <v>5512</v>
      </c>
      <c r="I1659">
        <v>2</v>
      </c>
      <c r="J1659" t="s">
        <v>63</v>
      </c>
      <c r="K1659" s="8">
        <v>73</v>
      </c>
      <c r="L1659" s="8" t="s">
        <v>6586</v>
      </c>
      <c r="M1659" s="8" t="s">
        <v>6627</v>
      </c>
      <c r="N1659" t="s">
        <v>90</v>
      </c>
      <c r="O1659" t="s">
        <v>6564</v>
      </c>
      <c r="P1659">
        <v>700</v>
      </c>
      <c r="Q1659">
        <f>(P1659/60)+45</f>
        <v>56.666666666666664</v>
      </c>
      <c r="R1659">
        <f>Q1659/60</f>
        <v>0.94444444444444442</v>
      </c>
      <c r="S1659" s="2">
        <v>45741</v>
      </c>
      <c r="U1659">
        <v>1</v>
      </c>
      <c r="V1659">
        <v>700</v>
      </c>
      <c r="W1659" t="s">
        <v>65</v>
      </c>
      <c r="X1659" t="s">
        <v>5520</v>
      </c>
      <c r="Y1659">
        <v>0</v>
      </c>
      <c r="Z1659">
        <v>250</v>
      </c>
      <c r="AA1659">
        <v>450</v>
      </c>
      <c r="AB1659">
        <v>0</v>
      </c>
      <c r="AC1659">
        <v>0</v>
      </c>
      <c r="AD1659">
        <v>0</v>
      </c>
      <c r="AG1659">
        <v>0</v>
      </c>
      <c r="AP1659" t="s">
        <v>5521</v>
      </c>
      <c r="AQ1659" t="s">
        <v>5515</v>
      </c>
      <c r="AR1659" t="s">
        <v>6647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BC1659" t="s">
        <v>69</v>
      </c>
      <c r="BD1659" t="s">
        <v>5522</v>
      </c>
      <c r="BE1659">
        <v>0</v>
      </c>
      <c r="BG1659" t="s">
        <v>5515</v>
      </c>
      <c r="BJ1659" t="s">
        <v>5517</v>
      </c>
    </row>
    <row r="1660" spans="1:62" x14ac:dyDescent="0.35">
      <c r="A1660" t="s">
        <v>5523</v>
      </c>
      <c r="B1660">
        <v>10000</v>
      </c>
      <c r="C1660">
        <v>10000</v>
      </c>
      <c r="D1660" s="2">
        <v>45741</v>
      </c>
      <c r="E1660" t="s">
        <v>61</v>
      </c>
      <c r="F1660" t="s">
        <v>5524</v>
      </c>
      <c r="G1660" t="s">
        <v>4340</v>
      </c>
      <c r="I1660">
        <v>1</v>
      </c>
      <c r="J1660" t="s">
        <v>63</v>
      </c>
      <c r="K1660" s="8">
        <v>72</v>
      </c>
      <c r="L1660" s="8" t="s">
        <v>6606</v>
      </c>
      <c r="M1660" s="8" t="s">
        <v>6631</v>
      </c>
      <c r="N1660" t="s">
        <v>163</v>
      </c>
      <c r="O1660" t="s">
        <v>6548</v>
      </c>
      <c r="P1660" s="4">
        <v>9000</v>
      </c>
      <c r="S1660" s="2">
        <v>45741</v>
      </c>
      <c r="U1660">
        <v>5</v>
      </c>
      <c r="V1660" s="4">
        <v>45000</v>
      </c>
      <c r="W1660" t="s">
        <v>65</v>
      </c>
      <c r="X1660">
        <v>83624430001</v>
      </c>
      <c r="Y1660">
        <v>0</v>
      </c>
      <c r="Z1660" s="4">
        <v>40000</v>
      </c>
      <c r="AA1660" s="4">
        <v>5000</v>
      </c>
      <c r="AB1660">
        <v>0</v>
      </c>
      <c r="AC1660">
        <v>0</v>
      </c>
      <c r="AD1660">
        <v>0</v>
      </c>
      <c r="AG1660">
        <v>0</v>
      </c>
      <c r="AP1660">
        <v>8362443</v>
      </c>
      <c r="AQ1660" t="s">
        <v>91</v>
      </c>
      <c r="AR1660" t="s">
        <v>6637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BC1660" t="s">
        <v>69</v>
      </c>
      <c r="BD1660" t="s">
        <v>5525</v>
      </c>
      <c r="BE1660">
        <v>0</v>
      </c>
      <c r="BG1660" t="s">
        <v>91</v>
      </c>
      <c r="BJ1660" t="s">
        <v>5526</v>
      </c>
    </row>
    <row r="1661" spans="1:62" x14ac:dyDescent="0.35">
      <c r="A1661" t="s">
        <v>5523</v>
      </c>
      <c r="B1661">
        <v>10000</v>
      </c>
      <c r="C1661">
        <v>20000</v>
      </c>
      <c r="D1661" s="2">
        <v>45741</v>
      </c>
      <c r="E1661" t="s">
        <v>61</v>
      </c>
      <c r="F1661" t="s">
        <v>5524</v>
      </c>
      <c r="G1661" t="s">
        <v>4340</v>
      </c>
      <c r="I1661">
        <v>2</v>
      </c>
      <c r="J1661" t="s">
        <v>63</v>
      </c>
      <c r="K1661" s="8">
        <v>71</v>
      </c>
      <c r="L1661" s="8" t="s">
        <v>6588</v>
      </c>
      <c r="M1661" s="8" t="s">
        <v>6630</v>
      </c>
      <c r="N1661" t="s">
        <v>135</v>
      </c>
      <c r="O1661" t="s">
        <v>6573</v>
      </c>
      <c r="P1661" s="4">
        <v>4445</v>
      </c>
      <c r="S1661" s="2">
        <v>45741</v>
      </c>
      <c r="U1661">
        <v>9</v>
      </c>
      <c r="V1661" s="4">
        <v>40005</v>
      </c>
      <c r="W1661" t="s">
        <v>65</v>
      </c>
      <c r="X1661">
        <v>83624430001</v>
      </c>
      <c r="Y1661">
        <v>0</v>
      </c>
      <c r="Z1661" s="4">
        <v>40000</v>
      </c>
      <c r="AA1661">
        <v>5</v>
      </c>
      <c r="AB1661">
        <v>0</v>
      </c>
      <c r="AC1661">
        <v>0</v>
      </c>
      <c r="AD1661">
        <v>0</v>
      </c>
      <c r="AG1661">
        <v>0</v>
      </c>
      <c r="AP1661">
        <v>8362443</v>
      </c>
      <c r="AQ1661" t="s">
        <v>91</v>
      </c>
      <c r="AR1661" t="s">
        <v>6637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BC1661" t="s">
        <v>69</v>
      </c>
      <c r="BD1661" t="s">
        <v>5525</v>
      </c>
      <c r="BE1661">
        <v>0</v>
      </c>
      <c r="BG1661" t="s">
        <v>91</v>
      </c>
      <c r="BJ1661" t="s">
        <v>5526</v>
      </c>
    </row>
    <row r="1662" spans="1:62" x14ac:dyDescent="0.35">
      <c r="A1662" t="s">
        <v>5257</v>
      </c>
      <c r="B1662">
        <v>10000</v>
      </c>
      <c r="C1662">
        <v>20000</v>
      </c>
      <c r="D1662" s="2">
        <v>45743</v>
      </c>
      <c r="E1662" t="s">
        <v>61</v>
      </c>
      <c r="F1662" t="s">
        <v>2187</v>
      </c>
      <c r="G1662" t="s">
        <v>89</v>
      </c>
      <c r="H1662" t="s">
        <v>5258</v>
      </c>
      <c r="I1662">
        <v>2</v>
      </c>
      <c r="J1662" t="s">
        <v>69</v>
      </c>
      <c r="K1662" s="8">
        <v>73</v>
      </c>
      <c r="L1662" s="8" t="s">
        <v>6586</v>
      </c>
      <c r="M1662" s="8" t="s">
        <v>6627</v>
      </c>
      <c r="N1662" t="s">
        <v>90</v>
      </c>
      <c r="O1662" t="s">
        <v>6564</v>
      </c>
      <c r="P1662" s="4">
        <v>18000</v>
      </c>
      <c r="Q1662">
        <f t="shared" ref="Q1662:Q1663" si="427">(P1662/60)+45</f>
        <v>345</v>
      </c>
      <c r="R1662">
        <f t="shared" ref="R1662:R1663" si="428">Q1662/60</f>
        <v>5.75</v>
      </c>
      <c r="S1662" s="2">
        <v>45742</v>
      </c>
      <c r="U1662">
        <v>12</v>
      </c>
      <c r="V1662" s="4">
        <v>216000</v>
      </c>
      <c r="W1662" t="s">
        <v>65</v>
      </c>
      <c r="X1662">
        <v>80256220001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G1662">
        <v>0</v>
      </c>
      <c r="AK1662" t="s">
        <v>69</v>
      </c>
      <c r="AL1662">
        <v>0</v>
      </c>
      <c r="AM1662" t="s">
        <v>69</v>
      </c>
      <c r="AP1662">
        <v>8025622</v>
      </c>
      <c r="AQ1662" t="s">
        <v>91</v>
      </c>
      <c r="AR1662" t="s">
        <v>6637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BC1662" t="s">
        <v>69</v>
      </c>
      <c r="BG1662" t="s">
        <v>91</v>
      </c>
      <c r="BJ1662" t="s">
        <v>5259</v>
      </c>
    </row>
    <row r="1663" spans="1:62" x14ac:dyDescent="0.35">
      <c r="A1663" t="s">
        <v>5528</v>
      </c>
      <c r="B1663">
        <v>10000</v>
      </c>
      <c r="C1663">
        <v>10000</v>
      </c>
      <c r="D1663" s="2">
        <v>45743</v>
      </c>
      <c r="E1663" t="s">
        <v>61</v>
      </c>
      <c r="F1663" t="s">
        <v>3858</v>
      </c>
      <c r="G1663" t="s">
        <v>89</v>
      </c>
      <c r="H1663" t="s">
        <v>5529</v>
      </c>
      <c r="I1663">
        <v>1</v>
      </c>
      <c r="J1663" t="s">
        <v>69</v>
      </c>
      <c r="K1663" s="8">
        <v>73</v>
      </c>
      <c r="L1663" s="8" t="s">
        <v>6586</v>
      </c>
      <c r="M1663" s="8" t="s">
        <v>6627</v>
      </c>
      <c r="N1663" t="s">
        <v>90</v>
      </c>
      <c r="O1663" t="s">
        <v>6564</v>
      </c>
      <c r="P1663" s="4">
        <v>12000</v>
      </c>
      <c r="Q1663">
        <f t="shared" si="427"/>
        <v>245</v>
      </c>
      <c r="R1663">
        <f t="shared" si="428"/>
        <v>4.083333333333333</v>
      </c>
      <c r="S1663" s="2">
        <v>45742</v>
      </c>
      <c r="U1663">
        <v>12</v>
      </c>
      <c r="V1663" s="4">
        <v>144000</v>
      </c>
      <c r="W1663" t="s">
        <v>65</v>
      </c>
      <c r="X1663">
        <v>80256240001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G1663">
        <v>0</v>
      </c>
      <c r="AK1663" t="s">
        <v>69</v>
      </c>
      <c r="AL1663">
        <v>0</v>
      </c>
      <c r="AM1663" t="s">
        <v>69</v>
      </c>
      <c r="AP1663">
        <v>8025624</v>
      </c>
      <c r="AQ1663" t="s">
        <v>91</v>
      </c>
      <c r="AR1663" t="s">
        <v>6637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BC1663" t="s">
        <v>69</v>
      </c>
      <c r="BG1663" t="s">
        <v>91</v>
      </c>
      <c r="BJ1663" t="s">
        <v>5530</v>
      </c>
    </row>
    <row r="1664" spans="1:62" x14ac:dyDescent="0.35">
      <c r="A1664" t="s">
        <v>5528</v>
      </c>
      <c r="B1664">
        <v>10000</v>
      </c>
      <c r="C1664">
        <v>20000</v>
      </c>
      <c r="D1664" s="2">
        <v>45743</v>
      </c>
      <c r="E1664" t="s">
        <v>61</v>
      </c>
      <c r="F1664" t="s">
        <v>3858</v>
      </c>
      <c r="G1664" t="s">
        <v>89</v>
      </c>
      <c r="H1664" t="s">
        <v>5529</v>
      </c>
      <c r="I1664">
        <v>1</v>
      </c>
      <c r="J1664" t="s">
        <v>69</v>
      </c>
      <c r="K1664" s="8">
        <v>73</v>
      </c>
      <c r="L1664" t="s">
        <v>6586</v>
      </c>
      <c r="M1664" s="8" t="s">
        <v>6627</v>
      </c>
      <c r="N1664" t="s">
        <v>98</v>
      </c>
      <c r="O1664" t="s">
        <v>6549</v>
      </c>
      <c r="P1664" s="4">
        <v>12000</v>
      </c>
      <c r="S1664" s="2">
        <v>45742</v>
      </c>
      <c r="U1664">
        <v>12</v>
      </c>
      <c r="V1664" s="4">
        <v>144000</v>
      </c>
      <c r="W1664" t="s">
        <v>65</v>
      </c>
      <c r="X1664">
        <v>80256240001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G1664">
        <v>0</v>
      </c>
      <c r="AK1664" t="s">
        <v>69</v>
      </c>
      <c r="AL1664">
        <v>0</v>
      </c>
      <c r="AM1664" t="s">
        <v>69</v>
      </c>
      <c r="AP1664">
        <v>8025624</v>
      </c>
      <c r="AQ1664" t="s">
        <v>91</v>
      </c>
      <c r="AR1664" t="s">
        <v>6637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BC1664" t="s">
        <v>69</v>
      </c>
      <c r="BG1664" t="s">
        <v>91</v>
      </c>
      <c r="BJ1664" t="s">
        <v>5530</v>
      </c>
    </row>
    <row r="1665" spans="1:62" x14ac:dyDescent="0.35">
      <c r="A1665" t="s">
        <v>2788</v>
      </c>
      <c r="B1665">
        <v>10000</v>
      </c>
      <c r="C1665">
        <v>30000</v>
      </c>
      <c r="D1665" s="2">
        <v>45748</v>
      </c>
      <c r="E1665" t="s">
        <v>61</v>
      </c>
      <c r="F1665" t="s">
        <v>2789</v>
      </c>
      <c r="G1665" t="s">
        <v>2790</v>
      </c>
      <c r="H1665" t="s">
        <v>2791</v>
      </c>
      <c r="I1665">
        <v>3</v>
      </c>
      <c r="J1665" t="s">
        <v>69</v>
      </c>
      <c r="K1665" s="8">
        <v>85</v>
      </c>
      <c r="L1665" s="8" t="s">
        <v>6585</v>
      </c>
      <c r="M1665" s="8" t="s">
        <v>6628</v>
      </c>
      <c r="N1665" t="s">
        <v>327</v>
      </c>
      <c r="O1665" t="s">
        <v>6580</v>
      </c>
      <c r="P1665" s="4">
        <v>27273</v>
      </c>
      <c r="S1665" s="2">
        <v>45742</v>
      </c>
      <c r="U1665">
        <v>11</v>
      </c>
      <c r="V1665" s="4">
        <v>300003</v>
      </c>
      <c r="W1665" t="s">
        <v>65</v>
      </c>
      <c r="X1665" t="s">
        <v>328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K1665" t="s">
        <v>69</v>
      </c>
      <c r="AL1665">
        <v>0</v>
      </c>
      <c r="AM1665" t="s">
        <v>69</v>
      </c>
      <c r="AP1665" t="s">
        <v>329</v>
      </c>
      <c r="AQ1665" t="s">
        <v>107</v>
      </c>
      <c r="AR1665" t="s">
        <v>6638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BC1665" t="s">
        <v>69</v>
      </c>
      <c r="BG1665" t="s">
        <v>107</v>
      </c>
      <c r="BJ1665" t="s">
        <v>2792</v>
      </c>
    </row>
    <row r="1666" spans="1:62" x14ac:dyDescent="0.35">
      <c r="A1666" t="s">
        <v>5531</v>
      </c>
      <c r="B1666">
        <v>10000</v>
      </c>
      <c r="C1666">
        <v>10000</v>
      </c>
      <c r="D1666" s="2">
        <v>45744</v>
      </c>
      <c r="E1666" t="s">
        <v>95</v>
      </c>
      <c r="F1666" t="s">
        <v>5532</v>
      </c>
      <c r="G1666" t="s">
        <v>5533</v>
      </c>
      <c r="H1666" t="s">
        <v>5534</v>
      </c>
      <c r="I1666">
        <v>1</v>
      </c>
      <c r="J1666" t="s">
        <v>69</v>
      </c>
      <c r="K1666" s="8">
        <v>82</v>
      </c>
      <c r="L1666" s="8" t="s">
        <v>6598</v>
      </c>
      <c r="M1666" s="8" t="s">
        <v>6630</v>
      </c>
      <c r="N1666" t="s">
        <v>341</v>
      </c>
      <c r="O1666" t="s">
        <v>6346</v>
      </c>
      <c r="P1666" s="4">
        <v>33334</v>
      </c>
      <c r="S1666" s="2">
        <v>45742</v>
      </c>
      <c r="U1666">
        <v>15</v>
      </c>
      <c r="V1666" s="4">
        <v>500010</v>
      </c>
      <c r="W1666" t="s">
        <v>65</v>
      </c>
      <c r="X1666" t="s">
        <v>3676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G1666">
        <v>0</v>
      </c>
      <c r="AK1666" t="s">
        <v>69</v>
      </c>
      <c r="AL1666">
        <v>0</v>
      </c>
      <c r="AM1666" t="s">
        <v>69</v>
      </c>
      <c r="AP1666" t="s">
        <v>3677</v>
      </c>
      <c r="AQ1666" t="s">
        <v>271</v>
      </c>
      <c r="AR1666" t="s">
        <v>6648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BC1666" t="s">
        <v>69</v>
      </c>
      <c r="BG1666" t="s">
        <v>271</v>
      </c>
      <c r="BJ1666" t="s">
        <v>5535</v>
      </c>
    </row>
    <row r="1667" spans="1:62" x14ac:dyDescent="0.35">
      <c r="A1667" t="s">
        <v>5536</v>
      </c>
      <c r="B1667">
        <v>10000</v>
      </c>
      <c r="C1667">
        <v>10000</v>
      </c>
      <c r="D1667" s="2">
        <v>45748</v>
      </c>
      <c r="E1667" t="s">
        <v>61</v>
      </c>
      <c r="F1667" t="s">
        <v>5537</v>
      </c>
      <c r="G1667" t="s">
        <v>5538</v>
      </c>
      <c r="H1667" t="s">
        <v>4487</v>
      </c>
      <c r="I1667">
        <v>1</v>
      </c>
      <c r="J1667" t="s">
        <v>69</v>
      </c>
      <c r="K1667" s="8">
        <v>73</v>
      </c>
      <c r="L1667" t="s">
        <v>6586</v>
      </c>
      <c r="M1667" s="8" t="s">
        <v>6627</v>
      </c>
      <c r="N1667" t="s">
        <v>98</v>
      </c>
      <c r="O1667" t="s">
        <v>6549</v>
      </c>
      <c r="P1667" s="4">
        <v>54000</v>
      </c>
      <c r="S1667" s="2">
        <v>45742</v>
      </c>
      <c r="U1667">
        <v>12</v>
      </c>
      <c r="V1667" s="4">
        <v>648000</v>
      </c>
      <c r="W1667" t="s">
        <v>65</v>
      </c>
      <c r="X1667">
        <v>80256230001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G1667">
        <v>0</v>
      </c>
      <c r="AK1667" t="s">
        <v>69</v>
      </c>
      <c r="AL1667">
        <v>0</v>
      </c>
      <c r="AM1667" t="s">
        <v>69</v>
      </c>
      <c r="AP1667">
        <v>8025623</v>
      </c>
      <c r="AQ1667" t="s">
        <v>91</v>
      </c>
      <c r="AR1667" t="s">
        <v>6637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BC1667" t="s">
        <v>69</v>
      </c>
      <c r="BG1667" t="s">
        <v>91</v>
      </c>
      <c r="BJ1667" t="s">
        <v>5539</v>
      </c>
    </row>
    <row r="1668" spans="1:62" x14ac:dyDescent="0.35">
      <c r="A1668" t="s">
        <v>5540</v>
      </c>
      <c r="B1668">
        <v>10000</v>
      </c>
      <c r="C1668">
        <v>10000</v>
      </c>
      <c r="D1668" s="2">
        <v>45743</v>
      </c>
      <c r="E1668" t="s">
        <v>61</v>
      </c>
      <c r="F1668" t="s">
        <v>5541</v>
      </c>
      <c r="G1668" t="s">
        <v>5363</v>
      </c>
      <c r="H1668" t="s">
        <v>5542</v>
      </c>
      <c r="I1668">
        <v>1</v>
      </c>
      <c r="J1668" t="s">
        <v>69</v>
      </c>
      <c r="K1668" s="8">
        <v>32</v>
      </c>
      <c r="L1668" s="8" t="s">
        <v>6607</v>
      </c>
      <c r="M1668" s="8" t="s">
        <v>6629</v>
      </c>
      <c r="N1668" t="s">
        <v>553</v>
      </c>
      <c r="O1668" t="s">
        <v>6552</v>
      </c>
      <c r="P1668" s="4">
        <v>5860</v>
      </c>
      <c r="S1668" s="2">
        <v>45742</v>
      </c>
      <c r="U1668">
        <v>1</v>
      </c>
      <c r="V1668" s="4">
        <v>5860</v>
      </c>
      <c r="W1668" t="s">
        <v>65</v>
      </c>
      <c r="X1668" t="s">
        <v>1774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G1668">
        <v>0</v>
      </c>
      <c r="AK1668" t="s">
        <v>69</v>
      </c>
      <c r="AL1668">
        <v>0</v>
      </c>
      <c r="AM1668" t="s">
        <v>69</v>
      </c>
      <c r="AP1668" t="s">
        <v>1775</v>
      </c>
      <c r="AQ1668" t="s">
        <v>116</v>
      </c>
      <c r="AR1668" t="s">
        <v>6639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BC1668" t="s">
        <v>69</v>
      </c>
      <c r="BG1668" t="s">
        <v>116</v>
      </c>
      <c r="BJ1668" t="s">
        <v>4941</v>
      </c>
    </row>
    <row r="1669" spans="1:62" x14ac:dyDescent="0.35">
      <c r="A1669" t="s">
        <v>5543</v>
      </c>
      <c r="B1669">
        <v>10000</v>
      </c>
      <c r="C1669">
        <v>10000</v>
      </c>
      <c r="D1669" s="2">
        <v>45743</v>
      </c>
      <c r="E1669" t="s">
        <v>61</v>
      </c>
      <c r="F1669" s="3">
        <v>0.48944444444444446</v>
      </c>
      <c r="G1669" t="s">
        <v>5544</v>
      </c>
      <c r="H1669" t="s">
        <v>5545</v>
      </c>
      <c r="I1669">
        <v>1</v>
      </c>
      <c r="J1669" t="s">
        <v>69</v>
      </c>
      <c r="K1669" s="8">
        <v>65</v>
      </c>
      <c r="L1669" s="8" t="s">
        <v>6596</v>
      </c>
      <c r="M1669" s="8" t="s">
        <v>6630</v>
      </c>
      <c r="N1669" t="s">
        <v>268</v>
      </c>
      <c r="O1669" t="s">
        <v>6543</v>
      </c>
      <c r="P1669" s="4">
        <v>22500</v>
      </c>
      <c r="Q1669">
        <f>(P1669/40)+45</f>
        <v>607.5</v>
      </c>
      <c r="R1669">
        <f>Q1669/60</f>
        <v>10.125</v>
      </c>
      <c r="S1669" s="2">
        <v>45742</v>
      </c>
      <c r="U1669">
        <v>4</v>
      </c>
      <c r="V1669" s="4">
        <v>90000</v>
      </c>
      <c r="W1669" t="s">
        <v>65</v>
      </c>
      <c r="X1669" t="s">
        <v>3865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G1669">
        <v>0</v>
      </c>
      <c r="AK1669" t="s">
        <v>69</v>
      </c>
      <c r="AL1669">
        <v>0</v>
      </c>
      <c r="AM1669" t="s">
        <v>69</v>
      </c>
      <c r="AP1669" t="s">
        <v>3866</v>
      </c>
      <c r="AQ1669" t="s">
        <v>829</v>
      </c>
      <c r="AR1669" t="s">
        <v>6653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BC1669" t="s">
        <v>69</v>
      </c>
      <c r="BG1669" t="s">
        <v>829</v>
      </c>
      <c r="BJ1669" t="s">
        <v>5546</v>
      </c>
    </row>
    <row r="1670" spans="1:62" x14ac:dyDescent="0.35">
      <c r="A1670" t="s">
        <v>5547</v>
      </c>
      <c r="B1670">
        <v>10000</v>
      </c>
      <c r="C1670">
        <v>10000</v>
      </c>
      <c r="D1670" s="2">
        <v>45755</v>
      </c>
      <c r="E1670" t="s">
        <v>61</v>
      </c>
      <c r="F1670" t="s">
        <v>3943</v>
      </c>
      <c r="G1670">
        <v>10656256085</v>
      </c>
      <c r="H1670" t="s">
        <v>2791</v>
      </c>
      <c r="I1670">
        <v>1</v>
      </c>
      <c r="J1670" t="s">
        <v>69</v>
      </c>
      <c r="K1670" s="8">
        <v>79</v>
      </c>
      <c r="L1670" t="s">
        <v>6608</v>
      </c>
      <c r="M1670" s="8" t="s">
        <v>6631</v>
      </c>
      <c r="N1670" t="s">
        <v>296</v>
      </c>
      <c r="O1670" t="s">
        <v>6550</v>
      </c>
      <c r="P1670">
        <v>336</v>
      </c>
      <c r="S1670" s="2">
        <v>45742</v>
      </c>
      <c r="U1670">
        <v>352</v>
      </c>
      <c r="V1670" s="4">
        <v>118272</v>
      </c>
      <c r="W1670" t="s">
        <v>65</v>
      </c>
      <c r="X1670" t="s">
        <v>4455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G1670">
        <v>0</v>
      </c>
      <c r="AK1670" t="s">
        <v>69</v>
      </c>
      <c r="AL1670">
        <v>0</v>
      </c>
      <c r="AM1670" t="s">
        <v>69</v>
      </c>
      <c r="AP1670" t="s">
        <v>4456</v>
      </c>
      <c r="AQ1670" t="s">
        <v>107</v>
      </c>
      <c r="AR1670" t="s">
        <v>6638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BC1670" t="s">
        <v>69</v>
      </c>
      <c r="BG1670" t="s">
        <v>107</v>
      </c>
      <c r="BJ1670" t="s">
        <v>5548</v>
      </c>
    </row>
    <row r="1671" spans="1:62" x14ac:dyDescent="0.35">
      <c r="A1671" t="s">
        <v>5549</v>
      </c>
      <c r="B1671">
        <v>10000</v>
      </c>
      <c r="C1671">
        <v>10000</v>
      </c>
      <c r="D1671" s="2">
        <v>45757</v>
      </c>
      <c r="E1671" t="s">
        <v>61</v>
      </c>
      <c r="F1671" t="s">
        <v>5550</v>
      </c>
      <c r="G1671">
        <v>10656256091</v>
      </c>
      <c r="H1671" t="s">
        <v>4146</v>
      </c>
      <c r="I1671">
        <v>1</v>
      </c>
      <c r="J1671" t="s">
        <v>69</v>
      </c>
      <c r="K1671" s="8">
        <v>79</v>
      </c>
      <c r="L1671" s="8" t="s">
        <v>6608</v>
      </c>
      <c r="M1671" s="8" t="s">
        <v>6631</v>
      </c>
      <c r="N1671" t="s">
        <v>573</v>
      </c>
      <c r="O1671" t="s">
        <v>6547</v>
      </c>
      <c r="P1671" s="4">
        <v>1352</v>
      </c>
      <c r="Q1671">
        <f>(P1671/20)+30</f>
        <v>97.6</v>
      </c>
      <c r="R1671">
        <f>Q1671/60</f>
        <v>1.6266666666666665</v>
      </c>
      <c r="S1671" s="2">
        <v>45742</v>
      </c>
      <c r="U1671">
        <v>176</v>
      </c>
      <c r="V1671" s="4">
        <v>237952</v>
      </c>
      <c r="W1671" t="s">
        <v>65</v>
      </c>
      <c r="X1671" t="s">
        <v>611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G1671">
        <v>0</v>
      </c>
      <c r="AK1671" t="s">
        <v>69</v>
      </c>
      <c r="AL1671">
        <v>0</v>
      </c>
      <c r="AM1671" t="s">
        <v>69</v>
      </c>
      <c r="AP1671" t="s">
        <v>612</v>
      </c>
      <c r="AQ1671" t="s">
        <v>107</v>
      </c>
      <c r="AR1671" t="s">
        <v>6638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BC1671" t="s">
        <v>69</v>
      </c>
      <c r="BG1671" t="s">
        <v>107</v>
      </c>
      <c r="BJ1671" t="s">
        <v>5551</v>
      </c>
    </row>
    <row r="1672" spans="1:62" x14ac:dyDescent="0.35">
      <c r="A1672" t="s">
        <v>5552</v>
      </c>
      <c r="B1672">
        <v>10000</v>
      </c>
      <c r="C1672">
        <v>10000</v>
      </c>
      <c r="D1672" s="2">
        <v>45755</v>
      </c>
      <c r="E1672" t="s">
        <v>61</v>
      </c>
      <c r="F1672" t="s">
        <v>5553</v>
      </c>
      <c r="G1672">
        <v>10656256092</v>
      </c>
      <c r="H1672" t="s">
        <v>2791</v>
      </c>
      <c r="I1672">
        <v>1</v>
      </c>
      <c r="J1672" t="s">
        <v>69</v>
      </c>
      <c r="K1672" s="8">
        <v>79</v>
      </c>
      <c r="L1672" t="s">
        <v>6608</v>
      </c>
      <c r="M1672" s="8" t="s">
        <v>6631</v>
      </c>
      <c r="N1672" t="s">
        <v>296</v>
      </c>
      <c r="O1672" t="s">
        <v>6550</v>
      </c>
      <c r="P1672">
        <v>605</v>
      </c>
      <c r="S1672" s="2">
        <v>45742</v>
      </c>
      <c r="U1672">
        <v>352</v>
      </c>
      <c r="V1672" s="4">
        <v>212960</v>
      </c>
      <c r="W1672" t="s">
        <v>65</v>
      </c>
      <c r="X1672" t="s">
        <v>1634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G1672">
        <v>0</v>
      </c>
      <c r="AK1672" t="s">
        <v>69</v>
      </c>
      <c r="AL1672">
        <v>0</v>
      </c>
      <c r="AM1672" t="s">
        <v>69</v>
      </c>
      <c r="AP1672" t="s">
        <v>1635</v>
      </c>
      <c r="AQ1672" t="s">
        <v>107</v>
      </c>
      <c r="AR1672" t="s">
        <v>6638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BC1672" t="s">
        <v>69</v>
      </c>
      <c r="BG1672" t="s">
        <v>107</v>
      </c>
      <c r="BJ1672" t="s">
        <v>5554</v>
      </c>
    </row>
    <row r="1673" spans="1:62" x14ac:dyDescent="0.35">
      <c r="A1673" t="s">
        <v>5555</v>
      </c>
      <c r="B1673">
        <v>10000</v>
      </c>
      <c r="C1673">
        <v>10000</v>
      </c>
      <c r="D1673" s="2">
        <v>45755</v>
      </c>
      <c r="E1673" t="s">
        <v>61</v>
      </c>
      <c r="F1673" t="s">
        <v>5556</v>
      </c>
      <c r="G1673">
        <v>10656256091</v>
      </c>
      <c r="H1673" t="s">
        <v>2791</v>
      </c>
      <c r="I1673">
        <v>1</v>
      </c>
      <c r="J1673" t="s">
        <v>69</v>
      </c>
      <c r="K1673" s="8">
        <v>79</v>
      </c>
      <c r="L1673" t="s">
        <v>6608</v>
      </c>
      <c r="M1673" s="8" t="s">
        <v>6631</v>
      </c>
      <c r="N1673" t="s">
        <v>296</v>
      </c>
      <c r="O1673" t="s">
        <v>6550</v>
      </c>
      <c r="P1673">
        <v>175</v>
      </c>
      <c r="S1673" s="2">
        <v>45742</v>
      </c>
      <c r="U1673">
        <v>352</v>
      </c>
      <c r="V1673" s="4">
        <v>61600</v>
      </c>
      <c r="W1673" t="s">
        <v>65</v>
      </c>
      <c r="X1673" t="s">
        <v>5557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G1673">
        <v>0</v>
      </c>
      <c r="AK1673" t="s">
        <v>69</v>
      </c>
      <c r="AL1673">
        <v>0</v>
      </c>
      <c r="AM1673" t="s">
        <v>69</v>
      </c>
      <c r="AP1673" t="s">
        <v>5558</v>
      </c>
      <c r="AQ1673" t="s">
        <v>107</v>
      </c>
      <c r="AR1673" t="s">
        <v>6638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BC1673" t="s">
        <v>69</v>
      </c>
      <c r="BG1673" t="s">
        <v>107</v>
      </c>
      <c r="BJ1673" t="s">
        <v>5559</v>
      </c>
    </row>
    <row r="1674" spans="1:62" x14ac:dyDescent="0.35">
      <c r="A1674" t="s">
        <v>5560</v>
      </c>
      <c r="B1674">
        <v>10000</v>
      </c>
      <c r="C1674">
        <v>10000</v>
      </c>
      <c r="D1674" s="2">
        <v>45751</v>
      </c>
      <c r="E1674" t="s">
        <v>61</v>
      </c>
      <c r="F1674" t="s">
        <v>5561</v>
      </c>
      <c r="G1674" t="s">
        <v>5562</v>
      </c>
      <c r="H1674" t="s">
        <v>5563</v>
      </c>
      <c r="I1674">
        <v>1</v>
      </c>
      <c r="J1674" t="s">
        <v>69</v>
      </c>
      <c r="K1674" s="8">
        <v>88</v>
      </c>
      <c r="L1674" s="8" t="s">
        <v>6610</v>
      </c>
      <c r="M1674" s="8" t="s">
        <v>6631</v>
      </c>
      <c r="N1674" t="s">
        <v>630</v>
      </c>
      <c r="O1674" t="s">
        <v>6571</v>
      </c>
      <c r="P1674">
        <v>500</v>
      </c>
      <c r="S1674" s="2">
        <v>45742</v>
      </c>
      <c r="U1674">
        <v>3</v>
      </c>
      <c r="V1674" s="4">
        <v>1500</v>
      </c>
      <c r="W1674" t="s">
        <v>65</v>
      </c>
      <c r="X1674" t="s">
        <v>5564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G1674">
        <v>0</v>
      </c>
      <c r="AK1674" t="s">
        <v>69</v>
      </c>
      <c r="AL1674">
        <v>0</v>
      </c>
      <c r="AM1674" t="s">
        <v>69</v>
      </c>
      <c r="AP1674" t="s">
        <v>5565</v>
      </c>
      <c r="AQ1674" t="s">
        <v>5566</v>
      </c>
      <c r="AR1674" t="s">
        <v>6742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BC1674" t="s">
        <v>69</v>
      </c>
      <c r="BG1674" t="s">
        <v>5566</v>
      </c>
      <c r="BJ1674" t="s">
        <v>5567</v>
      </c>
    </row>
    <row r="1675" spans="1:62" x14ac:dyDescent="0.35">
      <c r="A1675" t="s">
        <v>5568</v>
      </c>
      <c r="B1675">
        <v>10000</v>
      </c>
      <c r="C1675">
        <v>20000</v>
      </c>
      <c r="D1675" s="2">
        <v>45743</v>
      </c>
      <c r="E1675" t="s">
        <v>61</v>
      </c>
      <c r="F1675" t="s">
        <v>3444</v>
      </c>
      <c r="G1675" t="s">
        <v>5569</v>
      </c>
      <c r="I1675">
        <v>1</v>
      </c>
      <c r="J1675" t="s">
        <v>63</v>
      </c>
      <c r="K1675" s="8">
        <v>72</v>
      </c>
      <c r="L1675" s="8" t="s">
        <v>6606</v>
      </c>
      <c r="M1675" s="8" t="s">
        <v>6631</v>
      </c>
      <c r="N1675" t="s">
        <v>163</v>
      </c>
      <c r="O1675" t="s">
        <v>6548</v>
      </c>
      <c r="P1675" s="4">
        <v>7085</v>
      </c>
      <c r="S1675" s="2">
        <v>45742</v>
      </c>
      <c r="U1675">
        <v>12</v>
      </c>
      <c r="V1675" s="4">
        <v>85020</v>
      </c>
      <c r="W1675" t="s">
        <v>65</v>
      </c>
      <c r="X1675" t="s">
        <v>5570</v>
      </c>
      <c r="Y1675">
        <v>0</v>
      </c>
      <c r="Z1675" s="4">
        <v>75000</v>
      </c>
      <c r="AA1675" s="4">
        <v>10020</v>
      </c>
      <c r="AB1675">
        <v>0</v>
      </c>
      <c r="AC1675">
        <v>0</v>
      </c>
      <c r="AD1675">
        <v>0</v>
      </c>
      <c r="AG1675">
        <v>0</v>
      </c>
      <c r="AP1675" t="s">
        <v>5571</v>
      </c>
      <c r="AQ1675" t="s">
        <v>5572</v>
      </c>
      <c r="AR1675" t="s">
        <v>6743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BC1675" t="s">
        <v>69</v>
      </c>
      <c r="BD1675" t="s">
        <v>5573</v>
      </c>
      <c r="BE1675">
        <v>0</v>
      </c>
      <c r="BG1675" t="s">
        <v>5572</v>
      </c>
      <c r="BJ1675" t="s">
        <v>5574</v>
      </c>
    </row>
    <row r="1676" spans="1:62" x14ac:dyDescent="0.35">
      <c r="A1676" t="s">
        <v>5568</v>
      </c>
      <c r="B1676">
        <v>10000</v>
      </c>
      <c r="C1676">
        <v>30000</v>
      </c>
      <c r="D1676" s="2">
        <v>45743</v>
      </c>
      <c r="E1676" t="s">
        <v>61</v>
      </c>
      <c r="F1676" t="s">
        <v>3444</v>
      </c>
      <c r="G1676" t="s">
        <v>5569</v>
      </c>
      <c r="I1676">
        <v>2</v>
      </c>
      <c r="J1676" t="s">
        <v>63</v>
      </c>
      <c r="K1676" s="8">
        <v>86</v>
      </c>
      <c r="L1676" s="8" t="s">
        <v>6584</v>
      </c>
      <c r="M1676" s="8" t="s">
        <v>6627</v>
      </c>
      <c r="N1676" t="s">
        <v>64</v>
      </c>
      <c r="O1676" t="s">
        <v>6559</v>
      </c>
      <c r="P1676" s="4">
        <v>4612</v>
      </c>
      <c r="Q1676">
        <f t="shared" ref="Q1676:Q1677" si="429">(P1676/60)+45</f>
        <v>121.86666666666666</v>
      </c>
      <c r="R1676">
        <f t="shared" ref="R1676:R1677" si="430">Q1676/60</f>
        <v>2.0311111111111111</v>
      </c>
      <c r="S1676" s="2">
        <v>45742</v>
      </c>
      <c r="U1676">
        <v>18</v>
      </c>
      <c r="V1676" s="4">
        <v>83016</v>
      </c>
      <c r="W1676" t="s">
        <v>65</v>
      </c>
      <c r="X1676" t="s">
        <v>5570</v>
      </c>
      <c r="Y1676">
        <v>0</v>
      </c>
      <c r="Z1676" s="4">
        <v>75000</v>
      </c>
      <c r="AA1676" s="4">
        <v>8016</v>
      </c>
      <c r="AB1676">
        <v>0</v>
      </c>
      <c r="AC1676">
        <v>0</v>
      </c>
      <c r="AD1676">
        <v>0</v>
      </c>
      <c r="AG1676">
        <v>0</v>
      </c>
      <c r="AP1676" t="s">
        <v>5571</v>
      </c>
      <c r="AQ1676" t="s">
        <v>5572</v>
      </c>
      <c r="AR1676" t="s">
        <v>6743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BC1676" t="s">
        <v>69</v>
      </c>
      <c r="BD1676" t="s">
        <v>5573</v>
      </c>
      <c r="BE1676">
        <v>0</v>
      </c>
      <c r="BG1676" t="s">
        <v>5572</v>
      </c>
      <c r="BJ1676" t="s">
        <v>5574</v>
      </c>
    </row>
    <row r="1677" spans="1:62" x14ac:dyDescent="0.35">
      <c r="A1677" t="s">
        <v>5575</v>
      </c>
      <c r="B1677">
        <v>10000</v>
      </c>
      <c r="C1677">
        <v>10000</v>
      </c>
      <c r="D1677" s="2">
        <v>45743</v>
      </c>
      <c r="E1677" t="s">
        <v>61</v>
      </c>
      <c r="F1677" t="s">
        <v>4640</v>
      </c>
      <c r="G1677" t="s">
        <v>89</v>
      </c>
      <c r="I1677">
        <v>1</v>
      </c>
      <c r="J1677" t="s">
        <v>63</v>
      </c>
      <c r="K1677" s="8">
        <v>73</v>
      </c>
      <c r="L1677" s="8" t="s">
        <v>6586</v>
      </c>
      <c r="M1677" s="8" t="s">
        <v>6627</v>
      </c>
      <c r="N1677" t="s">
        <v>90</v>
      </c>
      <c r="O1677" t="s">
        <v>6564</v>
      </c>
      <c r="P1677" s="4">
        <v>24000</v>
      </c>
      <c r="Q1677">
        <f t="shared" si="429"/>
        <v>445</v>
      </c>
      <c r="R1677">
        <f t="shared" si="430"/>
        <v>7.416666666666667</v>
      </c>
      <c r="S1677" s="2">
        <v>45742</v>
      </c>
      <c r="U1677">
        <v>12</v>
      </c>
      <c r="V1677" s="4">
        <v>288000</v>
      </c>
      <c r="W1677" t="s">
        <v>65</v>
      </c>
      <c r="X1677">
        <v>80256240001</v>
      </c>
      <c r="Y1677">
        <v>0</v>
      </c>
      <c r="Z1677" s="4">
        <v>288000</v>
      </c>
      <c r="AA1677">
        <v>0</v>
      </c>
      <c r="AB1677">
        <v>0</v>
      </c>
      <c r="AC1677">
        <v>0</v>
      </c>
      <c r="AD1677">
        <v>0</v>
      </c>
      <c r="AG1677">
        <v>0</v>
      </c>
      <c r="AP1677">
        <v>8025624</v>
      </c>
      <c r="AQ1677" t="s">
        <v>91</v>
      </c>
      <c r="AR1677" t="s">
        <v>6637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BC1677" t="s">
        <v>69</v>
      </c>
      <c r="BD1677" t="s">
        <v>5576</v>
      </c>
      <c r="BE1677">
        <v>0</v>
      </c>
      <c r="BG1677" t="s">
        <v>91</v>
      </c>
      <c r="BJ1677" t="s">
        <v>5577</v>
      </c>
    </row>
    <row r="1678" spans="1:62" x14ac:dyDescent="0.35">
      <c r="A1678" t="s">
        <v>5578</v>
      </c>
      <c r="B1678">
        <v>10000</v>
      </c>
      <c r="C1678">
        <v>20000</v>
      </c>
      <c r="D1678" s="2">
        <v>45742</v>
      </c>
      <c r="E1678" t="s">
        <v>61</v>
      </c>
      <c r="F1678" t="s">
        <v>1962</v>
      </c>
      <c r="G1678" t="s">
        <v>5569</v>
      </c>
      <c r="I1678">
        <v>1</v>
      </c>
      <c r="J1678" t="s">
        <v>63</v>
      </c>
      <c r="K1678" s="8">
        <v>72</v>
      </c>
      <c r="L1678" s="8" t="s">
        <v>6606</v>
      </c>
      <c r="M1678" s="8" t="s">
        <v>6631</v>
      </c>
      <c r="N1678" t="s">
        <v>163</v>
      </c>
      <c r="O1678" t="s">
        <v>6548</v>
      </c>
      <c r="P1678" s="4">
        <v>6500</v>
      </c>
      <c r="S1678" s="2">
        <v>45742</v>
      </c>
      <c r="U1678">
        <v>8</v>
      </c>
      <c r="V1678" s="4">
        <v>52000</v>
      </c>
      <c r="W1678" t="s">
        <v>65</v>
      </c>
      <c r="X1678" t="s">
        <v>5579</v>
      </c>
      <c r="Y1678">
        <v>0</v>
      </c>
      <c r="Z1678" s="4">
        <v>45000</v>
      </c>
      <c r="AA1678" s="4">
        <v>7000</v>
      </c>
      <c r="AB1678">
        <v>0</v>
      </c>
      <c r="AC1678">
        <v>0</v>
      </c>
      <c r="AD1678">
        <v>0</v>
      </c>
      <c r="AG1678">
        <v>0</v>
      </c>
      <c r="AP1678" t="s">
        <v>5580</v>
      </c>
      <c r="AQ1678" t="s">
        <v>5572</v>
      </c>
      <c r="AR1678" t="s">
        <v>6743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BC1678" t="s">
        <v>69</v>
      </c>
      <c r="BD1678" t="s">
        <v>5581</v>
      </c>
      <c r="BE1678">
        <v>0</v>
      </c>
      <c r="BG1678" t="s">
        <v>5572</v>
      </c>
      <c r="BJ1678" t="s">
        <v>5582</v>
      </c>
    </row>
    <row r="1679" spans="1:62" x14ac:dyDescent="0.35">
      <c r="A1679" t="s">
        <v>5578</v>
      </c>
      <c r="B1679">
        <v>10000</v>
      </c>
      <c r="C1679">
        <v>30000</v>
      </c>
      <c r="D1679" s="2">
        <v>45742</v>
      </c>
      <c r="E1679" t="s">
        <v>61</v>
      </c>
      <c r="F1679" t="s">
        <v>1962</v>
      </c>
      <c r="G1679" t="s">
        <v>5569</v>
      </c>
      <c r="I1679">
        <v>2</v>
      </c>
      <c r="J1679" t="s">
        <v>63</v>
      </c>
      <c r="K1679" s="8">
        <v>86</v>
      </c>
      <c r="L1679" s="8" t="s">
        <v>6584</v>
      </c>
      <c r="M1679" s="8" t="s">
        <v>6627</v>
      </c>
      <c r="N1679" t="s">
        <v>64</v>
      </c>
      <c r="O1679" t="s">
        <v>6559</v>
      </c>
      <c r="P1679" s="4">
        <v>6250</v>
      </c>
      <c r="Q1679">
        <f t="shared" ref="Q1679:Q1681" si="431">(P1679/60)+45</f>
        <v>149.16666666666669</v>
      </c>
      <c r="R1679">
        <f t="shared" ref="R1679:R1683" si="432">Q1679/60</f>
        <v>2.4861111111111116</v>
      </c>
      <c r="S1679" s="2">
        <v>45742</v>
      </c>
      <c r="U1679">
        <v>8</v>
      </c>
      <c r="V1679" s="4">
        <v>50000</v>
      </c>
      <c r="W1679" t="s">
        <v>65</v>
      </c>
      <c r="X1679" t="s">
        <v>5579</v>
      </c>
      <c r="Y1679">
        <v>0</v>
      </c>
      <c r="Z1679" s="4">
        <v>45000</v>
      </c>
      <c r="AA1679" s="4">
        <v>5000</v>
      </c>
      <c r="AB1679">
        <v>0</v>
      </c>
      <c r="AC1679">
        <v>0</v>
      </c>
      <c r="AD1679">
        <v>0</v>
      </c>
      <c r="AG1679">
        <v>0</v>
      </c>
      <c r="AP1679" t="s">
        <v>5580</v>
      </c>
      <c r="AQ1679" t="s">
        <v>5572</v>
      </c>
      <c r="AR1679" t="s">
        <v>6743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BC1679" t="s">
        <v>69</v>
      </c>
      <c r="BD1679" t="s">
        <v>5581</v>
      </c>
      <c r="BE1679">
        <v>0</v>
      </c>
      <c r="BG1679" t="s">
        <v>5572</v>
      </c>
      <c r="BJ1679" t="s">
        <v>5582</v>
      </c>
    </row>
    <row r="1680" spans="1:62" x14ac:dyDescent="0.35">
      <c r="A1680" t="s">
        <v>5071</v>
      </c>
      <c r="B1680">
        <v>10000</v>
      </c>
      <c r="C1680">
        <v>30000</v>
      </c>
      <c r="D1680" s="2">
        <v>45748</v>
      </c>
      <c r="E1680" t="s">
        <v>61</v>
      </c>
      <c r="F1680" t="s">
        <v>5072</v>
      </c>
      <c r="G1680" t="s">
        <v>5073</v>
      </c>
      <c r="I1680">
        <v>1</v>
      </c>
      <c r="J1680" t="s">
        <v>63</v>
      </c>
      <c r="K1680" s="8">
        <v>111</v>
      </c>
      <c r="L1680" s="8" t="s">
        <v>6597</v>
      </c>
      <c r="M1680" s="8" t="s">
        <v>6627</v>
      </c>
      <c r="N1680" t="s">
        <v>286</v>
      </c>
      <c r="O1680" t="s">
        <v>6560</v>
      </c>
      <c r="P1680" s="4">
        <v>31875</v>
      </c>
      <c r="Q1680">
        <f t="shared" si="431"/>
        <v>576.25</v>
      </c>
      <c r="R1680">
        <f t="shared" si="432"/>
        <v>9.6041666666666661</v>
      </c>
      <c r="S1680" s="2">
        <v>45742</v>
      </c>
      <c r="U1680">
        <v>8</v>
      </c>
      <c r="V1680" s="4">
        <v>255000</v>
      </c>
      <c r="W1680" t="s">
        <v>65</v>
      </c>
      <c r="X1680" t="s">
        <v>3920</v>
      </c>
      <c r="Y1680">
        <v>0</v>
      </c>
      <c r="Z1680" s="4">
        <v>254692</v>
      </c>
      <c r="AA1680">
        <v>308</v>
      </c>
      <c r="AB1680">
        <v>0</v>
      </c>
      <c r="AC1680">
        <v>0</v>
      </c>
      <c r="AD1680">
        <v>0</v>
      </c>
      <c r="AG1680">
        <v>0</v>
      </c>
      <c r="AP1680" t="s">
        <v>3921</v>
      </c>
      <c r="AQ1680" t="s">
        <v>271</v>
      </c>
      <c r="AR1680" t="s">
        <v>6648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BC1680" t="s">
        <v>69</v>
      </c>
      <c r="BD1680" t="s">
        <v>5074</v>
      </c>
      <c r="BE1680">
        <v>0</v>
      </c>
      <c r="BG1680" t="s">
        <v>271</v>
      </c>
      <c r="BJ1680" t="s">
        <v>5075</v>
      </c>
    </row>
    <row r="1681" spans="1:62" x14ac:dyDescent="0.35">
      <c r="A1681" t="s">
        <v>5583</v>
      </c>
      <c r="B1681">
        <v>10000</v>
      </c>
      <c r="C1681">
        <v>10000</v>
      </c>
      <c r="D1681" s="2">
        <v>45742</v>
      </c>
      <c r="E1681" t="s">
        <v>61</v>
      </c>
      <c r="F1681" t="s">
        <v>5584</v>
      </c>
      <c r="G1681" t="s">
        <v>1852</v>
      </c>
      <c r="I1681">
        <v>1</v>
      </c>
      <c r="J1681" t="s">
        <v>63</v>
      </c>
      <c r="K1681" s="8">
        <v>86</v>
      </c>
      <c r="L1681" s="8" t="s">
        <v>6584</v>
      </c>
      <c r="M1681" s="8" t="s">
        <v>6627</v>
      </c>
      <c r="N1681" t="s">
        <v>64</v>
      </c>
      <c r="O1681" t="s">
        <v>6559</v>
      </c>
      <c r="P1681" s="4">
        <v>7500</v>
      </c>
      <c r="Q1681">
        <f t="shared" si="431"/>
        <v>170</v>
      </c>
      <c r="R1681">
        <f t="shared" si="432"/>
        <v>2.8333333333333335</v>
      </c>
      <c r="S1681" s="2">
        <v>45742</v>
      </c>
      <c r="U1681">
        <v>8</v>
      </c>
      <c r="V1681" s="4">
        <v>60000</v>
      </c>
      <c r="W1681" t="s">
        <v>65</v>
      </c>
      <c r="X1681" t="s">
        <v>5585</v>
      </c>
      <c r="Y1681">
        <v>0</v>
      </c>
      <c r="Z1681" s="4">
        <v>60000</v>
      </c>
      <c r="AA1681">
        <v>0</v>
      </c>
      <c r="AB1681">
        <v>0</v>
      </c>
      <c r="AC1681">
        <v>0</v>
      </c>
      <c r="AD1681">
        <v>0</v>
      </c>
      <c r="AG1681">
        <v>0</v>
      </c>
      <c r="AP1681" t="s">
        <v>5586</v>
      </c>
      <c r="AQ1681" t="s">
        <v>271</v>
      </c>
      <c r="AR1681" t="s">
        <v>6648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BC1681" t="s">
        <v>69</v>
      </c>
      <c r="BD1681" t="s">
        <v>5587</v>
      </c>
      <c r="BE1681">
        <v>0</v>
      </c>
      <c r="BG1681" t="s">
        <v>271</v>
      </c>
      <c r="BJ1681" t="s">
        <v>5588</v>
      </c>
    </row>
    <row r="1682" spans="1:62" x14ac:dyDescent="0.35">
      <c r="A1682" t="s">
        <v>5589</v>
      </c>
      <c r="B1682">
        <v>10000</v>
      </c>
      <c r="C1682">
        <v>10000</v>
      </c>
      <c r="D1682" s="2">
        <v>45743</v>
      </c>
      <c r="E1682" t="s">
        <v>61</v>
      </c>
      <c r="F1682" t="s">
        <v>5590</v>
      </c>
      <c r="G1682" t="s">
        <v>5591</v>
      </c>
      <c r="I1682">
        <v>1</v>
      </c>
      <c r="J1682" t="s">
        <v>63</v>
      </c>
      <c r="K1682" s="8">
        <v>61</v>
      </c>
      <c r="L1682" s="8" t="s">
        <v>6594</v>
      </c>
      <c r="M1682" s="8" t="s">
        <v>6629</v>
      </c>
      <c r="N1682" t="s">
        <v>216</v>
      </c>
      <c r="O1682" t="s">
        <v>6394</v>
      </c>
      <c r="P1682" s="4">
        <v>8500</v>
      </c>
      <c r="Q1682">
        <f t="shared" ref="Q1682:Q1683" si="433">(P1682/50)+45</f>
        <v>215</v>
      </c>
      <c r="R1682">
        <f t="shared" si="432"/>
        <v>3.5833333333333335</v>
      </c>
      <c r="S1682" s="2">
        <v>45742</v>
      </c>
      <c r="U1682">
        <v>2</v>
      </c>
      <c r="V1682" s="4">
        <v>17000</v>
      </c>
      <c r="W1682" t="s">
        <v>65</v>
      </c>
      <c r="X1682" t="s">
        <v>5592</v>
      </c>
      <c r="Y1682">
        <v>0</v>
      </c>
      <c r="Z1682" s="4">
        <v>17000</v>
      </c>
      <c r="AA1682">
        <v>0</v>
      </c>
      <c r="AB1682">
        <v>0</v>
      </c>
      <c r="AC1682">
        <v>0</v>
      </c>
      <c r="AD1682">
        <v>0</v>
      </c>
      <c r="AG1682">
        <v>0</v>
      </c>
      <c r="AP1682" t="s">
        <v>5593</v>
      </c>
      <c r="AQ1682" t="s">
        <v>206</v>
      </c>
      <c r="AR1682" t="s">
        <v>6645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BC1682" t="s">
        <v>69</v>
      </c>
      <c r="BD1682" t="s">
        <v>5594</v>
      </c>
      <c r="BE1682">
        <v>0</v>
      </c>
      <c r="BG1682" t="s">
        <v>206</v>
      </c>
      <c r="BJ1682" t="s">
        <v>1077</v>
      </c>
    </row>
    <row r="1683" spans="1:62" x14ac:dyDescent="0.35">
      <c r="A1683" t="s">
        <v>5595</v>
      </c>
      <c r="B1683">
        <v>10000</v>
      </c>
      <c r="C1683">
        <v>10000</v>
      </c>
      <c r="D1683" s="2">
        <v>45743</v>
      </c>
      <c r="E1683" t="s">
        <v>61</v>
      </c>
      <c r="F1683" s="3">
        <v>0.48943287037037037</v>
      </c>
      <c r="G1683" t="s">
        <v>5591</v>
      </c>
      <c r="I1683">
        <v>1</v>
      </c>
      <c r="J1683" t="s">
        <v>63</v>
      </c>
      <c r="K1683" s="8">
        <v>61</v>
      </c>
      <c r="L1683" s="8" t="s">
        <v>6594</v>
      </c>
      <c r="M1683" s="8" t="s">
        <v>6629</v>
      </c>
      <c r="N1683" t="s">
        <v>216</v>
      </c>
      <c r="O1683" t="s">
        <v>6394</v>
      </c>
      <c r="P1683" s="4">
        <v>6000</v>
      </c>
      <c r="Q1683">
        <f t="shared" si="433"/>
        <v>165</v>
      </c>
      <c r="R1683">
        <f t="shared" si="432"/>
        <v>2.75</v>
      </c>
      <c r="S1683" s="2">
        <v>45742</v>
      </c>
      <c r="U1683">
        <v>3</v>
      </c>
      <c r="V1683" s="4">
        <v>18000</v>
      </c>
      <c r="W1683" t="s">
        <v>65</v>
      </c>
      <c r="X1683" t="s">
        <v>5596</v>
      </c>
      <c r="Y1683">
        <v>0</v>
      </c>
      <c r="Z1683" s="4">
        <v>18000</v>
      </c>
      <c r="AA1683">
        <v>0</v>
      </c>
      <c r="AB1683">
        <v>0</v>
      </c>
      <c r="AC1683">
        <v>0</v>
      </c>
      <c r="AD1683">
        <v>0</v>
      </c>
      <c r="AG1683">
        <v>0</v>
      </c>
      <c r="AP1683" t="s">
        <v>5597</v>
      </c>
      <c r="AQ1683" t="s">
        <v>206</v>
      </c>
      <c r="AR1683" t="s">
        <v>6645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BC1683" t="s">
        <v>69</v>
      </c>
      <c r="BD1683" t="s">
        <v>5598</v>
      </c>
      <c r="BE1683">
        <v>0</v>
      </c>
      <c r="BG1683" t="s">
        <v>206</v>
      </c>
      <c r="BJ1683" t="s">
        <v>1077</v>
      </c>
    </row>
    <row r="1684" spans="1:62" x14ac:dyDescent="0.35">
      <c r="A1684" t="s">
        <v>5599</v>
      </c>
      <c r="B1684">
        <v>10000</v>
      </c>
      <c r="C1684">
        <v>10000</v>
      </c>
      <c r="D1684" s="2">
        <v>45744</v>
      </c>
      <c r="E1684" t="s">
        <v>61</v>
      </c>
      <c r="F1684" t="s">
        <v>5600</v>
      </c>
      <c r="G1684">
        <v>502200327</v>
      </c>
      <c r="I1684">
        <v>1</v>
      </c>
      <c r="J1684" t="s">
        <v>63</v>
      </c>
      <c r="K1684" s="8">
        <v>59</v>
      </c>
      <c r="L1684" s="8" t="s">
        <v>6592</v>
      </c>
      <c r="M1684" s="8" t="s">
        <v>6629</v>
      </c>
      <c r="N1684" t="s">
        <v>745</v>
      </c>
      <c r="O1684" t="s">
        <v>6501</v>
      </c>
      <c r="P1684" s="4">
        <v>55200</v>
      </c>
      <c r="Q1684">
        <f>(P1684/40)+45</f>
        <v>1425</v>
      </c>
      <c r="R1684">
        <f>Q1684/60</f>
        <v>23.75</v>
      </c>
      <c r="S1684" s="2">
        <v>45742</v>
      </c>
      <c r="U1684">
        <v>15</v>
      </c>
      <c r="V1684" s="4">
        <v>828000</v>
      </c>
      <c r="W1684" t="s">
        <v>65</v>
      </c>
      <c r="X1684">
        <v>7062440001</v>
      </c>
      <c r="Y1684">
        <v>0</v>
      </c>
      <c r="Z1684" s="4">
        <v>828000</v>
      </c>
      <c r="AA1684">
        <v>0</v>
      </c>
      <c r="AB1684">
        <v>0</v>
      </c>
      <c r="AC1684">
        <v>0</v>
      </c>
      <c r="AD1684">
        <v>0</v>
      </c>
      <c r="AG1684">
        <v>0</v>
      </c>
      <c r="AP1684" t="s">
        <v>5601</v>
      </c>
      <c r="AQ1684" t="s">
        <v>481</v>
      </c>
      <c r="AR1684" t="s">
        <v>6655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BC1684" t="s">
        <v>69</v>
      </c>
      <c r="BD1684" t="s">
        <v>5602</v>
      </c>
      <c r="BE1684">
        <v>0</v>
      </c>
      <c r="BG1684" t="s">
        <v>481</v>
      </c>
      <c r="BJ1684" t="s">
        <v>3748</v>
      </c>
    </row>
    <row r="1685" spans="1:62" x14ac:dyDescent="0.35">
      <c r="A1685" t="s">
        <v>2425</v>
      </c>
      <c r="B1685">
        <v>10000</v>
      </c>
      <c r="C1685">
        <v>40000</v>
      </c>
      <c r="D1685" s="2">
        <v>45742</v>
      </c>
      <c r="E1685" t="s">
        <v>61</v>
      </c>
      <c r="F1685" t="s">
        <v>2426</v>
      </c>
      <c r="G1685" t="s">
        <v>2427</v>
      </c>
      <c r="I1685">
        <v>3</v>
      </c>
      <c r="J1685" t="s">
        <v>63</v>
      </c>
      <c r="K1685" s="8">
        <v>91</v>
      </c>
      <c r="L1685" s="8" t="s">
        <v>6585</v>
      </c>
      <c r="M1685" s="8" t="s">
        <v>6628</v>
      </c>
      <c r="N1685" t="s">
        <v>104</v>
      </c>
      <c r="O1685" t="s">
        <v>6579</v>
      </c>
      <c r="P1685" s="4">
        <v>2000</v>
      </c>
      <c r="S1685" s="2">
        <v>45742</v>
      </c>
      <c r="U1685">
        <v>3</v>
      </c>
      <c r="V1685" s="4">
        <v>6000</v>
      </c>
      <c r="W1685" t="s">
        <v>65</v>
      </c>
      <c r="X1685" t="s">
        <v>2428</v>
      </c>
      <c r="Y1685">
        <v>0</v>
      </c>
      <c r="Z1685" s="4">
        <v>5000</v>
      </c>
      <c r="AA1685" s="4">
        <v>1000</v>
      </c>
      <c r="AB1685">
        <v>0</v>
      </c>
      <c r="AC1685">
        <v>0</v>
      </c>
      <c r="AD1685">
        <v>0</v>
      </c>
      <c r="AG1685">
        <v>0</v>
      </c>
      <c r="AP1685" t="s">
        <v>2429</v>
      </c>
      <c r="AQ1685" t="s">
        <v>107</v>
      </c>
      <c r="AR1685" t="s">
        <v>6638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BC1685" t="s">
        <v>69</v>
      </c>
      <c r="BD1685" t="s">
        <v>2430</v>
      </c>
      <c r="BE1685">
        <v>0</v>
      </c>
      <c r="BG1685" t="s">
        <v>107</v>
      </c>
      <c r="BJ1685" t="s">
        <v>2431</v>
      </c>
    </row>
    <row r="1686" spans="1:62" x14ac:dyDescent="0.35">
      <c r="A1686" t="s">
        <v>1521</v>
      </c>
      <c r="B1686">
        <v>10000</v>
      </c>
      <c r="C1686">
        <v>40000</v>
      </c>
      <c r="D1686" s="2">
        <v>45742</v>
      </c>
      <c r="E1686" t="s">
        <v>61</v>
      </c>
      <c r="F1686" t="s">
        <v>5603</v>
      </c>
      <c r="G1686">
        <v>10620258036</v>
      </c>
      <c r="I1686">
        <v>3</v>
      </c>
      <c r="J1686" t="s">
        <v>63</v>
      </c>
      <c r="K1686" s="8">
        <v>85</v>
      </c>
      <c r="L1686" s="8" t="s">
        <v>6585</v>
      </c>
      <c r="M1686" s="8" t="s">
        <v>6628</v>
      </c>
      <c r="N1686" t="s">
        <v>327</v>
      </c>
      <c r="O1686" t="s">
        <v>6580</v>
      </c>
      <c r="P1686" s="4">
        <v>31819</v>
      </c>
      <c r="S1686" s="2">
        <v>45742</v>
      </c>
      <c r="U1686">
        <v>11</v>
      </c>
      <c r="V1686" s="4">
        <v>350009</v>
      </c>
      <c r="W1686" t="s">
        <v>65</v>
      </c>
      <c r="X1686" t="s">
        <v>328</v>
      </c>
      <c r="Y1686">
        <v>0</v>
      </c>
      <c r="Z1686" s="4">
        <v>360000</v>
      </c>
      <c r="AA1686" s="4">
        <v>-9991</v>
      </c>
      <c r="AB1686">
        <v>0</v>
      </c>
      <c r="AC1686">
        <v>0</v>
      </c>
      <c r="AD1686">
        <v>0</v>
      </c>
      <c r="AG1686">
        <v>0</v>
      </c>
      <c r="AP1686" t="s">
        <v>329</v>
      </c>
      <c r="AQ1686" t="s">
        <v>107</v>
      </c>
      <c r="AR1686" t="s">
        <v>6638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BC1686" t="s">
        <v>69</v>
      </c>
      <c r="BD1686" t="s">
        <v>1523</v>
      </c>
      <c r="BE1686">
        <v>0</v>
      </c>
      <c r="BG1686" t="s">
        <v>107</v>
      </c>
      <c r="BJ1686" t="s">
        <v>1524</v>
      </c>
    </row>
    <row r="1687" spans="1:62" x14ac:dyDescent="0.35">
      <c r="A1687" t="s">
        <v>5604</v>
      </c>
      <c r="B1687">
        <v>10000</v>
      </c>
      <c r="C1687">
        <v>20000</v>
      </c>
      <c r="D1687" s="2">
        <v>45743</v>
      </c>
      <c r="E1687" t="s">
        <v>61</v>
      </c>
      <c r="F1687" t="s">
        <v>5541</v>
      </c>
      <c r="G1687" t="s">
        <v>2069</v>
      </c>
      <c r="I1687">
        <v>1</v>
      </c>
      <c r="J1687" t="s">
        <v>63</v>
      </c>
      <c r="K1687" s="8">
        <v>94</v>
      </c>
      <c r="L1687" s="8" t="s">
        <v>6599</v>
      </c>
      <c r="M1687" s="8" t="s">
        <v>6629</v>
      </c>
      <c r="N1687" t="s">
        <v>181</v>
      </c>
      <c r="O1687" t="s">
        <v>6544</v>
      </c>
      <c r="P1687" s="4">
        <v>4000</v>
      </c>
      <c r="S1687" s="2">
        <v>45742</v>
      </c>
      <c r="U1687">
        <v>6</v>
      </c>
      <c r="V1687" s="4">
        <v>24000</v>
      </c>
      <c r="W1687" t="s">
        <v>65</v>
      </c>
      <c r="X1687" t="s">
        <v>1405</v>
      </c>
      <c r="Y1687">
        <v>0</v>
      </c>
      <c r="Z1687" s="4">
        <v>24000</v>
      </c>
      <c r="AA1687">
        <v>0</v>
      </c>
      <c r="AB1687">
        <v>0</v>
      </c>
      <c r="AC1687">
        <v>0</v>
      </c>
      <c r="AD1687">
        <v>0</v>
      </c>
      <c r="AG1687">
        <v>0</v>
      </c>
      <c r="AP1687" t="s">
        <v>1406</v>
      </c>
      <c r="AQ1687" t="s">
        <v>364</v>
      </c>
      <c r="AR1687" t="s">
        <v>6653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BC1687" t="s">
        <v>69</v>
      </c>
      <c r="BD1687" t="s">
        <v>5605</v>
      </c>
      <c r="BE1687">
        <v>0</v>
      </c>
      <c r="BG1687" t="s">
        <v>364</v>
      </c>
      <c r="BJ1687" t="s">
        <v>5606</v>
      </c>
    </row>
    <row r="1688" spans="1:62" x14ac:dyDescent="0.35">
      <c r="A1688" t="s">
        <v>4779</v>
      </c>
      <c r="B1688">
        <v>10000</v>
      </c>
      <c r="C1688">
        <v>50000</v>
      </c>
      <c r="D1688" s="2">
        <v>45742</v>
      </c>
      <c r="E1688" t="s">
        <v>61</v>
      </c>
      <c r="F1688" t="s">
        <v>4780</v>
      </c>
      <c r="G1688" t="s">
        <v>4781</v>
      </c>
      <c r="I1688">
        <v>3</v>
      </c>
      <c r="J1688" t="s">
        <v>63</v>
      </c>
      <c r="K1688" s="8">
        <v>91</v>
      </c>
      <c r="L1688" s="8" t="s">
        <v>6585</v>
      </c>
      <c r="M1688" s="8" t="s">
        <v>6628</v>
      </c>
      <c r="N1688" t="s">
        <v>104</v>
      </c>
      <c r="O1688" t="s">
        <v>6579</v>
      </c>
      <c r="P1688" s="4">
        <v>6667</v>
      </c>
      <c r="S1688" s="2">
        <v>45742</v>
      </c>
      <c r="U1688">
        <v>3</v>
      </c>
      <c r="V1688" s="4">
        <v>20001</v>
      </c>
      <c r="W1688" t="s">
        <v>65</v>
      </c>
      <c r="X1688" t="s">
        <v>334</v>
      </c>
      <c r="Y1688">
        <v>0</v>
      </c>
      <c r="Z1688" s="4">
        <v>20000</v>
      </c>
      <c r="AA1688">
        <v>1</v>
      </c>
      <c r="AB1688">
        <v>0</v>
      </c>
      <c r="AC1688">
        <v>0</v>
      </c>
      <c r="AD1688">
        <v>0</v>
      </c>
      <c r="AG1688">
        <v>0</v>
      </c>
      <c r="AP1688" t="s">
        <v>335</v>
      </c>
      <c r="AQ1688" t="s">
        <v>107</v>
      </c>
      <c r="AR1688" t="s">
        <v>6638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BC1688" t="s">
        <v>69</v>
      </c>
      <c r="BD1688" t="s">
        <v>4782</v>
      </c>
      <c r="BE1688">
        <v>0</v>
      </c>
      <c r="BG1688" t="s">
        <v>107</v>
      </c>
      <c r="BJ1688" t="s">
        <v>4783</v>
      </c>
    </row>
    <row r="1689" spans="1:62" x14ac:dyDescent="0.35">
      <c r="A1689" t="s">
        <v>5607</v>
      </c>
      <c r="B1689">
        <v>10000</v>
      </c>
      <c r="C1689">
        <v>20000</v>
      </c>
      <c r="D1689" s="2">
        <v>45742</v>
      </c>
      <c r="E1689" t="s">
        <v>61</v>
      </c>
      <c r="F1689" t="s">
        <v>5584</v>
      </c>
      <c r="G1689" t="s">
        <v>3934</v>
      </c>
      <c r="I1689">
        <v>1</v>
      </c>
      <c r="J1689" t="s">
        <v>63</v>
      </c>
      <c r="K1689" s="8">
        <v>60</v>
      </c>
      <c r="L1689" s="8" t="s">
        <v>6590</v>
      </c>
      <c r="M1689" s="8" t="s">
        <v>6630</v>
      </c>
      <c r="N1689" t="s">
        <v>277</v>
      </c>
      <c r="O1689" t="s">
        <v>6554</v>
      </c>
      <c r="P1689" s="4">
        <v>5200</v>
      </c>
      <c r="Q1689">
        <f>(P1689/50)+45</f>
        <v>149</v>
      </c>
      <c r="R1689">
        <f>Q1689/60</f>
        <v>2.4833333333333334</v>
      </c>
      <c r="S1689" s="2">
        <v>45742</v>
      </c>
      <c r="U1689">
        <v>10</v>
      </c>
      <c r="V1689" s="4">
        <v>52000</v>
      </c>
      <c r="W1689" t="s">
        <v>65</v>
      </c>
      <c r="X1689" t="s">
        <v>2153</v>
      </c>
      <c r="Y1689">
        <v>0</v>
      </c>
      <c r="Z1689" s="4">
        <v>57000</v>
      </c>
      <c r="AA1689" s="4">
        <v>-5000</v>
      </c>
      <c r="AB1689">
        <v>0</v>
      </c>
      <c r="AC1689">
        <v>0</v>
      </c>
      <c r="AD1689">
        <v>0</v>
      </c>
      <c r="AG1689">
        <v>0</v>
      </c>
      <c r="AP1689" t="s">
        <v>2154</v>
      </c>
      <c r="AQ1689" t="s">
        <v>321</v>
      </c>
      <c r="AR1689" t="s">
        <v>6652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BC1689" t="s">
        <v>69</v>
      </c>
      <c r="BD1689" t="s">
        <v>5608</v>
      </c>
      <c r="BE1689">
        <v>0</v>
      </c>
      <c r="BG1689" t="s">
        <v>321</v>
      </c>
      <c r="BJ1689" t="s">
        <v>2142</v>
      </c>
    </row>
    <row r="1690" spans="1:62" x14ac:dyDescent="0.35">
      <c r="A1690" t="s">
        <v>3966</v>
      </c>
      <c r="B1690">
        <v>10000</v>
      </c>
      <c r="C1690">
        <v>30000</v>
      </c>
      <c r="D1690" s="2">
        <v>45749</v>
      </c>
      <c r="E1690" t="s">
        <v>61</v>
      </c>
      <c r="F1690" t="s">
        <v>4966</v>
      </c>
      <c r="G1690" t="s">
        <v>3968</v>
      </c>
      <c r="I1690">
        <v>1</v>
      </c>
      <c r="J1690" t="s">
        <v>63</v>
      </c>
      <c r="K1690" s="8">
        <v>78</v>
      </c>
      <c r="L1690" s="8" t="s">
        <v>6593</v>
      </c>
      <c r="M1690" s="8" t="s">
        <v>6629</v>
      </c>
      <c r="N1690" t="s">
        <v>188</v>
      </c>
      <c r="O1690" t="s">
        <v>6410</v>
      </c>
      <c r="P1690" s="4">
        <v>1500</v>
      </c>
      <c r="Q1690">
        <f t="shared" ref="Q1690:Q1692" si="434">(P1690/40)+45</f>
        <v>82.5</v>
      </c>
      <c r="R1690">
        <f t="shared" ref="R1690:R1692" si="435">Q1690/60</f>
        <v>1.375</v>
      </c>
      <c r="S1690" s="2">
        <v>45742</v>
      </c>
      <c r="U1690">
        <v>2</v>
      </c>
      <c r="V1690" s="4">
        <v>3000</v>
      </c>
      <c r="W1690" t="s">
        <v>65</v>
      </c>
      <c r="X1690" t="s">
        <v>3969</v>
      </c>
      <c r="Y1690">
        <v>0</v>
      </c>
      <c r="Z1690">
        <v>600</v>
      </c>
      <c r="AA1690" s="4">
        <v>2400</v>
      </c>
      <c r="AB1690">
        <v>0</v>
      </c>
      <c r="AC1690">
        <v>0</v>
      </c>
      <c r="AD1690">
        <v>0</v>
      </c>
      <c r="AG1690">
        <v>0</v>
      </c>
      <c r="AP1690" t="s">
        <v>3970</v>
      </c>
      <c r="AQ1690" t="s">
        <v>508</v>
      </c>
      <c r="AR1690" t="s">
        <v>6657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BC1690" t="s">
        <v>69</v>
      </c>
      <c r="BD1690" t="s">
        <v>3971</v>
      </c>
      <c r="BE1690">
        <v>0</v>
      </c>
      <c r="BG1690" t="s">
        <v>508</v>
      </c>
      <c r="BJ1690" t="s">
        <v>2990</v>
      </c>
    </row>
    <row r="1691" spans="1:62" x14ac:dyDescent="0.35">
      <c r="A1691" t="s">
        <v>5609</v>
      </c>
      <c r="B1691">
        <v>10000</v>
      </c>
      <c r="C1691">
        <v>10000</v>
      </c>
      <c r="D1691" s="2">
        <v>45742</v>
      </c>
      <c r="E1691" t="s">
        <v>61</v>
      </c>
      <c r="F1691" t="s">
        <v>5610</v>
      </c>
      <c r="G1691" t="s">
        <v>3767</v>
      </c>
      <c r="I1691">
        <v>1</v>
      </c>
      <c r="J1691" t="s">
        <v>63</v>
      </c>
      <c r="K1691" s="8">
        <v>46</v>
      </c>
      <c r="L1691" s="8" t="s">
        <v>6587</v>
      </c>
      <c r="M1691" s="8" t="s">
        <v>6629</v>
      </c>
      <c r="N1691" t="s">
        <v>113</v>
      </c>
      <c r="O1691" t="s">
        <v>6499</v>
      </c>
      <c r="P1691" s="4">
        <v>1000</v>
      </c>
      <c r="Q1691">
        <f t="shared" si="434"/>
        <v>70</v>
      </c>
      <c r="R1691">
        <f t="shared" si="435"/>
        <v>1.1666666666666667</v>
      </c>
      <c r="S1691" s="2">
        <v>45742</v>
      </c>
      <c r="U1691">
        <v>1</v>
      </c>
      <c r="V1691" s="4">
        <v>1000</v>
      </c>
      <c r="W1691" t="s">
        <v>65</v>
      </c>
      <c r="X1691" t="s">
        <v>5611</v>
      </c>
      <c r="Y1691">
        <v>0</v>
      </c>
      <c r="Z1691" s="4">
        <v>1000</v>
      </c>
      <c r="AA1691">
        <v>0</v>
      </c>
      <c r="AB1691">
        <v>0</v>
      </c>
      <c r="AC1691">
        <v>0</v>
      </c>
      <c r="AD1691">
        <v>0</v>
      </c>
      <c r="AG1691">
        <v>0</v>
      </c>
      <c r="AP1691" t="s">
        <v>5612</v>
      </c>
      <c r="AQ1691" t="s">
        <v>116</v>
      </c>
      <c r="AR1691" t="s">
        <v>6639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BC1691" t="s">
        <v>69</v>
      </c>
      <c r="BD1691" t="s">
        <v>5613</v>
      </c>
      <c r="BE1691">
        <v>0</v>
      </c>
      <c r="BG1691" t="s">
        <v>116</v>
      </c>
      <c r="BJ1691" t="s">
        <v>4586</v>
      </c>
    </row>
    <row r="1692" spans="1:62" x14ac:dyDescent="0.35">
      <c r="A1692" t="s">
        <v>5614</v>
      </c>
      <c r="B1692">
        <v>10000</v>
      </c>
      <c r="C1692">
        <v>10000</v>
      </c>
      <c r="D1692" s="2">
        <v>45742</v>
      </c>
      <c r="E1692" t="s">
        <v>61</v>
      </c>
      <c r="F1692" s="3">
        <v>0.54053240740740738</v>
      </c>
      <c r="G1692" t="s">
        <v>3767</v>
      </c>
      <c r="I1692">
        <v>1</v>
      </c>
      <c r="J1692" t="s">
        <v>63</v>
      </c>
      <c r="K1692" s="8">
        <v>46</v>
      </c>
      <c r="L1692" s="8" t="s">
        <v>6587</v>
      </c>
      <c r="M1692" s="8" t="s">
        <v>6629</v>
      </c>
      <c r="N1692" t="s">
        <v>113</v>
      </c>
      <c r="O1692" t="s">
        <v>6499</v>
      </c>
      <c r="P1692" s="4">
        <v>1000</v>
      </c>
      <c r="Q1692">
        <f t="shared" si="434"/>
        <v>70</v>
      </c>
      <c r="R1692">
        <f t="shared" si="435"/>
        <v>1.1666666666666667</v>
      </c>
      <c r="S1692" s="2">
        <v>45742</v>
      </c>
      <c r="U1692">
        <v>1</v>
      </c>
      <c r="V1692" s="4">
        <v>1000</v>
      </c>
      <c r="W1692" t="s">
        <v>65</v>
      </c>
      <c r="X1692" t="s">
        <v>5615</v>
      </c>
      <c r="Y1692">
        <v>0</v>
      </c>
      <c r="Z1692" s="4">
        <v>1000</v>
      </c>
      <c r="AA1692">
        <v>0</v>
      </c>
      <c r="AB1692">
        <v>0</v>
      </c>
      <c r="AC1692">
        <v>0</v>
      </c>
      <c r="AD1692">
        <v>0</v>
      </c>
      <c r="AG1692">
        <v>0</v>
      </c>
      <c r="AP1692" t="s">
        <v>5616</v>
      </c>
      <c r="AQ1692" t="s">
        <v>116</v>
      </c>
      <c r="AR1692" t="s">
        <v>6639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BC1692" t="s">
        <v>69</v>
      </c>
      <c r="BD1692" t="s">
        <v>5617</v>
      </c>
      <c r="BE1692">
        <v>0</v>
      </c>
      <c r="BG1692" t="s">
        <v>116</v>
      </c>
      <c r="BJ1692" t="s">
        <v>4586</v>
      </c>
    </row>
    <row r="1693" spans="1:62" x14ac:dyDescent="0.35">
      <c r="A1693" t="s">
        <v>5618</v>
      </c>
      <c r="B1693">
        <v>10000</v>
      </c>
      <c r="C1693">
        <v>10000</v>
      </c>
      <c r="D1693" s="2">
        <v>45743</v>
      </c>
      <c r="E1693" t="s">
        <v>61</v>
      </c>
      <c r="F1693" t="s">
        <v>5590</v>
      </c>
      <c r="G1693" t="s">
        <v>5140</v>
      </c>
      <c r="I1693">
        <v>1</v>
      </c>
      <c r="J1693" t="s">
        <v>63</v>
      </c>
      <c r="K1693" s="8">
        <v>61</v>
      </c>
      <c r="L1693" s="8" t="s">
        <v>6594</v>
      </c>
      <c r="M1693" s="8" t="s">
        <v>6629</v>
      </c>
      <c r="N1693" t="s">
        <v>197</v>
      </c>
      <c r="O1693" t="s">
        <v>6565</v>
      </c>
      <c r="P1693" s="4">
        <v>2000</v>
      </c>
      <c r="Q1693">
        <f t="shared" ref="Q1693:Q1694" si="436">(P1693/50)+45</f>
        <v>85</v>
      </c>
      <c r="R1693">
        <f t="shared" ref="R1693:R1694" si="437">Q1693/60</f>
        <v>1.4166666666666667</v>
      </c>
      <c r="S1693" s="2">
        <v>45742</v>
      </c>
      <c r="U1693">
        <v>4</v>
      </c>
      <c r="V1693" s="4">
        <v>8000</v>
      </c>
      <c r="W1693" t="s">
        <v>65</v>
      </c>
      <c r="X1693" t="s">
        <v>1715</v>
      </c>
      <c r="Y1693">
        <v>0</v>
      </c>
      <c r="Z1693" s="4">
        <v>8000</v>
      </c>
      <c r="AA1693">
        <v>0</v>
      </c>
      <c r="AB1693">
        <v>0</v>
      </c>
      <c r="AC1693">
        <v>0</v>
      </c>
      <c r="AD1693">
        <v>0</v>
      </c>
      <c r="AG1693">
        <v>0</v>
      </c>
      <c r="AP1693" t="s">
        <v>1716</v>
      </c>
      <c r="AQ1693" t="s">
        <v>116</v>
      </c>
      <c r="AR1693" t="s">
        <v>6639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BC1693" t="s">
        <v>69</v>
      </c>
      <c r="BD1693" t="s">
        <v>5619</v>
      </c>
      <c r="BE1693">
        <v>0</v>
      </c>
      <c r="BG1693" t="s">
        <v>116</v>
      </c>
      <c r="BJ1693" t="s">
        <v>3323</v>
      </c>
    </row>
    <row r="1694" spans="1:62" x14ac:dyDescent="0.35">
      <c r="A1694" t="s">
        <v>5620</v>
      </c>
      <c r="B1694">
        <v>10000</v>
      </c>
      <c r="C1694">
        <v>10000</v>
      </c>
      <c r="D1694" s="2">
        <v>45743</v>
      </c>
      <c r="E1694" t="s">
        <v>61</v>
      </c>
      <c r="F1694" t="s">
        <v>5621</v>
      </c>
      <c r="G1694" t="s">
        <v>5622</v>
      </c>
      <c r="I1694">
        <v>1</v>
      </c>
      <c r="J1694" t="s">
        <v>63</v>
      </c>
      <c r="K1694" s="8">
        <v>22</v>
      </c>
      <c r="L1694" s="8" t="s">
        <v>6603</v>
      </c>
      <c r="M1694" s="8" t="s">
        <v>6629</v>
      </c>
      <c r="N1694" t="s">
        <v>466</v>
      </c>
      <c r="O1694" t="s">
        <v>6474</v>
      </c>
      <c r="P1694" s="4">
        <v>27000</v>
      </c>
      <c r="Q1694">
        <f t="shared" si="436"/>
        <v>585</v>
      </c>
      <c r="R1694">
        <f t="shared" si="437"/>
        <v>9.75</v>
      </c>
      <c r="S1694" s="2">
        <v>45742</v>
      </c>
      <c r="U1694">
        <v>1</v>
      </c>
      <c r="V1694" s="4">
        <v>27000</v>
      </c>
      <c r="W1694" t="s">
        <v>65</v>
      </c>
      <c r="X1694" t="s">
        <v>2628</v>
      </c>
      <c r="Y1694">
        <v>0</v>
      </c>
      <c r="Z1694" s="4">
        <v>27000</v>
      </c>
      <c r="AA1694">
        <v>0</v>
      </c>
      <c r="AB1694">
        <v>0</v>
      </c>
      <c r="AC1694">
        <v>0</v>
      </c>
      <c r="AD1694">
        <v>0</v>
      </c>
      <c r="AG1694">
        <v>0</v>
      </c>
      <c r="AP1694" t="s">
        <v>2629</v>
      </c>
      <c r="AQ1694" t="s">
        <v>116</v>
      </c>
      <c r="AR1694" t="s">
        <v>6639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BC1694" t="s">
        <v>69</v>
      </c>
      <c r="BD1694" t="s">
        <v>5623</v>
      </c>
      <c r="BE1694">
        <v>0</v>
      </c>
      <c r="BG1694" t="s">
        <v>116</v>
      </c>
      <c r="BJ1694" t="s">
        <v>3532</v>
      </c>
    </row>
    <row r="1695" spans="1:62" x14ac:dyDescent="0.35">
      <c r="A1695" t="s">
        <v>3537</v>
      </c>
      <c r="B1695">
        <v>10000</v>
      </c>
      <c r="C1695">
        <v>30000</v>
      </c>
      <c r="D1695" s="2">
        <v>45743</v>
      </c>
      <c r="E1695" t="s">
        <v>61</v>
      </c>
      <c r="F1695" t="s">
        <v>3538</v>
      </c>
      <c r="G1695">
        <v>10639931025</v>
      </c>
      <c r="I1695">
        <v>3</v>
      </c>
      <c r="J1695" t="s">
        <v>63</v>
      </c>
      <c r="K1695" s="8">
        <v>85</v>
      </c>
      <c r="L1695" s="8" t="s">
        <v>6585</v>
      </c>
      <c r="M1695" s="8" t="s">
        <v>6628</v>
      </c>
      <c r="N1695" t="s">
        <v>327</v>
      </c>
      <c r="O1695" t="s">
        <v>6580</v>
      </c>
      <c r="P1695" s="4">
        <v>20000</v>
      </c>
      <c r="S1695" s="2">
        <v>45742</v>
      </c>
      <c r="U1695">
        <v>11</v>
      </c>
      <c r="V1695" s="4">
        <v>220000</v>
      </c>
      <c r="W1695" t="s">
        <v>65</v>
      </c>
      <c r="X1695" t="s">
        <v>3539</v>
      </c>
      <c r="Y1695">
        <v>0</v>
      </c>
      <c r="Z1695" s="4">
        <v>200000</v>
      </c>
      <c r="AA1695" s="4">
        <v>20000</v>
      </c>
      <c r="AB1695">
        <v>0</v>
      </c>
      <c r="AC1695">
        <v>0</v>
      </c>
      <c r="AD1695">
        <v>0</v>
      </c>
      <c r="AG1695">
        <v>0</v>
      </c>
      <c r="AP1695" t="s">
        <v>3540</v>
      </c>
      <c r="AQ1695" t="s">
        <v>107</v>
      </c>
      <c r="AR1695" t="s">
        <v>6638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BC1695" t="s">
        <v>69</v>
      </c>
      <c r="BD1695" t="s">
        <v>3541</v>
      </c>
      <c r="BE1695">
        <v>0</v>
      </c>
      <c r="BG1695" t="s">
        <v>107</v>
      </c>
      <c r="BJ1695" t="s">
        <v>3542</v>
      </c>
    </row>
    <row r="1696" spans="1:62" x14ac:dyDescent="0.35">
      <c r="A1696" t="s">
        <v>5624</v>
      </c>
      <c r="B1696">
        <v>10000</v>
      </c>
      <c r="C1696">
        <v>10000</v>
      </c>
      <c r="D1696" s="2">
        <v>45742</v>
      </c>
      <c r="E1696" t="s">
        <v>61</v>
      </c>
      <c r="F1696" s="3">
        <v>0.54011574074074076</v>
      </c>
      <c r="G1696" t="s">
        <v>5112</v>
      </c>
      <c r="I1696">
        <v>1</v>
      </c>
      <c r="J1696" t="s">
        <v>63</v>
      </c>
      <c r="K1696" s="8">
        <v>94</v>
      </c>
      <c r="L1696" s="8" t="s">
        <v>6599</v>
      </c>
      <c r="M1696" s="8" t="s">
        <v>6629</v>
      </c>
      <c r="N1696" t="s">
        <v>181</v>
      </c>
      <c r="O1696" t="s">
        <v>6544</v>
      </c>
      <c r="P1696" s="4">
        <v>1000</v>
      </c>
      <c r="S1696" s="2">
        <v>45742</v>
      </c>
      <c r="U1696">
        <v>4</v>
      </c>
      <c r="V1696" s="4">
        <v>4000</v>
      </c>
      <c r="W1696" t="s">
        <v>65</v>
      </c>
      <c r="X1696" t="s">
        <v>2537</v>
      </c>
      <c r="Y1696">
        <v>0</v>
      </c>
      <c r="Z1696" s="4">
        <v>4000</v>
      </c>
      <c r="AA1696">
        <v>0</v>
      </c>
      <c r="AB1696">
        <v>0</v>
      </c>
      <c r="AC1696">
        <v>0</v>
      </c>
      <c r="AD1696">
        <v>0</v>
      </c>
      <c r="AG1696">
        <v>0</v>
      </c>
      <c r="AP1696" t="s">
        <v>2538</v>
      </c>
      <c r="AQ1696" t="s">
        <v>3615</v>
      </c>
      <c r="AR1696" t="s">
        <v>6724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BC1696" t="s">
        <v>69</v>
      </c>
      <c r="BD1696" t="s">
        <v>5625</v>
      </c>
      <c r="BE1696">
        <v>0</v>
      </c>
      <c r="BG1696" t="s">
        <v>3615</v>
      </c>
      <c r="BJ1696" t="s">
        <v>3617</v>
      </c>
    </row>
    <row r="1697" spans="1:62" x14ac:dyDescent="0.35">
      <c r="A1697" t="s">
        <v>5351</v>
      </c>
      <c r="B1697">
        <v>10000</v>
      </c>
      <c r="C1697">
        <v>20000</v>
      </c>
      <c r="D1697" s="2">
        <v>45743</v>
      </c>
      <c r="E1697" t="s">
        <v>61</v>
      </c>
      <c r="F1697" t="s">
        <v>1357</v>
      </c>
      <c r="G1697" t="s">
        <v>4340</v>
      </c>
      <c r="I1697">
        <v>2</v>
      </c>
      <c r="J1697" t="s">
        <v>63</v>
      </c>
      <c r="K1697" s="8">
        <v>71</v>
      </c>
      <c r="L1697" s="8" t="s">
        <v>6588</v>
      </c>
      <c r="M1697" s="8" t="s">
        <v>6630</v>
      </c>
      <c r="N1697" t="s">
        <v>135</v>
      </c>
      <c r="O1697" t="s">
        <v>6573</v>
      </c>
      <c r="P1697">
        <v>417</v>
      </c>
      <c r="S1697" s="2">
        <v>45742</v>
      </c>
      <c r="U1697">
        <v>12</v>
      </c>
      <c r="V1697" s="4">
        <v>5004</v>
      </c>
      <c r="W1697" t="s">
        <v>65</v>
      </c>
      <c r="X1697">
        <v>5000422940001</v>
      </c>
      <c r="Y1697">
        <v>0</v>
      </c>
      <c r="Z1697" s="4">
        <v>5000</v>
      </c>
      <c r="AA1697">
        <v>4</v>
      </c>
      <c r="AB1697">
        <v>0</v>
      </c>
      <c r="AC1697">
        <v>0</v>
      </c>
      <c r="AD1697">
        <v>0</v>
      </c>
      <c r="AG1697">
        <v>0</v>
      </c>
      <c r="AP1697">
        <v>500042294</v>
      </c>
      <c r="AQ1697" t="s">
        <v>91</v>
      </c>
      <c r="AR1697" t="s">
        <v>6637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BC1697" t="s">
        <v>69</v>
      </c>
      <c r="BD1697" t="s">
        <v>5352</v>
      </c>
      <c r="BE1697">
        <v>0</v>
      </c>
      <c r="BG1697" t="s">
        <v>91</v>
      </c>
      <c r="BJ1697" t="s">
        <v>5353</v>
      </c>
    </row>
    <row r="1698" spans="1:62" x14ac:dyDescent="0.35">
      <c r="A1698" t="s">
        <v>5354</v>
      </c>
      <c r="B1698">
        <v>10000</v>
      </c>
      <c r="C1698">
        <v>20000</v>
      </c>
      <c r="D1698" s="2">
        <v>45743</v>
      </c>
      <c r="E1698" t="s">
        <v>61</v>
      </c>
      <c r="F1698" t="s">
        <v>4727</v>
      </c>
      <c r="G1698" t="s">
        <v>4340</v>
      </c>
      <c r="I1698">
        <v>2</v>
      </c>
      <c r="J1698" t="s">
        <v>63</v>
      </c>
      <c r="K1698" s="8">
        <v>71</v>
      </c>
      <c r="L1698" s="8" t="s">
        <v>6588</v>
      </c>
      <c r="M1698" s="8" t="s">
        <v>6630</v>
      </c>
      <c r="N1698" t="s">
        <v>135</v>
      </c>
      <c r="O1698" t="s">
        <v>6573</v>
      </c>
      <c r="P1698">
        <v>417</v>
      </c>
      <c r="S1698" s="2">
        <v>45742</v>
      </c>
      <c r="U1698">
        <v>12</v>
      </c>
      <c r="V1698" s="4">
        <v>5004</v>
      </c>
      <c r="W1698" t="s">
        <v>65</v>
      </c>
      <c r="X1698">
        <v>5000422950001</v>
      </c>
      <c r="Y1698">
        <v>0</v>
      </c>
      <c r="Z1698" s="4">
        <v>5000</v>
      </c>
      <c r="AA1698">
        <v>4</v>
      </c>
      <c r="AB1698">
        <v>0</v>
      </c>
      <c r="AC1698">
        <v>0</v>
      </c>
      <c r="AD1698">
        <v>0</v>
      </c>
      <c r="AG1698">
        <v>0</v>
      </c>
      <c r="AP1698">
        <v>500042295</v>
      </c>
      <c r="AQ1698" t="s">
        <v>91</v>
      </c>
      <c r="AR1698" t="s">
        <v>6637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BC1698" t="s">
        <v>69</v>
      </c>
      <c r="BD1698" t="s">
        <v>5355</v>
      </c>
      <c r="BE1698">
        <v>0</v>
      </c>
      <c r="BG1698" t="s">
        <v>91</v>
      </c>
      <c r="BJ1698" t="s">
        <v>5353</v>
      </c>
    </row>
    <row r="1699" spans="1:62" x14ac:dyDescent="0.35">
      <c r="A1699" t="s">
        <v>5626</v>
      </c>
      <c r="B1699">
        <v>10000</v>
      </c>
      <c r="C1699">
        <v>10000</v>
      </c>
      <c r="D1699" s="2">
        <v>45749</v>
      </c>
      <c r="E1699" t="s">
        <v>61</v>
      </c>
      <c r="F1699" t="s">
        <v>5627</v>
      </c>
      <c r="G1699" t="s">
        <v>5628</v>
      </c>
      <c r="I1699">
        <v>1</v>
      </c>
      <c r="J1699" t="s">
        <v>63</v>
      </c>
      <c r="K1699" s="8">
        <v>90</v>
      </c>
      <c r="L1699" s="8" t="s">
        <v>6589</v>
      </c>
      <c r="M1699" s="8" t="s">
        <v>6630</v>
      </c>
      <c r="N1699" t="s">
        <v>405</v>
      </c>
      <c r="O1699" t="s">
        <v>6555</v>
      </c>
      <c r="P1699" s="4">
        <v>22728</v>
      </c>
      <c r="Q1699">
        <f>(P1699/20)+45</f>
        <v>1181.4000000000001</v>
      </c>
      <c r="R1699">
        <f>Q1699/60</f>
        <v>19.690000000000001</v>
      </c>
      <c r="S1699" s="2">
        <v>45742</v>
      </c>
      <c r="U1699">
        <v>132</v>
      </c>
      <c r="V1699" s="4">
        <v>3000096</v>
      </c>
      <c r="W1699" t="s">
        <v>65</v>
      </c>
      <c r="X1699" t="s">
        <v>2019</v>
      </c>
      <c r="Y1699">
        <v>0</v>
      </c>
      <c r="Z1699" s="4">
        <v>3000008</v>
      </c>
      <c r="AA1699">
        <v>88</v>
      </c>
      <c r="AB1699">
        <v>0</v>
      </c>
      <c r="AC1699">
        <v>0</v>
      </c>
      <c r="AD1699">
        <v>0</v>
      </c>
      <c r="AG1699">
        <v>0</v>
      </c>
      <c r="AP1699" t="s">
        <v>2020</v>
      </c>
      <c r="AQ1699" t="s">
        <v>1672</v>
      </c>
      <c r="AR1699" t="s">
        <v>6681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BC1699" t="s">
        <v>69</v>
      </c>
      <c r="BD1699" t="s">
        <v>5629</v>
      </c>
      <c r="BE1699">
        <v>0</v>
      </c>
      <c r="BG1699" t="s">
        <v>1672</v>
      </c>
      <c r="BJ1699" t="s">
        <v>4845</v>
      </c>
    </row>
    <row r="1700" spans="1:62" x14ac:dyDescent="0.35">
      <c r="A1700" t="s">
        <v>5630</v>
      </c>
      <c r="B1700">
        <v>10000</v>
      </c>
      <c r="C1700">
        <v>10000</v>
      </c>
      <c r="D1700" s="2">
        <v>45743</v>
      </c>
      <c r="E1700" t="s">
        <v>61</v>
      </c>
      <c r="F1700" t="s">
        <v>5631</v>
      </c>
      <c r="G1700" t="s">
        <v>3980</v>
      </c>
      <c r="I1700">
        <v>1</v>
      </c>
      <c r="J1700" t="s">
        <v>63</v>
      </c>
      <c r="K1700" s="8">
        <v>46</v>
      </c>
      <c r="L1700" s="8" t="s">
        <v>6587</v>
      </c>
      <c r="M1700" s="8" t="s">
        <v>6629</v>
      </c>
      <c r="N1700" t="s">
        <v>113</v>
      </c>
      <c r="O1700" t="s">
        <v>6499</v>
      </c>
      <c r="P1700" s="4">
        <v>3000</v>
      </c>
      <c r="Q1700">
        <f>(P1700/40)+45</f>
        <v>120</v>
      </c>
      <c r="R1700">
        <f>Q1700/60</f>
        <v>2</v>
      </c>
      <c r="S1700" s="2">
        <v>45742</v>
      </c>
      <c r="U1700">
        <v>1</v>
      </c>
      <c r="V1700" s="4">
        <v>3000</v>
      </c>
      <c r="W1700" t="s">
        <v>65</v>
      </c>
      <c r="X1700" t="s">
        <v>5632</v>
      </c>
      <c r="Y1700">
        <v>0</v>
      </c>
      <c r="Z1700" s="4">
        <v>3000</v>
      </c>
      <c r="AA1700">
        <v>0</v>
      </c>
      <c r="AB1700">
        <v>0</v>
      </c>
      <c r="AC1700">
        <v>0</v>
      </c>
      <c r="AD1700">
        <v>0</v>
      </c>
      <c r="AG1700">
        <v>0</v>
      </c>
      <c r="AP1700" t="s">
        <v>5633</v>
      </c>
      <c r="AQ1700" t="s">
        <v>116</v>
      </c>
      <c r="AR1700" t="s">
        <v>6639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BC1700" t="s">
        <v>69</v>
      </c>
      <c r="BD1700" t="s">
        <v>5634</v>
      </c>
      <c r="BE1700">
        <v>0</v>
      </c>
      <c r="BG1700" t="s">
        <v>116</v>
      </c>
      <c r="BJ1700" t="s">
        <v>4631</v>
      </c>
    </row>
    <row r="1701" spans="1:62" x14ac:dyDescent="0.35">
      <c r="A1701" t="s">
        <v>5635</v>
      </c>
      <c r="B1701">
        <v>10000</v>
      </c>
      <c r="C1701">
        <v>10000</v>
      </c>
      <c r="D1701" s="2">
        <v>45743</v>
      </c>
      <c r="E1701" t="s">
        <v>61</v>
      </c>
      <c r="F1701" t="s">
        <v>5541</v>
      </c>
      <c r="G1701" t="s">
        <v>5636</v>
      </c>
      <c r="I1701">
        <v>1</v>
      </c>
      <c r="J1701" t="s">
        <v>63</v>
      </c>
      <c r="K1701" s="8">
        <v>32</v>
      </c>
      <c r="L1701" s="8" t="s">
        <v>6607</v>
      </c>
      <c r="M1701" s="8" t="s">
        <v>6629</v>
      </c>
      <c r="N1701" t="s">
        <v>553</v>
      </c>
      <c r="O1701" t="s">
        <v>6552</v>
      </c>
      <c r="P1701" s="4">
        <v>5860</v>
      </c>
      <c r="S1701" s="2">
        <v>45742</v>
      </c>
      <c r="U1701">
        <v>1</v>
      </c>
      <c r="V1701" s="4">
        <v>5860</v>
      </c>
      <c r="W1701" t="s">
        <v>65</v>
      </c>
      <c r="X1701" t="s">
        <v>554</v>
      </c>
      <c r="Y1701">
        <v>0</v>
      </c>
      <c r="Z1701" s="4">
        <v>5360</v>
      </c>
      <c r="AA1701">
        <v>500</v>
      </c>
      <c r="AB1701">
        <v>0</v>
      </c>
      <c r="AC1701">
        <v>0</v>
      </c>
      <c r="AD1701">
        <v>0</v>
      </c>
      <c r="AG1701">
        <v>0</v>
      </c>
      <c r="AP1701" t="s">
        <v>555</v>
      </c>
      <c r="AQ1701" t="s">
        <v>116</v>
      </c>
      <c r="AR1701" t="s">
        <v>6639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BC1701" t="s">
        <v>69</v>
      </c>
      <c r="BD1701" t="s">
        <v>5637</v>
      </c>
      <c r="BE1701">
        <v>0</v>
      </c>
      <c r="BG1701" t="s">
        <v>116</v>
      </c>
      <c r="BJ1701" t="s">
        <v>4862</v>
      </c>
    </row>
    <row r="1702" spans="1:62" x14ac:dyDescent="0.35">
      <c r="A1702" t="s">
        <v>5638</v>
      </c>
      <c r="B1702">
        <v>10000</v>
      </c>
      <c r="C1702">
        <v>10000</v>
      </c>
      <c r="D1702" s="2">
        <v>45743</v>
      </c>
      <c r="E1702" t="s">
        <v>61</v>
      </c>
      <c r="F1702" t="s">
        <v>5541</v>
      </c>
      <c r="G1702" t="s">
        <v>5636</v>
      </c>
      <c r="I1702">
        <v>1</v>
      </c>
      <c r="J1702" t="s">
        <v>63</v>
      </c>
      <c r="K1702" s="8">
        <v>32</v>
      </c>
      <c r="L1702" s="8" t="s">
        <v>6607</v>
      </c>
      <c r="M1702" s="8" t="s">
        <v>6629</v>
      </c>
      <c r="N1702" t="s">
        <v>553</v>
      </c>
      <c r="O1702" t="s">
        <v>6552</v>
      </c>
      <c r="P1702" s="4">
        <v>5860</v>
      </c>
      <c r="S1702" s="2">
        <v>45742</v>
      </c>
      <c r="U1702">
        <v>1</v>
      </c>
      <c r="V1702" s="4">
        <v>5860</v>
      </c>
      <c r="W1702" t="s">
        <v>65</v>
      </c>
      <c r="X1702" t="s">
        <v>554</v>
      </c>
      <c r="Y1702">
        <v>0</v>
      </c>
      <c r="Z1702" s="4">
        <v>5360</v>
      </c>
      <c r="AA1702">
        <v>500</v>
      </c>
      <c r="AB1702">
        <v>0</v>
      </c>
      <c r="AC1702">
        <v>0</v>
      </c>
      <c r="AD1702">
        <v>0</v>
      </c>
      <c r="AG1702">
        <v>0</v>
      </c>
      <c r="AP1702" t="s">
        <v>555</v>
      </c>
      <c r="AQ1702" t="s">
        <v>116</v>
      </c>
      <c r="AR1702" t="s">
        <v>6639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BC1702" t="s">
        <v>69</v>
      </c>
      <c r="BD1702" t="s">
        <v>5639</v>
      </c>
      <c r="BE1702">
        <v>0</v>
      </c>
      <c r="BG1702" t="s">
        <v>116</v>
      </c>
      <c r="BJ1702" t="s">
        <v>5043</v>
      </c>
    </row>
    <row r="1703" spans="1:62" x14ac:dyDescent="0.35">
      <c r="A1703" t="s">
        <v>5640</v>
      </c>
      <c r="B1703">
        <v>10000</v>
      </c>
      <c r="C1703">
        <v>10000</v>
      </c>
      <c r="D1703" s="2">
        <v>45742</v>
      </c>
      <c r="E1703" t="s">
        <v>61</v>
      </c>
      <c r="F1703" t="s">
        <v>5641</v>
      </c>
      <c r="G1703" t="s">
        <v>5642</v>
      </c>
      <c r="I1703">
        <v>1</v>
      </c>
      <c r="J1703" t="s">
        <v>63</v>
      </c>
      <c r="K1703" s="8">
        <v>26</v>
      </c>
      <c r="L1703" s="8" t="s">
        <v>6595</v>
      </c>
      <c r="M1703" s="8" t="s">
        <v>6629</v>
      </c>
      <c r="N1703" t="s">
        <v>249</v>
      </c>
      <c r="O1703" t="s">
        <v>6500</v>
      </c>
      <c r="P1703" s="4">
        <v>4500</v>
      </c>
      <c r="Q1703">
        <f t="shared" ref="Q1703:Q1706" si="438">(P1703/40)+45</f>
        <v>157.5</v>
      </c>
      <c r="R1703">
        <f t="shared" ref="R1703:R1706" si="439">Q1703/60</f>
        <v>2.625</v>
      </c>
      <c r="S1703" s="2">
        <v>45742</v>
      </c>
      <c r="U1703">
        <v>4</v>
      </c>
      <c r="V1703" s="4">
        <v>18000</v>
      </c>
      <c r="W1703" t="s">
        <v>65</v>
      </c>
      <c r="X1703" t="s">
        <v>5643</v>
      </c>
      <c r="Y1703">
        <v>0</v>
      </c>
      <c r="Z1703" s="4">
        <v>18000</v>
      </c>
      <c r="AA1703">
        <v>0</v>
      </c>
      <c r="AB1703">
        <v>0</v>
      </c>
      <c r="AC1703">
        <v>0</v>
      </c>
      <c r="AD1703">
        <v>0</v>
      </c>
      <c r="AG1703">
        <v>0</v>
      </c>
      <c r="AP1703" t="s">
        <v>5644</v>
      </c>
      <c r="AQ1703" t="s">
        <v>157</v>
      </c>
      <c r="AR1703" t="s">
        <v>6640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BC1703" t="s">
        <v>69</v>
      </c>
      <c r="BD1703" t="s">
        <v>5645</v>
      </c>
      <c r="BE1703">
        <v>0</v>
      </c>
      <c r="BG1703" t="s">
        <v>157</v>
      </c>
      <c r="BJ1703" t="s">
        <v>5646</v>
      </c>
    </row>
    <row r="1704" spans="1:62" x14ac:dyDescent="0.35">
      <c r="A1704" t="s">
        <v>5647</v>
      </c>
      <c r="B1704">
        <v>10000</v>
      </c>
      <c r="C1704">
        <v>10000</v>
      </c>
      <c r="D1704" s="2">
        <v>45744</v>
      </c>
      <c r="E1704" t="s">
        <v>61</v>
      </c>
      <c r="F1704" t="s">
        <v>5648</v>
      </c>
      <c r="G1704">
        <v>1006323</v>
      </c>
      <c r="I1704">
        <v>1</v>
      </c>
      <c r="J1704" t="s">
        <v>63</v>
      </c>
      <c r="K1704" s="8">
        <v>63</v>
      </c>
      <c r="L1704" s="8" t="s">
        <v>6605</v>
      </c>
      <c r="M1704" s="8" t="s">
        <v>6630</v>
      </c>
      <c r="N1704" t="s">
        <v>519</v>
      </c>
      <c r="O1704" t="s">
        <v>6569</v>
      </c>
      <c r="P1704" s="4">
        <v>2400</v>
      </c>
      <c r="Q1704">
        <f t="shared" si="438"/>
        <v>105</v>
      </c>
      <c r="R1704">
        <f t="shared" si="439"/>
        <v>1.75</v>
      </c>
      <c r="S1704" s="2">
        <v>45742</v>
      </c>
      <c r="U1704">
        <v>50</v>
      </c>
      <c r="V1704" s="4">
        <v>120000</v>
      </c>
      <c r="W1704" t="s">
        <v>65</v>
      </c>
      <c r="X1704" t="s">
        <v>4233</v>
      </c>
      <c r="Y1704">
        <v>0</v>
      </c>
      <c r="Z1704" s="4">
        <v>120000</v>
      </c>
      <c r="AA1704">
        <v>0</v>
      </c>
      <c r="AB1704">
        <v>0</v>
      </c>
      <c r="AC1704">
        <v>0</v>
      </c>
      <c r="AD1704">
        <v>0</v>
      </c>
      <c r="AG1704">
        <v>0</v>
      </c>
      <c r="AP1704" t="s">
        <v>4234</v>
      </c>
      <c r="AQ1704" t="s">
        <v>157</v>
      </c>
      <c r="AR1704" t="s">
        <v>6640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BC1704" t="s">
        <v>69</v>
      </c>
      <c r="BD1704" t="s">
        <v>5649</v>
      </c>
      <c r="BE1704">
        <v>0</v>
      </c>
      <c r="BG1704" t="s">
        <v>157</v>
      </c>
      <c r="BJ1704" t="s">
        <v>5650</v>
      </c>
    </row>
    <row r="1705" spans="1:62" x14ac:dyDescent="0.35">
      <c r="A1705" t="s">
        <v>5651</v>
      </c>
      <c r="B1705">
        <v>10000</v>
      </c>
      <c r="C1705">
        <v>10000</v>
      </c>
      <c r="D1705" s="2">
        <v>45744</v>
      </c>
      <c r="E1705" t="s">
        <v>61</v>
      </c>
      <c r="F1705" t="s">
        <v>5652</v>
      </c>
      <c r="G1705" t="s">
        <v>5642</v>
      </c>
      <c r="I1705">
        <v>1</v>
      </c>
      <c r="J1705" t="s">
        <v>63</v>
      </c>
      <c r="K1705" s="8">
        <v>70</v>
      </c>
      <c r="L1705" s="8" t="s">
        <v>6605</v>
      </c>
      <c r="M1705" s="8" t="s">
        <v>6630</v>
      </c>
      <c r="N1705" t="s">
        <v>795</v>
      </c>
      <c r="O1705" t="s">
        <v>6508</v>
      </c>
      <c r="P1705" s="4">
        <v>9000</v>
      </c>
      <c r="Q1705">
        <f t="shared" si="438"/>
        <v>270</v>
      </c>
      <c r="R1705">
        <f t="shared" si="439"/>
        <v>4.5</v>
      </c>
      <c r="S1705" s="2">
        <v>45742</v>
      </c>
      <c r="U1705">
        <v>6</v>
      </c>
      <c r="V1705" s="4">
        <v>54000</v>
      </c>
      <c r="W1705" t="s">
        <v>65</v>
      </c>
      <c r="X1705" t="s">
        <v>5653</v>
      </c>
      <c r="Y1705">
        <v>0</v>
      </c>
      <c r="Z1705" s="4">
        <v>54000</v>
      </c>
      <c r="AA1705">
        <v>0</v>
      </c>
      <c r="AB1705">
        <v>0</v>
      </c>
      <c r="AC1705">
        <v>0</v>
      </c>
      <c r="AD1705">
        <v>0</v>
      </c>
      <c r="AG1705">
        <v>0</v>
      </c>
      <c r="AP1705" t="s">
        <v>5654</v>
      </c>
      <c r="AQ1705" t="s">
        <v>157</v>
      </c>
      <c r="AR1705" t="s">
        <v>6640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BC1705" t="s">
        <v>69</v>
      </c>
      <c r="BD1705" t="s">
        <v>5655</v>
      </c>
      <c r="BE1705">
        <v>0</v>
      </c>
      <c r="BG1705" t="s">
        <v>157</v>
      </c>
      <c r="BJ1705" t="s">
        <v>5656</v>
      </c>
    </row>
    <row r="1706" spans="1:62" x14ac:dyDescent="0.35">
      <c r="A1706" t="s">
        <v>5657</v>
      </c>
      <c r="B1706">
        <v>10000</v>
      </c>
      <c r="C1706">
        <v>10000</v>
      </c>
      <c r="D1706" s="2">
        <v>45744</v>
      </c>
      <c r="E1706" t="s">
        <v>61</v>
      </c>
      <c r="F1706" t="s">
        <v>5648</v>
      </c>
      <c r="G1706">
        <v>8613409</v>
      </c>
      <c r="I1706">
        <v>1</v>
      </c>
      <c r="J1706" t="s">
        <v>63</v>
      </c>
      <c r="K1706" s="8">
        <v>63</v>
      </c>
      <c r="L1706" s="8" t="s">
        <v>6605</v>
      </c>
      <c r="M1706" s="8" t="s">
        <v>6630</v>
      </c>
      <c r="N1706" t="s">
        <v>519</v>
      </c>
      <c r="O1706" t="s">
        <v>6569</v>
      </c>
      <c r="P1706" s="4">
        <v>8572</v>
      </c>
      <c r="Q1706">
        <f t="shared" si="438"/>
        <v>259.3</v>
      </c>
      <c r="R1706">
        <f t="shared" si="439"/>
        <v>4.3216666666666672</v>
      </c>
      <c r="S1706" s="2">
        <v>45742</v>
      </c>
      <c r="U1706">
        <v>14</v>
      </c>
      <c r="V1706" s="4">
        <v>120008</v>
      </c>
      <c r="W1706" t="s">
        <v>65</v>
      </c>
      <c r="X1706" t="s">
        <v>3962</v>
      </c>
      <c r="Y1706">
        <v>0</v>
      </c>
      <c r="Z1706" s="4">
        <v>120000</v>
      </c>
      <c r="AA1706">
        <v>8</v>
      </c>
      <c r="AB1706">
        <v>0</v>
      </c>
      <c r="AC1706">
        <v>0</v>
      </c>
      <c r="AD1706">
        <v>0</v>
      </c>
      <c r="AG1706">
        <v>0</v>
      </c>
      <c r="AP1706" t="s">
        <v>3963</v>
      </c>
      <c r="AQ1706" t="s">
        <v>157</v>
      </c>
      <c r="AR1706" t="s">
        <v>6640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BC1706" t="s">
        <v>69</v>
      </c>
      <c r="BD1706" t="s">
        <v>5658</v>
      </c>
      <c r="BE1706">
        <v>0</v>
      </c>
      <c r="BG1706" t="s">
        <v>157</v>
      </c>
      <c r="BJ1706" t="s">
        <v>5659</v>
      </c>
    </row>
    <row r="1707" spans="1:62" x14ac:dyDescent="0.35">
      <c r="A1707" t="s">
        <v>4907</v>
      </c>
      <c r="B1707">
        <v>10000</v>
      </c>
      <c r="C1707">
        <v>20000</v>
      </c>
      <c r="D1707" s="2">
        <v>45742</v>
      </c>
      <c r="E1707" t="s">
        <v>61</v>
      </c>
      <c r="F1707" s="3">
        <v>0.42465277777777777</v>
      </c>
      <c r="G1707">
        <v>860909190840</v>
      </c>
      <c r="I1707">
        <v>2</v>
      </c>
      <c r="J1707" t="s">
        <v>63</v>
      </c>
      <c r="K1707" s="8">
        <v>86</v>
      </c>
      <c r="L1707" s="8" t="s">
        <v>6584</v>
      </c>
      <c r="M1707" s="8" t="s">
        <v>6627</v>
      </c>
      <c r="N1707" t="s">
        <v>64</v>
      </c>
      <c r="O1707" t="s">
        <v>6559</v>
      </c>
      <c r="P1707">
        <v>167</v>
      </c>
      <c r="Q1707">
        <f>(P1707/60)+45</f>
        <v>47.783333333333331</v>
      </c>
      <c r="R1707">
        <f>Q1707/60</f>
        <v>0.79638888888888881</v>
      </c>
      <c r="S1707" s="2">
        <v>45742</v>
      </c>
      <c r="U1707">
        <v>24</v>
      </c>
      <c r="V1707" s="4">
        <v>4008</v>
      </c>
      <c r="W1707" t="s">
        <v>65</v>
      </c>
      <c r="X1707">
        <v>200641280001</v>
      </c>
      <c r="Y1707">
        <v>0</v>
      </c>
      <c r="Z1707" s="4">
        <v>6000</v>
      </c>
      <c r="AA1707" s="4">
        <v>-1992</v>
      </c>
      <c r="AB1707">
        <v>0</v>
      </c>
      <c r="AC1707">
        <v>0</v>
      </c>
      <c r="AD1707">
        <v>0</v>
      </c>
      <c r="AG1707">
        <v>0</v>
      </c>
      <c r="AP1707">
        <v>20064128</v>
      </c>
      <c r="AQ1707" t="s">
        <v>182</v>
      </c>
      <c r="AR1707" t="s">
        <v>6643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BC1707" t="s">
        <v>69</v>
      </c>
      <c r="BD1707" t="s">
        <v>4908</v>
      </c>
      <c r="BE1707">
        <v>0</v>
      </c>
      <c r="BG1707" t="s">
        <v>182</v>
      </c>
      <c r="BJ1707" t="s">
        <v>4909</v>
      </c>
    </row>
    <row r="1708" spans="1:62" x14ac:dyDescent="0.35">
      <c r="A1708" t="s">
        <v>5660</v>
      </c>
      <c r="B1708">
        <v>10000</v>
      </c>
      <c r="C1708">
        <v>10000</v>
      </c>
      <c r="D1708" s="2">
        <v>45742</v>
      </c>
      <c r="E1708" t="s">
        <v>61</v>
      </c>
      <c r="F1708" s="3">
        <v>0.44906249999999998</v>
      </c>
      <c r="G1708" t="s">
        <v>5661</v>
      </c>
      <c r="I1708">
        <v>1</v>
      </c>
      <c r="J1708" t="s">
        <v>63</v>
      </c>
      <c r="K1708" s="8">
        <v>112</v>
      </c>
      <c r="L1708" s="8" t="s">
        <v>6616</v>
      </c>
      <c r="M1708" s="8" t="s">
        <v>6630</v>
      </c>
      <c r="N1708" t="s">
        <v>597</v>
      </c>
      <c r="O1708" t="s">
        <v>6556</v>
      </c>
      <c r="P1708">
        <v>15</v>
      </c>
      <c r="Q1708">
        <f>(P1708/20)+45</f>
        <v>45.75</v>
      </c>
      <c r="R1708">
        <f>Q1708/60</f>
        <v>0.76249999999999996</v>
      </c>
      <c r="S1708" s="2">
        <v>45742</v>
      </c>
      <c r="U1708">
        <v>4</v>
      </c>
      <c r="V1708">
        <v>60</v>
      </c>
      <c r="W1708" t="s">
        <v>65</v>
      </c>
      <c r="X1708" t="s">
        <v>5662</v>
      </c>
      <c r="Y1708">
        <v>0</v>
      </c>
      <c r="Z1708">
        <v>60</v>
      </c>
      <c r="AA1708">
        <v>0</v>
      </c>
      <c r="AB1708">
        <v>0</v>
      </c>
      <c r="AC1708">
        <v>0</v>
      </c>
      <c r="AD1708">
        <v>0</v>
      </c>
      <c r="AG1708">
        <v>0</v>
      </c>
      <c r="AP1708" t="s">
        <v>5663</v>
      </c>
      <c r="AQ1708" t="s">
        <v>321</v>
      </c>
      <c r="AR1708" t="s">
        <v>6652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BC1708" t="s">
        <v>69</v>
      </c>
      <c r="BD1708" t="s">
        <v>5664</v>
      </c>
      <c r="BE1708">
        <v>0</v>
      </c>
      <c r="BG1708" t="s">
        <v>321</v>
      </c>
      <c r="BJ1708" t="s">
        <v>4693</v>
      </c>
    </row>
    <row r="1709" spans="1:62" x14ac:dyDescent="0.35">
      <c r="A1709" t="s">
        <v>5665</v>
      </c>
      <c r="B1709">
        <v>10000</v>
      </c>
      <c r="C1709">
        <v>10000</v>
      </c>
      <c r="D1709" s="2">
        <v>45742</v>
      </c>
      <c r="E1709" t="s">
        <v>61</v>
      </c>
      <c r="F1709" t="s">
        <v>5414</v>
      </c>
      <c r="G1709" t="s">
        <v>5666</v>
      </c>
      <c r="I1709">
        <v>1</v>
      </c>
      <c r="J1709" t="s">
        <v>63</v>
      </c>
      <c r="K1709" s="8">
        <v>60</v>
      </c>
      <c r="L1709" s="8" t="s">
        <v>6590</v>
      </c>
      <c r="M1709" s="8" t="s">
        <v>6630</v>
      </c>
      <c r="N1709" t="s">
        <v>277</v>
      </c>
      <c r="O1709" t="s">
        <v>6554</v>
      </c>
      <c r="P1709">
        <v>20</v>
      </c>
      <c r="Q1709">
        <f t="shared" ref="Q1709:Q1712" si="440">(P1709/50)+45</f>
        <v>45.4</v>
      </c>
      <c r="R1709">
        <f t="shared" ref="R1709:R1717" si="441">Q1709/60</f>
        <v>0.7566666666666666</v>
      </c>
      <c r="S1709" s="2">
        <v>45742</v>
      </c>
      <c r="U1709">
        <v>6</v>
      </c>
      <c r="V1709">
        <v>120</v>
      </c>
      <c r="W1709" t="s">
        <v>65</v>
      </c>
      <c r="X1709" t="s">
        <v>3385</v>
      </c>
      <c r="Y1709">
        <v>0</v>
      </c>
      <c r="Z1709">
        <v>120</v>
      </c>
      <c r="AA1709">
        <v>0</v>
      </c>
      <c r="AB1709">
        <v>0</v>
      </c>
      <c r="AC1709">
        <v>0</v>
      </c>
      <c r="AD1709">
        <v>0</v>
      </c>
      <c r="AG1709">
        <v>0</v>
      </c>
      <c r="AP1709" t="s">
        <v>3386</v>
      </c>
      <c r="AQ1709" t="s">
        <v>321</v>
      </c>
      <c r="AR1709" t="s">
        <v>6652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BC1709" t="s">
        <v>69</v>
      </c>
      <c r="BD1709" t="s">
        <v>5667</v>
      </c>
      <c r="BE1709">
        <v>0</v>
      </c>
      <c r="BG1709" t="s">
        <v>321</v>
      </c>
      <c r="BJ1709" t="s">
        <v>4693</v>
      </c>
    </row>
    <row r="1710" spans="1:62" x14ac:dyDescent="0.35">
      <c r="A1710" t="s">
        <v>5668</v>
      </c>
      <c r="B1710">
        <v>10000</v>
      </c>
      <c r="C1710">
        <v>10000</v>
      </c>
      <c r="D1710" s="2">
        <v>45742</v>
      </c>
      <c r="E1710" t="s">
        <v>61</v>
      </c>
      <c r="F1710" t="s">
        <v>5414</v>
      </c>
      <c r="G1710" t="s">
        <v>3934</v>
      </c>
      <c r="I1710">
        <v>1</v>
      </c>
      <c r="J1710" t="s">
        <v>63</v>
      </c>
      <c r="K1710" s="8">
        <v>60</v>
      </c>
      <c r="L1710" s="8" t="s">
        <v>6590</v>
      </c>
      <c r="M1710" s="8" t="s">
        <v>6630</v>
      </c>
      <c r="N1710" t="s">
        <v>277</v>
      </c>
      <c r="O1710" t="s">
        <v>6554</v>
      </c>
      <c r="P1710">
        <v>70</v>
      </c>
      <c r="Q1710">
        <f t="shared" si="440"/>
        <v>46.4</v>
      </c>
      <c r="R1710">
        <f t="shared" si="441"/>
        <v>0.77333333333333332</v>
      </c>
      <c r="S1710" s="2">
        <v>45742</v>
      </c>
      <c r="U1710">
        <v>10</v>
      </c>
      <c r="V1710">
        <v>700</v>
      </c>
      <c r="W1710" t="s">
        <v>65</v>
      </c>
      <c r="X1710" t="s">
        <v>2153</v>
      </c>
      <c r="Y1710">
        <v>0</v>
      </c>
      <c r="Z1710">
        <v>700</v>
      </c>
      <c r="AA1710">
        <v>0</v>
      </c>
      <c r="AB1710">
        <v>0</v>
      </c>
      <c r="AC1710">
        <v>0</v>
      </c>
      <c r="AD1710">
        <v>0</v>
      </c>
      <c r="AG1710">
        <v>0</v>
      </c>
      <c r="AP1710" t="s">
        <v>2154</v>
      </c>
      <c r="AQ1710" t="s">
        <v>321</v>
      </c>
      <c r="AR1710" t="s">
        <v>6652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BC1710" t="s">
        <v>69</v>
      </c>
      <c r="BD1710" t="s">
        <v>5669</v>
      </c>
      <c r="BE1710">
        <v>0</v>
      </c>
      <c r="BG1710" t="s">
        <v>321</v>
      </c>
      <c r="BJ1710" t="s">
        <v>4693</v>
      </c>
    </row>
    <row r="1711" spans="1:62" x14ac:dyDescent="0.35">
      <c r="A1711" t="s">
        <v>5670</v>
      </c>
      <c r="B1711">
        <v>10000</v>
      </c>
      <c r="C1711">
        <v>10000</v>
      </c>
      <c r="D1711" s="2">
        <v>45742</v>
      </c>
      <c r="E1711" t="s">
        <v>61</v>
      </c>
      <c r="F1711" t="s">
        <v>5402</v>
      </c>
      <c r="G1711" t="s">
        <v>5415</v>
      </c>
      <c r="I1711">
        <v>1</v>
      </c>
      <c r="J1711" t="s">
        <v>63</v>
      </c>
      <c r="K1711" s="8">
        <v>60</v>
      </c>
      <c r="L1711" s="8" t="s">
        <v>6590</v>
      </c>
      <c r="M1711" s="8" t="s">
        <v>6630</v>
      </c>
      <c r="N1711" t="s">
        <v>277</v>
      </c>
      <c r="O1711" t="s">
        <v>6554</v>
      </c>
      <c r="P1711">
        <v>70</v>
      </c>
      <c r="Q1711">
        <f t="shared" si="440"/>
        <v>46.4</v>
      </c>
      <c r="R1711">
        <f t="shared" si="441"/>
        <v>0.77333333333333332</v>
      </c>
      <c r="S1711" s="2">
        <v>45742</v>
      </c>
      <c r="U1711">
        <v>10</v>
      </c>
      <c r="V1711">
        <v>700</v>
      </c>
      <c r="W1711" t="s">
        <v>65</v>
      </c>
      <c r="X1711" t="s">
        <v>2025</v>
      </c>
      <c r="Y1711">
        <v>0</v>
      </c>
      <c r="Z1711">
        <v>700</v>
      </c>
      <c r="AA1711">
        <v>0</v>
      </c>
      <c r="AB1711">
        <v>0</v>
      </c>
      <c r="AC1711">
        <v>0</v>
      </c>
      <c r="AD1711">
        <v>0</v>
      </c>
      <c r="AG1711">
        <v>0</v>
      </c>
      <c r="AP1711" t="s">
        <v>2026</v>
      </c>
      <c r="AQ1711" t="s">
        <v>321</v>
      </c>
      <c r="AR1711" t="s">
        <v>6652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BC1711" t="s">
        <v>69</v>
      </c>
      <c r="BD1711" t="s">
        <v>5671</v>
      </c>
      <c r="BE1711">
        <v>0</v>
      </c>
      <c r="BG1711" t="s">
        <v>321</v>
      </c>
      <c r="BJ1711" t="s">
        <v>4693</v>
      </c>
    </row>
    <row r="1712" spans="1:62" x14ac:dyDescent="0.35">
      <c r="A1712" t="s">
        <v>5672</v>
      </c>
      <c r="B1712">
        <v>10000</v>
      </c>
      <c r="C1712">
        <v>10000</v>
      </c>
      <c r="D1712" s="2">
        <v>45742</v>
      </c>
      <c r="E1712" t="s">
        <v>61</v>
      </c>
      <c r="F1712" t="s">
        <v>5402</v>
      </c>
      <c r="G1712" t="s">
        <v>5673</v>
      </c>
      <c r="I1712">
        <v>1</v>
      </c>
      <c r="J1712" t="s">
        <v>63</v>
      </c>
      <c r="K1712" s="8">
        <v>60</v>
      </c>
      <c r="L1712" s="8" t="s">
        <v>6590</v>
      </c>
      <c r="M1712" s="8" t="s">
        <v>6630</v>
      </c>
      <c r="N1712" t="s">
        <v>277</v>
      </c>
      <c r="O1712" t="s">
        <v>6554</v>
      </c>
      <c r="P1712">
        <v>25</v>
      </c>
      <c r="Q1712">
        <f t="shared" si="440"/>
        <v>45.5</v>
      </c>
      <c r="R1712">
        <f t="shared" si="441"/>
        <v>0.7583333333333333</v>
      </c>
      <c r="S1712" s="2">
        <v>45742</v>
      </c>
      <c r="U1712">
        <v>10</v>
      </c>
      <c r="V1712">
        <v>250</v>
      </c>
      <c r="W1712" t="s">
        <v>65</v>
      </c>
      <c r="X1712" t="s">
        <v>3935</v>
      </c>
      <c r="Y1712">
        <v>0</v>
      </c>
      <c r="Z1712">
        <v>250</v>
      </c>
      <c r="AA1712">
        <v>0</v>
      </c>
      <c r="AB1712">
        <v>0</v>
      </c>
      <c r="AC1712">
        <v>0</v>
      </c>
      <c r="AD1712">
        <v>0</v>
      </c>
      <c r="AG1712">
        <v>0</v>
      </c>
      <c r="AP1712" t="s">
        <v>3936</v>
      </c>
      <c r="AQ1712" t="s">
        <v>321</v>
      </c>
      <c r="AR1712" t="s">
        <v>6652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BC1712" t="s">
        <v>69</v>
      </c>
      <c r="BD1712" t="s">
        <v>5674</v>
      </c>
      <c r="BE1712">
        <v>0</v>
      </c>
      <c r="BG1712" t="s">
        <v>321</v>
      </c>
      <c r="BJ1712" t="s">
        <v>4693</v>
      </c>
    </row>
    <row r="1713" spans="1:62" x14ac:dyDescent="0.35">
      <c r="A1713" t="s">
        <v>5675</v>
      </c>
      <c r="B1713">
        <v>10000</v>
      </c>
      <c r="C1713">
        <v>10000</v>
      </c>
      <c r="D1713" s="2">
        <v>45743</v>
      </c>
      <c r="E1713" t="s">
        <v>61</v>
      </c>
      <c r="F1713" t="s">
        <v>5676</v>
      </c>
      <c r="G1713" t="s">
        <v>1733</v>
      </c>
      <c r="I1713">
        <v>1</v>
      </c>
      <c r="J1713" t="s">
        <v>63</v>
      </c>
      <c r="K1713" s="8">
        <v>78</v>
      </c>
      <c r="L1713" s="8" t="s">
        <v>6593</v>
      </c>
      <c r="M1713" s="8" t="s">
        <v>6629</v>
      </c>
      <c r="N1713" t="s">
        <v>188</v>
      </c>
      <c r="O1713" t="s">
        <v>6410</v>
      </c>
      <c r="P1713" s="4">
        <v>2750</v>
      </c>
      <c r="Q1713">
        <f t="shared" ref="Q1713:Q1717" si="442">(P1713/40)+45</f>
        <v>113.75</v>
      </c>
      <c r="R1713">
        <f t="shared" si="441"/>
        <v>1.8958333333333333</v>
      </c>
      <c r="S1713" s="2">
        <v>45742</v>
      </c>
      <c r="U1713">
        <v>16</v>
      </c>
      <c r="V1713" s="4">
        <v>44000</v>
      </c>
      <c r="W1713" t="s">
        <v>65</v>
      </c>
      <c r="X1713" t="s">
        <v>5677</v>
      </c>
      <c r="Y1713">
        <v>0</v>
      </c>
      <c r="Z1713" s="4">
        <v>40000</v>
      </c>
      <c r="AA1713" s="4">
        <v>4000</v>
      </c>
      <c r="AB1713">
        <v>0</v>
      </c>
      <c r="AC1713">
        <v>0</v>
      </c>
      <c r="AD1713">
        <v>0</v>
      </c>
      <c r="AG1713">
        <v>0</v>
      </c>
      <c r="AP1713" t="s">
        <v>5678</v>
      </c>
      <c r="AQ1713" t="s">
        <v>175</v>
      </c>
      <c r="AR1713" t="s">
        <v>6642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BC1713" t="s">
        <v>69</v>
      </c>
      <c r="BD1713" t="s">
        <v>5679</v>
      </c>
      <c r="BE1713">
        <v>0</v>
      </c>
      <c r="BG1713" t="s">
        <v>175</v>
      </c>
      <c r="BJ1713" t="s">
        <v>5680</v>
      </c>
    </row>
    <row r="1714" spans="1:62" x14ac:dyDescent="0.35">
      <c r="A1714" t="s">
        <v>5675</v>
      </c>
      <c r="B1714">
        <v>10000</v>
      </c>
      <c r="C1714">
        <v>20000</v>
      </c>
      <c r="D1714" s="2">
        <v>45743</v>
      </c>
      <c r="E1714" t="s">
        <v>61</v>
      </c>
      <c r="F1714" t="s">
        <v>5676</v>
      </c>
      <c r="G1714" t="s">
        <v>1733</v>
      </c>
      <c r="I1714">
        <v>2</v>
      </c>
      <c r="J1714" t="s">
        <v>63</v>
      </c>
      <c r="K1714" s="8">
        <v>63</v>
      </c>
      <c r="L1714" s="8" t="s">
        <v>6605</v>
      </c>
      <c r="M1714" s="8" t="s">
        <v>6630</v>
      </c>
      <c r="N1714" t="s">
        <v>519</v>
      </c>
      <c r="O1714" t="s">
        <v>6569</v>
      </c>
      <c r="P1714" s="4">
        <v>2500</v>
      </c>
      <c r="Q1714">
        <f t="shared" si="442"/>
        <v>107.5</v>
      </c>
      <c r="R1714">
        <f t="shared" si="441"/>
        <v>1.7916666666666667</v>
      </c>
      <c r="S1714" s="2">
        <v>45742</v>
      </c>
      <c r="U1714">
        <v>16</v>
      </c>
      <c r="V1714" s="4">
        <v>40000</v>
      </c>
      <c r="W1714" t="s">
        <v>65</v>
      </c>
      <c r="X1714" t="s">
        <v>5677</v>
      </c>
      <c r="Y1714">
        <v>0</v>
      </c>
      <c r="Z1714" s="4">
        <v>40000</v>
      </c>
      <c r="AA1714">
        <v>0</v>
      </c>
      <c r="AB1714">
        <v>0</v>
      </c>
      <c r="AC1714">
        <v>0</v>
      </c>
      <c r="AD1714">
        <v>0</v>
      </c>
      <c r="AG1714">
        <v>0</v>
      </c>
      <c r="AP1714" t="s">
        <v>5678</v>
      </c>
      <c r="AQ1714" t="s">
        <v>175</v>
      </c>
      <c r="AR1714" t="s">
        <v>6642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BC1714" t="s">
        <v>69</v>
      </c>
      <c r="BD1714" t="s">
        <v>5679</v>
      </c>
      <c r="BE1714">
        <v>0</v>
      </c>
      <c r="BG1714" t="s">
        <v>175</v>
      </c>
      <c r="BJ1714" t="s">
        <v>5680</v>
      </c>
    </row>
    <row r="1715" spans="1:62" x14ac:dyDescent="0.35">
      <c r="A1715" t="s">
        <v>5681</v>
      </c>
      <c r="B1715">
        <v>10000</v>
      </c>
      <c r="C1715">
        <v>10000</v>
      </c>
      <c r="D1715" s="2">
        <v>45744</v>
      </c>
      <c r="E1715" t="s">
        <v>61</v>
      </c>
      <c r="F1715" t="s">
        <v>5682</v>
      </c>
      <c r="G1715" t="s">
        <v>1733</v>
      </c>
      <c r="I1715">
        <v>1</v>
      </c>
      <c r="J1715" t="s">
        <v>63</v>
      </c>
      <c r="K1715" s="8">
        <v>78</v>
      </c>
      <c r="L1715" s="8" t="s">
        <v>6593</v>
      </c>
      <c r="M1715" s="8" t="s">
        <v>6629</v>
      </c>
      <c r="N1715" t="s">
        <v>188</v>
      </c>
      <c r="O1715" t="s">
        <v>6410</v>
      </c>
      <c r="P1715" s="4">
        <v>2750</v>
      </c>
      <c r="Q1715">
        <f t="shared" si="442"/>
        <v>113.75</v>
      </c>
      <c r="R1715">
        <f t="shared" si="441"/>
        <v>1.8958333333333333</v>
      </c>
      <c r="S1715" s="2">
        <v>45742</v>
      </c>
      <c r="U1715">
        <v>16</v>
      </c>
      <c r="V1715" s="4">
        <v>44000</v>
      </c>
      <c r="W1715" t="s">
        <v>65</v>
      </c>
      <c r="X1715" t="s">
        <v>5677</v>
      </c>
      <c r="Y1715">
        <v>0</v>
      </c>
      <c r="Z1715" s="4">
        <v>40000</v>
      </c>
      <c r="AA1715" s="4">
        <v>4000</v>
      </c>
      <c r="AB1715">
        <v>0</v>
      </c>
      <c r="AC1715">
        <v>0</v>
      </c>
      <c r="AD1715">
        <v>0</v>
      </c>
      <c r="AG1715">
        <v>0</v>
      </c>
      <c r="AP1715" t="s">
        <v>5678</v>
      </c>
      <c r="AQ1715" t="s">
        <v>175</v>
      </c>
      <c r="AR1715" t="s">
        <v>6642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BC1715" t="s">
        <v>69</v>
      </c>
      <c r="BD1715" t="s">
        <v>5683</v>
      </c>
      <c r="BE1715">
        <v>0</v>
      </c>
      <c r="BG1715" t="s">
        <v>175</v>
      </c>
      <c r="BJ1715" t="s">
        <v>5684</v>
      </c>
    </row>
    <row r="1716" spans="1:62" x14ac:dyDescent="0.35">
      <c r="A1716" t="s">
        <v>5681</v>
      </c>
      <c r="B1716">
        <v>10000</v>
      </c>
      <c r="C1716">
        <v>20000</v>
      </c>
      <c r="D1716" s="2">
        <v>45744</v>
      </c>
      <c r="E1716" t="s">
        <v>61</v>
      </c>
      <c r="F1716" t="s">
        <v>5682</v>
      </c>
      <c r="G1716" t="s">
        <v>1733</v>
      </c>
      <c r="I1716">
        <v>2</v>
      </c>
      <c r="J1716" t="s">
        <v>63</v>
      </c>
      <c r="K1716" s="8">
        <v>63</v>
      </c>
      <c r="L1716" s="8" t="s">
        <v>6605</v>
      </c>
      <c r="M1716" s="8" t="s">
        <v>6630</v>
      </c>
      <c r="N1716" t="s">
        <v>519</v>
      </c>
      <c r="O1716" t="s">
        <v>6569</v>
      </c>
      <c r="P1716" s="4">
        <v>2500</v>
      </c>
      <c r="Q1716">
        <f t="shared" si="442"/>
        <v>107.5</v>
      </c>
      <c r="R1716">
        <f t="shared" si="441"/>
        <v>1.7916666666666667</v>
      </c>
      <c r="S1716" s="2">
        <v>45742</v>
      </c>
      <c r="U1716">
        <v>16</v>
      </c>
      <c r="V1716" s="4">
        <v>40000</v>
      </c>
      <c r="W1716" t="s">
        <v>65</v>
      </c>
      <c r="X1716" t="s">
        <v>5677</v>
      </c>
      <c r="Y1716">
        <v>0</v>
      </c>
      <c r="Z1716" s="4">
        <v>40000</v>
      </c>
      <c r="AA1716">
        <v>0</v>
      </c>
      <c r="AB1716">
        <v>0</v>
      </c>
      <c r="AC1716">
        <v>0</v>
      </c>
      <c r="AD1716">
        <v>0</v>
      </c>
      <c r="AG1716">
        <v>0</v>
      </c>
      <c r="AP1716" t="s">
        <v>5678</v>
      </c>
      <c r="AQ1716" t="s">
        <v>175</v>
      </c>
      <c r="AR1716" t="s">
        <v>6642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BC1716" t="s">
        <v>69</v>
      </c>
      <c r="BD1716" t="s">
        <v>5683</v>
      </c>
      <c r="BE1716">
        <v>0</v>
      </c>
      <c r="BG1716" t="s">
        <v>175</v>
      </c>
      <c r="BJ1716" t="s">
        <v>5684</v>
      </c>
    </row>
    <row r="1717" spans="1:62" x14ac:dyDescent="0.35">
      <c r="A1717" t="s">
        <v>5685</v>
      </c>
      <c r="B1717">
        <v>10000</v>
      </c>
      <c r="C1717">
        <v>20000</v>
      </c>
      <c r="D1717" s="2">
        <v>45750</v>
      </c>
      <c r="E1717" t="s">
        <v>61</v>
      </c>
      <c r="F1717" t="s">
        <v>5686</v>
      </c>
      <c r="G1717" t="s">
        <v>5687</v>
      </c>
      <c r="I1717">
        <v>1</v>
      </c>
      <c r="J1717" t="s">
        <v>63</v>
      </c>
      <c r="K1717" s="8">
        <v>70</v>
      </c>
      <c r="L1717" s="8" t="s">
        <v>6605</v>
      </c>
      <c r="M1717" s="8" t="s">
        <v>6630</v>
      </c>
      <c r="N1717" t="s">
        <v>795</v>
      </c>
      <c r="O1717" t="s">
        <v>6508</v>
      </c>
      <c r="P1717" s="4">
        <v>60000</v>
      </c>
      <c r="Q1717">
        <f t="shared" si="442"/>
        <v>1545</v>
      </c>
      <c r="R1717">
        <f t="shared" si="441"/>
        <v>25.75</v>
      </c>
      <c r="S1717" s="2">
        <v>45742</v>
      </c>
      <c r="U1717">
        <v>2</v>
      </c>
      <c r="V1717" s="4">
        <v>120000</v>
      </c>
      <c r="W1717" t="s">
        <v>65</v>
      </c>
      <c r="X1717" t="s">
        <v>5688</v>
      </c>
      <c r="Y1717">
        <v>0</v>
      </c>
      <c r="Z1717" s="4">
        <v>120000</v>
      </c>
      <c r="AA1717">
        <v>0</v>
      </c>
      <c r="AB1717">
        <v>0</v>
      </c>
      <c r="AC1717">
        <v>0</v>
      </c>
      <c r="AD1717">
        <v>0</v>
      </c>
      <c r="AG1717">
        <v>0</v>
      </c>
      <c r="AP1717" t="s">
        <v>5689</v>
      </c>
      <c r="AQ1717" t="s">
        <v>175</v>
      </c>
      <c r="AR1717" t="s">
        <v>6642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BC1717" t="s">
        <v>69</v>
      </c>
      <c r="BD1717" t="s">
        <v>5690</v>
      </c>
      <c r="BE1717">
        <v>0</v>
      </c>
      <c r="BG1717" t="s">
        <v>175</v>
      </c>
      <c r="BJ1717" t="s">
        <v>5691</v>
      </c>
    </row>
    <row r="1718" spans="1:62" x14ac:dyDescent="0.35">
      <c r="A1718" t="s">
        <v>5233</v>
      </c>
      <c r="B1718">
        <v>10000</v>
      </c>
      <c r="C1718">
        <v>40000</v>
      </c>
      <c r="D1718" s="2">
        <v>45742</v>
      </c>
      <c r="E1718" t="s">
        <v>61</v>
      </c>
      <c r="F1718" s="3">
        <v>0.42387731481481483</v>
      </c>
      <c r="G1718">
        <v>59470</v>
      </c>
      <c r="I1718">
        <v>2</v>
      </c>
      <c r="J1718" t="s">
        <v>63</v>
      </c>
      <c r="K1718" s="8">
        <v>96</v>
      </c>
      <c r="L1718" s="8" t="s">
        <v>6585</v>
      </c>
      <c r="M1718" s="8" t="s">
        <v>6628</v>
      </c>
      <c r="N1718" t="s">
        <v>2433</v>
      </c>
      <c r="O1718" t="s">
        <v>6576</v>
      </c>
      <c r="P1718" s="4">
        <v>7000</v>
      </c>
      <c r="S1718" s="2">
        <v>45742</v>
      </c>
      <c r="U1718">
        <v>6</v>
      </c>
      <c r="V1718" s="4">
        <v>42000</v>
      </c>
      <c r="W1718" t="s">
        <v>65</v>
      </c>
      <c r="X1718" t="s">
        <v>999</v>
      </c>
      <c r="Y1718">
        <v>0</v>
      </c>
      <c r="Z1718" s="4">
        <v>42000</v>
      </c>
      <c r="AA1718">
        <v>0</v>
      </c>
      <c r="AB1718">
        <v>0</v>
      </c>
      <c r="AC1718">
        <v>0</v>
      </c>
      <c r="AD1718">
        <v>0</v>
      </c>
      <c r="AG1718">
        <v>0</v>
      </c>
      <c r="AP1718" t="s">
        <v>1000</v>
      </c>
      <c r="AQ1718" t="s">
        <v>321</v>
      </c>
      <c r="AR1718" t="s">
        <v>6652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BC1718" t="s">
        <v>69</v>
      </c>
      <c r="BD1718" t="s">
        <v>5234</v>
      </c>
      <c r="BE1718">
        <v>0</v>
      </c>
      <c r="BG1718" t="s">
        <v>321</v>
      </c>
      <c r="BJ1718" t="s">
        <v>5235</v>
      </c>
    </row>
    <row r="1719" spans="1:62" x14ac:dyDescent="0.35">
      <c r="A1719" t="s">
        <v>5692</v>
      </c>
      <c r="B1719">
        <v>10000</v>
      </c>
      <c r="C1719">
        <v>10000</v>
      </c>
      <c r="D1719" s="2">
        <v>45749</v>
      </c>
      <c r="E1719" t="s">
        <v>61</v>
      </c>
      <c r="F1719" t="s">
        <v>5693</v>
      </c>
      <c r="G1719" t="s">
        <v>4415</v>
      </c>
      <c r="I1719">
        <v>1</v>
      </c>
      <c r="J1719" t="s">
        <v>63</v>
      </c>
      <c r="K1719" s="8">
        <v>88</v>
      </c>
      <c r="L1719" s="8" t="s">
        <v>6610</v>
      </c>
      <c r="M1719" s="8" t="s">
        <v>6631</v>
      </c>
      <c r="N1719" t="s">
        <v>630</v>
      </c>
      <c r="O1719" t="s">
        <v>6571</v>
      </c>
      <c r="P1719">
        <v>800</v>
      </c>
      <c r="S1719" s="2">
        <v>45742</v>
      </c>
      <c r="U1719">
        <v>1</v>
      </c>
      <c r="V1719">
        <v>800</v>
      </c>
      <c r="W1719" t="s">
        <v>65</v>
      </c>
      <c r="X1719">
        <v>104489220001</v>
      </c>
      <c r="Y1719">
        <v>0</v>
      </c>
      <c r="Z1719">
        <v>500</v>
      </c>
      <c r="AA1719">
        <v>300</v>
      </c>
      <c r="AB1719">
        <v>0</v>
      </c>
      <c r="AC1719">
        <v>0</v>
      </c>
      <c r="AD1719">
        <v>0</v>
      </c>
      <c r="AG1719">
        <v>0</v>
      </c>
      <c r="AP1719">
        <v>10448922</v>
      </c>
      <c r="AQ1719" t="s">
        <v>487</v>
      </c>
      <c r="AR1719" t="s">
        <v>6656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BC1719" t="s">
        <v>69</v>
      </c>
      <c r="BD1719" t="s">
        <v>5694</v>
      </c>
      <c r="BE1719">
        <v>0</v>
      </c>
      <c r="BG1719" t="s">
        <v>487</v>
      </c>
      <c r="BJ1719" t="s">
        <v>5436</v>
      </c>
    </row>
    <row r="1720" spans="1:62" x14ac:dyDescent="0.35">
      <c r="A1720" t="s">
        <v>5695</v>
      </c>
      <c r="B1720">
        <v>10000</v>
      </c>
      <c r="C1720">
        <v>10000</v>
      </c>
      <c r="D1720" s="2">
        <v>45749</v>
      </c>
      <c r="E1720" t="s">
        <v>61</v>
      </c>
      <c r="F1720" t="s">
        <v>5693</v>
      </c>
      <c r="G1720" t="s">
        <v>4415</v>
      </c>
      <c r="I1720">
        <v>1</v>
      </c>
      <c r="J1720" t="s">
        <v>63</v>
      </c>
      <c r="K1720" s="8">
        <v>88</v>
      </c>
      <c r="L1720" s="8" t="s">
        <v>6610</v>
      </c>
      <c r="M1720" s="8" t="s">
        <v>6631</v>
      </c>
      <c r="N1720" t="s">
        <v>630</v>
      </c>
      <c r="O1720" t="s">
        <v>6571</v>
      </c>
      <c r="P1720">
        <v>20</v>
      </c>
      <c r="S1720" s="2">
        <v>45742</v>
      </c>
      <c r="U1720">
        <v>1</v>
      </c>
      <c r="V1720">
        <v>20</v>
      </c>
      <c r="W1720" t="s">
        <v>65</v>
      </c>
      <c r="X1720">
        <v>104489220001</v>
      </c>
      <c r="Y1720">
        <v>0</v>
      </c>
      <c r="Z1720">
        <v>20</v>
      </c>
      <c r="AA1720">
        <v>0</v>
      </c>
      <c r="AB1720">
        <v>0</v>
      </c>
      <c r="AC1720">
        <v>0</v>
      </c>
      <c r="AD1720">
        <v>0</v>
      </c>
      <c r="AG1720">
        <v>0</v>
      </c>
      <c r="AP1720">
        <v>10448922</v>
      </c>
      <c r="AQ1720" t="s">
        <v>487</v>
      </c>
      <c r="AR1720" t="s">
        <v>6656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BC1720" t="s">
        <v>69</v>
      </c>
      <c r="BD1720" t="s">
        <v>5696</v>
      </c>
      <c r="BE1720">
        <v>0</v>
      </c>
      <c r="BG1720" t="s">
        <v>487</v>
      </c>
      <c r="BJ1720" t="s">
        <v>5439</v>
      </c>
    </row>
    <row r="1721" spans="1:62" x14ac:dyDescent="0.35">
      <c r="A1721" t="s">
        <v>5697</v>
      </c>
      <c r="B1721">
        <v>10000</v>
      </c>
      <c r="C1721">
        <v>10000</v>
      </c>
      <c r="D1721" s="2">
        <v>45744</v>
      </c>
      <c r="E1721" t="s">
        <v>61</v>
      </c>
      <c r="F1721" t="s">
        <v>5698</v>
      </c>
      <c r="G1721" t="s">
        <v>5699</v>
      </c>
      <c r="I1721">
        <v>1</v>
      </c>
      <c r="J1721" t="s">
        <v>63</v>
      </c>
      <c r="K1721" s="8">
        <v>72</v>
      </c>
      <c r="L1721" s="8" t="s">
        <v>6606</v>
      </c>
      <c r="M1721" s="8" t="s">
        <v>6631</v>
      </c>
      <c r="N1721" t="s">
        <v>163</v>
      </c>
      <c r="O1721" t="s">
        <v>6548</v>
      </c>
      <c r="P1721" s="4">
        <v>1000</v>
      </c>
      <c r="S1721" s="2">
        <v>45742</v>
      </c>
      <c r="U1721">
        <v>10</v>
      </c>
      <c r="V1721" s="4">
        <v>10000</v>
      </c>
      <c r="W1721" t="s">
        <v>65</v>
      </c>
      <c r="X1721" t="s">
        <v>5700</v>
      </c>
      <c r="Y1721">
        <v>0</v>
      </c>
      <c r="Z1721" s="4">
        <v>5000</v>
      </c>
      <c r="AA1721" s="4">
        <v>5000</v>
      </c>
      <c r="AB1721">
        <v>0</v>
      </c>
      <c r="AC1721">
        <v>0</v>
      </c>
      <c r="AD1721">
        <v>0</v>
      </c>
      <c r="AG1721">
        <v>0</v>
      </c>
      <c r="AP1721" t="s">
        <v>5701</v>
      </c>
      <c r="AQ1721" t="s">
        <v>909</v>
      </c>
      <c r="AR1721" t="s">
        <v>6667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BC1721" t="s">
        <v>69</v>
      </c>
      <c r="BD1721" t="s">
        <v>5702</v>
      </c>
      <c r="BE1721">
        <v>0</v>
      </c>
      <c r="BG1721" t="s">
        <v>909</v>
      </c>
      <c r="BJ1721" t="s">
        <v>5703</v>
      </c>
    </row>
    <row r="1722" spans="1:62" x14ac:dyDescent="0.35">
      <c r="A1722" t="s">
        <v>5704</v>
      </c>
      <c r="B1722">
        <v>10000</v>
      </c>
      <c r="C1722">
        <v>10000</v>
      </c>
      <c r="D1722" s="2">
        <v>45749</v>
      </c>
      <c r="E1722" t="s">
        <v>61</v>
      </c>
      <c r="F1722" t="s">
        <v>5705</v>
      </c>
      <c r="G1722" t="s">
        <v>5706</v>
      </c>
      <c r="I1722">
        <v>1</v>
      </c>
      <c r="J1722" t="s">
        <v>63</v>
      </c>
      <c r="K1722" s="8">
        <v>88</v>
      </c>
      <c r="L1722" s="8" t="s">
        <v>6610</v>
      </c>
      <c r="M1722" s="8" t="s">
        <v>6631</v>
      </c>
      <c r="N1722" t="s">
        <v>630</v>
      </c>
      <c r="O1722" t="s">
        <v>6571</v>
      </c>
      <c r="P1722">
        <v>800</v>
      </c>
      <c r="S1722" s="2">
        <v>45742</v>
      </c>
      <c r="U1722">
        <v>1</v>
      </c>
      <c r="V1722">
        <v>800</v>
      </c>
      <c r="W1722" t="s">
        <v>65</v>
      </c>
      <c r="X1722">
        <v>107355880001</v>
      </c>
      <c r="Y1722">
        <v>0</v>
      </c>
      <c r="Z1722">
        <v>500</v>
      </c>
      <c r="AA1722">
        <v>300</v>
      </c>
      <c r="AB1722">
        <v>0</v>
      </c>
      <c r="AC1722">
        <v>0</v>
      </c>
      <c r="AD1722">
        <v>0</v>
      </c>
      <c r="AG1722">
        <v>0</v>
      </c>
      <c r="AP1722">
        <v>10735588</v>
      </c>
      <c r="AQ1722" t="s">
        <v>487</v>
      </c>
      <c r="AR1722" t="s">
        <v>6656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BC1722" t="s">
        <v>69</v>
      </c>
      <c r="BD1722" t="s">
        <v>5707</v>
      </c>
      <c r="BE1722">
        <v>0</v>
      </c>
      <c r="BG1722" t="s">
        <v>487</v>
      </c>
      <c r="BJ1722" t="s">
        <v>5447</v>
      </c>
    </row>
    <row r="1723" spans="1:62" x14ac:dyDescent="0.35">
      <c r="A1723" t="s">
        <v>5708</v>
      </c>
      <c r="B1723">
        <v>10000</v>
      </c>
      <c r="C1723">
        <v>10000</v>
      </c>
      <c r="D1723" s="2">
        <v>45749</v>
      </c>
      <c r="E1723" t="s">
        <v>61</v>
      </c>
      <c r="F1723" t="s">
        <v>5709</v>
      </c>
      <c r="G1723" t="s">
        <v>5706</v>
      </c>
      <c r="I1723">
        <v>1</v>
      </c>
      <c r="J1723" t="s">
        <v>63</v>
      </c>
      <c r="K1723" s="8">
        <v>88</v>
      </c>
      <c r="L1723" s="8" t="s">
        <v>6610</v>
      </c>
      <c r="M1723" s="8" t="s">
        <v>6631</v>
      </c>
      <c r="N1723" t="s">
        <v>630</v>
      </c>
      <c r="O1723" t="s">
        <v>6571</v>
      </c>
      <c r="P1723">
        <v>800</v>
      </c>
      <c r="S1723" s="2">
        <v>45742</v>
      </c>
      <c r="U1723">
        <v>1</v>
      </c>
      <c r="V1723">
        <v>800</v>
      </c>
      <c r="W1723" t="s">
        <v>65</v>
      </c>
      <c r="X1723">
        <v>107355890001</v>
      </c>
      <c r="Y1723">
        <v>0</v>
      </c>
      <c r="Z1723">
        <v>500</v>
      </c>
      <c r="AA1723">
        <v>300</v>
      </c>
      <c r="AB1723">
        <v>0</v>
      </c>
      <c r="AC1723">
        <v>0</v>
      </c>
      <c r="AD1723">
        <v>0</v>
      </c>
      <c r="AG1723">
        <v>0</v>
      </c>
      <c r="AP1723">
        <v>10735589</v>
      </c>
      <c r="AQ1723" t="s">
        <v>487</v>
      </c>
      <c r="AR1723" t="s">
        <v>6656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BC1723" t="s">
        <v>69</v>
      </c>
      <c r="BD1723" t="s">
        <v>5710</v>
      </c>
      <c r="BE1723">
        <v>0</v>
      </c>
      <c r="BG1723" t="s">
        <v>487</v>
      </c>
      <c r="BJ1723" t="s">
        <v>5447</v>
      </c>
    </row>
    <row r="1724" spans="1:62" x14ac:dyDescent="0.35">
      <c r="A1724" t="s">
        <v>5711</v>
      </c>
      <c r="B1724">
        <v>10000</v>
      </c>
      <c r="C1724">
        <v>10000</v>
      </c>
      <c r="D1724" s="2">
        <v>45749</v>
      </c>
      <c r="E1724" t="s">
        <v>61</v>
      </c>
      <c r="F1724" t="s">
        <v>5705</v>
      </c>
      <c r="G1724" t="s">
        <v>5706</v>
      </c>
      <c r="I1724">
        <v>1</v>
      </c>
      <c r="J1724" t="s">
        <v>63</v>
      </c>
      <c r="K1724" s="8">
        <v>88</v>
      </c>
      <c r="L1724" s="8" t="s">
        <v>6610</v>
      </c>
      <c r="M1724" s="8" t="s">
        <v>6631</v>
      </c>
      <c r="N1724" t="s">
        <v>630</v>
      </c>
      <c r="O1724" t="s">
        <v>6571</v>
      </c>
      <c r="P1724">
        <v>20</v>
      </c>
      <c r="S1724" s="2">
        <v>45742</v>
      </c>
      <c r="U1724">
        <v>1</v>
      </c>
      <c r="V1724">
        <v>20</v>
      </c>
      <c r="W1724" t="s">
        <v>65</v>
      </c>
      <c r="X1724">
        <v>107355880001</v>
      </c>
      <c r="Y1724">
        <v>0</v>
      </c>
      <c r="Z1724">
        <v>20</v>
      </c>
      <c r="AA1724">
        <v>0</v>
      </c>
      <c r="AB1724">
        <v>0</v>
      </c>
      <c r="AC1724">
        <v>0</v>
      </c>
      <c r="AD1724">
        <v>0</v>
      </c>
      <c r="AG1724">
        <v>0</v>
      </c>
      <c r="AP1724">
        <v>10735588</v>
      </c>
      <c r="AQ1724" t="s">
        <v>487</v>
      </c>
      <c r="AR1724" t="s">
        <v>6656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BC1724" t="s">
        <v>69</v>
      </c>
      <c r="BD1724" t="s">
        <v>5712</v>
      </c>
      <c r="BE1724">
        <v>0</v>
      </c>
      <c r="BG1724" t="s">
        <v>487</v>
      </c>
      <c r="BJ1724" t="s">
        <v>5453</v>
      </c>
    </row>
    <row r="1725" spans="1:62" x14ac:dyDescent="0.35">
      <c r="A1725" t="s">
        <v>5713</v>
      </c>
      <c r="B1725">
        <v>10000</v>
      </c>
      <c r="C1725">
        <v>10000</v>
      </c>
      <c r="D1725" s="2">
        <v>45749</v>
      </c>
      <c r="E1725" t="s">
        <v>61</v>
      </c>
      <c r="F1725" t="s">
        <v>5709</v>
      </c>
      <c r="G1725" t="s">
        <v>5706</v>
      </c>
      <c r="I1725">
        <v>1</v>
      </c>
      <c r="J1725" t="s">
        <v>63</v>
      </c>
      <c r="K1725" s="8">
        <v>88</v>
      </c>
      <c r="L1725" s="8" t="s">
        <v>6610</v>
      </c>
      <c r="M1725" s="8" t="s">
        <v>6631</v>
      </c>
      <c r="N1725" t="s">
        <v>630</v>
      </c>
      <c r="O1725" t="s">
        <v>6571</v>
      </c>
      <c r="P1725">
        <v>20</v>
      </c>
      <c r="S1725" s="2">
        <v>45742</v>
      </c>
      <c r="U1725">
        <v>1</v>
      </c>
      <c r="V1725">
        <v>20</v>
      </c>
      <c r="W1725" t="s">
        <v>65</v>
      </c>
      <c r="X1725">
        <v>107355890001</v>
      </c>
      <c r="Y1725">
        <v>0</v>
      </c>
      <c r="Z1725">
        <v>20</v>
      </c>
      <c r="AA1725">
        <v>0</v>
      </c>
      <c r="AB1725">
        <v>0</v>
      </c>
      <c r="AC1725">
        <v>0</v>
      </c>
      <c r="AD1725">
        <v>0</v>
      </c>
      <c r="AG1725">
        <v>0</v>
      </c>
      <c r="AP1725">
        <v>10735589</v>
      </c>
      <c r="AQ1725" t="s">
        <v>487</v>
      </c>
      <c r="AR1725" t="s">
        <v>6656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BC1725" t="s">
        <v>69</v>
      </c>
      <c r="BD1725" t="s">
        <v>5714</v>
      </c>
      <c r="BE1725">
        <v>0</v>
      </c>
      <c r="BG1725" t="s">
        <v>487</v>
      </c>
      <c r="BJ1725" t="s">
        <v>5453</v>
      </c>
    </row>
    <row r="1726" spans="1:62" x14ac:dyDescent="0.35">
      <c r="A1726" t="s">
        <v>5715</v>
      </c>
      <c r="B1726">
        <v>10000</v>
      </c>
      <c r="C1726">
        <v>10000</v>
      </c>
      <c r="D1726" s="2">
        <v>45744</v>
      </c>
      <c r="E1726" t="s">
        <v>61</v>
      </c>
      <c r="F1726" t="s">
        <v>5716</v>
      </c>
      <c r="G1726" t="s">
        <v>5717</v>
      </c>
      <c r="I1726">
        <v>1</v>
      </c>
      <c r="J1726" t="s">
        <v>63</v>
      </c>
      <c r="K1726" s="8">
        <v>72</v>
      </c>
      <c r="L1726" s="8" t="s">
        <v>6606</v>
      </c>
      <c r="M1726" s="8" t="s">
        <v>6631</v>
      </c>
      <c r="N1726" t="s">
        <v>163</v>
      </c>
      <c r="O1726" t="s">
        <v>6548</v>
      </c>
      <c r="P1726" s="4">
        <v>2000</v>
      </c>
      <c r="S1726" s="2">
        <v>45742</v>
      </c>
      <c r="U1726">
        <v>6</v>
      </c>
      <c r="V1726" s="4">
        <v>12000</v>
      </c>
      <c r="W1726" t="s">
        <v>65</v>
      </c>
      <c r="X1726">
        <v>83014520001</v>
      </c>
      <c r="Y1726">
        <v>0</v>
      </c>
      <c r="Z1726" s="4">
        <v>10000</v>
      </c>
      <c r="AA1726" s="4">
        <v>2000</v>
      </c>
      <c r="AB1726">
        <v>0</v>
      </c>
      <c r="AC1726">
        <v>0</v>
      </c>
      <c r="AD1726">
        <v>0</v>
      </c>
      <c r="AG1726">
        <v>0</v>
      </c>
      <c r="AP1726">
        <v>8301452</v>
      </c>
      <c r="AQ1726" t="s">
        <v>91</v>
      </c>
      <c r="AR1726" t="s">
        <v>6637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BC1726" t="s">
        <v>69</v>
      </c>
      <c r="BD1726" t="s">
        <v>5718</v>
      </c>
      <c r="BE1726">
        <v>0</v>
      </c>
      <c r="BG1726" t="s">
        <v>91</v>
      </c>
      <c r="BJ1726" t="s">
        <v>5484</v>
      </c>
    </row>
    <row r="1727" spans="1:62" x14ac:dyDescent="0.35">
      <c r="A1727" t="s">
        <v>5719</v>
      </c>
      <c r="B1727">
        <v>10000</v>
      </c>
      <c r="C1727">
        <v>10000</v>
      </c>
      <c r="D1727" s="2">
        <v>45744</v>
      </c>
      <c r="E1727" t="s">
        <v>61</v>
      </c>
      <c r="F1727" t="s">
        <v>5720</v>
      </c>
      <c r="G1727" t="s">
        <v>4340</v>
      </c>
      <c r="I1727">
        <v>1</v>
      </c>
      <c r="J1727" t="s">
        <v>63</v>
      </c>
      <c r="K1727" s="8">
        <v>72</v>
      </c>
      <c r="L1727" s="8" t="s">
        <v>6606</v>
      </c>
      <c r="M1727" s="8" t="s">
        <v>6631</v>
      </c>
      <c r="N1727" t="s">
        <v>163</v>
      </c>
      <c r="O1727" t="s">
        <v>6548</v>
      </c>
      <c r="P1727" s="4">
        <v>14000</v>
      </c>
      <c r="S1727" s="2">
        <v>45742</v>
      </c>
      <c r="U1727">
        <v>6</v>
      </c>
      <c r="V1727" s="4">
        <v>84000</v>
      </c>
      <c r="W1727" t="s">
        <v>65</v>
      </c>
      <c r="X1727" t="s">
        <v>5721</v>
      </c>
      <c r="Y1727">
        <v>0</v>
      </c>
      <c r="Z1727" s="4">
        <v>80000</v>
      </c>
      <c r="AA1727" s="4">
        <v>4000</v>
      </c>
      <c r="AB1727">
        <v>0</v>
      </c>
      <c r="AC1727">
        <v>0</v>
      </c>
      <c r="AD1727">
        <v>0</v>
      </c>
      <c r="AG1727">
        <v>0</v>
      </c>
      <c r="AP1727" t="s">
        <v>5722</v>
      </c>
      <c r="AQ1727" t="s">
        <v>91</v>
      </c>
      <c r="AR1727" t="s">
        <v>6637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BC1727" t="s">
        <v>69</v>
      </c>
      <c r="BD1727" t="s">
        <v>5723</v>
      </c>
      <c r="BE1727">
        <v>0</v>
      </c>
      <c r="BG1727" t="s">
        <v>91</v>
      </c>
      <c r="BJ1727" t="s">
        <v>5484</v>
      </c>
    </row>
    <row r="1728" spans="1:62" x14ac:dyDescent="0.35">
      <c r="A1728" t="s">
        <v>5479</v>
      </c>
      <c r="B1728">
        <v>10000</v>
      </c>
      <c r="C1728">
        <v>20000</v>
      </c>
      <c r="D1728" s="2">
        <v>45742</v>
      </c>
      <c r="E1728" t="s">
        <v>61</v>
      </c>
      <c r="F1728" t="s">
        <v>5480</v>
      </c>
      <c r="G1728" t="s">
        <v>4340</v>
      </c>
      <c r="I1728">
        <v>2</v>
      </c>
      <c r="J1728" t="s">
        <v>63</v>
      </c>
      <c r="K1728" s="8">
        <v>71</v>
      </c>
      <c r="L1728" s="8" t="s">
        <v>6588</v>
      </c>
      <c r="M1728" s="8" t="s">
        <v>6630</v>
      </c>
      <c r="N1728" t="s">
        <v>135</v>
      </c>
      <c r="O1728" t="s">
        <v>6573</v>
      </c>
      <c r="P1728" s="4">
        <v>7500</v>
      </c>
      <c r="S1728" s="2">
        <v>45742</v>
      </c>
      <c r="U1728">
        <v>4</v>
      </c>
      <c r="V1728" s="4">
        <v>30000</v>
      </c>
      <c r="W1728" t="s">
        <v>65</v>
      </c>
      <c r="X1728" t="s">
        <v>5481</v>
      </c>
      <c r="Y1728">
        <v>0</v>
      </c>
      <c r="Z1728" s="4">
        <v>30000</v>
      </c>
      <c r="AA1728">
        <v>0</v>
      </c>
      <c r="AB1728">
        <v>0</v>
      </c>
      <c r="AC1728">
        <v>0</v>
      </c>
      <c r="AD1728">
        <v>0</v>
      </c>
      <c r="AG1728">
        <v>0</v>
      </c>
      <c r="AP1728" t="s">
        <v>5482</v>
      </c>
      <c r="AQ1728" t="s">
        <v>91</v>
      </c>
      <c r="AR1728" t="s">
        <v>6637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BC1728" t="s">
        <v>69</v>
      </c>
      <c r="BD1728" t="s">
        <v>5483</v>
      </c>
      <c r="BE1728">
        <v>0</v>
      </c>
      <c r="BG1728" t="s">
        <v>91</v>
      </c>
      <c r="BJ1728" t="s">
        <v>5484</v>
      </c>
    </row>
    <row r="1729" spans="1:62" x14ac:dyDescent="0.35">
      <c r="A1729" t="s">
        <v>5724</v>
      </c>
      <c r="B1729">
        <v>10000</v>
      </c>
      <c r="C1729">
        <v>10000</v>
      </c>
      <c r="D1729" s="2">
        <v>45743</v>
      </c>
      <c r="E1729" t="s">
        <v>61</v>
      </c>
      <c r="F1729" t="s">
        <v>5725</v>
      </c>
      <c r="G1729" t="s">
        <v>5717</v>
      </c>
      <c r="I1729">
        <v>1</v>
      </c>
      <c r="J1729" t="s">
        <v>63</v>
      </c>
      <c r="K1729" s="8">
        <v>72</v>
      </c>
      <c r="L1729" s="8" t="s">
        <v>6606</v>
      </c>
      <c r="M1729" s="8" t="s">
        <v>6631</v>
      </c>
      <c r="N1729" t="s">
        <v>163</v>
      </c>
      <c r="O1729" t="s">
        <v>6548</v>
      </c>
      <c r="P1729" s="4">
        <v>7500</v>
      </c>
      <c r="S1729" s="2">
        <v>45742</v>
      </c>
      <c r="U1729">
        <v>6</v>
      </c>
      <c r="V1729" s="4">
        <v>45000</v>
      </c>
      <c r="W1729" t="s">
        <v>65</v>
      </c>
      <c r="X1729" t="s">
        <v>5726</v>
      </c>
      <c r="Y1729">
        <v>0</v>
      </c>
      <c r="Z1729" s="4">
        <v>40000</v>
      </c>
      <c r="AA1729" s="4">
        <v>5000</v>
      </c>
      <c r="AB1729">
        <v>0</v>
      </c>
      <c r="AC1729">
        <v>0</v>
      </c>
      <c r="AD1729">
        <v>0</v>
      </c>
      <c r="AG1729">
        <v>0</v>
      </c>
      <c r="AP1729" t="s">
        <v>5727</v>
      </c>
      <c r="AQ1729" t="s">
        <v>91</v>
      </c>
      <c r="AR1729" t="s">
        <v>6637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BC1729" t="s">
        <v>69</v>
      </c>
      <c r="BD1729" t="s">
        <v>5728</v>
      </c>
      <c r="BE1729">
        <v>0</v>
      </c>
      <c r="BG1729" t="s">
        <v>91</v>
      </c>
      <c r="BJ1729" t="s">
        <v>5484</v>
      </c>
    </row>
    <row r="1730" spans="1:62" x14ac:dyDescent="0.35">
      <c r="A1730" t="s">
        <v>5489</v>
      </c>
      <c r="B1730">
        <v>10000</v>
      </c>
      <c r="C1730">
        <v>20000</v>
      </c>
      <c r="D1730" s="2">
        <v>45742</v>
      </c>
      <c r="E1730" t="s">
        <v>61</v>
      </c>
      <c r="F1730" s="3">
        <v>0.46135416666666668</v>
      </c>
      <c r="G1730" t="s">
        <v>4340</v>
      </c>
      <c r="I1730">
        <v>2</v>
      </c>
      <c r="J1730" t="s">
        <v>63</v>
      </c>
      <c r="K1730" s="8">
        <v>71</v>
      </c>
      <c r="L1730" s="8" t="s">
        <v>6588</v>
      </c>
      <c r="M1730" s="8" t="s">
        <v>6630</v>
      </c>
      <c r="N1730" t="s">
        <v>135</v>
      </c>
      <c r="O1730" t="s">
        <v>6573</v>
      </c>
      <c r="P1730" s="4">
        <v>2500</v>
      </c>
      <c r="S1730" s="2">
        <v>45742</v>
      </c>
      <c r="U1730">
        <v>4</v>
      </c>
      <c r="V1730" s="4">
        <v>10000</v>
      </c>
      <c r="W1730" t="s">
        <v>65</v>
      </c>
      <c r="X1730" t="s">
        <v>5490</v>
      </c>
      <c r="Y1730">
        <v>0</v>
      </c>
      <c r="Z1730" s="4">
        <v>10000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5491</v>
      </c>
      <c r="AQ1730" t="s">
        <v>91</v>
      </c>
      <c r="AR1730" t="s">
        <v>6637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BC1730" t="s">
        <v>69</v>
      </c>
      <c r="BD1730" t="s">
        <v>5492</v>
      </c>
      <c r="BE1730">
        <v>0</v>
      </c>
      <c r="BG1730" t="s">
        <v>91</v>
      </c>
      <c r="BJ1730" t="s">
        <v>5484</v>
      </c>
    </row>
    <row r="1731" spans="1:62" x14ac:dyDescent="0.35">
      <c r="A1731" t="s">
        <v>5729</v>
      </c>
      <c r="B1731">
        <v>10000</v>
      </c>
      <c r="C1731">
        <v>10000</v>
      </c>
      <c r="D1731" s="2">
        <v>45744</v>
      </c>
      <c r="E1731" t="s">
        <v>61</v>
      </c>
      <c r="F1731" t="s">
        <v>5716</v>
      </c>
      <c r="G1731" t="s">
        <v>5717</v>
      </c>
      <c r="I1731">
        <v>1</v>
      </c>
      <c r="J1731" t="s">
        <v>63</v>
      </c>
      <c r="K1731" s="8">
        <v>72</v>
      </c>
      <c r="L1731" s="8" t="s">
        <v>6606</v>
      </c>
      <c r="M1731" s="8" t="s">
        <v>6631</v>
      </c>
      <c r="N1731" t="s">
        <v>163</v>
      </c>
      <c r="O1731" t="s">
        <v>6548</v>
      </c>
      <c r="P1731" s="4">
        <v>1167</v>
      </c>
      <c r="S1731" s="2">
        <v>45742</v>
      </c>
      <c r="U1731">
        <v>6</v>
      </c>
      <c r="V1731" s="4">
        <v>7002</v>
      </c>
      <c r="W1731" t="s">
        <v>65</v>
      </c>
      <c r="X1731">
        <v>83014520001</v>
      </c>
      <c r="Y1731">
        <v>0</v>
      </c>
      <c r="Z1731" s="4">
        <v>5000</v>
      </c>
      <c r="AA1731" s="4">
        <v>2002</v>
      </c>
      <c r="AB1731">
        <v>0</v>
      </c>
      <c r="AC1731">
        <v>0</v>
      </c>
      <c r="AD1731">
        <v>0</v>
      </c>
      <c r="AG1731">
        <v>0</v>
      </c>
      <c r="AP1731">
        <v>8301452</v>
      </c>
      <c r="AQ1731" t="s">
        <v>91</v>
      </c>
      <c r="AR1731" t="s">
        <v>6637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BC1731" t="s">
        <v>69</v>
      </c>
      <c r="BD1731" t="s">
        <v>5730</v>
      </c>
      <c r="BE1731">
        <v>0</v>
      </c>
      <c r="BG1731" t="s">
        <v>91</v>
      </c>
      <c r="BJ1731" t="s">
        <v>5496</v>
      </c>
    </row>
    <row r="1732" spans="1:62" x14ac:dyDescent="0.35">
      <c r="A1732" t="s">
        <v>5731</v>
      </c>
      <c r="B1732">
        <v>10000</v>
      </c>
      <c r="C1732">
        <v>10000</v>
      </c>
      <c r="D1732" s="2">
        <v>45744</v>
      </c>
      <c r="E1732" t="s">
        <v>61</v>
      </c>
      <c r="F1732" t="s">
        <v>5732</v>
      </c>
      <c r="G1732" t="s">
        <v>4340</v>
      </c>
      <c r="I1732">
        <v>1</v>
      </c>
      <c r="J1732" t="s">
        <v>63</v>
      </c>
      <c r="K1732" s="8">
        <v>72</v>
      </c>
      <c r="L1732" s="8" t="s">
        <v>6606</v>
      </c>
      <c r="M1732" s="8" t="s">
        <v>6631</v>
      </c>
      <c r="N1732" t="s">
        <v>163</v>
      </c>
      <c r="O1732" t="s">
        <v>6548</v>
      </c>
      <c r="P1732" s="4">
        <v>11000</v>
      </c>
      <c r="S1732" s="2">
        <v>45742</v>
      </c>
      <c r="U1732">
        <v>6</v>
      </c>
      <c r="V1732" s="4">
        <v>66000</v>
      </c>
      <c r="W1732" t="s">
        <v>65</v>
      </c>
      <c r="X1732" t="s">
        <v>5721</v>
      </c>
      <c r="Y1732">
        <v>0</v>
      </c>
      <c r="Z1732" s="4">
        <v>60000</v>
      </c>
      <c r="AA1732" s="4">
        <v>6000</v>
      </c>
      <c r="AB1732">
        <v>0</v>
      </c>
      <c r="AC1732">
        <v>0</v>
      </c>
      <c r="AD1732">
        <v>0</v>
      </c>
      <c r="AG1732">
        <v>0</v>
      </c>
      <c r="AP1732" t="s">
        <v>5722</v>
      </c>
      <c r="AQ1732" t="s">
        <v>91</v>
      </c>
      <c r="AR1732" t="s">
        <v>6637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BC1732" t="s">
        <v>69</v>
      </c>
      <c r="BD1732" t="s">
        <v>5733</v>
      </c>
      <c r="BE1732">
        <v>0</v>
      </c>
      <c r="BG1732" t="s">
        <v>91</v>
      </c>
      <c r="BJ1732" t="s">
        <v>5496</v>
      </c>
    </row>
    <row r="1733" spans="1:62" x14ac:dyDescent="0.35">
      <c r="A1733" t="s">
        <v>5493</v>
      </c>
      <c r="B1733">
        <v>10000</v>
      </c>
      <c r="C1733">
        <v>20000</v>
      </c>
      <c r="D1733" s="2">
        <v>45742</v>
      </c>
      <c r="E1733" t="s">
        <v>61</v>
      </c>
      <c r="F1733" t="s">
        <v>5494</v>
      </c>
      <c r="G1733" t="s">
        <v>4340</v>
      </c>
      <c r="I1733">
        <v>2</v>
      </c>
      <c r="J1733" t="s">
        <v>63</v>
      </c>
      <c r="K1733" s="8">
        <v>71</v>
      </c>
      <c r="L1733" s="8" t="s">
        <v>6588</v>
      </c>
      <c r="M1733" s="8" t="s">
        <v>6630</v>
      </c>
      <c r="N1733" t="s">
        <v>135</v>
      </c>
      <c r="O1733" t="s">
        <v>6573</v>
      </c>
      <c r="P1733" s="4">
        <v>5000</v>
      </c>
      <c r="S1733" s="2">
        <v>45742</v>
      </c>
      <c r="U1733">
        <v>4</v>
      </c>
      <c r="V1733" s="4">
        <v>20000</v>
      </c>
      <c r="W1733" t="s">
        <v>65</v>
      </c>
      <c r="X1733" t="s">
        <v>5481</v>
      </c>
      <c r="Y1733">
        <v>0</v>
      </c>
      <c r="Z1733" s="4">
        <v>20000</v>
      </c>
      <c r="AA1733">
        <v>0</v>
      </c>
      <c r="AB1733">
        <v>0</v>
      </c>
      <c r="AC1733">
        <v>0</v>
      </c>
      <c r="AD1733">
        <v>0</v>
      </c>
      <c r="AG1733">
        <v>0</v>
      </c>
      <c r="AP1733" t="s">
        <v>5482</v>
      </c>
      <c r="AQ1733" t="s">
        <v>91</v>
      </c>
      <c r="AR1733" t="s">
        <v>6637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BC1733" t="s">
        <v>69</v>
      </c>
      <c r="BD1733" t="s">
        <v>5495</v>
      </c>
      <c r="BE1733">
        <v>0</v>
      </c>
      <c r="BG1733" t="s">
        <v>91</v>
      </c>
      <c r="BJ1733" t="s">
        <v>5496</v>
      </c>
    </row>
    <row r="1734" spans="1:62" x14ac:dyDescent="0.35">
      <c r="A1734" t="s">
        <v>5734</v>
      </c>
      <c r="B1734">
        <v>10000</v>
      </c>
      <c r="C1734">
        <v>10000</v>
      </c>
      <c r="D1734" s="2">
        <v>45743</v>
      </c>
      <c r="E1734" t="s">
        <v>61</v>
      </c>
      <c r="F1734" t="s">
        <v>5735</v>
      </c>
      <c r="G1734" t="s">
        <v>5717</v>
      </c>
      <c r="I1734">
        <v>1</v>
      </c>
      <c r="J1734" t="s">
        <v>63</v>
      </c>
      <c r="K1734" s="8">
        <v>72</v>
      </c>
      <c r="L1734" s="8" t="s">
        <v>6606</v>
      </c>
      <c r="M1734" s="8" t="s">
        <v>6631</v>
      </c>
      <c r="N1734" t="s">
        <v>163</v>
      </c>
      <c r="O1734" t="s">
        <v>6548</v>
      </c>
      <c r="P1734" s="4">
        <v>6000</v>
      </c>
      <c r="S1734" s="2">
        <v>45742</v>
      </c>
      <c r="U1734">
        <v>6</v>
      </c>
      <c r="V1734" s="4">
        <v>36000</v>
      </c>
      <c r="W1734" t="s">
        <v>65</v>
      </c>
      <c r="X1734" t="s">
        <v>5726</v>
      </c>
      <c r="Y1734">
        <v>0</v>
      </c>
      <c r="Z1734" s="4">
        <v>30000</v>
      </c>
      <c r="AA1734" s="4">
        <v>6000</v>
      </c>
      <c r="AB1734">
        <v>0</v>
      </c>
      <c r="AC1734">
        <v>0</v>
      </c>
      <c r="AD1734">
        <v>0</v>
      </c>
      <c r="AG1734">
        <v>0</v>
      </c>
      <c r="AP1734" t="s">
        <v>5727</v>
      </c>
      <c r="AQ1734" t="s">
        <v>91</v>
      </c>
      <c r="AR1734" t="s">
        <v>6637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BC1734" t="s">
        <v>69</v>
      </c>
      <c r="BD1734" t="s">
        <v>5736</v>
      </c>
      <c r="BE1734">
        <v>0</v>
      </c>
      <c r="BG1734" t="s">
        <v>91</v>
      </c>
      <c r="BJ1734" t="s">
        <v>5496</v>
      </c>
    </row>
    <row r="1735" spans="1:62" x14ac:dyDescent="0.35">
      <c r="A1735" t="s">
        <v>5737</v>
      </c>
      <c r="B1735">
        <v>10000</v>
      </c>
      <c r="C1735">
        <v>10000</v>
      </c>
      <c r="D1735" s="2">
        <v>45750</v>
      </c>
      <c r="E1735" t="s">
        <v>61</v>
      </c>
      <c r="F1735" t="s">
        <v>5738</v>
      </c>
      <c r="G1735" t="s">
        <v>486</v>
      </c>
      <c r="I1735">
        <v>1</v>
      </c>
      <c r="J1735" t="s">
        <v>63</v>
      </c>
      <c r="K1735" s="8">
        <v>88</v>
      </c>
      <c r="L1735" s="8" t="s">
        <v>6610</v>
      </c>
      <c r="M1735" s="8" t="s">
        <v>6631</v>
      </c>
      <c r="N1735" t="s">
        <v>630</v>
      </c>
      <c r="O1735" t="s">
        <v>6571</v>
      </c>
      <c r="P1735" s="4">
        <v>3000</v>
      </c>
      <c r="S1735" s="2">
        <v>45742</v>
      </c>
      <c r="U1735">
        <v>1</v>
      </c>
      <c r="V1735" s="4">
        <v>3000</v>
      </c>
      <c r="W1735" t="s">
        <v>65</v>
      </c>
      <c r="X1735">
        <v>107431990001</v>
      </c>
      <c r="Y1735">
        <v>0</v>
      </c>
      <c r="Z1735" s="4">
        <v>2400</v>
      </c>
      <c r="AA1735">
        <v>600</v>
      </c>
      <c r="AB1735">
        <v>0</v>
      </c>
      <c r="AC1735">
        <v>0</v>
      </c>
      <c r="AD1735">
        <v>0</v>
      </c>
      <c r="AG1735">
        <v>0</v>
      </c>
      <c r="AP1735">
        <v>10743199</v>
      </c>
      <c r="AQ1735" t="s">
        <v>487</v>
      </c>
      <c r="AR1735" t="s">
        <v>6656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BC1735" t="s">
        <v>69</v>
      </c>
      <c r="BD1735" t="s">
        <v>5739</v>
      </c>
      <c r="BE1735">
        <v>0</v>
      </c>
      <c r="BG1735" t="s">
        <v>487</v>
      </c>
      <c r="BJ1735" t="s">
        <v>5740</v>
      </c>
    </row>
    <row r="1736" spans="1:62" x14ac:dyDescent="0.35">
      <c r="A1736" t="s">
        <v>5741</v>
      </c>
      <c r="B1736">
        <v>10000</v>
      </c>
      <c r="C1736">
        <v>10000</v>
      </c>
      <c r="D1736" s="2">
        <v>45749</v>
      </c>
      <c r="E1736" t="s">
        <v>61</v>
      </c>
      <c r="F1736" s="3">
        <v>0.47629629629629627</v>
      </c>
      <c r="G1736" t="s">
        <v>5742</v>
      </c>
      <c r="I1736">
        <v>1</v>
      </c>
      <c r="J1736" t="s">
        <v>63</v>
      </c>
      <c r="K1736" s="8">
        <v>88</v>
      </c>
      <c r="L1736" s="8" t="s">
        <v>6610</v>
      </c>
      <c r="M1736" s="8" t="s">
        <v>6631</v>
      </c>
      <c r="N1736" t="s">
        <v>630</v>
      </c>
      <c r="O1736" t="s">
        <v>6571</v>
      </c>
      <c r="P1736">
        <v>800</v>
      </c>
      <c r="S1736" s="2">
        <v>45742</v>
      </c>
      <c r="U1736">
        <v>1</v>
      </c>
      <c r="V1736">
        <v>800</v>
      </c>
      <c r="W1736" t="s">
        <v>65</v>
      </c>
      <c r="X1736">
        <v>107343730001</v>
      </c>
      <c r="Y1736">
        <v>0</v>
      </c>
      <c r="Z1736">
        <v>500</v>
      </c>
      <c r="AA1736">
        <v>300</v>
      </c>
      <c r="AB1736">
        <v>0</v>
      </c>
      <c r="AC1736">
        <v>0</v>
      </c>
      <c r="AD1736">
        <v>0</v>
      </c>
      <c r="AG1736">
        <v>0</v>
      </c>
      <c r="AP1736">
        <v>10734373</v>
      </c>
      <c r="AQ1736" t="s">
        <v>487</v>
      </c>
      <c r="AR1736" t="s">
        <v>6656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BC1736" t="s">
        <v>69</v>
      </c>
      <c r="BD1736" t="s">
        <v>5743</v>
      </c>
      <c r="BE1736">
        <v>0</v>
      </c>
      <c r="BG1736" t="s">
        <v>487</v>
      </c>
      <c r="BJ1736" t="s">
        <v>5744</v>
      </c>
    </row>
    <row r="1737" spans="1:62" x14ac:dyDescent="0.35">
      <c r="A1737" t="s">
        <v>5745</v>
      </c>
      <c r="B1737">
        <v>10000</v>
      </c>
      <c r="C1737">
        <v>10000</v>
      </c>
      <c r="D1737" s="2">
        <v>45749</v>
      </c>
      <c r="E1737" t="s">
        <v>61</v>
      </c>
      <c r="F1737" s="3">
        <v>0.47629629629629627</v>
      </c>
      <c r="G1737" t="s">
        <v>5742</v>
      </c>
      <c r="I1737">
        <v>1</v>
      </c>
      <c r="J1737" t="s">
        <v>63</v>
      </c>
      <c r="K1737" s="8">
        <v>88</v>
      </c>
      <c r="L1737" s="8" t="s">
        <v>6610</v>
      </c>
      <c r="M1737" s="8" t="s">
        <v>6631</v>
      </c>
      <c r="N1737" t="s">
        <v>630</v>
      </c>
      <c r="O1737" t="s">
        <v>6571</v>
      </c>
      <c r="P1737">
        <v>20</v>
      </c>
      <c r="S1737" s="2">
        <v>45742</v>
      </c>
      <c r="U1737">
        <v>1</v>
      </c>
      <c r="V1737">
        <v>20</v>
      </c>
      <c r="W1737" t="s">
        <v>65</v>
      </c>
      <c r="X1737">
        <v>107343730001</v>
      </c>
      <c r="Y1737">
        <v>0</v>
      </c>
      <c r="Z1737">
        <v>20</v>
      </c>
      <c r="AA1737">
        <v>0</v>
      </c>
      <c r="AB1737">
        <v>0</v>
      </c>
      <c r="AC1737">
        <v>0</v>
      </c>
      <c r="AD1737">
        <v>0</v>
      </c>
      <c r="AG1737">
        <v>0</v>
      </c>
      <c r="AP1737">
        <v>10734373</v>
      </c>
      <c r="AQ1737" t="s">
        <v>487</v>
      </c>
      <c r="AR1737" t="s">
        <v>6656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BC1737" t="s">
        <v>69</v>
      </c>
      <c r="BD1737" t="s">
        <v>5746</v>
      </c>
      <c r="BE1737">
        <v>0</v>
      </c>
      <c r="BG1737" t="s">
        <v>487</v>
      </c>
      <c r="BJ1737" t="s">
        <v>5747</v>
      </c>
    </row>
    <row r="1738" spans="1:62" x14ac:dyDescent="0.35">
      <c r="A1738" t="s">
        <v>5748</v>
      </c>
      <c r="B1738">
        <v>10000</v>
      </c>
      <c r="C1738">
        <v>10000</v>
      </c>
      <c r="D1738" s="2">
        <v>45743</v>
      </c>
      <c r="E1738" t="s">
        <v>61</v>
      </c>
      <c r="F1738" t="s">
        <v>4640</v>
      </c>
      <c r="G1738" t="s">
        <v>5642</v>
      </c>
      <c r="I1738">
        <v>1</v>
      </c>
      <c r="J1738" t="s">
        <v>63</v>
      </c>
      <c r="K1738" s="8">
        <v>26</v>
      </c>
      <c r="L1738" s="8" t="s">
        <v>6595</v>
      </c>
      <c r="M1738" s="8" t="s">
        <v>6629</v>
      </c>
      <c r="N1738" t="s">
        <v>249</v>
      </c>
      <c r="O1738" t="s">
        <v>6500</v>
      </c>
      <c r="P1738" s="4">
        <v>4500</v>
      </c>
      <c r="Q1738">
        <f>(P1738/40)+45</f>
        <v>157.5</v>
      </c>
      <c r="R1738">
        <f>Q1738/60</f>
        <v>2.625</v>
      </c>
      <c r="S1738" s="2">
        <v>45742</v>
      </c>
      <c r="U1738">
        <v>4</v>
      </c>
      <c r="V1738" s="4">
        <v>18000</v>
      </c>
      <c r="W1738" t="s">
        <v>65</v>
      </c>
      <c r="X1738" t="s">
        <v>5643</v>
      </c>
      <c r="Y1738">
        <v>0</v>
      </c>
      <c r="Z1738" s="4">
        <v>18000</v>
      </c>
      <c r="AA1738">
        <v>0</v>
      </c>
      <c r="AB1738">
        <v>0</v>
      </c>
      <c r="AC1738">
        <v>0</v>
      </c>
      <c r="AD1738">
        <v>0</v>
      </c>
      <c r="AG1738">
        <v>0</v>
      </c>
      <c r="AP1738" t="s">
        <v>5644</v>
      </c>
      <c r="AQ1738" t="s">
        <v>175</v>
      </c>
      <c r="AR1738" t="s">
        <v>6642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BC1738" t="s">
        <v>69</v>
      </c>
      <c r="BD1738" t="s">
        <v>5749</v>
      </c>
      <c r="BE1738">
        <v>0</v>
      </c>
      <c r="BG1738" t="s">
        <v>175</v>
      </c>
      <c r="BJ1738" t="s">
        <v>5750</v>
      </c>
    </row>
    <row r="1739" spans="1:62" x14ac:dyDescent="0.35">
      <c r="A1739" t="s">
        <v>4711</v>
      </c>
      <c r="B1739">
        <v>10000</v>
      </c>
      <c r="C1739">
        <v>20000</v>
      </c>
      <c r="D1739" s="2">
        <v>45744</v>
      </c>
      <c r="E1739" t="s">
        <v>95</v>
      </c>
      <c r="F1739" t="s">
        <v>4712</v>
      </c>
      <c r="G1739" t="s">
        <v>4713</v>
      </c>
      <c r="H1739" t="s">
        <v>4714</v>
      </c>
      <c r="I1739">
        <v>2</v>
      </c>
      <c r="J1739" t="s">
        <v>69</v>
      </c>
      <c r="K1739" s="8">
        <v>77</v>
      </c>
      <c r="L1739" s="8" t="s">
        <v>6584</v>
      </c>
      <c r="M1739" s="8" t="s">
        <v>6627</v>
      </c>
      <c r="N1739" t="s">
        <v>127</v>
      </c>
      <c r="O1739" t="s">
        <v>6567</v>
      </c>
      <c r="P1739">
        <v>250</v>
      </c>
      <c r="Q1739">
        <f t="shared" ref="Q1739:Q1742" si="443">(P1739/60)+45</f>
        <v>49.166666666666664</v>
      </c>
      <c r="R1739">
        <f t="shared" ref="R1739:R1742" si="444">Q1739/60</f>
        <v>0.81944444444444442</v>
      </c>
      <c r="S1739" s="2">
        <v>45743</v>
      </c>
      <c r="U1739">
        <v>168</v>
      </c>
      <c r="V1739" s="4">
        <v>42000</v>
      </c>
      <c r="W1739" t="s">
        <v>65</v>
      </c>
      <c r="X1739" t="s">
        <v>4715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G1739">
        <v>0</v>
      </c>
      <c r="AK1739" t="s">
        <v>69</v>
      </c>
      <c r="AL1739">
        <v>0</v>
      </c>
      <c r="AM1739" t="s">
        <v>69</v>
      </c>
      <c r="AP1739" t="s">
        <v>4716</v>
      </c>
      <c r="AQ1739" t="s">
        <v>1253</v>
      </c>
      <c r="AR1739" t="s">
        <v>6636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BC1739" t="s">
        <v>69</v>
      </c>
      <c r="BG1739" t="s">
        <v>1253</v>
      </c>
      <c r="BJ1739" t="s">
        <v>4717</v>
      </c>
    </row>
    <row r="1740" spans="1:62" x14ac:dyDescent="0.35">
      <c r="A1740" t="s">
        <v>4718</v>
      </c>
      <c r="B1740">
        <v>10000</v>
      </c>
      <c r="C1740">
        <v>20000</v>
      </c>
      <c r="D1740" s="2">
        <v>45744</v>
      </c>
      <c r="E1740" t="s">
        <v>61</v>
      </c>
      <c r="F1740" t="s">
        <v>4719</v>
      </c>
      <c r="G1740" t="s">
        <v>4713</v>
      </c>
      <c r="H1740" t="s">
        <v>4720</v>
      </c>
      <c r="I1740">
        <v>2</v>
      </c>
      <c r="J1740" t="s">
        <v>69</v>
      </c>
      <c r="K1740" s="8">
        <v>77</v>
      </c>
      <c r="L1740" s="8" t="s">
        <v>6584</v>
      </c>
      <c r="M1740" s="8" t="s">
        <v>6627</v>
      </c>
      <c r="N1740" t="s">
        <v>127</v>
      </c>
      <c r="O1740" t="s">
        <v>6567</v>
      </c>
      <c r="P1740">
        <v>140</v>
      </c>
      <c r="Q1740">
        <f t="shared" si="443"/>
        <v>47.333333333333336</v>
      </c>
      <c r="R1740">
        <f t="shared" si="444"/>
        <v>0.78888888888888897</v>
      </c>
      <c r="S1740" s="2">
        <v>45743</v>
      </c>
      <c r="U1740">
        <v>25</v>
      </c>
      <c r="V1740" s="4">
        <v>3500</v>
      </c>
      <c r="W1740" t="s">
        <v>65</v>
      </c>
      <c r="X1740" t="s">
        <v>4721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G1740">
        <v>0</v>
      </c>
      <c r="AK1740" t="s">
        <v>69</v>
      </c>
      <c r="AL1740">
        <v>0</v>
      </c>
      <c r="AM1740" t="s">
        <v>69</v>
      </c>
      <c r="AP1740" t="s">
        <v>4722</v>
      </c>
      <c r="AQ1740" t="s">
        <v>68</v>
      </c>
      <c r="AR1740" t="s">
        <v>6636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BC1740" t="s">
        <v>69</v>
      </c>
      <c r="BG1740" t="s">
        <v>68</v>
      </c>
      <c r="BJ1740" t="s">
        <v>4723</v>
      </c>
    </row>
    <row r="1741" spans="1:62" x14ac:dyDescent="0.35">
      <c r="A1741" t="s">
        <v>4724</v>
      </c>
      <c r="B1741">
        <v>10000</v>
      </c>
      <c r="C1741">
        <v>20000</v>
      </c>
      <c r="D1741" s="2">
        <v>45744</v>
      </c>
      <c r="E1741" t="s">
        <v>95</v>
      </c>
      <c r="F1741" t="s">
        <v>4712</v>
      </c>
      <c r="G1741" t="s">
        <v>4713</v>
      </c>
      <c r="H1741" t="s">
        <v>4714</v>
      </c>
      <c r="I1741">
        <v>2</v>
      </c>
      <c r="J1741" t="s">
        <v>69</v>
      </c>
      <c r="K1741" s="8">
        <v>77</v>
      </c>
      <c r="L1741" s="8" t="s">
        <v>6584</v>
      </c>
      <c r="M1741" s="8" t="s">
        <v>6627</v>
      </c>
      <c r="N1741" t="s">
        <v>127</v>
      </c>
      <c r="O1741" t="s">
        <v>6567</v>
      </c>
      <c r="P1741" s="4">
        <v>3167</v>
      </c>
      <c r="Q1741">
        <f t="shared" si="443"/>
        <v>97.783333333333331</v>
      </c>
      <c r="R1741">
        <f t="shared" si="444"/>
        <v>1.6297222222222223</v>
      </c>
      <c r="S1741" s="2">
        <v>45743</v>
      </c>
      <c r="U1741">
        <v>168</v>
      </c>
      <c r="V1741" s="4">
        <v>532056</v>
      </c>
      <c r="W1741" t="s">
        <v>65</v>
      </c>
      <c r="X1741" t="s">
        <v>933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G1741">
        <v>0</v>
      </c>
      <c r="AK1741" t="s">
        <v>69</v>
      </c>
      <c r="AL1741">
        <v>0</v>
      </c>
      <c r="AM1741" t="s">
        <v>69</v>
      </c>
      <c r="AP1741" t="s">
        <v>934</v>
      </c>
      <c r="AQ1741" t="s">
        <v>68</v>
      </c>
      <c r="AR1741" t="s">
        <v>6636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BC1741" t="s">
        <v>69</v>
      </c>
      <c r="BG1741" t="s">
        <v>68</v>
      </c>
      <c r="BJ1741" t="s">
        <v>4725</v>
      </c>
    </row>
    <row r="1742" spans="1:62" x14ac:dyDescent="0.35">
      <c r="A1742" t="s">
        <v>4726</v>
      </c>
      <c r="B1742">
        <v>10000</v>
      </c>
      <c r="C1742">
        <v>20000</v>
      </c>
      <c r="D1742" s="2">
        <v>45744</v>
      </c>
      <c r="E1742" t="s">
        <v>61</v>
      </c>
      <c r="F1742" t="s">
        <v>4727</v>
      </c>
      <c r="G1742" t="s">
        <v>4713</v>
      </c>
      <c r="H1742" t="s">
        <v>4720</v>
      </c>
      <c r="I1742">
        <v>2</v>
      </c>
      <c r="J1742" t="s">
        <v>69</v>
      </c>
      <c r="K1742" s="8">
        <v>77</v>
      </c>
      <c r="L1742" s="8" t="s">
        <v>6584</v>
      </c>
      <c r="M1742" s="8" t="s">
        <v>6627</v>
      </c>
      <c r="N1742" t="s">
        <v>127</v>
      </c>
      <c r="O1742" t="s">
        <v>6567</v>
      </c>
      <c r="P1742">
        <v>500</v>
      </c>
      <c r="Q1742">
        <f t="shared" si="443"/>
        <v>53.333333333333336</v>
      </c>
      <c r="R1742">
        <f t="shared" si="444"/>
        <v>0.88888888888888895</v>
      </c>
      <c r="S1742" s="2">
        <v>45743</v>
      </c>
      <c r="U1742">
        <v>25</v>
      </c>
      <c r="V1742" s="4">
        <v>12500</v>
      </c>
      <c r="W1742" t="s">
        <v>65</v>
      </c>
      <c r="X1742" t="s">
        <v>4728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G1742">
        <v>0</v>
      </c>
      <c r="AK1742" t="s">
        <v>69</v>
      </c>
      <c r="AL1742">
        <v>0</v>
      </c>
      <c r="AM1742" t="s">
        <v>69</v>
      </c>
      <c r="AP1742" t="s">
        <v>4729</v>
      </c>
      <c r="AQ1742" t="s">
        <v>68</v>
      </c>
      <c r="AR1742" t="s">
        <v>6636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BC1742" t="s">
        <v>69</v>
      </c>
      <c r="BG1742" t="s">
        <v>68</v>
      </c>
      <c r="BJ1742" t="s">
        <v>4730</v>
      </c>
    </row>
    <row r="1743" spans="1:62" x14ac:dyDescent="0.35">
      <c r="A1743" t="s">
        <v>5752</v>
      </c>
      <c r="B1743">
        <v>10000</v>
      </c>
      <c r="C1743">
        <v>30000</v>
      </c>
      <c r="D1743" s="2">
        <v>45744</v>
      </c>
      <c r="E1743" t="s">
        <v>61</v>
      </c>
      <c r="F1743" t="s">
        <v>5753</v>
      </c>
      <c r="G1743" t="s">
        <v>2069</v>
      </c>
      <c r="H1743" t="s">
        <v>5754</v>
      </c>
      <c r="I1743">
        <v>1</v>
      </c>
      <c r="J1743" t="s">
        <v>69</v>
      </c>
      <c r="K1743" s="8">
        <v>94</v>
      </c>
      <c r="L1743" s="8" t="s">
        <v>6599</v>
      </c>
      <c r="M1743" s="8" t="s">
        <v>6629</v>
      </c>
      <c r="N1743" t="s">
        <v>181</v>
      </c>
      <c r="O1743" t="s">
        <v>6544</v>
      </c>
      <c r="P1743" s="4">
        <v>8000</v>
      </c>
      <c r="S1743" s="2">
        <v>45743</v>
      </c>
      <c r="U1743">
        <v>6</v>
      </c>
      <c r="V1743" s="4">
        <v>48000</v>
      </c>
      <c r="W1743" t="s">
        <v>65</v>
      </c>
      <c r="X1743" t="s">
        <v>1405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G1743">
        <v>0</v>
      </c>
      <c r="AK1743" t="s">
        <v>69</v>
      </c>
      <c r="AL1743">
        <v>0</v>
      </c>
      <c r="AM1743" t="s">
        <v>69</v>
      </c>
      <c r="AP1743" t="s">
        <v>1406</v>
      </c>
      <c r="AQ1743" t="s">
        <v>364</v>
      </c>
      <c r="AR1743" t="s">
        <v>6653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BC1743" t="s">
        <v>69</v>
      </c>
      <c r="BG1743" t="s">
        <v>364</v>
      </c>
      <c r="BJ1743" t="s">
        <v>5755</v>
      </c>
    </row>
    <row r="1744" spans="1:62" x14ac:dyDescent="0.35">
      <c r="A1744" t="s">
        <v>5756</v>
      </c>
      <c r="B1744">
        <v>10000</v>
      </c>
      <c r="C1744">
        <v>10000</v>
      </c>
      <c r="D1744" s="2">
        <v>45744</v>
      </c>
      <c r="E1744" t="s">
        <v>95</v>
      </c>
      <c r="F1744" t="s">
        <v>5757</v>
      </c>
      <c r="G1744" t="s">
        <v>5363</v>
      </c>
      <c r="H1744" t="s">
        <v>5758</v>
      </c>
      <c r="I1744">
        <v>1</v>
      </c>
      <c r="J1744" t="s">
        <v>69</v>
      </c>
      <c r="K1744" s="8">
        <v>32</v>
      </c>
      <c r="L1744" s="8" t="s">
        <v>6607</v>
      </c>
      <c r="M1744" s="8" t="s">
        <v>6629</v>
      </c>
      <c r="N1744" t="s">
        <v>553</v>
      </c>
      <c r="O1744" t="s">
        <v>6552</v>
      </c>
      <c r="P1744" s="4">
        <v>5860</v>
      </c>
      <c r="S1744" s="2">
        <v>45743</v>
      </c>
      <c r="U1744">
        <v>1</v>
      </c>
      <c r="V1744" s="4">
        <v>5860</v>
      </c>
      <c r="W1744" t="s">
        <v>65</v>
      </c>
      <c r="X1744" t="s">
        <v>554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G1744">
        <v>0</v>
      </c>
      <c r="AK1744" t="s">
        <v>69</v>
      </c>
      <c r="AL1744">
        <v>0</v>
      </c>
      <c r="AM1744" t="s">
        <v>69</v>
      </c>
      <c r="AP1744" t="s">
        <v>555</v>
      </c>
      <c r="AQ1744" t="s">
        <v>116</v>
      </c>
      <c r="AR1744" t="s">
        <v>6639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BC1744" t="s">
        <v>69</v>
      </c>
      <c r="BG1744" t="s">
        <v>116</v>
      </c>
      <c r="BJ1744" t="s">
        <v>4941</v>
      </c>
    </row>
    <row r="1745" spans="1:62" x14ac:dyDescent="0.35">
      <c r="A1745" t="s">
        <v>5759</v>
      </c>
      <c r="B1745">
        <v>10000</v>
      </c>
      <c r="C1745">
        <v>10000</v>
      </c>
      <c r="D1745" s="2">
        <v>45743</v>
      </c>
      <c r="E1745" t="s">
        <v>61</v>
      </c>
      <c r="F1745" t="s">
        <v>5760</v>
      </c>
      <c r="G1745" t="s">
        <v>3487</v>
      </c>
      <c r="H1745" t="s">
        <v>5761</v>
      </c>
      <c r="I1745">
        <v>1</v>
      </c>
      <c r="J1745" t="s">
        <v>69</v>
      </c>
      <c r="K1745" s="8">
        <v>31</v>
      </c>
      <c r="L1745" s="8" t="s">
        <v>6595</v>
      </c>
      <c r="M1745" s="8" t="s">
        <v>6629</v>
      </c>
      <c r="N1745" t="s">
        <v>361</v>
      </c>
      <c r="O1745" t="s">
        <v>6485</v>
      </c>
      <c r="P1745" s="4">
        <v>1300</v>
      </c>
      <c r="Q1745">
        <f t="shared" ref="Q1745:Q1747" si="445">(P1745/40)+45</f>
        <v>77.5</v>
      </c>
      <c r="R1745">
        <f t="shared" ref="R1745:R1747" si="446">Q1745/60</f>
        <v>1.2916666666666667</v>
      </c>
      <c r="S1745" s="2">
        <v>45743</v>
      </c>
      <c r="U1745">
        <v>1</v>
      </c>
      <c r="V1745" s="4">
        <v>1300</v>
      </c>
      <c r="W1745" t="s">
        <v>65</v>
      </c>
      <c r="X1745" t="s">
        <v>5762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G1745">
        <v>0</v>
      </c>
      <c r="AK1745" t="s">
        <v>69</v>
      </c>
      <c r="AL1745">
        <v>0</v>
      </c>
      <c r="AM1745" t="s">
        <v>69</v>
      </c>
      <c r="AP1745" t="s">
        <v>5763</v>
      </c>
      <c r="AQ1745" t="s">
        <v>1314</v>
      </c>
      <c r="AR1745" t="s">
        <v>6677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BC1745" t="s">
        <v>69</v>
      </c>
      <c r="BG1745" t="s">
        <v>1314</v>
      </c>
      <c r="BJ1745" t="s">
        <v>5181</v>
      </c>
    </row>
    <row r="1746" spans="1:62" x14ac:dyDescent="0.35">
      <c r="A1746" t="s">
        <v>5764</v>
      </c>
      <c r="B1746">
        <v>10000</v>
      </c>
      <c r="C1746">
        <v>10000</v>
      </c>
      <c r="D1746" s="2">
        <v>45744</v>
      </c>
      <c r="E1746" t="s">
        <v>61</v>
      </c>
      <c r="F1746" t="s">
        <v>5765</v>
      </c>
      <c r="G1746" t="s">
        <v>5544</v>
      </c>
      <c r="H1746" t="s">
        <v>5545</v>
      </c>
      <c r="I1746">
        <v>1</v>
      </c>
      <c r="J1746" t="s">
        <v>69</v>
      </c>
      <c r="K1746" s="8">
        <v>65</v>
      </c>
      <c r="L1746" s="8" t="s">
        <v>6596</v>
      </c>
      <c r="M1746" s="8" t="s">
        <v>6630</v>
      </c>
      <c r="N1746" t="s">
        <v>268</v>
      </c>
      <c r="O1746" t="s">
        <v>6543</v>
      </c>
      <c r="P1746" s="4">
        <v>22500</v>
      </c>
      <c r="Q1746">
        <f t="shared" si="445"/>
        <v>607.5</v>
      </c>
      <c r="R1746">
        <f t="shared" si="446"/>
        <v>10.125</v>
      </c>
      <c r="S1746" s="2">
        <v>45743</v>
      </c>
      <c r="U1746">
        <v>4</v>
      </c>
      <c r="V1746" s="4">
        <v>90000</v>
      </c>
      <c r="W1746" t="s">
        <v>65</v>
      </c>
      <c r="X1746" t="s">
        <v>3865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G1746">
        <v>0</v>
      </c>
      <c r="AK1746" t="s">
        <v>69</v>
      </c>
      <c r="AL1746">
        <v>0</v>
      </c>
      <c r="AM1746" t="s">
        <v>69</v>
      </c>
      <c r="AP1746" t="s">
        <v>3866</v>
      </c>
      <c r="AQ1746" t="s">
        <v>829</v>
      </c>
      <c r="AR1746" t="s">
        <v>6653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BC1746" t="s">
        <v>69</v>
      </c>
      <c r="BG1746" t="s">
        <v>829</v>
      </c>
      <c r="BJ1746" t="s">
        <v>5766</v>
      </c>
    </row>
    <row r="1747" spans="1:62" x14ac:dyDescent="0.35">
      <c r="A1747" t="s">
        <v>5767</v>
      </c>
      <c r="B1747">
        <v>10000</v>
      </c>
      <c r="C1747">
        <v>10000</v>
      </c>
      <c r="D1747" s="2">
        <v>45751</v>
      </c>
      <c r="E1747" t="s">
        <v>61</v>
      </c>
      <c r="F1747" t="s">
        <v>5768</v>
      </c>
      <c r="G1747" t="s">
        <v>3487</v>
      </c>
      <c r="H1747" t="s">
        <v>5761</v>
      </c>
      <c r="I1747">
        <v>1</v>
      </c>
      <c r="J1747" t="s">
        <v>69</v>
      </c>
      <c r="K1747" s="8">
        <v>31</v>
      </c>
      <c r="L1747" s="8" t="s">
        <v>6595</v>
      </c>
      <c r="M1747" s="8" t="s">
        <v>6629</v>
      </c>
      <c r="N1747" t="s">
        <v>361</v>
      </c>
      <c r="O1747" t="s">
        <v>6485</v>
      </c>
      <c r="P1747" s="4">
        <v>1000</v>
      </c>
      <c r="Q1747">
        <f t="shared" si="445"/>
        <v>70</v>
      </c>
      <c r="R1747">
        <f t="shared" si="446"/>
        <v>1.1666666666666667</v>
      </c>
      <c r="S1747" s="2">
        <v>45743</v>
      </c>
      <c r="U1747">
        <v>1</v>
      </c>
      <c r="V1747" s="4">
        <v>1000</v>
      </c>
      <c r="W1747" t="s">
        <v>65</v>
      </c>
      <c r="X1747" t="s">
        <v>5762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G1747">
        <v>0</v>
      </c>
      <c r="AK1747" t="s">
        <v>69</v>
      </c>
      <c r="AL1747">
        <v>0</v>
      </c>
      <c r="AM1747" t="s">
        <v>69</v>
      </c>
      <c r="AP1747" t="s">
        <v>5763</v>
      </c>
      <c r="AQ1747" t="s">
        <v>1314</v>
      </c>
      <c r="AR1747" t="s">
        <v>6677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BC1747" t="s">
        <v>69</v>
      </c>
      <c r="BG1747" t="s">
        <v>1314</v>
      </c>
      <c r="BJ1747" t="s">
        <v>5238</v>
      </c>
    </row>
    <row r="1748" spans="1:62" x14ac:dyDescent="0.35">
      <c r="A1748" t="s">
        <v>5769</v>
      </c>
      <c r="B1748">
        <v>10000</v>
      </c>
      <c r="C1748">
        <v>10000</v>
      </c>
      <c r="D1748" s="2">
        <v>45744</v>
      </c>
      <c r="E1748" t="s">
        <v>95</v>
      </c>
      <c r="F1748" t="s">
        <v>5757</v>
      </c>
      <c r="G1748" t="s">
        <v>5636</v>
      </c>
      <c r="H1748" t="s">
        <v>5758</v>
      </c>
      <c r="I1748">
        <v>1</v>
      </c>
      <c r="J1748" t="s">
        <v>69</v>
      </c>
      <c r="K1748" s="8">
        <v>32</v>
      </c>
      <c r="L1748" s="8" t="s">
        <v>6607</v>
      </c>
      <c r="M1748" s="8" t="s">
        <v>6629</v>
      </c>
      <c r="N1748" t="s">
        <v>553</v>
      </c>
      <c r="O1748" t="s">
        <v>6552</v>
      </c>
      <c r="P1748" s="4">
        <v>5860</v>
      </c>
      <c r="S1748" s="2">
        <v>45743</v>
      </c>
      <c r="U1748">
        <v>1</v>
      </c>
      <c r="V1748" s="4">
        <v>5860</v>
      </c>
      <c r="W1748" t="s">
        <v>65</v>
      </c>
      <c r="X1748" t="s">
        <v>554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G1748">
        <v>0</v>
      </c>
      <c r="AK1748" t="s">
        <v>69</v>
      </c>
      <c r="AL1748">
        <v>0</v>
      </c>
      <c r="AM1748" t="s">
        <v>69</v>
      </c>
      <c r="AP1748" t="s">
        <v>555</v>
      </c>
      <c r="AQ1748" t="s">
        <v>116</v>
      </c>
      <c r="AR1748" t="s">
        <v>6639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BC1748" t="s">
        <v>69</v>
      </c>
      <c r="BG1748" t="s">
        <v>116</v>
      </c>
      <c r="BJ1748" t="s">
        <v>5770</v>
      </c>
    </row>
    <row r="1749" spans="1:62" x14ac:dyDescent="0.35">
      <c r="A1749" t="s">
        <v>5771</v>
      </c>
      <c r="B1749">
        <v>10000</v>
      </c>
      <c r="C1749">
        <v>10000</v>
      </c>
      <c r="D1749" s="2">
        <v>45744</v>
      </c>
      <c r="E1749" t="s">
        <v>95</v>
      </c>
      <c r="F1749" t="s">
        <v>5757</v>
      </c>
      <c r="G1749" t="s">
        <v>5636</v>
      </c>
      <c r="H1749" t="s">
        <v>5758</v>
      </c>
      <c r="I1749">
        <v>1</v>
      </c>
      <c r="J1749" t="s">
        <v>69</v>
      </c>
      <c r="K1749" s="8">
        <v>32</v>
      </c>
      <c r="L1749" s="8" t="s">
        <v>6607</v>
      </c>
      <c r="M1749" s="8" t="s">
        <v>6629</v>
      </c>
      <c r="N1749" t="s">
        <v>553</v>
      </c>
      <c r="O1749" t="s">
        <v>6552</v>
      </c>
      <c r="P1749" s="4">
        <v>5860</v>
      </c>
      <c r="S1749" s="2">
        <v>45743</v>
      </c>
      <c r="U1749">
        <v>1</v>
      </c>
      <c r="V1749" s="4">
        <v>5860</v>
      </c>
      <c r="W1749" t="s">
        <v>65</v>
      </c>
      <c r="X1749" t="s">
        <v>554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G1749">
        <v>0</v>
      </c>
      <c r="AK1749" t="s">
        <v>69</v>
      </c>
      <c r="AL1749">
        <v>0</v>
      </c>
      <c r="AM1749" t="s">
        <v>69</v>
      </c>
      <c r="AP1749" t="s">
        <v>555</v>
      </c>
      <c r="AQ1749" t="s">
        <v>116</v>
      </c>
      <c r="AR1749" t="s">
        <v>6639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BC1749" t="s">
        <v>69</v>
      </c>
      <c r="BG1749" t="s">
        <v>116</v>
      </c>
      <c r="BJ1749" t="s">
        <v>5772</v>
      </c>
    </row>
    <row r="1750" spans="1:62" x14ac:dyDescent="0.35">
      <c r="A1750" t="s">
        <v>5773</v>
      </c>
      <c r="B1750">
        <v>10000</v>
      </c>
      <c r="C1750">
        <v>10000</v>
      </c>
      <c r="D1750" s="2">
        <v>45750</v>
      </c>
      <c r="E1750" t="s">
        <v>61</v>
      </c>
      <c r="F1750" t="s">
        <v>5774</v>
      </c>
      <c r="G1750">
        <v>10656256085</v>
      </c>
      <c r="H1750" t="s">
        <v>5775</v>
      </c>
      <c r="I1750">
        <v>1</v>
      </c>
      <c r="J1750" t="s">
        <v>69</v>
      </c>
      <c r="K1750" s="8">
        <v>79</v>
      </c>
      <c r="L1750" t="s">
        <v>6608</v>
      </c>
      <c r="M1750" s="8" t="s">
        <v>6631</v>
      </c>
      <c r="N1750" t="s">
        <v>296</v>
      </c>
      <c r="O1750" t="s">
        <v>6550</v>
      </c>
      <c r="P1750">
        <v>110</v>
      </c>
      <c r="S1750" s="2">
        <v>45743</v>
      </c>
      <c r="U1750">
        <v>660</v>
      </c>
      <c r="V1750" s="4">
        <v>72600</v>
      </c>
      <c r="W1750" t="s">
        <v>65</v>
      </c>
      <c r="X1750" t="s">
        <v>5776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G1750">
        <v>0</v>
      </c>
      <c r="AK1750" t="s">
        <v>69</v>
      </c>
      <c r="AL1750">
        <v>0</v>
      </c>
      <c r="AM1750" t="s">
        <v>69</v>
      </c>
      <c r="AP1750" t="s">
        <v>5777</v>
      </c>
      <c r="AQ1750" t="s">
        <v>107</v>
      </c>
      <c r="AR1750" t="s">
        <v>6638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BC1750" t="s">
        <v>69</v>
      </c>
      <c r="BG1750" t="s">
        <v>107</v>
      </c>
      <c r="BJ1750" t="s">
        <v>5778</v>
      </c>
    </row>
    <row r="1751" spans="1:62" x14ac:dyDescent="0.35">
      <c r="A1751" t="s">
        <v>5779</v>
      </c>
      <c r="B1751">
        <v>10000</v>
      </c>
      <c r="C1751">
        <v>10000</v>
      </c>
      <c r="D1751" s="2">
        <v>45751</v>
      </c>
      <c r="E1751" t="s">
        <v>61</v>
      </c>
      <c r="F1751" s="3">
        <v>0.48146990740740742</v>
      </c>
      <c r="G1751">
        <v>10656256085</v>
      </c>
      <c r="H1751" t="s">
        <v>5780</v>
      </c>
      <c r="I1751">
        <v>1</v>
      </c>
      <c r="J1751" t="s">
        <v>69</v>
      </c>
      <c r="K1751" s="8">
        <v>79</v>
      </c>
      <c r="L1751" t="s">
        <v>6608</v>
      </c>
      <c r="M1751" s="8" t="s">
        <v>6631</v>
      </c>
      <c r="N1751" t="s">
        <v>296</v>
      </c>
      <c r="O1751" t="s">
        <v>6550</v>
      </c>
      <c r="P1751">
        <v>305</v>
      </c>
      <c r="S1751" s="2">
        <v>45743</v>
      </c>
      <c r="U1751">
        <v>264</v>
      </c>
      <c r="V1751" s="4">
        <v>80520</v>
      </c>
      <c r="W1751" t="s">
        <v>65</v>
      </c>
      <c r="X1751" t="s">
        <v>5781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G1751">
        <v>0</v>
      </c>
      <c r="AK1751" t="s">
        <v>69</v>
      </c>
      <c r="AL1751">
        <v>0</v>
      </c>
      <c r="AM1751" t="s">
        <v>69</v>
      </c>
      <c r="AP1751" t="s">
        <v>5782</v>
      </c>
      <c r="AQ1751" t="s">
        <v>107</v>
      </c>
      <c r="AR1751" t="s">
        <v>6638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BC1751" t="s">
        <v>69</v>
      </c>
      <c r="BG1751" t="s">
        <v>107</v>
      </c>
      <c r="BJ1751" t="s">
        <v>5783</v>
      </c>
    </row>
    <row r="1752" spans="1:62" x14ac:dyDescent="0.35">
      <c r="A1752" t="s">
        <v>5784</v>
      </c>
      <c r="B1752">
        <v>10000</v>
      </c>
      <c r="C1752">
        <v>10000</v>
      </c>
      <c r="D1752" s="2">
        <v>45757</v>
      </c>
      <c r="E1752" t="s">
        <v>61</v>
      </c>
      <c r="F1752" t="s">
        <v>3444</v>
      </c>
      <c r="G1752">
        <v>10656256087</v>
      </c>
      <c r="H1752" t="s">
        <v>4146</v>
      </c>
      <c r="I1752">
        <v>1</v>
      </c>
      <c r="J1752" t="s">
        <v>69</v>
      </c>
      <c r="K1752" s="8">
        <v>79</v>
      </c>
      <c r="L1752" t="s">
        <v>6608</v>
      </c>
      <c r="M1752" s="8" t="s">
        <v>6631</v>
      </c>
      <c r="N1752" t="s">
        <v>296</v>
      </c>
      <c r="O1752" t="s">
        <v>6550</v>
      </c>
      <c r="P1752">
        <v>570</v>
      </c>
      <c r="S1752" s="2">
        <v>45743</v>
      </c>
      <c r="U1752">
        <v>176</v>
      </c>
      <c r="V1752" s="4">
        <v>100320</v>
      </c>
      <c r="W1752" t="s">
        <v>65</v>
      </c>
      <c r="X1752" t="s">
        <v>964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G1752">
        <v>0</v>
      </c>
      <c r="AK1752" t="s">
        <v>69</v>
      </c>
      <c r="AL1752">
        <v>0</v>
      </c>
      <c r="AM1752" t="s">
        <v>69</v>
      </c>
      <c r="AP1752" t="s">
        <v>965</v>
      </c>
      <c r="AQ1752" t="s">
        <v>107</v>
      </c>
      <c r="AR1752" t="s">
        <v>6638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BC1752" t="s">
        <v>69</v>
      </c>
      <c r="BG1752" t="s">
        <v>107</v>
      </c>
      <c r="BJ1752" t="s">
        <v>5785</v>
      </c>
    </row>
    <row r="1753" spans="1:62" x14ac:dyDescent="0.35">
      <c r="A1753" t="s">
        <v>5786</v>
      </c>
      <c r="B1753">
        <v>10000</v>
      </c>
      <c r="C1753">
        <v>10000</v>
      </c>
      <c r="D1753" s="2">
        <v>45744</v>
      </c>
      <c r="E1753" t="s">
        <v>95</v>
      </c>
      <c r="F1753" t="s">
        <v>1380</v>
      </c>
      <c r="G1753" t="s">
        <v>304</v>
      </c>
      <c r="I1753">
        <v>1</v>
      </c>
      <c r="J1753" t="s">
        <v>63</v>
      </c>
      <c r="K1753" s="8">
        <v>73</v>
      </c>
      <c r="L1753" s="8" t="s">
        <v>6586</v>
      </c>
      <c r="M1753" s="8" t="s">
        <v>6627</v>
      </c>
      <c r="N1753" t="s">
        <v>90</v>
      </c>
      <c r="O1753" t="s">
        <v>6564</v>
      </c>
      <c r="P1753" s="4">
        <v>13500</v>
      </c>
      <c r="Q1753">
        <f>(P1753/60)+45</f>
        <v>270</v>
      </c>
      <c r="R1753">
        <f>Q1753/60</f>
        <v>4.5</v>
      </c>
      <c r="S1753" s="2">
        <v>45743</v>
      </c>
      <c r="U1753">
        <v>8</v>
      </c>
      <c r="V1753" s="4">
        <v>108000</v>
      </c>
      <c r="W1753" t="s">
        <v>65</v>
      </c>
      <c r="X1753" t="s">
        <v>305</v>
      </c>
      <c r="Y1753">
        <v>0</v>
      </c>
      <c r="Z1753" s="4">
        <v>108000</v>
      </c>
      <c r="AA1753">
        <v>0</v>
      </c>
      <c r="AB1753">
        <v>0</v>
      </c>
      <c r="AC1753">
        <v>0</v>
      </c>
      <c r="AD1753">
        <v>0</v>
      </c>
      <c r="AG1753">
        <v>0</v>
      </c>
      <c r="AP1753" t="s">
        <v>306</v>
      </c>
      <c r="AQ1753" t="s">
        <v>271</v>
      </c>
      <c r="AR1753" t="s">
        <v>6648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BC1753" t="s">
        <v>69</v>
      </c>
      <c r="BD1753" t="s">
        <v>5787</v>
      </c>
      <c r="BE1753">
        <v>0</v>
      </c>
      <c r="BG1753" t="s">
        <v>271</v>
      </c>
      <c r="BJ1753" t="s">
        <v>5788</v>
      </c>
    </row>
    <row r="1754" spans="1:62" x14ac:dyDescent="0.35">
      <c r="A1754" t="s">
        <v>5295</v>
      </c>
      <c r="B1754">
        <v>10000</v>
      </c>
      <c r="C1754">
        <v>20000</v>
      </c>
      <c r="D1754" s="2">
        <v>45743</v>
      </c>
      <c r="E1754" t="s">
        <v>61</v>
      </c>
      <c r="F1754" s="3">
        <v>0.46820601851851851</v>
      </c>
      <c r="G1754" t="s">
        <v>5296</v>
      </c>
      <c r="I1754">
        <v>2</v>
      </c>
      <c r="J1754" t="s">
        <v>63</v>
      </c>
      <c r="K1754" s="8">
        <v>60</v>
      </c>
      <c r="L1754" s="8" t="s">
        <v>6590</v>
      </c>
      <c r="M1754" s="8" t="s">
        <v>6630</v>
      </c>
      <c r="N1754" t="s">
        <v>277</v>
      </c>
      <c r="O1754" t="s">
        <v>6554</v>
      </c>
      <c r="P1754" s="4">
        <v>1750</v>
      </c>
      <c r="Q1754">
        <f>(P1754/50)+45</f>
        <v>80</v>
      </c>
      <c r="R1754">
        <f>Q1754/60</f>
        <v>1.3333333333333333</v>
      </c>
      <c r="S1754" s="2">
        <v>45743</v>
      </c>
      <c r="U1754">
        <v>8</v>
      </c>
      <c r="V1754" s="4">
        <v>14000</v>
      </c>
      <c r="W1754" t="s">
        <v>65</v>
      </c>
      <c r="X1754" t="s">
        <v>5297</v>
      </c>
      <c r="Y1754">
        <v>0</v>
      </c>
      <c r="Z1754" s="4">
        <v>5000</v>
      </c>
      <c r="AA1754" s="4">
        <v>9000</v>
      </c>
      <c r="AB1754">
        <v>0</v>
      </c>
      <c r="AC1754">
        <v>0</v>
      </c>
      <c r="AD1754">
        <v>0</v>
      </c>
      <c r="AG1754">
        <v>0</v>
      </c>
      <c r="AP1754" t="s">
        <v>5298</v>
      </c>
      <c r="AQ1754" t="s">
        <v>206</v>
      </c>
      <c r="AR1754" t="s">
        <v>6645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BC1754" t="s">
        <v>69</v>
      </c>
      <c r="BD1754" t="s">
        <v>5299</v>
      </c>
      <c r="BE1754">
        <v>0</v>
      </c>
      <c r="BG1754" t="s">
        <v>206</v>
      </c>
      <c r="BJ1754" t="s">
        <v>5300</v>
      </c>
    </row>
    <row r="1755" spans="1:62" x14ac:dyDescent="0.35">
      <c r="A1755" t="s">
        <v>5789</v>
      </c>
      <c r="B1755">
        <v>10000</v>
      </c>
      <c r="C1755">
        <v>10000</v>
      </c>
      <c r="D1755" s="2">
        <v>45749</v>
      </c>
      <c r="E1755" t="s">
        <v>61</v>
      </c>
      <c r="F1755" t="s">
        <v>5790</v>
      </c>
      <c r="G1755" t="s">
        <v>5791</v>
      </c>
      <c r="I1755">
        <v>1</v>
      </c>
      <c r="J1755" t="s">
        <v>63</v>
      </c>
      <c r="K1755" s="8">
        <v>86</v>
      </c>
      <c r="L1755" s="8" t="s">
        <v>6584</v>
      </c>
      <c r="M1755" s="8" t="s">
        <v>6627</v>
      </c>
      <c r="N1755" t="s">
        <v>64</v>
      </c>
      <c r="O1755" t="s">
        <v>6559</v>
      </c>
      <c r="P1755" s="4">
        <v>49750</v>
      </c>
      <c r="Q1755">
        <f t="shared" ref="Q1755:Q1756" si="447">(P1755/60)+45</f>
        <v>874.16666666666663</v>
      </c>
      <c r="R1755">
        <f t="shared" ref="R1755:R1756" si="448">Q1755/60</f>
        <v>14.569444444444445</v>
      </c>
      <c r="S1755" s="2">
        <v>45743</v>
      </c>
      <c r="U1755">
        <v>4</v>
      </c>
      <c r="V1755" s="4">
        <v>199000</v>
      </c>
      <c r="W1755" t="s">
        <v>65</v>
      </c>
      <c r="X1755" t="s">
        <v>1117</v>
      </c>
      <c r="Y1755">
        <v>0</v>
      </c>
      <c r="Z1755" s="4">
        <v>198606</v>
      </c>
      <c r="AA1755">
        <v>394</v>
      </c>
      <c r="AB1755">
        <v>0</v>
      </c>
      <c r="AC1755">
        <v>0</v>
      </c>
      <c r="AD1755">
        <v>0</v>
      </c>
      <c r="AG1755">
        <v>0</v>
      </c>
      <c r="AP1755" t="s">
        <v>1118</v>
      </c>
      <c r="AQ1755" t="s">
        <v>271</v>
      </c>
      <c r="AR1755" t="s">
        <v>6648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BC1755" t="s">
        <v>69</v>
      </c>
      <c r="BD1755" t="s">
        <v>5792</v>
      </c>
      <c r="BE1755">
        <v>0</v>
      </c>
      <c r="BG1755" t="s">
        <v>271</v>
      </c>
      <c r="BJ1755" t="s">
        <v>5793</v>
      </c>
    </row>
    <row r="1756" spans="1:62" x14ac:dyDescent="0.35">
      <c r="A1756" t="s">
        <v>5794</v>
      </c>
      <c r="B1756">
        <v>10000</v>
      </c>
      <c r="C1756">
        <v>10000</v>
      </c>
      <c r="D1756" s="2">
        <v>45744</v>
      </c>
      <c r="E1756" t="s">
        <v>95</v>
      </c>
      <c r="F1756" t="s">
        <v>1380</v>
      </c>
      <c r="G1756" t="s">
        <v>304</v>
      </c>
      <c r="I1756">
        <v>1</v>
      </c>
      <c r="J1756" t="s">
        <v>63</v>
      </c>
      <c r="K1756" s="8">
        <v>73</v>
      </c>
      <c r="L1756" s="8" t="s">
        <v>6586</v>
      </c>
      <c r="M1756" s="8" t="s">
        <v>6627</v>
      </c>
      <c r="N1756" t="s">
        <v>90</v>
      </c>
      <c r="O1756" t="s">
        <v>6564</v>
      </c>
      <c r="P1756" s="4">
        <v>22000</v>
      </c>
      <c r="Q1756">
        <f t="shared" si="447"/>
        <v>411.66666666666669</v>
      </c>
      <c r="R1756">
        <f t="shared" si="448"/>
        <v>6.8611111111111116</v>
      </c>
      <c r="S1756" s="2">
        <v>45743</v>
      </c>
      <c r="U1756">
        <v>8</v>
      </c>
      <c r="V1756" s="4">
        <v>176000</v>
      </c>
      <c r="W1756" t="s">
        <v>65</v>
      </c>
      <c r="X1756" t="s">
        <v>305</v>
      </c>
      <c r="Y1756">
        <v>0</v>
      </c>
      <c r="Z1756" s="4">
        <v>176000</v>
      </c>
      <c r="AA1756">
        <v>0</v>
      </c>
      <c r="AB1756">
        <v>0</v>
      </c>
      <c r="AC1756">
        <v>0</v>
      </c>
      <c r="AD1756">
        <v>0</v>
      </c>
      <c r="AG1756">
        <v>0</v>
      </c>
      <c r="AP1756" t="s">
        <v>306</v>
      </c>
      <c r="AQ1756" t="s">
        <v>271</v>
      </c>
      <c r="AR1756" t="s">
        <v>6648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BC1756" t="s">
        <v>69</v>
      </c>
      <c r="BD1756" t="s">
        <v>5795</v>
      </c>
      <c r="BE1756">
        <v>0</v>
      </c>
      <c r="BG1756" t="s">
        <v>271</v>
      </c>
      <c r="BJ1756" t="s">
        <v>5796</v>
      </c>
    </row>
    <row r="1757" spans="1:62" x14ac:dyDescent="0.35">
      <c r="A1757" t="s">
        <v>5794</v>
      </c>
      <c r="B1757">
        <v>10000</v>
      </c>
      <c r="C1757">
        <v>20000</v>
      </c>
      <c r="D1757" s="2">
        <v>45744</v>
      </c>
      <c r="E1757" t="s">
        <v>95</v>
      </c>
      <c r="F1757" t="s">
        <v>1380</v>
      </c>
      <c r="G1757" t="s">
        <v>304</v>
      </c>
      <c r="I1757">
        <v>1</v>
      </c>
      <c r="J1757" t="s">
        <v>63</v>
      </c>
      <c r="K1757" s="8">
        <v>73</v>
      </c>
      <c r="L1757" t="s">
        <v>6586</v>
      </c>
      <c r="M1757" s="8" t="s">
        <v>6627</v>
      </c>
      <c r="N1757" t="s">
        <v>98</v>
      </c>
      <c r="O1757" t="s">
        <v>6549</v>
      </c>
      <c r="P1757" s="4">
        <v>5000</v>
      </c>
      <c r="S1757" s="2">
        <v>45743</v>
      </c>
      <c r="U1757">
        <v>8</v>
      </c>
      <c r="V1757" s="4">
        <v>40000</v>
      </c>
      <c r="W1757" t="s">
        <v>65</v>
      </c>
      <c r="X1757" t="s">
        <v>305</v>
      </c>
      <c r="Y1757">
        <v>0</v>
      </c>
      <c r="Z1757" s="4">
        <v>40000</v>
      </c>
      <c r="AA1757">
        <v>0</v>
      </c>
      <c r="AB1757">
        <v>0</v>
      </c>
      <c r="AC1757">
        <v>0</v>
      </c>
      <c r="AD1757">
        <v>0</v>
      </c>
      <c r="AG1757">
        <v>0</v>
      </c>
      <c r="AP1757" t="s">
        <v>306</v>
      </c>
      <c r="AQ1757" t="s">
        <v>271</v>
      </c>
      <c r="AR1757" t="s">
        <v>6648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BC1757" t="s">
        <v>69</v>
      </c>
      <c r="BD1757" t="s">
        <v>5795</v>
      </c>
      <c r="BE1757">
        <v>0</v>
      </c>
      <c r="BG1757" t="s">
        <v>271</v>
      </c>
      <c r="BJ1757" t="s">
        <v>5796</v>
      </c>
    </row>
    <row r="1758" spans="1:62" x14ac:dyDescent="0.35">
      <c r="A1758" t="s">
        <v>5797</v>
      </c>
      <c r="B1758">
        <v>10000</v>
      </c>
      <c r="C1758">
        <v>10000</v>
      </c>
      <c r="D1758" s="2">
        <v>45743</v>
      </c>
      <c r="E1758" t="s">
        <v>61</v>
      </c>
      <c r="F1758" t="s">
        <v>5798</v>
      </c>
      <c r="G1758" t="s">
        <v>5799</v>
      </c>
      <c r="I1758">
        <v>1</v>
      </c>
      <c r="J1758" t="s">
        <v>63</v>
      </c>
      <c r="K1758" s="8">
        <v>61</v>
      </c>
      <c r="L1758" s="8" t="s">
        <v>6594</v>
      </c>
      <c r="M1758" s="8" t="s">
        <v>6629</v>
      </c>
      <c r="N1758" t="s">
        <v>216</v>
      </c>
      <c r="O1758" t="s">
        <v>6394</v>
      </c>
      <c r="P1758" s="4">
        <v>1000</v>
      </c>
      <c r="Q1758">
        <f>(P1758/50)+45</f>
        <v>65</v>
      </c>
      <c r="R1758">
        <f>Q1758/60</f>
        <v>1.0833333333333333</v>
      </c>
      <c r="S1758" s="2">
        <v>45743</v>
      </c>
      <c r="U1758">
        <v>1</v>
      </c>
      <c r="V1758" s="4">
        <v>1000</v>
      </c>
      <c r="W1758" t="s">
        <v>65</v>
      </c>
      <c r="X1758" t="s">
        <v>5800</v>
      </c>
      <c r="Y1758">
        <v>0</v>
      </c>
      <c r="Z1758" s="4">
        <v>1000</v>
      </c>
      <c r="AA1758">
        <v>0</v>
      </c>
      <c r="AB1758">
        <v>0</v>
      </c>
      <c r="AC1758">
        <v>0</v>
      </c>
      <c r="AD1758">
        <v>0</v>
      </c>
      <c r="AG1758">
        <v>0</v>
      </c>
      <c r="AP1758" t="s">
        <v>5801</v>
      </c>
      <c r="AQ1758" t="s">
        <v>5087</v>
      </c>
      <c r="AR1758" t="s">
        <v>6740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BC1758" t="s">
        <v>69</v>
      </c>
      <c r="BD1758" t="s">
        <v>5802</v>
      </c>
      <c r="BE1758">
        <v>0</v>
      </c>
      <c r="BG1758" t="s">
        <v>5087</v>
      </c>
      <c r="BJ1758" t="s">
        <v>5803</v>
      </c>
    </row>
    <row r="1759" spans="1:62" x14ac:dyDescent="0.35">
      <c r="A1759" t="s">
        <v>5804</v>
      </c>
      <c r="B1759">
        <v>10000</v>
      </c>
      <c r="C1759">
        <v>20000</v>
      </c>
      <c r="D1759" s="2">
        <v>45748</v>
      </c>
      <c r="E1759" t="s">
        <v>61</v>
      </c>
      <c r="F1759" t="s">
        <v>4649</v>
      </c>
      <c r="G1759" t="s">
        <v>2263</v>
      </c>
      <c r="I1759">
        <v>1</v>
      </c>
      <c r="J1759" t="s">
        <v>63</v>
      </c>
      <c r="K1759" s="8">
        <v>63</v>
      </c>
      <c r="L1759" s="8" t="s">
        <v>6605</v>
      </c>
      <c r="M1759" s="8" t="s">
        <v>6630</v>
      </c>
      <c r="N1759" t="s">
        <v>519</v>
      </c>
      <c r="O1759" t="s">
        <v>6569</v>
      </c>
      <c r="P1759" s="4">
        <v>5000</v>
      </c>
      <c r="Q1759">
        <f>(P1759/40)+45</f>
        <v>170</v>
      </c>
      <c r="R1759">
        <f>Q1759/60</f>
        <v>2.8333333333333335</v>
      </c>
      <c r="S1759" s="2">
        <v>45743</v>
      </c>
      <c r="U1759">
        <v>100</v>
      </c>
      <c r="V1759" s="4">
        <v>500000</v>
      </c>
      <c r="W1759" t="s">
        <v>65</v>
      </c>
      <c r="X1759" t="s">
        <v>2264</v>
      </c>
      <c r="Y1759">
        <v>0</v>
      </c>
      <c r="Z1759" s="4">
        <v>500000</v>
      </c>
      <c r="AA1759">
        <v>0</v>
      </c>
      <c r="AB1759">
        <v>0</v>
      </c>
      <c r="AC1759">
        <v>0</v>
      </c>
      <c r="AD1759">
        <v>0</v>
      </c>
      <c r="AG1759">
        <v>0</v>
      </c>
      <c r="AP1759" t="s">
        <v>2265</v>
      </c>
      <c r="AQ1759" t="s">
        <v>2266</v>
      </c>
      <c r="AR1759" t="s">
        <v>6699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BC1759" t="s">
        <v>69</v>
      </c>
      <c r="BD1759" t="s">
        <v>5805</v>
      </c>
      <c r="BE1759">
        <v>0</v>
      </c>
      <c r="BG1759" t="s">
        <v>2266</v>
      </c>
      <c r="BJ1759" t="s">
        <v>5806</v>
      </c>
    </row>
    <row r="1760" spans="1:62" x14ac:dyDescent="0.35">
      <c r="A1760" t="s">
        <v>5807</v>
      </c>
      <c r="B1760">
        <v>10000</v>
      </c>
      <c r="C1760">
        <v>20000</v>
      </c>
      <c r="D1760" s="2">
        <v>45743</v>
      </c>
      <c r="E1760" t="s">
        <v>61</v>
      </c>
      <c r="F1760" t="s">
        <v>5808</v>
      </c>
      <c r="G1760" t="s">
        <v>2069</v>
      </c>
      <c r="I1760">
        <v>1</v>
      </c>
      <c r="J1760" t="s">
        <v>63</v>
      </c>
      <c r="K1760" s="8">
        <v>94</v>
      </c>
      <c r="L1760" s="8" t="s">
        <v>6599</v>
      </c>
      <c r="M1760" s="8" t="s">
        <v>6629</v>
      </c>
      <c r="N1760" t="s">
        <v>181</v>
      </c>
      <c r="O1760" t="s">
        <v>6544</v>
      </c>
      <c r="P1760" s="4">
        <v>4000</v>
      </c>
      <c r="S1760" s="2">
        <v>45743</v>
      </c>
      <c r="U1760">
        <v>6</v>
      </c>
      <c r="V1760" s="4">
        <v>24000</v>
      </c>
      <c r="W1760" t="s">
        <v>65</v>
      </c>
      <c r="X1760" t="s">
        <v>1405</v>
      </c>
      <c r="Y1760">
        <v>0</v>
      </c>
      <c r="Z1760" s="4">
        <v>24000</v>
      </c>
      <c r="AA1760">
        <v>0</v>
      </c>
      <c r="AB1760">
        <v>0</v>
      </c>
      <c r="AC1760">
        <v>0</v>
      </c>
      <c r="AD1760">
        <v>0</v>
      </c>
      <c r="AG1760">
        <v>0</v>
      </c>
      <c r="AP1760" t="s">
        <v>1406</v>
      </c>
      <c r="AQ1760" t="s">
        <v>364</v>
      </c>
      <c r="AR1760" t="s">
        <v>6653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BC1760" t="s">
        <v>69</v>
      </c>
      <c r="BD1760" t="s">
        <v>5809</v>
      </c>
      <c r="BE1760">
        <v>0</v>
      </c>
      <c r="BG1760" t="s">
        <v>364</v>
      </c>
      <c r="BJ1760" t="s">
        <v>5810</v>
      </c>
    </row>
    <row r="1761" spans="1:62" x14ac:dyDescent="0.35">
      <c r="A1761" t="s">
        <v>4217</v>
      </c>
      <c r="B1761">
        <v>10000</v>
      </c>
      <c r="C1761">
        <v>40000</v>
      </c>
      <c r="D1761" s="2">
        <v>45744</v>
      </c>
      <c r="E1761" t="s">
        <v>61</v>
      </c>
      <c r="F1761" t="s">
        <v>310</v>
      </c>
      <c r="G1761" t="s">
        <v>4218</v>
      </c>
      <c r="I1761">
        <v>3</v>
      </c>
      <c r="J1761" t="s">
        <v>63</v>
      </c>
      <c r="K1761" s="8">
        <v>85</v>
      </c>
      <c r="L1761" s="8" t="s">
        <v>6585</v>
      </c>
      <c r="M1761" s="8" t="s">
        <v>6628</v>
      </c>
      <c r="N1761" t="s">
        <v>327</v>
      </c>
      <c r="O1761" t="s">
        <v>6580</v>
      </c>
      <c r="P1761" s="4">
        <v>10000</v>
      </c>
      <c r="S1761" s="2">
        <v>45743</v>
      </c>
      <c r="U1761">
        <v>11</v>
      </c>
      <c r="V1761" s="4">
        <v>110000</v>
      </c>
      <c r="W1761" t="s">
        <v>65</v>
      </c>
      <c r="X1761" t="s">
        <v>1218</v>
      </c>
      <c r="Y1761">
        <v>0</v>
      </c>
      <c r="Z1761" s="4">
        <v>100000</v>
      </c>
      <c r="AA1761" s="4">
        <v>10000</v>
      </c>
      <c r="AB1761">
        <v>0</v>
      </c>
      <c r="AC1761">
        <v>0</v>
      </c>
      <c r="AD1761">
        <v>0</v>
      </c>
      <c r="AG1761">
        <v>0</v>
      </c>
      <c r="AP1761" t="s">
        <v>1219</v>
      </c>
      <c r="AQ1761" t="s">
        <v>107</v>
      </c>
      <c r="AR1761" t="s">
        <v>6638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BC1761" t="s">
        <v>69</v>
      </c>
      <c r="BD1761" t="s">
        <v>4219</v>
      </c>
      <c r="BE1761">
        <v>0</v>
      </c>
      <c r="BG1761" t="s">
        <v>107</v>
      </c>
      <c r="BJ1761" t="s">
        <v>4220</v>
      </c>
    </row>
    <row r="1762" spans="1:62" x14ac:dyDescent="0.35">
      <c r="A1762" t="s">
        <v>5811</v>
      </c>
      <c r="B1762">
        <v>10000</v>
      </c>
      <c r="C1762">
        <v>10000</v>
      </c>
      <c r="D1762" s="2">
        <v>45748</v>
      </c>
      <c r="E1762" t="s">
        <v>61</v>
      </c>
      <c r="F1762" t="s">
        <v>789</v>
      </c>
      <c r="G1762" t="s">
        <v>5812</v>
      </c>
      <c r="I1762">
        <v>1</v>
      </c>
      <c r="J1762" t="s">
        <v>63</v>
      </c>
      <c r="K1762" s="8">
        <v>29</v>
      </c>
      <c r="L1762" s="8" t="s">
        <v>6595</v>
      </c>
      <c r="M1762" s="8" t="s">
        <v>6629</v>
      </c>
      <c r="N1762" t="s">
        <v>249</v>
      </c>
      <c r="O1762" t="s">
        <v>6500</v>
      </c>
      <c r="P1762" s="4">
        <v>24000</v>
      </c>
      <c r="Q1762">
        <f t="shared" ref="Q1762:Q1764" si="449">(P1762/40)+45</f>
        <v>645</v>
      </c>
      <c r="R1762">
        <f t="shared" ref="R1762:R1764" si="450">Q1762/60</f>
        <v>10.75</v>
      </c>
      <c r="S1762" s="2">
        <v>45743</v>
      </c>
      <c r="U1762">
        <v>2</v>
      </c>
      <c r="V1762" s="4">
        <v>48000</v>
      </c>
      <c r="W1762" t="s">
        <v>65</v>
      </c>
      <c r="X1762" t="s">
        <v>250</v>
      </c>
      <c r="Y1762">
        <v>0</v>
      </c>
      <c r="Z1762" s="4">
        <v>48000</v>
      </c>
      <c r="AA1762">
        <v>0</v>
      </c>
      <c r="AB1762">
        <v>0</v>
      </c>
      <c r="AC1762">
        <v>0</v>
      </c>
      <c r="AD1762">
        <v>0</v>
      </c>
      <c r="AG1762">
        <v>0</v>
      </c>
      <c r="AP1762" t="s">
        <v>251</v>
      </c>
      <c r="AQ1762" t="s">
        <v>175</v>
      </c>
      <c r="AR1762" t="s">
        <v>6642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BC1762" t="s">
        <v>69</v>
      </c>
      <c r="BD1762" t="s">
        <v>5813</v>
      </c>
      <c r="BE1762">
        <v>0</v>
      </c>
      <c r="BG1762" t="s">
        <v>175</v>
      </c>
      <c r="BJ1762" t="s">
        <v>5814</v>
      </c>
    </row>
    <row r="1763" spans="1:62" x14ac:dyDescent="0.35">
      <c r="A1763" t="s">
        <v>5815</v>
      </c>
      <c r="B1763">
        <v>10000</v>
      </c>
      <c r="C1763">
        <v>10000</v>
      </c>
      <c r="D1763" s="2">
        <v>45743</v>
      </c>
      <c r="E1763" t="s">
        <v>61</v>
      </c>
      <c r="F1763" t="s">
        <v>5816</v>
      </c>
      <c r="G1763" t="s">
        <v>348</v>
      </c>
      <c r="I1763">
        <v>1</v>
      </c>
      <c r="J1763" t="s">
        <v>63</v>
      </c>
      <c r="K1763" s="8">
        <v>46</v>
      </c>
      <c r="L1763" s="8" t="s">
        <v>6587</v>
      </c>
      <c r="M1763" s="8" t="s">
        <v>6629</v>
      </c>
      <c r="N1763" t="s">
        <v>113</v>
      </c>
      <c r="O1763" t="s">
        <v>6499</v>
      </c>
      <c r="P1763" s="4">
        <v>3000</v>
      </c>
      <c r="Q1763">
        <f t="shared" si="449"/>
        <v>120</v>
      </c>
      <c r="R1763">
        <f t="shared" si="450"/>
        <v>2</v>
      </c>
      <c r="S1763" s="2">
        <v>45743</v>
      </c>
      <c r="U1763">
        <v>1</v>
      </c>
      <c r="V1763" s="4">
        <v>3000</v>
      </c>
      <c r="W1763" t="s">
        <v>65</v>
      </c>
      <c r="X1763" t="s">
        <v>5817</v>
      </c>
      <c r="Y1763">
        <v>0</v>
      </c>
      <c r="Z1763" s="4">
        <v>3000</v>
      </c>
      <c r="AA1763">
        <v>0</v>
      </c>
      <c r="AB1763">
        <v>0</v>
      </c>
      <c r="AC1763">
        <v>0</v>
      </c>
      <c r="AD1763">
        <v>0</v>
      </c>
      <c r="AG1763">
        <v>0</v>
      </c>
      <c r="AP1763" t="s">
        <v>5818</v>
      </c>
      <c r="AQ1763" t="s">
        <v>116</v>
      </c>
      <c r="AR1763" t="s">
        <v>6639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BC1763" t="s">
        <v>69</v>
      </c>
      <c r="BD1763" t="s">
        <v>5819</v>
      </c>
      <c r="BE1763">
        <v>0</v>
      </c>
      <c r="BG1763" t="s">
        <v>116</v>
      </c>
      <c r="BJ1763" t="s">
        <v>4586</v>
      </c>
    </row>
    <row r="1764" spans="1:62" x14ac:dyDescent="0.35">
      <c r="A1764" t="s">
        <v>5820</v>
      </c>
      <c r="B1764">
        <v>10000</v>
      </c>
      <c r="C1764">
        <v>10000</v>
      </c>
      <c r="D1764" s="2">
        <v>45743</v>
      </c>
      <c r="E1764" t="s">
        <v>61</v>
      </c>
      <c r="F1764" t="s">
        <v>5808</v>
      </c>
      <c r="G1764" t="s">
        <v>348</v>
      </c>
      <c r="I1764">
        <v>1</v>
      </c>
      <c r="J1764" t="s">
        <v>63</v>
      </c>
      <c r="K1764" s="8">
        <v>46</v>
      </c>
      <c r="L1764" s="8" t="s">
        <v>6587</v>
      </c>
      <c r="M1764" s="8" t="s">
        <v>6629</v>
      </c>
      <c r="N1764" t="s">
        <v>113</v>
      </c>
      <c r="O1764" t="s">
        <v>6499</v>
      </c>
      <c r="P1764" s="4">
        <v>2000</v>
      </c>
      <c r="Q1764">
        <f t="shared" si="449"/>
        <v>95</v>
      </c>
      <c r="R1764">
        <f t="shared" si="450"/>
        <v>1.5833333333333333</v>
      </c>
      <c r="S1764" s="2">
        <v>45743</v>
      </c>
      <c r="U1764">
        <v>1</v>
      </c>
      <c r="V1764" s="4">
        <v>2000</v>
      </c>
      <c r="W1764" t="s">
        <v>65</v>
      </c>
      <c r="X1764" t="s">
        <v>5821</v>
      </c>
      <c r="Y1764">
        <v>0</v>
      </c>
      <c r="Z1764" s="4">
        <v>2000</v>
      </c>
      <c r="AA1764">
        <v>0</v>
      </c>
      <c r="AB1764">
        <v>0</v>
      </c>
      <c r="AC1764">
        <v>0</v>
      </c>
      <c r="AD1764">
        <v>0</v>
      </c>
      <c r="AG1764">
        <v>0</v>
      </c>
      <c r="AP1764" t="s">
        <v>5822</v>
      </c>
      <c r="AQ1764" t="s">
        <v>116</v>
      </c>
      <c r="AR1764" t="s">
        <v>6639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BC1764" t="s">
        <v>69</v>
      </c>
      <c r="BD1764" t="s">
        <v>5823</v>
      </c>
      <c r="BE1764">
        <v>0</v>
      </c>
      <c r="BG1764" t="s">
        <v>116</v>
      </c>
      <c r="BJ1764" t="s">
        <v>3506</v>
      </c>
    </row>
    <row r="1765" spans="1:62" x14ac:dyDescent="0.35">
      <c r="A1765" t="s">
        <v>5824</v>
      </c>
      <c r="B1765">
        <v>10000</v>
      </c>
      <c r="C1765">
        <v>10000</v>
      </c>
      <c r="D1765" s="2">
        <v>45743</v>
      </c>
      <c r="E1765" t="s">
        <v>61</v>
      </c>
      <c r="F1765" t="s">
        <v>5808</v>
      </c>
      <c r="G1765" t="s">
        <v>5143</v>
      </c>
      <c r="I1765">
        <v>1</v>
      </c>
      <c r="J1765" t="s">
        <v>63</v>
      </c>
      <c r="K1765" s="8">
        <v>61</v>
      </c>
      <c r="L1765" s="8" t="s">
        <v>6594</v>
      </c>
      <c r="M1765" s="8" t="s">
        <v>6629</v>
      </c>
      <c r="N1765" t="s">
        <v>197</v>
      </c>
      <c r="O1765" t="s">
        <v>6565</v>
      </c>
      <c r="P1765" s="4">
        <v>2000</v>
      </c>
      <c r="Q1765">
        <f t="shared" ref="Q1765:Q1767" si="451">(P1765/50)+45</f>
        <v>85</v>
      </c>
      <c r="R1765">
        <f t="shared" ref="R1765:R1767" si="452">Q1765/60</f>
        <v>1.4166666666666667</v>
      </c>
      <c r="S1765" s="2">
        <v>45743</v>
      </c>
      <c r="U1765">
        <v>4</v>
      </c>
      <c r="V1765" s="4">
        <v>8000</v>
      </c>
      <c r="W1765" t="s">
        <v>65</v>
      </c>
      <c r="X1765" t="s">
        <v>1233</v>
      </c>
      <c r="Y1765">
        <v>0</v>
      </c>
      <c r="Z1765" s="4">
        <v>8000</v>
      </c>
      <c r="AA1765">
        <v>0</v>
      </c>
      <c r="AB1765">
        <v>0</v>
      </c>
      <c r="AC1765">
        <v>0</v>
      </c>
      <c r="AD1765">
        <v>0</v>
      </c>
      <c r="AG1765">
        <v>0</v>
      </c>
      <c r="AP1765" t="s">
        <v>1234</v>
      </c>
      <c r="AQ1765" t="s">
        <v>116</v>
      </c>
      <c r="AR1765" t="s">
        <v>6639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BC1765" t="s">
        <v>69</v>
      </c>
      <c r="BD1765" t="s">
        <v>5825</v>
      </c>
      <c r="BE1765">
        <v>0</v>
      </c>
      <c r="BG1765" t="s">
        <v>116</v>
      </c>
      <c r="BJ1765" t="s">
        <v>3323</v>
      </c>
    </row>
    <row r="1766" spans="1:62" x14ac:dyDescent="0.35">
      <c r="A1766" t="s">
        <v>5826</v>
      </c>
      <c r="B1766">
        <v>10000</v>
      </c>
      <c r="C1766">
        <v>10000</v>
      </c>
      <c r="D1766" s="2">
        <v>45743</v>
      </c>
      <c r="E1766" t="s">
        <v>61</v>
      </c>
      <c r="F1766" t="s">
        <v>5827</v>
      </c>
      <c r="G1766" t="s">
        <v>5143</v>
      </c>
      <c r="I1766">
        <v>1</v>
      </c>
      <c r="J1766" t="s">
        <v>63</v>
      </c>
      <c r="K1766" s="8">
        <v>61</v>
      </c>
      <c r="L1766" s="8" t="s">
        <v>6594</v>
      </c>
      <c r="M1766" s="8" t="s">
        <v>6629</v>
      </c>
      <c r="N1766" t="s">
        <v>197</v>
      </c>
      <c r="O1766" t="s">
        <v>6565</v>
      </c>
      <c r="P1766" s="4">
        <v>2000</v>
      </c>
      <c r="Q1766">
        <f t="shared" si="451"/>
        <v>85</v>
      </c>
      <c r="R1766">
        <f t="shared" si="452"/>
        <v>1.4166666666666667</v>
      </c>
      <c r="S1766" s="2">
        <v>45743</v>
      </c>
      <c r="U1766">
        <v>4</v>
      </c>
      <c r="V1766" s="4">
        <v>8000</v>
      </c>
      <c r="W1766" t="s">
        <v>65</v>
      </c>
      <c r="X1766" t="s">
        <v>1720</v>
      </c>
      <c r="Y1766">
        <v>0</v>
      </c>
      <c r="Z1766" s="4">
        <v>8000</v>
      </c>
      <c r="AA1766">
        <v>0</v>
      </c>
      <c r="AB1766">
        <v>0</v>
      </c>
      <c r="AC1766">
        <v>0</v>
      </c>
      <c r="AD1766">
        <v>0</v>
      </c>
      <c r="AG1766">
        <v>0</v>
      </c>
      <c r="AP1766" t="s">
        <v>1721</v>
      </c>
      <c r="AQ1766" t="s">
        <v>116</v>
      </c>
      <c r="AR1766" t="s">
        <v>6639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BC1766" t="s">
        <v>69</v>
      </c>
      <c r="BD1766" t="s">
        <v>5828</v>
      </c>
      <c r="BE1766">
        <v>0</v>
      </c>
      <c r="BG1766" t="s">
        <v>116</v>
      </c>
      <c r="BJ1766" t="s">
        <v>3323</v>
      </c>
    </row>
    <row r="1767" spans="1:62" x14ac:dyDescent="0.35">
      <c r="A1767" t="s">
        <v>5829</v>
      </c>
      <c r="B1767">
        <v>10000</v>
      </c>
      <c r="C1767">
        <v>10000</v>
      </c>
      <c r="D1767" s="2">
        <v>45744</v>
      </c>
      <c r="E1767" t="s">
        <v>61</v>
      </c>
      <c r="F1767" t="s">
        <v>5830</v>
      </c>
      <c r="G1767" t="s">
        <v>5831</v>
      </c>
      <c r="I1767">
        <v>1</v>
      </c>
      <c r="J1767" t="s">
        <v>63</v>
      </c>
      <c r="K1767" s="8">
        <v>22</v>
      </c>
      <c r="L1767" s="8" t="s">
        <v>6603</v>
      </c>
      <c r="M1767" s="8" t="s">
        <v>6629</v>
      </c>
      <c r="N1767" t="s">
        <v>466</v>
      </c>
      <c r="O1767" t="s">
        <v>6474</v>
      </c>
      <c r="P1767" s="4">
        <v>26000</v>
      </c>
      <c r="Q1767">
        <f t="shared" si="451"/>
        <v>565</v>
      </c>
      <c r="R1767">
        <f t="shared" si="452"/>
        <v>9.4166666666666661</v>
      </c>
      <c r="S1767" s="2">
        <v>45743</v>
      </c>
      <c r="U1767">
        <v>1</v>
      </c>
      <c r="V1767" s="4">
        <v>26000</v>
      </c>
      <c r="W1767" t="s">
        <v>65</v>
      </c>
      <c r="X1767" t="s">
        <v>2624</v>
      </c>
      <c r="Y1767">
        <v>0</v>
      </c>
      <c r="Z1767" s="4">
        <v>26000</v>
      </c>
      <c r="AA1767">
        <v>0</v>
      </c>
      <c r="AB1767">
        <v>0</v>
      </c>
      <c r="AC1767">
        <v>0</v>
      </c>
      <c r="AD1767">
        <v>0</v>
      </c>
      <c r="AG1767">
        <v>0</v>
      </c>
      <c r="AP1767" t="s">
        <v>2625</v>
      </c>
      <c r="AQ1767" t="s">
        <v>116</v>
      </c>
      <c r="AR1767" t="s">
        <v>6639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BC1767" t="s">
        <v>69</v>
      </c>
      <c r="BD1767" t="s">
        <v>5832</v>
      </c>
      <c r="BE1767">
        <v>0</v>
      </c>
      <c r="BG1767" t="s">
        <v>116</v>
      </c>
      <c r="BJ1767" t="s">
        <v>3532</v>
      </c>
    </row>
    <row r="1768" spans="1:62" x14ac:dyDescent="0.35">
      <c r="A1768" t="s">
        <v>4305</v>
      </c>
      <c r="B1768">
        <v>10000</v>
      </c>
      <c r="C1768">
        <v>30000</v>
      </c>
      <c r="D1768" s="2">
        <v>45744</v>
      </c>
      <c r="E1768" t="s">
        <v>61</v>
      </c>
      <c r="F1768" t="s">
        <v>4306</v>
      </c>
      <c r="G1768" t="s">
        <v>4218</v>
      </c>
      <c r="I1768">
        <v>3</v>
      </c>
      <c r="J1768" t="s">
        <v>63</v>
      </c>
      <c r="K1768" s="8">
        <v>85</v>
      </c>
      <c r="L1768" s="8" t="s">
        <v>6585</v>
      </c>
      <c r="M1768" s="8" t="s">
        <v>6628</v>
      </c>
      <c r="N1768" t="s">
        <v>327</v>
      </c>
      <c r="O1768" t="s">
        <v>6580</v>
      </c>
      <c r="P1768" s="4">
        <v>10000</v>
      </c>
      <c r="S1768" s="2">
        <v>45743</v>
      </c>
      <c r="U1768">
        <v>11</v>
      </c>
      <c r="V1768" s="4">
        <v>110000</v>
      </c>
      <c r="W1768" t="s">
        <v>65</v>
      </c>
      <c r="X1768" t="s">
        <v>4307</v>
      </c>
      <c r="Y1768">
        <v>0</v>
      </c>
      <c r="Z1768" s="4">
        <v>100000</v>
      </c>
      <c r="AA1768" s="4">
        <v>10000</v>
      </c>
      <c r="AB1768">
        <v>0</v>
      </c>
      <c r="AC1768">
        <v>0</v>
      </c>
      <c r="AD1768">
        <v>0</v>
      </c>
      <c r="AG1768">
        <v>0</v>
      </c>
      <c r="AP1768" t="s">
        <v>4308</v>
      </c>
      <c r="AQ1768" t="s">
        <v>107</v>
      </c>
      <c r="AR1768" t="s">
        <v>6638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BC1768" t="s">
        <v>69</v>
      </c>
      <c r="BD1768" t="s">
        <v>4309</v>
      </c>
      <c r="BE1768">
        <v>0</v>
      </c>
      <c r="BG1768" t="s">
        <v>107</v>
      </c>
      <c r="BJ1768" t="s">
        <v>4310</v>
      </c>
    </row>
    <row r="1769" spans="1:62" x14ac:dyDescent="0.35">
      <c r="A1769" t="s">
        <v>4311</v>
      </c>
      <c r="B1769">
        <v>10000</v>
      </c>
      <c r="C1769">
        <v>30000</v>
      </c>
      <c r="D1769" s="2">
        <v>45744</v>
      </c>
      <c r="E1769" t="s">
        <v>61</v>
      </c>
      <c r="F1769" t="s">
        <v>4312</v>
      </c>
      <c r="G1769" t="s">
        <v>4218</v>
      </c>
      <c r="I1769">
        <v>3</v>
      </c>
      <c r="J1769" t="s">
        <v>63</v>
      </c>
      <c r="K1769" s="8">
        <v>85</v>
      </c>
      <c r="L1769" s="8" t="s">
        <v>6585</v>
      </c>
      <c r="M1769" s="8" t="s">
        <v>6628</v>
      </c>
      <c r="N1769" t="s">
        <v>327</v>
      </c>
      <c r="O1769" t="s">
        <v>6580</v>
      </c>
      <c r="P1769" s="4">
        <v>10000</v>
      </c>
      <c r="S1769" s="2">
        <v>45743</v>
      </c>
      <c r="U1769">
        <v>11</v>
      </c>
      <c r="V1769" s="4">
        <v>110000</v>
      </c>
      <c r="W1769" t="s">
        <v>65</v>
      </c>
      <c r="X1769" t="s">
        <v>4313</v>
      </c>
      <c r="Y1769">
        <v>0</v>
      </c>
      <c r="Z1769" s="4">
        <v>100000</v>
      </c>
      <c r="AA1769" s="4">
        <v>10000</v>
      </c>
      <c r="AB1769">
        <v>0</v>
      </c>
      <c r="AC1769">
        <v>0</v>
      </c>
      <c r="AD1769">
        <v>0</v>
      </c>
      <c r="AG1769">
        <v>0</v>
      </c>
      <c r="AP1769" t="s">
        <v>4314</v>
      </c>
      <c r="AQ1769" t="s">
        <v>107</v>
      </c>
      <c r="AR1769" t="s">
        <v>6638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BC1769" t="s">
        <v>69</v>
      </c>
      <c r="BD1769" t="s">
        <v>4315</v>
      </c>
      <c r="BE1769">
        <v>0</v>
      </c>
      <c r="BG1769" t="s">
        <v>107</v>
      </c>
      <c r="BJ1769" t="s">
        <v>4316</v>
      </c>
    </row>
    <row r="1770" spans="1:62" x14ac:dyDescent="0.35">
      <c r="A1770" t="s">
        <v>4321</v>
      </c>
      <c r="B1770">
        <v>10000</v>
      </c>
      <c r="C1770">
        <v>30000</v>
      </c>
      <c r="D1770" s="2">
        <v>45744</v>
      </c>
      <c r="E1770" t="s">
        <v>95</v>
      </c>
      <c r="F1770" t="s">
        <v>359</v>
      </c>
      <c r="G1770" t="s">
        <v>4322</v>
      </c>
      <c r="I1770">
        <v>3</v>
      </c>
      <c r="J1770" t="s">
        <v>63</v>
      </c>
      <c r="K1770" s="8">
        <v>85</v>
      </c>
      <c r="L1770" s="8" t="s">
        <v>6585</v>
      </c>
      <c r="M1770" s="8" t="s">
        <v>6628</v>
      </c>
      <c r="N1770" t="s">
        <v>327</v>
      </c>
      <c r="O1770" t="s">
        <v>6580</v>
      </c>
      <c r="P1770" s="4">
        <v>20000</v>
      </c>
      <c r="S1770" s="2">
        <v>45743</v>
      </c>
      <c r="U1770">
        <v>11</v>
      </c>
      <c r="V1770" s="4">
        <v>220000</v>
      </c>
      <c r="W1770" t="s">
        <v>65</v>
      </c>
      <c r="X1770" t="s">
        <v>1224</v>
      </c>
      <c r="Y1770">
        <v>0</v>
      </c>
      <c r="Z1770" s="4">
        <v>200000</v>
      </c>
      <c r="AA1770" s="4">
        <v>20000</v>
      </c>
      <c r="AB1770">
        <v>0</v>
      </c>
      <c r="AC1770">
        <v>0</v>
      </c>
      <c r="AD1770">
        <v>0</v>
      </c>
      <c r="AG1770">
        <v>0</v>
      </c>
      <c r="AP1770" t="s">
        <v>1225</v>
      </c>
      <c r="AQ1770" t="s">
        <v>107</v>
      </c>
      <c r="AR1770" t="s">
        <v>6638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BC1770" t="s">
        <v>69</v>
      </c>
      <c r="BD1770" t="s">
        <v>4323</v>
      </c>
      <c r="BE1770">
        <v>0</v>
      </c>
      <c r="BG1770" t="s">
        <v>107</v>
      </c>
      <c r="BJ1770" t="s">
        <v>4324</v>
      </c>
    </row>
    <row r="1771" spans="1:62" x14ac:dyDescent="0.35">
      <c r="A1771" t="s">
        <v>5833</v>
      </c>
      <c r="B1771">
        <v>10000</v>
      </c>
      <c r="C1771">
        <v>10000</v>
      </c>
      <c r="D1771" s="2">
        <v>45743</v>
      </c>
      <c r="E1771" t="s">
        <v>61</v>
      </c>
      <c r="F1771" t="s">
        <v>5834</v>
      </c>
      <c r="G1771" t="s">
        <v>5835</v>
      </c>
      <c r="I1771">
        <v>1</v>
      </c>
      <c r="J1771" t="s">
        <v>63</v>
      </c>
      <c r="K1771" s="8">
        <v>78</v>
      </c>
      <c r="L1771" s="8" t="s">
        <v>6593</v>
      </c>
      <c r="M1771" s="8" t="s">
        <v>6629</v>
      </c>
      <c r="N1771" t="s">
        <v>188</v>
      </c>
      <c r="O1771" t="s">
        <v>6410</v>
      </c>
      <c r="P1771">
        <v>250</v>
      </c>
      <c r="Q1771">
        <f>(P1771/40)+45</f>
        <v>51.25</v>
      </c>
      <c r="R1771">
        <f>Q1771/60</f>
        <v>0.85416666666666663</v>
      </c>
      <c r="S1771" s="2">
        <v>45743</v>
      </c>
      <c r="U1771">
        <v>2</v>
      </c>
      <c r="V1771">
        <v>500</v>
      </c>
      <c r="W1771" t="s">
        <v>65</v>
      </c>
      <c r="X1771" t="s">
        <v>5836</v>
      </c>
      <c r="Y1771">
        <v>0</v>
      </c>
      <c r="Z1771">
        <v>500</v>
      </c>
      <c r="AA1771">
        <v>0</v>
      </c>
      <c r="AB1771">
        <v>0</v>
      </c>
      <c r="AC1771">
        <v>0</v>
      </c>
      <c r="AD1771">
        <v>0</v>
      </c>
      <c r="AG1771">
        <v>0</v>
      </c>
      <c r="AP1771" t="s">
        <v>5837</v>
      </c>
      <c r="AQ1771" t="s">
        <v>1241</v>
      </c>
      <c r="AR1771" t="s">
        <v>6673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BC1771" t="s">
        <v>69</v>
      </c>
      <c r="BD1771" t="s">
        <v>5838</v>
      </c>
      <c r="BE1771">
        <v>0</v>
      </c>
      <c r="BG1771" t="s">
        <v>1241</v>
      </c>
      <c r="BJ1771" t="s">
        <v>3555</v>
      </c>
    </row>
    <row r="1772" spans="1:62" x14ac:dyDescent="0.35">
      <c r="A1772" t="s">
        <v>4333</v>
      </c>
      <c r="B1772">
        <v>10000</v>
      </c>
      <c r="C1772">
        <v>30000</v>
      </c>
      <c r="D1772" s="2">
        <v>45744</v>
      </c>
      <c r="E1772" t="s">
        <v>61</v>
      </c>
      <c r="F1772" t="s">
        <v>3979</v>
      </c>
      <c r="G1772" t="s">
        <v>4218</v>
      </c>
      <c r="I1772">
        <v>3</v>
      </c>
      <c r="J1772" t="s">
        <v>63</v>
      </c>
      <c r="K1772" s="8">
        <v>85</v>
      </c>
      <c r="L1772" s="8" t="s">
        <v>6585</v>
      </c>
      <c r="M1772" s="8" t="s">
        <v>6628</v>
      </c>
      <c r="N1772" t="s">
        <v>327</v>
      </c>
      <c r="O1772" t="s">
        <v>6580</v>
      </c>
      <c r="P1772" s="4">
        <v>10000</v>
      </c>
      <c r="S1772" s="2">
        <v>45743</v>
      </c>
      <c r="U1772">
        <v>11</v>
      </c>
      <c r="V1772" s="4">
        <v>110000</v>
      </c>
      <c r="W1772" t="s">
        <v>65</v>
      </c>
      <c r="X1772" t="s">
        <v>4334</v>
      </c>
      <c r="Y1772">
        <v>0</v>
      </c>
      <c r="Z1772" s="4">
        <v>100000</v>
      </c>
      <c r="AA1772" s="4">
        <v>10000</v>
      </c>
      <c r="AB1772">
        <v>0</v>
      </c>
      <c r="AC1772">
        <v>0</v>
      </c>
      <c r="AD1772">
        <v>0</v>
      </c>
      <c r="AG1772">
        <v>0</v>
      </c>
      <c r="AP1772" t="s">
        <v>4335</v>
      </c>
      <c r="AQ1772" t="s">
        <v>107</v>
      </c>
      <c r="AR1772" t="s">
        <v>6638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BC1772" t="s">
        <v>69</v>
      </c>
      <c r="BD1772" t="s">
        <v>4336</v>
      </c>
      <c r="BE1772">
        <v>0</v>
      </c>
      <c r="BG1772" t="s">
        <v>107</v>
      </c>
      <c r="BJ1772" t="s">
        <v>4337</v>
      </c>
    </row>
    <row r="1773" spans="1:62" x14ac:dyDescent="0.35">
      <c r="A1773" t="s">
        <v>5336</v>
      </c>
      <c r="B1773">
        <v>10000</v>
      </c>
      <c r="C1773">
        <v>20000</v>
      </c>
      <c r="D1773" s="2">
        <v>45744</v>
      </c>
      <c r="E1773" t="s">
        <v>95</v>
      </c>
      <c r="F1773" t="s">
        <v>2194</v>
      </c>
      <c r="G1773" t="s">
        <v>5337</v>
      </c>
      <c r="I1773">
        <v>2</v>
      </c>
      <c r="J1773" t="s">
        <v>63</v>
      </c>
      <c r="K1773" s="8">
        <v>60</v>
      </c>
      <c r="L1773" s="8" t="s">
        <v>6590</v>
      </c>
      <c r="M1773" s="8" t="s">
        <v>6630</v>
      </c>
      <c r="N1773" t="s">
        <v>277</v>
      </c>
      <c r="O1773" t="s">
        <v>6554</v>
      </c>
      <c r="P1773" s="4">
        <v>14000</v>
      </c>
      <c r="Q1773">
        <f>(P1773/50)+45</f>
        <v>325</v>
      </c>
      <c r="R1773">
        <f>Q1773/60</f>
        <v>5.416666666666667</v>
      </c>
      <c r="S1773" s="2">
        <v>45743</v>
      </c>
      <c r="U1773">
        <v>1</v>
      </c>
      <c r="V1773" s="4">
        <v>14000</v>
      </c>
      <c r="W1773" t="s">
        <v>65</v>
      </c>
      <c r="X1773" t="s">
        <v>5338</v>
      </c>
      <c r="Y1773">
        <v>0</v>
      </c>
      <c r="Z1773" s="4">
        <v>10000</v>
      </c>
      <c r="AA1773" s="4">
        <v>4000</v>
      </c>
      <c r="AB1773">
        <v>0</v>
      </c>
      <c r="AC1773">
        <v>0</v>
      </c>
      <c r="AD1773">
        <v>0</v>
      </c>
      <c r="AG1773">
        <v>0</v>
      </c>
      <c r="AP1773" t="s">
        <v>5339</v>
      </c>
      <c r="AQ1773" t="s">
        <v>4812</v>
      </c>
      <c r="AR1773" t="s">
        <v>6735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BC1773" t="s">
        <v>69</v>
      </c>
      <c r="BD1773" t="s">
        <v>5340</v>
      </c>
      <c r="BE1773">
        <v>0</v>
      </c>
      <c r="BG1773" t="s">
        <v>4812</v>
      </c>
      <c r="BJ1773" t="s">
        <v>5341</v>
      </c>
    </row>
    <row r="1774" spans="1:62" x14ac:dyDescent="0.35">
      <c r="A1774" t="s">
        <v>5839</v>
      </c>
      <c r="B1774">
        <v>10000</v>
      </c>
      <c r="C1774">
        <v>10000</v>
      </c>
      <c r="D1774" s="2">
        <v>45744</v>
      </c>
      <c r="E1774" t="s">
        <v>61</v>
      </c>
      <c r="F1774" t="s">
        <v>5840</v>
      </c>
      <c r="G1774" t="s">
        <v>5717</v>
      </c>
      <c r="I1774">
        <v>1</v>
      </c>
      <c r="J1774" t="s">
        <v>63</v>
      </c>
      <c r="K1774" s="8">
        <v>72</v>
      </c>
      <c r="L1774" s="8" t="s">
        <v>6606</v>
      </c>
      <c r="M1774" s="8" t="s">
        <v>6631</v>
      </c>
      <c r="N1774" t="s">
        <v>163</v>
      </c>
      <c r="O1774" t="s">
        <v>6548</v>
      </c>
      <c r="P1774" s="4">
        <v>1750</v>
      </c>
      <c r="S1774" s="2">
        <v>45743</v>
      </c>
      <c r="U1774">
        <v>4</v>
      </c>
      <c r="V1774" s="4">
        <v>7000</v>
      </c>
      <c r="W1774" t="s">
        <v>65</v>
      </c>
      <c r="X1774">
        <v>83615110001</v>
      </c>
      <c r="Y1774">
        <v>0</v>
      </c>
      <c r="Z1774" s="4">
        <v>5000</v>
      </c>
      <c r="AA1774" s="4">
        <v>2000</v>
      </c>
      <c r="AB1774">
        <v>0</v>
      </c>
      <c r="AC1774">
        <v>0</v>
      </c>
      <c r="AD1774">
        <v>0</v>
      </c>
      <c r="AG1774">
        <v>0</v>
      </c>
      <c r="AP1774">
        <v>8361511</v>
      </c>
      <c r="AQ1774" t="s">
        <v>91</v>
      </c>
      <c r="AR1774" t="s">
        <v>6637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BC1774" t="s">
        <v>69</v>
      </c>
      <c r="BD1774" t="s">
        <v>5841</v>
      </c>
      <c r="BE1774">
        <v>0</v>
      </c>
      <c r="BG1774" t="s">
        <v>91</v>
      </c>
      <c r="BJ1774" t="s">
        <v>3589</v>
      </c>
    </row>
    <row r="1775" spans="1:62" x14ac:dyDescent="0.35">
      <c r="A1775" t="s">
        <v>5842</v>
      </c>
      <c r="B1775">
        <v>10000</v>
      </c>
      <c r="C1775">
        <v>10000</v>
      </c>
      <c r="D1775" s="2">
        <v>45744</v>
      </c>
      <c r="E1775" t="s">
        <v>61</v>
      </c>
      <c r="F1775" t="s">
        <v>5843</v>
      </c>
      <c r="G1775" t="s">
        <v>5717</v>
      </c>
      <c r="I1775">
        <v>1</v>
      </c>
      <c r="J1775" t="s">
        <v>63</v>
      </c>
      <c r="K1775" s="8">
        <v>72</v>
      </c>
      <c r="L1775" s="8" t="s">
        <v>6606</v>
      </c>
      <c r="M1775" s="8" t="s">
        <v>6631</v>
      </c>
      <c r="N1775" t="s">
        <v>163</v>
      </c>
      <c r="O1775" t="s">
        <v>6548</v>
      </c>
      <c r="P1775" s="4">
        <v>2000</v>
      </c>
      <c r="S1775" s="2">
        <v>45743</v>
      </c>
      <c r="U1775">
        <v>4</v>
      </c>
      <c r="V1775" s="4">
        <v>8000</v>
      </c>
      <c r="W1775" t="s">
        <v>65</v>
      </c>
      <c r="X1775">
        <v>83615230001</v>
      </c>
      <c r="Y1775">
        <v>0</v>
      </c>
      <c r="Z1775" s="4">
        <v>6000</v>
      </c>
      <c r="AA1775" s="4">
        <v>2000</v>
      </c>
      <c r="AB1775">
        <v>0</v>
      </c>
      <c r="AC1775">
        <v>0</v>
      </c>
      <c r="AD1775">
        <v>0</v>
      </c>
      <c r="AG1775">
        <v>0</v>
      </c>
      <c r="AP1775">
        <v>8361523</v>
      </c>
      <c r="AQ1775" t="s">
        <v>91</v>
      </c>
      <c r="AR1775" t="s">
        <v>6637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BC1775" t="s">
        <v>69</v>
      </c>
      <c r="BD1775" t="s">
        <v>5844</v>
      </c>
      <c r="BE1775">
        <v>0</v>
      </c>
      <c r="BG1775" t="s">
        <v>91</v>
      </c>
      <c r="BJ1775" t="s">
        <v>3589</v>
      </c>
    </row>
    <row r="1776" spans="1:62" x14ac:dyDescent="0.35">
      <c r="A1776" t="s">
        <v>5845</v>
      </c>
      <c r="B1776">
        <v>10000</v>
      </c>
      <c r="C1776">
        <v>10000</v>
      </c>
      <c r="D1776" s="2">
        <v>45748</v>
      </c>
      <c r="E1776" t="s">
        <v>61</v>
      </c>
      <c r="F1776" t="s">
        <v>5846</v>
      </c>
      <c r="G1776" t="s">
        <v>5717</v>
      </c>
      <c r="I1776">
        <v>1</v>
      </c>
      <c r="J1776" t="s">
        <v>63</v>
      </c>
      <c r="K1776" s="8">
        <v>72</v>
      </c>
      <c r="L1776" s="8" t="s">
        <v>6606</v>
      </c>
      <c r="M1776" s="8" t="s">
        <v>6631</v>
      </c>
      <c r="N1776" t="s">
        <v>163</v>
      </c>
      <c r="O1776" t="s">
        <v>6548</v>
      </c>
      <c r="P1776" s="4">
        <v>4500</v>
      </c>
      <c r="S1776" s="2">
        <v>45743</v>
      </c>
      <c r="U1776">
        <v>4</v>
      </c>
      <c r="V1776" s="4">
        <v>18000</v>
      </c>
      <c r="W1776" t="s">
        <v>65</v>
      </c>
      <c r="X1776">
        <v>83615250001</v>
      </c>
      <c r="Y1776">
        <v>0</v>
      </c>
      <c r="Z1776" s="4">
        <v>15000</v>
      </c>
      <c r="AA1776" s="4">
        <v>3000</v>
      </c>
      <c r="AB1776">
        <v>0</v>
      </c>
      <c r="AC1776">
        <v>0</v>
      </c>
      <c r="AD1776">
        <v>0</v>
      </c>
      <c r="AG1776">
        <v>0</v>
      </c>
      <c r="AP1776">
        <v>8361525</v>
      </c>
      <c r="AQ1776" t="s">
        <v>91</v>
      </c>
      <c r="AR1776" t="s">
        <v>6637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BC1776" t="s">
        <v>69</v>
      </c>
      <c r="BD1776" t="s">
        <v>5847</v>
      </c>
      <c r="BE1776">
        <v>0</v>
      </c>
      <c r="BG1776" t="s">
        <v>91</v>
      </c>
      <c r="BJ1776" t="s">
        <v>3589</v>
      </c>
    </row>
    <row r="1777" spans="1:62" x14ac:dyDescent="0.35">
      <c r="A1777" t="s">
        <v>5848</v>
      </c>
      <c r="B1777">
        <v>10000</v>
      </c>
      <c r="C1777">
        <v>10000</v>
      </c>
      <c r="D1777" s="2">
        <v>45744</v>
      </c>
      <c r="E1777" t="s">
        <v>61</v>
      </c>
      <c r="F1777" t="s">
        <v>5849</v>
      </c>
      <c r="G1777" t="s">
        <v>5717</v>
      </c>
      <c r="I1777">
        <v>1</v>
      </c>
      <c r="J1777" t="s">
        <v>63</v>
      </c>
      <c r="K1777" s="8">
        <v>72</v>
      </c>
      <c r="L1777" s="8" t="s">
        <v>6606</v>
      </c>
      <c r="M1777" s="8" t="s">
        <v>6631</v>
      </c>
      <c r="N1777" t="s">
        <v>163</v>
      </c>
      <c r="O1777" t="s">
        <v>6548</v>
      </c>
      <c r="P1777" s="4">
        <v>1750</v>
      </c>
      <c r="S1777" s="2">
        <v>45743</v>
      </c>
      <c r="U1777">
        <v>4</v>
      </c>
      <c r="V1777" s="4">
        <v>7000</v>
      </c>
      <c r="W1777" t="s">
        <v>65</v>
      </c>
      <c r="X1777">
        <v>5000443900001</v>
      </c>
      <c r="Y1777">
        <v>0</v>
      </c>
      <c r="Z1777" s="4">
        <v>5000</v>
      </c>
      <c r="AA1777" s="4">
        <v>2000</v>
      </c>
      <c r="AB1777">
        <v>0</v>
      </c>
      <c r="AC1777">
        <v>0</v>
      </c>
      <c r="AD1777">
        <v>0</v>
      </c>
      <c r="AG1777">
        <v>0</v>
      </c>
      <c r="AP1777">
        <v>500044390</v>
      </c>
      <c r="AQ1777" t="s">
        <v>91</v>
      </c>
      <c r="AR1777" t="s">
        <v>6637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BC1777" t="s">
        <v>69</v>
      </c>
      <c r="BD1777" t="s">
        <v>5850</v>
      </c>
      <c r="BE1777">
        <v>0</v>
      </c>
      <c r="BG1777" t="s">
        <v>91</v>
      </c>
      <c r="BJ1777" t="s">
        <v>3589</v>
      </c>
    </row>
    <row r="1778" spans="1:62" x14ac:dyDescent="0.35">
      <c r="A1778" t="s">
        <v>5851</v>
      </c>
      <c r="B1778">
        <v>10000</v>
      </c>
      <c r="C1778">
        <v>10000</v>
      </c>
      <c r="D1778" s="2">
        <v>45748</v>
      </c>
      <c r="E1778" t="s">
        <v>61</v>
      </c>
      <c r="F1778" t="s">
        <v>5852</v>
      </c>
      <c r="G1778" t="s">
        <v>5717</v>
      </c>
      <c r="I1778">
        <v>1</v>
      </c>
      <c r="J1778" t="s">
        <v>63</v>
      </c>
      <c r="K1778" s="8">
        <v>72</v>
      </c>
      <c r="L1778" s="8" t="s">
        <v>6606</v>
      </c>
      <c r="M1778" s="8" t="s">
        <v>6631</v>
      </c>
      <c r="N1778" t="s">
        <v>163</v>
      </c>
      <c r="O1778" t="s">
        <v>6548</v>
      </c>
      <c r="P1778" s="4">
        <v>4250</v>
      </c>
      <c r="S1778" s="2">
        <v>45743</v>
      </c>
      <c r="U1778">
        <v>4</v>
      </c>
      <c r="V1778" s="4">
        <v>17000</v>
      </c>
      <c r="W1778" t="s">
        <v>65</v>
      </c>
      <c r="X1778">
        <v>5000444460001</v>
      </c>
      <c r="Y1778">
        <v>0</v>
      </c>
      <c r="Z1778" s="4">
        <v>15000</v>
      </c>
      <c r="AA1778" s="4">
        <v>2000</v>
      </c>
      <c r="AB1778">
        <v>0</v>
      </c>
      <c r="AC1778">
        <v>0</v>
      </c>
      <c r="AD1778">
        <v>0</v>
      </c>
      <c r="AG1778">
        <v>0</v>
      </c>
      <c r="AP1778">
        <v>500044446</v>
      </c>
      <c r="AQ1778" t="s">
        <v>91</v>
      </c>
      <c r="AR1778" t="s">
        <v>6637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BC1778" t="s">
        <v>69</v>
      </c>
      <c r="BD1778" t="s">
        <v>5853</v>
      </c>
      <c r="BE1778">
        <v>0</v>
      </c>
      <c r="BG1778" t="s">
        <v>91</v>
      </c>
      <c r="BJ1778" t="s">
        <v>3589</v>
      </c>
    </row>
    <row r="1779" spans="1:62" x14ac:dyDescent="0.35">
      <c r="A1779" t="s">
        <v>5854</v>
      </c>
      <c r="B1779">
        <v>10000</v>
      </c>
      <c r="C1779">
        <v>10000</v>
      </c>
      <c r="D1779" s="2">
        <v>45744</v>
      </c>
      <c r="E1779" t="s">
        <v>61</v>
      </c>
      <c r="F1779" t="s">
        <v>5855</v>
      </c>
      <c r="G1779" t="s">
        <v>5717</v>
      </c>
      <c r="I1779">
        <v>1</v>
      </c>
      <c r="J1779" t="s">
        <v>63</v>
      </c>
      <c r="K1779" s="8">
        <v>72</v>
      </c>
      <c r="L1779" s="8" t="s">
        <v>6606</v>
      </c>
      <c r="M1779" s="8" t="s">
        <v>6631</v>
      </c>
      <c r="N1779" t="s">
        <v>163</v>
      </c>
      <c r="O1779" t="s">
        <v>6548</v>
      </c>
      <c r="P1779" s="4">
        <v>5750</v>
      </c>
      <c r="S1779" s="2">
        <v>45743</v>
      </c>
      <c r="U1779">
        <v>4</v>
      </c>
      <c r="V1779" s="4">
        <v>23000</v>
      </c>
      <c r="W1779" t="s">
        <v>65</v>
      </c>
      <c r="X1779">
        <v>5000514810001</v>
      </c>
      <c r="Y1779">
        <v>0</v>
      </c>
      <c r="Z1779" s="4">
        <v>20000</v>
      </c>
      <c r="AA1779" s="4">
        <v>3000</v>
      </c>
      <c r="AB1779">
        <v>0</v>
      </c>
      <c r="AC1779">
        <v>0</v>
      </c>
      <c r="AD1779">
        <v>0</v>
      </c>
      <c r="AG1779">
        <v>0</v>
      </c>
      <c r="AP1779">
        <v>500051481</v>
      </c>
      <c r="AQ1779" t="s">
        <v>91</v>
      </c>
      <c r="AR1779" t="s">
        <v>6637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BC1779" t="s">
        <v>69</v>
      </c>
      <c r="BD1779" t="s">
        <v>5856</v>
      </c>
      <c r="BE1779">
        <v>0</v>
      </c>
      <c r="BG1779" t="s">
        <v>91</v>
      </c>
      <c r="BJ1779" t="s">
        <v>3589</v>
      </c>
    </row>
    <row r="1780" spans="1:62" x14ac:dyDescent="0.35">
      <c r="A1780" t="s">
        <v>5857</v>
      </c>
      <c r="B1780">
        <v>10000</v>
      </c>
      <c r="C1780">
        <v>10000</v>
      </c>
      <c r="D1780" s="2">
        <v>45744</v>
      </c>
      <c r="E1780" t="s">
        <v>61</v>
      </c>
      <c r="F1780" s="3">
        <v>0.48218749999999999</v>
      </c>
      <c r="G1780" t="s">
        <v>5717</v>
      </c>
      <c r="I1780">
        <v>1</v>
      </c>
      <c r="J1780" t="s">
        <v>63</v>
      </c>
      <c r="K1780" s="8">
        <v>72</v>
      </c>
      <c r="L1780" s="8" t="s">
        <v>6606</v>
      </c>
      <c r="M1780" s="8" t="s">
        <v>6631</v>
      </c>
      <c r="N1780" t="s">
        <v>528</v>
      </c>
      <c r="O1780" t="s">
        <v>6542</v>
      </c>
      <c r="P1780" s="4">
        <v>1750</v>
      </c>
      <c r="S1780" s="2">
        <v>45743</v>
      </c>
      <c r="U1780">
        <v>4</v>
      </c>
      <c r="V1780" s="4">
        <v>7000</v>
      </c>
      <c r="W1780" t="s">
        <v>65</v>
      </c>
      <c r="X1780">
        <v>5000435310001</v>
      </c>
      <c r="Y1780">
        <v>0</v>
      </c>
      <c r="Z1780" s="4">
        <v>5000</v>
      </c>
      <c r="AA1780" s="4">
        <v>2000</v>
      </c>
      <c r="AB1780">
        <v>0</v>
      </c>
      <c r="AC1780">
        <v>0</v>
      </c>
      <c r="AD1780">
        <v>0</v>
      </c>
      <c r="AG1780">
        <v>0</v>
      </c>
      <c r="AP1780">
        <v>500043531</v>
      </c>
      <c r="AQ1780" t="s">
        <v>91</v>
      </c>
      <c r="AR1780" t="s">
        <v>6637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BC1780" t="s">
        <v>69</v>
      </c>
      <c r="BD1780" t="s">
        <v>5858</v>
      </c>
      <c r="BE1780">
        <v>0</v>
      </c>
      <c r="BG1780" t="s">
        <v>91</v>
      </c>
      <c r="BJ1780" t="s">
        <v>4342</v>
      </c>
    </row>
    <row r="1781" spans="1:62" x14ac:dyDescent="0.35">
      <c r="A1781" t="s">
        <v>5859</v>
      </c>
      <c r="B1781">
        <v>10000</v>
      </c>
      <c r="C1781">
        <v>10000</v>
      </c>
      <c r="D1781" s="2">
        <v>45744</v>
      </c>
      <c r="E1781" t="s">
        <v>61</v>
      </c>
      <c r="F1781" s="3">
        <v>0.48218749999999999</v>
      </c>
      <c r="G1781" t="s">
        <v>5717</v>
      </c>
      <c r="I1781">
        <v>1</v>
      </c>
      <c r="J1781" t="s">
        <v>63</v>
      </c>
      <c r="K1781" s="8">
        <v>72</v>
      </c>
      <c r="L1781" s="8" t="s">
        <v>6606</v>
      </c>
      <c r="M1781" s="8" t="s">
        <v>6631</v>
      </c>
      <c r="N1781" t="s">
        <v>528</v>
      </c>
      <c r="O1781" t="s">
        <v>6542</v>
      </c>
      <c r="P1781" s="4">
        <v>1750</v>
      </c>
      <c r="S1781" s="2">
        <v>45743</v>
      </c>
      <c r="U1781">
        <v>4</v>
      </c>
      <c r="V1781" s="4">
        <v>7000</v>
      </c>
      <c r="W1781" t="s">
        <v>65</v>
      </c>
      <c r="X1781">
        <v>5000444160001</v>
      </c>
      <c r="Y1781">
        <v>0</v>
      </c>
      <c r="Z1781" s="4">
        <v>5000</v>
      </c>
      <c r="AA1781" s="4">
        <v>2000</v>
      </c>
      <c r="AB1781">
        <v>0</v>
      </c>
      <c r="AC1781">
        <v>0</v>
      </c>
      <c r="AD1781">
        <v>0</v>
      </c>
      <c r="AG1781">
        <v>0</v>
      </c>
      <c r="AP1781">
        <v>500044416</v>
      </c>
      <c r="AQ1781" t="s">
        <v>91</v>
      </c>
      <c r="AR1781" t="s">
        <v>6637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BC1781" t="s">
        <v>69</v>
      </c>
      <c r="BD1781" t="s">
        <v>5860</v>
      </c>
      <c r="BE1781">
        <v>0</v>
      </c>
      <c r="BG1781" t="s">
        <v>91</v>
      </c>
      <c r="BJ1781" t="s">
        <v>4342</v>
      </c>
    </row>
    <row r="1782" spans="1:62" x14ac:dyDescent="0.35">
      <c r="A1782" t="s">
        <v>4346</v>
      </c>
      <c r="B1782">
        <v>10000</v>
      </c>
      <c r="C1782">
        <v>30000</v>
      </c>
      <c r="D1782" s="2">
        <v>45744</v>
      </c>
      <c r="E1782" t="s">
        <v>61</v>
      </c>
      <c r="F1782" t="s">
        <v>4347</v>
      </c>
      <c r="G1782" t="s">
        <v>4218</v>
      </c>
      <c r="I1782">
        <v>3</v>
      </c>
      <c r="J1782" t="s">
        <v>63</v>
      </c>
      <c r="K1782" s="8">
        <v>85</v>
      </c>
      <c r="L1782" s="8" t="s">
        <v>6585</v>
      </c>
      <c r="M1782" s="8" t="s">
        <v>6628</v>
      </c>
      <c r="N1782" t="s">
        <v>327</v>
      </c>
      <c r="O1782" t="s">
        <v>6580</v>
      </c>
      <c r="P1782" s="4">
        <v>10000</v>
      </c>
      <c r="S1782" s="2">
        <v>45743</v>
      </c>
      <c r="U1782">
        <v>11</v>
      </c>
      <c r="V1782" s="4">
        <v>110000</v>
      </c>
      <c r="W1782" t="s">
        <v>65</v>
      </c>
      <c r="X1782" t="s">
        <v>1218</v>
      </c>
      <c r="Y1782">
        <v>0</v>
      </c>
      <c r="Z1782" s="4">
        <v>100000</v>
      </c>
      <c r="AA1782" s="4">
        <v>10000</v>
      </c>
      <c r="AB1782">
        <v>0</v>
      </c>
      <c r="AC1782">
        <v>0</v>
      </c>
      <c r="AD1782">
        <v>0</v>
      </c>
      <c r="AG1782">
        <v>0</v>
      </c>
      <c r="AP1782" t="s">
        <v>1219</v>
      </c>
      <c r="AQ1782" t="s">
        <v>107</v>
      </c>
      <c r="AR1782" t="s">
        <v>6638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BC1782" t="s">
        <v>69</v>
      </c>
      <c r="BD1782" t="s">
        <v>4348</v>
      </c>
      <c r="BE1782">
        <v>0</v>
      </c>
      <c r="BG1782" t="s">
        <v>107</v>
      </c>
      <c r="BJ1782" t="s">
        <v>4349</v>
      </c>
    </row>
    <row r="1783" spans="1:62" x14ac:dyDescent="0.35">
      <c r="A1783" t="s">
        <v>4350</v>
      </c>
      <c r="B1783">
        <v>10000</v>
      </c>
      <c r="C1783">
        <v>30000</v>
      </c>
      <c r="D1783" s="2">
        <v>45744</v>
      </c>
      <c r="E1783" t="s">
        <v>61</v>
      </c>
      <c r="F1783" t="s">
        <v>4351</v>
      </c>
      <c r="G1783" t="s">
        <v>4218</v>
      </c>
      <c r="I1783">
        <v>3</v>
      </c>
      <c r="J1783" t="s">
        <v>63</v>
      </c>
      <c r="K1783" s="8">
        <v>85</v>
      </c>
      <c r="L1783" s="8" t="s">
        <v>6585</v>
      </c>
      <c r="M1783" s="8" t="s">
        <v>6628</v>
      </c>
      <c r="N1783" t="s">
        <v>327</v>
      </c>
      <c r="O1783" t="s">
        <v>6580</v>
      </c>
      <c r="P1783" s="4">
        <v>10000</v>
      </c>
      <c r="S1783" s="2">
        <v>45743</v>
      </c>
      <c r="U1783">
        <v>11</v>
      </c>
      <c r="V1783" s="4">
        <v>110000</v>
      </c>
      <c r="W1783" t="s">
        <v>65</v>
      </c>
      <c r="X1783" t="s">
        <v>1657</v>
      </c>
      <c r="Y1783">
        <v>0</v>
      </c>
      <c r="Z1783" s="4">
        <v>100000</v>
      </c>
      <c r="AA1783" s="4">
        <v>10000</v>
      </c>
      <c r="AB1783">
        <v>0</v>
      </c>
      <c r="AC1783">
        <v>0</v>
      </c>
      <c r="AD1783">
        <v>0</v>
      </c>
      <c r="AG1783">
        <v>0</v>
      </c>
      <c r="AP1783" t="s">
        <v>1658</v>
      </c>
      <c r="AQ1783" t="s">
        <v>107</v>
      </c>
      <c r="AR1783" t="s">
        <v>6638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BC1783" t="s">
        <v>69</v>
      </c>
      <c r="BD1783" t="s">
        <v>4352</v>
      </c>
      <c r="BE1783">
        <v>0</v>
      </c>
      <c r="BG1783" t="s">
        <v>107</v>
      </c>
      <c r="BJ1783" t="s">
        <v>4353</v>
      </c>
    </row>
    <row r="1784" spans="1:62" x14ac:dyDescent="0.35">
      <c r="A1784" t="s">
        <v>5861</v>
      </c>
      <c r="B1784">
        <v>10000</v>
      </c>
      <c r="C1784">
        <v>10000</v>
      </c>
      <c r="D1784" s="2">
        <v>45743</v>
      </c>
      <c r="E1784" t="s">
        <v>61</v>
      </c>
      <c r="F1784" s="3">
        <v>0.46777777777777779</v>
      </c>
      <c r="G1784" t="s">
        <v>5862</v>
      </c>
      <c r="I1784">
        <v>1</v>
      </c>
      <c r="J1784" t="s">
        <v>63</v>
      </c>
      <c r="K1784" s="8">
        <v>94</v>
      </c>
      <c r="L1784" s="8" t="s">
        <v>6599</v>
      </c>
      <c r="M1784" s="8" t="s">
        <v>6629</v>
      </c>
      <c r="N1784" t="s">
        <v>181</v>
      </c>
      <c r="O1784" t="s">
        <v>6544</v>
      </c>
      <c r="P1784">
        <v>167</v>
      </c>
      <c r="S1784" s="2">
        <v>45743</v>
      </c>
      <c r="U1784">
        <v>6</v>
      </c>
      <c r="V1784" s="4">
        <v>1002</v>
      </c>
      <c r="W1784" t="s">
        <v>65</v>
      </c>
      <c r="X1784" t="s">
        <v>1405</v>
      </c>
      <c r="Y1784">
        <v>0</v>
      </c>
      <c r="Z1784" s="4">
        <v>1000</v>
      </c>
      <c r="AA1784">
        <v>2</v>
      </c>
      <c r="AB1784">
        <v>0</v>
      </c>
      <c r="AC1784">
        <v>0</v>
      </c>
      <c r="AD1784">
        <v>0</v>
      </c>
      <c r="AG1784">
        <v>0</v>
      </c>
      <c r="AP1784" t="s">
        <v>1406</v>
      </c>
      <c r="AQ1784" t="s">
        <v>3615</v>
      </c>
      <c r="AR1784" t="s">
        <v>6724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BC1784" t="s">
        <v>69</v>
      </c>
      <c r="BD1784" t="s">
        <v>5863</v>
      </c>
      <c r="BE1784">
        <v>0</v>
      </c>
      <c r="BG1784" t="s">
        <v>3615</v>
      </c>
      <c r="BJ1784" t="s">
        <v>3617</v>
      </c>
    </row>
    <row r="1785" spans="1:62" x14ac:dyDescent="0.35">
      <c r="A1785" t="s">
        <v>5864</v>
      </c>
      <c r="B1785">
        <v>10000</v>
      </c>
      <c r="C1785">
        <v>10000</v>
      </c>
      <c r="D1785" s="2">
        <v>45744</v>
      </c>
      <c r="E1785" t="s">
        <v>61</v>
      </c>
      <c r="F1785" s="3">
        <v>0.45989583333333334</v>
      </c>
      <c r="G1785" t="s">
        <v>5865</v>
      </c>
      <c r="I1785">
        <v>1</v>
      </c>
      <c r="J1785" t="s">
        <v>63</v>
      </c>
      <c r="K1785" s="8">
        <v>61</v>
      </c>
      <c r="L1785" s="8" t="s">
        <v>6594</v>
      </c>
      <c r="M1785" s="8" t="s">
        <v>6629</v>
      </c>
      <c r="N1785" t="s">
        <v>216</v>
      </c>
      <c r="O1785" t="s">
        <v>6394</v>
      </c>
      <c r="P1785" s="4">
        <v>1500</v>
      </c>
      <c r="Q1785">
        <f>(P1785/50)+45</f>
        <v>75</v>
      </c>
      <c r="R1785">
        <f>Q1785/60</f>
        <v>1.25</v>
      </c>
      <c r="S1785" s="2">
        <v>45743</v>
      </c>
      <c r="U1785">
        <v>2</v>
      </c>
      <c r="V1785" s="4">
        <v>3000</v>
      </c>
      <c r="W1785" t="s">
        <v>65</v>
      </c>
      <c r="X1785">
        <v>701534290001</v>
      </c>
      <c r="Y1785">
        <v>0</v>
      </c>
      <c r="Z1785" s="4">
        <v>3000</v>
      </c>
      <c r="AA1785">
        <v>0</v>
      </c>
      <c r="AB1785">
        <v>0</v>
      </c>
      <c r="AC1785">
        <v>0</v>
      </c>
      <c r="AD1785">
        <v>0</v>
      </c>
      <c r="AG1785">
        <v>0</v>
      </c>
      <c r="AP1785">
        <v>70153429</v>
      </c>
      <c r="AQ1785" t="s">
        <v>1139</v>
      </c>
      <c r="AR1785" t="s">
        <v>6671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BC1785" t="s">
        <v>69</v>
      </c>
      <c r="BD1785" t="s">
        <v>5866</v>
      </c>
      <c r="BE1785">
        <v>0</v>
      </c>
      <c r="BG1785" t="s">
        <v>1139</v>
      </c>
      <c r="BJ1785" t="s">
        <v>5867</v>
      </c>
    </row>
    <row r="1786" spans="1:62" x14ac:dyDescent="0.35">
      <c r="A1786" t="s">
        <v>4453</v>
      </c>
      <c r="B1786">
        <v>10000</v>
      </c>
      <c r="C1786">
        <v>30000</v>
      </c>
      <c r="D1786" s="2">
        <v>45744</v>
      </c>
      <c r="E1786" t="s">
        <v>61</v>
      </c>
      <c r="F1786" t="s">
        <v>4454</v>
      </c>
      <c r="G1786" t="s">
        <v>4218</v>
      </c>
      <c r="I1786">
        <v>3</v>
      </c>
      <c r="J1786" t="s">
        <v>63</v>
      </c>
      <c r="K1786" s="8">
        <v>85</v>
      </c>
      <c r="L1786" s="8" t="s">
        <v>6585</v>
      </c>
      <c r="M1786" s="8" t="s">
        <v>6628</v>
      </c>
      <c r="N1786" t="s">
        <v>327</v>
      </c>
      <c r="O1786" t="s">
        <v>6580</v>
      </c>
      <c r="P1786" s="4">
        <v>10000</v>
      </c>
      <c r="S1786" s="2">
        <v>45743</v>
      </c>
      <c r="U1786">
        <v>11</v>
      </c>
      <c r="V1786" s="4">
        <v>110000</v>
      </c>
      <c r="W1786" t="s">
        <v>65</v>
      </c>
      <c r="X1786" t="s">
        <v>4455</v>
      </c>
      <c r="Y1786">
        <v>0</v>
      </c>
      <c r="Z1786" s="4">
        <v>100000</v>
      </c>
      <c r="AA1786" s="4">
        <v>10000</v>
      </c>
      <c r="AB1786">
        <v>0</v>
      </c>
      <c r="AC1786">
        <v>0</v>
      </c>
      <c r="AD1786">
        <v>0</v>
      </c>
      <c r="AG1786">
        <v>0</v>
      </c>
      <c r="AP1786" t="s">
        <v>4456</v>
      </c>
      <c r="AQ1786" t="s">
        <v>107</v>
      </c>
      <c r="AR1786" t="s">
        <v>6638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BC1786" t="s">
        <v>69</v>
      </c>
      <c r="BD1786" t="s">
        <v>4457</v>
      </c>
      <c r="BE1786">
        <v>0</v>
      </c>
      <c r="BG1786" t="s">
        <v>107</v>
      </c>
      <c r="BJ1786" t="s">
        <v>4458</v>
      </c>
    </row>
    <row r="1787" spans="1:62" x14ac:dyDescent="0.35">
      <c r="A1787" t="s">
        <v>4459</v>
      </c>
      <c r="B1787">
        <v>10000</v>
      </c>
      <c r="C1787">
        <v>30000</v>
      </c>
      <c r="D1787" s="2">
        <v>45744</v>
      </c>
      <c r="E1787" t="s">
        <v>61</v>
      </c>
      <c r="F1787" t="s">
        <v>4460</v>
      </c>
      <c r="G1787" t="s">
        <v>4218</v>
      </c>
      <c r="I1787">
        <v>3</v>
      </c>
      <c r="J1787" t="s">
        <v>63</v>
      </c>
      <c r="K1787" s="8">
        <v>85</v>
      </c>
      <c r="L1787" s="8" t="s">
        <v>6585</v>
      </c>
      <c r="M1787" s="8" t="s">
        <v>6628</v>
      </c>
      <c r="N1787" t="s">
        <v>327</v>
      </c>
      <c r="O1787" t="s">
        <v>6580</v>
      </c>
      <c r="P1787" s="4">
        <v>10000</v>
      </c>
      <c r="S1787" s="2">
        <v>45743</v>
      </c>
      <c r="U1787">
        <v>11</v>
      </c>
      <c r="V1787" s="4">
        <v>110000</v>
      </c>
      <c r="W1787" t="s">
        <v>65</v>
      </c>
      <c r="X1787" t="s">
        <v>1527</v>
      </c>
      <c r="Y1787">
        <v>0</v>
      </c>
      <c r="Z1787" s="4">
        <v>100000</v>
      </c>
      <c r="AA1787" s="4">
        <v>10000</v>
      </c>
      <c r="AB1787">
        <v>0</v>
      </c>
      <c r="AC1787">
        <v>0</v>
      </c>
      <c r="AD1787">
        <v>0</v>
      </c>
      <c r="AG1787">
        <v>0</v>
      </c>
      <c r="AP1787" t="s">
        <v>1528</v>
      </c>
      <c r="AQ1787" t="s">
        <v>107</v>
      </c>
      <c r="AR1787" t="s">
        <v>6638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BC1787" t="s">
        <v>69</v>
      </c>
      <c r="BD1787" t="s">
        <v>4461</v>
      </c>
      <c r="BE1787">
        <v>0</v>
      </c>
      <c r="BG1787" t="s">
        <v>107</v>
      </c>
      <c r="BJ1787" t="s">
        <v>4462</v>
      </c>
    </row>
    <row r="1788" spans="1:62" x14ac:dyDescent="0.35">
      <c r="A1788" t="s">
        <v>4463</v>
      </c>
      <c r="B1788">
        <v>10000</v>
      </c>
      <c r="C1788">
        <v>30000</v>
      </c>
      <c r="D1788" s="2">
        <v>45744</v>
      </c>
      <c r="E1788" t="s">
        <v>61</v>
      </c>
      <c r="F1788" t="s">
        <v>4464</v>
      </c>
      <c r="G1788" t="s">
        <v>4218</v>
      </c>
      <c r="I1788">
        <v>3</v>
      </c>
      <c r="J1788" t="s">
        <v>63</v>
      </c>
      <c r="K1788" s="8">
        <v>85</v>
      </c>
      <c r="L1788" s="8" t="s">
        <v>6585</v>
      </c>
      <c r="M1788" s="8" t="s">
        <v>6628</v>
      </c>
      <c r="N1788" t="s">
        <v>327</v>
      </c>
      <c r="O1788" t="s">
        <v>6580</v>
      </c>
      <c r="P1788" s="4">
        <v>10000</v>
      </c>
      <c r="S1788" s="2">
        <v>45743</v>
      </c>
      <c r="U1788">
        <v>11</v>
      </c>
      <c r="V1788" s="4">
        <v>110000</v>
      </c>
      <c r="W1788" t="s">
        <v>65</v>
      </c>
      <c r="X1788" t="s">
        <v>1334</v>
      </c>
      <c r="Y1788">
        <v>0</v>
      </c>
      <c r="Z1788" s="4">
        <v>100000</v>
      </c>
      <c r="AA1788" s="4">
        <v>10000</v>
      </c>
      <c r="AB1788">
        <v>0</v>
      </c>
      <c r="AC1788">
        <v>0</v>
      </c>
      <c r="AD1788">
        <v>0</v>
      </c>
      <c r="AG1788">
        <v>0</v>
      </c>
      <c r="AP1788" t="s">
        <v>1335</v>
      </c>
      <c r="AQ1788" t="s">
        <v>107</v>
      </c>
      <c r="AR1788" t="s">
        <v>6638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BC1788" t="s">
        <v>69</v>
      </c>
      <c r="BD1788" t="s">
        <v>4465</v>
      </c>
      <c r="BE1788">
        <v>0</v>
      </c>
      <c r="BG1788" t="s">
        <v>107</v>
      </c>
      <c r="BJ1788" t="s">
        <v>4466</v>
      </c>
    </row>
    <row r="1789" spans="1:62" x14ac:dyDescent="0.35">
      <c r="A1789" t="s">
        <v>5868</v>
      </c>
      <c r="B1789">
        <v>10000</v>
      </c>
      <c r="C1789">
        <v>20000</v>
      </c>
      <c r="D1789" s="2">
        <v>45748</v>
      </c>
      <c r="E1789" t="s">
        <v>61</v>
      </c>
      <c r="F1789" t="s">
        <v>4649</v>
      </c>
      <c r="G1789" t="s">
        <v>4245</v>
      </c>
      <c r="I1789">
        <v>1</v>
      </c>
      <c r="J1789" t="s">
        <v>63</v>
      </c>
      <c r="K1789" s="8">
        <v>63</v>
      </c>
      <c r="L1789" s="8" t="s">
        <v>6605</v>
      </c>
      <c r="M1789" s="8" t="s">
        <v>6630</v>
      </c>
      <c r="N1789" t="s">
        <v>519</v>
      </c>
      <c r="O1789" t="s">
        <v>6569</v>
      </c>
      <c r="P1789" s="4">
        <v>6667</v>
      </c>
      <c r="Q1789">
        <f t="shared" ref="Q1789:Q1790" si="453">(P1789/40)+45</f>
        <v>211.67500000000001</v>
      </c>
      <c r="R1789">
        <f t="shared" ref="R1789:R1790" si="454">Q1789/60</f>
        <v>3.527916666666667</v>
      </c>
      <c r="S1789" s="2">
        <v>45743</v>
      </c>
      <c r="U1789">
        <v>60</v>
      </c>
      <c r="V1789" s="4">
        <v>400020</v>
      </c>
      <c r="W1789" t="s">
        <v>65</v>
      </c>
      <c r="X1789" t="s">
        <v>587</v>
      </c>
      <c r="Y1789">
        <v>0</v>
      </c>
      <c r="Z1789" s="4">
        <v>400000</v>
      </c>
      <c r="AA1789">
        <v>20</v>
      </c>
      <c r="AB1789">
        <v>0</v>
      </c>
      <c r="AC1789">
        <v>0</v>
      </c>
      <c r="AD1789">
        <v>0</v>
      </c>
      <c r="AG1789">
        <v>0</v>
      </c>
      <c r="AP1789" t="s">
        <v>588</v>
      </c>
      <c r="AQ1789" t="s">
        <v>157</v>
      </c>
      <c r="AR1789" t="s">
        <v>6640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BC1789" t="s">
        <v>69</v>
      </c>
      <c r="BD1789" t="s">
        <v>5869</v>
      </c>
      <c r="BE1789">
        <v>0</v>
      </c>
      <c r="BG1789" t="s">
        <v>157</v>
      </c>
      <c r="BJ1789" t="s">
        <v>5870</v>
      </c>
    </row>
    <row r="1790" spans="1:62" x14ac:dyDescent="0.35">
      <c r="A1790" t="s">
        <v>5871</v>
      </c>
      <c r="B1790">
        <v>10000</v>
      </c>
      <c r="C1790">
        <v>10000</v>
      </c>
      <c r="D1790" s="2">
        <v>45744</v>
      </c>
      <c r="E1790" t="s">
        <v>61</v>
      </c>
      <c r="F1790" t="s">
        <v>5652</v>
      </c>
      <c r="G1790" t="s">
        <v>5872</v>
      </c>
      <c r="I1790">
        <v>1</v>
      </c>
      <c r="J1790" t="s">
        <v>63</v>
      </c>
      <c r="K1790" s="8">
        <v>63</v>
      </c>
      <c r="L1790" s="8" t="s">
        <v>6605</v>
      </c>
      <c r="M1790" s="8" t="s">
        <v>6630</v>
      </c>
      <c r="N1790" t="s">
        <v>519</v>
      </c>
      <c r="O1790" t="s">
        <v>6569</v>
      </c>
      <c r="P1790" s="4">
        <v>4000</v>
      </c>
      <c r="Q1790">
        <f t="shared" si="453"/>
        <v>145</v>
      </c>
      <c r="R1790">
        <f t="shared" si="454"/>
        <v>2.4166666666666665</v>
      </c>
      <c r="S1790" s="2">
        <v>45743</v>
      </c>
      <c r="U1790">
        <v>20</v>
      </c>
      <c r="V1790" s="4">
        <v>80000</v>
      </c>
      <c r="W1790" t="s">
        <v>65</v>
      </c>
      <c r="X1790" t="s">
        <v>3753</v>
      </c>
      <c r="Y1790">
        <v>0</v>
      </c>
      <c r="Z1790" s="4">
        <v>80000</v>
      </c>
      <c r="AA1790">
        <v>0</v>
      </c>
      <c r="AB1790">
        <v>0</v>
      </c>
      <c r="AC1790">
        <v>0</v>
      </c>
      <c r="AD1790">
        <v>0</v>
      </c>
      <c r="AG1790">
        <v>0</v>
      </c>
      <c r="AP1790" t="s">
        <v>3754</v>
      </c>
      <c r="AQ1790" t="s">
        <v>175</v>
      </c>
      <c r="AR1790" t="s">
        <v>6642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BC1790" t="s">
        <v>69</v>
      </c>
      <c r="BD1790" t="s">
        <v>5873</v>
      </c>
      <c r="BE1790">
        <v>0</v>
      </c>
      <c r="BG1790" t="s">
        <v>175</v>
      </c>
      <c r="BJ1790" t="s">
        <v>5874</v>
      </c>
    </row>
    <row r="1791" spans="1:62" x14ac:dyDescent="0.35">
      <c r="A1791" t="s">
        <v>5875</v>
      </c>
      <c r="B1791">
        <v>10000</v>
      </c>
      <c r="C1791">
        <v>10000</v>
      </c>
      <c r="D1791" s="2">
        <v>45744</v>
      </c>
      <c r="E1791" t="s">
        <v>61</v>
      </c>
      <c r="F1791" t="s">
        <v>5876</v>
      </c>
      <c r="G1791" t="s">
        <v>5877</v>
      </c>
      <c r="I1791">
        <v>1</v>
      </c>
      <c r="J1791" t="s">
        <v>63</v>
      </c>
      <c r="K1791" s="8">
        <v>79</v>
      </c>
      <c r="L1791" s="8" t="s">
        <v>6608</v>
      </c>
      <c r="M1791" s="8" t="s">
        <v>6631</v>
      </c>
      <c r="N1791" t="s">
        <v>573</v>
      </c>
      <c r="O1791" t="s">
        <v>6547</v>
      </c>
      <c r="P1791">
        <v>36</v>
      </c>
      <c r="Q1791">
        <f t="shared" ref="Q1791:Q1793" si="455">(P1791/20)+30</f>
        <v>31.8</v>
      </c>
      <c r="R1791">
        <f t="shared" ref="R1791:R1793" si="456">Q1791/60</f>
        <v>0.53</v>
      </c>
      <c r="S1791" s="2">
        <v>45743</v>
      </c>
      <c r="U1791">
        <v>1</v>
      </c>
      <c r="V1791">
        <v>36</v>
      </c>
      <c r="W1791" t="s">
        <v>65</v>
      </c>
      <c r="X1791" t="s">
        <v>5878</v>
      </c>
      <c r="Y1791">
        <v>0</v>
      </c>
      <c r="Z1791">
        <v>36</v>
      </c>
      <c r="AA1791">
        <v>0</v>
      </c>
      <c r="AB1791">
        <v>0</v>
      </c>
      <c r="AC1791">
        <v>0</v>
      </c>
      <c r="AD1791">
        <v>0</v>
      </c>
      <c r="AG1791">
        <v>0</v>
      </c>
      <c r="AP1791" t="s">
        <v>5879</v>
      </c>
      <c r="AQ1791" t="s">
        <v>1275</v>
      </c>
      <c r="AR1791" t="s">
        <v>6675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BC1791" t="s">
        <v>69</v>
      </c>
      <c r="BD1791" t="s">
        <v>5880</v>
      </c>
      <c r="BE1791">
        <v>0</v>
      </c>
      <c r="BG1791" t="s">
        <v>1275</v>
      </c>
      <c r="BJ1791" t="s">
        <v>5881</v>
      </c>
    </row>
    <row r="1792" spans="1:62" x14ac:dyDescent="0.35">
      <c r="A1792" t="s">
        <v>5882</v>
      </c>
      <c r="B1792">
        <v>10000</v>
      </c>
      <c r="C1792">
        <v>20000</v>
      </c>
      <c r="D1792" s="2">
        <v>45744</v>
      </c>
      <c r="E1792" t="s">
        <v>61</v>
      </c>
      <c r="F1792" t="s">
        <v>5883</v>
      </c>
      <c r="G1792" t="s">
        <v>5877</v>
      </c>
      <c r="I1792">
        <v>1</v>
      </c>
      <c r="J1792" t="s">
        <v>63</v>
      </c>
      <c r="K1792" s="8">
        <v>79</v>
      </c>
      <c r="L1792" s="8" t="s">
        <v>6608</v>
      </c>
      <c r="M1792" s="8" t="s">
        <v>6631</v>
      </c>
      <c r="N1792" t="s">
        <v>573</v>
      </c>
      <c r="O1792" t="s">
        <v>6547</v>
      </c>
      <c r="P1792">
        <v>917</v>
      </c>
      <c r="Q1792">
        <f t="shared" si="455"/>
        <v>75.849999999999994</v>
      </c>
      <c r="R1792">
        <f t="shared" si="456"/>
        <v>1.2641666666666667</v>
      </c>
      <c r="S1792" s="2">
        <v>45743</v>
      </c>
      <c r="U1792">
        <v>120</v>
      </c>
      <c r="V1792" s="4">
        <v>110040</v>
      </c>
      <c r="W1792" t="s">
        <v>65</v>
      </c>
      <c r="X1792" t="s">
        <v>1273</v>
      </c>
      <c r="Y1792">
        <v>0</v>
      </c>
      <c r="Z1792" s="4">
        <v>100000</v>
      </c>
      <c r="AA1792" s="4">
        <v>10040</v>
      </c>
      <c r="AB1792">
        <v>0</v>
      </c>
      <c r="AC1792">
        <v>0</v>
      </c>
      <c r="AD1792">
        <v>0</v>
      </c>
      <c r="AG1792">
        <v>0</v>
      </c>
      <c r="AP1792" t="s">
        <v>1274</v>
      </c>
      <c r="AQ1792" t="s">
        <v>1275</v>
      </c>
      <c r="AR1792" t="s">
        <v>6675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BC1792" t="s">
        <v>69</v>
      </c>
      <c r="BD1792" t="s">
        <v>5884</v>
      </c>
      <c r="BE1792">
        <v>0</v>
      </c>
      <c r="BG1792" t="s">
        <v>1275</v>
      </c>
      <c r="BJ1792" t="s">
        <v>5885</v>
      </c>
    </row>
    <row r="1793" spans="1:62" x14ac:dyDescent="0.35">
      <c r="A1793" t="s">
        <v>5886</v>
      </c>
      <c r="B1793">
        <v>10000</v>
      </c>
      <c r="C1793">
        <v>10000</v>
      </c>
      <c r="D1793" s="2">
        <v>45744</v>
      </c>
      <c r="E1793" t="s">
        <v>61</v>
      </c>
      <c r="F1793" t="s">
        <v>5887</v>
      </c>
      <c r="G1793" t="s">
        <v>5877</v>
      </c>
      <c r="I1793">
        <v>1</v>
      </c>
      <c r="J1793" t="s">
        <v>63</v>
      </c>
      <c r="K1793" s="8">
        <v>79</v>
      </c>
      <c r="L1793" s="8" t="s">
        <v>6608</v>
      </c>
      <c r="M1793" s="8" t="s">
        <v>6631</v>
      </c>
      <c r="N1793" t="s">
        <v>573</v>
      </c>
      <c r="O1793" t="s">
        <v>6547</v>
      </c>
      <c r="P1793">
        <v>575</v>
      </c>
      <c r="Q1793">
        <f t="shared" si="455"/>
        <v>58.75</v>
      </c>
      <c r="R1793">
        <f t="shared" si="456"/>
        <v>0.97916666666666663</v>
      </c>
      <c r="S1793" s="2">
        <v>45743</v>
      </c>
      <c r="U1793">
        <v>200</v>
      </c>
      <c r="V1793" s="4">
        <v>115000</v>
      </c>
      <c r="W1793" t="s">
        <v>65</v>
      </c>
      <c r="X1793" t="s">
        <v>1768</v>
      </c>
      <c r="Y1793">
        <v>0</v>
      </c>
      <c r="Z1793" s="4">
        <v>100000</v>
      </c>
      <c r="AA1793" s="4">
        <v>15000</v>
      </c>
      <c r="AB1793">
        <v>0</v>
      </c>
      <c r="AC1793">
        <v>0</v>
      </c>
      <c r="AD1793">
        <v>0</v>
      </c>
      <c r="AG1793">
        <v>0</v>
      </c>
      <c r="AP1793" t="s">
        <v>1769</v>
      </c>
      <c r="AQ1793" t="s">
        <v>1275</v>
      </c>
      <c r="AR1793" t="s">
        <v>6675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BC1793" t="s">
        <v>69</v>
      </c>
      <c r="BD1793" t="s">
        <v>5888</v>
      </c>
      <c r="BE1793">
        <v>0</v>
      </c>
      <c r="BG1793" t="s">
        <v>1275</v>
      </c>
      <c r="BJ1793" t="s">
        <v>5885</v>
      </c>
    </row>
    <row r="1794" spans="1:62" x14ac:dyDescent="0.35">
      <c r="A1794" t="s">
        <v>5719</v>
      </c>
      <c r="B1794">
        <v>10000</v>
      </c>
      <c r="C1794">
        <v>20000</v>
      </c>
      <c r="D1794" s="2">
        <v>45744</v>
      </c>
      <c r="E1794" t="s">
        <v>61</v>
      </c>
      <c r="F1794" t="s">
        <v>5720</v>
      </c>
      <c r="G1794" t="s">
        <v>4340</v>
      </c>
      <c r="I1794">
        <v>2</v>
      </c>
      <c r="J1794" t="s">
        <v>63</v>
      </c>
      <c r="K1794" s="8">
        <v>71</v>
      </c>
      <c r="L1794" s="8" t="s">
        <v>6588</v>
      </c>
      <c r="M1794" s="8" t="s">
        <v>6630</v>
      </c>
      <c r="N1794" t="s">
        <v>135</v>
      </c>
      <c r="O1794" t="s">
        <v>6573</v>
      </c>
      <c r="P1794" s="4">
        <v>13334</v>
      </c>
      <c r="S1794" s="2">
        <v>45743</v>
      </c>
      <c r="U1794">
        <v>6</v>
      </c>
      <c r="V1794" s="4">
        <v>80004</v>
      </c>
      <c r="W1794" t="s">
        <v>65</v>
      </c>
      <c r="X1794" t="s">
        <v>5721</v>
      </c>
      <c r="Y1794">
        <v>0</v>
      </c>
      <c r="Z1794" s="4">
        <v>80000</v>
      </c>
      <c r="AA1794">
        <v>4</v>
      </c>
      <c r="AB1794">
        <v>0</v>
      </c>
      <c r="AC1794">
        <v>0</v>
      </c>
      <c r="AD1794">
        <v>0</v>
      </c>
      <c r="AG1794">
        <v>0</v>
      </c>
      <c r="AP1794" t="s">
        <v>5722</v>
      </c>
      <c r="AQ1794" t="s">
        <v>91</v>
      </c>
      <c r="AR1794" t="s">
        <v>6637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BC1794" t="s">
        <v>69</v>
      </c>
      <c r="BD1794" t="s">
        <v>5723</v>
      </c>
      <c r="BE1794">
        <v>0</v>
      </c>
      <c r="BG1794" t="s">
        <v>91</v>
      </c>
      <c r="BJ1794" t="s">
        <v>5484</v>
      </c>
    </row>
    <row r="1795" spans="1:62" x14ac:dyDescent="0.35">
      <c r="A1795" t="s">
        <v>5724</v>
      </c>
      <c r="B1795">
        <v>10000</v>
      </c>
      <c r="C1795">
        <v>20000</v>
      </c>
      <c r="D1795" s="2">
        <v>45743</v>
      </c>
      <c r="E1795" t="s">
        <v>61</v>
      </c>
      <c r="F1795" t="s">
        <v>5735</v>
      </c>
      <c r="G1795" t="s">
        <v>5717</v>
      </c>
      <c r="I1795">
        <v>2</v>
      </c>
      <c r="J1795" t="s">
        <v>63</v>
      </c>
      <c r="K1795" s="8">
        <v>71</v>
      </c>
      <c r="L1795" s="8" t="s">
        <v>6588</v>
      </c>
      <c r="M1795" s="8" t="s">
        <v>6630</v>
      </c>
      <c r="N1795" t="s">
        <v>135</v>
      </c>
      <c r="O1795" t="s">
        <v>6573</v>
      </c>
      <c r="P1795" s="4">
        <v>6667</v>
      </c>
      <c r="S1795" s="2">
        <v>45743</v>
      </c>
      <c r="U1795">
        <v>6</v>
      </c>
      <c r="V1795" s="4">
        <v>40002</v>
      </c>
      <c r="W1795" t="s">
        <v>65</v>
      </c>
      <c r="X1795" t="s">
        <v>5726</v>
      </c>
      <c r="Y1795">
        <v>0</v>
      </c>
      <c r="Z1795" s="4">
        <v>40000</v>
      </c>
      <c r="AA1795">
        <v>2</v>
      </c>
      <c r="AB1795">
        <v>0</v>
      </c>
      <c r="AC1795">
        <v>0</v>
      </c>
      <c r="AD1795">
        <v>0</v>
      </c>
      <c r="AG1795">
        <v>0</v>
      </c>
      <c r="AP1795" t="s">
        <v>5727</v>
      </c>
      <c r="AQ1795" t="s">
        <v>91</v>
      </c>
      <c r="AR1795" t="s">
        <v>6637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BC1795" t="s">
        <v>69</v>
      </c>
      <c r="BD1795" t="s">
        <v>5728</v>
      </c>
      <c r="BE1795">
        <v>0</v>
      </c>
      <c r="BG1795" t="s">
        <v>91</v>
      </c>
      <c r="BJ1795" t="s">
        <v>5484</v>
      </c>
    </row>
    <row r="1796" spans="1:62" x14ac:dyDescent="0.35">
      <c r="A1796" t="s">
        <v>5731</v>
      </c>
      <c r="B1796">
        <v>10000</v>
      </c>
      <c r="C1796">
        <v>20000</v>
      </c>
      <c r="D1796" s="2">
        <v>45744</v>
      </c>
      <c r="E1796" t="s">
        <v>61</v>
      </c>
      <c r="F1796" t="s">
        <v>5732</v>
      </c>
      <c r="G1796" t="s">
        <v>4340</v>
      </c>
      <c r="I1796">
        <v>2</v>
      </c>
      <c r="J1796" t="s">
        <v>63</v>
      </c>
      <c r="K1796" s="8">
        <v>71</v>
      </c>
      <c r="L1796" s="8" t="s">
        <v>6588</v>
      </c>
      <c r="M1796" s="8" t="s">
        <v>6630</v>
      </c>
      <c r="N1796" t="s">
        <v>135</v>
      </c>
      <c r="O1796" t="s">
        <v>6573</v>
      </c>
      <c r="P1796" s="4">
        <v>10000</v>
      </c>
      <c r="S1796" s="2">
        <v>45743</v>
      </c>
      <c r="U1796">
        <v>6</v>
      </c>
      <c r="V1796" s="4">
        <v>60000</v>
      </c>
      <c r="W1796" t="s">
        <v>65</v>
      </c>
      <c r="X1796" t="s">
        <v>5721</v>
      </c>
      <c r="Y1796">
        <v>0</v>
      </c>
      <c r="Z1796" s="4">
        <v>60000</v>
      </c>
      <c r="AA1796">
        <v>0</v>
      </c>
      <c r="AB1796">
        <v>0</v>
      </c>
      <c r="AC1796">
        <v>0</v>
      </c>
      <c r="AD1796">
        <v>0</v>
      </c>
      <c r="AG1796">
        <v>0</v>
      </c>
      <c r="AP1796" t="s">
        <v>5722</v>
      </c>
      <c r="AQ1796" t="s">
        <v>91</v>
      </c>
      <c r="AR1796" t="s">
        <v>6637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BC1796" t="s">
        <v>69</v>
      </c>
      <c r="BD1796" t="s">
        <v>5733</v>
      </c>
      <c r="BE1796">
        <v>0</v>
      </c>
      <c r="BG1796" t="s">
        <v>91</v>
      </c>
      <c r="BJ1796" t="s">
        <v>5496</v>
      </c>
    </row>
    <row r="1797" spans="1:62" x14ac:dyDescent="0.35">
      <c r="A1797" t="s">
        <v>5734</v>
      </c>
      <c r="B1797">
        <v>10000</v>
      </c>
      <c r="C1797">
        <v>20000</v>
      </c>
      <c r="D1797" s="2">
        <v>45743</v>
      </c>
      <c r="E1797" t="s">
        <v>61</v>
      </c>
      <c r="F1797" t="s">
        <v>5735</v>
      </c>
      <c r="G1797" t="s">
        <v>5717</v>
      </c>
      <c r="I1797">
        <v>2</v>
      </c>
      <c r="J1797" t="s">
        <v>63</v>
      </c>
      <c r="K1797" s="8">
        <v>71</v>
      </c>
      <c r="L1797" s="8" t="s">
        <v>6588</v>
      </c>
      <c r="M1797" s="8" t="s">
        <v>6630</v>
      </c>
      <c r="N1797" t="s">
        <v>135</v>
      </c>
      <c r="O1797" t="s">
        <v>6573</v>
      </c>
      <c r="P1797" s="4">
        <v>5000</v>
      </c>
      <c r="S1797" s="2">
        <v>45743</v>
      </c>
      <c r="U1797">
        <v>6</v>
      </c>
      <c r="V1797" s="4">
        <v>30000</v>
      </c>
      <c r="W1797" t="s">
        <v>65</v>
      </c>
      <c r="X1797" t="s">
        <v>5726</v>
      </c>
      <c r="Y1797">
        <v>0</v>
      </c>
      <c r="Z1797" s="4">
        <v>30000</v>
      </c>
      <c r="AA1797">
        <v>0</v>
      </c>
      <c r="AB1797">
        <v>0</v>
      </c>
      <c r="AC1797">
        <v>0</v>
      </c>
      <c r="AD1797">
        <v>0</v>
      </c>
      <c r="AG1797">
        <v>0</v>
      </c>
      <c r="AP1797" t="s">
        <v>5727</v>
      </c>
      <c r="AQ1797" t="s">
        <v>91</v>
      </c>
      <c r="AR1797" t="s">
        <v>6637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BC1797" t="s">
        <v>69</v>
      </c>
      <c r="BD1797" t="s">
        <v>5736</v>
      </c>
      <c r="BE1797">
        <v>0</v>
      </c>
      <c r="BG1797" t="s">
        <v>91</v>
      </c>
      <c r="BJ1797" t="s">
        <v>5496</v>
      </c>
    </row>
    <row r="1798" spans="1:62" x14ac:dyDescent="0.35">
      <c r="A1798" t="s">
        <v>5889</v>
      </c>
      <c r="B1798">
        <v>10000</v>
      </c>
      <c r="C1798">
        <v>10000</v>
      </c>
      <c r="D1798" s="2">
        <v>45749</v>
      </c>
      <c r="E1798" t="s">
        <v>61</v>
      </c>
      <c r="F1798" s="3">
        <v>0.47821759259259261</v>
      </c>
      <c r="G1798" t="s">
        <v>5742</v>
      </c>
      <c r="I1798">
        <v>1</v>
      </c>
      <c r="J1798" t="s">
        <v>63</v>
      </c>
      <c r="K1798" s="8">
        <v>88</v>
      </c>
      <c r="L1798" s="8" t="s">
        <v>6610</v>
      </c>
      <c r="M1798" s="8" t="s">
        <v>6631</v>
      </c>
      <c r="N1798" t="s">
        <v>630</v>
      </c>
      <c r="O1798" t="s">
        <v>6571</v>
      </c>
      <c r="P1798">
        <v>800</v>
      </c>
      <c r="S1798" s="2">
        <v>45743</v>
      </c>
      <c r="U1798">
        <v>1</v>
      </c>
      <c r="V1798">
        <v>800</v>
      </c>
      <c r="W1798" t="s">
        <v>65</v>
      </c>
      <c r="X1798">
        <v>107343750001</v>
      </c>
      <c r="Y1798">
        <v>0</v>
      </c>
      <c r="Z1798">
        <v>500</v>
      </c>
      <c r="AA1798">
        <v>300</v>
      </c>
      <c r="AB1798">
        <v>0</v>
      </c>
      <c r="AC1798">
        <v>0</v>
      </c>
      <c r="AD1798">
        <v>0</v>
      </c>
      <c r="AG1798">
        <v>0</v>
      </c>
      <c r="AP1798">
        <v>10734375</v>
      </c>
      <c r="AQ1798" t="s">
        <v>487</v>
      </c>
      <c r="AR1798" t="s">
        <v>6656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BC1798" t="s">
        <v>69</v>
      </c>
      <c r="BD1798" t="s">
        <v>5890</v>
      </c>
      <c r="BE1798">
        <v>0</v>
      </c>
      <c r="BG1798" t="s">
        <v>487</v>
      </c>
      <c r="BJ1798" t="s">
        <v>5744</v>
      </c>
    </row>
    <row r="1799" spans="1:62" x14ac:dyDescent="0.35">
      <c r="A1799" t="s">
        <v>5891</v>
      </c>
      <c r="B1799">
        <v>10000</v>
      </c>
      <c r="C1799">
        <v>10000</v>
      </c>
      <c r="D1799" s="2">
        <v>45749</v>
      </c>
      <c r="E1799" t="s">
        <v>61</v>
      </c>
      <c r="F1799" s="3">
        <v>0.47776620370370371</v>
      </c>
      <c r="G1799" t="s">
        <v>5742</v>
      </c>
      <c r="I1799">
        <v>1</v>
      </c>
      <c r="J1799" t="s">
        <v>63</v>
      </c>
      <c r="K1799" s="8">
        <v>88</v>
      </c>
      <c r="L1799" s="8" t="s">
        <v>6610</v>
      </c>
      <c r="M1799" s="8" t="s">
        <v>6631</v>
      </c>
      <c r="N1799" t="s">
        <v>630</v>
      </c>
      <c r="O1799" t="s">
        <v>6571</v>
      </c>
      <c r="P1799">
        <v>20</v>
      </c>
      <c r="S1799" s="2">
        <v>45743</v>
      </c>
      <c r="U1799">
        <v>1</v>
      </c>
      <c r="V1799">
        <v>20</v>
      </c>
      <c r="W1799" t="s">
        <v>65</v>
      </c>
      <c r="X1799">
        <v>107343750001</v>
      </c>
      <c r="Y1799">
        <v>0</v>
      </c>
      <c r="Z1799">
        <v>20</v>
      </c>
      <c r="AA1799">
        <v>0</v>
      </c>
      <c r="AB1799">
        <v>0</v>
      </c>
      <c r="AC1799">
        <v>0</v>
      </c>
      <c r="AD1799">
        <v>0</v>
      </c>
      <c r="AG1799">
        <v>0</v>
      </c>
      <c r="AP1799">
        <v>10734375</v>
      </c>
      <c r="AQ1799" t="s">
        <v>487</v>
      </c>
      <c r="AR1799" t="s">
        <v>6656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BC1799" t="s">
        <v>69</v>
      </c>
      <c r="BD1799" t="s">
        <v>5892</v>
      </c>
      <c r="BE1799">
        <v>0</v>
      </c>
      <c r="BG1799" t="s">
        <v>487</v>
      </c>
      <c r="BJ1799" t="s">
        <v>5747</v>
      </c>
    </row>
    <row r="1800" spans="1:62" x14ac:dyDescent="0.35">
      <c r="A1800" t="s">
        <v>5893</v>
      </c>
      <c r="B1800">
        <v>10000</v>
      </c>
      <c r="C1800">
        <v>10000</v>
      </c>
      <c r="D1800" s="2">
        <v>45744</v>
      </c>
      <c r="E1800" t="s">
        <v>61</v>
      </c>
      <c r="F1800" t="s">
        <v>5883</v>
      </c>
      <c r="G1800" t="s">
        <v>5877</v>
      </c>
      <c r="I1800">
        <v>1</v>
      </c>
      <c r="J1800" t="s">
        <v>63</v>
      </c>
      <c r="K1800" s="8">
        <v>79</v>
      </c>
      <c r="L1800" s="8" t="s">
        <v>6608</v>
      </c>
      <c r="M1800" s="8" t="s">
        <v>6631</v>
      </c>
      <c r="N1800" t="s">
        <v>573</v>
      </c>
      <c r="O1800" t="s">
        <v>6547</v>
      </c>
      <c r="P1800">
        <v>917</v>
      </c>
      <c r="Q1800">
        <f t="shared" ref="Q1800:Q1807" si="457">(P1800/20)+30</f>
        <v>75.849999999999994</v>
      </c>
      <c r="R1800">
        <f t="shared" ref="R1800:R1807" si="458">Q1800/60</f>
        <v>1.2641666666666667</v>
      </c>
      <c r="S1800" s="2">
        <v>45743</v>
      </c>
      <c r="U1800">
        <v>120</v>
      </c>
      <c r="V1800" s="4">
        <v>110040</v>
      </c>
      <c r="W1800" t="s">
        <v>65</v>
      </c>
      <c r="X1800" t="s">
        <v>1273</v>
      </c>
      <c r="Y1800">
        <v>0</v>
      </c>
      <c r="Z1800" s="4">
        <v>100000</v>
      </c>
      <c r="AA1800" s="4">
        <v>10040</v>
      </c>
      <c r="AB1800">
        <v>0</v>
      </c>
      <c r="AC1800">
        <v>0</v>
      </c>
      <c r="AD1800">
        <v>0</v>
      </c>
      <c r="AG1800">
        <v>0</v>
      </c>
      <c r="AP1800" t="s">
        <v>1274</v>
      </c>
      <c r="AQ1800" t="s">
        <v>1275</v>
      </c>
      <c r="AR1800" t="s">
        <v>6675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BC1800" t="s">
        <v>69</v>
      </c>
      <c r="BD1800" t="s">
        <v>5894</v>
      </c>
      <c r="BE1800">
        <v>0</v>
      </c>
      <c r="BG1800" t="s">
        <v>1275</v>
      </c>
      <c r="BJ1800" t="s">
        <v>5895</v>
      </c>
    </row>
    <row r="1801" spans="1:62" x14ac:dyDescent="0.35">
      <c r="A1801" t="s">
        <v>5896</v>
      </c>
      <c r="B1801">
        <v>10000</v>
      </c>
      <c r="C1801">
        <v>10000</v>
      </c>
      <c r="D1801" s="2">
        <v>45744</v>
      </c>
      <c r="E1801" t="s">
        <v>61</v>
      </c>
      <c r="F1801" t="s">
        <v>5887</v>
      </c>
      <c r="G1801" t="s">
        <v>5877</v>
      </c>
      <c r="I1801">
        <v>1</v>
      </c>
      <c r="J1801" t="s">
        <v>63</v>
      </c>
      <c r="K1801" s="8">
        <v>79</v>
      </c>
      <c r="L1801" s="8" t="s">
        <v>6608</v>
      </c>
      <c r="M1801" s="8" t="s">
        <v>6631</v>
      </c>
      <c r="N1801" t="s">
        <v>573</v>
      </c>
      <c r="O1801" t="s">
        <v>6547</v>
      </c>
      <c r="P1801">
        <v>575</v>
      </c>
      <c r="Q1801">
        <f t="shared" si="457"/>
        <v>58.75</v>
      </c>
      <c r="R1801">
        <f t="shared" si="458"/>
        <v>0.97916666666666663</v>
      </c>
      <c r="S1801" s="2">
        <v>45743</v>
      </c>
      <c r="U1801">
        <v>200</v>
      </c>
      <c r="V1801" s="4">
        <v>115000</v>
      </c>
      <c r="W1801" t="s">
        <v>65</v>
      </c>
      <c r="X1801" t="s">
        <v>1768</v>
      </c>
      <c r="Y1801">
        <v>0</v>
      </c>
      <c r="Z1801" s="4">
        <v>100000</v>
      </c>
      <c r="AA1801" s="4">
        <v>15000</v>
      </c>
      <c r="AB1801">
        <v>0</v>
      </c>
      <c r="AC1801">
        <v>0</v>
      </c>
      <c r="AD1801">
        <v>0</v>
      </c>
      <c r="AG1801">
        <v>0</v>
      </c>
      <c r="AP1801" t="s">
        <v>1769</v>
      </c>
      <c r="AQ1801" t="s">
        <v>1275</v>
      </c>
      <c r="AR1801" t="s">
        <v>6675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BC1801" t="s">
        <v>69</v>
      </c>
      <c r="BD1801" t="s">
        <v>5897</v>
      </c>
      <c r="BE1801">
        <v>0</v>
      </c>
      <c r="BG1801" t="s">
        <v>1275</v>
      </c>
      <c r="BJ1801" t="s">
        <v>5895</v>
      </c>
    </row>
    <row r="1802" spans="1:62" x14ac:dyDescent="0.35">
      <c r="A1802" t="s">
        <v>5898</v>
      </c>
      <c r="B1802">
        <v>10000</v>
      </c>
      <c r="C1802">
        <v>10000</v>
      </c>
      <c r="D1802" s="2">
        <v>45744</v>
      </c>
      <c r="E1802" t="s">
        <v>61</v>
      </c>
      <c r="F1802" t="s">
        <v>5883</v>
      </c>
      <c r="G1802" t="s">
        <v>5877</v>
      </c>
      <c r="I1802">
        <v>1</v>
      </c>
      <c r="J1802" t="s">
        <v>63</v>
      </c>
      <c r="K1802" s="8">
        <v>79</v>
      </c>
      <c r="L1802" s="8" t="s">
        <v>6608</v>
      </c>
      <c r="M1802" s="8" t="s">
        <v>6631</v>
      </c>
      <c r="N1802" t="s">
        <v>296</v>
      </c>
      <c r="O1802" t="s">
        <v>6550</v>
      </c>
      <c r="P1802">
        <v>917</v>
      </c>
      <c r="Q1802">
        <f t="shared" si="457"/>
        <v>75.849999999999994</v>
      </c>
      <c r="R1802">
        <f t="shared" si="458"/>
        <v>1.2641666666666667</v>
      </c>
      <c r="S1802" s="2">
        <v>45743</v>
      </c>
      <c r="U1802">
        <v>120</v>
      </c>
      <c r="V1802" s="4">
        <v>110040</v>
      </c>
      <c r="W1802" t="s">
        <v>65</v>
      </c>
      <c r="X1802" t="s">
        <v>1273</v>
      </c>
      <c r="Y1802">
        <v>0</v>
      </c>
      <c r="Z1802" s="4">
        <v>100000</v>
      </c>
      <c r="AA1802" s="4">
        <v>10040</v>
      </c>
      <c r="AB1802">
        <v>0</v>
      </c>
      <c r="AC1802">
        <v>0</v>
      </c>
      <c r="AD1802">
        <v>0</v>
      </c>
      <c r="AG1802">
        <v>0</v>
      </c>
      <c r="AP1802" t="s">
        <v>1274</v>
      </c>
      <c r="AQ1802" t="s">
        <v>1275</v>
      </c>
      <c r="AR1802" t="s">
        <v>6675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BC1802" t="s">
        <v>69</v>
      </c>
      <c r="BD1802" t="s">
        <v>5899</v>
      </c>
      <c r="BE1802">
        <v>0</v>
      </c>
      <c r="BG1802" t="s">
        <v>1275</v>
      </c>
      <c r="BJ1802" t="s">
        <v>5900</v>
      </c>
    </row>
    <row r="1803" spans="1:62" x14ac:dyDescent="0.35">
      <c r="A1803" t="s">
        <v>5901</v>
      </c>
      <c r="B1803">
        <v>10000</v>
      </c>
      <c r="C1803">
        <v>10000</v>
      </c>
      <c r="D1803" s="2">
        <v>45744</v>
      </c>
      <c r="E1803" t="s">
        <v>61</v>
      </c>
      <c r="F1803" t="s">
        <v>5887</v>
      </c>
      <c r="G1803" t="s">
        <v>5877</v>
      </c>
      <c r="I1803">
        <v>1</v>
      </c>
      <c r="J1803" t="s">
        <v>63</v>
      </c>
      <c r="K1803" s="8">
        <v>79</v>
      </c>
      <c r="L1803" s="8" t="s">
        <v>6608</v>
      </c>
      <c r="M1803" s="8" t="s">
        <v>6631</v>
      </c>
      <c r="N1803" t="s">
        <v>573</v>
      </c>
      <c r="O1803" t="s">
        <v>6547</v>
      </c>
      <c r="P1803">
        <v>575</v>
      </c>
      <c r="Q1803">
        <f t="shared" si="457"/>
        <v>58.75</v>
      </c>
      <c r="R1803">
        <f t="shared" si="458"/>
        <v>0.97916666666666663</v>
      </c>
      <c r="S1803" s="2">
        <v>45743</v>
      </c>
      <c r="U1803">
        <v>200</v>
      </c>
      <c r="V1803" s="4">
        <v>115000</v>
      </c>
      <c r="W1803" t="s">
        <v>65</v>
      </c>
      <c r="X1803" t="s">
        <v>1768</v>
      </c>
      <c r="Y1803">
        <v>0</v>
      </c>
      <c r="Z1803" s="4">
        <v>100000</v>
      </c>
      <c r="AA1803" s="4">
        <v>15000</v>
      </c>
      <c r="AB1803">
        <v>0</v>
      </c>
      <c r="AC1803">
        <v>0</v>
      </c>
      <c r="AD1803">
        <v>0</v>
      </c>
      <c r="AG1803">
        <v>0</v>
      </c>
      <c r="AP1803" t="s">
        <v>1769</v>
      </c>
      <c r="AQ1803" t="s">
        <v>1275</v>
      </c>
      <c r="AR1803" t="s">
        <v>6675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BC1803" t="s">
        <v>69</v>
      </c>
      <c r="BD1803" t="s">
        <v>5902</v>
      </c>
      <c r="BE1803">
        <v>0</v>
      </c>
      <c r="BG1803" t="s">
        <v>1275</v>
      </c>
      <c r="BJ1803" t="s">
        <v>5900</v>
      </c>
    </row>
    <row r="1804" spans="1:62" x14ac:dyDescent="0.35">
      <c r="A1804" t="s">
        <v>5903</v>
      </c>
      <c r="B1804">
        <v>10000</v>
      </c>
      <c r="C1804">
        <v>10000</v>
      </c>
      <c r="D1804" s="2">
        <v>45744</v>
      </c>
      <c r="E1804" t="s">
        <v>61</v>
      </c>
      <c r="F1804" t="s">
        <v>5883</v>
      </c>
      <c r="G1804" t="s">
        <v>5877</v>
      </c>
      <c r="I1804">
        <v>1</v>
      </c>
      <c r="J1804" t="s">
        <v>63</v>
      </c>
      <c r="K1804" s="8">
        <v>79</v>
      </c>
      <c r="L1804" s="8" t="s">
        <v>6608</v>
      </c>
      <c r="M1804" s="8" t="s">
        <v>6631</v>
      </c>
      <c r="N1804" t="s">
        <v>296</v>
      </c>
      <c r="O1804" t="s">
        <v>6550</v>
      </c>
      <c r="P1804">
        <v>917</v>
      </c>
      <c r="Q1804">
        <f t="shared" si="457"/>
        <v>75.849999999999994</v>
      </c>
      <c r="R1804">
        <f t="shared" si="458"/>
        <v>1.2641666666666667</v>
      </c>
      <c r="S1804" s="2">
        <v>45743</v>
      </c>
      <c r="U1804">
        <v>120</v>
      </c>
      <c r="V1804" s="4">
        <v>110040</v>
      </c>
      <c r="W1804" t="s">
        <v>65</v>
      </c>
      <c r="X1804" t="s">
        <v>1273</v>
      </c>
      <c r="Y1804">
        <v>0</v>
      </c>
      <c r="Z1804" s="4">
        <v>100000</v>
      </c>
      <c r="AA1804" s="4">
        <v>10040</v>
      </c>
      <c r="AB1804">
        <v>0</v>
      </c>
      <c r="AC1804">
        <v>0</v>
      </c>
      <c r="AD1804">
        <v>0</v>
      </c>
      <c r="AG1804">
        <v>0</v>
      </c>
      <c r="AP1804" t="s">
        <v>1274</v>
      </c>
      <c r="AQ1804" t="s">
        <v>1275</v>
      </c>
      <c r="AR1804" t="s">
        <v>6675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BC1804" t="s">
        <v>69</v>
      </c>
      <c r="BD1804" t="s">
        <v>5904</v>
      </c>
      <c r="BE1804">
        <v>0</v>
      </c>
      <c r="BG1804" t="s">
        <v>1275</v>
      </c>
      <c r="BJ1804" t="s">
        <v>5905</v>
      </c>
    </row>
    <row r="1805" spans="1:62" x14ac:dyDescent="0.35">
      <c r="A1805" t="s">
        <v>5906</v>
      </c>
      <c r="B1805">
        <v>10000</v>
      </c>
      <c r="C1805">
        <v>10000</v>
      </c>
      <c r="D1805" s="2">
        <v>45744</v>
      </c>
      <c r="E1805" t="s">
        <v>61</v>
      </c>
      <c r="F1805" t="s">
        <v>5887</v>
      </c>
      <c r="G1805" t="s">
        <v>5877</v>
      </c>
      <c r="I1805">
        <v>1</v>
      </c>
      <c r="J1805" t="s">
        <v>63</v>
      </c>
      <c r="K1805" s="8">
        <v>79</v>
      </c>
      <c r="L1805" s="8" t="s">
        <v>6608</v>
      </c>
      <c r="M1805" s="8" t="s">
        <v>6631</v>
      </c>
      <c r="N1805" t="s">
        <v>573</v>
      </c>
      <c r="O1805" t="s">
        <v>6547</v>
      </c>
      <c r="P1805">
        <v>575</v>
      </c>
      <c r="Q1805">
        <f t="shared" si="457"/>
        <v>58.75</v>
      </c>
      <c r="R1805">
        <f t="shared" si="458"/>
        <v>0.97916666666666663</v>
      </c>
      <c r="S1805" s="2">
        <v>45743</v>
      </c>
      <c r="U1805">
        <v>200</v>
      </c>
      <c r="V1805" s="4">
        <v>115000</v>
      </c>
      <c r="W1805" t="s">
        <v>65</v>
      </c>
      <c r="X1805" t="s">
        <v>1768</v>
      </c>
      <c r="Y1805">
        <v>0</v>
      </c>
      <c r="Z1805" s="4">
        <v>100000</v>
      </c>
      <c r="AA1805" s="4">
        <v>15000</v>
      </c>
      <c r="AB1805">
        <v>0</v>
      </c>
      <c r="AC1805">
        <v>0</v>
      </c>
      <c r="AD1805">
        <v>0</v>
      </c>
      <c r="AG1805">
        <v>0</v>
      </c>
      <c r="AP1805" t="s">
        <v>1769</v>
      </c>
      <c r="AQ1805" t="s">
        <v>1275</v>
      </c>
      <c r="AR1805" t="s">
        <v>6675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BC1805" t="s">
        <v>69</v>
      </c>
      <c r="BD1805" t="s">
        <v>5907</v>
      </c>
      <c r="BE1805">
        <v>0</v>
      </c>
      <c r="BG1805" t="s">
        <v>1275</v>
      </c>
      <c r="BJ1805" t="s">
        <v>5905</v>
      </c>
    </row>
    <row r="1806" spans="1:62" x14ac:dyDescent="0.35">
      <c r="A1806" t="s">
        <v>5908</v>
      </c>
      <c r="B1806">
        <v>10000</v>
      </c>
      <c r="C1806">
        <v>10000</v>
      </c>
      <c r="D1806" s="2">
        <v>45744</v>
      </c>
      <c r="E1806" t="s">
        <v>61</v>
      </c>
      <c r="F1806" t="s">
        <v>5883</v>
      </c>
      <c r="G1806" t="s">
        <v>5877</v>
      </c>
      <c r="I1806">
        <v>1</v>
      </c>
      <c r="J1806" t="s">
        <v>63</v>
      </c>
      <c r="K1806" s="8">
        <v>79</v>
      </c>
      <c r="L1806" s="8" t="s">
        <v>6608</v>
      </c>
      <c r="M1806" s="8" t="s">
        <v>6631</v>
      </c>
      <c r="N1806" t="s">
        <v>296</v>
      </c>
      <c r="O1806" t="s">
        <v>6550</v>
      </c>
      <c r="P1806">
        <v>917</v>
      </c>
      <c r="Q1806">
        <f t="shared" si="457"/>
        <v>75.849999999999994</v>
      </c>
      <c r="R1806">
        <f t="shared" si="458"/>
        <v>1.2641666666666667</v>
      </c>
      <c r="S1806" s="2">
        <v>45743</v>
      </c>
      <c r="U1806">
        <v>120</v>
      </c>
      <c r="V1806" s="4">
        <v>110040</v>
      </c>
      <c r="W1806" t="s">
        <v>65</v>
      </c>
      <c r="X1806" t="s">
        <v>1273</v>
      </c>
      <c r="Y1806">
        <v>0</v>
      </c>
      <c r="Z1806" s="4">
        <v>100000</v>
      </c>
      <c r="AA1806" s="4">
        <v>10040</v>
      </c>
      <c r="AB1806">
        <v>0</v>
      </c>
      <c r="AC1806">
        <v>0</v>
      </c>
      <c r="AD1806">
        <v>0</v>
      </c>
      <c r="AG1806">
        <v>0</v>
      </c>
      <c r="AP1806" t="s">
        <v>1274</v>
      </c>
      <c r="AQ1806" t="s">
        <v>1275</v>
      </c>
      <c r="AR1806" t="s">
        <v>6675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BC1806" t="s">
        <v>69</v>
      </c>
      <c r="BD1806" t="s">
        <v>5909</v>
      </c>
      <c r="BE1806">
        <v>0</v>
      </c>
      <c r="BG1806" t="s">
        <v>1275</v>
      </c>
      <c r="BJ1806" t="s">
        <v>5910</v>
      </c>
    </row>
    <row r="1807" spans="1:62" x14ac:dyDescent="0.35">
      <c r="A1807" t="s">
        <v>5911</v>
      </c>
      <c r="B1807">
        <v>10000</v>
      </c>
      <c r="C1807">
        <v>10000</v>
      </c>
      <c r="D1807" s="2">
        <v>45744</v>
      </c>
      <c r="E1807" t="s">
        <v>61</v>
      </c>
      <c r="F1807" t="s">
        <v>5887</v>
      </c>
      <c r="G1807" t="s">
        <v>5877</v>
      </c>
      <c r="I1807">
        <v>1</v>
      </c>
      <c r="J1807" t="s">
        <v>63</v>
      </c>
      <c r="K1807" s="8">
        <v>79</v>
      </c>
      <c r="L1807" s="8" t="s">
        <v>6608</v>
      </c>
      <c r="M1807" s="8" t="s">
        <v>6631</v>
      </c>
      <c r="N1807" t="s">
        <v>573</v>
      </c>
      <c r="O1807" t="s">
        <v>6547</v>
      </c>
      <c r="P1807">
        <v>575</v>
      </c>
      <c r="Q1807">
        <f t="shared" si="457"/>
        <v>58.75</v>
      </c>
      <c r="R1807">
        <f t="shared" si="458"/>
        <v>0.97916666666666663</v>
      </c>
      <c r="S1807" s="2">
        <v>45743</v>
      </c>
      <c r="U1807">
        <v>200</v>
      </c>
      <c r="V1807" s="4">
        <v>115000</v>
      </c>
      <c r="W1807" t="s">
        <v>65</v>
      </c>
      <c r="X1807" t="s">
        <v>1768</v>
      </c>
      <c r="Y1807">
        <v>0</v>
      </c>
      <c r="Z1807" s="4">
        <v>100000</v>
      </c>
      <c r="AA1807" s="4">
        <v>15000</v>
      </c>
      <c r="AB1807">
        <v>0</v>
      </c>
      <c r="AC1807">
        <v>0</v>
      </c>
      <c r="AD1807">
        <v>0</v>
      </c>
      <c r="AG1807">
        <v>0</v>
      </c>
      <c r="AP1807" t="s">
        <v>1769</v>
      </c>
      <c r="AQ1807" t="s">
        <v>1275</v>
      </c>
      <c r="AR1807" t="s">
        <v>6675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BC1807" t="s">
        <v>69</v>
      </c>
      <c r="BD1807" t="s">
        <v>5912</v>
      </c>
      <c r="BE1807">
        <v>0</v>
      </c>
      <c r="BG1807" t="s">
        <v>1275</v>
      </c>
      <c r="BJ1807" t="s">
        <v>5910</v>
      </c>
    </row>
    <row r="1808" spans="1:62" x14ac:dyDescent="0.35">
      <c r="A1808" t="s">
        <v>5913</v>
      </c>
      <c r="B1808">
        <v>10000</v>
      </c>
      <c r="C1808">
        <v>10000</v>
      </c>
      <c r="D1808" s="2">
        <v>45750</v>
      </c>
      <c r="E1808" t="s">
        <v>61</v>
      </c>
      <c r="F1808" t="s">
        <v>5914</v>
      </c>
      <c r="G1808" t="s">
        <v>5915</v>
      </c>
      <c r="I1808">
        <v>1</v>
      </c>
      <c r="J1808" t="s">
        <v>63</v>
      </c>
      <c r="K1808" s="8">
        <v>88</v>
      </c>
      <c r="L1808" s="8" t="s">
        <v>6610</v>
      </c>
      <c r="M1808" s="8" t="s">
        <v>6631</v>
      </c>
      <c r="N1808" t="s">
        <v>630</v>
      </c>
      <c r="O1808" t="s">
        <v>6571</v>
      </c>
      <c r="P1808" s="4">
        <v>1500</v>
      </c>
      <c r="S1808" s="2">
        <v>45743</v>
      </c>
      <c r="U1808">
        <v>1</v>
      </c>
      <c r="V1808" s="4">
        <v>1500</v>
      </c>
      <c r="W1808" t="s">
        <v>65</v>
      </c>
      <c r="X1808" t="s">
        <v>5916</v>
      </c>
      <c r="Y1808">
        <v>0</v>
      </c>
      <c r="Z1808" s="4">
        <v>1000</v>
      </c>
      <c r="AA1808">
        <v>500</v>
      </c>
      <c r="AB1808">
        <v>0</v>
      </c>
      <c r="AC1808">
        <v>0</v>
      </c>
      <c r="AD1808">
        <v>0</v>
      </c>
      <c r="AG1808">
        <v>0</v>
      </c>
      <c r="AP1808" t="s">
        <v>5917</v>
      </c>
      <c r="AQ1808" t="s">
        <v>5566</v>
      </c>
      <c r="AR1808" t="s">
        <v>6742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BC1808" t="s">
        <v>69</v>
      </c>
      <c r="BD1808" t="s">
        <v>5918</v>
      </c>
      <c r="BE1808">
        <v>0</v>
      </c>
      <c r="BG1808" t="s">
        <v>5566</v>
      </c>
      <c r="BJ1808" t="s">
        <v>5919</v>
      </c>
    </row>
    <row r="1809" spans="1:62" x14ac:dyDescent="0.35">
      <c r="A1809" t="s">
        <v>5920</v>
      </c>
      <c r="B1809">
        <v>10000</v>
      </c>
      <c r="C1809">
        <v>10000</v>
      </c>
      <c r="D1809" s="2">
        <v>45744</v>
      </c>
      <c r="E1809" t="s">
        <v>61</v>
      </c>
      <c r="F1809" t="s">
        <v>5840</v>
      </c>
      <c r="G1809" t="s">
        <v>5717</v>
      </c>
      <c r="I1809">
        <v>1</v>
      </c>
      <c r="J1809" t="s">
        <v>63</v>
      </c>
      <c r="K1809" s="8">
        <v>72</v>
      </c>
      <c r="L1809" s="8" t="s">
        <v>6606</v>
      </c>
      <c r="M1809" s="8" t="s">
        <v>6631</v>
      </c>
      <c r="N1809" t="s">
        <v>163</v>
      </c>
      <c r="O1809" t="s">
        <v>6548</v>
      </c>
      <c r="P1809" s="4">
        <v>2000</v>
      </c>
      <c r="S1809" s="2">
        <v>45743</v>
      </c>
      <c r="U1809">
        <v>4</v>
      </c>
      <c r="V1809" s="4">
        <v>8000</v>
      </c>
      <c r="W1809" t="s">
        <v>65</v>
      </c>
      <c r="X1809">
        <v>83615110001</v>
      </c>
      <c r="Y1809">
        <v>0</v>
      </c>
      <c r="Z1809" s="4">
        <v>6000</v>
      </c>
      <c r="AA1809" s="4">
        <v>2000</v>
      </c>
      <c r="AB1809">
        <v>0</v>
      </c>
      <c r="AC1809">
        <v>0</v>
      </c>
      <c r="AD1809">
        <v>0</v>
      </c>
      <c r="AG1809">
        <v>0</v>
      </c>
      <c r="AP1809">
        <v>8361511</v>
      </c>
      <c r="AQ1809" t="s">
        <v>91</v>
      </c>
      <c r="AR1809" t="s">
        <v>6637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BC1809" t="s">
        <v>69</v>
      </c>
      <c r="BD1809" t="s">
        <v>5921</v>
      </c>
      <c r="BE1809">
        <v>0</v>
      </c>
      <c r="BG1809" t="s">
        <v>91</v>
      </c>
      <c r="BJ1809" t="s">
        <v>5922</v>
      </c>
    </row>
    <row r="1810" spans="1:62" x14ac:dyDescent="0.35">
      <c r="A1810" t="s">
        <v>5923</v>
      </c>
      <c r="B1810">
        <v>10000</v>
      </c>
      <c r="C1810">
        <v>10000</v>
      </c>
      <c r="D1810" s="2">
        <v>45744</v>
      </c>
      <c r="E1810" t="s">
        <v>61</v>
      </c>
      <c r="F1810" t="s">
        <v>5843</v>
      </c>
      <c r="G1810" t="s">
        <v>5717</v>
      </c>
      <c r="I1810">
        <v>1</v>
      </c>
      <c r="J1810" t="s">
        <v>63</v>
      </c>
      <c r="K1810" s="8">
        <v>72</v>
      </c>
      <c r="L1810" s="8" t="s">
        <v>6606</v>
      </c>
      <c r="M1810" s="8" t="s">
        <v>6631</v>
      </c>
      <c r="N1810" t="s">
        <v>163</v>
      </c>
      <c r="O1810" t="s">
        <v>6548</v>
      </c>
      <c r="P1810" s="4">
        <v>1750</v>
      </c>
      <c r="S1810" s="2">
        <v>45743</v>
      </c>
      <c r="U1810">
        <v>4</v>
      </c>
      <c r="V1810" s="4">
        <v>7000</v>
      </c>
      <c r="W1810" t="s">
        <v>65</v>
      </c>
      <c r="X1810">
        <v>83615230001</v>
      </c>
      <c r="Y1810">
        <v>0</v>
      </c>
      <c r="Z1810" s="4">
        <v>5000</v>
      </c>
      <c r="AA1810" s="4">
        <v>2000</v>
      </c>
      <c r="AB1810">
        <v>0</v>
      </c>
      <c r="AC1810">
        <v>0</v>
      </c>
      <c r="AD1810">
        <v>0</v>
      </c>
      <c r="AG1810">
        <v>0</v>
      </c>
      <c r="AP1810">
        <v>8361523</v>
      </c>
      <c r="AQ1810" t="s">
        <v>91</v>
      </c>
      <c r="AR1810" t="s">
        <v>6637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BC1810" t="s">
        <v>69</v>
      </c>
      <c r="BD1810" t="s">
        <v>5924</v>
      </c>
      <c r="BE1810">
        <v>0</v>
      </c>
      <c r="BG1810" t="s">
        <v>91</v>
      </c>
      <c r="BJ1810" t="s">
        <v>5922</v>
      </c>
    </row>
    <row r="1811" spans="1:62" x14ac:dyDescent="0.35">
      <c r="A1811" t="s">
        <v>5925</v>
      </c>
      <c r="B1811">
        <v>10000</v>
      </c>
      <c r="C1811">
        <v>10000</v>
      </c>
      <c r="D1811" s="2">
        <v>45748</v>
      </c>
      <c r="E1811" t="s">
        <v>61</v>
      </c>
      <c r="F1811" t="s">
        <v>5846</v>
      </c>
      <c r="G1811" t="s">
        <v>5717</v>
      </c>
      <c r="I1811">
        <v>1</v>
      </c>
      <c r="J1811" t="s">
        <v>63</v>
      </c>
      <c r="K1811" s="8">
        <v>72</v>
      </c>
      <c r="L1811" s="8" t="s">
        <v>6606</v>
      </c>
      <c r="M1811" s="8" t="s">
        <v>6631</v>
      </c>
      <c r="N1811" t="s">
        <v>163</v>
      </c>
      <c r="O1811" t="s">
        <v>6548</v>
      </c>
      <c r="P1811" s="4">
        <v>7000</v>
      </c>
      <c r="S1811" s="2">
        <v>45743</v>
      </c>
      <c r="U1811">
        <v>4</v>
      </c>
      <c r="V1811" s="4">
        <v>28000</v>
      </c>
      <c r="W1811" t="s">
        <v>65</v>
      </c>
      <c r="X1811">
        <v>83615250001</v>
      </c>
      <c r="Y1811">
        <v>0</v>
      </c>
      <c r="Z1811" s="4">
        <v>25000</v>
      </c>
      <c r="AA1811" s="4">
        <v>3000</v>
      </c>
      <c r="AB1811">
        <v>0</v>
      </c>
      <c r="AC1811">
        <v>0</v>
      </c>
      <c r="AD1811">
        <v>0</v>
      </c>
      <c r="AG1811">
        <v>0</v>
      </c>
      <c r="AP1811">
        <v>8361525</v>
      </c>
      <c r="AQ1811" t="s">
        <v>91</v>
      </c>
      <c r="AR1811" t="s">
        <v>6637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BC1811" t="s">
        <v>69</v>
      </c>
      <c r="BD1811" t="s">
        <v>5926</v>
      </c>
      <c r="BE1811">
        <v>0</v>
      </c>
      <c r="BG1811" t="s">
        <v>91</v>
      </c>
      <c r="BJ1811" t="s">
        <v>5922</v>
      </c>
    </row>
    <row r="1812" spans="1:62" x14ac:dyDescent="0.35">
      <c r="A1812" t="s">
        <v>5927</v>
      </c>
      <c r="B1812">
        <v>10000</v>
      </c>
      <c r="C1812">
        <v>10000</v>
      </c>
      <c r="D1812" s="2">
        <v>45748</v>
      </c>
      <c r="E1812" t="s">
        <v>61</v>
      </c>
      <c r="F1812" t="s">
        <v>5852</v>
      </c>
      <c r="G1812" t="s">
        <v>5717</v>
      </c>
      <c r="I1812">
        <v>1</v>
      </c>
      <c r="J1812" t="s">
        <v>63</v>
      </c>
      <c r="K1812" s="8">
        <v>72</v>
      </c>
      <c r="L1812" s="8" t="s">
        <v>6606</v>
      </c>
      <c r="M1812" s="8" t="s">
        <v>6631</v>
      </c>
      <c r="N1812" t="s">
        <v>163</v>
      </c>
      <c r="O1812" t="s">
        <v>6548</v>
      </c>
      <c r="P1812" s="4">
        <v>7000</v>
      </c>
      <c r="S1812" s="2">
        <v>45743</v>
      </c>
      <c r="U1812">
        <v>4</v>
      </c>
      <c r="V1812" s="4">
        <v>28000</v>
      </c>
      <c r="W1812" t="s">
        <v>65</v>
      </c>
      <c r="X1812">
        <v>5000444460001</v>
      </c>
      <c r="Y1812">
        <v>0</v>
      </c>
      <c r="Z1812" s="4">
        <v>25000</v>
      </c>
      <c r="AA1812" s="4">
        <v>3000</v>
      </c>
      <c r="AB1812">
        <v>0</v>
      </c>
      <c r="AC1812">
        <v>0</v>
      </c>
      <c r="AD1812">
        <v>0</v>
      </c>
      <c r="AG1812">
        <v>0</v>
      </c>
      <c r="AP1812">
        <v>500044446</v>
      </c>
      <c r="AQ1812" t="s">
        <v>91</v>
      </c>
      <c r="AR1812" t="s">
        <v>6637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BC1812" t="s">
        <v>69</v>
      </c>
      <c r="BD1812" t="s">
        <v>5928</v>
      </c>
      <c r="BE1812">
        <v>0</v>
      </c>
      <c r="BG1812" t="s">
        <v>91</v>
      </c>
      <c r="BJ1812" t="s">
        <v>5922</v>
      </c>
    </row>
    <row r="1813" spans="1:62" x14ac:dyDescent="0.35">
      <c r="A1813" t="s">
        <v>5929</v>
      </c>
      <c r="B1813">
        <v>10000</v>
      </c>
      <c r="C1813">
        <v>10000</v>
      </c>
      <c r="D1813" s="2">
        <v>45748</v>
      </c>
      <c r="E1813" t="s">
        <v>61</v>
      </c>
      <c r="F1813" t="s">
        <v>5846</v>
      </c>
      <c r="G1813" t="s">
        <v>5717</v>
      </c>
      <c r="I1813">
        <v>1</v>
      </c>
      <c r="J1813" t="s">
        <v>63</v>
      </c>
      <c r="K1813" s="8">
        <v>72</v>
      </c>
      <c r="L1813" s="8" t="s">
        <v>6606</v>
      </c>
      <c r="M1813" s="8" t="s">
        <v>6631</v>
      </c>
      <c r="N1813" t="s">
        <v>163</v>
      </c>
      <c r="O1813" t="s">
        <v>6548</v>
      </c>
      <c r="P1813" s="4">
        <v>7000</v>
      </c>
      <c r="S1813" s="2">
        <v>45743</v>
      </c>
      <c r="U1813">
        <v>4</v>
      </c>
      <c r="V1813" s="4">
        <v>28000</v>
      </c>
      <c r="W1813" t="s">
        <v>65</v>
      </c>
      <c r="X1813">
        <v>83615250001</v>
      </c>
      <c r="Y1813">
        <v>0</v>
      </c>
      <c r="Z1813" s="4">
        <v>25000</v>
      </c>
      <c r="AA1813" s="4">
        <v>3000</v>
      </c>
      <c r="AB1813">
        <v>0</v>
      </c>
      <c r="AC1813">
        <v>0</v>
      </c>
      <c r="AD1813">
        <v>0</v>
      </c>
      <c r="AG1813">
        <v>0</v>
      </c>
      <c r="AP1813">
        <v>8361525</v>
      </c>
      <c r="AQ1813" t="s">
        <v>91</v>
      </c>
      <c r="AR1813" t="s">
        <v>6637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BC1813" t="s">
        <v>69</v>
      </c>
      <c r="BD1813" t="s">
        <v>5930</v>
      </c>
      <c r="BE1813">
        <v>0</v>
      </c>
      <c r="BG1813" t="s">
        <v>91</v>
      </c>
      <c r="BJ1813" t="s">
        <v>5931</v>
      </c>
    </row>
    <row r="1814" spans="1:62" x14ac:dyDescent="0.35">
      <c r="A1814" t="s">
        <v>5932</v>
      </c>
      <c r="B1814">
        <v>10000</v>
      </c>
      <c r="C1814">
        <v>10000</v>
      </c>
      <c r="D1814" s="2">
        <v>45748</v>
      </c>
      <c r="E1814" t="s">
        <v>61</v>
      </c>
      <c r="F1814" t="s">
        <v>5852</v>
      </c>
      <c r="G1814" t="s">
        <v>5717</v>
      </c>
      <c r="I1814">
        <v>1</v>
      </c>
      <c r="J1814" t="s">
        <v>63</v>
      </c>
      <c r="K1814" s="8">
        <v>72</v>
      </c>
      <c r="L1814" s="8" t="s">
        <v>6606</v>
      </c>
      <c r="M1814" s="8" t="s">
        <v>6631</v>
      </c>
      <c r="N1814" t="s">
        <v>163</v>
      </c>
      <c r="O1814" t="s">
        <v>6548</v>
      </c>
      <c r="P1814" s="4">
        <v>8250</v>
      </c>
      <c r="S1814" s="2">
        <v>45743</v>
      </c>
      <c r="U1814">
        <v>4</v>
      </c>
      <c r="V1814" s="4">
        <v>33000</v>
      </c>
      <c r="W1814" t="s">
        <v>65</v>
      </c>
      <c r="X1814">
        <v>5000444460001</v>
      </c>
      <c r="Y1814">
        <v>0</v>
      </c>
      <c r="Z1814" s="4">
        <v>30000</v>
      </c>
      <c r="AA1814" s="4">
        <v>3000</v>
      </c>
      <c r="AB1814">
        <v>0</v>
      </c>
      <c r="AC1814">
        <v>0</v>
      </c>
      <c r="AD1814">
        <v>0</v>
      </c>
      <c r="AG1814">
        <v>0</v>
      </c>
      <c r="AP1814">
        <v>500044446</v>
      </c>
      <c r="AQ1814" t="s">
        <v>91</v>
      </c>
      <c r="AR1814" t="s">
        <v>6637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BC1814" t="s">
        <v>69</v>
      </c>
      <c r="BD1814" t="s">
        <v>5933</v>
      </c>
      <c r="BE1814">
        <v>0</v>
      </c>
      <c r="BG1814" t="s">
        <v>91</v>
      </c>
      <c r="BJ1814" t="s">
        <v>5931</v>
      </c>
    </row>
    <row r="1815" spans="1:62" x14ac:dyDescent="0.35">
      <c r="A1815" t="s">
        <v>5934</v>
      </c>
      <c r="B1815">
        <v>10000</v>
      </c>
      <c r="C1815">
        <v>10000</v>
      </c>
      <c r="D1815" s="2">
        <v>45743</v>
      </c>
      <c r="E1815" t="s">
        <v>61</v>
      </c>
      <c r="F1815" t="s">
        <v>5827</v>
      </c>
      <c r="G1815" t="s">
        <v>5935</v>
      </c>
      <c r="I1815">
        <v>1</v>
      </c>
      <c r="J1815" t="s">
        <v>63</v>
      </c>
      <c r="K1815" s="8">
        <v>95</v>
      </c>
      <c r="L1815" s="8" t="s">
        <v>6609</v>
      </c>
      <c r="M1815" s="8" t="s">
        <v>6630</v>
      </c>
      <c r="N1815" t="s">
        <v>597</v>
      </c>
      <c r="O1815" t="s">
        <v>6556</v>
      </c>
      <c r="P1815" s="4">
        <v>7693</v>
      </c>
      <c r="Q1815">
        <f>(P1815/20)+45</f>
        <v>429.65</v>
      </c>
      <c r="R1815">
        <f>Q1815/60</f>
        <v>7.1608333333333327</v>
      </c>
      <c r="S1815" s="2">
        <v>45743</v>
      </c>
      <c r="U1815">
        <v>13</v>
      </c>
      <c r="V1815" s="4">
        <v>100009</v>
      </c>
      <c r="W1815" t="s">
        <v>65</v>
      </c>
      <c r="X1815" t="s">
        <v>5936</v>
      </c>
      <c r="Y1815">
        <v>0</v>
      </c>
      <c r="Z1815" s="4">
        <v>100000</v>
      </c>
      <c r="AA1815">
        <v>9</v>
      </c>
      <c r="AB1815">
        <v>0</v>
      </c>
      <c r="AC1815">
        <v>0</v>
      </c>
      <c r="AD1815">
        <v>0</v>
      </c>
      <c r="AG1815">
        <v>0</v>
      </c>
      <c r="AP1815" t="s">
        <v>5937</v>
      </c>
      <c r="AQ1815" t="s">
        <v>5938</v>
      </c>
      <c r="AR1815" t="s">
        <v>6744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BC1815" t="s">
        <v>69</v>
      </c>
      <c r="BD1815" t="s">
        <v>5939</v>
      </c>
      <c r="BE1815">
        <v>0</v>
      </c>
      <c r="BG1815" t="s">
        <v>5938</v>
      </c>
      <c r="BJ1815" t="s">
        <v>5940</v>
      </c>
    </row>
    <row r="1816" spans="1:62" x14ac:dyDescent="0.35">
      <c r="A1816" t="s">
        <v>5942</v>
      </c>
      <c r="B1816">
        <v>10000</v>
      </c>
      <c r="C1816">
        <v>20000</v>
      </c>
      <c r="D1816" s="2">
        <v>45744</v>
      </c>
      <c r="E1816" t="s">
        <v>61</v>
      </c>
      <c r="F1816" t="s">
        <v>5943</v>
      </c>
      <c r="G1816" t="s">
        <v>2069</v>
      </c>
      <c r="H1816" t="s">
        <v>5754</v>
      </c>
      <c r="I1816">
        <v>1</v>
      </c>
      <c r="J1816" t="s">
        <v>69</v>
      </c>
      <c r="K1816" s="8">
        <v>94</v>
      </c>
      <c r="L1816" s="8" t="s">
        <v>6599</v>
      </c>
      <c r="M1816" s="8" t="s">
        <v>6629</v>
      </c>
      <c r="N1816" t="s">
        <v>181</v>
      </c>
      <c r="O1816" t="s">
        <v>6544</v>
      </c>
      <c r="P1816" s="4">
        <v>8000</v>
      </c>
      <c r="S1816" s="2">
        <v>45744</v>
      </c>
      <c r="U1816">
        <v>6</v>
      </c>
      <c r="V1816" s="4">
        <v>48000</v>
      </c>
      <c r="W1816" t="s">
        <v>65</v>
      </c>
      <c r="X1816" t="s">
        <v>1405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G1816">
        <v>0</v>
      </c>
      <c r="AK1816" t="s">
        <v>69</v>
      </c>
      <c r="AL1816">
        <v>0</v>
      </c>
      <c r="AM1816" t="s">
        <v>69</v>
      </c>
      <c r="AP1816" t="s">
        <v>1406</v>
      </c>
      <c r="AQ1816" t="s">
        <v>364</v>
      </c>
      <c r="AR1816" t="s">
        <v>6653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BC1816" t="s">
        <v>69</v>
      </c>
      <c r="BG1816" t="s">
        <v>364</v>
      </c>
      <c r="BJ1816" t="s">
        <v>5944</v>
      </c>
    </row>
    <row r="1817" spans="1:62" x14ac:dyDescent="0.35">
      <c r="A1817" t="s">
        <v>4148</v>
      </c>
      <c r="B1817">
        <v>10000</v>
      </c>
      <c r="C1817">
        <v>30000</v>
      </c>
      <c r="D1817" s="2">
        <v>45748</v>
      </c>
      <c r="E1817" t="s">
        <v>61</v>
      </c>
      <c r="F1817" t="s">
        <v>4149</v>
      </c>
      <c r="G1817">
        <v>10620258042</v>
      </c>
      <c r="H1817" t="s">
        <v>4150</v>
      </c>
      <c r="I1817">
        <v>3</v>
      </c>
      <c r="J1817" t="s">
        <v>69</v>
      </c>
      <c r="K1817" s="8">
        <v>85</v>
      </c>
      <c r="L1817" s="8" t="s">
        <v>6585</v>
      </c>
      <c r="M1817" s="8" t="s">
        <v>6628</v>
      </c>
      <c r="N1817" t="s">
        <v>327</v>
      </c>
      <c r="O1817" t="s">
        <v>6580</v>
      </c>
      <c r="P1817" s="4">
        <v>6819</v>
      </c>
      <c r="S1817" s="2">
        <v>45744</v>
      </c>
      <c r="U1817">
        <v>11</v>
      </c>
      <c r="V1817" s="4">
        <v>75009</v>
      </c>
      <c r="W1817" t="s">
        <v>65</v>
      </c>
      <c r="X1817" t="s">
        <v>4151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G1817">
        <v>0</v>
      </c>
      <c r="AK1817" t="s">
        <v>69</v>
      </c>
      <c r="AL1817">
        <v>0</v>
      </c>
      <c r="AM1817" t="s">
        <v>69</v>
      </c>
      <c r="AP1817" t="s">
        <v>4152</v>
      </c>
      <c r="AQ1817" t="s">
        <v>107</v>
      </c>
      <c r="AR1817" t="s">
        <v>6638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BC1817" t="s">
        <v>69</v>
      </c>
      <c r="BG1817" t="s">
        <v>107</v>
      </c>
      <c r="BJ1817" t="s">
        <v>4153</v>
      </c>
    </row>
    <row r="1818" spans="1:62" x14ac:dyDescent="0.35">
      <c r="A1818" t="s">
        <v>5945</v>
      </c>
      <c r="B1818">
        <v>10000</v>
      </c>
      <c r="C1818">
        <v>20000</v>
      </c>
      <c r="D1818" s="2">
        <v>45755</v>
      </c>
      <c r="E1818" t="s">
        <v>61</v>
      </c>
      <c r="F1818" s="3">
        <v>0.46329861111111109</v>
      </c>
      <c r="G1818" t="s">
        <v>5946</v>
      </c>
      <c r="H1818" t="s">
        <v>5545</v>
      </c>
      <c r="I1818">
        <v>1</v>
      </c>
      <c r="J1818" t="s">
        <v>69</v>
      </c>
      <c r="K1818" s="8">
        <v>65</v>
      </c>
      <c r="L1818" s="8" t="s">
        <v>6596</v>
      </c>
      <c r="M1818" s="8" t="s">
        <v>6630</v>
      </c>
      <c r="N1818" t="s">
        <v>268</v>
      </c>
      <c r="O1818" t="s">
        <v>6543</v>
      </c>
      <c r="P1818" s="4">
        <v>22500</v>
      </c>
      <c r="Q1818">
        <f>(P1818/40)+45</f>
        <v>607.5</v>
      </c>
      <c r="R1818">
        <f>Q1818/60</f>
        <v>10.125</v>
      </c>
      <c r="S1818" s="2">
        <v>45744</v>
      </c>
      <c r="U1818">
        <v>4</v>
      </c>
      <c r="V1818" s="4">
        <v>90000</v>
      </c>
      <c r="W1818" t="s">
        <v>65</v>
      </c>
      <c r="X1818" t="s">
        <v>3865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G1818">
        <v>0</v>
      </c>
      <c r="AK1818" t="s">
        <v>69</v>
      </c>
      <c r="AL1818">
        <v>0</v>
      </c>
      <c r="AM1818" t="s">
        <v>69</v>
      </c>
      <c r="AP1818" t="s">
        <v>3866</v>
      </c>
      <c r="AQ1818" t="s">
        <v>829</v>
      </c>
      <c r="AR1818" t="s">
        <v>6653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BC1818" t="s">
        <v>69</v>
      </c>
      <c r="BG1818" t="s">
        <v>829</v>
      </c>
      <c r="BJ1818" t="s">
        <v>5947</v>
      </c>
    </row>
    <row r="1819" spans="1:62" x14ac:dyDescent="0.35">
      <c r="A1819" t="s">
        <v>5948</v>
      </c>
      <c r="B1819">
        <v>10000</v>
      </c>
      <c r="C1819">
        <v>10000</v>
      </c>
      <c r="D1819" s="2">
        <v>45755</v>
      </c>
      <c r="E1819" t="s">
        <v>61</v>
      </c>
      <c r="F1819" t="s">
        <v>5949</v>
      </c>
      <c r="G1819" t="s">
        <v>5950</v>
      </c>
      <c r="H1819" t="s">
        <v>5951</v>
      </c>
      <c r="I1819">
        <v>1</v>
      </c>
      <c r="J1819" t="s">
        <v>69</v>
      </c>
      <c r="K1819" s="8">
        <v>79</v>
      </c>
      <c r="L1819" s="8" t="s">
        <v>6608</v>
      </c>
      <c r="M1819" s="8" t="s">
        <v>6631</v>
      </c>
      <c r="N1819" t="s">
        <v>573</v>
      </c>
      <c r="O1819" t="s">
        <v>6547</v>
      </c>
      <c r="P1819">
        <v>500</v>
      </c>
      <c r="Q1819">
        <f t="shared" ref="Q1819:Q1820" si="459">(P1819/20)+30</f>
        <v>55</v>
      </c>
      <c r="R1819">
        <f t="shared" ref="R1819:R1820" si="460">Q1819/60</f>
        <v>0.91666666666666663</v>
      </c>
      <c r="S1819" s="2">
        <v>45744</v>
      </c>
      <c r="U1819">
        <v>5</v>
      </c>
      <c r="V1819" s="4">
        <v>2500</v>
      </c>
      <c r="W1819" t="s">
        <v>65</v>
      </c>
      <c r="X1819" t="s">
        <v>5952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G1819">
        <v>0</v>
      </c>
      <c r="AK1819" t="s">
        <v>69</v>
      </c>
      <c r="AL1819">
        <v>0</v>
      </c>
      <c r="AM1819" t="s">
        <v>69</v>
      </c>
      <c r="AP1819" t="s">
        <v>5953</v>
      </c>
      <c r="AQ1819" t="s">
        <v>5954</v>
      </c>
      <c r="AR1819" t="s">
        <v>6745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BC1819" t="s">
        <v>69</v>
      </c>
      <c r="BG1819" t="s">
        <v>5954</v>
      </c>
      <c r="BJ1819" t="s">
        <v>5955</v>
      </c>
    </row>
    <row r="1820" spans="1:62" x14ac:dyDescent="0.35">
      <c r="A1820" t="s">
        <v>5956</v>
      </c>
      <c r="B1820">
        <v>10000</v>
      </c>
      <c r="C1820">
        <v>10000</v>
      </c>
      <c r="D1820" s="2">
        <v>45755</v>
      </c>
      <c r="E1820" t="s">
        <v>61</v>
      </c>
      <c r="F1820" t="s">
        <v>5949</v>
      </c>
      <c r="G1820" t="s">
        <v>5950</v>
      </c>
      <c r="H1820" t="s">
        <v>5951</v>
      </c>
      <c r="I1820">
        <v>1</v>
      </c>
      <c r="J1820" t="s">
        <v>69</v>
      </c>
      <c r="K1820" s="8">
        <v>79</v>
      </c>
      <c r="L1820" s="8" t="s">
        <v>6608</v>
      </c>
      <c r="M1820" s="8" t="s">
        <v>6631</v>
      </c>
      <c r="N1820" t="s">
        <v>573</v>
      </c>
      <c r="O1820" t="s">
        <v>6547</v>
      </c>
      <c r="P1820" s="4">
        <v>1400</v>
      </c>
      <c r="Q1820">
        <f t="shared" si="459"/>
        <v>100</v>
      </c>
      <c r="R1820">
        <f t="shared" si="460"/>
        <v>1.6666666666666667</v>
      </c>
      <c r="S1820" s="2">
        <v>45744</v>
      </c>
      <c r="U1820">
        <v>5</v>
      </c>
      <c r="V1820" s="4">
        <v>7000</v>
      </c>
      <c r="W1820" t="s">
        <v>65</v>
      </c>
      <c r="X1820" t="s">
        <v>5957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G1820">
        <v>0</v>
      </c>
      <c r="AK1820" t="s">
        <v>69</v>
      </c>
      <c r="AL1820">
        <v>0</v>
      </c>
      <c r="AM1820" t="s">
        <v>69</v>
      </c>
      <c r="AP1820" t="s">
        <v>5958</v>
      </c>
      <c r="AQ1820" t="s">
        <v>5954</v>
      </c>
      <c r="AR1820" t="s">
        <v>6745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BC1820" t="s">
        <v>69</v>
      </c>
      <c r="BG1820" t="s">
        <v>5954</v>
      </c>
      <c r="BJ1820" t="s">
        <v>5955</v>
      </c>
    </row>
    <row r="1821" spans="1:62" x14ac:dyDescent="0.35">
      <c r="A1821" t="s">
        <v>5959</v>
      </c>
      <c r="B1821">
        <v>10000</v>
      </c>
      <c r="C1821">
        <v>10000</v>
      </c>
      <c r="D1821" s="2">
        <v>45744</v>
      </c>
      <c r="E1821" t="s">
        <v>61</v>
      </c>
      <c r="F1821" t="s">
        <v>5960</v>
      </c>
      <c r="G1821" t="s">
        <v>5961</v>
      </c>
      <c r="H1821" t="s">
        <v>5962</v>
      </c>
      <c r="I1821">
        <v>1</v>
      </c>
      <c r="J1821" t="s">
        <v>69</v>
      </c>
      <c r="K1821" s="8">
        <v>61</v>
      </c>
      <c r="L1821" s="8" t="s">
        <v>6594</v>
      </c>
      <c r="M1821" s="8" t="s">
        <v>6629</v>
      </c>
      <c r="N1821" t="s">
        <v>216</v>
      </c>
      <c r="O1821" t="s">
        <v>6394</v>
      </c>
      <c r="P1821">
        <v>667</v>
      </c>
      <c r="Q1821">
        <f>(P1821/50)+45</f>
        <v>58.34</v>
      </c>
      <c r="R1821">
        <f>Q1821/60</f>
        <v>0.97233333333333338</v>
      </c>
      <c r="S1821" s="2">
        <v>45744</v>
      </c>
      <c r="U1821">
        <v>3</v>
      </c>
      <c r="V1821" s="4">
        <v>2001</v>
      </c>
      <c r="W1821" t="s">
        <v>65</v>
      </c>
      <c r="X1821">
        <v>4.70044086004E+17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G1821">
        <v>0</v>
      </c>
      <c r="AK1821" t="s">
        <v>69</v>
      </c>
      <c r="AL1821">
        <v>0</v>
      </c>
      <c r="AM1821" t="s">
        <v>69</v>
      </c>
      <c r="AP1821">
        <v>47004408600400</v>
      </c>
      <c r="AQ1821" t="s">
        <v>2347</v>
      </c>
      <c r="AR1821" t="s">
        <v>6701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BC1821" t="s">
        <v>69</v>
      </c>
      <c r="BG1821" t="s">
        <v>2347</v>
      </c>
      <c r="BJ1821" t="s">
        <v>5963</v>
      </c>
    </row>
    <row r="1822" spans="1:62" x14ac:dyDescent="0.35">
      <c r="A1822" t="s">
        <v>5964</v>
      </c>
      <c r="B1822">
        <v>10000</v>
      </c>
      <c r="C1822">
        <v>10000</v>
      </c>
      <c r="D1822" s="2">
        <v>45754</v>
      </c>
      <c r="E1822" t="s">
        <v>61</v>
      </c>
      <c r="F1822" t="s">
        <v>5965</v>
      </c>
      <c r="G1822" t="s">
        <v>5966</v>
      </c>
      <c r="I1822">
        <v>1</v>
      </c>
      <c r="J1822" t="s">
        <v>69</v>
      </c>
      <c r="K1822" s="8">
        <v>79</v>
      </c>
      <c r="L1822" s="8" t="s">
        <v>6608</v>
      </c>
      <c r="M1822" s="8" t="s">
        <v>6631</v>
      </c>
      <c r="N1822" t="s">
        <v>573</v>
      </c>
      <c r="O1822" t="s">
        <v>6547</v>
      </c>
      <c r="P1822">
        <v>400</v>
      </c>
      <c r="Q1822">
        <f>(P1822/20)+30</f>
        <v>50</v>
      </c>
      <c r="R1822">
        <f>Q1822/60</f>
        <v>0.83333333333333337</v>
      </c>
      <c r="S1822" s="2">
        <v>45744</v>
      </c>
      <c r="U1822">
        <v>2</v>
      </c>
      <c r="V1822">
        <v>800</v>
      </c>
      <c r="W1822" t="s">
        <v>65</v>
      </c>
      <c r="X1822" t="s">
        <v>5967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G1822">
        <v>0</v>
      </c>
      <c r="AK1822" t="s">
        <v>69</v>
      </c>
      <c r="AL1822">
        <v>0</v>
      </c>
      <c r="AM1822" t="s">
        <v>69</v>
      </c>
      <c r="AP1822" t="s">
        <v>5968</v>
      </c>
      <c r="AQ1822" t="s">
        <v>280</v>
      </c>
      <c r="AR1822" t="s">
        <v>6649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BC1822" t="s">
        <v>69</v>
      </c>
      <c r="BG1822" t="s">
        <v>280</v>
      </c>
      <c r="BJ1822" t="s">
        <v>5969</v>
      </c>
    </row>
    <row r="1823" spans="1:62" x14ac:dyDescent="0.35">
      <c r="A1823" t="s">
        <v>5970</v>
      </c>
      <c r="B1823">
        <v>10000</v>
      </c>
      <c r="C1823">
        <v>10000</v>
      </c>
      <c r="D1823" s="2">
        <v>45750</v>
      </c>
      <c r="E1823" t="s">
        <v>61</v>
      </c>
      <c r="F1823" t="s">
        <v>497</v>
      </c>
      <c r="G1823" t="s">
        <v>5363</v>
      </c>
      <c r="H1823" t="s">
        <v>5542</v>
      </c>
      <c r="I1823">
        <v>1</v>
      </c>
      <c r="J1823" t="s">
        <v>69</v>
      </c>
      <c r="K1823" s="8">
        <v>32</v>
      </c>
      <c r="L1823" s="8" t="s">
        <v>6607</v>
      </c>
      <c r="M1823" s="8" t="s">
        <v>6629</v>
      </c>
      <c r="N1823" t="s">
        <v>553</v>
      </c>
      <c r="O1823" t="s">
        <v>6552</v>
      </c>
      <c r="P1823" s="4">
        <v>5860</v>
      </c>
      <c r="S1823" s="2">
        <v>45744</v>
      </c>
      <c r="U1823">
        <v>1</v>
      </c>
      <c r="V1823" s="4">
        <v>5860</v>
      </c>
      <c r="W1823" t="s">
        <v>65</v>
      </c>
      <c r="X1823" t="s">
        <v>1774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G1823">
        <v>0</v>
      </c>
      <c r="AK1823" t="s">
        <v>69</v>
      </c>
      <c r="AL1823">
        <v>0</v>
      </c>
      <c r="AM1823" t="s">
        <v>69</v>
      </c>
      <c r="AP1823" t="s">
        <v>1775</v>
      </c>
      <c r="AQ1823" t="s">
        <v>116</v>
      </c>
      <c r="AR1823" t="s">
        <v>6639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BC1823" t="s">
        <v>69</v>
      </c>
      <c r="BG1823" t="s">
        <v>116</v>
      </c>
      <c r="BJ1823" t="s">
        <v>5770</v>
      </c>
    </row>
    <row r="1824" spans="1:62" x14ac:dyDescent="0.35">
      <c r="A1824" t="s">
        <v>5971</v>
      </c>
      <c r="B1824">
        <v>10000</v>
      </c>
      <c r="C1824">
        <v>10000</v>
      </c>
      <c r="D1824" s="2">
        <v>45744</v>
      </c>
      <c r="E1824" t="s">
        <v>61</v>
      </c>
      <c r="F1824" t="s">
        <v>5972</v>
      </c>
      <c r="G1824" t="s">
        <v>5636</v>
      </c>
      <c r="H1824" t="s">
        <v>5758</v>
      </c>
      <c r="I1824">
        <v>1</v>
      </c>
      <c r="J1824" t="s">
        <v>69</v>
      </c>
      <c r="K1824" s="8">
        <v>32</v>
      </c>
      <c r="L1824" s="8" t="s">
        <v>6607</v>
      </c>
      <c r="M1824" s="8" t="s">
        <v>6629</v>
      </c>
      <c r="N1824" t="s">
        <v>553</v>
      </c>
      <c r="O1824" t="s">
        <v>6552</v>
      </c>
      <c r="P1824" s="4">
        <v>5860</v>
      </c>
      <c r="S1824" s="2">
        <v>45744</v>
      </c>
      <c r="U1824">
        <v>1</v>
      </c>
      <c r="V1824" s="4">
        <v>5860</v>
      </c>
      <c r="W1824" t="s">
        <v>65</v>
      </c>
      <c r="X1824" t="s">
        <v>554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G1824">
        <v>0</v>
      </c>
      <c r="AK1824" t="s">
        <v>69</v>
      </c>
      <c r="AL1824">
        <v>0</v>
      </c>
      <c r="AM1824" t="s">
        <v>69</v>
      </c>
      <c r="AP1824" t="s">
        <v>555</v>
      </c>
      <c r="AQ1824" t="s">
        <v>116</v>
      </c>
      <c r="AR1824" t="s">
        <v>6639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BC1824" t="s">
        <v>69</v>
      </c>
      <c r="BG1824" t="s">
        <v>116</v>
      </c>
      <c r="BJ1824" t="s">
        <v>5973</v>
      </c>
    </row>
    <row r="1825" spans="1:62" x14ac:dyDescent="0.35">
      <c r="A1825" t="s">
        <v>5974</v>
      </c>
      <c r="B1825">
        <v>10000</v>
      </c>
      <c r="C1825">
        <v>10000</v>
      </c>
      <c r="D1825" s="2">
        <v>45756</v>
      </c>
      <c r="E1825" t="s">
        <v>61</v>
      </c>
      <c r="F1825" s="3">
        <v>0.42709490740740741</v>
      </c>
      <c r="G1825" t="s">
        <v>5975</v>
      </c>
      <c r="H1825" t="s">
        <v>5976</v>
      </c>
      <c r="I1825">
        <v>1</v>
      </c>
      <c r="J1825" t="s">
        <v>69</v>
      </c>
      <c r="K1825" s="8">
        <v>88</v>
      </c>
      <c r="L1825" s="8" t="s">
        <v>6610</v>
      </c>
      <c r="M1825" s="8" t="s">
        <v>6631</v>
      </c>
      <c r="N1825" t="s">
        <v>630</v>
      </c>
      <c r="O1825" t="s">
        <v>6571</v>
      </c>
      <c r="P1825">
        <v>750</v>
      </c>
      <c r="S1825" s="2">
        <v>45744</v>
      </c>
      <c r="U1825">
        <v>2</v>
      </c>
      <c r="V1825" s="4">
        <v>1500</v>
      </c>
      <c r="W1825" t="s">
        <v>65</v>
      </c>
      <c r="X1825">
        <v>4.40170086005E+17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G1825">
        <v>0</v>
      </c>
      <c r="AK1825" t="s">
        <v>69</v>
      </c>
      <c r="AL1825">
        <v>0</v>
      </c>
      <c r="AM1825" t="s">
        <v>69</v>
      </c>
      <c r="AP1825">
        <v>44017008600501</v>
      </c>
      <c r="AQ1825" t="s">
        <v>2347</v>
      </c>
      <c r="AR1825" t="s">
        <v>6701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BC1825" t="s">
        <v>69</v>
      </c>
      <c r="BG1825" t="s">
        <v>2347</v>
      </c>
      <c r="BJ1825" t="s">
        <v>5977</v>
      </c>
    </row>
    <row r="1826" spans="1:62" x14ac:dyDescent="0.35">
      <c r="A1826" t="s">
        <v>5978</v>
      </c>
      <c r="B1826">
        <v>10000</v>
      </c>
      <c r="C1826">
        <v>10000</v>
      </c>
      <c r="D1826" s="2">
        <v>45754</v>
      </c>
      <c r="E1826" t="s">
        <v>95</v>
      </c>
      <c r="F1826" t="s">
        <v>5979</v>
      </c>
      <c r="G1826" t="s">
        <v>5980</v>
      </c>
      <c r="H1826" t="s">
        <v>5981</v>
      </c>
      <c r="I1826">
        <v>1</v>
      </c>
      <c r="J1826" t="s">
        <v>69</v>
      </c>
      <c r="K1826" s="8">
        <v>88</v>
      </c>
      <c r="L1826" s="8" t="s">
        <v>6610</v>
      </c>
      <c r="M1826" s="8" t="s">
        <v>6631</v>
      </c>
      <c r="N1826" t="s">
        <v>630</v>
      </c>
      <c r="O1826" t="s">
        <v>6571</v>
      </c>
      <c r="P1826" s="4">
        <v>2500</v>
      </c>
      <c r="S1826" s="2">
        <v>45744</v>
      </c>
      <c r="U1826">
        <v>1</v>
      </c>
      <c r="V1826" s="4">
        <v>2500</v>
      </c>
      <c r="W1826" t="s">
        <v>65</v>
      </c>
      <c r="X1826" t="s">
        <v>5982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G1826">
        <v>0</v>
      </c>
      <c r="AK1826" t="s">
        <v>69</v>
      </c>
      <c r="AL1826">
        <v>0</v>
      </c>
      <c r="AM1826" t="s">
        <v>69</v>
      </c>
      <c r="AP1826" t="s">
        <v>5983</v>
      </c>
      <c r="AQ1826" t="s">
        <v>5984</v>
      </c>
      <c r="AR1826" t="s">
        <v>6746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BC1826" t="s">
        <v>69</v>
      </c>
      <c r="BG1826" t="s">
        <v>5984</v>
      </c>
      <c r="BJ1826" t="s">
        <v>5985</v>
      </c>
    </row>
    <row r="1827" spans="1:62" x14ac:dyDescent="0.35">
      <c r="A1827" t="s">
        <v>5986</v>
      </c>
      <c r="B1827">
        <v>10000</v>
      </c>
      <c r="C1827">
        <v>10000</v>
      </c>
      <c r="D1827" s="2">
        <v>45755</v>
      </c>
      <c r="E1827" t="s">
        <v>61</v>
      </c>
      <c r="F1827" t="s">
        <v>5987</v>
      </c>
      <c r="G1827" t="s">
        <v>5988</v>
      </c>
      <c r="H1827" t="s">
        <v>5989</v>
      </c>
      <c r="I1827">
        <v>1</v>
      </c>
      <c r="J1827" t="s">
        <v>69</v>
      </c>
      <c r="K1827" s="8">
        <v>79</v>
      </c>
      <c r="L1827" s="8" t="s">
        <v>6608</v>
      </c>
      <c r="M1827" s="8" t="s">
        <v>6631</v>
      </c>
      <c r="N1827" t="s">
        <v>573</v>
      </c>
      <c r="O1827" t="s">
        <v>6547</v>
      </c>
      <c r="P1827">
        <v>150</v>
      </c>
      <c r="Q1827">
        <f>(P1827/20)+30</f>
        <v>37.5</v>
      </c>
      <c r="R1827">
        <f>Q1827/60</f>
        <v>0.625</v>
      </c>
      <c r="S1827" s="2">
        <v>45744</v>
      </c>
      <c r="U1827">
        <v>60</v>
      </c>
      <c r="V1827" s="4">
        <v>9000</v>
      </c>
      <c r="W1827" t="s">
        <v>65</v>
      </c>
      <c r="X1827" t="s">
        <v>5990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G1827">
        <v>0</v>
      </c>
      <c r="AK1827" t="s">
        <v>69</v>
      </c>
      <c r="AL1827">
        <v>0</v>
      </c>
      <c r="AM1827" t="s">
        <v>69</v>
      </c>
      <c r="AP1827" t="s">
        <v>5991</v>
      </c>
      <c r="AQ1827" t="s">
        <v>5992</v>
      </c>
      <c r="AR1827" t="s">
        <v>6747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BC1827" t="s">
        <v>69</v>
      </c>
      <c r="BG1827" t="s">
        <v>5992</v>
      </c>
      <c r="BJ1827" t="s">
        <v>5993</v>
      </c>
    </row>
    <row r="1828" spans="1:62" x14ac:dyDescent="0.35">
      <c r="A1828" t="s">
        <v>5994</v>
      </c>
      <c r="B1828">
        <v>10000</v>
      </c>
      <c r="C1828">
        <v>10000</v>
      </c>
      <c r="D1828" s="2">
        <v>45744</v>
      </c>
      <c r="E1828" t="s">
        <v>61</v>
      </c>
      <c r="F1828" s="3">
        <v>0.52793981481481478</v>
      </c>
      <c r="G1828" t="s">
        <v>5995</v>
      </c>
      <c r="I1828">
        <v>1</v>
      </c>
      <c r="J1828" t="s">
        <v>63</v>
      </c>
      <c r="K1828" s="8">
        <v>61</v>
      </c>
      <c r="L1828" s="8" t="s">
        <v>6594</v>
      </c>
      <c r="M1828" s="8" t="s">
        <v>6629</v>
      </c>
      <c r="N1828" t="s">
        <v>216</v>
      </c>
      <c r="O1828" t="s">
        <v>6394</v>
      </c>
      <c r="P1828" s="4">
        <v>2000</v>
      </c>
      <c r="Q1828">
        <f t="shared" ref="Q1828:Q1830" si="461">(P1828/50)+45</f>
        <v>85</v>
      </c>
      <c r="R1828">
        <f t="shared" ref="R1828:R1832" si="462">Q1828/60</f>
        <v>1.4166666666666667</v>
      </c>
      <c r="S1828" s="2">
        <v>45744</v>
      </c>
      <c r="U1828">
        <v>1</v>
      </c>
      <c r="V1828" s="4">
        <v>2000</v>
      </c>
      <c r="W1828" t="s">
        <v>65</v>
      </c>
      <c r="X1828">
        <v>4.50019086004E+17</v>
      </c>
      <c r="Y1828">
        <v>0</v>
      </c>
      <c r="Z1828" s="4">
        <v>2000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>
        <v>45001908600400</v>
      </c>
      <c r="AQ1828" t="s">
        <v>2347</v>
      </c>
      <c r="AR1828" t="s">
        <v>6701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BC1828" t="s">
        <v>69</v>
      </c>
      <c r="BD1828" t="s">
        <v>5996</v>
      </c>
      <c r="BE1828">
        <v>0</v>
      </c>
      <c r="BG1828" t="s">
        <v>2347</v>
      </c>
      <c r="BJ1828" t="s">
        <v>5997</v>
      </c>
    </row>
    <row r="1829" spans="1:62" x14ac:dyDescent="0.35">
      <c r="A1829" t="s">
        <v>5998</v>
      </c>
      <c r="B1829">
        <v>10000</v>
      </c>
      <c r="C1829">
        <v>10000</v>
      </c>
      <c r="D1829" s="2">
        <v>45744</v>
      </c>
      <c r="E1829" t="s">
        <v>61</v>
      </c>
      <c r="F1829" s="3">
        <v>0.52795138888888893</v>
      </c>
      <c r="G1829" t="s">
        <v>5995</v>
      </c>
      <c r="I1829">
        <v>1</v>
      </c>
      <c r="J1829" t="s">
        <v>63</v>
      </c>
      <c r="K1829" s="8">
        <v>61</v>
      </c>
      <c r="L1829" s="8" t="s">
        <v>6594</v>
      </c>
      <c r="M1829" s="8" t="s">
        <v>6629</v>
      </c>
      <c r="N1829" t="s">
        <v>216</v>
      </c>
      <c r="O1829" t="s">
        <v>6394</v>
      </c>
      <c r="P1829" s="4">
        <v>2000</v>
      </c>
      <c r="Q1829">
        <f t="shared" si="461"/>
        <v>85</v>
      </c>
      <c r="R1829">
        <f t="shared" si="462"/>
        <v>1.4166666666666667</v>
      </c>
      <c r="S1829" s="2">
        <v>45744</v>
      </c>
      <c r="U1829">
        <v>1</v>
      </c>
      <c r="V1829" s="4">
        <v>2000</v>
      </c>
      <c r="W1829" t="s">
        <v>65</v>
      </c>
      <c r="X1829">
        <v>4.7001408600600998E+17</v>
      </c>
      <c r="Y1829">
        <v>0</v>
      </c>
      <c r="Z1829" s="4">
        <v>2000</v>
      </c>
      <c r="AA1829">
        <v>0</v>
      </c>
      <c r="AB1829">
        <v>0</v>
      </c>
      <c r="AC1829">
        <v>0</v>
      </c>
      <c r="AD1829">
        <v>0</v>
      </c>
      <c r="AG1829">
        <v>0</v>
      </c>
      <c r="AP1829">
        <v>47001408600601</v>
      </c>
      <c r="AQ1829" t="s">
        <v>2347</v>
      </c>
      <c r="AR1829" t="s">
        <v>6701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BC1829" t="s">
        <v>69</v>
      </c>
      <c r="BD1829" t="s">
        <v>5999</v>
      </c>
      <c r="BE1829">
        <v>0</v>
      </c>
      <c r="BG1829" t="s">
        <v>2347</v>
      </c>
      <c r="BJ1829" t="s">
        <v>5997</v>
      </c>
    </row>
    <row r="1830" spans="1:62" x14ac:dyDescent="0.35">
      <c r="A1830" t="s">
        <v>6000</v>
      </c>
      <c r="B1830">
        <v>10000</v>
      </c>
      <c r="C1830">
        <v>10000</v>
      </c>
      <c r="D1830" s="2">
        <v>45744</v>
      </c>
      <c r="E1830" t="s">
        <v>61</v>
      </c>
      <c r="F1830" t="s">
        <v>5960</v>
      </c>
      <c r="G1830" t="s">
        <v>5961</v>
      </c>
      <c r="I1830">
        <v>1</v>
      </c>
      <c r="J1830" t="s">
        <v>63</v>
      </c>
      <c r="K1830" s="8">
        <v>61</v>
      </c>
      <c r="L1830" s="8" t="s">
        <v>6594</v>
      </c>
      <c r="M1830" s="8" t="s">
        <v>6629</v>
      </c>
      <c r="N1830" t="s">
        <v>216</v>
      </c>
      <c r="O1830" t="s">
        <v>6394</v>
      </c>
      <c r="P1830">
        <v>667</v>
      </c>
      <c r="Q1830">
        <f t="shared" si="461"/>
        <v>58.34</v>
      </c>
      <c r="R1830">
        <f t="shared" si="462"/>
        <v>0.97233333333333338</v>
      </c>
      <c r="S1830" s="2">
        <v>45744</v>
      </c>
      <c r="U1830">
        <v>3</v>
      </c>
      <c r="V1830" s="4">
        <v>2001</v>
      </c>
      <c r="W1830" t="s">
        <v>65</v>
      </c>
      <c r="X1830">
        <v>4.70044086004E+17</v>
      </c>
      <c r="Y1830">
        <v>0</v>
      </c>
      <c r="Z1830" s="4">
        <v>2000</v>
      </c>
      <c r="AA1830">
        <v>1</v>
      </c>
      <c r="AB1830">
        <v>0</v>
      </c>
      <c r="AC1830">
        <v>0</v>
      </c>
      <c r="AD1830">
        <v>0</v>
      </c>
      <c r="AG1830">
        <v>0</v>
      </c>
      <c r="AP1830">
        <v>47004408600400</v>
      </c>
      <c r="AQ1830" t="s">
        <v>2347</v>
      </c>
      <c r="AR1830" t="s">
        <v>6701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BC1830" t="s">
        <v>69</v>
      </c>
      <c r="BD1830" t="s">
        <v>6001</v>
      </c>
      <c r="BE1830">
        <v>0</v>
      </c>
      <c r="BG1830" t="s">
        <v>2347</v>
      </c>
      <c r="BJ1830" t="s">
        <v>5997</v>
      </c>
    </row>
    <row r="1831" spans="1:62" x14ac:dyDescent="0.35">
      <c r="A1831" t="s">
        <v>6002</v>
      </c>
      <c r="B1831">
        <v>10000</v>
      </c>
      <c r="C1831">
        <v>10000</v>
      </c>
      <c r="D1831" s="2">
        <v>45748</v>
      </c>
      <c r="E1831" t="s">
        <v>61</v>
      </c>
      <c r="F1831" t="s">
        <v>5473</v>
      </c>
      <c r="G1831" t="s">
        <v>3277</v>
      </c>
      <c r="I1831">
        <v>1</v>
      </c>
      <c r="J1831" t="s">
        <v>63</v>
      </c>
      <c r="K1831" s="8">
        <v>46</v>
      </c>
      <c r="L1831" s="8" t="s">
        <v>6587</v>
      </c>
      <c r="M1831" s="8" t="s">
        <v>6629</v>
      </c>
      <c r="N1831" t="s">
        <v>113</v>
      </c>
      <c r="O1831" t="s">
        <v>6499</v>
      </c>
      <c r="P1831" s="4">
        <v>18000</v>
      </c>
      <c r="Q1831">
        <f t="shared" ref="Q1831:Q1832" si="463">(P1831/40)+45</f>
        <v>495</v>
      </c>
      <c r="R1831">
        <f t="shared" si="462"/>
        <v>8.25</v>
      </c>
      <c r="S1831" s="2">
        <v>45744</v>
      </c>
      <c r="U1831">
        <v>1</v>
      </c>
      <c r="V1831" s="4">
        <v>18000</v>
      </c>
      <c r="W1831" t="s">
        <v>65</v>
      </c>
      <c r="X1831" t="s">
        <v>3772</v>
      </c>
      <c r="Y1831">
        <v>0</v>
      </c>
      <c r="Z1831" s="4">
        <v>18000</v>
      </c>
      <c r="AA1831">
        <v>0</v>
      </c>
      <c r="AB1831">
        <v>0</v>
      </c>
      <c r="AC1831">
        <v>0</v>
      </c>
      <c r="AD1831">
        <v>0</v>
      </c>
      <c r="AG1831">
        <v>0</v>
      </c>
      <c r="AP1831" t="s">
        <v>3773</v>
      </c>
      <c r="AQ1831" t="s">
        <v>116</v>
      </c>
      <c r="AR1831" t="s">
        <v>6639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BC1831" t="s">
        <v>69</v>
      </c>
      <c r="BD1831" t="s">
        <v>6003</v>
      </c>
      <c r="BE1831">
        <v>0</v>
      </c>
      <c r="BG1831" t="s">
        <v>116</v>
      </c>
      <c r="BJ1831" t="s">
        <v>3506</v>
      </c>
    </row>
    <row r="1832" spans="1:62" x14ac:dyDescent="0.35">
      <c r="A1832" t="s">
        <v>6004</v>
      </c>
      <c r="B1832">
        <v>10000</v>
      </c>
      <c r="C1832">
        <v>10000</v>
      </c>
      <c r="D1832" s="2">
        <v>45744</v>
      </c>
      <c r="E1832" t="s">
        <v>61</v>
      </c>
      <c r="F1832" s="3">
        <v>0.45989583333333334</v>
      </c>
      <c r="G1832" t="s">
        <v>348</v>
      </c>
      <c r="I1832">
        <v>1</v>
      </c>
      <c r="J1832" t="s">
        <v>63</v>
      </c>
      <c r="K1832" s="8">
        <v>46</v>
      </c>
      <c r="L1832" s="8" t="s">
        <v>6587</v>
      </c>
      <c r="M1832" s="8" t="s">
        <v>6629</v>
      </c>
      <c r="N1832" t="s">
        <v>113</v>
      </c>
      <c r="O1832" t="s">
        <v>6499</v>
      </c>
      <c r="P1832" s="4">
        <v>1000</v>
      </c>
      <c r="Q1832">
        <f t="shared" si="463"/>
        <v>70</v>
      </c>
      <c r="R1832">
        <f t="shared" si="462"/>
        <v>1.1666666666666667</v>
      </c>
      <c r="S1832" s="2">
        <v>45744</v>
      </c>
      <c r="U1832">
        <v>1</v>
      </c>
      <c r="V1832" s="4">
        <v>1000</v>
      </c>
      <c r="W1832" t="s">
        <v>65</v>
      </c>
      <c r="X1832" t="s">
        <v>6005</v>
      </c>
      <c r="Y1832">
        <v>0</v>
      </c>
      <c r="Z1832" s="4">
        <v>1000</v>
      </c>
      <c r="AA1832">
        <v>0</v>
      </c>
      <c r="AB1832">
        <v>0</v>
      </c>
      <c r="AC1832">
        <v>0</v>
      </c>
      <c r="AD1832">
        <v>0</v>
      </c>
      <c r="AG1832">
        <v>0</v>
      </c>
      <c r="AP1832" t="s">
        <v>6006</v>
      </c>
      <c r="AQ1832" t="s">
        <v>116</v>
      </c>
      <c r="AR1832" t="s">
        <v>6639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BC1832" t="s">
        <v>69</v>
      </c>
      <c r="BD1832" t="s">
        <v>6007</v>
      </c>
      <c r="BE1832">
        <v>0</v>
      </c>
      <c r="BG1832" t="s">
        <v>116</v>
      </c>
      <c r="BJ1832" t="s">
        <v>3506</v>
      </c>
    </row>
    <row r="1833" spans="1:62" x14ac:dyDescent="0.35">
      <c r="A1833" t="s">
        <v>6008</v>
      </c>
      <c r="B1833">
        <v>10000</v>
      </c>
      <c r="C1833">
        <v>20000</v>
      </c>
      <c r="D1833" s="2">
        <v>45744</v>
      </c>
      <c r="E1833" t="s">
        <v>61</v>
      </c>
      <c r="F1833" s="3">
        <v>0.52905092592592595</v>
      </c>
      <c r="G1833" t="s">
        <v>6009</v>
      </c>
      <c r="I1833">
        <v>1</v>
      </c>
      <c r="J1833" t="s">
        <v>63</v>
      </c>
      <c r="K1833" s="8">
        <v>60</v>
      </c>
      <c r="L1833" s="8" t="s">
        <v>6590</v>
      </c>
      <c r="M1833" s="8" t="s">
        <v>6630</v>
      </c>
      <c r="N1833" t="s">
        <v>277</v>
      </c>
      <c r="O1833" t="s">
        <v>6554</v>
      </c>
      <c r="P1833" s="4">
        <v>1000</v>
      </c>
      <c r="Q1833">
        <f>(P1833/50)+45</f>
        <v>65</v>
      </c>
      <c r="R1833">
        <f>Q1833/60</f>
        <v>1.0833333333333333</v>
      </c>
      <c r="S1833" s="2">
        <v>45744</v>
      </c>
      <c r="U1833">
        <v>1</v>
      </c>
      <c r="V1833" s="4">
        <v>1000</v>
      </c>
      <c r="W1833" t="s">
        <v>65</v>
      </c>
      <c r="X1833" t="s">
        <v>6010</v>
      </c>
      <c r="Y1833">
        <v>0</v>
      </c>
      <c r="Z1833" s="4">
        <v>1000</v>
      </c>
      <c r="AA1833">
        <v>0</v>
      </c>
      <c r="AB1833">
        <v>0</v>
      </c>
      <c r="AC1833">
        <v>0</v>
      </c>
      <c r="AD1833">
        <v>0</v>
      </c>
      <c r="AG1833">
        <v>0</v>
      </c>
      <c r="AP1833" t="s">
        <v>6011</v>
      </c>
      <c r="AQ1833" t="s">
        <v>116</v>
      </c>
      <c r="AR1833" t="s">
        <v>6639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BC1833" t="s">
        <v>69</v>
      </c>
      <c r="BD1833" t="s">
        <v>6012</v>
      </c>
      <c r="BE1833">
        <v>0</v>
      </c>
      <c r="BG1833" t="s">
        <v>116</v>
      </c>
      <c r="BJ1833" t="s">
        <v>3509</v>
      </c>
    </row>
    <row r="1834" spans="1:62" x14ac:dyDescent="0.35">
      <c r="A1834" t="s">
        <v>3533</v>
      </c>
      <c r="B1834">
        <v>10000</v>
      </c>
      <c r="C1834">
        <v>30000</v>
      </c>
      <c r="D1834" s="2">
        <v>45748</v>
      </c>
      <c r="E1834" t="s">
        <v>61</v>
      </c>
      <c r="F1834" t="s">
        <v>3534</v>
      </c>
      <c r="G1834">
        <v>10639931114</v>
      </c>
      <c r="I1834">
        <v>3</v>
      </c>
      <c r="J1834" t="s">
        <v>63</v>
      </c>
      <c r="K1834" s="8">
        <v>85</v>
      </c>
      <c r="L1834" s="8" t="s">
        <v>6585</v>
      </c>
      <c r="M1834" s="8" t="s">
        <v>6628</v>
      </c>
      <c r="N1834" t="s">
        <v>327</v>
      </c>
      <c r="O1834" t="s">
        <v>6580</v>
      </c>
      <c r="P1834" s="4">
        <v>20910</v>
      </c>
      <c r="S1834" s="2">
        <v>45744</v>
      </c>
      <c r="U1834">
        <v>11</v>
      </c>
      <c r="V1834" s="4">
        <v>230010</v>
      </c>
      <c r="W1834" t="s">
        <v>65</v>
      </c>
      <c r="X1834" t="s">
        <v>611</v>
      </c>
      <c r="Y1834">
        <v>0</v>
      </c>
      <c r="Z1834" s="4">
        <v>215000</v>
      </c>
      <c r="AA1834" s="4">
        <v>15010</v>
      </c>
      <c r="AB1834">
        <v>0</v>
      </c>
      <c r="AC1834">
        <v>0</v>
      </c>
      <c r="AD1834">
        <v>0</v>
      </c>
      <c r="AG1834">
        <v>0</v>
      </c>
      <c r="AP1834" t="s">
        <v>612</v>
      </c>
      <c r="AQ1834" t="s">
        <v>107</v>
      </c>
      <c r="AR1834" t="s">
        <v>6638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BC1834" t="s">
        <v>69</v>
      </c>
      <c r="BD1834" t="s">
        <v>3535</v>
      </c>
      <c r="BE1834">
        <v>0</v>
      </c>
      <c r="BG1834" t="s">
        <v>107</v>
      </c>
      <c r="BJ1834" t="s">
        <v>3536</v>
      </c>
    </row>
    <row r="1835" spans="1:62" x14ac:dyDescent="0.35">
      <c r="A1835" t="s">
        <v>6013</v>
      </c>
      <c r="B1835">
        <v>10000</v>
      </c>
      <c r="C1835">
        <v>10000</v>
      </c>
      <c r="D1835" s="2">
        <v>45744</v>
      </c>
      <c r="E1835" t="s">
        <v>61</v>
      </c>
      <c r="F1835" t="s">
        <v>5849</v>
      </c>
      <c r="G1835" t="s">
        <v>1457</v>
      </c>
      <c r="I1835">
        <v>1</v>
      </c>
      <c r="J1835" t="s">
        <v>63</v>
      </c>
      <c r="K1835" s="8">
        <v>61</v>
      </c>
      <c r="L1835" s="8" t="s">
        <v>6594</v>
      </c>
      <c r="M1835" s="8" t="s">
        <v>6629</v>
      </c>
      <c r="N1835" t="s">
        <v>216</v>
      </c>
      <c r="O1835" t="s">
        <v>6394</v>
      </c>
      <c r="P1835">
        <v>250</v>
      </c>
      <c r="Q1835">
        <f>(P1835/50)+45</f>
        <v>50</v>
      </c>
      <c r="R1835">
        <f>Q1835/60</f>
        <v>0.83333333333333337</v>
      </c>
      <c r="S1835" s="2">
        <v>45744</v>
      </c>
      <c r="U1835">
        <v>2</v>
      </c>
      <c r="V1835">
        <v>500</v>
      </c>
      <c r="W1835" t="s">
        <v>65</v>
      </c>
      <c r="X1835" t="s">
        <v>6014</v>
      </c>
      <c r="Y1835">
        <v>0</v>
      </c>
      <c r="Z1835">
        <v>500</v>
      </c>
      <c r="AA1835">
        <v>0</v>
      </c>
      <c r="AB1835">
        <v>0</v>
      </c>
      <c r="AC1835">
        <v>0</v>
      </c>
      <c r="AD1835">
        <v>0</v>
      </c>
      <c r="AG1835">
        <v>0</v>
      </c>
      <c r="AP1835" t="s">
        <v>6015</v>
      </c>
      <c r="AQ1835" t="s">
        <v>1241</v>
      </c>
      <c r="AR1835" t="s">
        <v>6673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BC1835" t="s">
        <v>69</v>
      </c>
      <c r="BD1835" t="s">
        <v>6016</v>
      </c>
      <c r="BE1835">
        <v>0</v>
      </c>
      <c r="BG1835" t="s">
        <v>1241</v>
      </c>
      <c r="BJ1835" t="s">
        <v>3555</v>
      </c>
    </row>
    <row r="1836" spans="1:62" x14ac:dyDescent="0.35">
      <c r="A1836" t="s">
        <v>3558</v>
      </c>
      <c r="B1836">
        <v>10000</v>
      </c>
      <c r="C1836">
        <v>30000</v>
      </c>
      <c r="D1836" s="2">
        <v>45744</v>
      </c>
      <c r="E1836" t="s">
        <v>61</v>
      </c>
      <c r="F1836" t="s">
        <v>5145</v>
      </c>
      <c r="G1836">
        <v>10639931114</v>
      </c>
      <c r="I1836">
        <v>3</v>
      </c>
      <c r="J1836" t="s">
        <v>63</v>
      </c>
      <c r="K1836" s="8">
        <v>85</v>
      </c>
      <c r="L1836" s="8" t="s">
        <v>6585</v>
      </c>
      <c r="M1836" s="8" t="s">
        <v>6628</v>
      </c>
      <c r="N1836" t="s">
        <v>327</v>
      </c>
      <c r="O1836" t="s">
        <v>6580</v>
      </c>
      <c r="P1836" s="4">
        <v>8000</v>
      </c>
      <c r="S1836" s="2">
        <v>45744</v>
      </c>
      <c r="U1836">
        <v>11</v>
      </c>
      <c r="V1836" s="4">
        <v>88000</v>
      </c>
      <c r="W1836" t="s">
        <v>65</v>
      </c>
      <c r="X1836" t="s">
        <v>3560</v>
      </c>
      <c r="Y1836">
        <v>0</v>
      </c>
      <c r="Z1836" s="4">
        <v>80000</v>
      </c>
      <c r="AA1836" s="4">
        <v>8000</v>
      </c>
      <c r="AB1836">
        <v>0</v>
      </c>
      <c r="AC1836">
        <v>0</v>
      </c>
      <c r="AD1836">
        <v>0</v>
      </c>
      <c r="AG1836">
        <v>0</v>
      </c>
      <c r="AP1836" t="s">
        <v>3561</v>
      </c>
      <c r="AQ1836" t="s">
        <v>107</v>
      </c>
      <c r="AR1836" t="s">
        <v>6638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BC1836" t="s">
        <v>69</v>
      </c>
      <c r="BD1836" t="s">
        <v>3562</v>
      </c>
      <c r="BE1836">
        <v>0</v>
      </c>
      <c r="BG1836" t="s">
        <v>107</v>
      </c>
      <c r="BJ1836" t="s">
        <v>3563</v>
      </c>
    </row>
    <row r="1837" spans="1:62" x14ac:dyDescent="0.35">
      <c r="A1837" t="s">
        <v>5839</v>
      </c>
      <c r="B1837">
        <v>10000</v>
      </c>
      <c r="C1837">
        <v>20000</v>
      </c>
      <c r="D1837" s="2">
        <v>45744</v>
      </c>
      <c r="E1837" t="s">
        <v>61</v>
      </c>
      <c r="F1837" t="s">
        <v>5840</v>
      </c>
      <c r="G1837" t="s">
        <v>5717</v>
      </c>
      <c r="I1837">
        <v>2</v>
      </c>
      <c r="J1837" t="s">
        <v>63</v>
      </c>
      <c r="K1837" s="8">
        <v>71</v>
      </c>
      <c r="L1837" s="8" t="s">
        <v>6588</v>
      </c>
      <c r="M1837" s="8" t="s">
        <v>6630</v>
      </c>
      <c r="N1837" t="s">
        <v>135</v>
      </c>
      <c r="O1837" t="s">
        <v>6573</v>
      </c>
      <c r="P1837">
        <v>834</v>
      </c>
      <c r="S1837" s="2">
        <v>45744</v>
      </c>
      <c r="U1837">
        <v>6</v>
      </c>
      <c r="V1837" s="4">
        <v>5004</v>
      </c>
      <c r="W1837" t="s">
        <v>65</v>
      </c>
      <c r="X1837">
        <v>83615110001</v>
      </c>
      <c r="Y1837">
        <v>0</v>
      </c>
      <c r="Z1837" s="4">
        <v>5000</v>
      </c>
      <c r="AA1837">
        <v>4</v>
      </c>
      <c r="AB1837">
        <v>0</v>
      </c>
      <c r="AC1837">
        <v>0</v>
      </c>
      <c r="AD1837">
        <v>0</v>
      </c>
      <c r="AG1837">
        <v>0</v>
      </c>
      <c r="AP1837">
        <v>8361511</v>
      </c>
      <c r="AQ1837" t="s">
        <v>91</v>
      </c>
      <c r="AR1837" t="s">
        <v>6637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BC1837" t="s">
        <v>69</v>
      </c>
      <c r="BD1837" t="s">
        <v>5841</v>
      </c>
      <c r="BE1837">
        <v>0</v>
      </c>
      <c r="BG1837" t="s">
        <v>91</v>
      </c>
      <c r="BJ1837" t="s">
        <v>3589</v>
      </c>
    </row>
    <row r="1838" spans="1:62" x14ac:dyDescent="0.35">
      <c r="A1838" t="s">
        <v>5842</v>
      </c>
      <c r="B1838">
        <v>10000</v>
      </c>
      <c r="C1838">
        <v>20000</v>
      </c>
      <c r="D1838" s="2">
        <v>45744</v>
      </c>
      <c r="E1838" t="s">
        <v>61</v>
      </c>
      <c r="F1838" t="s">
        <v>5843</v>
      </c>
      <c r="G1838" t="s">
        <v>5717</v>
      </c>
      <c r="I1838">
        <v>2</v>
      </c>
      <c r="J1838" t="s">
        <v>63</v>
      </c>
      <c r="K1838" s="8">
        <v>71</v>
      </c>
      <c r="L1838" s="8" t="s">
        <v>6588</v>
      </c>
      <c r="M1838" s="8" t="s">
        <v>6630</v>
      </c>
      <c r="N1838" t="s">
        <v>135</v>
      </c>
      <c r="O1838" t="s">
        <v>6573</v>
      </c>
      <c r="P1838" s="4">
        <v>1000</v>
      </c>
      <c r="S1838" s="2">
        <v>45744</v>
      </c>
      <c r="U1838">
        <v>6</v>
      </c>
      <c r="V1838" s="4">
        <v>6000</v>
      </c>
      <c r="W1838" t="s">
        <v>65</v>
      </c>
      <c r="X1838">
        <v>83615230001</v>
      </c>
      <c r="Y1838">
        <v>0</v>
      </c>
      <c r="Z1838" s="4">
        <v>6000</v>
      </c>
      <c r="AA1838">
        <v>0</v>
      </c>
      <c r="AB1838">
        <v>0</v>
      </c>
      <c r="AC1838">
        <v>0</v>
      </c>
      <c r="AD1838">
        <v>0</v>
      </c>
      <c r="AG1838">
        <v>0</v>
      </c>
      <c r="AP1838">
        <v>8361523</v>
      </c>
      <c r="AQ1838" t="s">
        <v>91</v>
      </c>
      <c r="AR1838" t="s">
        <v>6637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BC1838" t="s">
        <v>69</v>
      </c>
      <c r="BD1838" t="s">
        <v>5844</v>
      </c>
      <c r="BE1838">
        <v>0</v>
      </c>
      <c r="BG1838" t="s">
        <v>91</v>
      </c>
      <c r="BJ1838" t="s">
        <v>3589</v>
      </c>
    </row>
    <row r="1839" spans="1:62" x14ac:dyDescent="0.35">
      <c r="A1839" t="s">
        <v>5848</v>
      </c>
      <c r="B1839">
        <v>10000</v>
      </c>
      <c r="C1839">
        <v>20000</v>
      </c>
      <c r="D1839" s="2">
        <v>45744</v>
      </c>
      <c r="E1839" t="s">
        <v>61</v>
      </c>
      <c r="F1839" t="s">
        <v>5849</v>
      </c>
      <c r="G1839" t="s">
        <v>5717</v>
      </c>
      <c r="I1839">
        <v>2</v>
      </c>
      <c r="J1839" t="s">
        <v>63</v>
      </c>
      <c r="K1839" s="8">
        <v>71</v>
      </c>
      <c r="L1839" s="8" t="s">
        <v>6588</v>
      </c>
      <c r="M1839" s="8" t="s">
        <v>6630</v>
      </c>
      <c r="N1839" t="s">
        <v>135</v>
      </c>
      <c r="O1839" t="s">
        <v>6573</v>
      </c>
      <c r="P1839">
        <v>834</v>
      </c>
      <c r="S1839" s="2">
        <v>45744</v>
      </c>
      <c r="U1839">
        <v>6</v>
      </c>
      <c r="V1839" s="4">
        <v>5004</v>
      </c>
      <c r="W1839" t="s">
        <v>65</v>
      </c>
      <c r="X1839">
        <v>5000443900001</v>
      </c>
      <c r="Y1839">
        <v>0</v>
      </c>
      <c r="Z1839" s="4">
        <v>5000</v>
      </c>
      <c r="AA1839">
        <v>4</v>
      </c>
      <c r="AB1839">
        <v>0</v>
      </c>
      <c r="AC1839">
        <v>0</v>
      </c>
      <c r="AD1839">
        <v>0</v>
      </c>
      <c r="AG1839">
        <v>0</v>
      </c>
      <c r="AP1839">
        <v>500044390</v>
      </c>
      <c r="AQ1839" t="s">
        <v>91</v>
      </c>
      <c r="AR1839" t="s">
        <v>6637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BC1839" t="s">
        <v>69</v>
      </c>
      <c r="BD1839" t="s">
        <v>5850</v>
      </c>
      <c r="BE1839">
        <v>0</v>
      </c>
      <c r="BG1839" t="s">
        <v>91</v>
      </c>
      <c r="BJ1839" t="s">
        <v>3589</v>
      </c>
    </row>
    <row r="1840" spans="1:62" x14ac:dyDescent="0.35">
      <c r="A1840" t="s">
        <v>5854</v>
      </c>
      <c r="B1840">
        <v>10000</v>
      </c>
      <c r="C1840">
        <v>20000</v>
      </c>
      <c r="D1840" s="2">
        <v>45744</v>
      </c>
      <c r="E1840" t="s">
        <v>61</v>
      </c>
      <c r="F1840" t="s">
        <v>5855</v>
      </c>
      <c r="G1840" t="s">
        <v>5717</v>
      </c>
      <c r="I1840">
        <v>2</v>
      </c>
      <c r="J1840" t="s">
        <v>63</v>
      </c>
      <c r="K1840" s="8">
        <v>71</v>
      </c>
      <c r="L1840" s="8" t="s">
        <v>6588</v>
      </c>
      <c r="M1840" s="8" t="s">
        <v>6630</v>
      </c>
      <c r="N1840" t="s">
        <v>135</v>
      </c>
      <c r="O1840" t="s">
        <v>6573</v>
      </c>
      <c r="P1840" s="4">
        <v>3334</v>
      </c>
      <c r="S1840" s="2">
        <v>45744</v>
      </c>
      <c r="U1840">
        <v>6</v>
      </c>
      <c r="V1840" s="4">
        <v>20004</v>
      </c>
      <c r="W1840" t="s">
        <v>65</v>
      </c>
      <c r="X1840">
        <v>5000514810001</v>
      </c>
      <c r="Y1840">
        <v>0</v>
      </c>
      <c r="Z1840" s="4">
        <v>20000</v>
      </c>
      <c r="AA1840">
        <v>4</v>
      </c>
      <c r="AB1840">
        <v>0</v>
      </c>
      <c r="AC1840">
        <v>0</v>
      </c>
      <c r="AD1840">
        <v>0</v>
      </c>
      <c r="AG1840">
        <v>0</v>
      </c>
      <c r="AP1840">
        <v>500051481</v>
      </c>
      <c r="AQ1840" t="s">
        <v>91</v>
      </c>
      <c r="AR1840" t="s">
        <v>6637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BC1840" t="s">
        <v>69</v>
      </c>
      <c r="BD1840" t="s">
        <v>5856</v>
      </c>
      <c r="BE1840">
        <v>0</v>
      </c>
      <c r="BG1840" t="s">
        <v>91</v>
      </c>
      <c r="BJ1840" t="s">
        <v>3589</v>
      </c>
    </row>
    <row r="1841" spans="1:62" x14ac:dyDescent="0.35">
      <c r="A1841" t="s">
        <v>5857</v>
      </c>
      <c r="B1841">
        <v>10000</v>
      </c>
      <c r="C1841">
        <v>20000</v>
      </c>
      <c r="D1841" s="2">
        <v>45744</v>
      </c>
      <c r="E1841" t="s">
        <v>61</v>
      </c>
      <c r="F1841" s="3">
        <v>0.48218749999999999</v>
      </c>
      <c r="G1841" t="s">
        <v>5717</v>
      </c>
      <c r="I1841">
        <v>2</v>
      </c>
      <c r="J1841" t="s">
        <v>63</v>
      </c>
      <c r="K1841" s="8">
        <v>82</v>
      </c>
      <c r="L1841" s="8" t="s">
        <v>6598</v>
      </c>
      <c r="M1841" s="8" t="s">
        <v>6630</v>
      </c>
      <c r="N1841" t="s">
        <v>341</v>
      </c>
      <c r="O1841" t="s">
        <v>6346</v>
      </c>
      <c r="P1841" s="4">
        <v>1167</v>
      </c>
      <c r="S1841" s="2">
        <v>45744</v>
      </c>
      <c r="U1841">
        <v>6</v>
      </c>
      <c r="V1841" s="4">
        <v>7002</v>
      </c>
      <c r="W1841" t="s">
        <v>65</v>
      </c>
      <c r="X1841">
        <v>5000435310001</v>
      </c>
      <c r="Y1841">
        <v>0</v>
      </c>
      <c r="Z1841" s="4">
        <v>5000</v>
      </c>
      <c r="AA1841" s="4">
        <v>2002</v>
      </c>
      <c r="AB1841">
        <v>0</v>
      </c>
      <c r="AC1841">
        <v>0</v>
      </c>
      <c r="AD1841">
        <v>0</v>
      </c>
      <c r="AG1841">
        <v>0</v>
      </c>
      <c r="AP1841">
        <v>500043531</v>
      </c>
      <c r="AQ1841" t="s">
        <v>91</v>
      </c>
      <c r="AR1841" t="s">
        <v>6637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BC1841" t="s">
        <v>69</v>
      </c>
      <c r="BD1841" t="s">
        <v>5858</v>
      </c>
      <c r="BE1841">
        <v>0</v>
      </c>
      <c r="BG1841" t="s">
        <v>91</v>
      </c>
      <c r="BJ1841" t="s">
        <v>4342</v>
      </c>
    </row>
    <row r="1842" spans="1:62" x14ac:dyDescent="0.35">
      <c r="A1842" t="s">
        <v>6017</v>
      </c>
      <c r="B1842">
        <v>10000</v>
      </c>
      <c r="C1842">
        <v>10000</v>
      </c>
      <c r="D1842" s="2">
        <v>45744</v>
      </c>
      <c r="E1842" t="s">
        <v>61</v>
      </c>
      <c r="F1842" t="s">
        <v>6018</v>
      </c>
      <c r="G1842" t="s">
        <v>5717</v>
      </c>
      <c r="I1842">
        <v>1</v>
      </c>
      <c r="J1842" t="s">
        <v>63</v>
      </c>
      <c r="K1842" s="8">
        <v>72</v>
      </c>
      <c r="L1842" s="8" t="s">
        <v>6606</v>
      </c>
      <c r="M1842" s="8" t="s">
        <v>6631</v>
      </c>
      <c r="N1842" t="s">
        <v>163</v>
      </c>
      <c r="O1842" t="s">
        <v>6548</v>
      </c>
      <c r="P1842" s="4">
        <v>2000</v>
      </c>
      <c r="S1842" s="2">
        <v>45744</v>
      </c>
      <c r="U1842">
        <v>4</v>
      </c>
      <c r="V1842" s="4">
        <v>8000</v>
      </c>
      <c r="W1842" t="s">
        <v>65</v>
      </c>
      <c r="X1842">
        <v>5000435340001</v>
      </c>
      <c r="Y1842">
        <v>0</v>
      </c>
      <c r="Z1842" s="4">
        <v>6000</v>
      </c>
      <c r="AA1842" s="4">
        <v>2000</v>
      </c>
      <c r="AB1842">
        <v>0</v>
      </c>
      <c r="AC1842">
        <v>0</v>
      </c>
      <c r="AD1842">
        <v>0</v>
      </c>
      <c r="AG1842">
        <v>0</v>
      </c>
      <c r="AP1842">
        <v>500043534</v>
      </c>
      <c r="AQ1842" t="s">
        <v>91</v>
      </c>
      <c r="AR1842" t="s">
        <v>6637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BC1842" t="s">
        <v>69</v>
      </c>
      <c r="BD1842" t="s">
        <v>6019</v>
      </c>
      <c r="BE1842">
        <v>0</v>
      </c>
      <c r="BG1842" t="s">
        <v>91</v>
      </c>
      <c r="BJ1842" t="s">
        <v>4342</v>
      </c>
    </row>
    <row r="1843" spans="1:62" x14ac:dyDescent="0.35">
      <c r="A1843" t="s">
        <v>6017</v>
      </c>
      <c r="B1843">
        <v>10000</v>
      </c>
      <c r="C1843">
        <v>20000</v>
      </c>
      <c r="D1843" s="2">
        <v>45744</v>
      </c>
      <c r="E1843" t="s">
        <v>61</v>
      </c>
      <c r="F1843" t="s">
        <v>6018</v>
      </c>
      <c r="G1843" t="s">
        <v>5717</v>
      </c>
      <c r="I1843">
        <v>2</v>
      </c>
      <c r="J1843" t="s">
        <v>63</v>
      </c>
      <c r="K1843" s="8">
        <v>82</v>
      </c>
      <c r="L1843" s="8" t="s">
        <v>6598</v>
      </c>
      <c r="M1843" s="8" t="s">
        <v>6630</v>
      </c>
      <c r="N1843" t="s">
        <v>341</v>
      </c>
      <c r="O1843" t="s">
        <v>6346</v>
      </c>
      <c r="P1843" s="4">
        <v>1167</v>
      </c>
      <c r="S1843" s="2">
        <v>45744</v>
      </c>
      <c r="U1843">
        <v>6</v>
      </c>
      <c r="V1843" s="4">
        <v>7002</v>
      </c>
      <c r="W1843" t="s">
        <v>65</v>
      </c>
      <c r="X1843">
        <v>5000435340001</v>
      </c>
      <c r="Y1843">
        <v>0</v>
      </c>
      <c r="Z1843" s="4">
        <v>6000</v>
      </c>
      <c r="AA1843" s="4">
        <v>1002</v>
      </c>
      <c r="AB1843">
        <v>0</v>
      </c>
      <c r="AC1843">
        <v>0</v>
      </c>
      <c r="AD1843">
        <v>0</v>
      </c>
      <c r="AG1843">
        <v>0</v>
      </c>
      <c r="AP1843">
        <v>500043534</v>
      </c>
      <c r="AQ1843" t="s">
        <v>91</v>
      </c>
      <c r="AR1843" t="s">
        <v>6637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BC1843" t="s">
        <v>69</v>
      </c>
      <c r="BD1843" t="s">
        <v>6019</v>
      </c>
      <c r="BE1843">
        <v>0</v>
      </c>
      <c r="BG1843" t="s">
        <v>91</v>
      </c>
      <c r="BJ1843" t="s">
        <v>4342</v>
      </c>
    </row>
    <row r="1844" spans="1:62" x14ac:dyDescent="0.35">
      <c r="A1844" t="s">
        <v>5859</v>
      </c>
      <c r="B1844">
        <v>10000</v>
      </c>
      <c r="C1844">
        <v>20000</v>
      </c>
      <c r="D1844" s="2">
        <v>45744</v>
      </c>
      <c r="E1844" t="s">
        <v>61</v>
      </c>
      <c r="F1844" s="3">
        <v>0.48218749999999999</v>
      </c>
      <c r="G1844" t="s">
        <v>5717</v>
      </c>
      <c r="I1844">
        <v>2</v>
      </c>
      <c r="J1844" t="s">
        <v>63</v>
      </c>
      <c r="K1844" s="8">
        <v>82</v>
      </c>
      <c r="L1844" s="8" t="s">
        <v>6598</v>
      </c>
      <c r="M1844" s="8" t="s">
        <v>6630</v>
      </c>
      <c r="N1844" t="s">
        <v>341</v>
      </c>
      <c r="O1844" t="s">
        <v>6346</v>
      </c>
      <c r="P1844" s="4">
        <v>1167</v>
      </c>
      <c r="S1844" s="2">
        <v>45744</v>
      </c>
      <c r="U1844">
        <v>6</v>
      </c>
      <c r="V1844" s="4">
        <v>7002</v>
      </c>
      <c r="W1844" t="s">
        <v>65</v>
      </c>
      <c r="X1844">
        <v>5000444160001</v>
      </c>
      <c r="Y1844">
        <v>0</v>
      </c>
      <c r="Z1844" s="4">
        <v>5000</v>
      </c>
      <c r="AA1844" s="4">
        <v>2002</v>
      </c>
      <c r="AB1844">
        <v>0</v>
      </c>
      <c r="AC1844">
        <v>0</v>
      </c>
      <c r="AD1844">
        <v>0</v>
      </c>
      <c r="AG1844">
        <v>0</v>
      </c>
      <c r="AP1844">
        <v>500044416</v>
      </c>
      <c r="AQ1844" t="s">
        <v>91</v>
      </c>
      <c r="AR1844" t="s">
        <v>6637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BC1844" t="s">
        <v>69</v>
      </c>
      <c r="BD1844" t="s">
        <v>5860</v>
      </c>
      <c r="BE1844">
        <v>0</v>
      </c>
      <c r="BG1844" t="s">
        <v>91</v>
      </c>
      <c r="BJ1844" t="s">
        <v>4342</v>
      </c>
    </row>
    <row r="1845" spans="1:62" x14ac:dyDescent="0.35">
      <c r="A1845" t="s">
        <v>5626</v>
      </c>
      <c r="B1845">
        <v>10000</v>
      </c>
      <c r="C1845">
        <v>20000</v>
      </c>
      <c r="D1845" s="2">
        <v>45749</v>
      </c>
      <c r="E1845" t="s">
        <v>61</v>
      </c>
      <c r="F1845" t="s">
        <v>5627</v>
      </c>
      <c r="G1845" t="s">
        <v>5628</v>
      </c>
      <c r="I1845">
        <v>1</v>
      </c>
      <c r="J1845" t="s">
        <v>63</v>
      </c>
      <c r="K1845" s="8">
        <v>90</v>
      </c>
      <c r="L1845" t="s">
        <v>6589</v>
      </c>
      <c r="M1845" s="8" t="s">
        <v>6630</v>
      </c>
      <c r="N1845" t="s">
        <v>154</v>
      </c>
      <c r="O1845" t="s">
        <v>6575</v>
      </c>
      <c r="P1845" s="4">
        <v>8182</v>
      </c>
      <c r="S1845" s="2">
        <v>45744</v>
      </c>
      <c r="U1845">
        <v>132</v>
      </c>
      <c r="V1845" s="4">
        <v>1080024</v>
      </c>
      <c r="W1845" t="s">
        <v>65</v>
      </c>
      <c r="X1845" t="s">
        <v>2019</v>
      </c>
      <c r="Y1845">
        <v>0</v>
      </c>
      <c r="Z1845" s="4">
        <v>1079992</v>
      </c>
      <c r="AA1845">
        <v>32</v>
      </c>
      <c r="AB1845">
        <v>0</v>
      </c>
      <c r="AC1845">
        <v>0</v>
      </c>
      <c r="AD1845">
        <v>0</v>
      </c>
      <c r="AG1845">
        <v>0</v>
      </c>
      <c r="AP1845" t="s">
        <v>2020</v>
      </c>
      <c r="AQ1845" t="s">
        <v>1672</v>
      </c>
      <c r="AR1845" t="s">
        <v>6681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BC1845" t="s">
        <v>69</v>
      </c>
      <c r="BD1845" t="s">
        <v>5629</v>
      </c>
      <c r="BE1845">
        <v>0</v>
      </c>
      <c r="BG1845" t="s">
        <v>1672</v>
      </c>
      <c r="BJ1845" t="s">
        <v>4845</v>
      </c>
    </row>
    <row r="1846" spans="1:62" x14ac:dyDescent="0.35">
      <c r="A1846" t="s">
        <v>4068</v>
      </c>
      <c r="B1846">
        <v>10000</v>
      </c>
      <c r="C1846">
        <v>20000</v>
      </c>
      <c r="D1846" s="2">
        <v>45744</v>
      </c>
      <c r="E1846" t="s">
        <v>61</v>
      </c>
      <c r="F1846" s="3">
        <v>0.52878472222222217</v>
      </c>
      <c r="G1846" t="s">
        <v>4069</v>
      </c>
      <c r="I1846">
        <v>1</v>
      </c>
      <c r="J1846" t="s">
        <v>63</v>
      </c>
      <c r="K1846" s="8">
        <v>60</v>
      </c>
      <c r="L1846" s="8" t="s">
        <v>6590</v>
      </c>
      <c r="M1846" s="8" t="s">
        <v>6630</v>
      </c>
      <c r="N1846" t="s">
        <v>277</v>
      </c>
      <c r="O1846" t="s">
        <v>6554</v>
      </c>
      <c r="P1846" s="4">
        <v>5000</v>
      </c>
      <c r="Q1846">
        <f t="shared" ref="Q1846:Q1848" si="464">(P1846/50)+45</f>
        <v>145</v>
      </c>
      <c r="R1846">
        <f t="shared" ref="R1846:R1848" si="465">Q1846/60</f>
        <v>2.4166666666666665</v>
      </c>
      <c r="S1846" s="2">
        <v>45744</v>
      </c>
      <c r="U1846">
        <v>1</v>
      </c>
      <c r="V1846" s="4">
        <v>5000</v>
      </c>
      <c r="W1846" t="s">
        <v>65</v>
      </c>
      <c r="X1846" t="s">
        <v>4070</v>
      </c>
      <c r="Y1846">
        <v>0</v>
      </c>
      <c r="Z1846" s="4">
        <v>5000</v>
      </c>
      <c r="AA1846">
        <v>0</v>
      </c>
      <c r="AB1846">
        <v>0</v>
      </c>
      <c r="AC1846">
        <v>0</v>
      </c>
      <c r="AD1846">
        <v>0</v>
      </c>
      <c r="AG1846">
        <v>0</v>
      </c>
      <c r="AP1846" t="s">
        <v>4071</v>
      </c>
      <c r="AQ1846" t="s">
        <v>4072</v>
      </c>
      <c r="AR1846" t="s">
        <v>6733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BC1846" t="s">
        <v>69</v>
      </c>
      <c r="BD1846" t="s">
        <v>4073</v>
      </c>
      <c r="BE1846">
        <v>0</v>
      </c>
      <c r="BG1846" t="s">
        <v>4072</v>
      </c>
      <c r="BJ1846" t="s">
        <v>4074</v>
      </c>
    </row>
    <row r="1847" spans="1:62" x14ac:dyDescent="0.35">
      <c r="A1847" t="s">
        <v>6020</v>
      </c>
      <c r="B1847">
        <v>10000</v>
      </c>
      <c r="C1847">
        <v>10000</v>
      </c>
      <c r="D1847" s="2">
        <v>45744</v>
      </c>
      <c r="E1847" t="s">
        <v>61</v>
      </c>
      <c r="F1847" t="s">
        <v>5972</v>
      </c>
      <c r="G1847" t="s">
        <v>6021</v>
      </c>
      <c r="I1847">
        <v>1</v>
      </c>
      <c r="J1847" t="s">
        <v>63</v>
      </c>
      <c r="K1847" s="8">
        <v>61</v>
      </c>
      <c r="L1847" s="8" t="s">
        <v>6594</v>
      </c>
      <c r="M1847" s="8" t="s">
        <v>6629</v>
      </c>
      <c r="N1847" t="s">
        <v>216</v>
      </c>
      <c r="O1847" t="s">
        <v>6394</v>
      </c>
      <c r="P1847">
        <v>400</v>
      </c>
      <c r="Q1847">
        <f t="shared" si="464"/>
        <v>53</v>
      </c>
      <c r="R1847">
        <f t="shared" si="465"/>
        <v>0.8833333333333333</v>
      </c>
      <c r="S1847" s="2">
        <v>45744</v>
      </c>
      <c r="U1847">
        <v>5</v>
      </c>
      <c r="V1847" s="4">
        <v>2000</v>
      </c>
      <c r="W1847" t="s">
        <v>65</v>
      </c>
      <c r="X1847" t="s">
        <v>6022</v>
      </c>
      <c r="Y1847">
        <v>0</v>
      </c>
      <c r="Z1847" s="4">
        <v>2000</v>
      </c>
      <c r="AA1847">
        <v>0</v>
      </c>
      <c r="AB1847">
        <v>0</v>
      </c>
      <c r="AC1847">
        <v>0</v>
      </c>
      <c r="AD1847">
        <v>0</v>
      </c>
      <c r="AG1847">
        <v>0</v>
      </c>
      <c r="AP1847" t="s">
        <v>6023</v>
      </c>
      <c r="AQ1847" t="s">
        <v>508</v>
      </c>
      <c r="AR1847" t="s">
        <v>6657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BC1847" t="s">
        <v>69</v>
      </c>
      <c r="BD1847" t="s">
        <v>6024</v>
      </c>
      <c r="BE1847">
        <v>0</v>
      </c>
      <c r="BG1847" t="s">
        <v>508</v>
      </c>
      <c r="BJ1847" t="s">
        <v>4657</v>
      </c>
    </row>
    <row r="1848" spans="1:62" x14ac:dyDescent="0.35">
      <c r="A1848" t="s">
        <v>6025</v>
      </c>
      <c r="B1848">
        <v>10000</v>
      </c>
      <c r="C1848">
        <v>10000</v>
      </c>
      <c r="D1848" s="2">
        <v>45744</v>
      </c>
      <c r="E1848" t="s">
        <v>61</v>
      </c>
      <c r="F1848" t="s">
        <v>5972</v>
      </c>
      <c r="G1848" t="s">
        <v>6021</v>
      </c>
      <c r="I1848">
        <v>1</v>
      </c>
      <c r="J1848" t="s">
        <v>63</v>
      </c>
      <c r="K1848" s="8">
        <v>61</v>
      </c>
      <c r="L1848" s="8" t="s">
        <v>6594</v>
      </c>
      <c r="M1848" s="8" t="s">
        <v>6629</v>
      </c>
      <c r="N1848" t="s">
        <v>216</v>
      </c>
      <c r="O1848" t="s">
        <v>6394</v>
      </c>
      <c r="P1848">
        <v>600</v>
      </c>
      <c r="Q1848">
        <f t="shared" si="464"/>
        <v>57</v>
      </c>
      <c r="R1848">
        <f t="shared" si="465"/>
        <v>0.95</v>
      </c>
      <c r="S1848" s="2">
        <v>45744</v>
      </c>
      <c r="U1848">
        <v>5</v>
      </c>
      <c r="V1848" s="4">
        <v>3000</v>
      </c>
      <c r="W1848" t="s">
        <v>65</v>
      </c>
      <c r="X1848" t="s">
        <v>6022</v>
      </c>
      <c r="Y1848">
        <v>0</v>
      </c>
      <c r="Z1848" s="4">
        <v>3000</v>
      </c>
      <c r="AA1848">
        <v>0</v>
      </c>
      <c r="AB1848">
        <v>0</v>
      </c>
      <c r="AC1848">
        <v>0</v>
      </c>
      <c r="AD1848">
        <v>0</v>
      </c>
      <c r="AG1848">
        <v>0</v>
      </c>
      <c r="AP1848" t="s">
        <v>6023</v>
      </c>
      <c r="AQ1848" t="s">
        <v>508</v>
      </c>
      <c r="AR1848" t="s">
        <v>6657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BC1848" t="s">
        <v>69</v>
      </c>
      <c r="BD1848" t="s">
        <v>6026</v>
      </c>
      <c r="BE1848">
        <v>0</v>
      </c>
      <c r="BG1848" t="s">
        <v>508</v>
      </c>
      <c r="BJ1848" t="s">
        <v>4667</v>
      </c>
    </row>
    <row r="1849" spans="1:62" x14ac:dyDescent="0.35">
      <c r="A1849" t="s">
        <v>6027</v>
      </c>
      <c r="B1849">
        <v>10000</v>
      </c>
      <c r="C1849">
        <v>10000</v>
      </c>
      <c r="D1849" s="2">
        <v>45750</v>
      </c>
      <c r="E1849" t="s">
        <v>61</v>
      </c>
      <c r="F1849" t="s">
        <v>6028</v>
      </c>
      <c r="G1849" t="s">
        <v>6029</v>
      </c>
      <c r="I1849">
        <v>1</v>
      </c>
      <c r="J1849" t="s">
        <v>63</v>
      </c>
      <c r="K1849" s="8">
        <v>88</v>
      </c>
      <c r="L1849" s="8" t="s">
        <v>6610</v>
      </c>
      <c r="M1849" s="8" t="s">
        <v>6631</v>
      </c>
      <c r="N1849" t="s">
        <v>630</v>
      </c>
      <c r="O1849" t="s">
        <v>6571</v>
      </c>
      <c r="P1849">
        <v>800</v>
      </c>
      <c r="S1849" s="2">
        <v>45744</v>
      </c>
      <c r="U1849">
        <v>1</v>
      </c>
      <c r="V1849">
        <v>800</v>
      </c>
      <c r="W1849" t="s">
        <v>65</v>
      </c>
      <c r="X1849">
        <v>107176710001</v>
      </c>
      <c r="Y1849">
        <v>0</v>
      </c>
      <c r="Z1849">
        <v>500</v>
      </c>
      <c r="AA1849">
        <v>300</v>
      </c>
      <c r="AB1849">
        <v>0</v>
      </c>
      <c r="AC1849">
        <v>0</v>
      </c>
      <c r="AD1849">
        <v>0</v>
      </c>
      <c r="AG1849">
        <v>0</v>
      </c>
      <c r="AP1849">
        <v>10717671</v>
      </c>
      <c r="AQ1849" t="s">
        <v>487</v>
      </c>
      <c r="AR1849" t="s">
        <v>6656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BC1849" t="s">
        <v>69</v>
      </c>
      <c r="BD1849" t="s">
        <v>6030</v>
      </c>
      <c r="BE1849">
        <v>0</v>
      </c>
      <c r="BG1849" t="s">
        <v>487</v>
      </c>
      <c r="BJ1849" t="s">
        <v>6031</v>
      </c>
    </row>
    <row r="1850" spans="1:62" x14ac:dyDescent="0.35">
      <c r="A1850" t="s">
        <v>5875</v>
      </c>
      <c r="B1850">
        <v>10000</v>
      </c>
      <c r="C1850">
        <v>20000</v>
      </c>
      <c r="D1850" s="2">
        <v>45744</v>
      </c>
      <c r="E1850" t="s">
        <v>61</v>
      </c>
      <c r="F1850" t="s">
        <v>5876</v>
      </c>
      <c r="G1850" t="s">
        <v>5877</v>
      </c>
      <c r="I1850">
        <v>2</v>
      </c>
      <c r="J1850" t="s">
        <v>63</v>
      </c>
      <c r="K1850" s="8">
        <v>86</v>
      </c>
      <c r="L1850" s="8" t="s">
        <v>6584</v>
      </c>
      <c r="M1850" s="8" t="s">
        <v>6627</v>
      </c>
      <c r="N1850" t="s">
        <v>64</v>
      </c>
      <c r="O1850" t="s">
        <v>6559</v>
      </c>
      <c r="P1850">
        <v>36</v>
      </c>
      <c r="Q1850">
        <f t="shared" ref="Q1850:Q1852" si="466">(P1850/60)+45</f>
        <v>45.6</v>
      </c>
      <c r="R1850">
        <f t="shared" ref="R1850:R1852" si="467">Q1850/60</f>
        <v>0.76</v>
      </c>
      <c r="S1850" s="2">
        <v>45744</v>
      </c>
      <c r="U1850">
        <v>1</v>
      </c>
      <c r="V1850">
        <v>36</v>
      </c>
      <c r="W1850" t="s">
        <v>65</v>
      </c>
      <c r="X1850" t="s">
        <v>5878</v>
      </c>
      <c r="Y1850">
        <v>0</v>
      </c>
      <c r="Z1850">
        <v>36</v>
      </c>
      <c r="AA1850">
        <v>0</v>
      </c>
      <c r="AB1850">
        <v>0</v>
      </c>
      <c r="AC1850">
        <v>0</v>
      </c>
      <c r="AD1850">
        <v>0</v>
      </c>
      <c r="AG1850">
        <v>0</v>
      </c>
      <c r="AP1850" t="s">
        <v>5879</v>
      </c>
      <c r="AQ1850" t="s">
        <v>1275</v>
      </c>
      <c r="AR1850" t="s">
        <v>6675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BC1850" t="s">
        <v>69</v>
      </c>
      <c r="BD1850" t="s">
        <v>5880</v>
      </c>
      <c r="BE1850">
        <v>0</v>
      </c>
      <c r="BG1850" t="s">
        <v>1275</v>
      </c>
      <c r="BJ1850" t="s">
        <v>5881</v>
      </c>
    </row>
    <row r="1851" spans="1:62" x14ac:dyDescent="0.35">
      <c r="A1851" t="s">
        <v>5882</v>
      </c>
      <c r="B1851">
        <v>10000</v>
      </c>
      <c r="C1851">
        <v>30000</v>
      </c>
      <c r="D1851" s="2">
        <v>45744</v>
      </c>
      <c r="E1851" t="s">
        <v>61</v>
      </c>
      <c r="F1851" t="s">
        <v>5883</v>
      </c>
      <c r="G1851" t="s">
        <v>5877</v>
      </c>
      <c r="I1851">
        <v>2</v>
      </c>
      <c r="J1851" t="s">
        <v>63</v>
      </c>
      <c r="K1851" s="8">
        <v>86</v>
      </c>
      <c r="L1851" s="8" t="s">
        <v>6584</v>
      </c>
      <c r="M1851" s="8" t="s">
        <v>6627</v>
      </c>
      <c r="N1851" t="s">
        <v>64</v>
      </c>
      <c r="O1851" t="s">
        <v>6559</v>
      </c>
      <c r="P1851" s="4">
        <v>3600</v>
      </c>
      <c r="Q1851">
        <f t="shared" si="466"/>
        <v>105</v>
      </c>
      <c r="R1851">
        <f t="shared" si="467"/>
        <v>1.75</v>
      </c>
      <c r="S1851" s="2">
        <v>45744</v>
      </c>
      <c r="U1851">
        <v>30</v>
      </c>
      <c r="V1851" s="4">
        <v>108000</v>
      </c>
      <c r="W1851" t="s">
        <v>65</v>
      </c>
      <c r="X1851" t="s">
        <v>1273</v>
      </c>
      <c r="Y1851">
        <v>0</v>
      </c>
      <c r="Z1851" s="4">
        <v>100000</v>
      </c>
      <c r="AA1851" s="4">
        <v>8000</v>
      </c>
      <c r="AB1851">
        <v>0</v>
      </c>
      <c r="AC1851">
        <v>0</v>
      </c>
      <c r="AD1851">
        <v>0</v>
      </c>
      <c r="AG1851">
        <v>0</v>
      </c>
      <c r="AP1851" t="s">
        <v>1274</v>
      </c>
      <c r="AQ1851" t="s">
        <v>1275</v>
      </c>
      <c r="AR1851" t="s">
        <v>6675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BC1851" t="s">
        <v>69</v>
      </c>
      <c r="BD1851" t="s">
        <v>5884</v>
      </c>
      <c r="BE1851">
        <v>0</v>
      </c>
      <c r="BG1851" t="s">
        <v>1275</v>
      </c>
      <c r="BJ1851" t="s">
        <v>5885</v>
      </c>
    </row>
    <row r="1852" spans="1:62" x14ac:dyDescent="0.35">
      <c r="A1852" t="s">
        <v>5886</v>
      </c>
      <c r="B1852">
        <v>10000</v>
      </c>
      <c r="C1852">
        <v>20000</v>
      </c>
      <c r="D1852" s="2">
        <v>45744</v>
      </c>
      <c r="E1852" t="s">
        <v>61</v>
      </c>
      <c r="F1852" t="s">
        <v>5887</v>
      </c>
      <c r="G1852" t="s">
        <v>5877</v>
      </c>
      <c r="I1852">
        <v>2</v>
      </c>
      <c r="J1852" t="s">
        <v>63</v>
      </c>
      <c r="K1852" s="8">
        <v>86</v>
      </c>
      <c r="L1852" s="8" t="s">
        <v>6584</v>
      </c>
      <c r="M1852" s="8" t="s">
        <v>6627</v>
      </c>
      <c r="N1852" t="s">
        <v>64</v>
      </c>
      <c r="O1852" t="s">
        <v>6559</v>
      </c>
      <c r="P1852" s="4">
        <v>1719</v>
      </c>
      <c r="Q1852">
        <f t="shared" si="466"/>
        <v>73.650000000000006</v>
      </c>
      <c r="R1852">
        <f t="shared" si="467"/>
        <v>1.2275</v>
      </c>
      <c r="S1852" s="2">
        <v>45744</v>
      </c>
      <c r="U1852">
        <v>64</v>
      </c>
      <c r="V1852" s="4">
        <v>110016</v>
      </c>
      <c r="W1852" t="s">
        <v>65</v>
      </c>
      <c r="X1852" t="s">
        <v>1768</v>
      </c>
      <c r="Y1852">
        <v>0</v>
      </c>
      <c r="Z1852" s="4">
        <v>100000</v>
      </c>
      <c r="AA1852" s="4">
        <v>10016</v>
      </c>
      <c r="AB1852">
        <v>0</v>
      </c>
      <c r="AC1852">
        <v>0</v>
      </c>
      <c r="AD1852">
        <v>0</v>
      </c>
      <c r="AG1852">
        <v>0</v>
      </c>
      <c r="AP1852" t="s">
        <v>1769</v>
      </c>
      <c r="AQ1852" t="s">
        <v>1275</v>
      </c>
      <c r="AR1852" t="s">
        <v>6675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BC1852" t="s">
        <v>69</v>
      </c>
      <c r="BD1852" t="s">
        <v>5888</v>
      </c>
      <c r="BE1852">
        <v>0</v>
      </c>
      <c r="BG1852" t="s">
        <v>1275</v>
      </c>
      <c r="BJ1852" t="s">
        <v>5885</v>
      </c>
    </row>
    <row r="1853" spans="1:62" x14ac:dyDescent="0.35">
      <c r="A1853" t="s">
        <v>5697</v>
      </c>
      <c r="B1853">
        <v>10000</v>
      </c>
      <c r="C1853">
        <v>20000</v>
      </c>
      <c r="D1853" s="2">
        <v>45744</v>
      </c>
      <c r="E1853" t="s">
        <v>61</v>
      </c>
      <c r="F1853" t="s">
        <v>5698</v>
      </c>
      <c r="G1853" t="s">
        <v>5699</v>
      </c>
      <c r="I1853">
        <v>2</v>
      </c>
      <c r="J1853" t="s">
        <v>63</v>
      </c>
      <c r="K1853" s="8">
        <v>82</v>
      </c>
      <c r="L1853" s="8" t="s">
        <v>6598</v>
      </c>
      <c r="M1853" s="8" t="s">
        <v>6630</v>
      </c>
      <c r="N1853" t="s">
        <v>341</v>
      </c>
      <c r="O1853" t="s">
        <v>6346</v>
      </c>
      <c r="P1853">
        <v>600</v>
      </c>
      <c r="S1853" s="2">
        <v>45744</v>
      </c>
      <c r="U1853">
        <v>15</v>
      </c>
      <c r="V1853" s="4">
        <v>9000</v>
      </c>
      <c r="W1853" t="s">
        <v>65</v>
      </c>
      <c r="X1853" t="s">
        <v>5700</v>
      </c>
      <c r="Y1853">
        <v>0</v>
      </c>
      <c r="Z1853" s="4">
        <v>5000</v>
      </c>
      <c r="AA1853" s="4">
        <v>4000</v>
      </c>
      <c r="AB1853">
        <v>0</v>
      </c>
      <c r="AC1853">
        <v>0</v>
      </c>
      <c r="AD1853">
        <v>0</v>
      </c>
      <c r="AG1853">
        <v>0</v>
      </c>
      <c r="AP1853" t="s">
        <v>5701</v>
      </c>
      <c r="AQ1853" t="s">
        <v>909</v>
      </c>
      <c r="AR1853" t="s">
        <v>6667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BC1853" t="s">
        <v>69</v>
      </c>
      <c r="BD1853" t="s">
        <v>5702</v>
      </c>
      <c r="BE1853">
        <v>0</v>
      </c>
      <c r="BG1853" t="s">
        <v>909</v>
      </c>
      <c r="BJ1853" t="s">
        <v>5703</v>
      </c>
    </row>
    <row r="1854" spans="1:62" x14ac:dyDescent="0.35">
      <c r="A1854" t="s">
        <v>6032</v>
      </c>
      <c r="B1854">
        <v>10000</v>
      </c>
      <c r="C1854">
        <v>10000</v>
      </c>
      <c r="D1854" s="2">
        <v>45750</v>
      </c>
      <c r="E1854" t="s">
        <v>61</v>
      </c>
      <c r="F1854" t="s">
        <v>3979</v>
      </c>
      <c r="G1854" t="s">
        <v>6033</v>
      </c>
      <c r="I1854">
        <v>1</v>
      </c>
      <c r="J1854" t="s">
        <v>63</v>
      </c>
      <c r="K1854" s="8">
        <v>88</v>
      </c>
      <c r="L1854" s="8" t="s">
        <v>6610</v>
      </c>
      <c r="M1854" s="8" t="s">
        <v>6631</v>
      </c>
      <c r="N1854" t="s">
        <v>630</v>
      </c>
      <c r="O1854" t="s">
        <v>6571</v>
      </c>
      <c r="P1854">
        <v>500</v>
      </c>
      <c r="S1854" s="2">
        <v>45744</v>
      </c>
      <c r="U1854">
        <v>1</v>
      </c>
      <c r="V1854">
        <v>500</v>
      </c>
      <c r="W1854" t="s">
        <v>65</v>
      </c>
      <c r="X1854" t="s">
        <v>6034</v>
      </c>
      <c r="Y1854">
        <v>0</v>
      </c>
      <c r="Z1854">
        <v>200</v>
      </c>
      <c r="AA1854">
        <v>300</v>
      </c>
      <c r="AB1854">
        <v>0</v>
      </c>
      <c r="AC1854">
        <v>0</v>
      </c>
      <c r="AD1854">
        <v>0</v>
      </c>
      <c r="AG1854">
        <v>0</v>
      </c>
      <c r="AP1854" t="s">
        <v>6035</v>
      </c>
      <c r="AQ1854" t="s">
        <v>2161</v>
      </c>
      <c r="AR1854" t="s">
        <v>6696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BC1854" t="s">
        <v>69</v>
      </c>
      <c r="BD1854" t="s">
        <v>6036</v>
      </c>
      <c r="BE1854">
        <v>0</v>
      </c>
      <c r="BG1854" t="s">
        <v>2161</v>
      </c>
      <c r="BJ1854" t="s">
        <v>6037</v>
      </c>
    </row>
    <row r="1855" spans="1:62" x14ac:dyDescent="0.35">
      <c r="A1855" t="s">
        <v>5715</v>
      </c>
      <c r="B1855">
        <v>10000</v>
      </c>
      <c r="C1855">
        <v>20000</v>
      </c>
      <c r="D1855" s="2">
        <v>45744</v>
      </c>
      <c r="E1855" t="s">
        <v>61</v>
      </c>
      <c r="F1855" t="s">
        <v>5716</v>
      </c>
      <c r="G1855" t="s">
        <v>5717</v>
      </c>
      <c r="I1855">
        <v>2</v>
      </c>
      <c r="J1855" t="s">
        <v>63</v>
      </c>
      <c r="K1855" s="8">
        <v>71</v>
      </c>
      <c r="L1855" s="8" t="s">
        <v>6588</v>
      </c>
      <c r="M1855" s="8" t="s">
        <v>6630</v>
      </c>
      <c r="N1855" t="s">
        <v>135</v>
      </c>
      <c r="O1855" t="s">
        <v>6573</v>
      </c>
      <c r="P1855" s="4">
        <v>1667</v>
      </c>
      <c r="S1855" s="2">
        <v>45744</v>
      </c>
      <c r="U1855">
        <v>6</v>
      </c>
      <c r="V1855" s="4">
        <v>10002</v>
      </c>
      <c r="W1855" t="s">
        <v>65</v>
      </c>
      <c r="X1855">
        <v>83014520001</v>
      </c>
      <c r="Y1855">
        <v>0</v>
      </c>
      <c r="Z1855" s="4">
        <v>10000</v>
      </c>
      <c r="AA1855">
        <v>2</v>
      </c>
      <c r="AB1855">
        <v>0</v>
      </c>
      <c r="AC1855">
        <v>0</v>
      </c>
      <c r="AD1855">
        <v>0</v>
      </c>
      <c r="AG1855">
        <v>0</v>
      </c>
      <c r="AP1855">
        <v>8301452</v>
      </c>
      <c r="AQ1855" t="s">
        <v>91</v>
      </c>
      <c r="AR1855" t="s">
        <v>6637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BC1855" t="s">
        <v>69</v>
      </c>
      <c r="BD1855" t="s">
        <v>5718</v>
      </c>
      <c r="BE1855">
        <v>0</v>
      </c>
      <c r="BG1855" t="s">
        <v>91</v>
      </c>
      <c r="BJ1855" t="s">
        <v>5484</v>
      </c>
    </row>
    <row r="1856" spans="1:62" x14ac:dyDescent="0.35">
      <c r="A1856" t="s">
        <v>5729</v>
      </c>
      <c r="B1856">
        <v>10000</v>
      </c>
      <c r="C1856">
        <v>20000</v>
      </c>
      <c r="D1856" s="2">
        <v>45744</v>
      </c>
      <c r="E1856" t="s">
        <v>61</v>
      </c>
      <c r="F1856" t="s">
        <v>5716</v>
      </c>
      <c r="G1856" t="s">
        <v>5717</v>
      </c>
      <c r="I1856">
        <v>2</v>
      </c>
      <c r="J1856" t="s">
        <v>63</v>
      </c>
      <c r="K1856" s="8">
        <v>71</v>
      </c>
      <c r="L1856" s="8" t="s">
        <v>6588</v>
      </c>
      <c r="M1856" s="8" t="s">
        <v>6630</v>
      </c>
      <c r="N1856" t="s">
        <v>135</v>
      </c>
      <c r="O1856" t="s">
        <v>6573</v>
      </c>
      <c r="P1856">
        <v>834</v>
      </c>
      <c r="S1856" s="2">
        <v>45744</v>
      </c>
      <c r="U1856">
        <v>6</v>
      </c>
      <c r="V1856" s="4">
        <v>5004</v>
      </c>
      <c r="W1856" t="s">
        <v>65</v>
      </c>
      <c r="X1856">
        <v>83014520001</v>
      </c>
      <c r="Y1856">
        <v>0</v>
      </c>
      <c r="Z1856" s="4">
        <v>5000</v>
      </c>
      <c r="AA1856">
        <v>4</v>
      </c>
      <c r="AB1856">
        <v>0</v>
      </c>
      <c r="AC1856">
        <v>0</v>
      </c>
      <c r="AD1856">
        <v>0</v>
      </c>
      <c r="AG1856">
        <v>0</v>
      </c>
      <c r="AP1856">
        <v>8301452</v>
      </c>
      <c r="AQ1856" t="s">
        <v>91</v>
      </c>
      <c r="AR1856" t="s">
        <v>6637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BC1856" t="s">
        <v>69</v>
      </c>
      <c r="BD1856" t="s">
        <v>5730</v>
      </c>
      <c r="BE1856">
        <v>0</v>
      </c>
      <c r="BG1856" t="s">
        <v>91</v>
      </c>
      <c r="BJ1856" t="s">
        <v>5496</v>
      </c>
    </row>
    <row r="1857" spans="1:62" x14ac:dyDescent="0.35">
      <c r="A1857" t="s">
        <v>6038</v>
      </c>
      <c r="B1857">
        <v>10000</v>
      </c>
      <c r="C1857">
        <v>10000</v>
      </c>
      <c r="D1857" s="2">
        <v>45749</v>
      </c>
      <c r="E1857" t="s">
        <v>61</v>
      </c>
      <c r="F1857" t="s">
        <v>6039</v>
      </c>
      <c r="G1857" t="s">
        <v>5008</v>
      </c>
      <c r="I1857">
        <v>1</v>
      </c>
      <c r="J1857" t="s">
        <v>63</v>
      </c>
      <c r="K1857" s="8">
        <v>82</v>
      </c>
      <c r="L1857" s="8" t="s">
        <v>6598</v>
      </c>
      <c r="M1857" s="8" t="s">
        <v>6630</v>
      </c>
      <c r="N1857" t="s">
        <v>341</v>
      </c>
      <c r="O1857" t="s">
        <v>6346</v>
      </c>
      <c r="P1857" s="4">
        <v>8000</v>
      </c>
      <c r="S1857" s="2">
        <v>45744</v>
      </c>
      <c r="U1857">
        <v>5</v>
      </c>
      <c r="V1857" s="4">
        <v>40000</v>
      </c>
      <c r="W1857" t="s">
        <v>65</v>
      </c>
      <c r="X1857" t="s">
        <v>6040</v>
      </c>
      <c r="Y1857">
        <v>0</v>
      </c>
      <c r="Z1857" s="4">
        <v>40000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 t="s">
        <v>6041</v>
      </c>
      <c r="AQ1857" t="s">
        <v>427</v>
      </c>
      <c r="AR1857" t="s">
        <v>6709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BC1857" t="s">
        <v>69</v>
      </c>
      <c r="BD1857" t="s">
        <v>6042</v>
      </c>
      <c r="BE1857">
        <v>0</v>
      </c>
      <c r="BG1857" t="s">
        <v>427</v>
      </c>
      <c r="BJ1857" t="s">
        <v>6043</v>
      </c>
    </row>
    <row r="1858" spans="1:62" x14ac:dyDescent="0.35">
      <c r="A1858" t="s">
        <v>5893</v>
      </c>
      <c r="B1858">
        <v>10000</v>
      </c>
      <c r="C1858">
        <v>20000</v>
      </c>
      <c r="D1858" s="2">
        <v>45744</v>
      </c>
      <c r="E1858" t="s">
        <v>61</v>
      </c>
      <c r="F1858" t="s">
        <v>5883</v>
      </c>
      <c r="G1858" t="s">
        <v>5877</v>
      </c>
      <c r="I1858">
        <v>2</v>
      </c>
      <c r="J1858" t="s">
        <v>63</v>
      </c>
      <c r="K1858" s="8">
        <v>86</v>
      </c>
      <c r="L1858" s="8" t="s">
        <v>6584</v>
      </c>
      <c r="M1858" s="8" t="s">
        <v>6627</v>
      </c>
      <c r="N1858" t="s">
        <v>64</v>
      </c>
      <c r="O1858" t="s">
        <v>6559</v>
      </c>
      <c r="P1858" s="4">
        <v>3600</v>
      </c>
      <c r="Q1858">
        <f t="shared" ref="Q1858:Q1865" si="468">(P1858/60)+45</f>
        <v>105</v>
      </c>
      <c r="R1858">
        <f t="shared" ref="R1858:R1865" si="469">Q1858/60</f>
        <v>1.75</v>
      </c>
      <c r="S1858" s="2">
        <v>45744</v>
      </c>
      <c r="U1858">
        <v>30</v>
      </c>
      <c r="V1858" s="4">
        <v>108000</v>
      </c>
      <c r="W1858" t="s">
        <v>65</v>
      </c>
      <c r="X1858" t="s">
        <v>1273</v>
      </c>
      <c r="Y1858">
        <v>0</v>
      </c>
      <c r="Z1858" s="4">
        <v>100000</v>
      </c>
      <c r="AA1858" s="4">
        <v>8000</v>
      </c>
      <c r="AB1858">
        <v>0</v>
      </c>
      <c r="AC1858">
        <v>0</v>
      </c>
      <c r="AD1858">
        <v>0</v>
      </c>
      <c r="AG1858">
        <v>0</v>
      </c>
      <c r="AP1858" t="s">
        <v>1274</v>
      </c>
      <c r="AQ1858" t="s">
        <v>1275</v>
      </c>
      <c r="AR1858" t="s">
        <v>6675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BC1858" t="s">
        <v>69</v>
      </c>
      <c r="BD1858" t="s">
        <v>5894</v>
      </c>
      <c r="BE1858">
        <v>0</v>
      </c>
      <c r="BG1858" t="s">
        <v>1275</v>
      </c>
      <c r="BJ1858" t="s">
        <v>5895</v>
      </c>
    </row>
    <row r="1859" spans="1:62" x14ac:dyDescent="0.35">
      <c r="A1859" t="s">
        <v>5896</v>
      </c>
      <c r="B1859">
        <v>10000</v>
      </c>
      <c r="C1859">
        <v>20000</v>
      </c>
      <c r="D1859" s="2">
        <v>45744</v>
      </c>
      <c r="E1859" t="s">
        <v>61</v>
      </c>
      <c r="F1859" t="s">
        <v>5887</v>
      </c>
      <c r="G1859" t="s">
        <v>5877</v>
      </c>
      <c r="I1859">
        <v>2</v>
      </c>
      <c r="J1859" t="s">
        <v>63</v>
      </c>
      <c r="K1859" s="8">
        <v>86</v>
      </c>
      <c r="L1859" s="8" t="s">
        <v>6584</v>
      </c>
      <c r="M1859" s="8" t="s">
        <v>6627</v>
      </c>
      <c r="N1859" t="s">
        <v>64</v>
      </c>
      <c r="O1859" t="s">
        <v>6559</v>
      </c>
      <c r="P1859" s="4">
        <v>1719</v>
      </c>
      <c r="Q1859">
        <f t="shared" si="468"/>
        <v>73.650000000000006</v>
      </c>
      <c r="R1859">
        <f t="shared" si="469"/>
        <v>1.2275</v>
      </c>
      <c r="S1859" s="2">
        <v>45744</v>
      </c>
      <c r="U1859">
        <v>64</v>
      </c>
      <c r="V1859" s="4">
        <v>110016</v>
      </c>
      <c r="W1859" t="s">
        <v>65</v>
      </c>
      <c r="X1859" t="s">
        <v>1768</v>
      </c>
      <c r="Y1859">
        <v>0</v>
      </c>
      <c r="Z1859" s="4">
        <v>100000</v>
      </c>
      <c r="AA1859" s="4">
        <v>10016</v>
      </c>
      <c r="AB1859">
        <v>0</v>
      </c>
      <c r="AC1859">
        <v>0</v>
      </c>
      <c r="AD1859">
        <v>0</v>
      </c>
      <c r="AG1859">
        <v>0</v>
      </c>
      <c r="AP1859" t="s">
        <v>1769</v>
      </c>
      <c r="AQ1859" t="s">
        <v>1275</v>
      </c>
      <c r="AR1859" t="s">
        <v>6675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BC1859" t="s">
        <v>69</v>
      </c>
      <c r="BD1859" t="s">
        <v>5897</v>
      </c>
      <c r="BE1859">
        <v>0</v>
      </c>
      <c r="BG1859" t="s">
        <v>1275</v>
      </c>
      <c r="BJ1859" t="s">
        <v>5895</v>
      </c>
    </row>
    <row r="1860" spans="1:62" x14ac:dyDescent="0.35">
      <c r="A1860" t="s">
        <v>5898</v>
      </c>
      <c r="B1860">
        <v>10000</v>
      </c>
      <c r="C1860">
        <v>20000</v>
      </c>
      <c r="D1860" s="2">
        <v>45744</v>
      </c>
      <c r="E1860" t="s">
        <v>61</v>
      </c>
      <c r="F1860" t="s">
        <v>5883</v>
      </c>
      <c r="G1860" t="s">
        <v>5877</v>
      </c>
      <c r="I1860">
        <v>2</v>
      </c>
      <c r="J1860" t="s">
        <v>63</v>
      </c>
      <c r="K1860" s="8">
        <v>86</v>
      </c>
      <c r="L1860" s="8" t="s">
        <v>6584</v>
      </c>
      <c r="M1860" s="8" t="s">
        <v>6627</v>
      </c>
      <c r="N1860" t="s">
        <v>64</v>
      </c>
      <c r="O1860" t="s">
        <v>6559</v>
      </c>
      <c r="P1860" s="4">
        <v>3600</v>
      </c>
      <c r="Q1860">
        <f t="shared" si="468"/>
        <v>105</v>
      </c>
      <c r="R1860">
        <f t="shared" si="469"/>
        <v>1.75</v>
      </c>
      <c r="S1860" s="2">
        <v>45744</v>
      </c>
      <c r="U1860">
        <v>30</v>
      </c>
      <c r="V1860" s="4">
        <v>108000</v>
      </c>
      <c r="W1860" t="s">
        <v>65</v>
      </c>
      <c r="X1860" t="s">
        <v>1273</v>
      </c>
      <c r="Y1860">
        <v>0</v>
      </c>
      <c r="Z1860" s="4">
        <v>100000</v>
      </c>
      <c r="AA1860" s="4">
        <v>8000</v>
      </c>
      <c r="AB1860">
        <v>0</v>
      </c>
      <c r="AC1860">
        <v>0</v>
      </c>
      <c r="AD1860">
        <v>0</v>
      </c>
      <c r="AG1860">
        <v>0</v>
      </c>
      <c r="AP1860" t="s">
        <v>1274</v>
      </c>
      <c r="AQ1860" t="s">
        <v>1275</v>
      </c>
      <c r="AR1860" t="s">
        <v>6675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BC1860" t="s">
        <v>69</v>
      </c>
      <c r="BD1860" t="s">
        <v>5899</v>
      </c>
      <c r="BE1860">
        <v>0</v>
      </c>
      <c r="BG1860" t="s">
        <v>1275</v>
      </c>
      <c r="BJ1860" t="s">
        <v>5900</v>
      </c>
    </row>
    <row r="1861" spans="1:62" x14ac:dyDescent="0.35">
      <c r="A1861" t="s">
        <v>5901</v>
      </c>
      <c r="B1861">
        <v>10000</v>
      </c>
      <c r="C1861">
        <v>20000</v>
      </c>
      <c r="D1861" s="2">
        <v>45744</v>
      </c>
      <c r="E1861" t="s">
        <v>61</v>
      </c>
      <c r="F1861" t="s">
        <v>5887</v>
      </c>
      <c r="G1861" t="s">
        <v>5877</v>
      </c>
      <c r="I1861">
        <v>2</v>
      </c>
      <c r="J1861" t="s">
        <v>63</v>
      </c>
      <c r="K1861" s="8">
        <v>86</v>
      </c>
      <c r="L1861" s="8" t="s">
        <v>6584</v>
      </c>
      <c r="M1861" s="8" t="s">
        <v>6627</v>
      </c>
      <c r="N1861" t="s">
        <v>64</v>
      </c>
      <c r="O1861" t="s">
        <v>6559</v>
      </c>
      <c r="P1861" s="4">
        <v>1719</v>
      </c>
      <c r="Q1861">
        <f t="shared" si="468"/>
        <v>73.650000000000006</v>
      </c>
      <c r="R1861">
        <f t="shared" si="469"/>
        <v>1.2275</v>
      </c>
      <c r="S1861" s="2">
        <v>45744</v>
      </c>
      <c r="U1861">
        <v>64</v>
      </c>
      <c r="V1861" s="4">
        <v>110016</v>
      </c>
      <c r="W1861" t="s">
        <v>65</v>
      </c>
      <c r="X1861" t="s">
        <v>1768</v>
      </c>
      <c r="Y1861">
        <v>0</v>
      </c>
      <c r="Z1861" s="4">
        <v>100000</v>
      </c>
      <c r="AA1861" s="4">
        <v>10016</v>
      </c>
      <c r="AB1861">
        <v>0</v>
      </c>
      <c r="AC1861">
        <v>0</v>
      </c>
      <c r="AD1861">
        <v>0</v>
      </c>
      <c r="AG1861">
        <v>0</v>
      </c>
      <c r="AP1861" t="s">
        <v>1769</v>
      </c>
      <c r="AQ1861" t="s">
        <v>1275</v>
      </c>
      <c r="AR1861" t="s">
        <v>6675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BC1861" t="s">
        <v>69</v>
      </c>
      <c r="BD1861" t="s">
        <v>5902</v>
      </c>
      <c r="BE1861">
        <v>0</v>
      </c>
      <c r="BG1861" t="s">
        <v>1275</v>
      </c>
      <c r="BJ1861" t="s">
        <v>5900</v>
      </c>
    </row>
    <row r="1862" spans="1:62" x14ac:dyDescent="0.35">
      <c r="A1862" t="s">
        <v>5903</v>
      </c>
      <c r="B1862">
        <v>10000</v>
      </c>
      <c r="C1862">
        <v>20000</v>
      </c>
      <c r="D1862" s="2">
        <v>45744</v>
      </c>
      <c r="E1862" t="s">
        <v>61</v>
      </c>
      <c r="F1862" t="s">
        <v>5883</v>
      </c>
      <c r="G1862" t="s">
        <v>5877</v>
      </c>
      <c r="I1862">
        <v>2</v>
      </c>
      <c r="J1862" t="s">
        <v>63</v>
      </c>
      <c r="K1862" s="8">
        <v>86</v>
      </c>
      <c r="L1862" s="8" t="s">
        <v>6584</v>
      </c>
      <c r="M1862" s="8" t="s">
        <v>6627</v>
      </c>
      <c r="N1862" t="s">
        <v>64</v>
      </c>
      <c r="O1862" t="s">
        <v>6559</v>
      </c>
      <c r="P1862" s="4">
        <v>3600</v>
      </c>
      <c r="Q1862">
        <f t="shared" si="468"/>
        <v>105</v>
      </c>
      <c r="R1862">
        <f t="shared" si="469"/>
        <v>1.75</v>
      </c>
      <c r="S1862" s="2">
        <v>45744</v>
      </c>
      <c r="U1862">
        <v>30</v>
      </c>
      <c r="V1862" s="4">
        <v>108000</v>
      </c>
      <c r="W1862" t="s">
        <v>65</v>
      </c>
      <c r="X1862" t="s">
        <v>1273</v>
      </c>
      <c r="Y1862">
        <v>0</v>
      </c>
      <c r="Z1862" s="4">
        <v>100000</v>
      </c>
      <c r="AA1862" s="4">
        <v>8000</v>
      </c>
      <c r="AB1862">
        <v>0</v>
      </c>
      <c r="AC1862">
        <v>0</v>
      </c>
      <c r="AD1862">
        <v>0</v>
      </c>
      <c r="AG1862">
        <v>0</v>
      </c>
      <c r="AP1862" t="s">
        <v>1274</v>
      </c>
      <c r="AQ1862" t="s">
        <v>1275</v>
      </c>
      <c r="AR1862" t="s">
        <v>6675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BC1862" t="s">
        <v>69</v>
      </c>
      <c r="BD1862" t="s">
        <v>5904</v>
      </c>
      <c r="BE1862">
        <v>0</v>
      </c>
      <c r="BG1862" t="s">
        <v>1275</v>
      </c>
      <c r="BJ1862" t="s">
        <v>5905</v>
      </c>
    </row>
    <row r="1863" spans="1:62" x14ac:dyDescent="0.35">
      <c r="A1863" t="s">
        <v>5906</v>
      </c>
      <c r="B1863">
        <v>10000</v>
      </c>
      <c r="C1863">
        <v>20000</v>
      </c>
      <c r="D1863" s="2">
        <v>45744</v>
      </c>
      <c r="E1863" t="s">
        <v>61</v>
      </c>
      <c r="F1863" t="s">
        <v>5887</v>
      </c>
      <c r="G1863" t="s">
        <v>5877</v>
      </c>
      <c r="I1863">
        <v>2</v>
      </c>
      <c r="J1863" t="s">
        <v>63</v>
      </c>
      <c r="K1863" s="8">
        <v>86</v>
      </c>
      <c r="L1863" s="8" t="s">
        <v>6584</v>
      </c>
      <c r="M1863" s="8" t="s">
        <v>6627</v>
      </c>
      <c r="N1863" t="s">
        <v>64</v>
      </c>
      <c r="O1863" t="s">
        <v>6559</v>
      </c>
      <c r="P1863" s="4">
        <v>1719</v>
      </c>
      <c r="Q1863">
        <f t="shared" si="468"/>
        <v>73.650000000000006</v>
      </c>
      <c r="R1863">
        <f t="shared" si="469"/>
        <v>1.2275</v>
      </c>
      <c r="S1863" s="2">
        <v>45744</v>
      </c>
      <c r="U1863">
        <v>64</v>
      </c>
      <c r="V1863" s="4">
        <v>110016</v>
      </c>
      <c r="W1863" t="s">
        <v>65</v>
      </c>
      <c r="X1863" t="s">
        <v>1768</v>
      </c>
      <c r="Y1863">
        <v>0</v>
      </c>
      <c r="Z1863" s="4">
        <v>100000</v>
      </c>
      <c r="AA1863" s="4">
        <v>10016</v>
      </c>
      <c r="AB1863">
        <v>0</v>
      </c>
      <c r="AC1863">
        <v>0</v>
      </c>
      <c r="AD1863">
        <v>0</v>
      </c>
      <c r="AG1863">
        <v>0</v>
      </c>
      <c r="AP1863" t="s">
        <v>1769</v>
      </c>
      <c r="AQ1863" t="s">
        <v>1275</v>
      </c>
      <c r="AR1863" t="s">
        <v>6675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BC1863" t="s">
        <v>69</v>
      </c>
      <c r="BD1863" t="s">
        <v>5907</v>
      </c>
      <c r="BE1863">
        <v>0</v>
      </c>
      <c r="BG1863" t="s">
        <v>1275</v>
      </c>
      <c r="BJ1863" t="s">
        <v>5905</v>
      </c>
    </row>
    <row r="1864" spans="1:62" x14ac:dyDescent="0.35">
      <c r="A1864" t="s">
        <v>5908</v>
      </c>
      <c r="B1864">
        <v>10000</v>
      </c>
      <c r="C1864">
        <v>20000</v>
      </c>
      <c r="D1864" s="2">
        <v>45744</v>
      </c>
      <c r="E1864" t="s">
        <v>61</v>
      </c>
      <c r="F1864" t="s">
        <v>5883</v>
      </c>
      <c r="G1864" t="s">
        <v>5877</v>
      </c>
      <c r="I1864">
        <v>2</v>
      </c>
      <c r="J1864" t="s">
        <v>63</v>
      </c>
      <c r="K1864" s="8">
        <v>86</v>
      </c>
      <c r="L1864" s="8" t="s">
        <v>6584</v>
      </c>
      <c r="M1864" s="8" t="s">
        <v>6627</v>
      </c>
      <c r="N1864" t="s">
        <v>64</v>
      </c>
      <c r="O1864" t="s">
        <v>6559</v>
      </c>
      <c r="P1864" s="4">
        <v>3600</v>
      </c>
      <c r="Q1864">
        <f t="shared" si="468"/>
        <v>105</v>
      </c>
      <c r="R1864">
        <f t="shared" si="469"/>
        <v>1.75</v>
      </c>
      <c r="S1864" s="2">
        <v>45744</v>
      </c>
      <c r="U1864">
        <v>30</v>
      </c>
      <c r="V1864" s="4">
        <v>108000</v>
      </c>
      <c r="W1864" t="s">
        <v>65</v>
      </c>
      <c r="X1864" t="s">
        <v>1273</v>
      </c>
      <c r="Y1864">
        <v>0</v>
      </c>
      <c r="Z1864" s="4">
        <v>100000</v>
      </c>
      <c r="AA1864" s="4">
        <v>8000</v>
      </c>
      <c r="AB1864">
        <v>0</v>
      </c>
      <c r="AC1864">
        <v>0</v>
      </c>
      <c r="AD1864">
        <v>0</v>
      </c>
      <c r="AG1864">
        <v>0</v>
      </c>
      <c r="AP1864" t="s">
        <v>1274</v>
      </c>
      <c r="AQ1864" t="s">
        <v>1275</v>
      </c>
      <c r="AR1864" t="s">
        <v>6675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BC1864" t="s">
        <v>69</v>
      </c>
      <c r="BD1864" t="s">
        <v>5909</v>
      </c>
      <c r="BE1864">
        <v>0</v>
      </c>
      <c r="BG1864" t="s">
        <v>1275</v>
      </c>
      <c r="BJ1864" t="s">
        <v>5910</v>
      </c>
    </row>
    <row r="1865" spans="1:62" x14ac:dyDescent="0.35">
      <c r="A1865" t="s">
        <v>5911</v>
      </c>
      <c r="B1865">
        <v>10000</v>
      </c>
      <c r="C1865">
        <v>20000</v>
      </c>
      <c r="D1865" s="2">
        <v>45744</v>
      </c>
      <c r="E1865" t="s">
        <v>61</v>
      </c>
      <c r="F1865" t="s">
        <v>5887</v>
      </c>
      <c r="G1865" t="s">
        <v>5877</v>
      </c>
      <c r="I1865">
        <v>2</v>
      </c>
      <c r="J1865" t="s">
        <v>63</v>
      </c>
      <c r="K1865" s="8">
        <v>86</v>
      </c>
      <c r="L1865" s="8" t="s">
        <v>6584</v>
      </c>
      <c r="M1865" s="8" t="s">
        <v>6627</v>
      </c>
      <c r="N1865" t="s">
        <v>64</v>
      </c>
      <c r="O1865" t="s">
        <v>6559</v>
      </c>
      <c r="P1865" s="4">
        <v>1719</v>
      </c>
      <c r="Q1865">
        <f t="shared" si="468"/>
        <v>73.650000000000006</v>
      </c>
      <c r="R1865">
        <f t="shared" si="469"/>
        <v>1.2275</v>
      </c>
      <c r="S1865" s="2">
        <v>45744</v>
      </c>
      <c r="U1865">
        <v>64</v>
      </c>
      <c r="V1865" s="4">
        <v>110016</v>
      </c>
      <c r="W1865" t="s">
        <v>65</v>
      </c>
      <c r="X1865" t="s">
        <v>1768</v>
      </c>
      <c r="Y1865">
        <v>0</v>
      </c>
      <c r="Z1865" s="4">
        <v>100000</v>
      </c>
      <c r="AA1865" s="4">
        <v>10016</v>
      </c>
      <c r="AB1865">
        <v>0</v>
      </c>
      <c r="AC1865">
        <v>0</v>
      </c>
      <c r="AD1865">
        <v>0</v>
      </c>
      <c r="AG1865">
        <v>0</v>
      </c>
      <c r="AP1865" t="s">
        <v>1769</v>
      </c>
      <c r="AQ1865" t="s">
        <v>1275</v>
      </c>
      <c r="AR1865" t="s">
        <v>6675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BC1865" t="s">
        <v>69</v>
      </c>
      <c r="BD1865" t="s">
        <v>5912</v>
      </c>
      <c r="BE1865">
        <v>0</v>
      </c>
      <c r="BG1865" t="s">
        <v>1275</v>
      </c>
      <c r="BJ1865" t="s">
        <v>5910</v>
      </c>
    </row>
    <row r="1866" spans="1:62" x14ac:dyDescent="0.35">
      <c r="A1866" t="s">
        <v>6044</v>
      </c>
      <c r="B1866">
        <v>10000</v>
      </c>
      <c r="C1866">
        <v>10000</v>
      </c>
      <c r="D1866" s="2">
        <v>45744</v>
      </c>
      <c r="E1866" t="s">
        <v>61</v>
      </c>
      <c r="F1866" s="3">
        <v>0.52795138888888893</v>
      </c>
      <c r="G1866" t="s">
        <v>5995</v>
      </c>
      <c r="I1866">
        <v>1</v>
      </c>
      <c r="J1866" t="s">
        <v>63</v>
      </c>
      <c r="K1866" s="8">
        <v>61</v>
      </c>
      <c r="L1866" s="8" t="s">
        <v>6594</v>
      </c>
      <c r="M1866" s="8" t="s">
        <v>6629</v>
      </c>
      <c r="N1866" t="s">
        <v>216</v>
      </c>
      <c r="O1866" t="s">
        <v>6394</v>
      </c>
      <c r="P1866" s="4">
        <v>2000</v>
      </c>
      <c r="Q1866">
        <f>(P1866/50)+45</f>
        <v>85</v>
      </c>
      <c r="R1866">
        <f>Q1866/60</f>
        <v>1.4166666666666667</v>
      </c>
      <c r="S1866" s="2">
        <v>45744</v>
      </c>
      <c r="U1866">
        <v>1</v>
      </c>
      <c r="V1866" s="4">
        <v>2000</v>
      </c>
      <c r="W1866" t="s">
        <v>65</v>
      </c>
      <c r="X1866">
        <v>4.50019086004E+17</v>
      </c>
      <c r="Y1866">
        <v>0</v>
      </c>
      <c r="Z1866" s="4">
        <v>2000</v>
      </c>
      <c r="AA1866">
        <v>0</v>
      </c>
      <c r="AB1866">
        <v>0</v>
      </c>
      <c r="AC1866">
        <v>0</v>
      </c>
      <c r="AD1866">
        <v>0</v>
      </c>
      <c r="AG1866">
        <v>0</v>
      </c>
      <c r="AP1866">
        <v>45001908600400</v>
      </c>
      <c r="AQ1866" t="s">
        <v>2347</v>
      </c>
      <c r="AR1866" t="s">
        <v>6701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BC1866" t="s">
        <v>69</v>
      </c>
      <c r="BD1866" t="s">
        <v>6045</v>
      </c>
      <c r="BE1866">
        <v>0</v>
      </c>
      <c r="BG1866" t="s">
        <v>2347</v>
      </c>
      <c r="BJ1866" t="s">
        <v>5963</v>
      </c>
    </row>
    <row r="1867" spans="1:62" x14ac:dyDescent="0.35">
      <c r="A1867" t="s">
        <v>5920</v>
      </c>
      <c r="B1867">
        <v>10000</v>
      </c>
      <c r="C1867">
        <v>20000</v>
      </c>
      <c r="D1867" s="2">
        <v>45744</v>
      </c>
      <c r="E1867" t="s">
        <v>61</v>
      </c>
      <c r="F1867" t="s">
        <v>5840</v>
      </c>
      <c r="G1867" t="s">
        <v>5717</v>
      </c>
      <c r="I1867">
        <v>2</v>
      </c>
      <c r="J1867" t="s">
        <v>63</v>
      </c>
      <c r="K1867" s="8">
        <v>71</v>
      </c>
      <c r="L1867" s="8" t="s">
        <v>6588</v>
      </c>
      <c r="M1867" s="8" t="s">
        <v>6630</v>
      </c>
      <c r="N1867" t="s">
        <v>135</v>
      </c>
      <c r="O1867" t="s">
        <v>6573</v>
      </c>
      <c r="P1867" s="4">
        <v>1000</v>
      </c>
      <c r="S1867" s="2">
        <v>45744</v>
      </c>
      <c r="U1867">
        <v>6</v>
      </c>
      <c r="V1867" s="4">
        <v>6000</v>
      </c>
      <c r="W1867" t="s">
        <v>65</v>
      </c>
      <c r="X1867">
        <v>83615110001</v>
      </c>
      <c r="Y1867">
        <v>0</v>
      </c>
      <c r="Z1867" s="4">
        <v>6000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>
        <v>8361511</v>
      </c>
      <c r="AQ1867" t="s">
        <v>91</v>
      </c>
      <c r="AR1867" t="s">
        <v>6637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BC1867" t="s">
        <v>69</v>
      </c>
      <c r="BD1867" t="s">
        <v>5921</v>
      </c>
      <c r="BE1867">
        <v>0</v>
      </c>
      <c r="BG1867" t="s">
        <v>91</v>
      </c>
      <c r="BJ1867" t="s">
        <v>5922</v>
      </c>
    </row>
    <row r="1868" spans="1:62" x14ac:dyDescent="0.35">
      <c r="A1868" t="s">
        <v>5923</v>
      </c>
      <c r="B1868">
        <v>10000</v>
      </c>
      <c r="C1868">
        <v>20000</v>
      </c>
      <c r="D1868" s="2">
        <v>45744</v>
      </c>
      <c r="E1868" t="s">
        <v>61</v>
      </c>
      <c r="F1868" t="s">
        <v>5843</v>
      </c>
      <c r="G1868" t="s">
        <v>5717</v>
      </c>
      <c r="I1868">
        <v>2</v>
      </c>
      <c r="J1868" t="s">
        <v>63</v>
      </c>
      <c r="K1868" s="8">
        <v>71</v>
      </c>
      <c r="L1868" s="8" t="s">
        <v>6588</v>
      </c>
      <c r="M1868" s="8" t="s">
        <v>6630</v>
      </c>
      <c r="N1868" t="s">
        <v>135</v>
      </c>
      <c r="O1868" t="s">
        <v>6573</v>
      </c>
      <c r="P1868">
        <v>834</v>
      </c>
      <c r="S1868" s="2">
        <v>45744</v>
      </c>
      <c r="U1868">
        <v>6</v>
      </c>
      <c r="V1868" s="4">
        <v>5004</v>
      </c>
      <c r="W1868" t="s">
        <v>65</v>
      </c>
      <c r="X1868">
        <v>83615230001</v>
      </c>
      <c r="Y1868">
        <v>0</v>
      </c>
      <c r="Z1868" s="4">
        <v>5000</v>
      </c>
      <c r="AA1868">
        <v>4</v>
      </c>
      <c r="AB1868">
        <v>0</v>
      </c>
      <c r="AC1868">
        <v>0</v>
      </c>
      <c r="AD1868">
        <v>0</v>
      </c>
      <c r="AG1868">
        <v>0</v>
      </c>
      <c r="AP1868">
        <v>8361523</v>
      </c>
      <c r="AQ1868" t="s">
        <v>91</v>
      </c>
      <c r="AR1868" t="s">
        <v>6637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BC1868" t="s">
        <v>69</v>
      </c>
      <c r="BD1868" t="s">
        <v>5924</v>
      </c>
      <c r="BE1868">
        <v>0</v>
      </c>
      <c r="BG1868" t="s">
        <v>91</v>
      </c>
      <c r="BJ1868" t="s">
        <v>5922</v>
      </c>
    </row>
    <row r="1869" spans="1:62" x14ac:dyDescent="0.35">
      <c r="A1869" t="s">
        <v>6046</v>
      </c>
      <c r="B1869">
        <v>10000</v>
      </c>
      <c r="C1869">
        <v>10000</v>
      </c>
      <c r="D1869" s="2">
        <v>45744</v>
      </c>
      <c r="E1869" t="s">
        <v>61</v>
      </c>
      <c r="F1869" t="s">
        <v>6018</v>
      </c>
      <c r="G1869" t="s">
        <v>5717</v>
      </c>
      <c r="I1869">
        <v>1</v>
      </c>
      <c r="J1869" t="s">
        <v>63</v>
      </c>
      <c r="K1869" s="8">
        <v>72</v>
      </c>
      <c r="L1869" s="8" t="s">
        <v>6606</v>
      </c>
      <c r="M1869" s="8" t="s">
        <v>6631</v>
      </c>
      <c r="N1869" t="s">
        <v>163</v>
      </c>
      <c r="O1869" t="s">
        <v>6548</v>
      </c>
      <c r="P1869" s="4">
        <v>1750</v>
      </c>
      <c r="S1869" s="2">
        <v>45744</v>
      </c>
      <c r="U1869">
        <v>4</v>
      </c>
      <c r="V1869" s="4">
        <v>7000</v>
      </c>
      <c r="W1869" t="s">
        <v>65</v>
      </c>
      <c r="X1869">
        <v>5000435340001</v>
      </c>
      <c r="Y1869">
        <v>0</v>
      </c>
      <c r="Z1869" s="4">
        <v>5000</v>
      </c>
      <c r="AA1869" s="4">
        <v>2000</v>
      </c>
      <c r="AB1869">
        <v>0</v>
      </c>
      <c r="AC1869">
        <v>0</v>
      </c>
      <c r="AD1869">
        <v>0</v>
      </c>
      <c r="AG1869">
        <v>0</v>
      </c>
      <c r="AP1869">
        <v>500043534</v>
      </c>
      <c r="AQ1869" t="s">
        <v>91</v>
      </c>
      <c r="AR1869" t="s">
        <v>6637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BC1869" t="s">
        <v>69</v>
      </c>
      <c r="BD1869" t="s">
        <v>6047</v>
      </c>
      <c r="BE1869">
        <v>0</v>
      </c>
      <c r="BG1869" t="s">
        <v>91</v>
      </c>
      <c r="BJ1869" t="s">
        <v>6048</v>
      </c>
    </row>
    <row r="1870" spans="1:62" x14ac:dyDescent="0.35">
      <c r="A1870" t="s">
        <v>6046</v>
      </c>
      <c r="B1870">
        <v>10000</v>
      </c>
      <c r="C1870">
        <v>20000</v>
      </c>
      <c r="D1870" s="2">
        <v>45744</v>
      </c>
      <c r="E1870" t="s">
        <v>61</v>
      </c>
      <c r="F1870" t="s">
        <v>6018</v>
      </c>
      <c r="G1870" t="s">
        <v>5717</v>
      </c>
      <c r="I1870">
        <v>2</v>
      </c>
      <c r="J1870" t="s">
        <v>63</v>
      </c>
      <c r="K1870" s="8">
        <v>82</v>
      </c>
      <c r="L1870" s="8" t="s">
        <v>6598</v>
      </c>
      <c r="M1870" s="8" t="s">
        <v>6630</v>
      </c>
      <c r="N1870" t="s">
        <v>341</v>
      </c>
      <c r="O1870" t="s">
        <v>6346</v>
      </c>
      <c r="P1870" s="4">
        <v>1167</v>
      </c>
      <c r="S1870" s="2">
        <v>45744</v>
      </c>
      <c r="U1870">
        <v>6</v>
      </c>
      <c r="V1870" s="4">
        <v>7002</v>
      </c>
      <c r="W1870" t="s">
        <v>65</v>
      </c>
      <c r="X1870">
        <v>5000435340001</v>
      </c>
      <c r="Y1870">
        <v>0</v>
      </c>
      <c r="Z1870" s="4">
        <v>5000</v>
      </c>
      <c r="AA1870" s="4">
        <v>2002</v>
      </c>
      <c r="AB1870">
        <v>0</v>
      </c>
      <c r="AC1870">
        <v>0</v>
      </c>
      <c r="AD1870">
        <v>0</v>
      </c>
      <c r="AG1870">
        <v>0</v>
      </c>
      <c r="AP1870">
        <v>500043534</v>
      </c>
      <c r="AQ1870" t="s">
        <v>91</v>
      </c>
      <c r="AR1870" t="s">
        <v>6637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BC1870" t="s">
        <v>69</v>
      </c>
      <c r="BD1870" t="s">
        <v>6047</v>
      </c>
      <c r="BE1870">
        <v>0</v>
      </c>
      <c r="BG1870" t="s">
        <v>91</v>
      </c>
      <c r="BJ1870" t="s">
        <v>6048</v>
      </c>
    </row>
    <row r="1871" spans="1:62" x14ac:dyDescent="0.35">
      <c r="A1871" t="s">
        <v>6049</v>
      </c>
      <c r="B1871">
        <v>10000</v>
      </c>
      <c r="C1871">
        <v>10000</v>
      </c>
      <c r="D1871" s="2">
        <v>45744</v>
      </c>
      <c r="E1871" t="s">
        <v>61</v>
      </c>
      <c r="F1871" t="s">
        <v>6018</v>
      </c>
      <c r="G1871" t="s">
        <v>5717</v>
      </c>
      <c r="I1871">
        <v>1</v>
      </c>
      <c r="J1871" t="s">
        <v>63</v>
      </c>
      <c r="K1871" s="8">
        <v>72</v>
      </c>
      <c r="L1871" s="8" t="s">
        <v>6606</v>
      </c>
      <c r="M1871" s="8" t="s">
        <v>6631</v>
      </c>
      <c r="N1871" t="s">
        <v>163</v>
      </c>
      <c r="O1871" t="s">
        <v>6548</v>
      </c>
      <c r="P1871" s="4">
        <v>1750</v>
      </c>
      <c r="S1871" s="2">
        <v>45744</v>
      </c>
      <c r="U1871">
        <v>4</v>
      </c>
      <c r="V1871" s="4">
        <v>7000</v>
      </c>
      <c r="W1871" t="s">
        <v>65</v>
      </c>
      <c r="X1871">
        <v>5000435340001</v>
      </c>
      <c r="Y1871">
        <v>0</v>
      </c>
      <c r="Z1871" s="4">
        <v>5000</v>
      </c>
      <c r="AA1871" s="4">
        <v>2000</v>
      </c>
      <c r="AB1871">
        <v>0</v>
      </c>
      <c r="AC1871">
        <v>0</v>
      </c>
      <c r="AD1871">
        <v>0</v>
      </c>
      <c r="AG1871">
        <v>0</v>
      </c>
      <c r="AP1871">
        <v>500043534</v>
      </c>
      <c r="AQ1871" t="s">
        <v>91</v>
      </c>
      <c r="AR1871" t="s">
        <v>6637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BC1871" t="s">
        <v>69</v>
      </c>
      <c r="BD1871" t="s">
        <v>6050</v>
      </c>
      <c r="BE1871">
        <v>0</v>
      </c>
      <c r="BG1871" t="s">
        <v>91</v>
      </c>
      <c r="BJ1871" t="s">
        <v>6051</v>
      </c>
    </row>
    <row r="1872" spans="1:62" x14ac:dyDescent="0.35">
      <c r="A1872" t="s">
        <v>6049</v>
      </c>
      <c r="B1872">
        <v>10000</v>
      </c>
      <c r="C1872">
        <v>20000</v>
      </c>
      <c r="D1872" s="2">
        <v>45744</v>
      </c>
      <c r="E1872" t="s">
        <v>61</v>
      </c>
      <c r="F1872" t="s">
        <v>6018</v>
      </c>
      <c r="G1872" t="s">
        <v>5717</v>
      </c>
      <c r="I1872">
        <v>2</v>
      </c>
      <c r="J1872" t="s">
        <v>63</v>
      </c>
      <c r="K1872" s="8">
        <v>82</v>
      </c>
      <c r="L1872" s="8" t="s">
        <v>6598</v>
      </c>
      <c r="M1872" s="8" t="s">
        <v>6630</v>
      </c>
      <c r="N1872" t="s">
        <v>341</v>
      </c>
      <c r="O1872" t="s">
        <v>6346</v>
      </c>
      <c r="P1872" s="4">
        <v>1167</v>
      </c>
      <c r="S1872" s="2">
        <v>45744</v>
      </c>
      <c r="U1872">
        <v>6</v>
      </c>
      <c r="V1872" s="4">
        <v>7002</v>
      </c>
      <c r="W1872" t="s">
        <v>65</v>
      </c>
      <c r="X1872">
        <v>5000435340001</v>
      </c>
      <c r="Y1872">
        <v>0</v>
      </c>
      <c r="Z1872" s="4">
        <v>5000</v>
      </c>
      <c r="AA1872" s="4">
        <v>2002</v>
      </c>
      <c r="AB1872">
        <v>0</v>
      </c>
      <c r="AC1872">
        <v>0</v>
      </c>
      <c r="AD1872">
        <v>0</v>
      </c>
      <c r="AG1872">
        <v>0</v>
      </c>
      <c r="AP1872">
        <v>500043534</v>
      </c>
      <c r="AQ1872" t="s">
        <v>91</v>
      </c>
      <c r="AR1872" t="s">
        <v>6637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BC1872" t="s">
        <v>69</v>
      </c>
      <c r="BD1872" t="s">
        <v>6050</v>
      </c>
      <c r="BE1872">
        <v>0</v>
      </c>
      <c r="BG1872" t="s">
        <v>91</v>
      </c>
      <c r="BJ1872" t="s">
        <v>6051</v>
      </c>
    </row>
    <row r="1873" spans="1:62" x14ac:dyDescent="0.35">
      <c r="A1873" t="s">
        <v>6053</v>
      </c>
      <c r="B1873">
        <v>10000</v>
      </c>
      <c r="C1873">
        <v>10000</v>
      </c>
      <c r="D1873" s="2">
        <v>45758</v>
      </c>
      <c r="E1873" t="s">
        <v>61</v>
      </c>
      <c r="F1873" s="3">
        <v>0.46591435185185187</v>
      </c>
      <c r="G1873" t="s">
        <v>6054</v>
      </c>
      <c r="H1873" t="s">
        <v>5061</v>
      </c>
      <c r="I1873">
        <v>1</v>
      </c>
      <c r="J1873" t="s">
        <v>69</v>
      </c>
      <c r="K1873" s="8">
        <v>79</v>
      </c>
      <c r="L1873" t="s">
        <v>6608</v>
      </c>
      <c r="M1873" s="8" t="s">
        <v>6631</v>
      </c>
      <c r="N1873" t="s">
        <v>296</v>
      </c>
      <c r="O1873" t="s">
        <v>6550</v>
      </c>
      <c r="P1873" s="4">
        <v>11400</v>
      </c>
      <c r="S1873" s="2">
        <v>45745</v>
      </c>
      <c r="U1873">
        <v>5</v>
      </c>
      <c r="V1873" s="4">
        <v>57000</v>
      </c>
      <c r="W1873" t="s">
        <v>65</v>
      </c>
      <c r="X1873" t="s">
        <v>5062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G1873">
        <v>0</v>
      </c>
      <c r="AK1873" t="s">
        <v>69</v>
      </c>
      <c r="AL1873">
        <v>0</v>
      </c>
      <c r="AM1873" t="s">
        <v>69</v>
      </c>
      <c r="AP1873" t="s">
        <v>5063</v>
      </c>
      <c r="AQ1873" t="s">
        <v>5064</v>
      </c>
      <c r="AR1873" t="s">
        <v>6739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BC1873" t="s">
        <v>69</v>
      </c>
      <c r="BG1873" t="s">
        <v>5064</v>
      </c>
      <c r="BJ1873" t="s">
        <v>6055</v>
      </c>
    </row>
    <row r="1874" spans="1:62" x14ac:dyDescent="0.35">
      <c r="A1874" t="s">
        <v>6056</v>
      </c>
      <c r="B1874">
        <v>10000</v>
      </c>
      <c r="C1874">
        <v>20000</v>
      </c>
      <c r="D1874" s="2">
        <v>45748</v>
      </c>
      <c r="E1874" t="s">
        <v>61</v>
      </c>
      <c r="F1874" t="s">
        <v>789</v>
      </c>
      <c r="G1874" t="s">
        <v>6057</v>
      </c>
      <c r="H1874" t="s">
        <v>6058</v>
      </c>
      <c r="I1874">
        <v>1</v>
      </c>
      <c r="J1874" t="s">
        <v>69</v>
      </c>
      <c r="K1874" s="8">
        <v>94</v>
      </c>
      <c r="L1874" s="8" t="s">
        <v>6599</v>
      </c>
      <c r="M1874" s="8" t="s">
        <v>6629</v>
      </c>
      <c r="N1874" t="s">
        <v>181</v>
      </c>
      <c r="O1874" t="s">
        <v>6544</v>
      </c>
      <c r="P1874" s="4">
        <v>10000</v>
      </c>
      <c r="S1874" s="2">
        <v>45745</v>
      </c>
      <c r="U1874">
        <v>4</v>
      </c>
      <c r="V1874" s="4">
        <v>40000</v>
      </c>
      <c r="W1874" t="s">
        <v>65</v>
      </c>
      <c r="X1874" t="s">
        <v>1701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G1874">
        <v>0</v>
      </c>
      <c r="AK1874" t="s">
        <v>69</v>
      </c>
      <c r="AL1874">
        <v>0</v>
      </c>
      <c r="AM1874" t="s">
        <v>69</v>
      </c>
      <c r="AP1874" t="s">
        <v>1702</v>
      </c>
      <c r="AQ1874" t="s">
        <v>364</v>
      </c>
      <c r="AR1874" t="s">
        <v>6653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BC1874" t="s">
        <v>69</v>
      </c>
      <c r="BG1874" t="s">
        <v>364</v>
      </c>
      <c r="BJ1874" t="s">
        <v>6059</v>
      </c>
    </row>
    <row r="1875" spans="1:62" x14ac:dyDescent="0.35">
      <c r="A1875" t="s">
        <v>6060</v>
      </c>
      <c r="B1875">
        <v>10000</v>
      </c>
      <c r="C1875">
        <v>20000</v>
      </c>
      <c r="D1875" s="2">
        <v>45748</v>
      </c>
      <c r="E1875" t="s">
        <v>61</v>
      </c>
      <c r="F1875" t="s">
        <v>5473</v>
      </c>
      <c r="G1875" t="s">
        <v>6057</v>
      </c>
      <c r="H1875" t="s">
        <v>6058</v>
      </c>
      <c r="I1875">
        <v>1</v>
      </c>
      <c r="J1875" t="s">
        <v>69</v>
      </c>
      <c r="K1875" s="8">
        <v>94</v>
      </c>
      <c r="L1875" s="8" t="s">
        <v>6599</v>
      </c>
      <c r="M1875" s="8" t="s">
        <v>6629</v>
      </c>
      <c r="N1875" t="s">
        <v>181</v>
      </c>
      <c r="O1875" t="s">
        <v>6544</v>
      </c>
      <c r="P1875" s="4">
        <v>10000</v>
      </c>
      <c r="S1875" s="2">
        <v>45745</v>
      </c>
      <c r="U1875">
        <v>4</v>
      </c>
      <c r="V1875" s="4">
        <v>40000</v>
      </c>
      <c r="W1875" t="s">
        <v>65</v>
      </c>
      <c r="X1875" t="s">
        <v>1701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G1875">
        <v>0</v>
      </c>
      <c r="AK1875" t="s">
        <v>69</v>
      </c>
      <c r="AL1875">
        <v>0</v>
      </c>
      <c r="AM1875" t="s">
        <v>69</v>
      </c>
      <c r="AP1875" t="s">
        <v>1702</v>
      </c>
      <c r="AQ1875" t="s">
        <v>364</v>
      </c>
      <c r="AR1875" t="s">
        <v>6653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BC1875" t="s">
        <v>69</v>
      </c>
      <c r="BG1875" t="s">
        <v>364</v>
      </c>
      <c r="BJ1875" t="s">
        <v>6061</v>
      </c>
    </row>
    <row r="1876" spans="1:62" x14ac:dyDescent="0.35">
      <c r="A1876" t="s">
        <v>5536</v>
      </c>
      <c r="B1876">
        <v>10000</v>
      </c>
      <c r="C1876">
        <v>20000</v>
      </c>
      <c r="D1876" s="2">
        <v>45748</v>
      </c>
      <c r="E1876" t="s">
        <v>61</v>
      </c>
      <c r="F1876" t="s">
        <v>5537</v>
      </c>
      <c r="G1876" t="s">
        <v>5538</v>
      </c>
      <c r="H1876" t="s">
        <v>4487</v>
      </c>
      <c r="I1876">
        <v>1</v>
      </c>
      <c r="J1876" t="s">
        <v>69</v>
      </c>
      <c r="K1876" s="8">
        <v>73</v>
      </c>
      <c r="L1876" s="8" t="s">
        <v>6586</v>
      </c>
      <c r="M1876" s="8" t="s">
        <v>6627</v>
      </c>
      <c r="N1876" t="s">
        <v>90</v>
      </c>
      <c r="O1876" t="s">
        <v>6564</v>
      </c>
      <c r="P1876" s="4">
        <v>6000</v>
      </c>
      <c r="Q1876">
        <f t="shared" ref="Q1876:Q1877" si="470">(P1876/60)+45</f>
        <v>145</v>
      </c>
      <c r="R1876">
        <f t="shared" ref="R1876:R1877" si="471">Q1876/60</f>
        <v>2.4166666666666665</v>
      </c>
      <c r="S1876" s="2">
        <v>45745</v>
      </c>
      <c r="U1876">
        <v>12</v>
      </c>
      <c r="V1876" s="4">
        <v>72000</v>
      </c>
      <c r="W1876" t="s">
        <v>65</v>
      </c>
      <c r="X1876">
        <v>80256230001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G1876">
        <v>0</v>
      </c>
      <c r="AK1876" t="s">
        <v>69</v>
      </c>
      <c r="AL1876">
        <v>0</v>
      </c>
      <c r="AM1876" t="s">
        <v>69</v>
      </c>
      <c r="AP1876">
        <v>8025623</v>
      </c>
      <c r="AQ1876" t="s">
        <v>91</v>
      </c>
      <c r="AR1876" t="s">
        <v>6637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BC1876" t="s">
        <v>69</v>
      </c>
      <c r="BG1876" t="s">
        <v>91</v>
      </c>
      <c r="BJ1876" t="s">
        <v>5539</v>
      </c>
    </row>
    <row r="1877" spans="1:62" x14ac:dyDescent="0.35">
      <c r="A1877" t="s">
        <v>6062</v>
      </c>
      <c r="B1877">
        <v>10000</v>
      </c>
      <c r="C1877">
        <v>10000</v>
      </c>
      <c r="D1877" s="2">
        <v>45751</v>
      </c>
      <c r="E1877" t="s">
        <v>61</v>
      </c>
      <c r="F1877" t="s">
        <v>1211</v>
      </c>
      <c r="G1877" t="s">
        <v>5538</v>
      </c>
      <c r="H1877" t="s">
        <v>4487</v>
      </c>
      <c r="I1877">
        <v>1</v>
      </c>
      <c r="J1877" t="s">
        <v>69</v>
      </c>
      <c r="K1877" s="8">
        <v>73</v>
      </c>
      <c r="L1877" s="8" t="s">
        <v>6586</v>
      </c>
      <c r="M1877" s="8" t="s">
        <v>6627</v>
      </c>
      <c r="N1877" t="s">
        <v>90</v>
      </c>
      <c r="O1877" t="s">
        <v>6564</v>
      </c>
      <c r="P1877" s="4">
        <v>12000</v>
      </c>
      <c r="Q1877">
        <f t="shared" si="470"/>
        <v>245</v>
      </c>
      <c r="R1877">
        <f t="shared" si="471"/>
        <v>4.083333333333333</v>
      </c>
      <c r="S1877" s="2">
        <v>45745</v>
      </c>
      <c r="U1877">
        <v>12</v>
      </c>
      <c r="V1877" s="4">
        <v>144000</v>
      </c>
      <c r="W1877" t="s">
        <v>65</v>
      </c>
      <c r="X1877">
        <v>80256230001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G1877">
        <v>0</v>
      </c>
      <c r="AK1877" t="s">
        <v>69</v>
      </c>
      <c r="AL1877">
        <v>0</v>
      </c>
      <c r="AM1877" t="s">
        <v>69</v>
      </c>
      <c r="AP1877">
        <v>8025623</v>
      </c>
      <c r="AQ1877" t="s">
        <v>91</v>
      </c>
      <c r="AR1877" t="s">
        <v>6637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BC1877" t="s">
        <v>69</v>
      </c>
      <c r="BG1877" t="s">
        <v>91</v>
      </c>
      <c r="BJ1877" t="s">
        <v>6063</v>
      </c>
    </row>
    <row r="1878" spans="1:62" x14ac:dyDescent="0.35">
      <c r="A1878" t="s">
        <v>6062</v>
      </c>
      <c r="B1878">
        <v>10000</v>
      </c>
      <c r="C1878">
        <v>20000</v>
      </c>
      <c r="D1878" s="2">
        <v>45751</v>
      </c>
      <c r="E1878" t="s">
        <v>61</v>
      </c>
      <c r="F1878" t="s">
        <v>1211</v>
      </c>
      <c r="G1878" t="s">
        <v>5538</v>
      </c>
      <c r="H1878" t="s">
        <v>4487</v>
      </c>
      <c r="I1878">
        <v>1</v>
      </c>
      <c r="J1878" t="s">
        <v>69</v>
      </c>
      <c r="K1878" s="8">
        <v>73</v>
      </c>
      <c r="L1878" t="s">
        <v>6586</v>
      </c>
      <c r="M1878" s="8" t="s">
        <v>6627</v>
      </c>
      <c r="N1878" t="s">
        <v>98</v>
      </c>
      <c r="O1878" t="s">
        <v>6549</v>
      </c>
      <c r="P1878" s="4">
        <v>48000</v>
      </c>
      <c r="S1878" s="2">
        <v>45745</v>
      </c>
      <c r="U1878">
        <v>12</v>
      </c>
      <c r="V1878" s="4">
        <v>576000</v>
      </c>
      <c r="W1878" t="s">
        <v>65</v>
      </c>
      <c r="X1878">
        <v>80256230001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G1878">
        <v>0</v>
      </c>
      <c r="AK1878" t="s">
        <v>69</v>
      </c>
      <c r="AL1878">
        <v>0</v>
      </c>
      <c r="AM1878" t="s">
        <v>69</v>
      </c>
      <c r="AP1878">
        <v>8025623</v>
      </c>
      <c r="AQ1878" t="s">
        <v>91</v>
      </c>
      <c r="AR1878" t="s">
        <v>6637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BC1878" t="s">
        <v>69</v>
      </c>
      <c r="BG1878" t="s">
        <v>91</v>
      </c>
      <c r="BJ1878" t="s">
        <v>6063</v>
      </c>
    </row>
    <row r="1879" spans="1:62" x14ac:dyDescent="0.35">
      <c r="A1879" t="s">
        <v>6064</v>
      </c>
      <c r="B1879">
        <v>10000</v>
      </c>
      <c r="C1879">
        <v>10000</v>
      </c>
      <c r="D1879" s="2">
        <v>45749</v>
      </c>
      <c r="E1879" t="s">
        <v>61</v>
      </c>
      <c r="F1879" s="3">
        <v>0.47518518518518521</v>
      </c>
      <c r="G1879" t="s">
        <v>6065</v>
      </c>
      <c r="H1879" t="s">
        <v>6066</v>
      </c>
      <c r="I1879">
        <v>1</v>
      </c>
      <c r="J1879" t="s">
        <v>69</v>
      </c>
      <c r="K1879" s="8">
        <v>72</v>
      </c>
      <c r="L1879" s="8" t="s">
        <v>6606</v>
      </c>
      <c r="M1879" s="8" t="s">
        <v>6631</v>
      </c>
      <c r="N1879" t="s">
        <v>528</v>
      </c>
      <c r="O1879" t="s">
        <v>6542</v>
      </c>
      <c r="P1879" s="4">
        <v>1750</v>
      </c>
      <c r="S1879" s="2">
        <v>45745</v>
      </c>
      <c r="U1879">
        <v>4</v>
      </c>
      <c r="V1879" s="4">
        <v>7000</v>
      </c>
      <c r="W1879" t="s">
        <v>65</v>
      </c>
      <c r="X1879">
        <v>5000435330001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G1879">
        <v>0</v>
      </c>
      <c r="AK1879" t="s">
        <v>69</v>
      </c>
      <c r="AL1879">
        <v>0</v>
      </c>
      <c r="AM1879" t="s">
        <v>69</v>
      </c>
      <c r="AP1879">
        <v>500043533</v>
      </c>
      <c r="AQ1879" t="s">
        <v>91</v>
      </c>
      <c r="AR1879" t="s">
        <v>6637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BC1879" t="s">
        <v>69</v>
      </c>
      <c r="BG1879" t="s">
        <v>91</v>
      </c>
      <c r="BJ1879" t="s">
        <v>6048</v>
      </c>
    </row>
    <row r="1880" spans="1:62" x14ac:dyDescent="0.35">
      <c r="A1880" t="s">
        <v>5789</v>
      </c>
      <c r="B1880">
        <v>10000</v>
      </c>
      <c r="C1880">
        <v>20000</v>
      </c>
      <c r="D1880" s="2">
        <v>45749</v>
      </c>
      <c r="E1880" t="s">
        <v>61</v>
      </c>
      <c r="F1880" t="s">
        <v>5790</v>
      </c>
      <c r="G1880" t="s">
        <v>5791</v>
      </c>
      <c r="I1880">
        <v>1</v>
      </c>
      <c r="J1880" t="s">
        <v>63</v>
      </c>
      <c r="K1880" s="8">
        <v>110</v>
      </c>
      <c r="L1880" s="8" t="s">
        <v>6597</v>
      </c>
      <c r="M1880" s="8" t="s">
        <v>6627</v>
      </c>
      <c r="N1880" t="s">
        <v>597</v>
      </c>
      <c r="O1880" t="s">
        <v>6556</v>
      </c>
      <c r="P1880" s="4">
        <v>76500</v>
      </c>
      <c r="Q1880">
        <f t="shared" ref="Q1880:Q1881" si="472">(P1880/60)+45</f>
        <v>1320</v>
      </c>
      <c r="R1880">
        <f t="shared" ref="R1880:R1881" si="473">Q1880/60</f>
        <v>22</v>
      </c>
      <c r="S1880" s="2">
        <v>45745</v>
      </c>
      <c r="U1880">
        <v>4</v>
      </c>
      <c r="V1880" s="4">
        <v>306000</v>
      </c>
      <c r="W1880" t="s">
        <v>65</v>
      </c>
      <c r="X1880" t="s">
        <v>1117</v>
      </c>
      <c r="Y1880">
        <v>0</v>
      </c>
      <c r="Z1880" s="4">
        <v>305394</v>
      </c>
      <c r="AA1880">
        <v>606</v>
      </c>
      <c r="AB1880">
        <v>0</v>
      </c>
      <c r="AC1880">
        <v>0</v>
      </c>
      <c r="AD1880">
        <v>0</v>
      </c>
      <c r="AG1880">
        <v>0</v>
      </c>
      <c r="AP1880" t="s">
        <v>1118</v>
      </c>
      <c r="AQ1880" t="s">
        <v>271</v>
      </c>
      <c r="AR1880" t="s">
        <v>6648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BC1880" t="s">
        <v>69</v>
      </c>
      <c r="BD1880" t="s">
        <v>5792</v>
      </c>
      <c r="BE1880">
        <v>0</v>
      </c>
      <c r="BG1880" t="s">
        <v>271</v>
      </c>
      <c r="BJ1880" t="s">
        <v>5793</v>
      </c>
    </row>
    <row r="1881" spans="1:62" x14ac:dyDescent="0.35">
      <c r="A1881" t="s">
        <v>5071</v>
      </c>
      <c r="B1881">
        <v>10000</v>
      </c>
      <c r="C1881">
        <v>40000</v>
      </c>
      <c r="D1881" s="2">
        <v>45748</v>
      </c>
      <c r="E1881" t="s">
        <v>61</v>
      </c>
      <c r="F1881" t="s">
        <v>5072</v>
      </c>
      <c r="G1881" t="s">
        <v>5073</v>
      </c>
      <c r="I1881">
        <v>1</v>
      </c>
      <c r="J1881" t="s">
        <v>63</v>
      </c>
      <c r="K1881" s="8">
        <v>111</v>
      </c>
      <c r="L1881" s="8" t="s">
        <v>6597</v>
      </c>
      <c r="M1881" s="8" t="s">
        <v>6627</v>
      </c>
      <c r="N1881" t="s">
        <v>533</v>
      </c>
      <c r="O1881" t="s">
        <v>6572</v>
      </c>
      <c r="P1881" s="4">
        <v>15500</v>
      </c>
      <c r="Q1881">
        <f t="shared" si="472"/>
        <v>303.33333333333331</v>
      </c>
      <c r="R1881">
        <f t="shared" si="473"/>
        <v>5.0555555555555554</v>
      </c>
      <c r="S1881" s="2">
        <v>45745</v>
      </c>
      <c r="U1881">
        <v>8</v>
      </c>
      <c r="V1881" s="4">
        <v>124000</v>
      </c>
      <c r="W1881" t="s">
        <v>65</v>
      </c>
      <c r="X1881" t="s">
        <v>3920</v>
      </c>
      <c r="Y1881">
        <v>0</v>
      </c>
      <c r="Z1881" s="4">
        <v>123850</v>
      </c>
      <c r="AA1881">
        <v>150</v>
      </c>
      <c r="AB1881">
        <v>0</v>
      </c>
      <c r="AC1881">
        <v>0</v>
      </c>
      <c r="AD1881">
        <v>0</v>
      </c>
      <c r="AG1881">
        <v>0</v>
      </c>
      <c r="AP1881" t="s">
        <v>3921</v>
      </c>
      <c r="AQ1881" t="s">
        <v>271</v>
      </c>
      <c r="AR1881" t="s">
        <v>6648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BC1881" t="s">
        <v>69</v>
      </c>
      <c r="BD1881" t="s">
        <v>5074</v>
      </c>
      <c r="BE1881">
        <v>0</v>
      </c>
      <c r="BG1881" t="s">
        <v>271</v>
      </c>
      <c r="BJ1881" t="s">
        <v>5075</v>
      </c>
    </row>
    <row r="1882" spans="1:62" x14ac:dyDescent="0.35">
      <c r="A1882" t="s">
        <v>6067</v>
      </c>
      <c r="B1882">
        <v>10000</v>
      </c>
      <c r="C1882">
        <v>10000</v>
      </c>
      <c r="D1882" s="2">
        <v>45749</v>
      </c>
      <c r="E1882" t="s">
        <v>61</v>
      </c>
      <c r="F1882" t="s">
        <v>6068</v>
      </c>
      <c r="G1882" t="s">
        <v>5812</v>
      </c>
      <c r="I1882">
        <v>1</v>
      </c>
      <c r="J1882" t="s">
        <v>63</v>
      </c>
      <c r="K1882" s="8">
        <v>29</v>
      </c>
      <c r="L1882" s="8" t="s">
        <v>6595</v>
      </c>
      <c r="M1882" s="8" t="s">
        <v>6629</v>
      </c>
      <c r="N1882" t="s">
        <v>249</v>
      </c>
      <c r="O1882" t="s">
        <v>6500</v>
      </c>
      <c r="P1882" s="4">
        <v>24000</v>
      </c>
      <c r="Q1882">
        <f>(P1882/40)+45</f>
        <v>645</v>
      </c>
      <c r="R1882">
        <f>Q1882/60</f>
        <v>10.75</v>
      </c>
      <c r="S1882" s="2">
        <v>45745</v>
      </c>
      <c r="U1882">
        <v>2</v>
      </c>
      <c r="V1882" s="4">
        <v>48000</v>
      </c>
      <c r="W1882" t="s">
        <v>65</v>
      </c>
      <c r="X1882" t="s">
        <v>250</v>
      </c>
      <c r="Y1882">
        <v>0</v>
      </c>
      <c r="Z1882" s="4">
        <v>48000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251</v>
      </c>
      <c r="AQ1882" t="s">
        <v>175</v>
      </c>
      <c r="AR1882" t="s">
        <v>6642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BC1882" t="s">
        <v>69</v>
      </c>
      <c r="BD1882" t="s">
        <v>6069</v>
      </c>
      <c r="BE1882">
        <v>0</v>
      </c>
      <c r="BG1882" t="s">
        <v>175</v>
      </c>
      <c r="BJ1882" t="s">
        <v>6070</v>
      </c>
    </row>
    <row r="1883" spans="1:62" x14ac:dyDescent="0.35">
      <c r="A1883" t="s">
        <v>6071</v>
      </c>
      <c r="B1883">
        <v>10000</v>
      </c>
      <c r="C1883">
        <v>10000</v>
      </c>
      <c r="D1883" s="2">
        <v>45749</v>
      </c>
      <c r="E1883" t="s">
        <v>61</v>
      </c>
      <c r="F1883" t="s">
        <v>6072</v>
      </c>
      <c r="G1883" t="s">
        <v>5329</v>
      </c>
      <c r="I1883">
        <v>1</v>
      </c>
      <c r="J1883" t="s">
        <v>63</v>
      </c>
      <c r="K1883" s="8">
        <v>12</v>
      </c>
      <c r="L1883" s="8" t="s">
        <v>6604</v>
      </c>
      <c r="M1883" s="8" t="s">
        <v>6629</v>
      </c>
      <c r="N1883" t="s">
        <v>478</v>
      </c>
      <c r="O1883" t="s">
        <v>6434</v>
      </c>
      <c r="P1883" s="4">
        <v>45000</v>
      </c>
      <c r="Q1883">
        <f>(P1883/50)+45</f>
        <v>945</v>
      </c>
      <c r="R1883">
        <f>Q1883/60</f>
        <v>15.75</v>
      </c>
      <c r="S1883" s="2">
        <v>45745</v>
      </c>
      <c r="U1883">
        <v>1</v>
      </c>
      <c r="V1883" s="4">
        <v>45000</v>
      </c>
      <c r="W1883" t="s">
        <v>65</v>
      </c>
      <c r="X1883" t="s">
        <v>2114</v>
      </c>
      <c r="Y1883">
        <v>0</v>
      </c>
      <c r="Z1883" s="4">
        <v>45000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2115</v>
      </c>
      <c r="AQ1883" t="s">
        <v>116</v>
      </c>
      <c r="AR1883" t="s">
        <v>6639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BC1883" t="s">
        <v>69</v>
      </c>
      <c r="BD1883" t="s">
        <v>6073</v>
      </c>
      <c r="BE1883">
        <v>0</v>
      </c>
      <c r="BG1883" t="s">
        <v>116</v>
      </c>
      <c r="BJ1883" t="s">
        <v>3816</v>
      </c>
    </row>
    <row r="1884" spans="1:62" x14ac:dyDescent="0.35">
      <c r="A1884" t="s">
        <v>5845</v>
      </c>
      <c r="B1884">
        <v>10000</v>
      </c>
      <c r="C1884">
        <v>20000</v>
      </c>
      <c r="D1884" s="2">
        <v>45748</v>
      </c>
      <c r="E1884" t="s">
        <v>61</v>
      </c>
      <c r="F1884" t="s">
        <v>5846</v>
      </c>
      <c r="G1884" t="s">
        <v>5717</v>
      </c>
      <c r="I1884">
        <v>2</v>
      </c>
      <c r="J1884" t="s">
        <v>63</v>
      </c>
      <c r="K1884" s="8">
        <v>71</v>
      </c>
      <c r="L1884" s="8" t="s">
        <v>6588</v>
      </c>
      <c r="M1884" s="8" t="s">
        <v>6630</v>
      </c>
      <c r="N1884" t="s">
        <v>135</v>
      </c>
      <c r="O1884" t="s">
        <v>6573</v>
      </c>
      <c r="P1884" s="4">
        <v>2500</v>
      </c>
      <c r="S1884" s="2">
        <v>45745</v>
      </c>
      <c r="U1884">
        <v>6</v>
      </c>
      <c r="V1884" s="4">
        <v>15000</v>
      </c>
      <c r="W1884" t="s">
        <v>65</v>
      </c>
      <c r="X1884">
        <v>83615250001</v>
      </c>
      <c r="Y1884">
        <v>0</v>
      </c>
      <c r="Z1884" s="4">
        <v>15000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>
        <v>8361525</v>
      </c>
      <c r="AQ1884" t="s">
        <v>91</v>
      </c>
      <c r="AR1884" t="s">
        <v>6637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BC1884" t="s">
        <v>69</v>
      </c>
      <c r="BD1884" t="s">
        <v>5847</v>
      </c>
      <c r="BE1884">
        <v>0</v>
      </c>
      <c r="BG1884" t="s">
        <v>91</v>
      </c>
      <c r="BJ1884" t="s">
        <v>3589</v>
      </c>
    </row>
    <row r="1885" spans="1:62" x14ac:dyDescent="0.35">
      <c r="A1885" t="s">
        <v>5851</v>
      </c>
      <c r="B1885">
        <v>10000</v>
      </c>
      <c r="C1885">
        <v>20000</v>
      </c>
      <c r="D1885" s="2">
        <v>45748</v>
      </c>
      <c r="E1885" t="s">
        <v>61</v>
      </c>
      <c r="F1885" t="s">
        <v>5852</v>
      </c>
      <c r="G1885" t="s">
        <v>5717</v>
      </c>
      <c r="I1885">
        <v>2</v>
      </c>
      <c r="J1885" t="s">
        <v>63</v>
      </c>
      <c r="K1885" s="8">
        <v>71</v>
      </c>
      <c r="L1885" s="8" t="s">
        <v>6588</v>
      </c>
      <c r="M1885" s="8" t="s">
        <v>6630</v>
      </c>
      <c r="N1885" t="s">
        <v>135</v>
      </c>
      <c r="O1885" t="s">
        <v>6573</v>
      </c>
      <c r="P1885" s="4">
        <v>2500</v>
      </c>
      <c r="S1885" s="2">
        <v>45745</v>
      </c>
      <c r="U1885">
        <v>6</v>
      </c>
      <c r="V1885" s="4">
        <v>15000</v>
      </c>
      <c r="W1885" t="s">
        <v>65</v>
      </c>
      <c r="X1885">
        <v>5000444460001</v>
      </c>
      <c r="Y1885">
        <v>0</v>
      </c>
      <c r="Z1885" s="4">
        <v>15000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>
        <v>500044446</v>
      </c>
      <c r="AQ1885" t="s">
        <v>91</v>
      </c>
      <c r="AR1885" t="s">
        <v>6637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BC1885" t="s">
        <v>69</v>
      </c>
      <c r="BD1885" t="s">
        <v>5853</v>
      </c>
      <c r="BE1885">
        <v>0</v>
      </c>
      <c r="BG1885" t="s">
        <v>91</v>
      </c>
      <c r="BJ1885" t="s">
        <v>3589</v>
      </c>
    </row>
    <row r="1886" spans="1:62" x14ac:dyDescent="0.35">
      <c r="A1886" t="s">
        <v>6074</v>
      </c>
      <c r="B1886">
        <v>10000</v>
      </c>
      <c r="C1886">
        <v>20000</v>
      </c>
      <c r="D1886" s="2">
        <v>45751</v>
      </c>
      <c r="E1886" t="s">
        <v>61</v>
      </c>
      <c r="F1886" t="s">
        <v>1547</v>
      </c>
      <c r="G1886" t="s">
        <v>6075</v>
      </c>
      <c r="I1886">
        <v>1</v>
      </c>
      <c r="J1886" t="s">
        <v>63</v>
      </c>
      <c r="K1886" s="8">
        <v>72</v>
      </c>
      <c r="L1886" s="8" t="s">
        <v>6606</v>
      </c>
      <c r="M1886" s="8" t="s">
        <v>6631</v>
      </c>
      <c r="N1886" t="s">
        <v>528</v>
      </c>
      <c r="O1886" t="s">
        <v>6542</v>
      </c>
      <c r="P1886" s="4">
        <v>1000</v>
      </c>
      <c r="S1886" s="2">
        <v>45745</v>
      </c>
      <c r="U1886">
        <v>4</v>
      </c>
      <c r="V1886" s="4">
        <v>4000</v>
      </c>
      <c r="W1886" t="s">
        <v>65</v>
      </c>
      <c r="X1886" t="s">
        <v>6076</v>
      </c>
      <c r="Y1886">
        <v>0</v>
      </c>
      <c r="Z1886" s="4">
        <v>2000</v>
      </c>
      <c r="AA1886" s="4">
        <v>2000</v>
      </c>
      <c r="AB1886">
        <v>0</v>
      </c>
      <c r="AC1886">
        <v>0</v>
      </c>
      <c r="AD1886">
        <v>0</v>
      </c>
      <c r="AG1886">
        <v>0</v>
      </c>
      <c r="AP1886" t="s">
        <v>6077</v>
      </c>
      <c r="AQ1886" t="s">
        <v>91</v>
      </c>
      <c r="AR1886" t="s">
        <v>6637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BC1886" t="s">
        <v>69</v>
      </c>
      <c r="BD1886" t="s">
        <v>6078</v>
      </c>
      <c r="BE1886">
        <v>0</v>
      </c>
      <c r="BG1886" t="s">
        <v>91</v>
      </c>
      <c r="BJ1886" t="s">
        <v>6079</v>
      </c>
    </row>
    <row r="1887" spans="1:62" x14ac:dyDescent="0.35">
      <c r="A1887" t="s">
        <v>6080</v>
      </c>
      <c r="B1887">
        <v>10000</v>
      </c>
      <c r="C1887">
        <v>20000</v>
      </c>
      <c r="D1887" s="2">
        <v>45750</v>
      </c>
      <c r="E1887" t="s">
        <v>61</v>
      </c>
      <c r="F1887" t="s">
        <v>2068</v>
      </c>
      <c r="G1887" t="s">
        <v>6075</v>
      </c>
      <c r="I1887">
        <v>1</v>
      </c>
      <c r="J1887" t="s">
        <v>63</v>
      </c>
      <c r="K1887" s="8">
        <v>72</v>
      </c>
      <c r="L1887" s="8" t="s">
        <v>6606</v>
      </c>
      <c r="M1887" s="8" t="s">
        <v>6631</v>
      </c>
      <c r="N1887" t="s">
        <v>528</v>
      </c>
      <c r="O1887" t="s">
        <v>6542</v>
      </c>
      <c r="P1887" s="4">
        <v>1000</v>
      </c>
      <c r="S1887" s="2">
        <v>45745</v>
      </c>
      <c r="U1887">
        <v>4</v>
      </c>
      <c r="V1887" s="4">
        <v>4000</v>
      </c>
      <c r="W1887" t="s">
        <v>65</v>
      </c>
      <c r="X1887" t="s">
        <v>6081</v>
      </c>
      <c r="Y1887">
        <v>0</v>
      </c>
      <c r="Z1887" s="4">
        <v>2000</v>
      </c>
      <c r="AA1887" s="4">
        <v>2000</v>
      </c>
      <c r="AB1887">
        <v>0</v>
      </c>
      <c r="AC1887">
        <v>0</v>
      </c>
      <c r="AD1887">
        <v>0</v>
      </c>
      <c r="AG1887">
        <v>0</v>
      </c>
      <c r="AP1887" t="s">
        <v>6082</v>
      </c>
      <c r="AQ1887" t="s">
        <v>91</v>
      </c>
      <c r="AR1887" t="s">
        <v>6637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BC1887" t="s">
        <v>69</v>
      </c>
      <c r="BD1887" t="s">
        <v>6083</v>
      </c>
      <c r="BE1887">
        <v>0</v>
      </c>
      <c r="BG1887" t="s">
        <v>91</v>
      </c>
      <c r="BJ1887" t="s">
        <v>6079</v>
      </c>
    </row>
    <row r="1888" spans="1:62" x14ac:dyDescent="0.35">
      <c r="A1888" t="s">
        <v>6084</v>
      </c>
      <c r="B1888">
        <v>10000</v>
      </c>
      <c r="C1888">
        <v>10000</v>
      </c>
      <c r="D1888" s="2">
        <v>45750</v>
      </c>
      <c r="E1888" t="s">
        <v>61</v>
      </c>
      <c r="F1888" t="s">
        <v>6085</v>
      </c>
      <c r="G1888" t="s">
        <v>6075</v>
      </c>
      <c r="I1888">
        <v>1</v>
      </c>
      <c r="J1888" t="s">
        <v>63</v>
      </c>
      <c r="K1888" s="8">
        <v>72</v>
      </c>
      <c r="L1888" s="8" t="s">
        <v>6606</v>
      </c>
      <c r="M1888" s="8" t="s">
        <v>6631</v>
      </c>
      <c r="N1888" t="s">
        <v>528</v>
      </c>
      <c r="O1888" t="s">
        <v>6542</v>
      </c>
      <c r="P1888" s="4">
        <v>4500</v>
      </c>
      <c r="S1888" s="2">
        <v>45745</v>
      </c>
      <c r="U1888">
        <v>4</v>
      </c>
      <c r="V1888" s="4">
        <v>18000</v>
      </c>
      <c r="W1888" t="s">
        <v>65</v>
      </c>
      <c r="X1888" t="s">
        <v>6086</v>
      </c>
      <c r="Y1888">
        <v>0</v>
      </c>
      <c r="Z1888" s="4">
        <v>15000</v>
      </c>
      <c r="AA1888" s="4">
        <v>3000</v>
      </c>
      <c r="AB1888">
        <v>0</v>
      </c>
      <c r="AC1888">
        <v>0</v>
      </c>
      <c r="AD1888">
        <v>0</v>
      </c>
      <c r="AG1888">
        <v>0</v>
      </c>
      <c r="AP1888" t="s">
        <v>6087</v>
      </c>
      <c r="AQ1888" t="s">
        <v>91</v>
      </c>
      <c r="AR1888" t="s">
        <v>6637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BC1888" t="s">
        <v>69</v>
      </c>
      <c r="BD1888" t="s">
        <v>6088</v>
      </c>
      <c r="BE1888">
        <v>0</v>
      </c>
      <c r="BG1888" t="s">
        <v>91</v>
      </c>
      <c r="BJ1888" t="s">
        <v>6079</v>
      </c>
    </row>
    <row r="1889" spans="1:62" x14ac:dyDescent="0.35">
      <c r="A1889" t="s">
        <v>6089</v>
      </c>
      <c r="B1889">
        <v>10000</v>
      </c>
      <c r="C1889">
        <v>10000</v>
      </c>
      <c r="D1889" s="2">
        <v>45749</v>
      </c>
      <c r="E1889" t="s">
        <v>61</v>
      </c>
      <c r="F1889" s="3">
        <v>0.47717592592592595</v>
      </c>
      <c r="G1889" t="s">
        <v>6075</v>
      </c>
      <c r="I1889">
        <v>1</v>
      </c>
      <c r="J1889" t="s">
        <v>63</v>
      </c>
      <c r="K1889" s="8">
        <v>72</v>
      </c>
      <c r="L1889" s="8" t="s">
        <v>6606</v>
      </c>
      <c r="M1889" s="8" t="s">
        <v>6631</v>
      </c>
      <c r="N1889" t="s">
        <v>528</v>
      </c>
      <c r="O1889" t="s">
        <v>6542</v>
      </c>
      <c r="P1889" s="4">
        <v>1750</v>
      </c>
      <c r="S1889" s="2">
        <v>45745</v>
      </c>
      <c r="U1889">
        <v>4</v>
      </c>
      <c r="V1889" s="4">
        <v>7000</v>
      </c>
      <c r="W1889" t="s">
        <v>65</v>
      </c>
      <c r="X1889" t="s">
        <v>6090</v>
      </c>
      <c r="Y1889">
        <v>0</v>
      </c>
      <c r="Z1889" s="4">
        <v>5000</v>
      </c>
      <c r="AA1889" s="4">
        <v>2000</v>
      </c>
      <c r="AB1889">
        <v>0</v>
      </c>
      <c r="AC1889">
        <v>0</v>
      </c>
      <c r="AD1889">
        <v>0</v>
      </c>
      <c r="AG1889">
        <v>0</v>
      </c>
      <c r="AP1889" t="s">
        <v>6091</v>
      </c>
      <c r="AQ1889" t="s">
        <v>91</v>
      </c>
      <c r="AR1889" t="s">
        <v>6637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BC1889" t="s">
        <v>69</v>
      </c>
      <c r="BD1889" t="s">
        <v>6092</v>
      </c>
      <c r="BE1889">
        <v>0</v>
      </c>
      <c r="BG1889" t="s">
        <v>91</v>
      </c>
      <c r="BJ1889" t="s">
        <v>6079</v>
      </c>
    </row>
    <row r="1890" spans="1:62" x14ac:dyDescent="0.35">
      <c r="A1890" t="s">
        <v>6093</v>
      </c>
      <c r="B1890">
        <v>10000</v>
      </c>
      <c r="C1890">
        <v>10000</v>
      </c>
      <c r="D1890" s="2">
        <v>45751</v>
      </c>
      <c r="E1890" t="s">
        <v>61</v>
      </c>
      <c r="F1890" t="s">
        <v>6094</v>
      </c>
      <c r="G1890" t="s">
        <v>6075</v>
      </c>
      <c r="I1890">
        <v>1</v>
      </c>
      <c r="J1890" t="s">
        <v>63</v>
      </c>
      <c r="K1890" s="8">
        <v>72</v>
      </c>
      <c r="L1890" s="8" t="s">
        <v>6606</v>
      </c>
      <c r="M1890" s="8" t="s">
        <v>6631</v>
      </c>
      <c r="N1890" t="s">
        <v>528</v>
      </c>
      <c r="O1890" t="s">
        <v>6542</v>
      </c>
      <c r="P1890" s="4">
        <v>1250</v>
      </c>
      <c r="S1890" s="2">
        <v>45745</v>
      </c>
      <c r="U1890">
        <v>4</v>
      </c>
      <c r="V1890" s="4">
        <v>5000</v>
      </c>
      <c r="W1890" t="s">
        <v>65</v>
      </c>
      <c r="X1890" t="s">
        <v>6095</v>
      </c>
      <c r="Y1890">
        <v>0</v>
      </c>
      <c r="Z1890" s="4">
        <v>3000</v>
      </c>
      <c r="AA1890" s="4">
        <v>2000</v>
      </c>
      <c r="AB1890">
        <v>0</v>
      </c>
      <c r="AC1890">
        <v>0</v>
      </c>
      <c r="AD1890">
        <v>0</v>
      </c>
      <c r="AG1890">
        <v>0</v>
      </c>
      <c r="AP1890" t="s">
        <v>6096</v>
      </c>
      <c r="AQ1890" t="s">
        <v>91</v>
      </c>
      <c r="AR1890" t="s">
        <v>6637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BC1890" t="s">
        <v>69</v>
      </c>
      <c r="BD1890" t="s">
        <v>6097</v>
      </c>
      <c r="BE1890">
        <v>0</v>
      </c>
      <c r="BG1890" t="s">
        <v>91</v>
      </c>
      <c r="BJ1890" t="s">
        <v>6079</v>
      </c>
    </row>
    <row r="1891" spans="1:62" x14ac:dyDescent="0.35">
      <c r="A1891" t="s">
        <v>6098</v>
      </c>
      <c r="B1891">
        <v>10000</v>
      </c>
      <c r="C1891">
        <v>10000</v>
      </c>
      <c r="D1891" s="2">
        <v>45749</v>
      </c>
      <c r="E1891" t="s">
        <v>61</v>
      </c>
      <c r="F1891" t="s">
        <v>6099</v>
      </c>
      <c r="G1891" t="s">
        <v>6075</v>
      </c>
      <c r="I1891">
        <v>1</v>
      </c>
      <c r="J1891" t="s">
        <v>63</v>
      </c>
      <c r="K1891" s="8">
        <v>72</v>
      </c>
      <c r="L1891" s="8" t="s">
        <v>6606</v>
      </c>
      <c r="M1891" s="8" t="s">
        <v>6631</v>
      </c>
      <c r="N1891" t="s">
        <v>528</v>
      </c>
      <c r="O1891" t="s">
        <v>6542</v>
      </c>
      <c r="P1891">
        <v>500</v>
      </c>
      <c r="S1891" s="2">
        <v>45745</v>
      </c>
      <c r="U1891">
        <v>4</v>
      </c>
      <c r="V1891" s="4">
        <v>2000</v>
      </c>
      <c r="W1891" t="s">
        <v>65</v>
      </c>
      <c r="X1891" t="s">
        <v>6100</v>
      </c>
      <c r="Y1891">
        <v>0</v>
      </c>
      <c r="Z1891" s="4">
        <v>1000</v>
      </c>
      <c r="AA1891" s="4">
        <v>1000</v>
      </c>
      <c r="AB1891">
        <v>0</v>
      </c>
      <c r="AC1891">
        <v>0</v>
      </c>
      <c r="AD1891">
        <v>0</v>
      </c>
      <c r="AG1891">
        <v>0</v>
      </c>
      <c r="AP1891" t="s">
        <v>6101</v>
      </c>
      <c r="AQ1891" t="s">
        <v>91</v>
      </c>
      <c r="AR1891" t="s">
        <v>6637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BC1891" t="s">
        <v>69</v>
      </c>
      <c r="BD1891" t="s">
        <v>6102</v>
      </c>
      <c r="BE1891">
        <v>0</v>
      </c>
      <c r="BG1891" t="s">
        <v>91</v>
      </c>
      <c r="BJ1891" t="s">
        <v>6079</v>
      </c>
    </row>
    <row r="1892" spans="1:62" x14ac:dyDescent="0.35">
      <c r="A1892" t="s">
        <v>6103</v>
      </c>
      <c r="B1892">
        <v>10000</v>
      </c>
      <c r="C1892">
        <v>10000</v>
      </c>
      <c r="D1892" s="2">
        <v>45749</v>
      </c>
      <c r="E1892" t="s">
        <v>61</v>
      </c>
      <c r="F1892" t="s">
        <v>4643</v>
      </c>
      <c r="G1892" t="s">
        <v>6075</v>
      </c>
      <c r="I1892">
        <v>1</v>
      </c>
      <c r="J1892" t="s">
        <v>63</v>
      </c>
      <c r="K1892" s="8">
        <v>72</v>
      </c>
      <c r="L1892" s="8" t="s">
        <v>6606</v>
      </c>
      <c r="M1892" s="8" t="s">
        <v>6631</v>
      </c>
      <c r="N1892" t="s">
        <v>528</v>
      </c>
      <c r="O1892" t="s">
        <v>6542</v>
      </c>
      <c r="P1892" s="4">
        <v>1000</v>
      </c>
      <c r="S1892" s="2">
        <v>45745</v>
      </c>
      <c r="U1892">
        <v>4</v>
      </c>
      <c r="V1892" s="4">
        <v>4000</v>
      </c>
      <c r="W1892" t="s">
        <v>65</v>
      </c>
      <c r="X1892" t="s">
        <v>6104</v>
      </c>
      <c r="Y1892">
        <v>0</v>
      </c>
      <c r="Z1892" s="4">
        <v>2000</v>
      </c>
      <c r="AA1892" s="4">
        <v>2000</v>
      </c>
      <c r="AB1892">
        <v>0</v>
      </c>
      <c r="AC1892">
        <v>0</v>
      </c>
      <c r="AD1892">
        <v>0</v>
      </c>
      <c r="AG1892">
        <v>0</v>
      </c>
      <c r="AP1892" t="s">
        <v>6105</v>
      </c>
      <c r="AQ1892" t="s">
        <v>91</v>
      </c>
      <c r="AR1892" t="s">
        <v>6637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BC1892" t="s">
        <v>69</v>
      </c>
      <c r="BD1892" t="s">
        <v>6106</v>
      </c>
      <c r="BE1892">
        <v>0</v>
      </c>
      <c r="BG1892" t="s">
        <v>91</v>
      </c>
      <c r="BJ1892" t="s">
        <v>6079</v>
      </c>
    </row>
    <row r="1893" spans="1:62" x14ac:dyDescent="0.35">
      <c r="A1893" t="s">
        <v>6107</v>
      </c>
      <c r="B1893">
        <v>10000</v>
      </c>
      <c r="C1893">
        <v>10000</v>
      </c>
      <c r="D1893" s="2">
        <v>45751</v>
      </c>
      <c r="E1893" t="s">
        <v>61</v>
      </c>
      <c r="F1893" t="s">
        <v>6108</v>
      </c>
      <c r="G1893" t="s">
        <v>6075</v>
      </c>
      <c r="I1893">
        <v>1</v>
      </c>
      <c r="J1893" t="s">
        <v>63</v>
      </c>
      <c r="K1893" s="8">
        <v>72</v>
      </c>
      <c r="L1893" s="8" t="s">
        <v>6606</v>
      </c>
      <c r="M1893" s="8" t="s">
        <v>6631</v>
      </c>
      <c r="N1893" t="s">
        <v>528</v>
      </c>
      <c r="O1893" t="s">
        <v>6542</v>
      </c>
      <c r="P1893" s="4">
        <v>1000</v>
      </c>
      <c r="S1893" s="2">
        <v>45745</v>
      </c>
      <c r="U1893">
        <v>4</v>
      </c>
      <c r="V1893" s="4">
        <v>4000</v>
      </c>
      <c r="W1893" t="s">
        <v>65</v>
      </c>
      <c r="X1893" t="s">
        <v>6109</v>
      </c>
      <c r="Y1893">
        <v>0</v>
      </c>
      <c r="Z1893" s="4">
        <v>2000</v>
      </c>
      <c r="AA1893" s="4">
        <v>2000</v>
      </c>
      <c r="AB1893">
        <v>0</v>
      </c>
      <c r="AC1893">
        <v>0</v>
      </c>
      <c r="AD1893">
        <v>0</v>
      </c>
      <c r="AG1893">
        <v>0</v>
      </c>
      <c r="AP1893" t="s">
        <v>6110</v>
      </c>
      <c r="AQ1893" t="s">
        <v>91</v>
      </c>
      <c r="AR1893" t="s">
        <v>6637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BC1893" t="s">
        <v>69</v>
      </c>
      <c r="BD1893" t="s">
        <v>6111</v>
      </c>
      <c r="BE1893">
        <v>0</v>
      </c>
      <c r="BG1893" t="s">
        <v>91</v>
      </c>
      <c r="BJ1893" t="s">
        <v>6079</v>
      </c>
    </row>
    <row r="1894" spans="1:62" x14ac:dyDescent="0.35">
      <c r="A1894" t="s">
        <v>6112</v>
      </c>
      <c r="B1894">
        <v>10000</v>
      </c>
      <c r="C1894">
        <v>10000</v>
      </c>
      <c r="D1894" s="2">
        <v>45748</v>
      </c>
      <c r="E1894" t="s">
        <v>61</v>
      </c>
      <c r="F1894" t="s">
        <v>5473</v>
      </c>
      <c r="G1894" t="s">
        <v>3277</v>
      </c>
      <c r="I1894">
        <v>1</v>
      </c>
      <c r="J1894" t="s">
        <v>63</v>
      </c>
      <c r="K1894" s="8">
        <v>46</v>
      </c>
      <c r="L1894" s="8" t="s">
        <v>6587</v>
      </c>
      <c r="M1894" s="8" t="s">
        <v>6629</v>
      </c>
      <c r="N1894" t="s">
        <v>113</v>
      </c>
      <c r="O1894" t="s">
        <v>6499</v>
      </c>
      <c r="P1894" s="4">
        <v>4000</v>
      </c>
      <c r="Q1894">
        <f>(P1894/40)+45</f>
        <v>145</v>
      </c>
      <c r="R1894">
        <f>Q1894/60</f>
        <v>2.4166666666666665</v>
      </c>
      <c r="S1894" s="2">
        <v>45745</v>
      </c>
      <c r="U1894">
        <v>1</v>
      </c>
      <c r="V1894" s="4">
        <v>4000</v>
      </c>
      <c r="W1894" t="s">
        <v>65</v>
      </c>
      <c r="X1894" t="s">
        <v>3772</v>
      </c>
      <c r="Y1894">
        <v>0</v>
      </c>
      <c r="Z1894" s="4">
        <v>4000</v>
      </c>
      <c r="AA1894">
        <v>0</v>
      </c>
      <c r="AB1894">
        <v>0</v>
      </c>
      <c r="AC1894">
        <v>0</v>
      </c>
      <c r="AD1894">
        <v>0</v>
      </c>
      <c r="AG1894">
        <v>0</v>
      </c>
      <c r="AP1894" t="s">
        <v>3773</v>
      </c>
      <c r="AQ1894" t="s">
        <v>116</v>
      </c>
      <c r="AR1894" t="s">
        <v>6639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BC1894" t="s">
        <v>69</v>
      </c>
      <c r="BD1894" t="s">
        <v>6113</v>
      </c>
      <c r="BE1894">
        <v>0</v>
      </c>
      <c r="BG1894" t="s">
        <v>116</v>
      </c>
      <c r="BJ1894" t="s">
        <v>4631</v>
      </c>
    </row>
    <row r="1895" spans="1:62" x14ac:dyDescent="0.35">
      <c r="A1895" t="s">
        <v>6114</v>
      </c>
      <c r="B1895">
        <v>10000</v>
      </c>
      <c r="C1895">
        <v>10000</v>
      </c>
      <c r="D1895" s="2">
        <v>45748</v>
      </c>
      <c r="E1895" t="s">
        <v>61</v>
      </c>
      <c r="F1895" t="s">
        <v>6115</v>
      </c>
      <c r="G1895">
        <v>405172525</v>
      </c>
      <c r="I1895">
        <v>1</v>
      </c>
      <c r="J1895" t="s">
        <v>63</v>
      </c>
      <c r="K1895" s="8">
        <v>61</v>
      </c>
      <c r="L1895" s="8" t="s">
        <v>6594</v>
      </c>
      <c r="M1895" s="8" t="s">
        <v>6629</v>
      </c>
      <c r="N1895" t="s">
        <v>553</v>
      </c>
      <c r="O1895" t="s">
        <v>6552</v>
      </c>
      <c r="P1895">
        <v>250</v>
      </c>
      <c r="Q1895">
        <f t="shared" ref="Q1895:Q1900" si="474">(P1895/50)+45</f>
        <v>50</v>
      </c>
      <c r="R1895">
        <f t="shared" ref="R1895:R1900" si="475">Q1895/60</f>
        <v>0.83333333333333337</v>
      </c>
      <c r="S1895" s="2">
        <v>45745</v>
      </c>
      <c r="U1895">
        <v>4</v>
      </c>
      <c r="V1895" s="4">
        <v>1000</v>
      </c>
      <c r="W1895" t="s">
        <v>65</v>
      </c>
      <c r="X1895" t="s">
        <v>1761</v>
      </c>
      <c r="Y1895">
        <v>0</v>
      </c>
      <c r="Z1895" s="4">
        <v>1000</v>
      </c>
      <c r="AA1895">
        <v>0</v>
      </c>
      <c r="AB1895">
        <v>0</v>
      </c>
      <c r="AC1895">
        <v>0</v>
      </c>
      <c r="AD1895">
        <v>0</v>
      </c>
      <c r="AG1895">
        <v>0</v>
      </c>
      <c r="AP1895" t="s">
        <v>1762</v>
      </c>
      <c r="AQ1895" t="s">
        <v>1763</v>
      </c>
      <c r="AR1895" t="s">
        <v>6686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BC1895" t="s">
        <v>69</v>
      </c>
      <c r="BD1895" t="s">
        <v>6116</v>
      </c>
      <c r="BE1895">
        <v>0</v>
      </c>
      <c r="BG1895" t="s">
        <v>1763</v>
      </c>
      <c r="BJ1895" t="s">
        <v>6117</v>
      </c>
    </row>
    <row r="1896" spans="1:62" x14ac:dyDescent="0.35">
      <c r="A1896" t="s">
        <v>6118</v>
      </c>
      <c r="B1896">
        <v>10000</v>
      </c>
      <c r="C1896">
        <v>10000</v>
      </c>
      <c r="D1896" s="2">
        <v>45748</v>
      </c>
      <c r="E1896" t="s">
        <v>61</v>
      </c>
      <c r="F1896" t="s">
        <v>6119</v>
      </c>
      <c r="G1896" t="s">
        <v>6120</v>
      </c>
      <c r="I1896">
        <v>1</v>
      </c>
      <c r="J1896" t="s">
        <v>63</v>
      </c>
      <c r="K1896" s="8">
        <v>61</v>
      </c>
      <c r="L1896" s="8" t="s">
        <v>6594</v>
      </c>
      <c r="M1896" s="8" t="s">
        <v>6629</v>
      </c>
      <c r="N1896" t="s">
        <v>553</v>
      </c>
      <c r="O1896" t="s">
        <v>6552</v>
      </c>
      <c r="P1896">
        <v>750</v>
      </c>
      <c r="Q1896">
        <f t="shared" si="474"/>
        <v>60</v>
      </c>
      <c r="R1896">
        <f t="shared" si="475"/>
        <v>1</v>
      </c>
      <c r="S1896" s="2">
        <v>45745</v>
      </c>
      <c r="U1896">
        <v>4</v>
      </c>
      <c r="V1896" s="4">
        <v>3000</v>
      </c>
      <c r="W1896" t="s">
        <v>65</v>
      </c>
      <c r="X1896" t="s">
        <v>6121</v>
      </c>
      <c r="Y1896">
        <v>0</v>
      </c>
      <c r="Z1896" s="4">
        <v>3000</v>
      </c>
      <c r="AA1896">
        <v>0</v>
      </c>
      <c r="AB1896">
        <v>0</v>
      </c>
      <c r="AC1896">
        <v>0</v>
      </c>
      <c r="AD1896">
        <v>0</v>
      </c>
      <c r="AG1896">
        <v>0</v>
      </c>
      <c r="AP1896" t="s">
        <v>6122</v>
      </c>
      <c r="AQ1896" t="s">
        <v>508</v>
      </c>
      <c r="AR1896" t="s">
        <v>6657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BC1896" t="s">
        <v>69</v>
      </c>
      <c r="BD1896" t="s">
        <v>6123</v>
      </c>
      <c r="BE1896">
        <v>0</v>
      </c>
      <c r="BG1896" t="s">
        <v>508</v>
      </c>
      <c r="BJ1896" t="s">
        <v>4657</v>
      </c>
    </row>
    <row r="1897" spans="1:62" x14ac:dyDescent="0.35">
      <c r="A1897" t="s">
        <v>6124</v>
      </c>
      <c r="B1897">
        <v>10000</v>
      </c>
      <c r="C1897">
        <v>10000</v>
      </c>
      <c r="D1897" s="2">
        <v>45748</v>
      </c>
      <c r="E1897" t="s">
        <v>61</v>
      </c>
      <c r="F1897" t="s">
        <v>6125</v>
      </c>
      <c r="G1897" t="s">
        <v>6126</v>
      </c>
      <c r="I1897">
        <v>1</v>
      </c>
      <c r="J1897" t="s">
        <v>63</v>
      </c>
      <c r="K1897" s="8">
        <v>61</v>
      </c>
      <c r="L1897" s="8" t="s">
        <v>6594</v>
      </c>
      <c r="M1897" s="8" t="s">
        <v>6629</v>
      </c>
      <c r="N1897" t="s">
        <v>553</v>
      </c>
      <c r="O1897" t="s">
        <v>6552</v>
      </c>
      <c r="P1897" s="4">
        <v>1000</v>
      </c>
      <c r="Q1897">
        <f t="shared" si="474"/>
        <v>65</v>
      </c>
      <c r="R1897">
        <f t="shared" si="475"/>
        <v>1.0833333333333333</v>
      </c>
      <c r="S1897" s="2">
        <v>45745</v>
      </c>
      <c r="U1897">
        <v>1</v>
      </c>
      <c r="V1897" s="4">
        <v>1000</v>
      </c>
      <c r="W1897" t="s">
        <v>65</v>
      </c>
      <c r="X1897" t="s">
        <v>6127</v>
      </c>
      <c r="Y1897">
        <v>0</v>
      </c>
      <c r="Z1897" s="4">
        <v>1000</v>
      </c>
      <c r="AA1897">
        <v>0</v>
      </c>
      <c r="AB1897">
        <v>0</v>
      </c>
      <c r="AC1897">
        <v>0</v>
      </c>
      <c r="AD1897">
        <v>0</v>
      </c>
      <c r="AG1897">
        <v>0</v>
      </c>
      <c r="AP1897" t="s">
        <v>6128</v>
      </c>
      <c r="AQ1897" t="s">
        <v>508</v>
      </c>
      <c r="AR1897" t="s">
        <v>6657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BC1897" t="s">
        <v>69</v>
      </c>
      <c r="BD1897" t="s">
        <v>6129</v>
      </c>
      <c r="BE1897">
        <v>0</v>
      </c>
      <c r="BG1897" t="s">
        <v>508</v>
      </c>
      <c r="BJ1897" t="s">
        <v>4657</v>
      </c>
    </row>
    <row r="1898" spans="1:62" x14ac:dyDescent="0.35">
      <c r="A1898" t="s">
        <v>6130</v>
      </c>
      <c r="B1898">
        <v>10000</v>
      </c>
      <c r="C1898">
        <v>10000</v>
      </c>
      <c r="D1898" s="2">
        <v>45748</v>
      </c>
      <c r="E1898" t="s">
        <v>61</v>
      </c>
      <c r="F1898" t="s">
        <v>6119</v>
      </c>
      <c r="G1898" t="s">
        <v>6120</v>
      </c>
      <c r="I1898">
        <v>1</v>
      </c>
      <c r="J1898" t="s">
        <v>63</v>
      </c>
      <c r="K1898" s="8">
        <v>61</v>
      </c>
      <c r="L1898" s="8" t="s">
        <v>6594</v>
      </c>
      <c r="M1898" s="8" t="s">
        <v>6629</v>
      </c>
      <c r="N1898" t="s">
        <v>553</v>
      </c>
      <c r="O1898" t="s">
        <v>6552</v>
      </c>
      <c r="P1898">
        <v>750</v>
      </c>
      <c r="Q1898">
        <f t="shared" si="474"/>
        <v>60</v>
      </c>
      <c r="R1898">
        <f t="shared" si="475"/>
        <v>1</v>
      </c>
      <c r="S1898" s="2">
        <v>45745</v>
      </c>
      <c r="U1898">
        <v>4</v>
      </c>
      <c r="V1898" s="4">
        <v>3000</v>
      </c>
      <c r="W1898" t="s">
        <v>65</v>
      </c>
      <c r="X1898" t="s">
        <v>6121</v>
      </c>
      <c r="Y1898">
        <v>0</v>
      </c>
      <c r="Z1898" s="4">
        <v>3000</v>
      </c>
      <c r="AA1898">
        <v>0</v>
      </c>
      <c r="AB1898">
        <v>0</v>
      </c>
      <c r="AC1898">
        <v>0</v>
      </c>
      <c r="AD1898">
        <v>0</v>
      </c>
      <c r="AG1898">
        <v>0</v>
      </c>
      <c r="AP1898" t="s">
        <v>6122</v>
      </c>
      <c r="AQ1898" t="s">
        <v>508</v>
      </c>
      <c r="AR1898" t="s">
        <v>6657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BC1898" t="s">
        <v>69</v>
      </c>
      <c r="BD1898" t="s">
        <v>6131</v>
      </c>
      <c r="BE1898">
        <v>0</v>
      </c>
      <c r="BG1898" t="s">
        <v>508</v>
      </c>
      <c r="BJ1898" t="s">
        <v>4667</v>
      </c>
    </row>
    <row r="1899" spans="1:62" x14ac:dyDescent="0.35">
      <c r="A1899" t="s">
        <v>6132</v>
      </c>
      <c r="B1899">
        <v>10000</v>
      </c>
      <c r="C1899">
        <v>10000</v>
      </c>
      <c r="D1899" s="2">
        <v>45748</v>
      </c>
      <c r="E1899" t="s">
        <v>61</v>
      </c>
      <c r="F1899" t="s">
        <v>6125</v>
      </c>
      <c r="G1899" t="s">
        <v>6133</v>
      </c>
      <c r="I1899">
        <v>1</v>
      </c>
      <c r="J1899" t="s">
        <v>63</v>
      </c>
      <c r="K1899" s="8">
        <v>61</v>
      </c>
      <c r="L1899" s="8" t="s">
        <v>6594</v>
      </c>
      <c r="M1899" s="8" t="s">
        <v>6629</v>
      </c>
      <c r="N1899" t="s">
        <v>553</v>
      </c>
      <c r="O1899" t="s">
        <v>6552</v>
      </c>
      <c r="P1899" s="4">
        <v>2000</v>
      </c>
      <c r="Q1899">
        <f t="shared" si="474"/>
        <v>85</v>
      </c>
      <c r="R1899">
        <f t="shared" si="475"/>
        <v>1.4166666666666667</v>
      </c>
      <c r="S1899" s="2">
        <v>45745</v>
      </c>
      <c r="U1899">
        <v>1</v>
      </c>
      <c r="V1899" s="4">
        <v>2000</v>
      </c>
      <c r="W1899" t="s">
        <v>65</v>
      </c>
      <c r="X1899" t="s">
        <v>6127</v>
      </c>
      <c r="Y1899">
        <v>0</v>
      </c>
      <c r="Z1899" s="4">
        <v>2000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 t="s">
        <v>6128</v>
      </c>
      <c r="AQ1899" t="s">
        <v>508</v>
      </c>
      <c r="AR1899" t="s">
        <v>6657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BC1899" t="s">
        <v>69</v>
      </c>
      <c r="BD1899" t="s">
        <v>6134</v>
      </c>
      <c r="BE1899">
        <v>0</v>
      </c>
      <c r="BG1899" t="s">
        <v>508</v>
      </c>
      <c r="BJ1899" t="s">
        <v>4667</v>
      </c>
    </row>
    <row r="1900" spans="1:62" x14ac:dyDescent="0.35">
      <c r="A1900" t="s">
        <v>6135</v>
      </c>
      <c r="B1900">
        <v>10000</v>
      </c>
      <c r="C1900">
        <v>10000</v>
      </c>
      <c r="D1900" s="2">
        <v>45748</v>
      </c>
      <c r="E1900" t="s">
        <v>61</v>
      </c>
      <c r="F1900" t="s">
        <v>6115</v>
      </c>
      <c r="G1900">
        <v>405172525</v>
      </c>
      <c r="I1900">
        <v>1</v>
      </c>
      <c r="J1900" t="s">
        <v>63</v>
      </c>
      <c r="K1900" s="8">
        <v>61</v>
      </c>
      <c r="L1900" s="8" t="s">
        <v>6594</v>
      </c>
      <c r="M1900" s="8" t="s">
        <v>6629</v>
      </c>
      <c r="N1900" t="s">
        <v>553</v>
      </c>
      <c r="O1900" t="s">
        <v>6552</v>
      </c>
      <c r="P1900">
        <v>250</v>
      </c>
      <c r="Q1900">
        <f t="shared" si="474"/>
        <v>50</v>
      </c>
      <c r="R1900">
        <f t="shared" si="475"/>
        <v>0.83333333333333337</v>
      </c>
      <c r="S1900" s="2">
        <v>45745</v>
      </c>
      <c r="U1900">
        <v>4</v>
      </c>
      <c r="V1900" s="4">
        <v>1000</v>
      </c>
      <c r="W1900" t="s">
        <v>65</v>
      </c>
      <c r="X1900" t="s">
        <v>1761</v>
      </c>
      <c r="Y1900">
        <v>0</v>
      </c>
      <c r="Z1900" s="4">
        <v>1000</v>
      </c>
      <c r="AA1900">
        <v>0</v>
      </c>
      <c r="AB1900">
        <v>0</v>
      </c>
      <c r="AC1900">
        <v>0</v>
      </c>
      <c r="AD1900">
        <v>0</v>
      </c>
      <c r="AG1900">
        <v>0</v>
      </c>
      <c r="AP1900" t="s">
        <v>1762</v>
      </c>
      <c r="AQ1900" t="s">
        <v>1763</v>
      </c>
      <c r="AR1900" t="s">
        <v>6686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BC1900" t="s">
        <v>69</v>
      </c>
      <c r="BD1900" t="s">
        <v>6136</v>
      </c>
      <c r="BE1900">
        <v>0</v>
      </c>
      <c r="BG1900" t="s">
        <v>1763</v>
      </c>
      <c r="BJ1900" t="s">
        <v>6137</v>
      </c>
    </row>
    <row r="1901" spans="1:62" x14ac:dyDescent="0.35">
      <c r="A1901" t="s">
        <v>6138</v>
      </c>
      <c r="B1901">
        <v>10000</v>
      </c>
      <c r="C1901">
        <v>10000</v>
      </c>
      <c r="D1901" s="2">
        <v>45748</v>
      </c>
      <c r="E1901" t="s">
        <v>61</v>
      </c>
      <c r="F1901" t="s">
        <v>6139</v>
      </c>
      <c r="G1901" t="s">
        <v>6065</v>
      </c>
      <c r="I1901">
        <v>1</v>
      </c>
      <c r="J1901" t="s">
        <v>63</v>
      </c>
      <c r="K1901" s="8">
        <v>72</v>
      </c>
      <c r="L1901" s="8" t="s">
        <v>6606</v>
      </c>
      <c r="M1901" s="8" t="s">
        <v>6631</v>
      </c>
      <c r="N1901" t="s">
        <v>528</v>
      </c>
      <c r="O1901" t="s">
        <v>6542</v>
      </c>
      <c r="P1901" s="4">
        <v>1625</v>
      </c>
      <c r="S1901" s="2">
        <v>45745</v>
      </c>
      <c r="U1901">
        <v>4</v>
      </c>
      <c r="V1901" s="4">
        <v>6500</v>
      </c>
      <c r="W1901" t="s">
        <v>65</v>
      </c>
      <c r="X1901">
        <v>5000562920001</v>
      </c>
      <c r="Y1901">
        <v>0</v>
      </c>
      <c r="Z1901" s="4">
        <v>5000</v>
      </c>
      <c r="AA1901" s="4">
        <v>1500</v>
      </c>
      <c r="AB1901">
        <v>0</v>
      </c>
      <c r="AC1901">
        <v>0</v>
      </c>
      <c r="AD1901">
        <v>0</v>
      </c>
      <c r="AG1901">
        <v>0</v>
      </c>
      <c r="AP1901">
        <v>500056292</v>
      </c>
      <c r="AQ1901" t="s">
        <v>91</v>
      </c>
      <c r="AR1901" t="s">
        <v>6637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BC1901" t="s">
        <v>69</v>
      </c>
      <c r="BD1901" t="s">
        <v>6140</v>
      </c>
      <c r="BE1901">
        <v>0</v>
      </c>
      <c r="BG1901" t="s">
        <v>91</v>
      </c>
      <c r="BJ1901" t="s">
        <v>6141</v>
      </c>
    </row>
    <row r="1902" spans="1:62" x14ac:dyDescent="0.35">
      <c r="A1902" t="s">
        <v>6142</v>
      </c>
      <c r="B1902">
        <v>10000</v>
      </c>
      <c r="C1902">
        <v>10000</v>
      </c>
      <c r="D1902" s="2">
        <v>45748</v>
      </c>
      <c r="E1902" t="s">
        <v>61</v>
      </c>
      <c r="F1902" t="s">
        <v>6143</v>
      </c>
      <c r="G1902" t="s">
        <v>6065</v>
      </c>
      <c r="I1902">
        <v>1</v>
      </c>
      <c r="J1902" t="s">
        <v>63</v>
      </c>
      <c r="K1902" s="8">
        <v>72</v>
      </c>
      <c r="L1902" s="8" t="s">
        <v>6606</v>
      </c>
      <c r="M1902" s="8" t="s">
        <v>6631</v>
      </c>
      <c r="N1902" t="s">
        <v>528</v>
      </c>
      <c r="O1902" t="s">
        <v>6542</v>
      </c>
      <c r="P1902" s="4">
        <v>2000</v>
      </c>
      <c r="S1902" s="2">
        <v>45745</v>
      </c>
      <c r="U1902">
        <v>4</v>
      </c>
      <c r="V1902" s="4">
        <v>8000</v>
      </c>
      <c r="W1902" t="s">
        <v>65</v>
      </c>
      <c r="X1902">
        <v>5000579950001</v>
      </c>
      <c r="Y1902">
        <v>0</v>
      </c>
      <c r="Z1902" s="4">
        <v>6000</v>
      </c>
      <c r="AA1902" s="4">
        <v>2000</v>
      </c>
      <c r="AB1902">
        <v>0</v>
      </c>
      <c r="AC1902">
        <v>0</v>
      </c>
      <c r="AD1902">
        <v>0</v>
      </c>
      <c r="AG1902">
        <v>0</v>
      </c>
      <c r="AP1902">
        <v>500057995</v>
      </c>
      <c r="AQ1902" t="s">
        <v>91</v>
      </c>
      <c r="AR1902" t="s">
        <v>6637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BC1902" t="s">
        <v>69</v>
      </c>
      <c r="BD1902" t="s">
        <v>6144</v>
      </c>
      <c r="BE1902">
        <v>0</v>
      </c>
      <c r="BG1902" t="s">
        <v>91</v>
      </c>
      <c r="BJ1902" t="s">
        <v>6141</v>
      </c>
    </row>
    <row r="1903" spans="1:62" x14ac:dyDescent="0.35">
      <c r="A1903" t="s">
        <v>6145</v>
      </c>
      <c r="B1903">
        <v>10000</v>
      </c>
      <c r="C1903">
        <v>10000</v>
      </c>
      <c r="D1903" s="2">
        <v>45749</v>
      </c>
      <c r="E1903" t="s">
        <v>61</v>
      </c>
      <c r="F1903" t="s">
        <v>6146</v>
      </c>
      <c r="G1903" t="s">
        <v>6065</v>
      </c>
      <c r="I1903">
        <v>1</v>
      </c>
      <c r="J1903" t="s">
        <v>63</v>
      </c>
      <c r="K1903" s="8">
        <v>72</v>
      </c>
      <c r="L1903" s="8" t="s">
        <v>6606</v>
      </c>
      <c r="M1903" s="8" t="s">
        <v>6631</v>
      </c>
      <c r="N1903" t="s">
        <v>528</v>
      </c>
      <c r="O1903" t="s">
        <v>6542</v>
      </c>
      <c r="P1903">
        <v>750</v>
      </c>
      <c r="S1903" s="2">
        <v>45745</v>
      </c>
      <c r="U1903">
        <v>4</v>
      </c>
      <c r="V1903" s="4">
        <v>3000</v>
      </c>
      <c r="W1903" t="s">
        <v>65</v>
      </c>
      <c r="X1903">
        <v>5000514720001</v>
      </c>
      <c r="Y1903">
        <v>0</v>
      </c>
      <c r="Z1903" s="4">
        <v>1000</v>
      </c>
      <c r="AA1903" s="4">
        <v>2000</v>
      </c>
      <c r="AB1903">
        <v>0</v>
      </c>
      <c r="AC1903">
        <v>0</v>
      </c>
      <c r="AD1903">
        <v>0</v>
      </c>
      <c r="AG1903">
        <v>0</v>
      </c>
      <c r="AP1903">
        <v>500051472</v>
      </c>
      <c r="AQ1903" t="s">
        <v>91</v>
      </c>
      <c r="AR1903" t="s">
        <v>6637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BC1903" t="s">
        <v>69</v>
      </c>
      <c r="BD1903" t="s">
        <v>6147</v>
      </c>
      <c r="BE1903">
        <v>0</v>
      </c>
      <c r="BG1903" t="s">
        <v>91</v>
      </c>
      <c r="BJ1903" t="s">
        <v>6148</v>
      </c>
    </row>
    <row r="1904" spans="1:62" x14ac:dyDescent="0.35">
      <c r="A1904" t="s">
        <v>6149</v>
      </c>
      <c r="B1904">
        <v>10000</v>
      </c>
      <c r="C1904">
        <v>10000</v>
      </c>
      <c r="D1904" s="2">
        <v>45749</v>
      </c>
      <c r="E1904" t="s">
        <v>61</v>
      </c>
      <c r="F1904" t="s">
        <v>6146</v>
      </c>
      <c r="G1904" t="s">
        <v>6065</v>
      </c>
      <c r="I1904">
        <v>1</v>
      </c>
      <c r="J1904" t="s">
        <v>63</v>
      </c>
      <c r="K1904" s="8">
        <v>72</v>
      </c>
      <c r="L1904" s="8" t="s">
        <v>6606</v>
      </c>
      <c r="M1904" s="8" t="s">
        <v>6631</v>
      </c>
      <c r="N1904" t="s">
        <v>528</v>
      </c>
      <c r="O1904" t="s">
        <v>6542</v>
      </c>
      <c r="P1904" s="4">
        <v>1750</v>
      </c>
      <c r="S1904" s="2">
        <v>45745</v>
      </c>
      <c r="U1904">
        <v>4</v>
      </c>
      <c r="V1904" s="4">
        <v>7000</v>
      </c>
      <c r="W1904" t="s">
        <v>65</v>
      </c>
      <c r="X1904">
        <v>5000514730001</v>
      </c>
      <c r="Y1904">
        <v>0</v>
      </c>
      <c r="Z1904" s="4">
        <v>5000</v>
      </c>
      <c r="AA1904" s="4">
        <v>2000</v>
      </c>
      <c r="AB1904">
        <v>0</v>
      </c>
      <c r="AC1904">
        <v>0</v>
      </c>
      <c r="AD1904">
        <v>0</v>
      </c>
      <c r="AG1904">
        <v>0</v>
      </c>
      <c r="AP1904">
        <v>500051473</v>
      </c>
      <c r="AQ1904" t="s">
        <v>91</v>
      </c>
      <c r="AR1904" t="s">
        <v>6637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BC1904" t="s">
        <v>69</v>
      </c>
      <c r="BD1904" t="s">
        <v>6150</v>
      </c>
      <c r="BE1904">
        <v>0</v>
      </c>
      <c r="BG1904" t="s">
        <v>91</v>
      </c>
      <c r="BJ1904" t="s">
        <v>6148</v>
      </c>
    </row>
    <row r="1905" spans="1:62" x14ac:dyDescent="0.35">
      <c r="A1905" t="s">
        <v>6151</v>
      </c>
      <c r="B1905">
        <v>10000</v>
      </c>
      <c r="C1905">
        <v>10000</v>
      </c>
      <c r="D1905" s="2">
        <v>45749</v>
      </c>
      <c r="E1905" t="s">
        <v>61</v>
      </c>
      <c r="F1905" t="s">
        <v>6146</v>
      </c>
      <c r="G1905" t="s">
        <v>6065</v>
      </c>
      <c r="I1905">
        <v>1</v>
      </c>
      <c r="J1905" t="s">
        <v>63</v>
      </c>
      <c r="K1905" s="8">
        <v>72</v>
      </c>
      <c r="L1905" s="8" t="s">
        <v>6606</v>
      </c>
      <c r="M1905" s="8" t="s">
        <v>6631</v>
      </c>
      <c r="N1905" t="s">
        <v>528</v>
      </c>
      <c r="O1905" t="s">
        <v>6542</v>
      </c>
      <c r="P1905" s="4">
        <v>1750</v>
      </c>
      <c r="S1905" s="2">
        <v>45745</v>
      </c>
      <c r="U1905">
        <v>4</v>
      </c>
      <c r="V1905" s="4">
        <v>7000</v>
      </c>
      <c r="W1905" t="s">
        <v>65</v>
      </c>
      <c r="X1905">
        <v>5000579970001</v>
      </c>
      <c r="Y1905">
        <v>0</v>
      </c>
      <c r="Z1905" s="4">
        <v>5000</v>
      </c>
      <c r="AA1905" s="4">
        <v>2000</v>
      </c>
      <c r="AB1905">
        <v>0</v>
      </c>
      <c r="AC1905">
        <v>0</v>
      </c>
      <c r="AD1905">
        <v>0</v>
      </c>
      <c r="AG1905">
        <v>0</v>
      </c>
      <c r="AP1905">
        <v>500057997</v>
      </c>
      <c r="AQ1905" t="s">
        <v>91</v>
      </c>
      <c r="AR1905" t="s">
        <v>6637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BC1905" t="s">
        <v>69</v>
      </c>
      <c r="BD1905" t="s">
        <v>6152</v>
      </c>
      <c r="BE1905">
        <v>0</v>
      </c>
      <c r="BG1905" t="s">
        <v>91</v>
      </c>
      <c r="BJ1905" t="s">
        <v>6148</v>
      </c>
    </row>
    <row r="1906" spans="1:62" x14ac:dyDescent="0.35">
      <c r="A1906" t="s">
        <v>6153</v>
      </c>
      <c r="B1906">
        <v>10000</v>
      </c>
      <c r="C1906">
        <v>10000</v>
      </c>
      <c r="D1906" s="2">
        <v>45749</v>
      </c>
      <c r="E1906" t="s">
        <v>61</v>
      </c>
      <c r="F1906" t="s">
        <v>6146</v>
      </c>
      <c r="G1906" t="s">
        <v>6065</v>
      </c>
      <c r="I1906">
        <v>1</v>
      </c>
      <c r="J1906" t="s">
        <v>63</v>
      </c>
      <c r="K1906" s="8">
        <v>72</v>
      </c>
      <c r="L1906" s="8" t="s">
        <v>6606</v>
      </c>
      <c r="M1906" s="8" t="s">
        <v>6631</v>
      </c>
      <c r="N1906" t="s">
        <v>528</v>
      </c>
      <c r="O1906" t="s">
        <v>6542</v>
      </c>
      <c r="P1906" s="4">
        <v>1750</v>
      </c>
      <c r="S1906" s="2">
        <v>45745</v>
      </c>
      <c r="U1906">
        <v>4</v>
      </c>
      <c r="V1906" s="4">
        <v>7000</v>
      </c>
      <c r="W1906" t="s">
        <v>65</v>
      </c>
      <c r="X1906">
        <v>5000595780001</v>
      </c>
      <c r="Y1906">
        <v>0</v>
      </c>
      <c r="Z1906" s="4">
        <v>5000</v>
      </c>
      <c r="AA1906" s="4">
        <v>2000</v>
      </c>
      <c r="AB1906">
        <v>0</v>
      </c>
      <c r="AC1906">
        <v>0</v>
      </c>
      <c r="AD1906">
        <v>0</v>
      </c>
      <c r="AG1906">
        <v>0</v>
      </c>
      <c r="AP1906">
        <v>500059578</v>
      </c>
      <c r="AQ1906" t="s">
        <v>91</v>
      </c>
      <c r="AR1906" t="s">
        <v>6637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BC1906" t="s">
        <v>69</v>
      </c>
      <c r="BD1906" t="s">
        <v>6154</v>
      </c>
      <c r="BE1906">
        <v>0</v>
      </c>
      <c r="BG1906" t="s">
        <v>91</v>
      </c>
      <c r="BJ1906" t="s">
        <v>6148</v>
      </c>
    </row>
    <row r="1907" spans="1:62" x14ac:dyDescent="0.35">
      <c r="A1907" t="s">
        <v>5925</v>
      </c>
      <c r="B1907">
        <v>10000</v>
      </c>
      <c r="C1907">
        <v>20000</v>
      </c>
      <c r="D1907" s="2">
        <v>45748</v>
      </c>
      <c r="E1907" t="s">
        <v>61</v>
      </c>
      <c r="F1907" t="s">
        <v>5846</v>
      </c>
      <c r="G1907" t="s">
        <v>5717</v>
      </c>
      <c r="I1907">
        <v>2</v>
      </c>
      <c r="J1907" t="s">
        <v>63</v>
      </c>
      <c r="K1907" s="8">
        <v>71</v>
      </c>
      <c r="L1907" s="8" t="s">
        <v>6588</v>
      </c>
      <c r="M1907" s="8" t="s">
        <v>6630</v>
      </c>
      <c r="N1907" t="s">
        <v>135</v>
      </c>
      <c r="O1907" t="s">
        <v>6573</v>
      </c>
      <c r="P1907" s="4">
        <v>4167</v>
      </c>
      <c r="S1907" s="2">
        <v>45745</v>
      </c>
      <c r="U1907">
        <v>6</v>
      </c>
      <c r="V1907" s="4">
        <v>25002</v>
      </c>
      <c r="W1907" t="s">
        <v>65</v>
      </c>
      <c r="X1907">
        <v>83615250001</v>
      </c>
      <c r="Y1907">
        <v>0</v>
      </c>
      <c r="Z1907" s="4">
        <v>25000</v>
      </c>
      <c r="AA1907">
        <v>2</v>
      </c>
      <c r="AB1907">
        <v>0</v>
      </c>
      <c r="AC1907">
        <v>0</v>
      </c>
      <c r="AD1907">
        <v>0</v>
      </c>
      <c r="AG1907">
        <v>0</v>
      </c>
      <c r="AP1907">
        <v>8361525</v>
      </c>
      <c r="AQ1907" t="s">
        <v>91</v>
      </c>
      <c r="AR1907" t="s">
        <v>6637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BC1907" t="s">
        <v>69</v>
      </c>
      <c r="BD1907" t="s">
        <v>5926</v>
      </c>
      <c r="BE1907">
        <v>0</v>
      </c>
      <c r="BG1907" t="s">
        <v>91</v>
      </c>
      <c r="BJ1907" t="s">
        <v>5922</v>
      </c>
    </row>
    <row r="1908" spans="1:62" x14ac:dyDescent="0.35">
      <c r="A1908" t="s">
        <v>5927</v>
      </c>
      <c r="B1908">
        <v>10000</v>
      </c>
      <c r="C1908">
        <v>20000</v>
      </c>
      <c r="D1908" s="2">
        <v>45748</v>
      </c>
      <c r="E1908" t="s">
        <v>61</v>
      </c>
      <c r="F1908" t="s">
        <v>5852</v>
      </c>
      <c r="G1908" t="s">
        <v>5717</v>
      </c>
      <c r="I1908">
        <v>2</v>
      </c>
      <c r="J1908" t="s">
        <v>63</v>
      </c>
      <c r="K1908" s="8">
        <v>71</v>
      </c>
      <c r="L1908" s="8" t="s">
        <v>6588</v>
      </c>
      <c r="M1908" s="8" t="s">
        <v>6630</v>
      </c>
      <c r="N1908" t="s">
        <v>135</v>
      </c>
      <c r="O1908" t="s">
        <v>6573</v>
      </c>
      <c r="P1908" s="4">
        <v>4167</v>
      </c>
      <c r="S1908" s="2">
        <v>45745</v>
      </c>
      <c r="U1908">
        <v>6</v>
      </c>
      <c r="V1908" s="4">
        <v>25002</v>
      </c>
      <c r="W1908" t="s">
        <v>65</v>
      </c>
      <c r="X1908">
        <v>5000444460001</v>
      </c>
      <c r="Y1908">
        <v>0</v>
      </c>
      <c r="Z1908" s="4">
        <v>25000</v>
      </c>
      <c r="AA1908">
        <v>2</v>
      </c>
      <c r="AB1908">
        <v>0</v>
      </c>
      <c r="AC1908">
        <v>0</v>
      </c>
      <c r="AD1908">
        <v>0</v>
      </c>
      <c r="AG1908">
        <v>0</v>
      </c>
      <c r="AP1908">
        <v>500044446</v>
      </c>
      <c r="AQ1908" t="s">
        <v>91</v>
      </c>
      <c r="AR1908" t="s">
        <v>6637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BC1908" t="s">
        <v>69</v>
      </c>
      <c r="BD1908" t="s">
        <v>5928</v>
      </c>
      <c r="BE1908">
        <v>0</v>
      </c>
      <c r="BG1908" t="s">
        <v>91</v>
      </c>
      <c r="BJ1908" t="s">
        <v>5922</v>
      </c>
    </row>
    <row r="1909" spans="1:62" x14ac:dyDescent="0.35">
      <c r="A1909" t="s">
        <v>6155</v>
      </c>
      <c r="B1909">
        <v>10000</v>
      </c>
      <c r="C1909">
        <v>10000</v>
      </c>
      <c r="D1909" s="2">
        <v>45748</v>
      </c>
      <c r="E1909" t="s">
        <v>61</v>
      </c>
      <c r="F1909" t="s">
        <v>6156</v>
      </c>
      <c r="G1909" t="s">
        <v>6065</v>
      </c>
      <c r="I1909">
        <v>1</v>
      </c>
      <c r="J1909" t="s">
        <v>63</v>
      </c>
      <c r="K1909" s="8">
        <v>72</v>
      </c>
      <c r="L1909" s="8" t="s">
        <v>6606</v>
      </c>
      <c r="M1909" s="8" t="s">
        <v>6631</v>
      </c>
      <c r="N1909" t="s">
        <v>528</v>
      </c>
      <c r="O1909" t="s">
        <v>6542</v>
      </c>
      <c r="P1909" s="4">
        <v>4125</v>
      </c>
      <c r="S1909" s="2">
        <v>45745</v>
      </c>
      <c r="U1909">
        <v>4</v>
      </c>
      <c r="V1909" s="4">
        <v>16500</v>
      </c>
      <c r="W1909" t="s">
        <v>65</v>
      </c>
      <c r="X1909">
        <v>5000562920001</v>
      </c>
      <c r="Y1909">
        <v>0</v>
      </c>
      <c r="Z1909" s="4">
        <v>15000</v>
      </c>
      <c r="AA1909" s="4">
        <v>1500</v>
      </c>
      <c r="AB1909">
        <v>0</v>
      </c>
      <c r="AC1909">
        <v>0</v>
      </c>
      <c r="AD1909">
        <v>0</v>
      </c>
      <c r="AG1909">
        <v>0</v>
      </c>
      <c r="AP1909">
        <v>500056292</v>
      </c>
      <c r="AQ1909" t="s">
        <v>91</v>
      </c>
      <c r="AR1909" t="s">
        <v>6637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BC1909" t="s">
        <v>69</v>
      </c>
      <c r="BD1909" t="s">
        <v>6157</v>
      </c>
      <c r="BE1909">
        <v>0</v>
      </c>
      <c r="BG1909" t="s">
        <v>91</v>
      </c>
      <c r="BJ1909" t="s">
        <v>5922</v>
      </c>
    </row>
    <row r="1910" spans="1:62" x14ac:dyDescent="0.35">
      <c r="A1910" t="s">
        <v>6158</v>
      </c>
      <c r="B1910">
        <v>10000</v>
      </c>
      <c r="C1910">
        <v>10000</v>
      </c>
      <c r="D1910" s="2">
        <v>45748</v>
      </c>
      <c r="E1910" t="s">
        <v>61</v>
      </c>
      <c r="F1910" t="s">
        <v>6159</v>
      </c>
      <c r="G1910" t="s">
        <v>6065</v>
      </c>
      <c r="I1910">
        <v>1</v>
      </c>
      <c r="J1910" t="s">
        <v>63</v>
      </c>
      <c r="K1910" s="8">
        <v>72</v>
      </c>
      <c r="L1910" s="8" t="s">
        <v>6606</v>
      </c>
      <c r="M1910" s="8" t="s">
        <v>6631</v>
      </c>
      <c r="N1910" t="s">
        <v>528</v>
      </c>
      <c r="O1910" t="s">
        <v>6542</v>
      </c>
      <c r="P1910" s="4">
        <v>4500</v>
      </c>
      <c r="S1910" s="2">
        <v>45745</v>
      </c>
      <c r="U1910">
        <v>4</v>
      </c>
      <c r="V1910" s="4">
        <v>18000</v>
      </c>
      <c r="W1910" t="s">
        <v>65</v>
      </c>
      <c r="X1910">
        <v>5000769160001</v>
      </c>
      <c r="Y1910">
        <v>0</v>
      </c>
      <c r="Z1910" s="4">
        <v>15000</v>
      </c>
      <c r="AA1910" s="4">
        <v>3000</v>
      </c>
      <c r="AB1910">
        <v>0</v>
      </c>
      <c r="AC1910">
        <v>0</v>
      </c>
      <c r="AD1910">
        <v>0</v>
      </c>
      <c r="AG1910">
        <v>0</v>
      </c>
      <c r="AP1910">
        <v>500076916</v>
      </c>
      <c r="AQ1910" t="s">
        <v>91</v>
      </c>
      <c r="AR1910" t="s">
        <v>6637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BC1910" t="s">
        <v>69</v>
      </c>
      <c r="BD1910" t="s">
        <v>6160</v>
      </c>
      <c r="BE1910">
        <v>0</v>
      </c>
      <c r="BG1910" t="s">
        <v>91</v>
      </c>
      <c r="BJ1910" t="s">
        <v>5922</v>
      </c>
    </row>
    <row r="1911" spans="1:62" x14ac:dyDescent="0.35">
      <c r="A1911" t="s">
        <v>5929</v>
      </c>
      <c r="B1911">
        <v>10000</v>
      </c>
      <c r="C1911">
        <v>20000</v>
      </c>
      <c r="D1911" s="2">
        <v>45748</v>
      </c>
      <c r="E1911" t="s">
        <v>61</v>
      </c>
      <c r="F1911" t="s">
        <v>5846</v>
      </c>
      <c r="G1911" t="s">
        <v>5717</v>
      </c>
      <c r="I1911">
        <v>2</v>
      </c>
      <c r="J1911" t="s">
        <v>63</v>
      </c>
      <c r="K1911" s="8">
        <v>71</v>
      </c>
      <c r="L1911" s="8" t="s">
        <v>6588</v>
      </c>
      <c r="M1911" s="8" t="s">
        <v>6630</v>
      </c>
      <c r="N1911" t="s">
        <v>135</v>
      </c>
      <c r="O1911" t="s">
        <v>6573</v>
      </c>
      <c r="P1911" s="4">
        <v>4167</v>
      </c>
      <c r="S1911" s="2">
        <v>45745</v>
      </c>
      <c r="U1911">
        <v>6</v>
      </c>
      <c r="V1911" s="4">
        <v>25002</v>
      </c>
      <c r="W1911" t="s">
        <v>65</v>
      </c>
      <c r="X1911">
        <v>83615250001</v>
      </c>
      <c r="Y1911">
        <v>0</v>
      </c>
      <c r="Z1911" s="4">
        <v>25000</v>
      </c>
      <c r="AA1911">
        <v>2</v>
      </c>
      <c r="AB1911">
        <v>0</v>
      </c>
      <c r="AC1911">
        <v>0</v>
      </c>
      <c r="AD1911">
        <v>0</v>
      </c>
      <c r="AG1911">
        <v>0</v>
      </c>
      <c r="AP1911">
        <v>8361525</v>
      </c>
      <c r="AQ1911" t="s">
        <v>91</v>
      </c>
      <c r="AR1911" t="s">
        <v>6637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BC1911" t="s">
        <v>69</v>
      </c>
      <c r="BD1911" t="s">
        <v>5930</v>
      </c>
      <c r="BE1911">
        <v>0</v>
      </c>
      <c r="BG1911" t="s">
        <v>91</v>
      </c>
      <c r="BJ1911" t="s">
        <v>5931</v>
      </c>
    </row>
    <row r="1912" spans="1:62" x14ac:dyDescent="0.35">
      <c r="A1912" t="s">
        <v>5932</v>
      </c>
      <c r="B1912">
        <v>10000</v>
      </c>
      <c r="C1912">
        <v>20000</v>
      </c>
      <c r="D1912" s="2">
        <v>45748</v>
      </c>
      <c r="E1912" t="s">
        <v>61</v>
      </c>
      <c r="F1912" t="s">
        <v>5852</v>
      </c>
      <c r="G1912" t="s">
        <v>5717</v>
      </c>
      <c r="I1912">
        <v>2</v>
      </c>
      <c r="J1912" t="s">
        <v>63</v>
      </c>
      <c r="K1912" s="8">
        <v>71</v>
      </c>
      <c r="L1912" s="8" t="s">
        <v>6588</v>
      </c>
      <c r="M1912" s="8" t="s">
        <v>6630</v>
      </c>
      <c r="N1912" t="s">
        <v>135</v>
      </c>
      <c r="O1912" t="s">
        <v>6573</v>
      </c>
      <c r="P1912" s="4">
        <v>5000</v>
      </c>
      <c r="S1912" s="2">
        <v>45745</v>
      </c>
      <c r="U1912">
        <v>6</v>
      </c>
      <c r="V1912" s="4">
        <v>30000</v>
      </c>
      <c r="W1912" t="s">
        <v>65</v>
      </c>
      <c r="X1912">
        <v>5000444460001</v>
      </c>
      <c r="Y1912">
        <v>0</v>
      </c>
      <c r="Z1912" s="4">
        <v>30000</v>
      </c>
      <c r="AA1912">
        <v>0</v>
      </c>
      <c r="AB1912">
        <v>0</v>
      </c>
      <c r="AC1912">
        <v>0</v>
      </c>
      <c r="AD1912">
        <v>0</v>
      </c>
      <c r="AG1912">
        <v>0</v>
      </c>
      <c r="AP1912">
        <v>500044446</v>
      </c>
      <c r="AQ1912" t="s">
        <v>91</v>
      </c>
      <c r="AR1912" t="s">
        <v>6637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BC1912" t="s">
        <v>69</v>
      </c>
      <c r="BD1912" t="s">
        <v>5933</v>
      </c>
      <c r="BE1912">
        <v>0</v>
      </c>
      <c r="BG1912" t="s">
        <v>91</v>
      </c>
      <c r="BJ1912" t="s">
        <v>5931</v>
      </c>
    </row>
    <row r="1913" spans="1:62" x14ac:dyDescent="0.35">
      <c r="A1913" t="s">
        <v>6161</v>
      </c>
      <c r="B1913">
        <v>10000</v>
      </c>
      <c r="C1913">
        <v>10000</v>
      </c>
      <c r="D1913" s="2">
        <v>45749</v>
      </c>
      <c r="E1913" t="s">
        <v>61</v>
      </c>
      <c r="F1913" t="s">
        <v>6146</v>
      </c>
      <c r="G1913" t="s">
        <v>6065</v>
      </c>
      <c r="I1913">
        <v>1</v>
      </c>
      <c r="J1913" t="s">
        <v>63</v>
      </c>
      <c r="K1913" s="8">
        <v>72</v>
      </c>
      <c r="L1913" s="8" t="s">
        <v>6606</v>
      </c>
      <c r="M1913" s="8" t="s">
        <v>6631</v>
      </c>
      <c r="N1913" t="s">
        <v>528</v>
      </c>
      <c r="O1913" t="s">
        <v>6542</v>
      </c>
      <c r="P1913">
        <v>750</v>
      </c>
      <c r="S1913" s="2">
        <v>45745</v>
      </c>
      <c r="U1913">
        <v>4</v>
      </c>
      <c r="V1913" s="4">
        <v>3000</v>
      </c>
      <c r="W1913" t="s">
        <v>65</v>
      </c>
      <c r="X1913">
        <v>5000444000001</v>
      </c>
      <c r="Y1913">
        <v>0</v>
      </c>
      <c r="Z1913" s="4">
        <v>1000</v>
      </c>
      <c r="AA1913" s="4">
        <v>2000</v>
      </c>
      <c r="AB1913">
        <v>0</v>
      </c>
      <c r="AC1913">
        <v>0</v>
      </c>
      <c r="AD1913">
        <v>0</v>
      </c>
      <c r="AG1913">
        <v>0</v>
      </c>
      <c r="AP1913">
        <v>500044400</v>
      </c>
      <c r="AQ1913" t="s">
        <v>91</v>
      </c>
      <c r="AR1913" t="s">
        <v>6637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BC1913" t="s">
        <v>69</v>
      </c>
      <c r="BD1913" t="s">
        <v>6162</v>
      </c>
      <c r="BE1913">
        <v>0</v>
      </c>
      <c r="BG1913" t="s">
        <v>91</v>
      </c>
      <c r="BJ1913" t="s">
        <v>6048</v>
      </c>
    </row>
    <row r="1914" spans="1:62" x14ac:dyDescent="0.35">
      <c r="A1914" t="s">
        <v>6163</v>
      </c>
      <c r="B1914">
        <v>10000</v>
      </c>
      <c r="C1914">
        <v>10000</v>
      </c>
      <c r="D1914" s="2">
        <v>45749</v>
      </c>
      <c r="E1914" t="s">
        <v>61</v>
      </c>
      <c r="F1914" t="s">
        <v>6164</v>
      </c>
      <c r="G1914" t="s">
        <v>6065</v>
      </c>
      <c r="I1914">
        <v>1</v>
      </c>
      <c r="J1914" t="s">
        <v>63</v>
      </c>
      <c r="K1914" s="8">
        <v>72</v>
      </c>
      <c r="L1914" s="8" t="s">
        <v>6606</v>
      </c>
      <c r="M1914" s="8" t="s">
        <v>6631</v>
      </c>
      <c r="N1914" t="s">
        <v>528</v>
      </c>
      <c r="O1914" t="s">
        <v>6542</v>
      </c>
      <c r="P1914" s="4">
        <v>1750</v>
      </c>
      <c r="S1914" s="2">
        <v>45745</v>
      </c>
      <c r="U1914">
        <v>4</v>
      </c>
      <c r="V1914" s="4">
        <v>7000</v>
      </c>
      <c r="W1914" t="s">
        <v>65</v>
      </c>
      <c r="X1914">
        <v>5000444260001</v>
      </c>
      <c r="Y1914">
        <v>0</v>
      </c>
      <c r="Z1914" s="4">
        <v>5000</v>
      </c>
      <c r="AA1914" s="4">
        <v>2000</v>
      </c>
      <c r="AB1914">
        <v>0</v>
      </c>
      <c r="AC1914">
        <v>0</v>
      </c>
      <c r="AD1914">
        <v>0</v>
      </c>
      <c r="AG1914">
        <v>0</v>
      </c>
      <c r="AP1914">
        <v>500044426</v>
      </c>
      <c r="AQ1914" t="s">
        <v>91</v>
      </c>
      <c r="AR1914" t="s">
        <v>6637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BC1914" t="s">
        <v>69</v>
      </c>
      <c r="BD1914" t="s">
        <v>6165</v>
      </c>
      <c r="BE1914">
        <v>0</v>
      </c>
      <c r="BG1914" t="s">
        <v>91</v>
      </c>
      <c r="BJ1914" t="s">
        <v>6048</v>
      </c>
    </row>
    <row r="1915" spans="1:62" x14ac:dyDescent="0.35">
      <c r="A1915" t="s">
        <v>6166</v>
      </c>
      <c r="B1915">
        <v>10000</v>
      </c>
      <c r="C1915">
        <v>10000</v>
      </c>
      <c r="D1915" s="2">
        <v>45748</v>
      </c>
      <c r="E1915" t="s">
        <v>61</v>
      </c>
      <c r="F1915" t="s">
        <v>6167</v>
      </c>
      <c r="G1915" t="s">
        <v>6065</v>
      </c>
      <c r="I1915">
        <v>1</v>
      </c>
      <c r="J1915" t="s">
        <v>63</v>
      </c>
      <c r="K1915" s="8">
        <v>72</v>
      </c>
      <c r="L1915" s="8" t="s">
        <v>6606</v>
      </c>
      <c r="M1915" s="8" t="s">
        <v>6631</v>
      </c>
      <c r="N1915" t="s">
        <v>528</v>
      </c>
      <c r="O1915" t="s">
        <v>6542</v>
      </c>
      <c r="P1915" s="4">
        <v>2000</v>
      </c>
      <c r="S1915" s="2">
        <v>45745</v>
      </c>
      <c r="U1915">
        <v>4</v>
      </c>
      <c r="V1915" s="4">
        <v>8000</v>
      </c>
      <c r="W1915" t="s">
        <v>65</v>
      </c>
      <c r="X1915">
        <v>5000580730001</v>
      </c>
      <c r="Y1915">
        <v>0</v>
      </c>
      <c r="Z1915" s="4">
        <v>6000</v>
      </c>
      <c r="AA1915" s="4">
        <v>2000</v>
      </c>
      <c r="AB1915">
        <v>0</v>
      </c>
      <c r="AC1915">
        <v>0</v>
      </c>
      <c r="AD1915">
        <v>0</v>
      </c>
      <c r="AG1915">
        <v>0</v>
      </c>
      <c r="AP1915">
        <v>500058073</v>
      </c>
      <c r="AQ1915" t="s">
        <v>91</v>
      </c>
      <c r="AR1915" t="s">
        <v>6637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BC1915" t="s">
        <v>69</v>
      </c>
      <c r="BD1915" t="s">
        <v>6168</v>
      </c>
      <c r="BE1915">
        <v>0</v>
      </c>
      <c r="BG1915" t="s">
        <v>91</v>
      </c>
      <c r="BJ1915" t="s">
        <v>6169</v>
      </c>
    </row>
    <row r="1916" spans="1:62" x14ac:dyDescent="0.35">
      <c r="A1916" t="s">
        <v>6170</v>
      </c>
      <c r="B1916">
        <v>10000</v>
      </c>
      <c r="C1916">
        <v>10000</v>
      </c>
      <c r="D1916" s="2">
        <v>45748</v>
      </c>
      <c r="E1916" t="s">
        <v>61</v>
      </c>
      <c r="F1916" t="s">
        <v>6171</v>
      </c>
      <c r="G1916" t="s">
        <v>6065</v>
      </c>
      <c r="I1916">
        <v>1</v>
      </c>
      <c r="J1916" t="s">
        <v>63</v>
      </c>
      <c r="K1916" s="8">
        <v>72</v>
      </c>
      <c r="L1916" s="8" t="s">
        <v>6606</v>
      </c>
      <c r="M1916" s="8" t="s">
        <v>6631</v>
      </c>
      <c r="N1916" t="s">
        <v>528</v>
      </c>
      <c r="O1916" t="s">
        <v>6542</v>
      </c>
      <c r="P1916" s="4">
        <v>3750</v>
      </c>
      <c r="S1916" s="2">
        <v>45745</v>
      </c>
      <c r="U1916">
        <v>4</v>
      </c>
      <c r="V1916" s="4">
        <v>15000</v>
      </c>
      <c r="W1916" t="s">
        <v>65</v>
      </c>
      <c r="X1916">
        <v>5000582200001</v>
      </c>
      <c r="Y1916">
        <v>0</v>
      </c>
      <c r="Z1916" s="4">
        <v>12000</v>
      </c>
      <c r="AA1916" s="4">
        <v>3000</v>
      </c>
      <c r="AB1916">
        <v>0</v>
      </c>
      <c r="AC1916">
        <v>0</v>
      </c>
      <c r="AD1916">
        <v>0</v>
      </c>
      <c r="AG1916">
        <v>0</v>
      </c>
      <c r="AP1916">
        <v>500058220</v>
      </c>
      <c r="AQ1916" t="s">
        <v>91</v>
      </c>
      <c r="AR1916" t="s">
        <v>6637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BC1916" t="s">
        <v>69</v>
      </c>
      <c r="BD1916" t="s">
        <v>6172</v>
      </c>
      <c r="BE1916">
        <v>0</v>
      </c>
      <c r="BG1916" t="s">
        <v>91</v>
      </c>
      <c r="BJ1916" t="s">
        <v>6169</v>
      </c>
    </row>
    <row r="1917" spans="1:62" x14ac:dyDescent="0.35">
      <c r="A1917" t="s">
        <v>6173</v>
      </c>
      <c r="B1917">
        <v>10000</v>
      </c>
      <c r="C1917">
        <v>10000</v>
      </c>
      <c r="D1917" s="2">
        <v>45748</v>
      </c>
      <c r="E1917" t="s">
        <v>61</v>
      </c>
      <c r="F1917" t="s">
        <v>6174</v>
      </c>
      <c r="G1917" t="s">
        <v>6065</v>
      </c>
      <c r="I1917">
        <v>1</v>
      </c>
      <c r="J1917" t="s">
        <v>63</v>
      </c>
      <c r="K1917" s="8">
        <v>72</v>
      </c>
      <c r="L1917" s="8" t="s">
        <v>6606</v>
      </c>
      <c r="M1917" s="8" t="s">
        <v>6631</v>
      </c>
      <c r="N1917" t="s">
        <v>528</v>
      </c>
      <c r="O1917" t="s">
        <v>6542</v>
      </c>
      <c r="P1917" s="4">
        <v>1750</v>
      </c>
      <c r="S1917" s="2">
        <v>45745</v>
      </c>
      <c r="U1917">
        <v>4</v>
      </c>
      <c r="V1917" s="4">
        <v>7000</v>
      </c>
      <c r="W1917" t="s">
        <v>65</v>
      </c>
      <c r="X1917">
        <v>5000582250001</v>
      </c>
      <c r="Y1917">
        <v>0</v>
      </c>
      <c r="Z1917" s="4">
        <v>5000</v>
      </c>
      <c r="AA1917" s="4">
        <v>2000</v>
      </c>
      <c r="AB1917">
        <v>0</v>
      </c>
      <c r="AC1917">
        <v>0</v>
      </c>
      <c r="AD1917">
        <v>0</v>
      </c>
      <c r="AG1917">
        <v>0</v>
      </c>
      <c r="AP1917">
        <v>500058225</v>
      </c>
      <c r="AQ1917" t="s">
        <v>91</v>
      </c>
      <c r="AR1917" t="s">
        <v>6637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BC1917" t="s">
        <v>69</v>
      </c>
      <c r="BD1917" t="s">
        <v>6175</v>
      </c>
      <c r="BE1917">
        <v>0</v>
      </c>
      <c r="BG1917" t="s">
        <v>91</v>
      </c>
      <c r="BJ1917" t="s">
        <v>6169</v>
      </c>
    </row>
    <row r="1918" spans="1:62" x14ac:dyDescent="0.35">
      <c r="K1918"/>
      <c r="L1918"/>
      <c r="M1918"/>
    </row>
    <row r="1919" spans="1:62" x14ac:dyDescent="0.35">
      <c r="L1919"/>
    </row>
    <row r="1920" spans="1:62" x14ac:dyDescent="0.35">
      <c r="R1920">
        <f>SUBTOTAL(9,R2:R1919)</f>
        <v>6759.2406388888994</v>
      </c>
      <c r="V1920">
        <f>SUBTOTAL(9,V2:V1918)</f>
        <v>198346550</v>
      </c>
    </row>
    <row r="1921" spans="16:23" x14ac:dyDescent="0.35">
      <c r="V1921">
        <f>V1920/5000</f>
        <v>39669.31</v>
      </c>
      <c r="W1921">
        <f>V1921/3</f>
        <v>13223.103333333333</v>
      </c>
    </row>
    <row r="1923" spans="16:23" x14ac:dyDescent="0.35">
      <c r="P1923" t="s">
        <v>6617</v>
      </c>
      <c r="Q1923" t="s">
        <v>6618</v>
      </c>
      <c r="R1923" t="s">
        <v>6619</v>
      </c>
      <c r="S1923" t="s">
        <v>6620</v>
      </c>
      <c r="T1923" t="s">
        <v>6621</v>
      </c>
      <c r="U1923" t="s">
        <v>6622</v>
      </c>
      <c r="V1923" t="s">
        <v>6623</v>
      </c>
    </row>
    <row r="1924" spans="16:23" x14ac:dyDescent="0.35">
      <c r="P1924" t="s">
        <v>6597</v>
      </c>
      <c r="Q1924">
        <v>5</v>
      </c>
      <c r="R1924">
        <v>9</v>
      </c>
      <c r="S1924">
        <f t="shared" ref="S1924:S1929" si="476">Q1924*R1924</f>
        <v>45</v>
      </c>
      <c r="T1924">
        <f>S1924*20</f>
        <v>900</v>
      </c>
      <c r="U1924">
        <v>3086.6280555555531</v>
      </c>
      <c r="V1924" s="10">
        <f t="shared" ref="V1924:V1929" si="477">U1924/T1924</f>
        <v>3.429586728395059</v>
      </c>
    </row>
    <row r="1925" spans="16:23" x14ac:dyDescent="0.35">
      <c r="P1925" t="s">
        <v>6624</v>
      </c>
      <c r="Q1925">
        <v>7</v>
      </c>
      <c r="R1925">
        <v>9</v>
      </c>
      <c r="S1925">
        <f t="shared" si="476"/>
        <v>63</v>
      </c>
      <c r="T1925">
        <f t="shared" ref="T1925:T1929" si="478">S1925*20</f>
        <v>1260</v>
      </c>
      <c r="U1925">
        <v>1228.4046666666675</v>
      </c>
      <c r="V1925" s="10">
        <f t="shared" si="477"/>
        <v>0.97492433862433925</v>
      </c>
    </row>
    <row r="1926" spans="16:23" x14ac:dyDescent="0.35">
      <c r="P1926" t="s">
        <v>6589</v>
      </c>
      <c r="Q1926">
        <v>1</v>
      </c>
      <c r="R1926">
        <v>18</v>
      </c>
      <c r="S1926">
        <f t="shared" si="476"/>
        <v>18</v>
      </c>
      <c r="T1926">
        <f t="shared" si="478"/>
        <v>360</v>
      </c>
      <c r="U1926">
        <v>219.33600000000001</v>
      </c>
      <c r="V1926" s="11">
        <f t="shared" si="477"/>
        <v>0.60926666666666673</v>
      </c>
    </row>
    <row r="1927" spans="16:23" x14ac:dyDescent="0.35">
      <c r="P1927" t="s">
        <v>6589</v>
      </c>
      <c r="Q1927">
        <v>4</v>
      </c>
      <c r="R1927">
        <v>9</v>
      </c>
      <c r="S1927">
        <f t="shared" si="476"/>
        <v>36</v>
      </c>
      <c r="T1927">
        <f t="shared" si="478"/>
        <v>720</v>
      </c>
      <c r="U1927">
        <v>539.84083333333331</v>
      </c>
      <c r="V1927" s="10">
        <f t="shared" si="477"/>
        <v>0.74977893518518512</v>
      </c>
    </row>
    <row r="1928" spans="16:23" x14ac:dyDescent="0.35">
      <c r="P1928" t="s">
        <v>6625</v>
      </c>
      <c r="Q1928">
        <v>2</v>
      </c>
      <c r="R1928">
        <v>18</v>
      </c>
      <c r="S1928">
        <f t="shared" si="476"/>
        <v>36</v>
      </c>
      <c r="T1928">
        <f t="shared" si="478"/>
        <v>720</v>
      </c>
      <c r="U1928">
        <v>253.01416666666665</v>
      </c>
      <c r="V1928" s="10">
        <f t="shared" si="477"/>
        <v>0.35140856481481481</v>
      </c>
    </row>
    <row r="1929" spans="16:23" x14ac:dyDescent="0.35">
      <c r="P1929" t="s">
        <v>6626</v>
      </c>
      <c r="Q1929">
        <v>10</v>
      </c>
      <c r="R1929">
        <v>9</v>
      </c>
      <c r="S1929">
        <f t="shared" si="476"/>
        <v>90</v>
      </c>
      <c r="T1929">
        <f t="shared" si="478"/>
        <v>1800</v>
      </c>
      <c r="U1929">
        <v>1301.1404166666653</v>
      </c>
      <c r="V1929" s="10">
        <f t="shared" si="477"/>
        <v>0.72285578703703623</v>
      </c>
    </row>
  </sheetData>
  <autoFilter ref="A1:BJ1918" xr:uid="{329DFA3A-4C03-4A7F-A0A7-B9C00E21CB53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E892-D726-449B-8F59-B758E99DD203}">
  <dimension ref="A1:E317"/>
  <sheetViews>
    <sheetView topLeftCell="A133" workbookViewId="0">
      <selection activeCell="G146" sqref="G146"/>
    </sheetView>
  </sheetViews>
  <sheetFormatPr defaultRowHeight="14.5" x14ac:dyDescent="0.35"/>
  <sheetData>
    <row r="1" spans="1:5" x14ac:dyDescent="0.35">
      <c r="A1" t="s">
        <v>6176</v>
      </c>
      <c r="B1" t="s">
        <v>6177</v>
      </c>
      <c r="C1" t="s">
        <v>6178</v>
      </c>
      <c r="D1" t="s">
        <v>6179</v>
      </c>
      <c r="E1" t="s">
        <v>6539</v>
      </c>
    </row>
    <row r="2" spans="1:5" x14ac:dyDescent="0.35">
      <c r="A2" t="s">
        <v>6180</v>
      </c>
    </row>
    <row r="3" spans="1:5" x14ac:dyDescent="0.35">
      <c r="A3" t="s">
        <v>6180</v>
      </c>
      <c r="B3" t="s">
        <v>6181</v>
      </c>
    </row>
    <row r="4" spans="1:5" x14ac:dyDescent="0.35">
      <c r="A4" t="s">
        <v>6180</v>
      </c>
      <c r="B4" t="s">
        <v>6182</v>
      </c>
    </row>
    <row r="5" spans="1:5" x14ac:dyDescent="0.35">
      <c r="A5" t="s">
        <v>6180</v>
      </c>
      <c r="B5" t="s">
        <v>6183</v>
      </c>
    </row>
    <row r="6" spans="1:5" x14ac:dyDescent="0.35">
      <c r="A6" t="s">
        <v>6180</v>
      </c>
      <c r="B6" t="s">
        <v>6184</v>
      </c>
    </row>
    <row r="7" spans="1:5" x14ac:dyDescent="0.35">
      <c r="A7" t="s">
        <v>6180</v>
      </c>
      <c r="B7" t="s">
        <v>6185</v>
      </c>
    </row>
    <row r="8" spans="1:5" x14ac:dyDescent="0.35">
      <c r="A8" t="s">
        <v>6180</v>
      </c>
      <c r="B8" t="s">
        <v>6186</v>
      </c>
    </row>
    <row r="9" spans="1:5" x14ac:dyDescent="0.35">
      <c r="A9" t="s">
        <v>6180</v>
      </c>
      <c r="B9" t="s">
        <v>2315</v>
      </c>
      <c r="E9" t="s">
        <v>6540</v>
      </c>
    </row>
    <row r="10" spans="1:5" x14ac:dyDescent="0.35">
      <c r="A10" t="s">
        <v>6180</v>
      </c>
      <c r="B10" t="s">
        <v>6187</v>
      </c>
    </row>
    <row r="11" spans="1:5" x14ac:dyDescent="0.35">
      <c r="A11" t="s">
        <v>6180</v>
      </c>
      <c r="B11" t="s">
        <v>6188</v>
      </c>
    </row>
    <row r="12" spans="1:5" x14ac:dyDescent="0.35">
      <c r="A12" t="s">
        <v>6180</v>
      </c>
      <c r="B12" t="s">
        <v>6189</v>
      </c>
      <c r="C12" t="s">
        <v>6190</v>
      </c>
    </row>
    <row r="13" spans="1:5" x14ac:dyDescent="0.35">
      <c r="A13" t="s">
        <v>6180</v>
      </c>
      <c r="B13" t="s">
        <v>6191</v>
      </c>
    </row>
    <row r="14" spans="1:5" x14ac:dyDescent="0.35">
      <c r="A14" t="s">
        <v>6180</v>
      </c>
      <c r="B14" t="s">
        <v>6192</v>
      </c>
    </row>
    <row r="15" spans="1:5" x14ac:dyDescent="0.35">
      <c r="A15" t="s">
        <v>6180</v>
      </c>
      <c r="B15" t="s">
        <v>6193</v>
      </c>
    </row>
    <row r="16" spans="1:5" x14ac:dyDescent="0.35">
      <c r="A16" t="s">
        <v>6180</v>
      </c>
      <c r="B16" t="s">
        <v>6194</v>
      </c>
    </row>
    <row r="17" spans="1:2" x14ac:dyDescent="0.35">
      <c r="A17" t="s">
        <v>6180</v>
      </c>
      <c r="B17" t="s">
        <v>6195</v>
      </c>
    </row>
    <row r="18" spans="1:2" x14ac:dyDescent="0.35">
      <c r="A18" t="s">
        <v>6180</v>
      </c>
      <c r="B18" t="s">
        <v>6196</v>
      </c>
    </row>
    <row r="19" spans="1:2" x14ac:dyDescent="0.35">
      <c r="A19" t="s">
        <v>6180</v>
      </c>
      <c r="B19" t="s">
        <v>6197</v>
      </c>
    </row>
    <row r="20" spans="1:2" x14ac:dyDescent="0.35">
      <c r="A20" t="s">
        <v>6180</v>
      </c>
      <c r="B20" t="s">
        <v>6198</v>
      </c>
    </row>
    <row r="21" spans="1:2" x14ac:dyDescent="0.35">
      <c r="A21" t="s">
        <v>6180</v>
      </c>
      <c r="B21" t="s">
        <v>6199</v>
      </c>
    </row>
    <row r="22" spans="1:2" x14ac:dyDescent="0.35">
      <c r="A22" t="s">
        <v>6180</v>
      </c>
      <c r="B22" t="s">
        <v>6200</v>
      </c>
    </row>
    <row r="23" spans="1:2" x14ac:dyDescent="0.35">
      <c r="A23" t="s">
        <v>6180</v>
      </c>
      <c r="B23" t="s">
        <v>6201</v>
      </c>
    </row>
    <row r="24" spans="1:2" x14ac:dyDescent="0.35">
      <c r="A24" t="s">
        <v>6180</v>
      </c>
      <c r="B24" t="s">
        <v>6202</v>
      </c>
    </row>
    <row r="25" spans="1:2" x14ac:dyDescent="0.35">
      <c r="A25" t="s">
        <v>6180</v>
      </c>
      <c r="B25" t="s">
        <v>6203</v>
      </c>
    </row>
    <row r="26" spans="1:2" x14ac:dyDescent="0.35">
      <c r="A26" t="s">
        <v>6180</v>
      </c>
      <c r="B26" t="s">
        <v>6204</v>
      </c>
    </row>
    <row r="27" spans="1:2" x14ac:dyDescent="0.35">
      <c r="A27" t="s">
        <v>6180</v>
      </c>
      <c r="B27" t="s">
        <v>6205</v>
      </c>
    </row>
    <row r="28" spans="1:2" x14ac:dyDescent="0.35">
      <c r="A28" t="s">
        <v>6180</v>
      </c>
      <c r="B28" t="s">
        <v>6206</v>
      </c>
    </row>
    <row r="29" spans="1:2" x14ac:dyDescent="0.35">
      <c r="A29" t="s">
        <v>6180</v>
      </c>
      <c r="B29" t="s">
        <v>6207</v>
      </c>
    </row>
    <row r="30" spans="1:2" x14ac:dyDescent="0.35">
      <c r="A30" t="s">
        <v>6180</v>
      </c>
      <c r="B30" t="s">
        <v>6208</v>
      </c>
    </row>
    <row r="31" spans="1:2" x14ac:dyDescent="0.35">
      <c r="A31" t="s">
        <v>6180</v>
      </c>
      <c r="B31" t="s">
        <v>6209</v>
      </c>
    </row>
    <row r="32" spans="1:2" x14ac:dyDescent="0.35">
      <c r="A32" t="s">
        <v>6180</v>
      </c>
      <c r="B32" t="s">
        <v>6210</v>
      </c>
    </row>
    <row r="33" spans="1:2" x14ac:dyDescent="0.35">
      <c r="A33" t="s">
        <v>6180</v>
      </c>
      <c r="B33" t="s">
        <v>6211</v>
      </c>
    </row>
    <row r="34" spans="1:2" x14ac:dyDescent="0.35">
      <c r="A34" t="s">
        <v>6180</v>
      </c>
      <c r="B34" t="s">
        <v>6212</v>
      </c>
    </row>
    <row r="35" spans="1:2" x14ac:dyDescent="0.35">
      <c r="A35" t="s">
        <v>6180</v>
      </c>
      <c r="B35" t="s">
        <v>6213</v>
      </c>
    </row>
    <row r="36" spans="1:2" x14ac:dyDescent="0.35">
      <c r="A36" t="s">
        <v>6180</v>
      </c>
      <c r="B36" t="s">
        <v>6214</v>
      </c>
    </row>
    <row r="37" spans="1:2" x14ac:dyDescent="0.35">
      <c r="A37" t="s">
        <v>6180</v>
      </c>
      <c r="B37" t="s">
        <v>6215</v>
      </c>
    </row>
    <row r="38" spans="1:2" x14ac:dyDescent="0.35">
      <c r="A38" t="s">
        <v>6180</v>
      </c>
      <c r="B38" t="s">
        <v>6216</v>
      </c>
    </row>
    <row r="39" spans="1:2" x14ac:dyDescent="0.35">
      <c r="A39" t="s">
        <v>6180</v>
      </c>
      <c r="B39" t="s">
        <v>6217</v>
      </c>
    </row>
    <row r="40" spans="1:2" x14ac:dyDescent="0.35">
      <c r="A40" t="s">
        <v>6180</v>
      </c>
      <c r="B40" t="s">
        <v>6218</v>
      </c>
    </row>
    <row r="41" spans="1:2" x14ac:dyDescent="0.35">
      <c r="A41" t="s">
        <v>6180</v>
      </c>
      <c r="B41" t="s">
        <v>6219</v>
      </c>
    </row>
    <row r="42" spans="1:2" x14ac:dyDescent="0.35">
      <c r="A42" t="s">
        <v>6180</v>
      </c>
      <c r="B42" t="s">
        <v>6220</v>
      </c>
    </row>
    <row r="43" spans="1:2" x14ac:dyDescent="0.35">
      <c r="A43" t="s">
        <v>6180</v>
      </c>
      <c r="B43" t="s">
        <v>6221</v>
      </c>
    </row>
    <row r="44" spans="1:2" x14ac:dyDescent="0.35">
      <c r="A44" t="s">
        <v>6180</v>
      </c>
      <c r="B44" t="s">
        <v>6222</v>
      </c>
    </row>
    <row r="45" spans="1:2" x14ac:dyDescent="0.35">
      <c r="A45" t="s">
        <v>6180</v>
      </c>
      <c r="B45" t="s">
        <v>6223</v>
      </c>
    </row>
    <row r="46" spans="1:2" x14ac:dyDescent="0.35">
      <c r="A46" t="s">
        <v>6180</v>
      </c>
      <c r="B46" t="s">
        <v>6224</v>
      </c>
    </row>
    <row r="47" spans="1:2" x14ac:dyDescent="0.35">
      <c r="A47" t="s">
        <v>6180</v>
      </c>
      <c r="B47" t="s">
        <v>6225</v>
      </c>
    </row>
    <row r="48" spans="1:2" x14ac:dyDescent="0.35">
      <c r="A48" t="s">
        <v>6180</v>
      </c>
      <c r="B48" t="s">
        <v>6226</v>
      </c>
    </row>
    <row r="49" spans="1:3" x14ac:dyDescent="0.35">
      <c r="A49" t="s">
        <v>6180</v>
      </c>
      <c r="B49" t="s">
        <v>6227</v>
      </c>
    </row>
    <row r="50" spans="1:3" x14ac:dyDescent="0.35">
      <c r="A50" t="s">
        <v>6180</v>
      </c>
      <c r="B50" t="s">
        <v>6228</v>
      </c>
    </row>
    <row r="51" spans="1:3" x14ac:dyDescent="0.35">
      <c r="A51" t="s">
        <v>6180</v>
      </c>
      <c r="B51" t="s">
        <v>6229</v>
      </c>
    </row>
    <row r="52" spans="1:3" x14ac:dyDescent="0.35">
      <c r="A52" t="s">
        <v>6180</v>
      </c>
      <c r="B52" t="s">
        <v>6230</v>
      </c>
    </row>
    <row r="53" spans="1:3" x14ac:dyDescent="0.35">
      <c r="A53" t="s">
        <v>6180</v>
      </c>
      <c r="B53" t="s">
        <v>6231</v>
      </c>
    </row>
    <row r="54" spans="1:3" x14ac:dyDescent="0.35">
      <c r="A54" t="s">
        <v>6180</v>
      </c>
      <c r="B54" t="s">
        <v>6232</v>
      </c>
    </row>
    <row r="55" spans="1:3" x14ac:dyDescent="0.35">
      <c r="A55" t="s">
        <v>6180</v>
      </c>
      <c r="B55" t="s">
        <v>6233</v>
      </c>
    </row>
    <row r="56" spans="1:3" x14ac:dyDescent="0.35">
      <c r="A56" t="s">
        <v>6180</v>
      </c>
      <c r="B56" t="s">
        <v>6234</v>
      </c>
    </row>
    <row r="57" spans="1:3" x14ac:dyDescent="0.35">
      <c r="A57" t="s">
        <v>6180</v>
      </c>
      <c r="B57" t="s">
        <v>6235</v>
      </c>
    </row>
    <row r="58" spans="1:3" x14ac:dyDescent="0.35">
      <c r="A58" t="s">
        <v>6180</v>
      </c>
      <c r="B58" t="s">
        <v>6236</v>
      </c>
    </row>
    <row r="59" spans="1:3" x14ac:dyDescent="0.35">
      <c r="A59" t="s">
        <v>6180</v>
      </c>
      <c r="B59" t="s">
        <v>6237</v>
      </c>
    </row>
    <row r="60" spans="1:3" x14ac:dyDescent="0.35">
      <c r="A60" t="s">
        <v>6180</v>
      </c>
      <c r="B60" t="s">
        <v>6238</v>
      </c>
      <c r="C60" t="s">
        <v>6239</v>
      </c>
    </row>
    <row r="61" spans="1:3" x14ac:dyDescent="0.35">
      <c r="A61" t="s">
        <v>6180</v>
      </c>
      <c r="B61" t="s">
        <v>6240</v>
      </c>
      <c r="C61" t="s">
        <v>6241</v>
      </c>
    </row>
    <row r="62" spans="1:3" x14ac:dyDescent="0.35">
      <c r="A62" t="s">
        <v>6180</v>
      </c>
      <c r="B62" t="s">
        <v>6242</v>
      </c>
    </row>
    <row r="63" spans="1:3" x14ac:dyDescent="0.35">
      <c r="A63" t="s">
        <v>6180</v>
      </c>
      <c r="B63" t="s">
        <v>6243</v>
      </c>
    </row>
    <row r="64" spans="1:3" x14ac:dyDescent="0.35">
      <c r="A64" t="s">
        <v>6180</v>
      </c>
      <c r="B64" t="s">
        <v>6244</v>
      </c>
      <c r="C64" t="s">
        <v>6245</v>
      </c>
    </row>
    <row r="65" spans="1:3" x14ac:dyDescent="0.35">
      <c r="A65" t="s">
        <v>6180</v>
      </c>
      <c r="B65" t="s">
        <v>6246</v>
      </c>
    </row>
    <row r="66" spans="1:3" x14ac:dyDescent="0.35">
      <c r="A66" t="s">
        <v>6180</v>
      </c>
      <c r="B66" t="s">
        <v>6247</v>
      </c>
      <c r="C66" t="s">
        <v>6248</v>
      </c>
    </row>
    <row r="67" spans="1:3" x14ac:dyDescent="0.35">
      <c r="A67" t="s">
        <v>6180</v>
      </c>
      <c r="B67" t="s">
        <v>6249</v>
      </c>
    </row>
    <row r="68" spans="1:3" x14ac:dyDescent="0.35">
      <c r="A68" t="s">
        <v>6180</v>
      </c>
      <c r="B68" t="s">
        <v>6250</v>
      </c>
      <c r="C68" t="s">
        <v>6251</v>
      </c>
    </row>
    <row r="69" spans="1:3" x14ac:dyDescent="0.35">
      <c r="A69" t="s">
        <v>6180</v>
      </c>
      <c r="B69" t="s">
        <v>6252</v>
      </c>
    </row>
    <row r="70" spans="1:3" x14ac:dyDescent="0.35">
      <c r="A70" t="s">
        <v>6180</v>
      </c>
      <c r="B70" t="s">
        <v>6253</v>
      </c>
      <c r="C70" t="s">
        <v>6254</v>
      </c>
    </row>
    <row r="71" spans="1:3" x14ac:dyDescent="0.35">
      <c r="A71" t="s">
        <v>6180</v>
      </c>
      <c r="B71" t="s">
        <v>6255</v>
      </c>
    </row>
    <row r="72" spans="1:3" x14ac:dyDescent="0.35">
      <c r="A72" t="s">
        <v>6180</v>
      </c>
      <c r="B72" t="s">
        <v>6256</v>
      </c>
    </row>
    <row r="73" spans="1:3" x14ac:dyDescent="0.35">
      <c r="A73" t="s">
        <v>6180</v>
      </c>
      <c r="B73" t="s">
        <v>6257</v>
      </c>
      <c r="C73" t="s">
        <v>6258</v>
      </c>
    </row>
    <row r="74" spans="1:3" x14ac:dyDescent="0.35">
      <c r="A74" t="s">
        <v>6180</v>
      </c>
      <c r="B74" t="s">
        <v>6259</v>
      </c>
      <c r="C74" t="s">
        <v>6260</v>
      </c>
    </row>
    <row r="75" spans="1:3" x14ac:dyDescent="0.35">
      <c r="A75" t="s">
        <v>6180</v>
      </c>
      <c r="B75" t="s">
        <v>6261</v>
      </c>
      <c r="C75" t="s">
        <v>6262</v>
      </c>
    </row>
    <row r="76" spans="1:3" x14ac:dyDescent="0.35">
      <c r="A76" t="s">
        <v>6180</v>
      </c>
      <c r="B76" t="s">
        <v>6263</v>
      </c>
    </row>
    <row r="77" spans="1:3" x14ac:dyDescent="0.35">
      <c r="A77" t="s">
        <v>6180</v>
      </c>
      <c r="B77" t="s">
        <v>6264</v>
      </c>
    </row>
    <row r="78" spans="1:3" x14ac:dyDescent="0.35">
      <c r="A78" t="s">
        <v>6180</v>
      </c>
      <c r="B78" t="s">
        <v>6265</v>
      </c>
      <c r="C78" t="s">
        <v>6266</v>
      </c>
    </row>
    <row r="79" spans="1:3" x14ac:dyDescent="0.35">
      <c r="A79" t="s">
        <v>6180</v>
      </c>
      <c r="B79" t="s">
        <v>6267</v>
      </c>
    </row>
    <row r="80" spans="1:3" x14ac:dyDescent="0.35">
      <c r="A80" t="s">
        <v>6180</v>
      </c>
      <c r="B80" t="s">
        <v>6268</v>
      </c>
      <c r="C80" t="s">
        <v>6269</v>
      </c>
    </row>
    <row r="81" spans="1:3" x14ac:dyDescent="0.35">
      <c r="A81" t="s">
        <v>6180</v>
      </c>
      <c r="B81" t="s">
        <v>6270</v>
      </c>
      <c r="C81" t="s">
        <v>6271</v>
      </c>
    </row>
    <row r="82" spans="1:3" x14ac:dyDescent="0.35">
      <c r="A82" t="s">
        <v>6180</v>
      </c>
      <c r="B82" t="s">
        <v>6272</v>
      </c>
      <c r="C82" t="s">
        <v>6273</v>
      </c>
    </row>
    <row r="83" spans="1:3" x14ac:dyDescent="0.35">
      <c r="A83" t="s">
        <v>6180</v>
      </c>
      <c r="B83" t="s">
        <v>6274</v>
      </c>
      <c r="C83" t="s">
        <v>6275</v>
      </c>
    </row>
    <row r="84" spans="1:3" x14ac:dyDescent="0.35">
      <c r="A84" t="s">
        <v>6180</v>
      </c>
      <c r="B84" t="s">
        <v>6276</v>
      </c>
      <c r="C84" t="s">
        <v>6277</v>
      </c>
    </row>
    <row r="85" spans="1:3" x14ac:dyDescent="0.35">
      <c r="A85" t="s">
        <v>6180</v>
      </c>
      <c r="B85" t="s">
        <v>6278</v>
      </c>
      <c r="C85" t="s">
        <v>6279</v>
      </c>
    </row>
    <row r="86" spans="1:3" x14ac:dyDescent="0.35">
      <c r="A86" t="s">
        <v>6180</v>
      </c>
      <c r="B86" t="s">
        <v>6280</v>
      </c>
      <c r="C86" t="s">
        <v>6281</v>
      </c>
    </row>
    <row r="87" spans="1:3" x14ac:dyDescent="0.35">
      <c r="A87" t="s">
        <v>6180</v>
      </c>
      <c r="B87" t="s">
        <v>6282</v>
      </c>
      <c r="C87" t="s">
        <v>6283</v>
      </c>
    </row>
    <row r="88" spans="1:3" x14ac:dyDescent="0.35">
      <c r="A88" t="s">
        <v>6180</v>
      </c>
      <c r="B88" t="s">
        <v>6284</v>
      </c>
      <c r="C88" t="s">
        <v>6285</v>
      </c>
    </row>
    <row r="89" spans="1:3" x14ac:dyDescent="0.35">
      <c r="A89" t="s">
        <v>6180</v>
      </c>
      <c r="B89" t="s">
        <v>6286</v>
      </c>
    </row>
    <row r="90" spans="1:3" x14ac:dyDescent="0.35">
      <c r="A90" t="s">
        <v>6180</v>
      </c>
      <c r="B90" t="s">
        <v>6287</v>
      </c>
      <c r="C90" t="s">
        <v>6288</v>
      </c>
    </row>
    <row r="91" spans="1:3" x14ac:dyDescent="0.35">
      <c r="A91" t="s">
        <v>6180</v>
      </c>
      <c r="B91" t="s">
        <v>6289</v>
      </c>
      <c r="C91" t="s">
        <v>6290</v>
      </c>
    </row>
    <row r="92" spans="1:3" x14ac:dyDescent="0.35">
      <c r="A92" t="s">
        <v>6180</v>
      </c>
      <c r="B92" t="s">
        <v>6291</v>
      </c>
      <c r="C92" t="s">
        <v>6292</v>
      </c>
    </row>
    <row r="93" spans="1:3" x14ac:dyDescent="0.35">
      <c r="A93" t="s">
        <v>6180</v>
      </c>
      <c r="B93" t="s">
        <v>6293</v>
      </c>
      <c r="C93" t="s">
        <v>6294</v>
      </c>
    </row>
    <row r="94" spans="1:3" x14ac:dyDescent="0.35">
      <c r="A94" t="s">
        <v>6180</v>
      </c>
      <c r="B94" t="s">
        <v>6295</v>
      </c>
      <c r="C94" t="s">
        <v>6296</v>
      </c>
    </row>
    <row r="95" spans="1:3" x14ac:dyDescent="0.35">
      <c r="A95" t="s">
        <v>6180</v>
      </c>
      <c r="B95" t="s">
        <v>6297</v>
      </c>
      <c r="C95" t="s">
        <v>6298</v>
      </c>
    </row>
    <row r="96" spans="1:3" x14ac:dyDescent="0.35">
      <c r="A96" t="s">
        <v>6180</v>
      </c>
      <c r="B96" t="s">
        <v>6299</v>
      </c>
      <c r="C96" t="s">
        <v>6300</v>
      </c>
    </row>
    <row r="97" spans="1:3" x14ac:dyDescent="0.35">
      <c r="A97" t="s">
        <v>6180</v>
      </c>
      <c r="B97" t="s">
        <v>6301</v>
      </c>
      <c r="C97" t="s">
        <v>6302</v>
      </c>
    </row>
    <row r="98" spans="1:3" x14ac:dyDescent="0.35">
      <c r="A98" t="s">
        <v>6180</v>
      </c>
      <c r="B98" t="s">
        <v>6303</v>
      </c>
      <c r="C98" t="s">
        <v>6304</v>
      </c>
    </row>
    <row r="99" spans="1:3" x14ac:dyDescent="0.35">
      <c r="A99" t="s">
        <v>6180</v>
      </c>
      <c r="B99" t="s">
        <v>6305</v>
      </c>
      <c r="C99" t="s">
        <v>6306</v>
      </c>
    </row>
    <row r="100" spans="1:3" x14ac:dyDescent="0.35">
      <c r="A100" t="s">
        <v>6180</v>
      </c>
      <c r="B100" t="s">
        <v>6307</v>
      </c>
    </row>
    <row r="101" spans="1:3" x14ac:dyDescent="0.35">
      <c r="A101" t="s">
        <v>6180</v>
      </c>
      <c r="B101" t="s">
        <v>6308</v>
      </c>
    </row>
    <row r="102" spans="1:3" x14ac:dyDescent="0.35">
      <c r="A102" t="s">
        <v>6180</v>
      </c>
      <c r="B102" t="s">
        <v>6309</v>
      </c>
    </row>
    <row r="103" spans="1:3" x14ac:dyDescent="0.35">
      <c r="A103" t="s">
        <v>6180</v>
      </c>
      <c r="B103" t="s">
        <v>6310</v>
      </c>
    </row>
    <row r="104" spans="1:3" x14ac:dyDescent="0.35">
      <c r="A104" t="s">
        <v>6180</v>
      </c>
      <c r="B104" t="s">
        <v>6311</v>
      </c>
    </row>
    <row r="105" spans="1:3" x14ac:dyDescent="0.35">
      <c r="A105" t="s">
        <v>6180</v>
      </c>
      <c r="B105" t="s">
        <v>6312</v>
      </c>
    </row>
    <row r="106" spans="1:3" x14ac:dyDescent="0.35">
      <c r="A106" t="s">
        <v>6180</v>
      </c>
      <c r="B106" t="s">
        <v>6313</v>
      </c>
    </row>
    <row r="107" spans="1:3" x14ac:dyDescent="0.35">
      <c r="A107" t="s">
        <v>6180</v>
      </c>
      <c r="B107" t="s">
        <v>6314</v>
      </c>
    </row>
    <row r="108" spans="1:3" x14ac:dyDescent="0.35">
      <c r="A108" t="s">
        <v>6180</v>
      </c>
      <c r="B108" t="s">
        <v>6315</v>
      </c>
    </row>
    <row r="109" spans="1:3" x14ac:dyDescent="0.35">
      <c r="A109" t="s">
        <v>6180</v>
      </c>
      <c r="B109" t="s">
        <v>6316</v>
      </c>
    </row>
    <row r="110" spans="1:3" x14ac:dyDescent="0.35">
      <c r="A110" t="s">
        <v>6180</v>
      </c>
      <c r="B110" t="s">
        <v>6317</v>
      </c>
    </row>
    <row r="111" spans="1:3" x14ac:dyDescent="0.35">
      <c r="A111" t="s">
        <v>6180</v>
      </c>
      <c r="B111" t="s">
        <v>6318</v>
      </c>
    </row>
    <row r="112" spans="1:3" x14ac:dyDescent="0.35">
      <c r="A112" t="s">
        <v>6180</v>
      </c>
      <c r="B112" t="s">
        <v>6319</v>
      </c>
    </row>
    <row r="113" spans="1:5" x14ac:dyDescent="0.35">
      <c r="A113" t="s">
        <v>6180</v>
      </c>
      <c r="B113" t="s">
        <v>6320</v>
      </c>
    </row>
    <row r="114" spans="1:5" x14ac:dyDescent="0.35">
      <c r="A114" t="s">
        <v>6180</v>
      </c>
      <c r="B114" t="s">
        <v>6321</v>
      </c>
    </row>
    <row r="115" spans="1:5" x14ac:dyDescent="0.35">
      <c r="A115" t="s">
        <v>6180</v>
      </c>
      <c r="B115" t="s">
        <v>6322</v>
      </c>
    </row>
    <row r="116" spans="1:5" x14ac:dyDescent="0.35">
      <c r="A116" t="s">
        <v>6180</v>
      </c>
      <c r="B116" t="s">
        <v>6323</v>
      </c>
    </row>
    <row r="117" spans="1:5" x14ac:dyDescent="0.35">
      <c r="A117" t="s">
        <v>6180</v>
      </c>
      <c r="B117" t="s">
        <v>385</v>
      </c>
      <c r="E117" t="s">
        <v>6541</v>
      </c>
    </row>
    <row r="118" spans="1:5" x14ac:dyDescent="0.35">
      <c r="A118" t="s">
        <v>6180</v>
      </c>
      <c r="B118" t="s">
        <v>6324</v>
      </c>
    </row>
    <row r="119" spans="1:5" x14ac:dyDescent="0.35">
      <c r="A119" t="s">
        <v>6180</v>
      </c>
      <c r="B119" t="s">
        <v>6325</v>
      </c>
    </row>
    <row r="120" spans="1:5" x14ac:dyDescent="0.35">
      <c r="A120" t="s">
        <v>6180</v>
      </c>
      <c r="B120" t="s">
        <v>6326</v>
      </c>
    </row>
    <row r="121" spans="1:5" x14ac:dyDescent="0.35">
      <c r="A121" t="s">
        <v>6180</v>
      </c>
      <c r="B121" t="s">
        <v>528</v>
      </c>
      <c r="C121" t="s">
        <v>6327</v>
      </c>
      <c r="E121" t="s">
        <v>6542</v>
      </c>
    </row>
    <row r="122" spans="1:5" x14ac:dyDescent="0.35">
      <c r="A122" t="s">
        <v>6180</v>
      </c>
      <c r="B122" t="s">
        <v>6328</v>
      </c>
    </row>
    <row r="123" spans="1:5" x14ac:dyDescent="0.35">
      <c r="A123" t="s">
        <v>6180</v>
      </c>
      <c r="B123" t="s">
        <v>268</v>
      </c>
      <c r="C123" t="s">
        <v>6329</v>
      </c>
      <c r="E123" t="s">
        <v>6543</v>
      </c>
    </row>
    <row r="124" spans="1:5" x14ac:dyDescent="0.35">
      <c r="A124" t="s">
        <v>6180</v>
      </c>
      <c r="B124" t="s">
        <v>6330</v>
      </c>
    </row>
    <row r="125" spans="1:5" x14ac:dyDescent="0.35">
      <c r="A125" t="s">
        <v>6180</v>
      </c>
      <c r="B125" t="s">
        <v>6331</v>
      </c>
    </row>
    <row r="126" spans="1:5" x14ac:dyDescent="0.35">
      <c r="A126" t="s">
        <v>6180</v>
      </c>
      <c r="B126" t="s">
        <v>6332</v>
      </c>
    </row>
    <row r="127" spans="1:5" x14ac:dyDescent="0.35">
      <c r="A127" t="s">
        <v>6180</v>
      </c>
      <c r="B127" t="s">
        <v>6333</v>
      </c>
      <c r="C127" t="s">
        <v>6334</v>
      </c>
    </row>
    <row r="128" spans="1:5" x14ac:dyDescent="0.35">
      <c r="A128" t="s">
        <v>6180</v>
      </c>
      <c r="B128" t="s">
        <v>6335</v>
      </c>
    </row>
    <row r="129" spans="1:5" x14ac:dyDescent="0.35">
      <c r="A129" t="s">
        <v>6180</v>
      </c>
      <c r="B129" t="s">
        <v>6336</v>
      </c>
    </row>
    <row r="130" spans="1:5" x14ac:dyDescent="0.35">
      <c r="A130" t="s">
        <v>6180</v>
      </c>
      <c r="B130" t="s">
        <v>6337</v>
      </c>
    </row>
    <row r="131" spans="1:5" x14ac:dyDescent="0.35">
      <c r="A131" t="s">
        <v>6180</v>
      </c>
      <c r="B131" t="s">
        <v>6338</v>
      </c>
    </row>
    <row r="132" spans="1:5" x14ac:dyDescent="0.35">
      <c r="A132" t="s">
        <v>6180</v>
      </c>
      <c r="B132" t="s">
        <v>6339</v>
      </c>
    </row>
    <row r="133" spans="1:5" x14ac:dyDescent="0.35">
      <c r="A133" t="s">
        <v>6180</v>
      </c>
      <c r="B133" t="s">
        <v>6340</v>
      </c>
    </row>
    <row r="134" spans="1:5" x14ac:dyDescent="0.35">
      <c r="A134" t="s">
        <v>6180</v>
      </c>
      <c r="B134" t="s">
        <v>6341</v>
      </c>
      <c r="C134" t="s">
        <v>6342</v>
      </c>
    </row>
    <row r="135" spans="1:5" x14ac:dyDescent="0.35">
      <c r="A135" t="s">
        <v>6180</v>
      </c>
      <c r="B135" t="s">
        <v>181</v>
      </c>
      <c r="C135" t="s">
        <v>6343</v>
      </c>
      <c r="E135" t="s">
        <v>6544</v>
      </c>
    </row>
    <row r="136" spans="1:5" x14ac:dyDescent="0.35">
      <c r="A136" t="s">
        <v>6180</v>
      </c>
      <c r="B136" t="s">
        <v>6344</v>
      </c>
    </row>
    <row r="137" spans="1:5" x14ac:dyDescent="0.35">
      <c r="A137" t="s">
        <v>6180</v>
      </c>
      <c r="B137" t="s">
        <v>6345</v>
      </c>
    </row>
    <row r="138" spans="1:5" x14ac:dyDescent="0.35">
      <c r="A138" t="s">
        <v>6180</v>
      </c>
      <c r="B138" t="s">
        <v>341</v>
      </c>
      <c r="C138" t="s">
        <v>6346</v>
      </c>
      <c r="E138" t="s">
        <v>6346</v>
      </c>
    </row>
    <row r="139" spans="1:5" x14ac:dyDescent="0.35">
      <c r="A139" t="s">
        <v>6180</v>
      </c>
      <c r="B139" t="s">
        <v>658</v>
      </c>
      <c r="C139" t="s">
        <v>6347</v>
      </c>
      <c r="E139" t="s">
        <v>6545</v>
      </c>
    </row>
    <row r="140" spans="1:5" x14ac:dyDescent="0.35">
      <c r="A140" t="s">
        <v>6180</v>
      </c>
      <c r="B140" t="s">
        <v>6348</v>
      </c>
    </row>
    <row r="141" spans="1:5" x14ac:dyDescent="0.35">
      <c r="A141" t="s">
        <v>6180</v>
      </c>
      <c r="B141" t="s">
        <v>172</v>
      </c>
      <c r="E141" t="s">
        <v>6546</v>
      </c>
    </row>
    <row r="142" spans="1:5" x14ac:dyDescent="0.35">
      <c r="A142" t="s">
        <v>6180</v>
      </c>
      <c r="B142" t="s">
        <v>6349</v>
      </c>
    </row>
    <row r="143" spans="1:5" x14ac:dyDescent="0.35">
      <c r="A143" t="s">
        <v>6180</v>
      </c>
      <c r="B143" t="s">
        <v>573</v>
      </c>
      <c r="E143" t="s">
        <v>6547</v>
      </c>
    </row>
    <row r="144" spans="1:5" x14ac:dyDescent="0.35">
      <c r="A144" t="s">
        <v>6180</v>
      </c>
      <c r="B144" t="s">
        <v>163</v>
      </c>
      <c r="E144" t="s">
        <v>6548</v>
      </c>
    </row>
    <row r="145" spans="1:5" x14ac:dyDescent="0.35">
      <c r="A145" t="s">
        <v>6180</v>
      </c>
      <c r="B145" t="s">
        <v>98</v>
      </c>
      <c r="E145" t="s">
        <v>6549</v>
      </c>
    </row>
    <row r="146" spans="1:5" x14ac:dyDescent="0.35">
      <c r="A146" t="s">
        <v>6180</v>
      </c>
      <c r="B146" t="s">
        <v>6350</v>
      </c>
      <c r="C146" t="s">
        <v>6351</v>
      </c>
    </row>
    <row r="147" spans="1:5" x14ac:dyDescent="0.35">
      <c r="A147" t="s">
        <v>6180</v>
      </c>
      <c r="B147" t="s">
        <v>6352</v>
      </c>
      <c r="C147" t="s">
        <v>6353</v>
      </c>
    </row>
    <row r="148" spans="1:5" x14ac:dyDescent="0.35">
      <c r="A148" t="s">
        <v>6180</v>
      </c>
      <c r="B148" t="s">
        <v>296</v>
      </c>
      <c r="E148" t="s">
        <v>6550</v>
      </c>
    </row>
    <row r="149" spans="1:5" x14ac:dyDescent="0.35">
      <c r="A149" t="s">
        <v>6180</v>
      </c>
      <c r="B149" t="s">
        <v>6354</v>
      </c>
    </row>
    <row r="150" spans="1:5" x14ac:dyDescent="0.35">
      <c r="A150" t="s">
        <v>6180</v>
      </c>
      <c r="B150" t="s">
        <v>1986</v>
      </c>
      <c r="E150" t="s">
        <v>6551</v>
      </c>
    </row>
    <row r="151" spans="1:5" x14ac:dyDescent="0.35">
      <c r="A151" t="s">
        <v>6180</v>
      </c>
      <c r="B151" t="s">
        <v>6355</v>
      </c>
    </row>
    <row r="152" spans="1:5" x14ac:dyDescent="0.35">
      <c r="A152" t="s">
        <v>6180</v>
      </c>
      <c r="B152" t="s">
        <v>6356</v>
      </c>
      <c r="C152" t="s">
        <v>6357</v>
      </c>
    </row>
    <row r="153" spans="1:5" x14ac:dyDescent="0.35">
      <c r="A153" t="s">
        <v>6180</v>
      </c>
      <c r="B153" t="s">
        <v>553</v>
      </c>
      <c r="E153" t="s">
        <v>6552</v>
      </c>
    </row>
    <row r="154" spans="1:5" x14ac:dyDescent="0.35">
      <c r="A154" t="s">
        <v>6180</v>
      </c>
      <c r="B154" t="s">
        <v>6358</v>
      </c>
      <c r="C154" t="s">
        <v>6359</v>
      </c>
    </row>
    <row r="155" spans="1:5" x14ac:dyDescent="0.35">
      <c r="A155" t="s">
        <v>6180</v>
      </c>
      <c r="B155" t="s">
        <v>6360</v>
      </c>
      <c r="C155" t="s">
        <v>6361</v>
      </c>
    </row>
    <row r="156" spans="1:5" x14ac:dyDescent="0.35">
      <c r="A156" t="s">
        <v>6180</v>
      </c>
      <c r="B156" t="s">
        <v>900</v>
      </c>
      <c r="E156" t="s">
        <v>6553</v>
      </c>
    </row>
    <row r="157" spans="1:5" x14ac:dyDescent="0.35">
      <c r="A157" t="s">
        <v>6180</v>
      </c>
      <c r="B157" t="s">
        <v>277</v>
      </c>
      <c r="E157" t="s">
        <v>6554</v>
      </c>
    </row>
    <row r="158" spans="1:5" x14ac:dyDescent="0.35">
      <c r="A158" t="s">
        <v>6180</v>
      </c>
      <c r="B158" t="s">
        <v>6362</v>
      </c>
    </row>
    <row r="159" spans="1:5" x14ac:dyDescent="0.35">
      <c r="A159" t="s">
        <v>6180</v>
      </c>
      <c r="B159" t="s">
        <v>6363</v>
      </c>
    </row>
    <row r="160" spans="1:5" x14ac:dyDescent="0.35">
      <c r="A160" t="s">
        <v>6180</v>
      </c>
      <c r="B160" t="s">
        <v>6364</v>
      </c>
    </row>
    <row r="161" spans="1:5" x14ac:dyDescent="0.35">
      <c r="A161" t="s">
        <v>6180</v>
      </c>
      <c r="B161" t="s">
        <v>6365</v>
      </c>
    </row>
    <row r="162" spans="1:5" x14ac:dyDescent="0.35">
      <c r="A162" t="s">
        <v>6180</v>
      </c>
      <c r="B162" t="s">
        <v>6366</v>
      </c>
    </row>
    <row r="163" spans="1:5" x14ac:dyDescent="0.35">
      <c r="A163" t="s">
        <v>6180</v>
      </c>
      <c r="B163" t="s">
        <v>405</v>
      </c>
      <c r="E163" t="s">
        <v>6555</v>
      </c>
    </row>
    <row r="164" spans="1:5" x14ac:dyDescent="0.35">
      <c r="A164" t="s">
        <v>6180</v>
      </c>
      <c r="B164" t="s">
        <v>6367</v>
      </c>
      <c r="C164" t="s">
        <v>6368</v>
      </c>
    </row>
    <row r="165" spans="1:5" x14ac:dyDescent="0.35">
      <c r="A165" t="s">
        <v>6180</v>
      </c>
      <c r="B165" t="s">
        <v>6369</v>
      </c>
    </row>
    <row r="166" spans="1:5" x14ac:dyDescent="0.35">
      <c r="A166" t="s">
        <v>6180</v>
      </c>
      <c r="B166" t="s">
        <v>6370</v>
      </c>
    </row>
    <row r="167" spans="1:5" x14ac:dyDescent="0.35">
      <c r="A167" t="s">
        <v>6180</v>
      </c>
      <c r="B167" t="s">
        <v>6371</v>
      </c>
      <c r="C167" t="s">
        <v>6372</v>
      </c>
    </row>
    <row r="168" spans="1:5" x14ac:dyDescent="0.35">
      <c r="A168" t="s">
        <v>6180</v>
      </c>
      <c r="B168" t="s">
        <v>597</v>
      </c>
      <c r="E168" t="s">
        <v>6556</v>
      </c>
    </row>
    <row r="169" spans="1:5" x14ac:dyDescent="0.35">
      <c r="A169" t="s">
        <v>6180</v>
      </c>
      <c r="B169" t="s">
        <v>318</v>
      </c>
      <c r="E169" t="s">
        <v>6557</v>
      </c>
    </row>
    <row r="170" spans="1:5" x14ac:dyDescent="0.35">
      <c r="A170" t="s">
        <v>6180</v>
      </c>
      <c r="B170" t="s">
        <v>380</v>
      </c>
      <c r="E170" t="s">
        <v>6558</v>
      </c>
    </row>
    <row r="171" spans="1:5" x14ac:dyDescent="0.35">
      <c r="A171" t="s">
        <v>6180</v>
      </c>
      <c r="B171" t="s">
        <v>6373</v>
      </c>
    </row>
    <row r="172" spans="1:5" x14ac:dyDescent="0.35">
      <c r="A172" t="s">
        <v>6180</v>
      </c>
      <c r="B172" t="s">
        <v>64</v>
      </c>
      <c r="E172" t="s">
        <v>6559</v>
      </c>
    </row>
    <row r="173" spans="1:5" x14ac:dyDescent="0.35">
      <c r="A173" t="s">
        <v>6180</v>
      </c>
      <c r="B173" t="s">
        <v>286</v>
      </c>
      <c r="E173" t="s">
        <v>6560</v>
      </c>
    </row>
    <row r="174" spans="1:5" x14ac:dyDescent="0.35">
      <c r="A174" t="s">
        <v>6180</v>
      </c>
      <c r="B174" t="s">
        <v>733</v>
      </c>
      <c r="E174" t="s">
        <v>6561</v>
      </c>
    </row>
    <row r="175" spans="1:5" x14ac:dyDescent="0.35">
      <c r="A175" t="s">
        <v>6180</v>
      </c>
      <c r="B175" t="s">
        <v>800</v>
      </c>
      <c r="C175" t="s">
        <v>6374</v>
      </c>
      <c r="E175" t="s">
        <v>6562</v>
      </c>
    </row>
    <row r="176" spans="1:5" x14ac:dyDescent="0.35">
      <c r="A176" t="s">
        <v>6180</v>
      </c>
      <c r="B176" t="s">
        <v>6375</v>
      </c>
    </row>
    <row r="177" spans="1:5" x14ac:dyDescent="0.35">
      <c r="A177" t="s">
        <v>6180</v>
      </c>
      <c r="B177" t="s">
        <v>6376</v>
      </c>
      <c r="C177" t="s">
        <v>6377</v>
      </c>
    </row>
    <row r="178" spans="1:5" x14ac:dyDescent="0.35">
      <c r="A178" t="s">
        <v>6180</v>
      </c>
      <c r="B178" t="s">
        <v>6378</v>
      </c>
      <c r="C178" t="s">
        <v>6379</v>
      </c>
    </row>
    <row r="179" spans="1:5" x14ac:dyDescent="0.35">
      <c r="A179" t="s">
        <v>6180</v>
      </c>
      <c r="B179" t="s">
        <v>6380</v>
      </c>
    </row>
    <row r="180" spans="1:5" x14ac:dyDescent="0.35">
      <c r="A180" t="s">
        <v>6180</v>
      </c>
      <c r="B180" t="s">
        <v>6381</v>
      </c>
    </row>
    <row r="181" spans="1:5" x14ac:dyDescent="0.35">
      <c r="A181" t="s">
        <v>6180</v>
      </c>
      <c r="B181" t="s">
        <v>6382</v>
      </c>
    </row>
    <row r="182" spans="1:5" x14ac:dyDescent="0.35">
      <c r="A182" t="s">
        <v>6180</v>
      </c>
      <c r="B182" t="s">
        <v>732</v>
      </c>
      <c r="E182" t="s">
        <v>6563</v>
      </c>
    </row>
    <row r="183" spans="1:5" x14ac:dyDescent="0.35">
      <c r="A183" t="s">
        <v>6180</v>
      </c>
      <c r="B183" t="s">
        <v>6383</v>
      </c>
    </row>
    <row r="184" spans="1:5" x14ac:dyDescent="0.35">
      <c r="A184" t="s">
        <v>6180</v>
      </c>
      <c r="B184" t="s">
        <v>6384</v>
      </c>
    </row>
    <row r="185" spans="1:5" x14ac:dyDescent="0.35">
      <c r="A185" t="s">
        <v>6180</v>
      </c>
      <c r="B185" t="s">
        <v>6385</v>
      </c>
    </row>
    <row r="186" spans="1:5" x14ac:dyDescent="0.35">
      <c r="A186" t="s">
        <v>6180</v>
      </c>
      <c r="B186" t="s">
        <v>90</v>
      </c>
      <c r="E186" t="s">
        <v>6564</v>
      </c>
    </row>
    <row r="187" spans="1:5" x14ac:dyDescent="0.35">
      <c r="A187" t="s">
        <v>6180</v>
      </c>
      <c r="B187" t="s">
        <v>6386</v>
      </c>
    </row>
    <row r="188" spans="1:5" x14ac:dyDescent="0.35">
      <c r="A188" t="s">
        <v>6180</v>
      </c>
      <c r="B188" t="s">
        <v>197</v>
      </c>
      <c r="E188" t="s">
        <v>6565</v>
      </c>
    </row>
    <row r="189" spans="1:5" x14ac:dyDescent="0.35">
      <c r="A189" t="s">
        <v>6180</v>
      </c>
      <c r="B189" t="s">
        <v>6387</v>
      </c>
    </row>
    <row r="190" spans="1:5" x14ac:dyDescent="0.35">
      <c r="A190" t="s">
        <v>6180</v>
      </c>
      <c r="B190" t="s">
        <v>4650</v>
      </c>
      <c r="E190" t="s">
        <v>6566</v>
      </c>
    </row>
    <row r="191" spans="1:5" x14ac:dyDescent="0.35">
      <c r="A191" t="s">
        <v>6180</v>
      </c>
      <c r="B191" t="s">
        <v>6388</v>
      </c>
      <c r="C191" t="s">
        <v>6389</v>
      </c>
    </row>
    <row r="192" spans="1:5" x14ac:dyDescent="0.35">
      <c r="A192" t="s">
        <v>6180</v>
      </c>
      <c r="B192" t="s">
        <v>6390</v>
      </c>
      <c r="C192" t="s">
        <v>6391</v>
      </c>
    </row>
    <row r="193" spans="1:5" x14ac:dyDescent="0.35">
      <c r="A193" t="s">
        <v>6180</v>
      </c>
      <c r="B193" t="s">
        <v>6392</v>
      </c>
      <c r="C193" t="s">
        <v>6393</v>
      </c>
    </row>
    <row r="194" spans="1:5" x14ac:dyDescent="0.35">
      <c r="A194" t="s">
        <v>6180</v>
      </c>
      <c r="B194" t="s">
        <v>216</v>
      </c>
      <c r="C194" t="s">
        <v>6394</v>
      </c>
      <c r="E194" t="s">
        <v>6394</v>
      </c>
    </row>
    <row r="195" spans="1:5" x14ac:dyDescent="0.35">
      <c r="A195" t="s">
        <v>6180</v>
      </c>
      <c r="B195" t="s">
        <v>6395</v>
      </c>
    </row>
    <row r="196" spans="1:5" x14ac:dyDescent="0.35">
      <c r="A196" t="s">
        <v>6180</v>
      </c>
      <c r="B196" t="s">
        <v>6396</v>
      </c>
    </row>
    <row r="197" spans="1:5" x14ac:dyDescent="0.35">
      <c r="A197" t="s">
        <v>6180</v>
      </c>
      <c r="B197" t="s">
        <v>6397</v>
      </c>
    </row>
    <row r="198" spans="1:5" x14ac:dyDescent="0.35">
      <c r="A198" t="s">
        <v>6180</v>
      </c>
      <c r="B198" t="s">
        <v>6398</v>
      </c>
    </row>
    <row r="199" spans="1:5" x14ac:dyDescent="0.35">
      <c r="A199" t="s">
        <v>6180</v>
      </c>
      <c r="B199" t="s">
        <v>6399</v>
      </c>
    </row>
    <row r="200" spans="1:5" x14ac:dyDescent="0.35">
      <c r="A200" t="s">
        <v>6180</v>
      </c>
      <c r="B200" t="s">
        <v>127</v>
      </c>
      <c r="E200" t="s">
        <v>6567</v>
      </c>
    </row>
    <row r="201" spans="1:5" x14ac:dyDescent="0.35">
      <c r="A201" t="s">
        <v>6180</v>
      </c>
      <c r="B201" t="s">
        <v>459</v>
      </c>
      <c r="E201" t="s">
        <v>6568</v>
      </c>
    </row>
    <row r="202" spans="1:5" x14ac:dyDescent="0.35">
      <c r="A202" t="s">
        <v>6180</v>
      </c>
      <c r="B202" t="s">
        <v>6400</v>
      </c>
    </row>
    <row r="203" spans="1:5" x14ac:dyDescent="0.35">
      <c r="A203" t="s">
        <v>6180</v>
      </c>
      <c r="B203" t="s">
        <v>6401</v>
      </c>
    </row>
    <row r="204" spans="1:5" x14ac:dyDescent="0.35">
      <c r="A204" t="s">
        <v>6180</v>
      </c>
      <c r="B204" t="s">
        <v>6402</v>
      </c>
    </row>
    <row r="205" spans="1:5" x14ac:dyDescent="0.35">
      <c r="A205" t="s">
        <v>6180</v>
      </c>
      <c r="B205" t="s">
        <v>6403</v>
      </c>
    </row>
    <row r="206" spans="1:5" x14ac:dyDescent="0.35">
      <c r="A206" t="s">
        <v>6180</v>
      </c>
      <c r="B206" t="s">
        <v>519</v>
      </c>
      <c r="E206" t="s">
        <v>6569</v>
      </c>
    </row>
    <row r="207" spans="1:5" x14ac:dyDescent="0.35">
      <c r="A207" t="s">
        <v>6180</v>
      </c>
      <c r="B207" t="s">
        <v>6404</v>
      </c>
      <c r="C207" t="s">
        <v>6405</v>
      </c>
    </row>
    <row r="208" spans="1:5" x14ac:dyDescent="0.35">
      <c r="A208" t="s">
        <v>6180</v>
      </c>
      <c r="B208" t="s">
        <v>6406</v>
      </c>
      <c r="C208" t="s">
        <v>6407</v>
      </c>
    </row>
    <row r="209" spans="1:5" x14ac:dyDescent="0.35">
      <c r="A209" t="s">
        <v>6180</v>
      </c>
      <c r="B209" t="s">
        <v>6408</v>
      </c>
      <c r="C209" t="s">
        <v>6409</v>
      </c>
    </row>
    <row r="210" spans="1:5" x14ac:dyDescent="0.35">
      <c r="A210" t="s">
        <v>6180</v>
      </c>
      <c r="B210" t="s">
        <v>188</v>
      </c>
      <c r="C210" t="s">
        <v>6410</v>
      </c>
      <c r="E210" t="s">
        <v>6410</v>
      </c>
    </row>
    <row r="211" spans="1:5" x14ac:dyDescent="0.35">
      <c r="A211" t="s">
        <v>6180</v>
      </c>
      <c r="B211" t="s">
        <v>6411</v>
      </c>
      <c r="C211" t="s">
        <v>6412</v>
      </c>
    </row>
    <row r="212" spans="1:5" x14ac:dyDescent="0.35">
      <c r="A212" t="s">
        <v>6180</v>
      </c>
      <c r="B212" t="s">
        <v>6413</v>
      </c>
    </row>
    <row r="213" spans="1:5" x14ac:dyDescent="0.35">
      <c r="A213" t="s">
        <v>6180</v>
      </c>
      <c r="B213" t="s">
        <v>424</v>
      </c>
      <c r="C213" t="s">
        <v>6414</v>
      </c>
      <c r="E213" t="s">
        <v>6570</v>
      </c>
    </row>
    <row r="214" spans="1:5" x14ac:dyDescent="0.35">
      <c r="A214" t="s">
        <v>6180</v>
      </c>
      <c r="B214" t="s">
        <v>6415</v>
      </c>
    </row>
    <row r="215" spans="1:5" x14ac:dyDescent="0.35">
      <c r="A215" t="s">
        <v>6180</v>
      </c>
      <c r="B215" t="s">
        <v>6416</v>
      </c>
      <c r="C215" t="s">
        <v>6417</v>
      </c>
    </row>
    <row r="216" spans="1:5" x14ac:dyDescent="0.35">
      <c r="A216" t="s">
        <v>6180</v>
      </c>
      <c r="B216" t="s">
        <v>6418</v>
      </c>
    </row>
    <row r="217" spans="1:5" x14ac:dyDescent="0.35">
      <c r="A217" t="s">
        <v>6180</v>
      </c>
      <c r="B217" t="s">
        <v>6419</v>
      </c>
    </row>
    <row r="218" spans="1:5" x14ac:dyDescent="0.35">
      <c r="A218" t="s">
        <v>6180</v>
      </c>
      <c r="B218" t="s">
        <v>6420</v>
      </c>
    </row>
    <row r="219" spans="1:5" x14ac:dyDescent="0.35">
      <c r="A219" t="s">
        <v>6180</v>
      </c>
      <c r="B219" t="s">
        <v>6421</v>
      </c>
    </row>
    <row r="220" spans="1:5" x14ac:dyDescent="0.35">
      <c r="A220" t="s">
        <v>6180</v>
      </c>
      <c r="B220" t="s">
        <v>6422</v>
      </c>
    </row>
    <row r="221" spans="1:5" x14ac:dyDescent="0.35">
      <c r="A221" t="s">
        <v>6180</v>
      </c>
      <c r="B221" t="s">
        <v>6423</v>
      </c>
    </row>
    <row r="222" spans="1:5" x14ac:dyDescent="0.35">
      <c r="A222" t="s">
        <v>6180</v>
      </c>
      <c r="B222" t="s">
        <v>6424</v>
      </c>
    </row>
    <row r="223" spans="1:5" x14ac:dyDescent="0.35">
      <c r="A223" t="s">
        <v>6180</v>
      </c>
      <c r="B223" t="s">
        <v>6425</v>
      </c>
    </row>
    <row r="224" spans="1:5" x14ac:dyDescent="0.35">
      <c r="A224" t="s">
        <v>6180</v>
      </c>
      <c r="B224" t="s">
        <v>6426</v>
      </c>
      <c r="C224" t="s">
        <v>6427</v>
      </c>
    </row>
    <row r="225" spans="1:5" x14ac:dyDescent="0.35">
      <c r="A225" t="s">
        <v>6180</v>
      </c>
      <c r="B225" t="s">
        <v>6428</v>
      </c>
    </row>
    <row r="226" spans="1:5" x14ac:dyDescent="0.35">
      <c r="A226" t="s">
        <v>6180</v>
      </c>
      <c r="B226" t="s">
        <v>6429</v>
      </c>
    </row>
    <row r="227" spans="1:5" x14ac:dyDescent="0.35">
      <c r="A227" t="s">
        <v>6180</v>
      </c>
      <c r="B227" t="s">
        <v>6430</v>
      </c>
      <c r="C227" t="s">
        <v>6431</v>
      </c>
    </row>
    <row r="228" spans="1:5" x14ac:dyDescent="0.35">
      <c r="A228" t="s">
        <v>6180</v>
      </c>
      <c r="B228" t="s">
        <v>6432</v>
      </c>
    </row>
    <row r="229" spans="1:5" x14ac:dyDescent="0.35">
      <c r="A229" t="s">
        <v>6180</v>
      </c>
      <c r="B229" t="s">
        <v>6433</v>
      </c>
    </row>
    <row r="230" spans="1:5" x14ac:dyDescent="0.35">
      <c r="A230" t="s">
        <v>6180</v>
      </c>
      <c r="B230" t="s">
        <v>478</v>
      </c>
      <c r="C230" t="s">
        <v>6434</v>
      </c>
      <c r="E230" t="s">
        <v>6434</v>
      </c>
    </row>
    <row r="231" spans="1:5" x14ac:dyDescent="0.35">
      <c r="A231" t="s">
        <v>6180</v>
      </c>
      <c r="B231" t="s">
        <v>6435</v>
      </c>
      <c r="C231" t="s">
        <v>6436</v>
      </c>
    </row>
    <row r="232" spans="1:5" x14ac:dyDescent="0.35">
      <c r="A232" t="s">
        <v>6180</v>
      </c>
      <c r="B232" t="s">
        <v>6437</v>
      </c>
      <c r="C232" t="s">
        <v>6438</v>
      </c>
    </row>
    <row r="233" spans="1:5" x14ac:dyDescent="0.35">
      <c r="A233" t="s">
        <v>6180</v>
      </c>
      <c r="B233" t="s">
        <v>6439</v>
      </c>
    </row>
    <row r="234" spans="1:5" x14ac:dyDescent="0.35">
      <c r="A234" t="s">
        <v>6180</v>
      </c>
      <c r="B234" t="s">
        <v>6440</v>
      </c>
      <c r="C234" t="s">
        <v>6441</v>
      </c>
    </row>
    <row r="235" spans="1:5" x14ac:dyDescent="0.35">
      <c r="A235" t="s">
        <v>6180</v>
      </c>
      <c r="B235" t="s">
        <v>6442</v>
      </c>
      <c r="C235" t="s">
        <v>6443</v>
      </c>
    </row>
    <row r="236" spans="1:5" x14ac:dyDescent="0.35">
      <c r="A236" t="s">
        <v>6180</v>
      </c>
      <c r="B236" t="s">
        <v>6444</v>
      </c>
      <c r="C236" t="s">
        <v>6445</v>
      </c>
    </row>
    <row r="237" spans="1:5" x14ac:dyDescent="0.35">
      <c r="A237" t="s">
        <v>6180</v>
      </c>
      <c r="B237" t="s">
        <v>6446</v>
      </c>
      <c r="C237" t="s">
        <v>6447</v>
      </c>
    </row>
    <row r="238" spans="1:5" x14ac:dyDescent="0.35">
      <c r="A238" t="s">
        <v>6180</v>
      </c>
      <c r="B238" t="s">
        <v>6448</v>
      </c>
    </row>
    <row r="239" spans="1:5" x14ac:dyDescent="0.35">
      <c r="A239" t="s">
        <v>6180</v>
      </c>
      <c r="B239" t="s">
        <v>6449</v>
      </c>
    </row>
    <row r="240" spans="1:5" x14ac:dyDescent="0.35">
      <c r="A240" t="s">
        <v>6180</v>
      </c>
      <c r="B240" t="s">
        <v>630</v>
      </c>
      <c r="E240" t="s">
        <v>6571</v>
      </c>
    </row>
    <row r="241" spans="1:5" x14ac:dyDescent="0.35">
      <c r="A241" t="s">
        <v>6180</v>
      </c>
      <c r="B241" t="s">
        <v>6450</v>
      </c>
    </row>
    <row r="242" spans="1:5" x14ac:dyDescent="0.35">
      <c r="A242" t="s">
        <v>6180</v>
      </c>
      <c r="B242" t="s">
        <v>6451</v>
      </c>
    </row>
    <row r="243" spans="1:5" x14ac:dyDescent="0.35">
      <c r="A243" t="s">
        <v>6180</v>
      </c>
      <c r="B243" t="s">
        <v>6452</v>
      </c>
    </row>
    <row r="244" spans="1:5" x14ac:dyDescent="0.35">
      <c r="A244" t="s">
        <v>6180</v>
      </c>
      <c r="B244" t="s">
        <v>6453</v>
      </c>
    </row>
    <row r="245" spans="1:5" x14ac:dyDescent="0.35">
      <c r="A245" t="s">
        <v>6180</v>
      </c>
      <c r="B245" t="s">
        <v>6454</v>
      </c>
    </row>
    <row r="246" spans="1:5" x14ac:dyDescent="0.35">
      <c r="A246" t="s">
        <v>6180</v>
      </c>
      <c r="B246" t="s">
        <v>6455</v>
      </c>
    </row>
    <row r="247" spans="1:5" x14ac:dyDescent="0.35">
      <c r="A247" t="s">
        <v>6180</v>
      </c>
      <c r="B247" t="s">
        <v>6456</v>
      </c>
    </row>
    <row r="248" spans="1:5" x14ac:dyDescent="0.35">
      <c r="A248" t="s">
        <v>6180</v>
      </c>
      <c r="B248" t="s">
        <v>6457</v>
      </c>
    </row>
    <row r="249" spans="1:5" x14ac:dyDescent="0.35">
      <c r="A249" t="s">
        <v>6180</v>
      </c>
      <c r="B249" t="s">
        <v>6458</v>
      </c>
    </row>
    <row r="250" spans="1:5" x14ac:dyDescent="0.35">
      <c r="A250" t="s">
        <v>6180</v>
      </c>
      <c r="B250" t="s">
        <v>6459</v>
      </c>
    </row>
    <row r="251" spans="1:5" x14ac:dyDescent="0.35">
      <c r="A251" t="s">
        <v>6180</v>
      </c>
      <c r="B251" t="s">
        <v>6460</v>
      </c>
    </row>
    <row r="252" spans="1:5" x14ac:dyDescent="0.35">
      <c r="A252" t="s">
        <v>6180</v>
      </c>
      <c r="B252" t="s">
        <v>6461</v>
      </c>
      <c r="C252" t="s">
        <v>6462</v>
      </c>
    </row>
    <row r="253" spans="1:5" x14ac:dyDescent="0.35">
      <c r="A253" t="s">
        <v>6180</v>
      </c>
      <c r="B253" t="s">
        <v>6463</v>
      </c>
    </row>
    <row r="254" spans="1:5" x14ac:dyDescent="0.35">
      <c r="A254" t="s">
        <v>6180</v>
      </c>
      <c r="B254" t="s">
        <v>533</v>
      </c>
      <c r="E254" t="s">
        <v>6572</v>
      </c>
    </row>
    <row r="255" spans="1:5" x14ac:dyDescent="0.35">
      <c r="A255" t="s">
        <v>6180</v>
      </c>
      <c r="B255" t="s">
        <v>6464</v>
      </c>
      <c r="C255" t="s">
        <v>6465</v>
      </c>
    </row>
    <row r="256" spans="1:5" x14ac:dyDescent="0.35">
      <c r="A256" t="s">
        <v>6180</v>
      </c>
      <c r="B256" t="s">
        <v>6466</v>
      </c>
      <c r="C256" t="s">
        <v>6467</v>
      </c>
    </row>
    <row r="257" spans="1:5" x14ac:dyDescent="0.35">
      <c r="A257" t="s">
        <v>6180</v>
      </c>
      <c r="B257" t="s">
        <v>6468</v>
      </c>
      <c r="C257" t="s">
        <v>6469</v>
      </c>
    </row>
    <row r="258" spans="1:5" x14ac:dyDescent="0.35">
      <c r="A258" t="s">
        <v>6180</v>
      </c>
      <c r="B258" t="s">
        <v>6470</v>
      </c>
      <c r="C258" t="s">
        <v>6471</v>
      </c>
    </row>
    <row r="259" spans="1:5" x14ac:dyDescent="0.35">
      <c r="A259" t="s">
        <v>6180</v>
      </c>
      <c r="B259" t="s">
        <v>6472</v>
      </c>
      <c r="C259" t="s">
        <v>6473</v>
      </c>
    </row>
    <row r="260" spans="1:5" x14ac:dyDescent="0.35">
      <c r="A260" t="s">
        <v>6180</v>
      </c>
      <c r="B260" t="s">
        <v>466</v>
      </c>
      <c r="C260" t="s">
        <v>6474</v>
      </c>
      <c r="E260" t="s">
        <v>6474</v>
      </c>
    </row>
    <row r="261" spans="1:5" x14ac:dyDescent="0.35">
      <c r="A261" t="s">
        <v>6180</v>
      </c>
      <c r="B261" t="s">
        <v>6475</v>
      </c>
      <c r="C261" t="s">
        <v>6476</v>
      </c>
    </row>
    <row r="262" spans="1:5" x14ac:dyDescent="0.35">
      <c r="A262" t="s">
        <v>6180</v>
      </c>
      <c r="B262" t="s">
        <v>6477</v>
      </c>
      <c r="C262" t="s">
        <v>6478</v>
      </c>
    </row>
    <row r="263" spans="1:5" x14ac:dyDescent="0.35">
      <c r="A263" t="s">
        <v>6180</v>
      </c>
      <c r="B263" t="s">
        <v>6479</v>
      </c>
      <c r="C263" t="s">
        <v>6480</v>
      </c>
    </row>
    <row r="264" spans="1:5" x14ac:dyDescent="0.35">
      <c r="A264" t="s">
        <v>6180</v>
      </c>
      <c r="B264" t="s">
        <v>6481</v>
      </c>
      <c r="C264" t="s">
        <v>6482</v>
      </c>
    </row>
    <row r="265" spans="1:5" x14ac:dyDescent="0.35">
      <c r="A265" t="s">
        <v>6180</v>
      </c>
      <c r="B265" t="s">
        <v>6483</v>
      </c>
      <c r="C265" t="s">
        <v>6484</v>
      </c>
    </row>
    <row r="266" spans="1:5" x14ac:dyDescent="0.35">
      <c r="A266" t="s">
        <v>6180</v>
      </c>
      <c r="B266" t="s">
        <v>361</v>
      </c>
      <c r="C266" t="s">
        <v>6485</v>
      </c>
      <c r="E266" t="s">
        <v>6485</v>
      </c>
    </row>
    <row r="267" spans="1:5" x14ac:dyDescent="0.35">
      <c r="A267" t="s">
        <v>6180</v>
      </c>
      <c r="B267" t="s">
        <v>6486</v>
      </c>
    </row>
    <row r="268" spans="1:5" x14ac:dyDescent="0.35">
      <c r="A268" t="s">
        <v>6180</v>
      </c>
      <c r="B268" t="s">
        <v>6487</v>
      </c>
      <c r="C268" t="s">
        <v>6488</v>
      </c>
    </row>
    <row r="269" spans="1:5" x14ac:dyDescent="0.35">
      <c r="A269" t="s">
        <v>6180</v>
      </c>
      <c r="B269" t="s">
        <v>6489</v>
      </c>
      <c r="C269" t="s">
        <v>6490</v>
      </c>
    </row>
    <row r="270" spans="1:5" x14ac:dyDescent="0.35">
      <c r="A270" t="s">
        <v>6180</v>
      </c>
      <c r="B270" t="s">
        <v>1311</v>
      </c>
      <c r="C270" t="s">
        <v>6491</v>
      </c>
      <c r="E270" t="s">
        <v>6491</v>
      </c>
    </row>
    <row r="271" spans="1:5" x14ac:dyDescent="0.35">
      <c r="A271" t="s">
        <v>6180</v>
      </c>
      <c r="B271" t="s">
        <v>6492</v>
      </c>
      <c r="C271" t="s">
        <v>6493</v>
      </c>
    </row>
    <row r="272" spans="1:5" x14ac:dyDescent="0.35">
      <c r="A272" t="s">
        <v>6180</v>
      </c>
      <c r="B272" t="s">
        <v>6494</v>
      </c>
    </row>
    <row r="273" spans="1:5" x14ac:dyDescent="0.35">
      <c r="A273" t="s">
        <v>6180</v>
      </c>
      <c r="B273" t="s">
        <v>6495</v>
      </c>
    </row>
    <row r="274" spans="1:5" x14ac:dyDescent="0.35">
      <c r="A274" t="s">
        <v>6180</v>
      </c>
      <c r="B274" t="s">
        <v>3524</v>
      </c>
      <c r="C274" t="s">
        <v>6496</v>
      </c>
      <c r="E274" t="s">
        <v>6496</v>
      </c>
    </row>
    <row r="275" spans="1:5" x14ac:dyDescent="0.35">
      <c r="A275" t="s">
        <v>6180</v>
      </c>
      <c r="B275" t="s">
        <v>6497</v>
      </c>
      <c r="C275" t="s">
        <v>6498</v>
      </c>
    </row>
    <row r="276" spans="1:5" x14ac:dyDescent="0.35">
      <c r="A276" t="s">
        <v>6180</v>
      </c>
      <c r="B276" t="s">
        <v>113</v>
      </c>
      <c r="C276" t="s">
        <v>6499</v>
      </c>
      <c r="E276" t="s">
        <v>6499</v>
      </c>
    </row>
    <row r="277" spans="1:5" x14ac:dyDescent="0.35">
      <c r="A277" t="s">
        <v>6180</v>
      </c>
      <c r="B277" t="s">
        <v>249</v>
      </c>
      <c r="C277" t="s">
        <v>6500</v>
      </c>
      <c r="E277" t="s">
        <v>6500</v>
      </c>
    </row>
    <row r="278" spans="1:5" x14ac:dyDescent="0.35">
      <c r="A278" t="s">
        <v>6180</v>
      </c>
      <c r="B278" t="s">
        <v>745</v>
      </c>
      <c r="C278" t="s">
        <v>6501</v>
      </c>
      <c r="E278" t="s">
        <v>6501</v>
      </c>
    </row>
    <row r="279" spans="1:5" x14ac:dyDescent="0.35">
      <c r="A279" t="s">
        <v>6180</v>
      </c>
      <c r="B279" t="s">
        <v>6502</v>
      </c>
    </row>
    <row r="280" spans="1:5" x14ac:dyDescent="0.35">
      <c r="A280" t="s">
        <v>6180</v>
      </c>
      <c r="B280" t="s">
        <v>6503</v>
      </c>
    </row>
    <row r="281" spans="1:5" x14ac:dyDescent="0.35">
      <c r="A281" t="s">
        <v>6180</v>
      </c>
      <c r="B281" t="s">
        <v>6504</v>
      </c>
      <c r="C281" t="s">
        <v>6505</v>
      </c>
    </row>
    <row r="282" spans="1:5" x14ac:dyDescent="0.35">
      <c r="A282" t="s">
        <v>6180</v>
      </c>
      <c r="B282" t="s">
        <v>6506</v>
      </c>
    </row>
    <row r="283" spans="1:5" x14ac:dyDescent="0.35">
      <c r="A283" t="s">
        <v>6180</v>
      </c>
      <c r="B283" t="s">
        <v>6507</v>
      </c>
    </row>
    <row r="284" spans="1:5" x14ac:dyDescent="0.35">
      <c r="A284" t="s">
        <v>6180</v>
      </c>
      <c r="B284" t="s">
        <v>795</v>
      </c>
      <c r="C284" t="s">
        <v>6508</v>
      </c>
      <c r="E284" t="s">
        <v>6508</v>
      </c>
    </row>
    <row r="285" spans="1:5" x14ac:dyDescent="0.35">
      <c r="A285" t="s">
        <v>6180</v>
      </c>
      <c r="B285" t="s">
        <v>6509</v>
      </c>
      <c r="C285" t="s">
        <v>6510</v>
      </c>
    </row>
    <row r="286" spans="1:5" x14ac:dyDescent="0.35">
      <c r="A286" t="s">
        <v>6180</v>
      </c>
      <c r="B286" t="s">
        <v>6511</v>
      </c>
    </row>
    <row r="287" spans="1:5" x14ac:dyDescent="0.35">
      <c r="A287" t="s">
        <v>6180</v>
      </c>
      <c r="B287" t="s">
        <v>6512</v>
      </c>
    </row>
    <row r="288" spans="1:5" x14ac:dyDescent="0.35">
      <c r="A288" t="s">
        <v>6180</v>
      </c>
      <c r="B288" t="s">
        <v>6513</v>
      </c>
      <c r="C288" t="s">
        <v>6514</v>
      </c>
    </row>
    <row r="289" spans="1:5" x14ac:dyDescent="0.35">
      <c r="A289" t="s">
        <v>6180</v>
      </c>
      <c r="B289" t="s">
        <v>6515</v>
      </c>
      <c r="C289" t="s">
        <v>6516</v>
      </c>
    </row>
    <row r="290" spans="1:5" x14ac:dyDescent="0.35">
      <c r="A290" t="s">
        <v>6180</v>
      </c>
      <c r="B290" t="s">
        <v>6517</v>
      </c>
      <c r="C290" t="s">
        <v>6518</v>
      </c>
    </row>
    <row r="291" spans="1:5" x14ac:dyDescent="0.35">
      <c r="A291" t="s">
        <v>6180</v>
      </c>
      <c r="B291" t="s">
        <v>6519</v>
      </c>
      <c r="C291" t="s">
        <v>6520</v>
      </c>
    </row>
    <row r="292" spans="1:5" x14ac:dyDescent="0.35">
      <c r="A292" t="s">
        <v>6180</v>
      </c>
      <c r="B292" t="s">
        <v>6521</v>
      </c>
    </row>
    <row r="293" spans="1:5" x14ac:dyDescent="0.35">
      <c r="A293" t="s">
        <v>6180</v>
      </c>
      <c r="B293" t="s">
        <v>6522</v>
      </c>
      <c r="C293" t="s">
        <v>6523</v>
      </c>
    </row>
    <row r="294" spans="1:5" x14ac:dyDescent="0.35">
      <c r="A294" t="s">
        <v>6180</v>
      </c>
      <c r="B294" t="s">
        <v>6524</v>
      </c>
    </row>
    <row r="295" spans="1:5" x14ac:dyDescent="0.35">
      <c r="A295" t="s">
        <v>6180</v>
      </c>
      <c r="B295" t="s">
        <v>135</v>
      </c>
      <c r="E295" t="s">
        <v>6573</v>
      </c>
    </row>
    <row r="296" spans="1:5" x14ac:dyDescent="0.35">
      <c r="A296" t="s">
        <v>6180</v>
      </c>
      <c r="B296" t="s">
        <v>228</v>
      </c>
      <c r="E296" t="s">
        <v>6574</v>
      </c>
    </row>
    <row r="297" spans="1:5" x14ac:dyDescent="0.35">
      <c r="A297" t="s">
        <v>6180</v>
      </c>
      <c r="B297" t="s">
        <v>6525</v>
      </c>
    </row>
    <row r="298" spans="1:5" x14ac:dyDescent="0.35">
      <c r="A298" t="s">
        <v>6180</v>
      </c>
      <c r="B298" t="s">
        <v>6526</v>
      </c>
    </row>
    <row r="299" spans="1:5" x14ac:dyDescent="0.35">
      <c r="A299" t="s">
        <v>6180</v>
      </c>
      <c r="B299" t="s">
        <v>154</v>
      </c>
      <c r="E299" t="s">
        <v>6575</v>
      </c>
    </row>
    <row r="300" spans="1:5" x14ac:dyDescent="0.35">
      <c r="A300" t="s">
        <v>6180</v>
      </c>
      <c r="B300" t="s">
        <v>6527</v>
      </c>
    </row>
    <row r="301" spans="1:5" x14ac:dyDescent="0.35">
      <c r="A301" t="s">
        <v>6180</v>
      </c>
      <c r="B301" t="s">
        <v>6528</v>
      </c>
    </row>
    <row r="302" spans="1:5" x14ac:dyDescent="0.35">
      <c r="A302" t="s">
        <v>6180</v>
      </c>
      <c r="B302" t="s">
        <v>2433</v>
      </c>
      <c r="E302" t="s">
        <v>6576</v>
      </c>
    </row>
    <row r="303" spans="1:5" x14ac:dyDescent="0.35">
      <c r="A303" t="s">
        <v>6180</v>
      </c>
      <c r="B303" t="s">
        <v>6529</v>
      </c>
    </row>
    <row r="304" spans="1:5" x14ac:dyDescent="0.35">
      <c r="A304" t="s">
        <v>6180</v>
      </c>
      <c r="B304" t="s">
        <v>2144</v>
      </c>
      <c r="E304" t="s">
        <v>6577</v>
      </c>
    </row>
    <row r="305" spans="1:5" x14ac:dyDescent="0.35">
      <c r="A305" t="s">
        <v>6180</v>
      </c>
      <c r="B305" t="s">
        <v>6530</v>
      </c>
    </row>
    <row r="306" spans="1:5" x14ac:dyDescent="0.35">
      <c r="A306" t="s">
        <v>6180</v>
      </c>
      <c r="B306" t="s">
        <v>2243</v>
      </c>
      <c r="E306" t="s">
        <v>6578</v>
      </c>
    </row>
    <row r="307" spans="1:5" x14ac:dyDescent="0.35">
      <c r="A307" t="s">
        <v>6180</v>
      </c>
      <c r="B307" t="s">
        <v>6531</v>
      </c>
    </row>
    <row r="308" spans="1:5" x14ac:dyDescent="0.35">
      <c r="A308" t="s">
        <v>6180</v>
      </c>
      <c r="B308" t="s">
        <v>104</v>
      </c>
      <c r="E308" t="s">
        <v>6579</v>
      </c>
    </row>
    <row r="309" spans="1:5" x14ac:dyDescent="0.35">
      <c r="A309" t="s">
        <v>6180</v>
      </c>
      <c r="B309" t="s">
        <v>6532</v>
      </c>
    </row>
    <row r="310" spans="1:5" x14ac:dyDescent="0.35">
      <c r="A310" t="s">
        <v>6180</v>
      </c>
      <c r="B310" t="s">
        <v>6533</v>
      </c>
    </row>
    <row r="311" spans="1:5" x14ac:dyDescent="0.35">
      <c r="A311" t="s">
        <v>6180</v>
      </c>
      <c r="B311" t="s">
        <v>6534</v>
      </c>
    </row>
    <row r="312" spans="1:5" x14ac:dyDescent="0.35">
      <c r="A312" t="s">
        <v>6180</v>
      </c>
      <c r="B312" t="s">
        <v>327</v>
      </c>
      <c r="E312" t="s">
        <v>6580</v>
      </c>
    </row>
    <row r="313" spans="1:5" x14ac:dyDescent="0.35">
      <c r="A313" t="s">
        <v>6180</v>
      </c>
      <c r="B313" t="s">
        <v>6535</v>
      </c>
    </row>
    <row r="314" spans="1:5" x14ac:dyDescent="0.35">
      <c r="A314" t="s">
        <v>6180</v>
      </c>
      <c r="B314" t="s">
        <v>6536</v>
      </c>
    </row>
    <row r="315" spans="1:5" x14ac:dyDescent="0.35">
      <c r="A315" t="s">
        <v>6180</v>
      </c>
      <c r="B315" t="s">
        <v>75</v>
      </c>
      <c r="E315" t="s">
        <v>6581</v>
      </c>
    </row>
    <row r="316" spans="1:5" x14ac:dyDescent="0.35">
      <c r="A316" t="s">
        <v>6180</v>
      </c>
      <c r="B316" t="s">
        <v>6537</v>
      </c>
    </row>
    <row r="317" spans="1:5" x14ac:dyDescent="0.35">
      <c r="A317" t="s">
        <v>6180</v>
      </c>
      <c r="B317" t="s">
        <v>6538</v>
      </c>
    </row>
  </sheetData>
  <autoFilter ref="A1:E317" xr:uid="{6515E892-D726-449B-8F59-B758E99DD2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1-Mar</vt:lpstr>
      <vt:lpstr>3_Mar</vt:lpstr>
      <vt:lpstr>4-Mar</vt:lpstr>
      <vt:lpstr>5-Mar</vt:lpstr>
      <vt:lpstr>6-Mar</vt:lpstr>
      <vt:lpstr>07-Mar</vt:lpstr>
      <vt:lpstr>8-Mar</vt:lpstr>
      <vt:lpstr>10-Mar</vt:lpstr>
      <vt:lpstr>11-Mar</vt:lpstr>
      <vt:lpstr>12-Mar</vt:lpstr>
      <vt:lpstr>13-Mar</vt:lpstr>
      <vt:lpstr>14-Mar</vt:lpstr>
      <vt:lpstr>15-Mar</vt:lpstr>
      <vt:lpstr>16-Mar</vt:lpstr>
      <vt:lpstr>17-Mar</vt:lpstr>
      <vt:lpstr>18-Mar</vt:lpstr>
      <vt:lpstr>19-Mar</vt:lpstr>
      <vt:lpstr>20-Mar</vt:lpstr>
      <vt:lpstr>21-Mar</vt:lpstr>
      <vt:lpstr>22-Mar</vt:lpstr>
      <vt:lpstr>24-Mar</vt:lpstr>
      <vt:lpstr>27-Mar</vt:lpstr>
      <vt:lpstr>28-Mar</vt:lpstr>
      <vt:lpstr>29-Mar</vt:lpstr>
      <vt:lpstr>25-Mar</vt:lpstr>
      <vt:lpstr>26-Mar</vt:lpstr>
      <vt:lpstr>Pivot-Machines</vt:lpstr>
      <vt:lpstr>Summary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Soon</dc:creator>
  <cp:lastModifiedBy>Anthony Soon</cp:lastModifiedBy>
  <dcterms:created xsi:type="dcterms:W3CDTF">2025-04-15T01:15:31Z</dcterms:created>
  <dcterms:modified xsi:type="dcterms:W3CDTF">2025-06-25T13:34:35Z</dcterms:modified>
</cp:coreProperties>
</file>